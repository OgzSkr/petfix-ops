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Uyarilar" sheetId="2" r:id="rId6"/>
    <sheet state="visible" name="Maliyet Giris" sheetId="3" r:id="rId7"/>
    <sheet state="visible" name="Maliyetler" sheetId="4" r:id="rId8"/>
    <sheet state="visible" name="Komisyon Tarifesi" sheetId="5" r:id="rId9"/>
    <sheet state="visible" name="Products" sheetId="6" r:id="rId10"/>
    <sheet state="visible" name="Orders" sheetId="7" r:id="rId11"/>
    <sheet state="visible" name="Order Lines" sheetId="8" r:id="rId12"/>
    <sheet state="visible" name="Integration Logs" sheetId="9" r:id="rId13"/>
    <sheet state="visible" name="BuyBox Karlilik" sheetId="10" r:id="rId14"/>
    <sheet state="visible" name="Eksik Veri" sheetId="11" r:id="rId15"/>
    <sheet state="visible" name="Sirali Karlilik" sheetId="12" r:id="rId16"/>
    <sheet state="visible" name="Live BuyBox" sheetId="13" r:id="rId17"/>
    <sheet state="hidden" name="Live BuyBox Settings" sheetId="14" r:id="rId18"/>
  </sheets>
  <definedNames>
    <definedName hidden="1" localSheetId="3" name="_xlnm._FilterDatabase">Maliyetler!$A$1:$K$550</definedName>
    <definedName hidden="1" localSheetId="5" name="_xlnm._FilterDatabase">Products!$A$1:$S$465</definedName>
    <definedName hidden="1" localSheetId="9" name="_xlnm._FilterDatabase">'BuyBox Karlilik'!$A$1:$Q$300</definedName>
    <definedName hidden="1" localSheetId="10" name="_xlnm._FilterDatabase">'Eksik Veri'!$A$1:$Q$150</definedName>
  </definedNames>
  <calcPr/>
</workbook>
</file>

<file path=xl/sharedStrings.xml><?xml version="1.0" encoding="utf-8"?>
<sst xmlns="http://schemas.openxmlformats.org/spreadsheetml/2006/main" count="12886" uniqueCount="1671">
  <si>
    <t>Trendyol Karar Destek Dashboard</t>
  </si>
  <si>
    <t>Özet</t>
  </si>
  <si>
    <t>Değer</t>
  </si>
  <si>
    <t>Toplam Ürün</t>
  </si>
  <si>
    <t>BuyBox Fiyatı Olan Ürün</t>
  </si>
  <si>
    <t>Hesaplanan Ürün</t>
  </si>
  <si>
    <t>Kârlı Ürün</t>
  </si>
  <si>
    <t>Zarar Ürün</t>
  </si>
  <si>
    <t>Eksik Veri</t>
  </si>
  <si>
    <t>Çok Kârlı</t>
  </si>
  <si>
    <t>Sağlıklı</t>
  </si>
  <si>
    <t>Düşük Kâr</t>
  </si>
  <si>
    <t>Riskli</t>
  </si>
  <si>
    <t>Tekrarlı Barkod</t>
  </si>
  <si>
    <t>Toplam Net Kâr</t>
  </si>
  <si>
    <t>Ortalama Kâr Oranı</t>
  </si>
  <si>
    <t>En Yüksek Net Kâr</t>
  </si>
  <si>
    <t>En Büyük Zarar</t>
  </si>
  <si>
    <t>En Kârlı İlk 10 Ürün</t>
  </si>
  <si>
    <t>Barkod</t>
  </si>
  <si>
    <t>Marka</t>
  </si>
  <si>
    <t>Ürün Adı</t>
  </si>
  <si>
    <t>BuyBox Fiyatı</t>
  </si>
  <si>
    <t>Komisyon</t>
  </si>
  <si>
    <t>Kargo</t>
  </si>
  <si>
    <t>Maliyet</t>
  </si>
  <si>
    <t>Net Kâr</t>
  </si>
  <si>
    <t>Kâr Oranı</t>
  </si>
  <si>
    <t>Risk</t>
  </si>
  <si>
    <t>Aksiyon</t>
  </si>
  <si>
    <t>En Riskli Zarar Eden İlk 10 Ürün</t>
  </si>
  <si>
    <t>Min. Satış Fiyatı</t>
  </si>
  <si>
    <t>Riskli / Düşük Kâr İlk 15 Ürün</t>
  </si>
  <si>
    <t>Eksik Veri İlk 15 Ürün</t>
  </si>
  <si>
    <t>Eksik Komisyon</t>
  </si>
  <si>
    <t>Desi</t>
  </si>
  <si>
    <t>Eksik Maliyet</t>
  </si>
  <si>
    <t>Eksik Desi</t>
  </si>
  <si>
    <t>Operasyon Uyarıları</t>
  </si>
  <si>
    <t>Zarar Eden Ürünler</t>
  </si>
  <si>
    <t>Net Kâr / Zarar</t>
  </si>
  <si>
    <t>Kâr Oranı %</t>
  </si>
  <si>
    <t>Eksik Verili Ürünler</t>
  </si>
  <si>
    <t>Riskli / Düşük Kâr Ürünler</t>
  </si>
  <si>
    <t>SKU</t>
  </si>
  <si>
    <t>Kategori</t>
  </si>
  <si>
    <t>Ürün Maliyeti (KDV Dahil)</t>
  </si>
  <si>
    <t>Ürün Desisi</t>
  </si>
  <si>
    <t>Not</t>
  </si>
  <si>
    <t>Kontrol</t>
  </si>
  <si>
    <t>Pro Plan</t>
  </si>
  <si>
    <t>Sterilised Somonlu Kısırlaştırılmış Kedi Konservesi 85 Gr</t>
  </si>
  <si>
    <t>Kedi Konserve Maması</t>
  </si>
  <si>
    <t>Royal Canin</t>
  </si>
  <si>
    <t>Sterilised Gravy Yaş Kedi Maması 85 gr</t>
  </si>
  <si>
    <t>Jelly Kitten Instinctive Yaş Yavru Kedi Maması 85 Gr</t>
  </si>
  <si>
    <t>Intense Beauty Gravy Pouch Yetişkin Kedi Konservesi 85 Gr</t>
  </si>
  <si>
    <t>Ageing 11+ Yaşlı Ve Ileri Yaştaki Kedi Yaş Mama 85 gr X 12 Adet Gravy Soslu</t>
  </si>
  <si>
    <t>Adult Kuzu Etli Yetişkin Köpek Maması 3 Kg</t>
  </si>
  <si>
    <t>Köpek Kuru Maması</t>
  </si>
  <si>
    <t>Adult Kuzu Etli Yetişkin Köpek Maması 14 Kg</t>
  </si>
  <si>
    <t>Puppy Kuzu Etli Yavru Köpek Maması 12 Kg</t>
  </si>
  <si>
    <t>Proplan Puppy Somonlu Küçük Irk Yavru Köpek Maması 3 Kg</t>
  </si>
  <si>
    <t>Optiderma Somonlu Hassas Yetişkin Köpek Maması 14 Kg</t>
  </si>
  <si>
    <t>Puppy Somonlu Yavru Köpek Maması 12 Kg</t>
  </si>
  <si>
    <t>Adult Somonlu Yetişkin Köpek Maması 16.5 Kg</t>
  </si>
  <si>
    <t>Pro Plan Tavuklu Küçük Irk Köpek Maması 3 Kg</t>
  </si>
  <si>
    <t>Sensitive Skin Small &amp; Mini Somonlu Küçük Irk Köpek Maması 3 Kg</t>
  </si>
  <si>
    <t>Proplan Puppy Somonlu Yavru Köpek Maması 3 Kg</t>
  </si>
  <si>
    <t>Proplan Medium Somonlu Hassas Yetişkin Köpek Maması 3 Kg</t>
  </si>
  <si>
    <t>Purina Pro Plan</t>
  </si>
  <si>
    <t>Sterilised Somonlu Kısır Kedi Maması 3kg</t>
  </si>
  <si>
    <t>Kedi Kuru Maması</t>
  </si>
  <si>
    <t>BARK</t>
  </si>
  <si>
    <t>Starbark Beyaz Bardak Köpek Çiğneme Oyuncak - M/L Boy (Ödül Doldurulabilir)</t>
  </si>
  <si>
    <t>Köpek Oyuncağı</t>
  </si>
  <si>
    <t>Flingray Sesli Vatos Köpek Oyuncağı</t>
  </si>
  <si>
    <t>Hambone Çiğneme Köpek Oyuncağı</t>
  </si>
  <si>
    <t>Brtha Sesli Ejderha Köpek Oyuncağı</t>
  </si>
  <si>
    <t>Acornucopia Çiğneme Köpek Oyuncağı</t>
  </si>
  <si>
    <t>Turnt Turp Köpek Oyuncağı</t>
  </si>
  <si>
    <t>Fetch Dal Köpek Oyuncağı</t>
  </si>
  <si>
    <t>Beaver Kunduz Köpek Oyuncağı</t>
  </si>
  <si>
    <t>11111111111115115</t>
  </si>
  <si>
    <t>Beaphar</t>
  </si>
  <si>
    <t>Duo Malt Paste Tüy Yumağı Kontrol Kedi Macunu 100 gr - 2 Adet</t>
  </si>
  <si>
    <t>Kedi Vitamini</t>
  </si>
  <si>
    <t>Duo Malt Paste Tüy Yumağı Kontrol Kedi Macunu 100 Gr</t>
  </si>
  <si>
    <t>TYBWE0JQNGP76NQ209</t>
  </si>
  <si>
    <t>Duo Active Tüy Yumağı Önleyici Malt Kedi Macunu 100 gr X 3 Adet</t>
  </si>
  <si>
    <t>Kedi Sağlık Ürünü</t>
  </si>
  <si>
    <t>N&amp;D</t>
  </si>
  <si>
    <t>ND KEDİ MAMASI TROPICAL SELECTİON KISIRLAŞTIRILMIŞ KUZULU 10 KG 1 ADET</t>
  </si>
  <si>
    <t>Tropical Kuzu Etli Kısırlaştırılmış Kedi Maması 10 KG</t>
  </si>
  <si>
    <t>Ever Clean</t>
  </si>
  <si>
    <t>Fast Acting 10 lt.</t>
  </si>
  <si>
    <t>Kedi Kumu</t>
  </si>
  <si>
    <t>Multiple Cat Kedi Kumu 10 Lt</t>
  </si>
  <si>
    <t>Lavender Lavanta Kokulu Ince Taneli Topaklaşan Kedi Kumu 10 L</t>
  </si>
  <si>
    <t>TYBFX202T4NBR94F79</t>
  </si>
  <si>
    <t>Extra Strong Scented Kedi Kumu 10 Lt</t>
  </si>
  <si>
    <t>AK73LD91</t>
  </si>
  <si>
    <t>Less Trail (patilere Yapışmayan) Kedi Kumu 10 Lt X 2 Adet</t>
  </si>
  <si>
    <t>TYBUAJE2I9OWF7YM95</t>
  </si>
  <si>
    <t>Litter Free Paws Patilere Yapışmayan Kedi Kumu 2 X 10 L</t>
  </si>
  <si>
    <t>Less Pass(PATİLERE YAPIŞMAYAN) Kedi Kumu 10 Lt</t>
  </si>
  <si>
    <t>Extra Strength Scented Koku Engelleyici Doğal Kedi Kumu 10 Lt</t>
  </si>
  <si>
    <t>LitterFree Paws 10 Lt</t>
  </si>
  <si>
    <t>Advance</t>
  </si>
  <si>
    <t>Sensitive Kuzu Etli Hassas Yetişkin Köpek Maması 12 Kg</t>
  </si>
  <si>
    <t>Kedi Yetişkin Kısır Somonlu 1.5 Kg</t>
  </si>
  <si>
    <t>Cat Sterilized Hairball Hindili Kısır Kedi Maması 3 Kg</t>
  </si>
  <si>
    <t>Cat Adult Salmon Sensıtıve 3 Kg</t>
  </si>
  <si>
    <t>Cat Sterilized Kısırlaştırılmış Somonlu Kedi Maması 10 Kg</t>
  </si>
  <si>
    <t>Sensitive Somonlu Hassas Kısırlaştırılmış Kedi Maması 3 Kg</t>
  </si>
  <si>
    <t>Schesir</t>
  </si>
  <si>
    <t>Jelly Ton Balıklı Tavuk Ve Karidesli Kedi Yaş Maması 85gr Skt:09/2024</t>
  </si>
  <si>
    <t>Jelly Ton Balıklı ve Levrekli Pouch Kedi Konservesi 85 Gr</t>
  </si>
  <si>
    <t>Pouch Gravy Tavuklu Kıyılmış Kedi Yaş Maması 85 Gr</t>
  </si>
  <si>
    <t>Sterilised Hindi-Tavuk Kısırlaştırılmış Kedi Maması 3 Kg</t>
  </si>
  <si>
    <t>TYBBR26STPQS3M8793</t>
  </si>
  <si>
    <t>Whiskas</t>
  </si>
  <si>
    <t>Sığır Etli,Biftekli Konserve Kedi Maması 400 Gr X 12 ADET</t>
  </si>
  <si>
    <t>TYB2GSN7NL9EBZ6M38</t>
  </si>
  <si>
    <t>Tavuklu Yetişkin Konserve Kedi Maması 400 Gr X 12 ADET</t>
  </si>
  <si>
    <t>Konserve Sığırlı Kedi Mama 24 X 400 gr</t>
  </si>
  <si>
    <t>Tavuklu Konserve Kedi Maması 400 gr 24x</t>
  </si>
  <si>
    <t>TYBK9VXXS6A8F2MQ14</t>
  </si>
  <si>
    <t>Indoor 7+ Yaşlı Kedi Maması 3,5 kg</t>
  </si>
  <si>
    <t>Dreamies</t>
  </si>
  <si>
    <t>Somonlu Mega Kedi Ödül Maması 180 G 4X</t>
  </si>
  <si>
    <t>Kedi Ödülü</t>
  </si>
  <si>
    <t>TYBUE8L7NU7ALS2Y13</t>
  </si>
  <si>
    <t>Royal Canın French Bulldog Puppy 3kg</t>
  </si>
  <si>
    <t>Indoor 7 Ev Kedileri Için Yaşlı Kedi Maması 1,5kg</t>
  </si>
  <si>
    <t>TYBPC0369DN0S47078</t>
  </si>
  <si>
    <t>Sığır - Tavuk - Somon - Ton Balıklı Karışık Yaş Kedi Maması 28 Adet 85 Gr.</t>
  </si>
  <si>
    <t>FELIX</t>
  </si>
  <si>
    <t>Pouch Karışık Yaş Kedi Maması 100 Adet</t>
  </si>
  <si>
    <t>Purina Felix</t>
  </si>
  <si>
    <t>Felix Karışık Yaş Kedi Maması 20 Adet</t>
  </si>
  <si>
    <t>TYPET19</t>
  </si>
  <si>
    <t>Karma Paket Kedi Konserve Maması 28 Adet X 85gr</t>
  </si>
  <si>
    <t>63773829299393728</t>
  </si>
  <si>
    <t>Karışık Yaş Kedi Maması Serisi 12 Adet Yeni Çeşitleri Ile</t>
  </si>
  <si>
    <t>Somonlu Ton Balıklı Yaş Kedi Maması X 20 Adet</t>
  </si>
  <si>
    <t>Kedi Ödül Maması Karışık Paket 60 Gr X 36 Adet</t>
  </si>
  <si>
    <t>Kedi Ödül Maması Karışık 60 gr X 24 Adet</t>
  </si>
  <si>
    <t>TYBJH953EK2C3Z3444</t>
  </si>
  <si>
    <t>Kedi Ödülü Seti Sığırlı, Somonlu, Peynirli, Tavuklu, Somonlu Peynir, Ördekli 6 Adet</t>
  </si>
  <si>
    <t>Ton Balıklı 1,4 Kg Kuru Mama</t>
  </si>
  <si>
    <t>Biftekli Yetişkin Kedi Maması 14 Kg</t>
  </si>
  <si>
    <t>Klasik Öğünler Sos Içinde Sığırlı Ve Tavuklu Yetişkin Kedi Maması 24 X 85 G</t>
  </si>
  <si>
    <t>Felicia</t>
  </si>
  <si>
    <t>2 Adet Adult Cat Light &amp; Sterilised Somonlu Kısır Yetişkin Kedi Maması 2 kg x 2 = 4 kg</t>
  </si>
  <si>
    <t>Kitten Mother &amp; Kitten Kuzu Etli Yavru Kedi Maması 2 Kg</t>
  </si>
  <si>
    <t>12 Kg Yetişkin Tavuklu Az Tahıllı HypoAllergenic Kedi Maması</t>
  </si>
  <si>
    <t>Kolajen Destekli Hipoalerjenik Somonlu Kısırlaştırılmış Yetişkin Kedi Maması 12KG</t>
  </si>
  <si>
    <t>HBCV00009IIHX6</t>
  </si>
  <si>
    <t>12 Kg Yetişkin Kuzu Etli Az Tahıllı HypoAllergenic Kedi Maması</t>
  </si>
  <si>
    <t>TYBKT7IU1SQMILM116</t>
  </si>
  <si>
    <t>Düşük Tahıllı Kuzulu Yavru Kedi Maması 2 Kg</t>
  </si>
  <si>
    <t>TYBBUNMP3OTIAJT024</t>
  </si>
  <si>
    <t>2 Kg Yetişkin Tavuklu Az Tahıllı HypoAllergenic Kedi Maması</t>
  </si>
  <si>
    <t>2 kg Sterilised Tavuklu Az Tahıllı HypoAllergenic Kedi Maması</t>
  </si>
  <si>
    <t>2 Kg Yavru Tavuklu Az Tahıllı HypoAllergenic Kedi Maması</t>
  </si>
  <si>
    <t>TYBP2XETRCWJM87M50</t>
  </si>
  <si>
    <t>Somonlu Yetişkin Kedi Maması 12 Kg</t>
  </si>
  <si>
    <t>2 Kg Yetişkin Kuzu Etli Az Tahıllı HypoAllergenic Kedi Maması</t>
  </si>
  <si>
    <t>2 Kg Yetişkin Somonlu Az Tahıllı HypoAllergenic Kedi Maması</t>
  </si>
  <si>
    <t>7980556598055659</t>
  </si>
  <si>
    <t>2 Kg Kolajenli Somonlu Az Tahıllı Kısırlaştırılmış Kedi Maması</t>
  </si>
  <si>
    <t>Kolajen Destekli Hipoalerjenik Somonlu Kısırlaştırılmış Yetişkin Kedi Maması 2KG</t>
  </si>
  <si>
    <t>PTFLC016</t>
  </si>
  <si>
    <t>12 Kg Sterilised Somonlu Az Tahıllı HypoAllergenic Kedi Maması</t>
  </si>
  <si>
    <t>TXC2162D0F52637</t>
  </si>
  <si>
    <t>14 Kg Tavuklu ve Sebzeli Kuru Kedi Maması (WHISKAS.149657)</t>
  </si>
  <si>
    <t>TYBPDLDE1MMYOMVD70</t>
  </si>
  <si>
    <t>Purina One</t>
  </si>
  <si>
    <t>Junior Tavuklu Yavru Kedi Maması 800 Gr x 2Adet</t>
  </si>
  <si>
    <t/>
  </si>
  <si>
    <t>CB88899991967</t>
  </si>
  <si>
    <t>Yetişkin Sığır Etli Kedi Maması 1.5 kg CB9904</t>
  </si>
  <si>
    <t>Hair&amp;skin Tüy Ve Deri Sağlığı Için Kuru Kedi Maması 4kg</t>
  </si>
  <si>
    <t>Chihuahua Junior Yavru Köpek Maması 1.5 Kg</t>
  </si>
  <si>
    <t>TY988899455015287</t>
  </si>
  <si>
    <t>Mini Starter Mother &amp; Babydog Anne ve Yavru Köpek Maması 4kg</t>
  </si>
  <si>
    <t>Gourmet</t>
  </si>
  <si>
    <t>Purina Karışık Kedi Konservesi 85 gr X 24 Adet</t>
  </si>
  <si>
    <t>Nd tropical selection köpek 1,5kg mini adult kuzu etli tropikal meyve küçük ırk yetişkin köpek mama</t>
  </si>
  <si>
    <t>TYBL1W9TPK3NCREP31</t>
  </si>
  <si>
    <t>Babycat Instinctive Yavru ve Anne Kediler Için Konserve 195 gr x 12 Adet</t>
  </si>
  <si>
    <t>WHS28850000</t>
  </si>
  <si>
    <t>Mını Indoor Adult Küçük Irklar Için Indoor Yetişkin Kuru Köpek Maması 1.5kg</t>
  </si>
  <si>
    <t>Mother&amp;babycat Gebe/laktasyondaki Anne Ve Yavru Kedi Için Kuru Kedi Maması 2kg</t>
  </si>
  <si>
    <t>TYBA2C5Z2ZVZYC1P94</t>
  </si>
  <si>
    <t>Chihuahua Puppy Yavru Köpek Maması 1,5 Kg</t>
  </si>
  <si>
    <t>PKTSGRKSR1500X2</t>
  </si>
  <si>
    <t>Sterilised Sığır Etli Kısırlaştırılmış Kedi Maması 1,5 kgX2</t>
  </si>
  <si>
    <t>Sterilised Sığır Etli Kısırlaştırılmış Kedi Maması 1.5 Kg</t>
  </si>
  <si>
    <t>TYBK3GU7R3VD1AJR53</t>
  </si>
  <si>
    <t>Simple Solution</t>
  </si>
  <si>
    <t>Leke Ve Koku Giderici Sprey - Orman Ferahlığı</t>
  </si>
  <si>
    <t>Köpek Koku Giderici</t>
  </si>
  <si>
    <t>TYBHAPNK94QXAISK95</t>
  </si>
  <si>
    <t>Solution Kediler İçin Leke ve Koku Giderici Sprey 750ml Luxury</t>
  </si>
  <si>
    <t>Köpek Aksesuarı</t>
  </si>
  <si>
    <t>TYBAO4JKCQA0LI9T20</t>
  </si>
  <si>
    <t>Solutıon Bahar Esintili Leke Ve Koku Giderici Sprey 750 Ml</t>
  </si>
  <si>
    <t>Köpek Sağlık Ürünü</t>
  </si>
  <si>
    <t>TYBRSLA8EYRWXBYM96</t>
  </si>
  <si>
    <t>Solution Köpek Leke Ve Koku Giderici Sprey 750ml</t>
  </si>
  <si>
    <t>TYBSW7DZ4CUKVRAD69</t>
  </si>
  <si>
    <t>Simple</t>
  </si>
  <si>
    <t>Solution Extreme Leke Ve Koku Giderici Sprey 945 ml</t>
  </si>
  <si>
    <t>TYBOW65Q08TNPL5Y10</t>
  </si>
  <si>
    <t>Solution Kedi Sıvı Leke Ve Koku Giderici 1000ml</t>
  </si>
  <si>
    <t>Kedi Koku Giderici</t>
  </si>
  <si>
    <t>TYBTDDIFOJC0HA0P01</t>
  </si>
  <si>
    <t>Solution Urine Destroyer Idrar Ve 1 Lt</t>
  </si>
  <si>
    <t>TYBAUF4CR8GPNRPF93</t>
  </si>
  <si>
    <t>Kediler İçin Leke ve Koku Giderici Sprey 750 Ml -</t>
  </si>
  <si>
    <t>Sığır Etli Kısırlaştırılmış Kedi Maması 9,75 kg</t>
  </si>
  <si>
    <t>Sterilised Sığır Etli Kısırlaştırılmış Kedi Maması 1,5 Kg</t>
  </si>
  <si>
    <t>Renal Plus Sterilised, Somonlu Kısırlaştırılmış Kedi Maması 1.5 Kg</t>
  </si>
  <si>
    <t>Mını Indoor Puppy Küçük Irklar Için Indoor Yavru Kuru Köpek Maması 1.5kg</t>
  </si>
  <si>
    <t>Sensitive Adult Kuzu Etli Yetişkin Köpek Maması 10 kg</t>
  </si>
  <si>
    <t>Hair&amp;skin Tüy Ve Deri Sağlığı Için Kuru Kedi Maması 10 Kg</t>
  </si>
  <si>
    <t>TYBHRPAFL3EL69WW58</t>
  </si>
  <si>
    <t>Hill's</t>
  </si>
  <si>
    <t>SCIENCE PLAN Tavuklu Yavru Kedi Maması 1,5 Kg</t>
  </si>
  <si>
    <t>TYBAGPLHFKDKLM3M60</t>
  </si>
  <si>
    <t>Recovery Pate Yoğun Bakım Konserve Kedi ve Köpek Maması 195 Gr x 6 ADET</t>
  </si>
  <si>
    <t>Prime Kitten Tavuklu Narlı Tahılsız Yavru Kedi Maması 10 Kg</t>
  </si>
  <si>
    <t>Ocean Düşük Tahıllı Balıklı Portakallı Yetişkin Kedi Maması 10 Kg</t>
  </si>
  <si>
    <t>Düşük Tahıllı Kuzu Etli ve Yaban Mersinli Kısırlaştırılmış Kedi Maması 10 Kg</t>
  </si>
  <si>
    <t>A.grain Düşük Tahıllı Kuzulu Ve Yaban Mersinli Mini Irk Yetişkin Köpek Kuru Maması 7 Kg</t>
  </si>
  <si>
    <t>Tahılsız Kuzulu&amp;Yabanmersinli Mini Irk Yetişkin Köpek Maması 7 KG</t>
  </si>
  <si>
    <t>Tropical Selection Somonlu Mini Irk Yetişkin Köpek Maması 5kg</t>
  </si>
  <si>
    <t>Tropical Selection Kuzu Etli Mini Irk Yetişkin Köpek Maması 5kg</t>
  </si>
  <si>
    <t>Tropical Tavuklu Kısırlaştırılmış Kedi Maması 5 kg</t>
  </si>
  <si>
    <t>Tropical Kuzu Etl, Kılçıksız Buğday ve Tropikal Meyveli Kısır Kedi Maması 5 KG</t>
  </si>
  <si>
    <t>Ocean Ringa Balık&amp;Portakal Tahılsız Kısırlaştırılmış Kedi Maması 5 Kg</t>
  </si>
  <si>
    <t>Ocean Balkabaklı Morina Balıklı Karidesli Yavru Kedi Maması 5 Kg</t>
  </si>
  <si>
    <t>Ancestral Grain Tavuklu Narlı Düşük Tahıllı Kısırlaştırılmış Kedi Maması 5 Kg</t>
  </si>
  <si>
    <t>Pumpkin Tahılsız Kuzu Küçük Irk Yetişkin Köpek Maması 2,5 Kg</t>
  </si>
  <si>
    <t>Ocean Somon ve Morina Kavunlu Mini Irk Köpek Maması 2,5 Kg</t>
  </si>
  <si>
    <t>Ancestral Grain Mini Puppy Kuzulu Yaban Mersinli Küçük Irk Düşük Tahıllı Yavru Köpek Maması 2,5</t>
  </si>
  <si>
    <t>Tropıcal Selectıon Somonlu Küçül Irk Yetişkin Köpek Maması 1,5 kg</t>
  </si>
  <si>
    <t>Ocean Balkabaklı Balık ve Karidesli Yavru Kedi maması 1.5</t>
  </si>
  <si>
    <t>Pumpkin Kuzu Yaban Mersini Kısırlaştırılmış Kedi Maması 1,5 Kg</t>
  </si>
  <si>
    <t>Ancestral Grain Tavuklu Narlı Düşük Tahıllı Kısırlaştırılmış Kedi Maması 1,5 Kg</t>
  </si>
  <si>
    <t>Prime Kitten Tavuklu Narlı Tahılsız Yavru Kedi Maması 1,5 Kg</t>
  </si>
  <si>
    <t>Ocean Pumpkin Balkabaklı Ringa Balıklı Portakallı Tahılsız Yetişkin Kedi Maması 1,5 Kg</t>
  </si>
  <si>
    <t>Ancestral Grain Kuzulu Yaban Mersinli Düşük Tahıllı Yetişkin Kedi Maması 1,5 Kg</t>
  </si>
  <si>
    <t>Tahılsız Tavuklu Narlı Kısırlaştırılmış Kedi Maması 1,5 Kg</t>
  </si>
  <si>
    <t>Karışık Kedi Konserve Maması (24 Adet)</t>
  </si>
  <si>
    <t>TYBKHNY9EJARO62U67</t>
  </si>
  <si>
    <t>Yavru Kediler Için Tavuklu Yaş Kedi Maması 26 Adet</t>
  </si>
  <si>
    <t>TYB1WRS9OVM51QUP63</t>
  </si>
  <si>
    <t>Ton Balıklı Yaş Kedi Maması 85 gr X 26 Adet</t>
  </si>
  <si>
    <t>TYBMPF8C5ET2JK1U31</t>
  </si>
  <si>
    <t>Somonlu Yaş Kedi Maması 26 Adet X 85 Gr.</t>
  </si>
  <si>
    <t>TYB186W8UY88IBPB09</t>
  </si>
  <si>
    <t>Sığır Etli 85 Gr. X 26 Adet Yaş Kedi Maması</t>
  </si>
  <si>
    <t>Fish Trio Menü Somonlu Ve Karidesli Yetişkin Kedi Konserve Yaş Maması 6 X 70 gr</t>
  </si>
  <si>
    <t>Kitten Tavuklu Yavru Kedi Maması 1.5 Kg</t>
  </si>
  <si>
    <t>HBCV0000CCFV8V</t>
  </si>
  <si>
    <t>Kitten Yavru Kedi Kuru Maması 400 gr 4 Adet</t>
  </si>
  <si>
    <t>8445291929555-2</t>
  </si>
  <si>
    <t>Purina Gold Karışık Kıyılmış Kedi Konservesi 85 gr X 16 Adet</t>
  </si>
  <si>
    <t>GRM16</t>
  </si>
  <si>
    <t>Gourmet Gold</t>
  </si>
  <si>
    <t>Kıyılmış Seri Kedi Konservesi 8 Adet*85 Gr</t>
  </si>
  <si>
    <t xml:space="preserve">8li Gourmet </t>
  </si>
  <si>
    <t>HBCV00002I29F3</t>
  </si>
  <si>
    <t>British Shorthair Yaş Kedi Maması 12 Adet x 85 gr</t>
  </si>
  <si>
    <t>HBCV000002HPAM</t>
  </si>
  <si>
    <t>Poodle Tüy Sağlığı Destekleyici Yetişkin Köpek Konservesi 85GR 12 Adet</t>
  </si>
  <si>
    <t>Köpek Konserve Maması</t>
  </si>
  <si>
    <t>TYBQK2EQEQKG0VVM31</t>
  </si>
  <si>
    <t>WOLF HEDİYELİ Mini Adult Küçük Irk Yetişkin Köpek Maması 8 Kg</t>
  </si>
  <si>
    <t>Proplan Sterilised Somon Kısır Kedi Maması 400 Gr*4 Adet</t>
  </si>
  <si>
    <t>VetEnergy</t>
  </si>
  <si>
    <t>Yavru ve Anne Kediler İçin Multivitamin Macun - Bağışıklık, Kemik ve Tüy Desteği - 100g</t>
  </si>
  <si>
    <t>VETENG2</t>
  </si>
  <si>
    <t>Malt Paste 100 g – Tüy Dökümü Önleyici, Tüy Yumağı Karşıtı, Sindirim Destekli Kedi Maltı</t>
  </si>
  <si>
    <t>VETENGMAL</t>
  </si>
  <si>
    <t>Sterilised Malt Macun 100gr (Kısırlaştırılmış Kediler için Tüy Yumağı Önleyici)</t>
  </si>
  <si>
    <t>VETENG1</t>
  </si>
  <si>
    <t>MultiVitamin Paste 100 g – 18’i 1 Arada Vitamin &amp; Mineral Destekli Kedi Macunu</t>
  </si>
  <si>
    <t>VETENG40</t>
  </si>
  <si>
    <t>Pouch Pure Delight Tavuklu Yetişkin Kedi Mama 24 X 85 G</t>
  </si>
  <si>
    <t>TYBFHZOSQJ51LV7127</t>
  </si>
  <si>
    <t>Felix Yavru Tavuklu Avantajlı Paket (4x85) Gr</t>
  </si>
  <si>
    <t>Felix Kedi Maması Sığır Etli ve Tavuklu Yavru Ekonomik Paket (4x85gr) X 12 Adet</t>
  </si>
  <si>
    <t>PetFix</t>
  </si>
  <si>
    <t>Anti-Servikal 4 Ayaklı Kedi ve Köpek Mama &amp; Su Kabı</t>
  </si>
  <si>
    <t>Yb1237</t>
  </si>
  <si>
    <t>Kedi ve Köpek Mama Su Kabı</t>
  </si>
  <si>
    <t>YB1235</t>
  </si>
  <si>
    <t>Yb1236</t>
  </si>
  <si>
    <t>TYBYANYA0A46XIAU46</t>
  </si>
  <si>
    <t>Wanpy</t>
  </si>
  <si>
    <t>Krema Kedi Ödül Maması 14gr (40 Adet) (Karışık Çeşitli)</t>
  </si>
  <si>
    <t>2'li Pabuçlu , Kedi ve Köpek Mama ve Su Kabı</t>
  </si>
  <si>
    <t>YB0PE</t>
  </si>
  <si>
    <t>4 Lezzet Karışık Krema Kedi Ödülü 50*14Gr</t>
  </si>
  <si>
    <t>Krema Kedi Ödül Maması 14gr (25 Adet) (Karışık Çeşitli)</t>
  </si>
  <si>
    <t>KLSWK</t>
  </si>
  <si>
    <t>TYB5K0NQHY75CLFI61</t>
  </si>
  <si>
    <t>Krema Kedi Ödül Maması 14gr (30 Adet) (Karışık Çeşitli)</t>
  </si>
  <si>
    <t>Kedi Sıvı Ödül Karma 25 Li X 4 Lü Eko Paket</t>
  </si>
  <si>
    <t>TYBJUIMGWO45LKI893</t>
  </si>
  <si>
    <t>Tasty Meat Paste Taze Sıvı Kedi Ödül Maması Kedi Ödül Maması 4x90gr</t>
  </si>
  <si>
    <t>4 Çeşit Karma Kedi Et Ezmesi 90 Gr. X 12 Adet</t>
  </si>
  <si>
    <t>TYBMY57X4LSPXU2735</t>
  </si>
  <si>
    <t>Krema Kedi Ödül Maması 14gr (45 Adet) (Karışık Çeşitli)</t>
  </si>
  <si>
    <t>TYB2J3PXXV73UG7N88</t>
  </si>
  <si>
    <t>Creamy Cat Treat Karışık Krema Sıvı Kedi Ödül Maması 14 gr X 10 Adet</t>
  </si>
  <si>
    <t>Hills Science Plan</t>
  </si>
  <si>
    <t>Hill’s SCIENCE PLAN Adult Medium Lamb &amp; Rice Orta Irk Kuzulu Yetişkin Köpek Maması 2,5 Kg</t>
  </si>
  <si>
    <t>TYBUPYD47K660EFG52</t>
  </si>
  <si>
    <t>Hills Sterilised Somon Kısır Kedi Maması 10 Kg</t>
  </si>
  <si>
    <t>Scıence Plan Somonlu Kısırlaştırılmış Yetişkin Kedi Maması 3 Kg</t>
  </si>
  <si>
    <t>Kitten Ton Balıklı Yavru Kedi Maması 1.5 Kg</t>
  </si>
  <si>
    <t>Hills Young Sterilised Tavuklu Kısırlaştırılmış Kedi Maması 1.5 Kg</t>
  </si>
  <si>
    <t>Hills Adult Optimal Care Tavuklu Yetişkin Kedi Maması 1.5 Kg</t>
  </si>
  <si>
    <t>Hill’s SCIENCE PLAN Sterilised Ördekli Kısırlaştırılmış Kedi Maması 1,5 Kg</t>
  </si>
  <si>
    <t>SCIENCE PLAN Ton Balıklı Yetişkin Kedi Maması 1,5 Kg</t>
  </si>
  <si>
    <t>Hill’s SCIENCE PLAN Adult Lamb Kuzulu Yetişkin Kedi Maması 1,5 Kg</t>
  </si>
  <si>
    <t>British Shorthair Adult Yetişkin Kedi Maması 2 Kg</t>
  </si>
  <si>
    <t>TYB2CQFXBF5JL18F84</t>
  </si>
  <si>
    <t>HPM</t>
  </si>
  <si>
    <t>Virbac Baby Small &amp; Toy 3 KG</t>
  </si>
  <si>
    <t>Mini Puppy Küçük Irklar Için Yavru Kuru Köpek Maması 2kg</t>
  </si>
  <si>
    <t>TYBC0ID0GDKC5CIT97</t>
  </si>
  <si>
    <t>British Shorthair Adult Kedi Kuru Maması 2 Kg</t>
  </si>
  <si>
    <t>TYBJBM8LYFYNJK3R08</t>
  </si>
  <si>
    <t>Gold Kıyılmış Hindi Etli Konserve Yetişkin Kedi Maması 12 x 85 G</t>
  </si>
  <si>
    <t>TYB10WDHHTYP18N968</t>
  </si>
  <si>
    <t>Purina Gold Kıyılmış Hindi Etli Konserve Yetişkin Kedi Maması 24 x 85 G</t>
  </si>
  <si>
    <t>Gold Kıyılmış Hindi Etli Konserve Yetişkin Kedi Maması 12 X 85 G</t>
  </si>
  <si>
    <t>Poodle Adult 3 kg</t>
  </si>
  <si>
    <t>RCN885855</t>
  </si>
  <si>
    <t>Poodle Yavru Köpek Maması 3kg</t>
  </si>
  <si>
    <t>Poodle Yetişkin Kuru Köpek Maması 3kg</t>
  </si>
  <si>
    <t>Ageıng 11+ 11 Yaş Ve Üzeri Kediler Için Kuru Kedi Maması 2kg</t>
  </si>
  <si>
    <t>7364872364627381</t>
  </si>
  <si>
    <t>Light Weight Care Yetişkin Diyet Kedi Maması 1.5 Kg</t>
  </si>
  <si>
    <t>TYB95ZFKN4QMOUFE28</t>
  </si>
  <si>
    <t>Sterilised 37 Kısırlaştırılmış Kedi Maması 10 Kg</t>
  </si>
  <si>
    <t>Persian Kitten Iran Yavru Kedi Maması 2 Kg</t>
  </si>
  <si>
    <t>TYBY2VBWUD3YYSJ560</t>
  </si>
  <si>
    <t>Sterilised37 Kısırlaştırılmış Yetişkin Kediler için Kuru Kedi Maması 10 kg</t>
  </si>
  <si>
    <t>Purina Kitten Tavuklu Yavru Kedi Maması 3 KG</t>
  </si>
  <si>
    <t>TYB9771GESJQWCAB60</t>
  </si>
  <si>
    <t>Karışık Kıyılmış Konserve Yetişkin Kedi Yaş Maması 24 X 85 gr</t>
  </si>
  <si>
    <t>TYB48E6K7S39UBYY86</t>
  </si>
  <si>
    <t>Felix Kedi Maması Somonlu &amp; Ton Balıklı Ekonomik Paket (4x85gr) X 12 Adet</t>
  </si>
  <si>
    <t>Purina Gold Kıyılmış Sığır Etli Kedi Yaş Maması 85 Gr 12 Adet</t>
  </si>
  <si>
    <t>Persian Yetişkin Iran Kedilerine Özel Mama 4 kg</t>
  </si>
  <si>
    <t>Ccn Dermacomfort Loaf Pate Pouch Küçük Irk Yetişkin Köpek Konservesi 12 Adet 85 Gr</t>
  </si>
  <si>
    <t>Chihuahua Kuru Köpek Maması 1.5kg</t>
  </si>
  <si>
    <t>Sensible33 Sindirim Hassasiyeti Olan Kediler Için Yetişkin Kuru Kedi Maması 15kg</t>
  </si>
  <si>
    <t>Instinctive Yaş Kedi Maması 12 x 85g</t>
  </si>
  <si>
    <t>Fransız Bulldog Yetişkin Kuru Köpek Maması 3kg</t>
  </si>
  <si>
    <t>Köpek Mama Pomeranian Köpek Konserve 12X85GR</t>
  </si>
  <si>
    <t>Sterilised Kısırlaştırılmış 7 Yaş Ve Üzeri Kediler Için Kuru Kedi Maması 1.5kg</t>
  </si>
  <si>
    <t>Indoor27 Yetişkin Kuru Kedi Maması 2kg</t>
  </si>
  <si>
    <t>Sterilised Jelly Kısırlaştırılmış Yetişkin Kedi Yaş Maması 85 Gr x 12</t>
  </si>
  <si>
    <t>Sterilised Kısırlaştırılmış 7 Yaş Ve Üzeri Kediler Için Kuru Kedi Maması 3.5kg</t>
  </si>
  <si>
    <t>Pomeranian Yetişkin Köpek Maması 1,5 kg Idili</t>
  </si>
  <si>
    <t>Yorkshire Terrier Yetişkin ve Yaşlılar Için Kuru Köpek Maması 1,5 kg</t>
  </si>
  <si>
    <t>Gravy Yavru Kedi Konservesi 85 gr 12 Adet</t>
  </si>
  <si>
    <t>Fussy Exigent Seçici Kediler Için Kuru Kedi Maması 2kg</t>
  </si>
  <si>
    <t>Hairball Tüy Yumağı Önleyici Yetişkin Kedi Maması 2 Kg</t>
  </si>
  <si>
    <t>Küçük Irklar Için Yetişkin Kuru Köpek Maması 2kg</t>
  </si>
  <si>
    <t>12'li Intense Beauty Kedi Maması 85 gr</t>
  </si>
  <si>
    <t>35RYCNN02</t>
  </si>
  <si>
    <t>Kitten Yavru Kediler Için Kuru Kedi Maması 4 kg</t>
  </si>
  <si>
    <t>Küçük Irklar için Yetişkin Yaş Köpek Maması 12 x 85g</t>
  </si>
  <si>
    <t>Orta Irklar Için Yaş Konserve Köpek Maması 410g</t>
  </si>
  <si>
    <t>TYBT0G6C7YR9R8WA07</t>
  </si>
  <si>
    <t>Orta Irklar için Yavru Yaş Köpek Maması 10 x 140g</t>
  </si>
  <si>
    <t>Medium Orta Irklar Için Yaş Köpek Maması 10 X 140g</t>
  </si>
  <si>
    <t>Maxi Adult Gravy Yetişkin Köpek Konservesi 10 Adet 140 Gr</t>
  </si>
  <si>
    <t>Medium Puppy Gravy Yavru Konserve Köpek Maması 140 Gr - 109801400 - Petshopundan</t>
  </si>
  <si>
    <t>TX89D7B71549005</t>
  </si>
  <si>
    <t>Sensory Taste Etli Soslu Kedi Konservesi 85 Gr</t>
  </si>
  <si>
    <t>Sensory Feel in Gravy Adult Yetişkin Kedi Konservesi 85 Gr</t>
  </si>
  <si>
    <t>TYB4UMVNPMYZ5M4L47</t>
  </si>
  <si>
    <t>Karışık Yetişkin Yaş Kedi Maması 85 Gr X 26 Adet</t>
  </si>
  <si>
    <t>86811374628K36</t>
  </si>
  <si>
    <t>Purina Gold Sığır Etli Yetişkin Kıyılmış Kedi Konserve 36 x 85 G</t>
  </si>
  <si>
    <t>20 Adet Karışık Kedi Yaş Maması</t>
  </si>
  <si>
    <t>Purina Karışık Kedi Yaş Maması 100 Adet</t>
  </si>
  <si>
    <t>Karışık Kedi Yaş Mama 28 Paket</t>
  </si>
  <si>
    <t>TYBJ6BLX4VD87YGF30</t>
  </si>
  <si>
    <t>Felix Sığır Etli Kedi Avantajlı Paket (4x85) Gr</t>
  </si>
  <si>
    <t>Junior Tavuklu Ve Sığır Etli Yaş Kedi Maması 12 Adet</t>
  </si>
  <si>
    <t>Sığır Etli Kısırlaştırılmış Kedi Maması 1,5 Kg</t>
  </si>
  <si>
    <t>TYB856DFX88QX8NH71</t>
  </si>
  <si>
    <t>Somonlu Kısırlaştırılmış Yetişkin Kedi Maması 1.6 Kg (800 GR X 2 ADET)</t>
  </si>
  <si>
    <t>Somonlu Kısırlaştırılmış Kedi Maması 1,5 Kg</t>
  </si>
  <si>
    <t>Steril Sığır Etli Kısırlaştırılmış Kedi Maması 800gr</t>
  </si>
  <si>
    <t>PKTSGRKSR1500X4</t>
  </si>
  <si>
    <t>Sterilised Sığır Etli Kısırlaştırılmış Kedi Maması 1,5 kgX4</t>
  </si>
  <si>
    <t>Kedi Konservesi Karışık (poşet) X 100 Adet X 85 Gr</t>
  </si>
  <si>
    <t>TYB6FA70RSFMWDH330</t>
  </si>
  <si>
    <t>Karışık Yaş Kedi Maması 85 gr X 52 Adet</t>
  </si>
  <si>
    <t>TYB63LE63X4TX1PQ37</t>
  </si>
  <si>
    <t>Hindili Kıyılmış 85 G X 24 Adet</t>
  </si>
  <si>
    <t>TYB1Q7CNXWNPS6MI83</t>
  </si>
  <si>
    <t>Karışık Yetişkin Yaş Kedi Maması 104 X 85 gr</t>
  </si>
  <si>
    <t>SHOPSBURG0109</t>
  </si>
  <si>
    <t>Karışık Yavru Kedi Yaş Maması 12 x 85 gr (6 Adet Tavuklu ve 6 Adet Sığır Etli)</t>
  </si>
  <si>
    <t>Karışık Paket Pouch Kedi Konservesi 26 x 85 gr</t>
  </si>
  <si>
    <t>TYBVYCTB5P95JXTS98</t>
  </si>
  <si>
    <t>Yavru Sığıretli Yaş Kedi Maması 26 Adet X 85 Gr. ( Yeni Paket)</t>
  </si>
  <si>
    <t>TYB7N6DXGDPRZMR507</t>
  </si>
  <si>
    <t>Tavuklu Yetişkin Yaş Kedi Maması 85 gr X 26 Adet</t>
  </si>
  <si>
    <t>Yenilenmiş Paketi Ile 32 Adet Karışık Yaş Kedi Maması</t>
  </si>
  <si>
    <t>Purina Gold Kıyılmış Sığır Etli Konserve Yetişkin Kedi Maması 24 x 85 G</t>
  </si>
  <si>
    <t>Gold Kıyılmış Tavuklu Kedi Konservesi 85 gr X 24 Adet</t>
  </si>
  <si>
    <t>Mother And Babycat 195 Gr Konserve 6 Adet</t>
  </si>
  <si>
    <t>Babycat 34 Yavru Kuru Kedi Maması 400 400 gr</t>
  </si>
  <si>
    <t>TYBBL117UNTJIWDS99</t>
  </si>
  <si>
    <t>Proplan kısır somonlu 4 kg (400gr x10 ).</t>
  </si>
  <si>
    <t>TYBM7WNP05FYPO2N47</t>
  </si>
  <si>
    <t>Proplan sterilised kısırlaştırılmış somonlu kedi maması 2 kg (5 adet 400 gr )</t>
  </si>
  <si>
    <t>Pro Plan Delicate Kuzu Etli Kedi Maması 3 Kg</t>
  </si>
  <si>
    <t>Sterilised 37 Kısırlaştırılmış Kedi Maması 2 x 400 gr</t>
  </si>
  <si>
    <t>TYBU1I428E06CX8C61</t>
  </si>
  <si>
    <t>Steril Kısırlaştırılmış Kedi Maması 400 Gr + 400 Gr</t>
  </si>
  <si>
    <t>British Shorthair Adult Yetişkin Kedi Maması 400 Gr</t>
  </si>
  <si>
    <t>Sterilised37 Kısırlaştırılmış Kediler Için Kuru Kedi Maması 400g</t>
  </si>
  <si>
    <t>Proplan Somonlu Kısırlaştırılmış Kedi Maması 10 Kg</t>
  </si>
  <si>
    <t>TYBEARUP9DCL4GKP78</t>
  </si>
  <si>
    <t>Kitten Yavru Kediler için Kuru Kedi Maması 2kg</t>
  </si>
  <si>
    <t>TYBN0I2N7ZYCJ6AA73</t>
  </si>
  <si>
    <t>Karışık Yaş Kedi Maması 52 x 85 G</t>
  </si>
  <si>
    <t>Kısırlaştırılmış Somonlu Kedi Maması 10 Kg</t>
  </si>
  <si>
    <t>Proline</t>
  </si>
  <si>
    <t>Proline Aktif Karbonlu Topaklanan Kedi Kumu 10 Lt X 2 Adet</t>
  </si>
  <si>
    <t>Hair&amp;skin Tüy Ve Deri Sağlığı Için Kuru Kedi Maması 2kg</t>
  </si>
  <si>
    <t>Catnip'li &amp; Zilli Yeşil Kaplumbağa Kedi Oyuncağı</t>
  </si>
  <si>
    <t>PTFXPLB</t>
  </si>
  <si>
    <t>Kedi Oyuncağı</t>
  </si>
  <si>
    <t>TROPİCAL SELECTİON KİTTEN (YAVRU) LAMB KUZU 1,5 KG</t>
  </si>
  <si>
    <t>Other</t>
  </si>
  <si>
    <t>Virbac Cat Dermatology Support 3kg Kedi Maması</t>
  </si>
  <si>
    <t>TYBK5EN736FAN2SC21</t>
  </si>
  <si>
    <t>Virbac Gastro (Digestive &amp; Support) Kedi Maması 3 KG</t>
  </si>
  <si>
    <t>8564256985143-1</t>
  </si>
  <si>
    <t>Zilli Peluş Kedi Oyun Eldiveni - Kedi Oyuncağı</t>
  </si>
  <si>
    <t>PTFXELKRM</t>
  </si>
  <si>
    <t>8564256985143-2</t>
  </si>
  <si>
    <t>PTFXELMAV</t>
  </si>
  <si>
    <t>TYBDGW8SUMC70X2C14</t>
  </si>
  <si>
    <t>Kıyılmış Ton Balıklı Kedi Konservesi 24x85gr</t>
  </si>
  <si>
    <t>Royal Canın Pug Puppy Yavru Köpek Maması 1,5 Kg</t>
  </si>
  <si>
    <t>TYBG3A06UBQ4T83Q25</t>
  </si>
  <si>
    <t>Persian Iran Kedi Maması 2 kg (V2)</t>
  </si>
  <si>
    <t>Mito</t>
  </si>
  <si>
    <t>La Adult Cat Tavuklu Yetişkin Kedi Maması 15 Kg</t>
  </si>
  <si>
    <t>TYBI5XAS7CC4FGRH07</t>
  </si>
  <si>
    <t>Veterinary Expert Neutered Satiety Balance Kedi Kuru Maması 1,5 kg (SKT:27.11.2026)</t>
  </si>
  <si>
    <t>Tropical Tavuklu Yetişkin Kedi Maması 1.5 kg</t>
  </si>
  <si>
    <t>Kuzu Ve Yaban Mersinli Yetişkin Kedi Maması 1,5 Kg</t>
  </si>
  <si>
    <t>Tropikal Selection Tavuklu Kısırlaştırılmış Yetişkin Kedi Maması 1,5 Kg</t>
  </si>
  <si>
    <t>Tropical Kuzulu Kısır Kedi Maması 1.5 Kg</t>
  </si>
  <si>
    <t>Prescription Diet Urinary Care C/d Multicare Stress Tavuklu Kedi Kuru Maması 1.5 kg</t>
  </si>
  <si>
    <t>Prescription Diet Gastrointestinal Biome Tavuklu Kedi Kuru Maması 3 Kg</t>
  </si>
  <si>
    <t>Hills Vet Essentials kedi maması adult weight 1,5kg Tuna Balıklı</t>
  </si>
  <si>
    <t>TYBZ7FB5W4WT441F11</t>
  </si>
  <si>
    <t>Virbac Adult Cat Salmon Neutered Entire 12kg Yeni</t>
  </si>
  <si>
    <t>TYBRLT0D4EIBAYNV66</t>
  </si>
  <si>
    <t>Virbac Adult Dog Small Toy Köpek Maması 3 kg</t>
  </si>
  <si>
    <t>Prescription Diet Digestive Care I/d Tavuklu Kedi Kuru Maması 3 Kg (:2027)</t>
  </si>
  <si>
    <t>TYBFYARTWVCLVH6U02</t>
  </si>
  <si>
    <t>Prescrıptıon Dıet C/d Multicare Kedi Maması 1.5 kg</t>
  </si>
  <si>
    <t>Prescription Diet Urinary, Stress, Metabolic C/d Tavuklu Kedi Kuru Maması 3 Kg</t>
  </si>
  <si>
    <t>Düşük Tahıllı Somonlu Kısırlaştırılmış Kedi Maması 10 kg</t>
  </si>
  <si>
    <t>Kong</t>
  </si>
  <si>
    <t>EXTREMEGOODİE BONEKEMİK ŞEKLİNDEÇOK AMAÇLIKÖPEKOYUNCAĞI ULTRASERT M</t>
  </si>
  <si>
    <t>EXTREMEÇOKLU TOPŞEKLİNDE KÖPEKOYUNCAĞI ULTRASERT L</t>
  </si>
  <si>
    <t>LOWSTUFF GÜLENSURAT DETAYLIPELUŞ KÖPEKOYUNCAĞI L</t>
  </si>
  <si>
    <t>DELİKLİTOP ŞEKLİNDEÇOK AMAÇLIKÖPEKOYUNCAĞI S</t>
  </si>
  <si>
    <t>JAXXBRİGHTS SANDVİÇŞEKLİNDE KÖPEKOYUNCAĞI M</t>
  </si>
  <si>
    <t>AİRDOGYUVARLAKŞEKİLDE SESLİKÖPEKOYUNCAĞI M/L</t>
  </si>
  <si>
    <t>GOODİERİBBON ÇOKLUTOP ŞEKLİNDEKÖPEKOYUNCAĞI S</t>
  </si>
  <si>
    <t>GOODİEBONE KEMİKŞEKLİNDE ÇOKAMAÇLI İPSALLANTILI KÖPEKOYUNCAĞI M</t>
  </si>
  <si>
    <t>REWARDSTİNKER KÖPEKLERİÇİN ÖDÜLMAMASIDAĞITMAOYUNCAĞI M/L</t>
  </si>
  <si>
    <t>KONGDURAMAX TOPŞEKLİNDE SESLİKÖPEKOYUNCAĞI M</t>
  </si>
  <si>
    <t>GOODİERİBBON ÇOKLUTOP ŞEKLİNDEKÖPEKOYUNCAĞI M</t>
  </si>
  <si>
    <t>KONGSİGNATURE STİCKÇUBUK ŞEKLİNDEKÖPEKOYUNCAĞI L</t>
  </si>
  <si>
    <t>GOODİERİBBON ÇOKLUTOP ŞEKLİNDEKÖPEKOYUNCAĞI L</t>
  </si>
  <si>
    <t>COMFORTJUMBO BİRDFLAMİNGOŞEKLİNDE PELUŞKÖPEKOYUNCAĞI XL</t>
  </si>
  <si>
    <t>QUESTSTAR ÇİÇEKŞEKLİNDE KÖPEKOYUNCAĞI S</t>
  </si>
  <si>
    <t>EXTREMEDENTAL DİŞTEMİZLİĞİSAĞLAYAN İPSALLANTILI KÖPEKOYUNCAĞI ULTRASERT M</t>
  </si>
  <si>
    <t>JAXXBRİGHTS SANDVİÇŞEKLİNDE İPUZANTILI KÖPEKOYUNCAĞI M</t>
  </si>
  <si>
    <t>EXTREMETOP ŞEKLİNDESESLİ VE İPSALLANTILI KÖPEKOYUNCAĞI ULTRASERT L</t>
  </si>
  <si>
    <t>KONGSİGNATURE STİCKÇUBUK ŞEKLİNDEKÖPEKOYUNCAĞI M</t>
  </si>
  <si>
    <t>DOTZTRİANGLE ÜÇGENŞEKLİNDE KÖPEKOYUNCAĞI L</t>
  </si>
  <si>
    <t>EXTREMEDENTAL DİŞTEMİZLİĞİSAĞLAYANKÖPEKOYUNCAĞI ULTRASERT L</t>
  </si>
  <si>
    <t>Köpek İpli Oyun Topu S 6,5Cm</t>
  </si>
  <si>
    <t>Köpek Ödülü</t>
  </si>
  <si>
    <t>Virbac Baby Pre Neutered Kuru Kedi Maması 3 kg</t>
  </si>
  <si>
    <t>TYB3I8IYNPC1Q2R874</t>
  </si>
  <si>
    <t>Virbac Adult Dog Small Toy Köpek Maması 7 kg</t>
  </si>
  <si>
    <t>8in1</t>
  </si>
  <si>
    <t>Delights Sığır Etli Köpek Ödül Kemiği XS 84gr</t>
  </si>
  <si>
    <t>Delights Bones Köpekler İçin Ağız Bakım Kemiği Large</t>
  </si>
  <si>
    <t>Delights Bones Köpekler İçin Ağız Bakım Pres Kemiği Large</t>
  </si>
  <si>
    <t>Delights Bones Biftekli Köpekler İçin Sticks</t>
  </si>
  <si>
    <t>Delights Köpekler için Tavuklu Çiğneme Topu (S) 4 Adet Luxury</t>
  </si>
  <si>
    <t>8 In 1 Delights Sticks Tavuklu Köpek Kemik Ödülü 1 Adet-Stick-3x75 Gr</t>
  </si>
  <si>
    <t>Smart Delights Duck Spirals Ördekli Burgu Köpek Ödülü 6lı</t>
  </si>
  <si>
    <t>Köpek Kemiği</t>
  </si>
  <si>
    <t>Delights Bones Köpekler İçin Ağız Bakım Kemiği Small</t>
  </si>
  <si>
    <t>B1285899881</t>
  </si>
  <si>
    <t>8 in 1 Delights Beef Bone Biftekli Düğümlü Köpek Ödül Kemik S (35g)</t>
  </si>
  <si>
    <t>TYBFWI85NQYDTGR780</t>
  </si>
  <si>
    <t>Delights Köpekler Için Biftekli Ödül Çubuğu 190 Gr X 2 Adet</t>
  </si>
  <si>
    <t>Animonda</t>
  </si>
  <si>
    <t>Wom Feınsten Kedi Konservesi 100 Gr 12 Adet Karışık</t>
  </si>
  <si>
    <t>TYBBAP7AE4W8EI0838</t>
  </si>
  <si>
    <t>Virbac Adult Neutered&amp;Entire Salmon Somonlu Kısır Kedi Maması 3 kg</t>
  </si>
  <si>
    <t>TYBQ6K8LH766VG2M78</t>
  </si>
  <si>
    <t>Virbac Adult Neutered Cat Kısır Kedi Maması 3 KG</t>
  </si>
  <si>
    <t>H22HBCV000075VENA</t>
  </si>
  <si>
    <t>Orqinel</t>
  </si>
  <si>
    <t>Virbac Adult Cat Salmon Neutered &amp; Entire 7 kg</t>
  </si>
  <si>
    <t>Prescription Diet Urinary Care C/d Multicare Tavuklu Kedi Kuru Maması 3 Kg</t>
  </si>
  <si>
    <t>TYB40O96UICAMJJL93</t>
  </si>
  <si>
    <t>Planpro Plan Sterilesed Kısır Kediler Için Tavuklu Ve Hindili Kedi Maması 3 Kg</t>
  </si>
  <si>
    <t>TYBXN422TFQWIK3821</t>
  </si>
  <si>
    <t>Babycat Milk Yavru Kedi Süt Tozu Seti 300gr</t>
  </si>
  <si>
    <t>Yavru Kedi Bakım Ürünü</t>
  </si>
  <si>
    <t>Light Weight Care Diyet Kedi Maması 1,5 Kg</t>
  </si>
  <si>
    <t>Ageing +12 Gravy Yaşlı Kedi 85 Gr X 12 Adet</t>
  </si>
  <si>
    <t>09003579311660X6</t>
  </si>
  <si>
    <t>Mother &amp; Babycat Anne Hamile Ve Yavru Kediler Için Konserve Kıyılmış Pate Yaş Mama 195 G</t>
  </si>
  <si>
    <t>Gravy Ageing +12 Kedi Yaş Mama 85 Gr. X 24 Adet</t>
  </si>
  <si>
    <t>Sterilised Soslu Yaş Kedi Maması 85 Gr X 6 Adet</t>
  </si>
  <si>
    <t>Supreme Cat</t>
  </si>
  <si>
    <t>Ördek &amp; Somon Kıyılmış Konserve Kedi Yaş Maması 85 gr</t>
  </si>
  <si>
    <t>TYBR84FW8PZN0VMT75</t>
  </si>
  <si>
    <t>Ton Balığı Parça Etli Konserve Kedi Yaş Maması 85 gr</t>
  </si>
  <si>
    <t>Karışık Parça Etli Konserve Kedi Yaş Maması 85 gr</t>
  </si>
  <si>
    <t>TYB0E7Z1V7YN95FX85</t>
  </si>
  <si>
    <t>Ton Balığı &amp; Karides Parça Etli Konserve Kedi Yaş Maması 85 gr</t>
  </si>
  <si>
    <t>Karışık Kıyılmış Konserve Kedi Yaş Maması 85gr</t>
  </si>
  <si>
    <t>6923632570212-1</t>
  </si>
  <si>
    <t>2si 1 arada Yeni Nesil Mama ve Su Kabı</t>
  </si>
  <si>
    <t>Persian Kedi Kuru Maması 10 kg</t>
  </si>
  <si>
    <t>YB-012</t>
  </si>
  <si>
    <t>6923632570229-1</t>
  </si>
  <si>
    <t>YB-020-1</t>
  </si>
  <si>
    <t>6923632570229-2</t>
  </si>
  <si>
    <t>YB-020-2</t>
  </si>
  <si>
    <t>YB-020</t>
  </si>
  <si>
    <t>Kitten Yavru Kedi Maması 400 400 gr</t>
  </si>
  <si>
    <t>K973TEWG6YHWS</t>
  </si>
  <si>
    <t>CMT</t>
  </si>
  <si>
    <t>Köpek Diş Fırçası Isırma Aparatı Diş Kaşıma Oyuncağı Küçük Boy</t>
  </si>
  <si>
    <t>Urinary S/O Kedi Maması 7 Kg</t>
  </si>
  <si>
    <t>2in1 Otomatik Kedi &amp; Köpek Mama ve Su Kabı</t>
  </si>
  <si>
    <t>6923632570205-2</t>
  </si>
  <si>
    <t>6923632570205-1</t>
  </si>
  <si>
    <t>6923632570250-2</t>
  </si>
  <si>
    <t>4 Litre Yarı-Otomatik Kedi ve Köpek Mama Kabı</t>
  </si>
  <si>
    <t>YB-025</t>
  </si>
  <si>
    <t>6923632570250-3</t>
  </si>
  <si>
    <t>4 Litre Yarı-Otomatik Kedi ve Köpek Su Kabı</t>
  </si>
  <si>
    <t>YB-026</t>
  </si>
  <si>
    <t>6923632570267-1</t>
  </si>
  <si>
    <t>YB-026-1</t>
  </si>
  <si>
    <t>6923632570359-2</t>
  </si>
  <si>
    <t>15° Eğimli Anti-Servikal Kedi ve Köpek Mama ve Su Kabı</t>
  </si>
  <si>
    <t>YB-035-3</t>
  </si>
  <si>
    <t>YB-035</t>
  </si>
  <si>
    <t>6923632570359-1</t>
  </si>
  <si>
    <t>YB-035-2</t>
  </si>
  <si>
    <t>TYB11GXMISIZ4T9D70</t>
  </si>
  <si>
    <t>Elioure</t>
  </si>
  <si>
    <t>Gastrointestinal Kedi Pouch- 5 Li</t>
  </si>
  <si>
    <t>MAMAKABI001</t>
  </si>
  <si>
    <t>Güler Yüzlü Tekli Paslanmaz Çelik Kedi ve Köpek Mama Kabı</t>
  </si>
  <si>
    <t>TYB2K1WENWNXXA9X56</t>
  </si>
  <si>
    <t>justie pet</t>
  </si>
  <si>
    <t>4'Ü 1 Arada Pencere Ekran Temizleyici Fırça Pencere Sileceği Tüy Toplama Kedi Tüy Toplama</t>
  </si>
  <si>
    <t>Temizlik Fırçası ve Süpürge</t>
  </si>
  <si>
    <t>Hills Digestive Care I/d Kedi Maması</t>
  </si>
  <si>
    <t>H90052742042084</t>
  </si>
  <si>
    <t>Prescription Diet Gastrointestinal Biome Digestive/fibre Care Tavuklu Kedi Kuru Maması 3 Kg</t>
  </si>
  <si>
    <t>Vet Essentials Adult Weight Cat Food 3 kg</t>
  </si>
  <si>
    <t>Veterinary Urinary S/O Uriner Kedi Kuru Maması 7 kg (SKT: 21.11.2026)</t>
  </si>
  <si>
    <t>KR898474911</t>
  </si>
  <si>
    <t>Neutered Satiety Balance 3.5kg</t>
  </si>
  <si>
    <t>TYBGJMJZNYV022LQ14</t>
  </si>
  <si>
    <t>Mother&amp;Babycat Yaş Yavru Ve Gebe Anne Kedi Maması 195 Gr. 12 Adet CB12696</t>
  </si>
  <si>
    <t>25023046RCA</t>
  </si>
  <si>
    <t>Hypoallergenic royal canin kedi 2.5kg</t>
  </si>
  <si>
    <t>KR898474870</t>
  </si>
  <si>
    <t>Royal Canın Gastrointestinal Kedi Maması 2 Kg</t>
  </si>
  <si>
    <t>TYBXUH70SS7NUO1L44</t>
  </si>
  <si>
    <t>Veterinary Urinary S/O Kedi Kuru Maması 1,5 KG</t>
  </si>
  <si>
    <t>KR898475008</t>
  </si>
  <si>
    <t>Neutered Satiety Balance Kısırlaştırılmış Kedi Maması 12 Kg</t>
  </si>
  <si>
    <t>SHZI001</t>
  </si>
  <si>
    <t>Shzi</t>
  </si>
  <si>
    <t>Krema Kedi Ödül Maması 16gr (45 Adet) (3 Lezzetli)</t>
  </si>
  <si>
    <t>Persian Adult İran Yetişkin Kedi Maması 10 Kg</t>
  </si>
  <si>
    <t>Sterilised Kısırlaştırılmış Yavru Kediler Için Kuru Kedi Maması 2kg</t>
  </si>
  <si>
    <t>Fussy Exigent Seçici Kediler Için Kuru Kedi Maması 4kg</t>
  </si>
  <si>
    <t>Büyük Irklar Için Yavru Kuru Köpek Maması 15kg</t>
  </si>
  <si>
    <t>Fussy Exigent Seçici Kediler Için Kuru Kedi Maması 10kg</t>
  </si>
  <si>
    <t>Yorkshire Terrier Junior Yavru Köpek Maması 1.5 Kg</t>
  </si>
  <si>
    <t>Siamese Adult Yetişkin Siyam Kedisi Maması 2 Kg</t>
  </si>
  <si>
    <t>Shih Tzu Puppy Özel Irk Yavru Köpek Maması 1,5 kg (:03/2025) - Petshopundan</t>
  </si>
  <si>
    <t>Cavalier King Charles Puppy Yavru Köpek Kuru Maması 1,5 Kg</t>
  </si>
  <si>
    <t>PX-RMBGRI</t>
  </si>
  <si>
    <t>SupCool Kedi Ve Köpek Plastik Taşıma Çantası</t>
  </si>
  <si>
    <t>Kedi ve Köpek Taşıma Çantası</t>
  </si>
  <si>
    <t>PX-RMBLAC</t>
  </si>
  <si>
    <t>PX-RMBPEM</t>
  </si>
  <si>
    <t>PX-RMBYES</t>
  </si>
  <si>
    <t>PX-RMBTUR</t>
  </si>
  <si>
    <t>PX-RMBSIY</t>
  </si>
  <si>
    <t>Proplan Delicate Hassas Sindirim Sistemi Kedi Konserve 85gr 12'li</t>
  </si>
  <si>
    <t>Miamor</t>
  </si>
  <si>
    <t>Cream 4 Çeşit Kedi Kreaması 6 x 15 Gr. 4 Lü Paket</t>
  </si>
  <si>
    <t>TYBNWLSBYFQNY4SV00</t>
  </si>
  <si>
    <t>Medium Puppy 15kg Puppy Junior Orta Irk Yavru Köpek Maması</t>
  </si>
  <si>
    <t>Medıum Adult Orta Irklar Için Yetişkin Kuru Köpek Maması 15 Kg</t>
  </si>
  <si>
    <t>ACB0300615000</t>
  </si>
  <si>
    <t>Maxi Puppy Büyük Irk Yavru Köpek Maması 15 Kg</t>
  </si>
  <si>
    <t>TYBNRZPYIF62SXCQ43</t>
  </si>
  <si>
    <t>Maxi Adult 15 kg</t>
  </si>
  <si>
    <t>Maxi Adult Büyük Irklar Için Yetişkin Kuru Köpek Maması 15 Kg</t>
  </si>
  <si>
    <t>TYB2K1SGFGO301J268</t>
  </si>
  <si>
    <t>Junior Tavuklu Yavru Kedi Konservesi 85gr X 24adet</t>
  </si>
  <si>
    <t>Proplan Sterilised Somon Kısır Kedi Konservesi 85 Gr X 12 Adet Yaş Mama</t>
  </si>
  <si>
    <t>Hydra Care Kediler İçin Su Alımını Destekleyici Besin Takviyesi 10x85gr</t>
  </si>
  <si>
    <t>Junior Tavuklu Yavru Kedi Konservesi 85 Gr X 12 Adet</t>
  </si>
  <si>
    <t>Baby Kitten Yavru Kedi Ve Emziren Anne Yaş Kedi Maması 85 Gr. X 24 Adet</t>
  </si>
  <si>
    <t>TYB3VN9XX65LIUL871</t>
  </si>
  <si>
    <t>Sterilised Somonlu Kısırlaştırılmış Kedi Konservesi 85 Gr X 24 Adet</t>
  </si>
  <si>
    <t>TRD220318011</t>
  </si>
  <si>
    <t>REVELATIONS Karışık Yaş Kedi Maması 114 g X 8 Adet</t>
  </si>
  <si>
    <t>TYBM82Z5G9IUUW2U93</t>
  </si>
  <si>
    <t>Gold Kıyılmış Ton Balıklı Kedi Konservesi 24x85gr</t>
  </si>
  <si>
    <t>Sterilised Gravy Kısırlaştırılmış Yetişkin Kedi Yaş Maması 85 Gr x 12</t>
  </si>
  <si>
    <t>Mother&amp;babycat Gebe/laktasyondaki Anne Ve Yavru Kedi Için Kedi Konservesi 195g</t>
  </si>
  <si>
    <t>TYBYQ5T2ZP29CAXH20</t>
  </si>
  <si>
    <t>Konserve Yetişkin Kedi Maması 24 Adet Karma Paket</t>
  </si>
  <si>
    <t>Variety Karma Yetişkin Kedi Konserve Paketi 6 al 5 ÖDE Mix 85gr x 6 Adet</t>
  </si>
  <si>
    <t>Karışık Konserve Yetişkin Kedi Maması 12 X 85 G</t>
  </si>
  <si>
    <t>Moderna</t>
  </si>
  <si>
    <t>Eden Trendy Kapalı Tuvalet 50 Cm U 50 x G 39,1 x Y 38,9 cm</t>
  </si>
  <si>
    <t>Kedi Tuvaleti</t>
  </si>
  <si>
    <t>Hipoalerjenik Küçük Irk Somonlu Yetişkin Köpek Maması 1,5Kg</t>
  </si>
  <si>
    <t>Trendy Trendy Kedi Tuvaleti - 57CM</t>
  </si>
  <si>
    <t>Trendy Midye Desenli Kapalı Kedi Tuvaleti Beyaz/Lacivert 57 Cm</t>
  </si>
  <si>
    <t>Smart Su Kabı 1.5 lt Sarı</t>
  </si>
  <si>
    <t>TYBZCSQ5787DOWDV35</t>
  </si>
  <si>
    <t>Smart Saklamalı Mama Kabı 1.5 lt Sarı</t>
  </si>
  <si>
    <t>Flexi</t>
  </si>
  <si>
    <t>New Comfort Açık Mavi Otomatik Kedi Köpek Gezdirme Tasması</t>
  </si>
  <si>
    <t>Köpek Tasması</t>
  </si>
  <si>
    <t>Style Rose Şerit 5 Metre Medium Gezdirme Tasması</t>
  </si>
  <si>
    <t>Chuckit</t>
  </si>
  <si>
    <t>! Ultra Squeaker Sesli Köpek Oyun Halkası</t>
  </si>
  <si>
    <t>! Ultra Bumper Tug Köpek Çekiştirme Oyuncağı</t>
  </si>
  <si>
    <t>! Fetch Medley 3'lü Köpek Oyun Topu Seti</t>
  </si>
  <si>
    <t>Sport Ball 26l Fırlatmalı Köpek Oyuncağı 66 Cm</t>
  </si>
  <si>
    <t>! Erratic Ball Köpek Oyun Topu Büyük Boy</t>
  </si>
  <si>
    <t>! The Whistler 2'li Köpek Oyun Topu Orta Boy</t>
  </si>
  <si>
    <t>! Air Fetch Football Köpek Oyun Topu</t>
  </si>
  <si>
    <t>Küçük Irklar için Yavru Yaş Köpek Maması 12 x 85g</t>
  </si>
  <si>
    <t>Poodle Yaş Köpek Maması 12 x 85g</t>
  </si>
  <si>
    <t>Maltese Bichon Maltais Köpek Maması 1.5 kg</t>
  </si>
  <si>
    <t>Mini Sterilised Yetişkin Kısırlaştırılmış Köpek Maması 3 Kg</t>
  </si>
  <si>
    <t>Mini Adult Küçük Irklar Için Yetişkin Kuru Köpek Maması 4kg</t>
  </si>
  <si>
    <t>Mını Puppy Küçük Irklar Için Yavru Kuru Köpek Maması 4kg</t>
  </si>
  <si>
    <t>Mini Adult Köpek Maması 8kg CB12321</t>
  </si>
  <si>
    <t>Pomeranian Kuru Köpek Maması 3kg</t>
  </si>
  <si>
    <t>Urinary Kuru Kedi Maması 3.5 kg</t>
  </si>
  <si>
    <t>Sterilised37 Kısırlaştırılmış Yetişkin Kedi Maması 4 Kg</t>
  </si>
  <si>
    <t>Kıttenyavru Kediler Için Kuru Kedi Maması 4kg</t>
  </si>
  <si>
    <t>Kitten Yavru Kediler Için Kuru Kedi Maması 2kg</t>
  </si>
  <si>
    <t>Mother&amp;babycat Gebe/laktasyondaki Anne Ve Yavru Kedi Için Kuru Kedi Maması 4kg</t>
  </si>
  <si>
    <t>Sterilised37 Kısırlaştırılmış Kediler için Kuru Kedi Maması 2 Kg</t>
  </si>
  <si>
    <t>Sensible 33 Hassas Sindirim Sistemi Destekleyici Kedi Maması 4kg</t>
  </si>
  <si>
    <t>Sterilised37 Kısırlaştırılmış Kediler için Kuru Kedi Maması 15 Kg</t>
  </si>
  <si>
    <t>Sensible33 Sindirim Hassasiyeti Olan Kediler Için Yetişkin Kuru Kedi Maması 2kg</t>
  </si>
  <si>
    <t>Yavru Kediler Için Kuru Kedi Maması 10kg</t>
  </si>
  <si>
    <t>Fit 32 Yetişkin Kuru Kedi Maması 2kg</t>
  </si>
  <si>
    <t>British Shorthair Için Kuru Kedi Maması 4kg</t>
  </si>
  <si>
    <t>British Shorthair Kitten 2kg Yavru Kedi Kuru Maması</t>
  </si>
  <si>
    <t>Kitten Yavru Kediler Için Kuru Kedi Maması 400g</t>
  </si>
  <si>
    <t>Fit 32 Kedi Maması 4 kg</t>
  </si>
  <si>
    <t>Fit32 Yetişkin Kuru Kedi Maması 400g</t>
  </si>
  <si>
    <t>Sensible 33 Hassas Sindirim Sistemi Destekleyici Yetişkin Kedi Maması 400 Gr</t>
  </si>
  <si>
    <t>Kitten Yavru Kedi Maması 2 Kg Orijinal Paket Orijinal Lezzet</t>
  </si>
  <si>
    <t>Sterilised 37 Kısırlaştırılmış Yetişkin Kedi Maması 15 Kg</t>
  </si>
  <si>
    <t>Purina Gourmet Gold Karışık Kedi Konservesi 85 gr X 24 Adet</t>
  </si>
  <si>
    <t>Sterilised Kısırlaştırılmış Somonlu Kedi Maması 10 KG</t>
  </si>
  <si>
    <t>Kısırlaştırılmış Somonlu Kuru Kedi Maması 3 Kg</t>
  </si>
  <si>
    <t>Satış Fiyatı</t>
  </si>
  <si>
    <t>Stok</t>
  </si>
  <si>
    <t>Onay Durumu</t>
  </si>
  <si>
    <t>ÜRÜN İSMİ</t>
  </si>
  <si>
    <t>BARKOD</t>
  </si>
  <si>
    <t>SATICI STOK KODU</t>
  </si>
  <si>
    <t>BEDEN</t>
  </si>
  <si>
    <t>MODEL KODU</t>
  </si>
  <si>
    <t>KATEGORİ</t>
  </si>
  <si>
    <t>MARKA</t>
  </si>
  <si>
    <t>STOK</t>
  </si>
  <si>
    <t>1.Fiyat Alt Limit</t>
  </si>
  <si>
    <t>2.Fiyat Üst Limiti</t>
  </si>
  <si>
    <t>2.Fiyat Alt Limit</t>
  </si>
  <si>
    <t>3.Fiyat Üst Limiti</t>
  </si>
  <si>
    <t>3.Fiyat Alt Limit</t>
  </si>
  <si>
    <t>4.Fiyat Üst Limiti</t>
  </si>
  <si>
    <t>1.KOMİSYON</t>
  </si>
  <si>
    <t>2.KOMİSYON</t>
  </si>
  <si>
    <t>3.KOMİSYON</t>
  </si>
  <si>
    <t>4.KOMİSYON</t>
  </si>
  <si>
    <t>KOMİSYONA ESAS FİYAT</t>
  </si>
  <si>
    <t>GÜNCEL KOMİSYON</t>
  </si>
  <si>
    <t>GÜNCEL TSF</t>
  </si>
  <si>
    <t>YENİ TSF (FİYAT GÜNCELLE)</t>
  </si>
  <si>
    <t>Hesaplanan Komisyon</t>
  </si>
  <si>
    <t>Tarife Sonuna Kadar Uygula</t>
  </si>
  <si>
    <t>Hayır</t>
  </si>
  <si>
    <t>ergrthetydn</t>
  </si>
  <si>
    <t>wfergferg1541654</t>
  </si>
  <si>
    <t>klasmama40w</t>
  </si>
  <si>
    <t>HK03590</t>
  </si>
  <si>
    <t>FC11</t>
  </si>
  <si>
    <t>copy7613033635571</t>
  </si>
  <si>
    <t>Wanpy997</t>
  </si>
  <si>
    <t>Proplan Kısır somonlu kedi maması</t>
  </si>
  <si>
    <t>felix100</t>
  </si>
  <si>
    <t>dop9871409igo</t>
  </si>
  <si>
    <t>ALGP02</t>
  </si>
  <si>
    <t>106-0044</t>
  </si>
  <si>
    <t>106-0010</t>
  </si>
  <si>
    <t>Proplan-T</t>
  </si>
  <si>
    <t>klasmama10w</t>
  </si>
  <si>
    <t>106-0016</t>
  </si>
  <si>
    <t>TYCL2CTSNN170005526308822</t>
  </si>
  <si>
    <t>GourmetGoldKıyılmışKarışık</t>
  </si>
  <si>
    <t>610-60884</t>
  </si>
  <si>
    <t>106-0009</t>
  </si>
  <si>
    <t>grmtgldkrsk</t>
  </si>
  <si>
    <t>TYC00042033532</t>
  </si>
  <si>
    <t>PND1000029</t>
  </si>
  <si>
    <t>TYCV47Y6QN170543302011908</t>
  </si>
  <si>
    <t>şlsfvmkdfmbvlkdmfbklmd</t>
  </si>
  <si>
    <t>9003579311295_rollback_1749822933367</t>
  </si>
  <si>
    <t>asker</t>
  </si>
  <si>
    <t>flc-013</t>
  </si>
  <si>
    <t>ergergrtbhrtvs</t>
  </si>
  <si>
    <t>106-0037</t>
  </si>
  <si>
    <t>JUNIORMP12</t>
  </si>
  <si>
    <t>yaş kedi maması</t>
  </si>
  <si>
    <t>SNY-1170</t>
  </si>
  <si>
    <t>ver654gve65r4g</t>
  </si>
  <si>
    <t>klasmamaw30</t>
  </si>
  <si>
    <t>prn-gourmet05</t>
  </si>
  <si>
    <t>223-922081</t>
  </si>
  <si>
    <t>fsprp0</t>
  </si>
  <si>
    <t>PatiGross.PND420001</t>
  </si>
  <si>
    <t>hindi24</t>
  </si>
  <si>
    <t>KY.13312</t>
  </si>
  <si>
    <t>B-0130.</t>
  </si>
  <si>
    <t>5060255492192_2</t>
  </si>
  <si>
    <t>HBCV000053QYGT</t>
  </si>
  <si>
    <t>fwfwrgergrtghtr</t>
  </si>
  <si>
    <t>gourmet-karışıkx24</t>
  </si>
  <si>
    <t>ep210420241807</t>
  </si>
  <si>
    <t>HBCV000004UKSO</t>
  </si>
  <si>
    <t>HBCV00002XXS49</t>
  </si>
  <si>
    <t>B08L6MJZYB</t>
  </si>
  <si>
    <t>copy7613035614482</t>
  </si>
  <si>
    <t>TYC9A54830CDDB54F7FF9F100</t>
  </si>
  <si>
    <t>top140251</t>
  </si>
  <si>
    <t>boomwanpykedisıvıkapak</t>
  </si>
  <si>
    <t>FSGGKAS</t>
  </si>
  <si>
    <t>dreamsödülmix</t>
  </si>
  <si>
    <t>FLC-024</t>
  </si>
  <si>
    <t>102452512-48653</t>
  </si>
  <si>
    <t>20000041025165TY</t>
  </si>
  <si>
    <t>LU.06013</t>
  </si>
  <si>
    <t>123-0024</t>
  </si>
  <si>
    <t>FL-T1</t>
  </si>
  <si>
    <t>110-0008</t>
  </si>
  <si>
    <t>7613031380992-24</t>
  </si>
  <si>
    <t>119-0184</t>
  </si>
  <si>
    <t>TYC1F3FA6F0ABC6C00</t>
  </si>
  <si>
    <t>Wanpy320</t>
  </si>
  <si>
    <t>PROPLAN-STERIL-SOMON-85GR</t>
  </si>
  <si>
    <t>prj001</t>
  </si>
  <si>
    <t>106-0051</t>
  </si>
  <si>
    <t>LU.06016</t>
  </si>
  <si>
    <t>regergetgbertbr</t>
  </si>
  <si>
    <t>fea-892017</t>
  </si>
  <si>
    <t>copy4008429056710</t>
  </si>
  <si>
    <t>223-922073</t>
  </si>
  <si>
    <t>ALGK36</t>
  </si>
  <si>
    <t>ekoyerlıfelicia</t>
  </si>
  <si>
    <t>FC221212</t>
  </si>
  <si>
    <t>cwergerthrtj</t>
  </si>
  <si>
    <t>Proplan027</t>
  </si>
  <si>
    <t>P45S6027</t>
  </si>
  <si>
    <t>605980_CD MULTISTRESS KEDI 1,5KG</t>
  </si>
  <si>
    <t>mam6904</t>
  </si>
  <si>
    <t>KE-YM-RC-011</t>
  </si>
  <si>
    <t>H6HBCV00002XXS4Z</t>
  </si>
  <si>
    <t>607461 3r</t>
  </si>
  <si>
    <t>HBCV000063A0YB</t>
  </si>
  <si>
    <t>TYC3CE3803A4F81A00</t>
  </si>
  <si>
    <t>610-607655</t>
  </si>
  <si>
    <t>Karışık felixlunama</t>
  </si>
  <si>
    <t>LY.01321</t>
  </si>
  <si>
    <t>flc-012</t>
  </si>
  <si>
    <t>123-0061</t>
  </si>
  <si>
    <t>119-0012</t>
  </si>
  <si>
    <t>ST05688</t>
  </si>
  <si>
    <t>dop6990321igo1</t>
  </si>
  <si>
    <t>BUNDLE00009</t>
  </si>
  <si>
    <t>KLSWKK</t>
  </si>
  <si>
    <t>P538S4608</t>
  </si>
  <si>
    <t>119-0166</t>
  </si>
  <si>
    <t>323765g</t>
  </si>
  <si>
    <t>H6HBCV00005WEIB3</t>
  </si>
  <si>
    <t>H9HBCV00006KTYKG</t>
  </si>
  <si>
    <t>TXFEFC14BE396</t>
  </si>
  <si>
    <t>HBCV00004QN7YD-02</t>
  </si>
  <si>
    <t>610-608886-P</t>
  </si>
  <si>
    <t>WHS8528</t>
  </si>
  <si>
    <t>5dab-48</t>
  </si>
  <si>
    <t>Schesir071</t>
  </si>
  <si>
    <t>106-0036</t>
  </si>
  <si>
    <t>HBCV00005DJKRW</t>
  </si>
  <si>
    <t>KD8SH5LA</t>
  </si>
  <si>
    <t>Schesir072</t>
  </si>
  <si>
    <t>106-0039</t>
  </si>
  <si>
    <t>TYC5E52D7B09265C00</t>
  </si>
  <si>
    <t>76130356138981TY</t>
  </si>
  <si>
    <t>1YB13</t>
  </si>
  <si>
    <t>copy7613287487636</t>
  </si>
  <si>
    <t>10279941584trkyptshp</t>
  </si>
  <si>
    <t>FLX-KK-100</t>
  </si>
  <si>
    <t>boomrylcnnbabaycatmilk</t>
  </si>
  <si>
    <t>Miamor105</t>
  </si>
  <si>
    <t>HV14526891</t>
  </si>
  <si>
    <t>4048422122623-2</t>
  </si>
  <si>
    <t>4002064412870-</t>
  </si>
  <si>
    <t>T22898</t>
  </si>
  <si>
    <t>KY.18135</t>
  </si>
  <si>
    <t>32ky</t>
  </si>
  <si>
    <t>dop13467076igo</t>
  </si>
  <si>
    <t>XS</t>
  </si>
  <si>
    <t>K1WWNWC7HZ</t>
  </si>
  <si>
    <t>boomschesir24</t>
  </si>
  <si>
    <t>Urun adi</t>
  </si>
  <si>
    <t>Satis fiyati</t>
  </si>
  <si>
    <t>Liste fiyati</t>
  </si>
  <si>
    <t>Onay durumu</t>
  </si>
  <si>
    <t>Guncellenme tarihi</t>
  </si>
  <si>
    <t>Urun linki</t>
  </si>
  <si>
    <t>Content ID</t>
  </si>
  <si>
    <t>Product Main ID</t>
  </si>
  <si>
    <t>Variant ID</t>
  </si>
  <si>
    <t>Buybox sirasi</t>
  </si>
  <si>
    <t>Buybox fiyati</t>
  </si>
  <si>
    <t>2. Buybox fiyati</t>
  </si>
  <si>
    <t>3. Buybox fiyati</t>
  </si>
  <si>
    <t>Coklu satici var mi</t>
  </si>
  <si>
    <t>Buybox durumu</t>
  </si>
  <si>
    <t>Komisyon orani %</t>
  </si>
  <si>
    <t>Komisyon hesaplanan fiyat</t>
  </si>
  <si>
    <t>Musterinin gordugu fiyat</t>
  </si>
  <si>
    <t>Onayli</t>
  </si>
  <si>
    <t>https://www.trendyol.com/abc/xyz-p-4638429?&amp;merchantId=1156908&amp;filterOverPriceListings=false</t>
  </si>
  <si>
    <t>Buybox bilgisi var</t>
  </si>
  <si>
    <t>https://www.trendyol.com/abc/xyz-p-750142?&amp;merchantId=1156908&amp;filterOverPriceListings=false</t>
  </si>
  <si>
    <t>https://www.trendyol.com/abc/xyz-p-2269242?&amp;merchantId=1156908&amp;filterOverPriceListings=false</t>
  </si>
  <si>
    <t>LK.01049</t>
  </si>
  <si>
    <t>https://www.trendyol.com/abc/xyz-p-750137?&amp;merchantId=1156908&amp;filterOverPriceListings=false</t>
  </si>
  <si>
    <t>119-0160</t>
  </si>
  <si>
    <t>https://www.trendyol.com/abc/xyz-p-167840465?&amp;merchantId=1156908&amp;filterOverPriceListings=false</t>
  </si>
  <si>
    <t>ep000001172</t>
  </si>
  <si>
    <t>Onayli - Satista degil</t>
  </si>
  <si>
    <t>https://www.trendyol.com/abc/xyz-p-925111?&amp;merchantId=1156908&amp;filterOverPriceListings=false</t>
  </si>
  <si>
    <t>Stok yok / buybox yok</t>
  </si>
  <si>
    <t>https://www.trendyol.com/abc/xyz-p-1959452?&amp;merchantId=1156908&amp;filterOverPriceListings=false</t>
  </si>
  <si>
    <t>https://www.trendyol.com/abc/xyz-p-925110?&amp;merchantId=1156908&amp;filterOverPriceListings=false</t>
  </si>
  <si>
    <t>106-0050</t>
  </si>
  <si>
    <t>https://www.trendyol.com/abc/xyz-p-2564795?&amp;merchantId=1156908&amp;filterOverPriceListings=false</t>
  </si>
  <si>
    <t>https://www.trendyol.com/abc/xyz-p-120871653?&amp;merchantId=1156908&amp;filterOverPriceListings=false</t>
  </si>
  <si>
    <t>https://www.trendyol.com/abc/xyz-p-925128?&amp;merchantId=1156908&amp;filterOverPriceListings=false</t>
  </si>
  <si>
    <t>https://www.trendyol.com/abc/xyz-p-925127?&amp;merchantId=1156908&amp;filterOverPriceListings=false</t>
  </si>
  <si>
    <t>https://www.trendyol.com/abc/xyz-p-925126?&amp;merchantId=1156908&amp;filterOverPriceListings=false</t>
  </si>
  <si>
    <t>https://www.trendyol.com/abc/xyz-p-1914251?&amp;merchantId=1156908&amp;filterOverPriceListings=false</t>
  </si>
  <si>
    <t>https://www.trendyol.com/abc/xyz-p-925131?&amp;merchantId=1156908&amp;filterOverPriceListings=false</t>
  </si>
  <si>
    <t>https://www.trendyol.com/abc/xyz-p-1959454?&amp;merchantId=1156908&amp;filterOverPriceListings=false</t>
  </si>
  <si>
    <t>https://www.trendyol.com/abc/xyz-p-39617825?&amp;merchantId=1156908&amp;filterOverPriceListings=false</t>
  </si>
  <si>
    <t>https://www.trendyol.com/abc/xyz-p-1139941107?&amp;merchantId=1156908&amp;filterOverPriceListings=false</t>
  </si>
  <si>
    <t>840134695853SVGPT</t>
  </si>
  <si>
    <t>https://www.trendyol.com/abc/xyz-p-1138882998?&amp;merchantId=1156908&amp;filterOverPriceListings=false</t>
  </si>
  <si>
    <t>840134695921SVGPT</t>
  </si>
  <si>
    <t>https://www.trendyol.com/abc/xyz-p-1138886455?&amp;merchantId=1156908&amp;filterOverPriceListings=false</t>
  </si>
  <si>
    <t>840134695938SVGPT</t>
  </si>
  <si>
    <t>https://www.trendyol.com/abc/xyz-p-1138882638?&amp;merchantId=1156908&amp;filterOverPriceListings=false</t>
  </si>
  <si>
    <t>840134695983SVGPT</t>
  </si>
  <si>
    <t>https://www.trendyol.com/abc/xyz-p-1138907859?&amp;merchantId=1156908&amp;filterOverPriceListings=false</t>
  </si>
  <si>
    <t>840134695990SVGPT</t>
  </si>
  <si>
    <t>https://www.trendyol.com/abc/xyz-p-1138911975?&amp;merchantId=1156908&amp;filterOverPriceListings=false</t>
  </si>
  <si>
    <t>840134696355SVGPT</t>
  </si>
  <si>
    <t>https://www.trendyol.com/abc/xyz-p-1138919288?&amp;merchantId=1156908&amp;filterOverPriceListings=false</t>
  </si>
  <si>
    <t>840134696461SVGPT</t>
  </si>
  <si>
    <t>https://www.trendyol.com/abc/xyz-p-1138931284?&amp;merchantId=1156908&amp;filterOverPriceListings=false</t>
  </si>
  <si>
    <t>840134696485SVGPT</t>
  </si>
  <si>
    <t>https://www.trendyol.com/abc/xyz-p-67942470?&amp;merchantId=1156908&amp;filterOverPriceListings=false</t>
  </si>
  <si>
    <t>BRSKD0054</t>
  </si>
  <si>
    <t>https://www.trendyol.com/abc/xyz-p-31636879?&amp;merchantId=1156908&amp;filterOverPriceListings=false</t>
  </si>
  <si>
    <t>https://www.trendyol.com/abc/xyz-p-111352419?&amp;merchantId=1156908&amp;filterOverPriceListings=false</t>
  </si>
  <si>
    <t>https://www.trendyol.com/abc/xyz-p-823600131?&amp;merchantId=1156908&amp;filterOverPriceListings=false</t>
  </si>
  <si>
    <t>https://www.trendyol.com/abc/xyz-p-754114405?&amp;merchantId=1156908&amp;filterOverPriceListings=false</t>
  </si>
  <si>
    <t>https://www.trendyol.com/abc/xyz-p-2246034?&amp;merchantId=1156908&amp;filterOverPriceListings=false</t>
  </si>
  <si>
    <t>https://www.trendyol.com/abc/xyz-p-1198610?&amp;merchantId=1156908&amp;filterOverPriceListings=false</t>
  </si>
  <si>
    <t>https://www.trendyol.com/abc/xyz-p-2264608?&amp;merchantId=1156908&amp;filterOverPriceListings=false</t>
  </si>
  <si>
    <t>https://www.trendyol.com/abc/xyz-p-373360014?&amp;merchantId=1156908&amp;filterOverPriceListings=false</t>
  </si>
  <si>
    <t>https://www.trendyol.com/abc/xyz-p-55591160?&amp;merchantId=1156908&amp;filterOverPriceListings=false</t>
  </si>
  <si>
    <t>https://www.trendyol.com/abc/xyz-p-6270594?&amp;merchantId=1156908&amp;filterOverPriceListings=false</t>
  </si>
  <si>
    <t>https://www.trendyol.com/abc/xyz-p-1196797?&amp;merchantId=1156908&amp;filterOverPriceListings=false</t>
  </si>
  <si>
    <t>https://www.trendyol.com/abc/xyz-p-925572?&amp;merchantId=1156908&amp;filterOverPriceListings=false</t>
  </si>
  <si>
    <t>https://www.trendyol.com/abc/xyz-p-34896559?&amp;merchantId=1156908&amp;filterOverPriceListings=false</t>
  </si>
  <si>
    <t>https://www.trendyol.com/abc/xyz-p-925972?&amp;merchantId=1156908&amp;filterOverPriceListings=false</t>
  </si>
  <si>
    <t>https://www.trendyol.com/abc/xyz-p-335613732?&amp;merchantId=1156908&amp;filterOverPriceListings=false</t>
  </si>
  <si>
    <t>https://www.trendyol.com/abc/xyz-p-31636591?&amp;merchantId=1156908&amp;filterOverPriceListings=false</t>
  </si>
  <si>
    <t>https://www.trendyol.com/abc/xyz-p-1198497?&amp;merchantId=1156908&amp;filterOverPriceListings=false</t>
  </si>
  <si>
    <t>https://www.trendyol.com/abc/xyz-p-925970?&amp;merchantId=1156908&amp;filterOverPriceListings=false</t>
  </si>
  <si>
    <t>https://www.trendyol.com/abc/xyz-p-1195291?&amp;merchantId=1156908&amp;filterOverPriceListings=false</t>
  </si>
  <si>
    <t>https://www.trendyol.com/abc/xyz-p-99800691?&amp;merchantId=1156908&amp;filterOverPriceListings=false</t>
  </si>
  <si>
    <t>T22956</t>
  </si>
  <si>
    <t>https://www.trendyol.com/abc/xyz-p-86207382?&amp;merchantId=1156908&amp;filterOverPriceListings=false</t>
  </si>
  <si>
    <t>https://www.trendyol.com/abc/xyz-p-86207455?&amp;merchantId=1156908&amp;filterOverPriceListings=false</t>
  </si>
  <si>
    <t>https://www.trendyol.com/abc/xyz-p-749835?&amp;merchantId=1156908&amp;filterOverPriceListings=false</t>
  </si>
  <si>
    <t>https://www.trendyol.com/abc/xyz-p-782893739?&amp;merchantId=1156908&amp;filterOverPriceListings=false</t>
  </si>
  <si>
    <t>https://www.trendyol.com/abc/xyz-p-782890075?&amp;merchantId=1156908&amp;filterOverPriceListings=false</t>
  </si>
  <si>
    <t>copy5900951020889</t>
  </si>
  <si>
    <t>https://www.trendyol.com/abc/xyz-p-1198668?&amp;merchantId=1156908&amp;filterOverPriceListings=false</t>
  </si>
  <si>
    <t>https://www.trendyol.com/abc/xyz-p-844564577?&amp;merchantId=1156908&amp;filterOverPriceListings=false</t>
  </si>
  <si>
    <t>https://www.trendyol.com/abc/xyz-p-1044226051?&amp;merchantId=1156908&amp;filterOverPriceListings=false</t>
  </si>
  <si>
    <t>H9HBCV00000BD5N8</t>
  </si>
  <si>
    <t>https://www.trendyol.com/abc/xyz-p-824126553?&amp;merchantId=1156908&amp;filterOverPriceListings=false</t>
  </si>
  <si>
    <t>https://www.trendyol.com/abc/xyz-p-62248854?&amp;merchantId=1156908&amp;filterOverPriceListings=false</t>
  </si>
  <si>
    <t>boomroyalcnnfrench002</t>
  </si>
  <si>
    <t>https://www.trendyol.com/abc/xyz-p-925657?&amp;merchantId=1156908&amp;filterOverPriceListings=false</t>
  </si>
  <si>
    <t>119-0083</t>
  </si>
  <si>
    <t>https://www.trendyol.com/abc/xyz-p-1107267997?&amp;merchantId=1156908&amp;filterOverPriceListings=false</t>
  </si>
  <si>
    <t>https://www.trendyol.com/abc/xyz-p-104526321?&amp;merchantId=1156908&amp;filterOverPriceListings=false</t>
  </si>
  <si>
    <t>https://www.trendyol.com/abc/xyz-p-121932068?&amp;merchantId=1156908&amp;filterOverPriceListings=false</t>
  </si>
  <si>
    <t>Flx</t>
  </si>
  <si>
    <t>https://www.trendyol.com/abc/xyz-p-4908793?&amp;merchantId=1156908&amp;filterOverPriceListings=false</t>
  </si>
  <si>
    <t>https://www.trendyol.com/abc/xyz-p-96685636?&amp;merchantId=1156908&amp;filterOverPriceListings=false</t>
  </si>
  <si>
    <t>https://www.trendyol.com/abc/xyz-p-167622890?&amp;merchantId=1156908&amp;filterOverPriceListings=false</t>
  </si>
  <si>
    <t>BDS2014</t>
  </si>
  <si>
    <t>https://www.trendyol.com/abc/xyz-p-930926146?&amp;merchantId=1156908&amp;filterOverPriceListings=false</t>
  </si>
  <si>
    <t>https://www.trendyol.com/abc/xyz-p-48031114?&amp;merchantId=1156908&amp;filterOverPriceListings=false</t>
  </si>
  <si>
    <t>https://www.trendyol.com/abc/xyz-p-247802557?&amp;merchantId=1156908&amp;filterOverPriceListings=false</t>
  </si>
  <si>
    <t>https://www.trendyol.com/abc/xyz-p-925876?&amp;merchantId=1156908&amp;filterOverPriceListings=false</t>
  </si>
  <si>
    <t>https://www.trendyol.com/abc/xyz-p-1195893?&amp;merchantId=1156908&amp;filterOverPriceListings=false</t>
  </si>
  <si>
    <t>https://www.trendyol.com/abc/xyz-p-72712352?&amp;merchantId=1156908&amp;filterOverPriceListings=false</t>
  </si>
  <si>
    <t>https://www.trendyol.com/abc/xyz-p-40130416?&amp;merchantId=1156908&amp;filterOverPriceListings=false</t>
  </si>
  <si>
    <t>https://www.trendyol.com/abc/xyz-p-41225420?&amp;merchantId=1156908&amp;filterOverPriceListings=false</t>
  </si>
  <si>
    <t>https://www.trendyol.com/abc/xyz-p-1196373?&amp;merchantId=1156908&amp;filterOverPriceListings=false</t>
  </si>
  <si>
    <t>https://www.trendyol.com/abc/xyz-p-40201801?&amp;merchantId=1156908&amp;filterOverPriceListings=false</t>
  </si>
  <si>
    <t>https://www.trendyol.com/abc/xyz-p-1055079375?&amp;merchantId=1156908&amp;filterOverPriceListings=false</t>
  </si>
  <si>
    <t>https://www.trendyol.com/abc/xyz-p-68992369?&amp;merchantId=1156908&amp;filterOverPriceListings=false</t>
  </si>
  <si>
    <t>https://www.trendyol.com/abc/xyz-p-764186002?&amp;merchantId=1156908&amp;filterOverPriceListings=false</t>
  </si>
  <si>
    <t>https://www.trendyol.com/abc/xyz-p-32606601?&amp;merchantId=1156908&amp;filterOverPriceListings=false</t>
  </si>
  <si>
    <t>https://www.trendyol.com/abc/xyz-p-1195660?&amp;merchantId=1156908&amp;filterOverPriceListings=false</t>
  </si>
  <si>
    <t>https://www.trendyol.com/abc/xyz-p-212119245?&amp;merchantId=1156908&amp;filterOverPriceListings=false</t>
  </si>
  <si>
    <t>https://www.trendyol.com/abc/xyz-p-32398725?&amp;merchantId=1156908&amp;filterOverPriceListings=false</t>
  </si>
  <si>
    <t>https://www.trendyol.com/abc/xyz-p-1199127?&amp;merchantId=1156908&amp;filterOverPriceListings=false</t>
  </si>
  <si>
    <t>https://www.trendyol.com/abc/xyz-p-984546326?&amp;merchantId=1156908&amp;filterOverPriceListings=false</t>
  </si>
  <si>
    <t>https://www.trendyol.com/abc/xyz-p-266709809?&amp;merchantId=1156908&amp;filterOverPriceListings=false</t>
  </si>
  <si>
    <t>https://www.trendyol.com/abc/xyz-p-1051420405?&amp;merchantId=1156908&amp;filterOverPriceListings=false</t>
  </si>
  <si>
    <t>https://www.trendyol.com/abc/xyz-p-1086969644?&amp;merchantId=1156908&amp;filterOverPriceListings=false</t>
  </si>
  <si>
    <t>WHISKAS.149657</t>
  </si>
  <si>
    <t>https://www.trendyol.com/abc/xyz-p-756506136?&amp;merchantId=1156908&amp;filterOverPriceListings=false</t>
  </si>
  <si>
    <t>https://www.trendyol.com/abc/xyz-p-1096072947?&amp;merchantId=1156908&amp;filterOverPriceListings=false</t>
  </si>
  <si>
    <t>https://www.trendyol.com/abc/xyz-p-925654?&amp;merchantId=1156908&amp;filterOverPriceListings=false</t>
  </si>
  <si>
    <t>119-0058</t>
  </si>
  <si>
    <t>https://www.trendyol.com/abc/xyz-p-925652?&amp;merchantId=1156908&amp;filterOverPriceListings=false</t>
  </si>
  <si>
    <t>119-0015</t>
  </si>
  <si>
    <t>https://www.trendyol.com/abc/xyz-p-1057454468?&amp;merchantId=1156908&amp;filterOverPriceListings=false</t>
  </si>
  <si>
    <t>https://www.trendyol.com/abc/xyz-p-104366130?&amp;merchantId=1156908&amp;filterOverPriceListings=false</t>
  </si>
  <si>
    <t>https://www.trendyol.com/abc/xyz-p-823585044?&amp;merchantId=1156908&amp;filterOverPriceListings=false</t>
  </si>
  <si>
    <t>ep210420240550</t>
  </si>
  <si>
    <t>https://www.trendyol.com/abc/xyz-p-33091761?&amp;merchantId=1156908&amp;filterOverPriceListings=false</t>
  </si>
  <si>
    <t>https://www.trendyol.com/abc/xyz-p-748739864?&amp;merchantId=1156908&amp;filterOverPriceListings=false</t>
  </si>
  <si>
    <t>https://www.trendyol.com/abc/xyz-p-1224016?&amp;merchantId=1156908&amp;filterOverPriceListings=false</t>
  </si>
  <si>
    <t>https://www.trendyol.com/abc/xyz-p-750117?&amp;merchantId=1156908&amp;filterOverPriceListings=false</t>
  </si>
  <si>
    <t>119-0080</t>
  </si>
  <si>
    <t>https://www.trendyol.com/abc/xyz-p-92889822?&amp;merchantId=1156908&amp;filterOverPriceListings=false</t>
  </si>
  <si>
    <t>https://www.trendyol.com/abc/xyz-p-1044663155?&amp;merchantId=1156908&amp;filterOverPriceListings=false</t>
  </si>
  <si>
    <t>https://www.trendyol.com/abc/xyz-p-86262177?&amp;merchantId=1156908&amp;filterOverPriceListings=false</t>
  </si>
  <si>
    <t>https://www.trendyol.com/abc/xyz-p-127568067?&amp;merchantId=1156908&amp;filterOverPriceListings=false</t>
  </si>
  <si>
    <t>https://www.trendyol.com/abc/xyz-p-989109533?&amp;merchantId=1156908&amp;filterOverPriceListings=false</t>
  </si>
  <si>
    <t>TX03-10279904329</t>
  </si>
  <si>
    <t>https://www.trendyol.com/abc/xyz-p-150451159?&amp;merchantId=1156908&amp;filterOverPriceListings=false</t>
  </si>
  <si>
    <t>10279906088ptshpcm</t>
  </si>
  <si>
    <t>https://www.trendyol.com/abc/xyz-p-203671663?&amp;merchantId=1156908&amp;filterOverPriceListings=false</t>
  </si>
  <si>
    <t>TYC00157617481</t>
  </si>
  <si>
    <t>https://www.trendyol.com/abc/xyz-p-127132394?&amp;merchantId=1156908&amp;filterOverPriceListings=false</t>
  </si>
  <si>
    <t>https://www.trendyol.com/abc/xyz-p-263158441?&amp;merchantId=1156908&amp;filterOverPriceListings=false</t>
  </si>
  <si>
    <t>https://www.trendyol.com/abc/xyz-p-203658327?&amp;merchantId=1156908&amp;filterOverPriceListings=false</t>
  </si>
  <si>
    <t>https://www.trendyol.com/abc/xyz-p-748692604?&amp;merchantId=1156908&amp;filterOverPriceListings=false</t>
  </si>
  <si>
    <t>https://www.trendyol.com/abc/xyz-p-874999712?&amp;merchantId=1156908&amp;filterOverPriceListings=false</t>
  </si>
  <si>
    <t>https://www.trendyol.com/abc/xyz-p-33077200?&amp;merchantId=1156908&amp;filterOverPriceListings=false</t>
  </si>
  <si>
    <t>https://www.trendyol.com/abc/xyz-p-4489404?&amp;merchantId=1156908&amp;filterOverPriceListings=false</t>
  </si>
  <si>
    <t>https://www.trendyol.com/abc/xyz-p-44795489?&amp;merchantId=1156908&amp;filterOverPriceListings=false</t>
  </si>
  <si>
    <t>https://www.trendyol.com/abc/xyz-p-962604823?&amp;merchantId=1156908&amp;filterOverPriceListings=false</t>
  </si>
  <si>
    <t>https://www.trendyol.com/abc/xyz-p-851238670?&amp;merchantId=1156908&amp;filterOverPriceListings=false</t>
  </si>
  <si>
    <t>https://www.trendyol.com/abc/xyz-p-42513904?&amp;merchantId=1156908&amp;filterOverPriceListings=false</t>
  </si>
  <si>
    <t>https://www.trendyol.com/abc/xyz-p-833546129?&amp;merchantId=1156908&amp;filterOverPriceListings=false</t>
  </si>
  <si>
    <t>423I4924020943209490</t>
  </si>
  <si>
    <t>https://www.trendyol.com/abc/xyz-p-32630312?&amp;merchantId=1156908&amp;filterOverPriceListings=false</t>
  </si>
  <si>
    <t>https://www.trendyol.com/abc/xyz-p-32625902?&amp;merchantId=1156908&amp;filterOverPriceListings=false</t>
  </si>
  <si>
    <t>https://www.trendyol.com/abc/xyz-p-49271205?&amp;merchantId=1156908&amp;filterOverPriceListings=false</t>
  </si>
  <si>
    <t>https://www.trendyol.com/abc/xyz-p-2187272?&amp;merchantId=1156908&amp;filterOverPriceListings=false</t>
  </si>
  <si>
    <t>https://www.trendyol.com/abc/xyz-p-2265396?&amp;merchantId=1156908&amp;filterOverPriceListings=false</t>
  </si>
  <si>
    <t>https://www.trendyol.com/abc/xyz-p-758829871?&amp;merchantId=1156908&amp;filterOverPriceListings=false</t>
  </si>
  <si>
    <t>https://www.trendyol.com/abc/xyz-p-758830520?&amp;merchantId=1156908&amp;filterOverPriceListings=false</t>
  </si>
  <si>
    <t>https://www.trendyol.com/abc/xyz-p-758806175?&amp;merchantId=1156908&amp;filterOverPriceListings=false</t>
  </si>
  <si>
    <t>https://www.trendyol.com/abc/xyz-p-758806141?&amp;merchantId=1156908&amp;filterOverPriceListings=false</t>
  </si>
  <si>
    <t>https://www.trendyol.com/abc/xyz-p-1056284670?&amp;merchantId=1156908&amp;filterOverPriceListings=false</t>
  </si>
  <si>
    <t>HBV00001AKTG6-02</t>
  </si>
  <si>
    <t>https://www.trendyol.com/abc/xyz-p-68395164?&amp;merchantId=1156908&amp;filterOverPriceListings=false</t>
  </si>
  <si>
    <t>https://www.trendyol.com/abc/xyz-p-2266285?&amp;merchantId=1156908&amp;filterOverPriceListings=false</t>
  </si>
  <si>
    <t>LY.18089</t>
  </si>
  <si>
    <t>https://www.trendyol.com/abc/xyz-p-2187254?&amp;merchantId=1156908&amp;filterOverPriceListings=false</t>
  </si>
  <si>
    <t>https://www.trendyol.com/abc/xyz-p-74648342?&amp;merchantId=1156908&amp;filterOverPriceListings=false</t>
  </si>
  <si>
    <t>https://www.trendyol.com/abc/xyz-p-2187260?&amp;merchantId=1156908&amp;filterOverPriceListings=false</t>
  </si>
  <si>
    <t>https://www.trendyol.com/abc/xyz-p-1056283648?&amp;merchantId=1156908&amp;filterOverPriceListings=false</t>
  </si>
  <si>
    <t>https://www.trendyol.com/abc/xyz-p-68196342?&amp;merchantId=1156908&amp;filterOverPriceListings=false</t>
  </si>
  <si>
    <t>https://www.trendyol.com/abc/xyz-p-68396408?&amp;merchantId=1156908&amp;filterOverPriceListings=false</t>
  </si>
  <si>
    <t>https://www.trendyol.com/abc/xyz-p-323026431?&amp;merchantId=1156908&amp;filterOverPriceListings=false</t>
  </si>
  <si>
    <t>TYC00500921297</t>
  </si>
  <si>
    <t>https://www.trendyol.com/abc/xyz-p-1914302?&amp;merchantId=1156908&amp;filterOverPriceListings=false</t>
  </si>
  <si>
    <t>https://www.trendyol.com/abc/xyz-p-28271709?&amp;merchantId=1156908&amp;filterOverPriceListings=false</t>
  </si>
  <si>
    <t>https://www.trendyol.com/abc/xyz-p-337045690?&amp;merchantId=1156908&amp;filterOverPriceListings=false</t>
  </si>
  <si>
    <t>TYC00438640908</t>
  </si>
  <si>
    <t>https://www.trendyol.com/abc/xyz-p-2187247?&amp;merchantId=1156908&amp;filterOverPriceListings=false</t>
  </si>
  <si>
    <t>https://www.trendyol.com/abc/xyz-p-4257131?&amp;merchantId=1156908&amp;filterOverPriceListings=false</t>
  </si>
  <si>
    <t>https://www.trendyol.com/abc/xyz-p-251685639?&amp;merchantId=1156908&amp;filterOverPriceListings=false</t>
  </si>
  <si>
    <t>https://www.trendyol.com/abc/xyz-p-251685886?&amp;merchantId=1156908&amp;filterOverPriceListings=false</t>
  </si>
  <si>
    <t>https://www.trendyol.com/abc/xyz-p-251670068?&amp;merchantId=1156908&amp;filterOverPriceListings=false</t>
  </si>
  <si>
    <t>https://www.trendyol.com/abc/xyz-p-251190771?&amp;merchantId=1156908&amp;filterOverPriceListings=false</t>
  </si>
  <si>
    <t>https://www.trendyol.com/abc/xyz-p-345053168?&amp;merchantId=1156908&amp;filterOverPriceListings=false</t>
  </si>
  <si>
    <t>https://www.trendyol.com/abc/xyz-p-4311383?&amp;merchantId=1156908&amp;filterOverPriceListings=false</t>
  </si>
  <si>
    <t>https://www.trendyol.com/abc/xyz-p-1093663531?&amp;merchantId=1156908&amp;filterOverPriceListings=false</t>
  </si>
  <si>
    <t>pangeaproplankitten4004</t>
  </si>
  <si>
    <t>https://www.trendyol.com/abc/xyz-p-1103506153?&amp;merchantId=1156908&amp;filterOverPriceListings=false</t>
  </si>
  <si>
    <t>GURME1600</t>
  </si>
  <si>
    <t>https://www.trendyol.com/abc/xyz-p-1065006346?&amp;merchantId=1156908&amp;filterOverPriceListings=false</t>
  </si>
  <si>
    <t>https://www.trendyol.com/abc/xyz-p-1056284855?&amp;merchantId=1156908&amp;filterOverPriceListings=false</t>
  </si>
  <si>
    <t>HBCV00002I29F3-02</t>
  </si>
  <si>
    <t>https://www.trendyol.com/abc/xyz-p-1047910743?&amp;merchantId=1156908&amp;filterOverPriceListings=false</t>
  </si>
  <si>
    <t>https://www.trendyol.com/abc/xyz-p-745471045?&amp;merchantId=1156908&amp;filterOverPriceListings=false</t>
  </si>
  <si>
    <t>WOLF ÖDÜL MAMASI HEDİYELİ.8</t>
  </si>
  <si>
    <t>https://www.trendyol.com/abc/xyz-p-877376767?&amp;merchantId=1156908&amp;filterOverPriceListings=false</t>
  </si>
  <si>
    <t>https://www.trendyol.com/abc/xyz-p-1098058580?&amp;merchantId=1156908&amp;filterOverPriceListings=false</t>
  </si>
  <si>
    <t>VETENG20</t>
  </si>
  <si>
    <t>https://www.trendyol.com/abc/xyz-p-1097874525?&amp;merchantId=1156908&amp;filterOverPriceListings=false</t>
  </si>
  <si>
    <t>VETENG3</t>
  </si>
  <si>
    <t>https://www.trendyol.com/abc/xyz-p-1097874523?&amp;merchantId=1156908&amp;filterOverPriceListings=false</t>
  </si>
  <si>
    <t>VETENRGY010</t>
  </si>
  <si>
    <t>https://www.trendyol.com/abc/xyz-p-1097874526?&amp;merchantId=1156908&amp;filterOverPriceListings=false</t>
  </si>
  <si>
    <t>https://www.trendyol.com/abc/xyz-p-845029088?&amp;merchantId=1156908&amp;filterOverPriceListings=false</t>
  </si>
  <si>
    <t>https://www.trendyol.com/abc/xyz-p-660651844?&amp;merchantId=1156908&amp;filterOverPriceListings=false</t>
  </si>
  <si>
    <t>copy7613287487711</t>
  </si>
  <si>
    <t>https://www.trendyol.com/abc/xyz-p-786564743?&amp;merchantId=1156908&amp;filterOverPriceListings=false</t>
  </si>
  <si>
    <t>https://www.trendyol.com/abc/xyz-p-1092420128?&amp;merchantId=1156908&amp;filterOverPriceListings=false</t>
  </si>
  <si>
    <t>https://www.trendyol.com/abc/xyz-p-1092420126?&amp;merchantId=1156908&amp;filterOverPriceListings=false</t>
  </si>
  <si>
    <t>https://www.trendyol.com/abc/xyz-p-1092420127?&amp;merchantId=1156908&amp;filterOverPriceListings=false</t>
  </si>
  <si>
    <t>https://www.trendyol.com/abc/xyz-p-749697695?&amp;merchantId=1156908&amp;filterOverPriceListings=false</t>
  </si>
  <si>
    <t>https://www.trendyol.com/abc/xyz-p-1092392532?&amp;merchantId=1156908&amp;filterOverPriceListings=false</t>
  </si>
  <si>
    <t>https://www.trendyol.com/abc/xyz-p-879892910?&amp;merchantId=1156908&amp;filterOverPriceListings=false</t>
  </si>
  <si>
    <t>https://www.trendyol.com/abc/xyz-p-49666085?&amp;merchantId=1156908&amp;filterOverPriceListings=false</t>
  </si>
  <si>
    <t>https://www.trendyol.com/abc/xyz-p-336296981?&amp;merchantId=1156908&amp;filterOverPriceListings=false</t>
  </si>
  <si>
    <t>https://www.trendyol.com/abc/xyz-p-739411311?&amp;merchantId=1156908&amp;filterOverPriceListings=false</t>
  </si>
  <si>
    <t>https://www.trendyol.com/abc/xyz-p-206247674?&amp;merchantId=1156908&amp;filterOverPriceListings=false</t>
  </si>
  <si>
    <t>https://www.trendyol.com/abc/xyz-p-674505478?&amp;merchantId=1156908&amp;filterOverPriceListings=false</t>
  </si>
  <si>
    <t>https://www.trendyol.com/abc/xyz-p-652260881?&amp;merchantId=1156908&amp;filterOverPriceListings=false</t>
  </si>
  <si>
    <t>https://www.trendyol.com/abc/xyz-p-780625667?&amp;merchantId=1156908&amp;filterOverPriceListings=false</t>
  </si>
  <si>
    <t>https://www.trendyol.com/abc/xyz-p-745891410?&amp;merchantId=1156908&amp;filterOverPriceListings=false</t>
  </si>
  <si>
    <t>https://www.trendyol.com/abc/xyz-p-34406522?&amp;merchantId=1156908&amp;filterOverPriceListings=false</t>
  </si>
  <si>
    <t>https://www.trendyol.com/abc/xyz-p-850249059?&amp;merchantId=1156908&amp;filterOverPriceListings=false</t>
  </si>
  <si>
    <t>https://www.trendyol.com/abc/xyz-p-864147440?&amp;merchantId=1156908&amp;filterOverPriceListings=false</t>
  </si>
  <si>
    <t>https://www.trendyol.com/abc/xyz-p-33696842?&amp;merchantId=1156908&amp;filterOverPriceListings=false</t>
  </si>
  <si>
    <t>https://www.trendyol.com/abc/xyz-p-712512628?&amp;merchantId=1156908&amp;filterOverPriceListings=false</t>
  </si>
  <si>
    <t>https://www.trendyol.com/abc/xyz-p-877160934?&amp;merchantId=1156908&amp;filterOverPriceListings=false</t>
  </si>
  <si>
    <t>https://www.trendyol.com/abc/xyz-p-51856548?&amp;merchantId=1156908&amp;filterOverPriceListings=false</t>
  </si>
  <si>
    <t>https://www.trendyol.com/abc/xyz-p-91853498?&amp;merchantId=1156908&amp;filterOverPriceListings=false</t>
  </si>
  <si>
    <t>https://www.trendyol.com/abc/xyz-p-32793291?&amp;merchantId=1156908&amp;filterOverPriceListings=false</t>
  </si>
  <si>
    <t>https://www.trendyol.com/abc/xyz-p-235833090?&amp;merchantId=1156908&amp;filterOverPriceListings=false</t>
  </si>
  <si>
    <t>TYC00358291726</t>
  </si>
  <si>
    <t>https://www.trendyol.com/abc/xyz-p-1073769369?&amp;merchantId=1156908&amp;filterOverPriceListings=false</t>
  </si>
  <si>
    <t>g57h</t>
  </si>
  <si>
    <t>https://www.trendyol.com/abc/xyz-p-750125?&amp;merchantId=1156908&amp;filterOverPriceListings=false</t>
  </si>
  <si>
    <t>119-0117</t>
  </si>
  <si>
    <t>https://www.trendyol.com/abc/xyz-p-674218257?&amp;merchantId=1156908&amp;filterOverPriceListings=false</t>
  </si>
  <si>
    <t>TYC00696212156</t>
  </si>
  <si>
    <t>https://www.trendyol.com/abc/xyz-p-650696023?&amp;merchantId=1156908&amp;filterOverPriceListings=false</t>
  </si>
  <si>
    <t>copy7613032814953</t>
  </si>
  <si>
    <t>https://www.trendyol.com/abc/xyz-p-109956434?&amp;merchantId=1156908&amp;filterOverPriceListings=false</t>
  </si>
  <si>
    <t>https://www.trendyol.com/abc/xyz-p-6353571?&amp;merchantId=1156908&amp;filterOverPriceListings=false</t>
  </si>
  <si>
    <t>https://www.trendyol.com/abc/xyz-p-1044195097?&amp;merchantId=1156908&amp;filterOverPriceListings=false</t>
  </si>
  <si>
    <t>https://www.trendyol.com/abc/xyz-p-44795492?&amp;merchantId=1156908&amp;filterOverPriceListings=false</t>
  </si>
  <si>
    <t>https://www.trendyol.com/abc/xyz-p-44822644?&amp;merchantId=1156908&amp;filterOverPriceListings=false</t>
  </si>
  <si>
    <t>https://www.trendyol.com/abc/xyz-p-750123?&amp;merchantId=1156908&amp;filterOverPriceListings=false</t>
  </si>
  <si>
    <t>119-0104</t>
  </si>
  <si>
    <t>https://www.trendyol.com/abc/xyz-p-97155182?&amp;merchantId=1156908&amp;filterOverPriceListings=false</t>
  </si>
  <si>
    <t>https://www.trendyol.com/abc/xyz-p-235754794?&amp;merchantId=1156908&amp;filterOverPriceListings=false</t>
  </si>
  <si>
    <t>ACcB253710000</t>
  </si>
  <si>
    <t>https://www.trendyol.com/abc/xyz-p-925659?&amp;merchantId=1156908&amp;filterOverPriceListings=false</t>
  </si>
  <si>
    <t>119-0094</t>
  </si>
  <si>
    <t>https://www.trendyol.com/abc/xyz-p-1095769088?&amp;merchantId=1156908&amp;filterOverPriceListings=false</t>
  </si>
  <si>
    <t>H9HBCV00004BL7AA</t>
  </si>
  <si>
    <t>https://www.trendyol.com/abc/xyz-p-4311380?&amp;merchantId=1156908&amp;filterOverPriceListings=false</t>
  </si>
  <si>
    <t>https://www.trendyol.com/abc/xyz-p-283544741?&amp;merchantId=1156908&amp;filterOverPriceListings=false</t>
  </si>
  <si>
    <t>https://www.trendyol.com/abc/xyz-p-272952378?&amp;merchantId=1156908&amp;filterOverPriceListings=false</t>
  </si>
  <si>
    <t>7613287487162-12</t>
  </si>
  <si>
    <t>https://www.trendyol.com/abc/xyz-p-239284691?&amp;merchantId=1156908&amp;filterOverPriceListings=false</t>
  </si>
  <si>
    <t>https://www.trendyol.com/abc/xyz-p-925658?&amp;merchantId=1156908&amp;filterOverPriceListings=false</t>
  </si>
  <si>
    <t>119-0090</t>
  </si>
  <si>
    <t>https://www.trendyol.com/abc/xyz-p-40231199?&amp;merchantId=1156908&amp;filterOverPriceListings=false</t>
  </si>
  <si>
    <t>https://www.trendyol.com/abc/xyz-p-750099?&amp;merchantId=1156908&amp;filterOverPriceListings=false</t>
  </si>
  <si>
    <t>https://www.trendyol.com/abc/xyz-p-925653?&amp;merchantId=1156908&amp;filterOverPriceListings=false</t>
  </si>
  <si>
    <t>119-0047</t>
  </si>
  <si>
    <t>https://www.trendyol.com/abc/xyz-p-925670?&amp;merchantId=1156908&amp;filterOverPriceListings=false</t>
  </si>
  <si>
    <t>https://www.trendyol.com/abc/xyz-p-2247670?&amp;merchantId=1156908&amp;filterOverPriceListings=false</t>
  </si>
  <si>
    <t>KY.01138</t>
  </si>
  <si>
    <t>https://www.trendyol.com/abc/xyz-p-242032468?&amp;merchantId=1156908&amp;filterOverPriceListings=false</t>
  </si>
  <si>
    <t>https://www.trendyol.com/abc/xyz-p-1197850?&amp;merchantId=1156908&amp;filterOverPriceListings=false</t>
  </si>
  <si>
    <t>https://www.trendyol.com/abc/xyz-p-750108?&amp;merchantId=1156908&amp;filterOverPriceListings=false</t>
  </si>
  <si>
    <t>119-0061</t>
  </si>
  <si>
    <t>https://www.trendyol.com/abc/xyz-p-4741147?&amp;merchantId=1156908&amp;filterOverPriceListings=false</t>
  </si>
  <si>
    <t>https://www.trendyol.com/abc/xyz-p-925661?&amp;merchantId=1156908&amp;filterOverPriceListings=false</t>
  </si>
  <si>
    <t>119-0103</t>
  </si>
  <si>
    <t>https://www.trendyol.com/abc/xyz-p-970650098?&amp;merchantId=1156908&amp;filterOverPriceListings=false</t>
  </si>
  <si>
    <t>https://www.trendyol.com/abc/xyz-p-1044193531?&amp;merchantId=1156908&amp;filterOverPriceListings=false</t>
  </si>
  <si>
    <t>https://www.trendyol.com/abc/xyz-p-4741138?&amp;merchantId=1156908&amp;filterOverPriceListings=false</t>
  </si>
  <si>
    <t>https://www.trendyol.com/abc/xyz-p-750109?&amp;merchantId=1156908&amp;filterOverPriceListings=false</t>
  </si>
  <si>
    <t>119-0065</t>
  </si>
  <si>
    <t>https://www.trendyol.com/abc/xyz-p-750113?&amp;merchantId=1156908&amp;filterOverPriceListings=false</t>
  </si>
  <si>
    <t>119-0069</t>
  </si>
  <si>
    <t>https://www.trendyol.com/abc/xyz-p-750127?&amp;merchantId=1156908&amp;filterOverPriceListings=false</t>
  </si>
  <si>
    <t>119-0120</t>
  </si>
  <si>
    <t>https://www.trendyol.com/abc/xyz-p-925674?&amp;merchantId=1156908&amp;filterOverPriceListings=false</t>
  </si>
  <si>
    <t>119-0191</t>
  </si>
  <si>
    <t>https://www.trendyol.com/abc/xyz-p-175864528?&amp;merchantId=1156908&amp;filterOverPriceListings=false</t>
  </si>
  <si>
    <t>10RYKCNN01TAVUK</t>
  </si>
  <si>
    <t>https://www.trendyol.com/abc/xyz-p-13742359?&amp;merchantId=1156908&amp;filterOverPriceListings=false</t>
  </si>
  <si>
    <t>https://www.trendyol.com/abc/xyz-p-878568477?&amp;merchantId=1156908&amp;filterOverPriceListings=false</t>
  </si>
  <si>
    <t>P7075S3610</t>
  </si>
  <si>
    <t>https://www.trendyol.com/abc/xyz-p-868624947?&amp;merchantId=1156908&amp;filterOverPriceListings=false</t>
  </si>
  <si>
    <t>TYCC4D225C4B4FDE00</t>
  </si>
  <si>
    <t>https://www.trendyol.com/abc/xyz-p-816379674?&amp;merchantId=1156908&amp;filterOverPriceListings=false</t>
  </si>
  <si>
    <t>PKV.99019-10</t>
  </si>
  <si>
    <t>https://www.trendyol.com/abc/xyz-p-815674470?&amp;merchantId=1156908&amp;filterOverPriceListings=false</t>
  </si>
  <si>
    <t>https://www.trendyol.com/abc/xyz-p-814212317?&amp;merchantId=1156908&amp;filterOverPriceListings=false</t>
  </si>
  <si>
    <t>https://www.trendyol.com/abc/xyz-p-758546954?&amp;merchantId=1156908&amp;filterOverPriceListings=false</t>
  </si>
  <si>
    <t>TX89D7B71548996</t>
  </si>
  <si>
    <t>Satista degil / buybox yok</t>
  </si>
  <si>
    <t>https://www.trendyol.com/abc/xyz-p-747168034?&amp;merchantId=1156908&amp;filterOverPriceListings=false</t>
  </si>
  <si>
    <t>https://www.trendyol.com/abc/xyz-p-308926341?&amp;merchantId=1156908&amp;filterOverPriceListings=false</t>
  </si>
  <si>
    <t>https://www.trendyol.com/abc/xyz-p-222416806?&amp;merchantId=1156908&amp;filterOverPriceListings=false</t>
  </si>
  <si>
    <t>https://www.trendyol.com/abc/xyz-p-127943847?&amp;merchantId=1156908&amp;filterOverPriceListings=false</t>
  </si>
  <si>
    <t>FLX120</t>
  </si>
  <si>
    <t>https://www.trendyol.com/abc/xyz-p-138880190?&amp;merchantId=1156908&amp;filterOverPriceListings=false</t>
  </si>
  <si>
    <t>https://www.trendyol.com/abc/xyz-p-93229786?&amp;merchantId=1156908&amp;filterOverPriceListings=false</t>
  </si>
  <si>
    <t>https://www.trendyol.com/abc/xyz-p-660652039?&amp;merchantId=1156908&amp;filterOverPriceListings=false</t>
  </si>
  <si>
    <t>https://www.trendyol.com/abc/xyz-p-672841550?&amp;merchantId=1156908&amp;filterOverPriceListings=false</t>
  </si>
  <si>
    <t>https://www.trendyol.com/abc/xyz-p-3954931?&amp;merchantId=1156908&amp;filterOverPriceListings=false</t>
  </si>
  <si>
    <t>https://www.trendyol.com/abc/xyz-p-756589622?&amp;merchantId=1156908&amp;filterOverPriceListings=false</t>
  </si>
  <si>
    <t>https://www.trendyol.com/abc/xyz-p-65925216?&amp;merchantId=1156908&amp;filterOverPriceListings=false</t>
  </si>
  <si>
    <t>https://www.trendyol.com/abc/xyz-p-750288775?&amp;merchantId=1156908&amp;filterOverPriceListings=false</t>
  </si>
  <si>
    <t>8445290099426TY</t>
  </si>
  <si>
    <t>https://www.trendyol.com/abc/xyz-p-1044667976?&amp;merchantId=1156908&amp;filterOverPriceListings=false</t>
  </si>
  <si>
    <t>https://www.trendyol.com/abc/xyz-p-57363456?&amp;merchantId=1156908&amp;filterOverPriceListings=false</t>
  </si>
  <si>
    <t>https://www.trendyol.com/abc/xyz-p-350327882?&amp;merchantId=1156908&amp;filterOverPriceListings=false</t>
  </si>
  <si>
    <t>https://www.trendyol.com/abc/xyz-p-32555025?&amp;merchantId=1156908&amp;filterOverPriceListings=false</t>
  </si>
  <si>
    <t>https://www.trendyol.com/abc/xyz-p-251670055?&amp;merchantId=1156908&amp;filterOverPriceListings=false</t>
  </si>
  <si>
    <t>https://www.trendyol.com/abc/xyz-p-446165898?&amp;merchantId=1156908&amp;filterOverPriceListings=false</t>
  </si>
  <si>
    <t>https://www.trendyol.com/abc/xyz-p-251659304?&amp;merchantId=1156908&amp;filterOverPriceListings=false</t>
  </si>
  <si>
    <t>https://www.trendyol.com/abc/xyz-p-251681087?&amp;merchantId=1156908&amp;filterOverPriceListings=false</t>
  </si>
  <si>
    <t>https://www.trendyol.com/abc/xyz-p-251674178?&amp;merchantId=1156908&amp;filterOverPriceListings=false</t>
  </si>
  <si>
    <t>https://www.trendyol.com/abc/xyz-p-96662799?&amp;merchantId=1156908&amp;filterOverPriceListings=false</t>
  </si>
  <si>
    <t>https://www.trendyol.com/abc/xyz-p-6353587?&amp;merchantId=1156908&amp;filterOverPriceListings=false</t>
  </si>
  <si>
    <t>https://www.trendyol.com/abc/xyz-p-120627098?&amp;merchantId=1156908&amp;filterOverPriceListings=false</t>
  </si>
  <si>
    <t>https://www.trendyol.com/abc/xyz-p-6353569?&amp;merchantId=1156908&amp;filterOverPriceListings=false</t>
  </si>
  <si>
    <t>https://www.trendyol.com/abc/xyz-p-74405335?&amp;merchantId=1156908&amp;filterOverPriceListings=false</t>
  </si>
  <si>
    <t>https://www.trendyol.com/abc/xyz-p-925656?&amp;merchantId=1156908&amp;filterOverPriceListings=false</t>
  </si>
  <si>
    <t>119-0079</t>
  </si>
  <si>
    <t>https://www.trendyol.com/abc/xyz-p-882402568?&amp;merchantId=1156908&amp;filterOverPriceListings=false</t>
  </si>
  <si>
    <t>https://www.trendyol.com/abc/xyz-p-919959811?&amp;merchantId=1156908&amp;filterOverPriceListings=false</t>
  </si>
  <si>
    <t>https://www.trendyol.com/abc/xyz-p-33694557?&amp;merchantId=1156908&amp;filterOverPriceListings=false</t>
  </si>
  <si>
    <t>https://www.trendyol.com/abc/xyz-p-819596947?&amp;merchantId=1156908&amp;filterOverPriceListings=false</t>
  </si>
  <si>
    <t>MASKOTPET-RC-STERILISED37-2-400</t>
  </si>
  <si>
    <t>https://www.trendyol.com/abc/xyz-p-709661350?&amp;merchantId=1156908&amp;filterOverPriceListings=false</t>
  </si>
  <si>
    <t>5B66Y3S5</t>
  </si>
  <si>
    <t>https://www.trendyol.com/abc/xyz-p-1914491?&amp;merchantId=1156908&amp;filterOverPriceListings=false</t>
  </si>
  <si>
    <t>https://www.trendyol.com/abc/xyz-p-1198982?&amp;merchantId=1156908&amp;filterOverPriceListings=false</t>
  </si>
  <si>
    <t>https://www.trendyol.com/abc/xyz-p-239426173?&amp;merchantId=1156908&amp;filterOverPriceListings=false</t>
  </si>
  <si>
    <t>https://www.trendyol.com/abc/xyz-p-147042744?&amp;merchantId=1156908&amp;filterOverPriceListings=false</t>
  </si>
  <si>
    <t>TYC00226751487</t>
  </si>
  <si>
    <t>https://www.trendyol.com/abc/xyz-p-251658959?&amp;merchantId=1156908&amp;filterOverPriceListings=false</t>
  </si>
  <si>
    <t>https://www.trendyol.com/abc/xyz-p-74116575?&amp;merchantId=1156908&amp;filterOverPriceListings=false</t>
  </si>
  <si>
    <t>https://www.trendyol.com/abc/xyz-p-457192059?&amp;merchantId=1156908&amp;filterOverPriceListings=false</t>
  </si>
  <si>
    <t>TYC00666671827</t>
  </si>
  <si>
    <t>https://www.trendyol.com/abc/xyz-p-750107?&amp;merchantId=1156908&amp;filterOverPriceListings=false</t>
  </si>
  <si>
    <t>119-0057</t>
  </si>
  <si>
    <t>https://www.trendyol.com/abc/xyz-p-1076606882?&amp;merchantId=1156908&amp;filterOverPriceListings=false</t>
  </si>
  <si>
    <t>PTFXLMBKA</t>
  </si>
  <si>
    <t>https://www.trendyol.com/abc/xyz-p-896046506?&amp;merchantId=1156908&amp;filterOverPriceListings=false</t>
  </si>
  <si>
    <t>https://www.trendyol.com/abc/xyz-p-1076400058?&amp;merchantId=1156908&amp;filterOverPriceListings=false</t>
  </si>
  <si>
    <t>https://www.trendyol.com/abc/xyz-p-1053406262?&amp;merchantId=1156908&amp;filterOverPriceListings=false</t>
  </si>
  <si>
    <t>323hby67</t>
  </si>
  <si>
    <t>https://www.trendyol.com/abc/xyz-p-1075834202?&amp;merchantId=1156908&amp;filterOverPriceListings=false</t>
  </si>
  <si>
    <t>ZPELDVN01</t>
  </si>
  <si>
    <t>https://www.trendyol.com/abc/xyz-p-1075834194?&amp;merchantId=1156908&amp;filterOverPriceListings=false</t>
  </si>
  <si>
    <t>https://www.trendyol.com/abc/xyz-p-973412587?&amp;merchantId=1156908&amp;filterOverPriceListings=false</t>
  </si>
  <si>
    <t>https://www.trendyol.com/abc/xyz-p-39590732?&amp;merchantId=1156908&amp;filterOverPriceListings=false</t>
  </si>
  <si>
    <t>https://www.trendyol.com/abc/xyz-p-1056284843?&amp;merchantId=1156908&amp;filterOverPriceListings=false</t>
  </si>
  <si>
    <t>HBCV00000QGS0U-02</t>
  </si>
  <si>
    <t>https://www.trendyol.com/abc/xyz-p-797384179?&amp;merchantId=1156908&amp;filterOverPriceListings=false</t>
  </si>
  <si>
    <t>https://www.trendyol.com/abc/xyz-p-994127411?&amp;merchantId=1156908&amp;filterOverPriceListings=false</t>
  </si>
  <si>
    <t>RCC97458</t>
  </si>
  <si>
    <t>https://www.trendyol.com/abc/xyz-p-758829205?&amp;merchantId=1156908&amp;filterOverPriceListings=false</t>
  </si>
  <si>
    <t>https://www.trendyol.com/abc/xyz-p-1914222?&amp;merchantId=1156908&amp;filterOverPriceListings=false</t>
  </si>
  <si>
    <t>https://www.trendyol.com/abc/xyz-p-758806159?&amp;merchantId=1156908&amp;filterOverPriceListings=false</t>
  </si>
  <si>
    <t>https://www.trendyol.com/abc/xyz-p-753786209?&amp;merchantId=1156908&amp;filterOverPriceListings=false</t>
  </si>
  <si>
    <t>https://www.trendyol.com/abc/xyz-p-975162955?&amp;merchantId=1156908&amp;filterOverPriceListings=false</t>
  </si>
  <si>
    <t>https://www.trendyol.com/abc/xyz-p-870554456?&amp;merchantId=1156908&amp;filterOverPriceListings=false</t>
  </si>
  <si>
    <t>https://www.trendyol.com/abc/xyz-p-959487629?&amp;merchantId=1156908&amp;filterOverPriceListings=false</t>
  </si>
  <si>
    <t>https://www.trendyol.com/abc/xyz-p-1066229951?&amp;merchantId=1156908&amp;filterOverPriceListings=false</t>
  </si>
  <si>
    <t>https://www.trendyol.com/abc/xyz-p-1038210254?&amp;merchantId=1156908&amp;filterOverPriceListings=false</t>
  </si>
  <si>
    <t>626hb</t>
  </si>
  <si>
    <t>https://www.trendyol.com/abc/xyz-p-870554509?&amp;merchantId=1156908&amp;filterOverPriceListings=false</t>
  </si>
  <si>
    <t>https://www.trendyol.com/abc/xyz-p-970662688?&amp;merchantId=1156908&amp;filterOverPriceListings=false</t>
  </si>
  <si>
    <t>https://www.trendyol.com/abc/xyz-p-837519777?&amp;merchantId=1156908&amp;filterOverPriceListings=false</t>
  </si>
  <si>
    <t>https://www.trendyol.com/abc/xyz-p-35824582?&amp;merchantId=1156908&amp;filterOverPriceListings=false</t>
  </si>
  <si>
    <t>https://www.trendyol.com/abc/xyz-p-1066202589?&amp;merchantId=1156908&amp;filterOverPriceListings=false</t>
  </si>
  <si>
    <t>https://www.trendyol.com/abc/xyz-p-1066202595?&amp;merchantId=1156908&amp;filterOverPriceListings=false</t>
  </si>
  <si>
    <t>https://www.trendyol.com/abc/xyz-p-1066202590?&amp;merchantId=1156908&amp;filterOverPriceListings=false</t>
  </si>
  <si>
    <t>https://www.trendyol.com/abc/xyz-p-1066202592?&amp;merchantId=1156908&amp;filterOverPriceListings=false</t>
  </si>
  <si>
    <t>https://www.trendyol.com/abc/xyz-p-1066202596?&amp;merchantId=1156908&amp;filterOverPriceListings=false</t>
  </si>
  <si>
    <t>https://www.trendyol.com/abc/xyz-p-1066202591?&amp;merchantId=1156908&amp;filterOverPriceListings=false</t>
  </si>
  <si>
    <t>https://www.trendyol.com/abc/xyz-p-1066202579?&amp;merchantId=1156908&amp;filterOverPriceListings=false</t>
  </si>
  <si>
    <t>https://www.trendyol.com/abc/xyz-p-1066202585?&amp;merchantId=1156908&amp;filterOverPriceListings=false</t>
  </si>
  <si>
    <t>https://www.trendyol.com/abc/xyz-p-1066202570?&amp;merchantId=1156908&amp;filterOverPriceListings=false</t>
  </si>
  <si>
    <t>https://www.trendyol.com/abc/xyz-p-1066202588?&amp;merchantId=1156908&amp;filterOverPriceListings=false</t>
  </si>
  <si>
    <t>https://www.trendyol.com/abc/xyz-p-1066202575?&amp;merchantId=1156908&amp;filterOverPriceListings=false</t>
  </si>
  <si>
    <t>https://www.trendyol.com/abc/xyz-p-1066202584?&amp;merchantId=1156908&amp;filterOverPriceListings=false</t>
  </si>
  <si>
    <t>https://www.trendyol.com/abc/xyz-p-1066202577?&amp;merchantId=1156908&amp;filterOverPriceListings=false</t>
  </si>
  <si>
    <t>https://www.trendyol.com/abc/xyz-p-1066202572?&amp;merchantId=1156908&amp;filterOverPriceListings=false</t>
  </si>
  <si>
    <t>https://www.trendyol.com/abc/xyz-p-1066202578?&amp;merchantId=1156908&amp;filterOverPriceListings=false</t>
  </si>
  <si>
    <t>https://www.trendyol.com/abc/xyz-p-1066202582?&amp;merchantId=1156908&amp;filterOverPriceListings=false</t>
  </si>
  <si>
    <t>https://www.trendyol.com/abc/xyz-p-1066202573?&amp;merchantId=1156908&amp;filterOverPriceListings=false</t>
  </si>
  <si>
    <t>https://www.trendyol.com/abc/xyz-p-1066202583?&amp;merchantId=1156908&amp;filterOverPriceListings=false</t>
  </si>
  <si>
    <t>https://www.trendyol.com/abc/xyz-p-1066202574?&amp;merchantId=1156908&amp;filterOverPriceListings=false</t>
  </si>
  <si>
    <t>https://www.trendyol.com/abc/xyz-p-1066202571?&amp;merchantId=1156908&amp;filterOverPriceListings=false</t>
  </si>
  <si>
    <t>https://www.trendyol.com/abc/xyz-p-1066202576?&amp;merchantId=1156908&amp;filterOverPriceListings=false</t>
  </si>
  <si>
    <t>https://www.trendyol.com/abc/xyz-p-1049981874?&amp;merchantId=1156908&amp;filterOverPriceListings=false</t>
  </si>
  <si>
    <t>HBV0000099LBF</t>
  </si>
  <si>
    <t>https://www.trendyol.com/abc/xyz-p-1031617819?&amp;merchantId=1156908&amp;filterOverPriceListings=false</t>
  </si>
  <si>
    <t>Vrb00002</t>
  </si>
  <si>
    <t>https://www.trendyol.com/abc/xyz-p-1038215923?&amp;merchantId=1156908&amp;filterOverPriceListings=false</t>
  </si>
  <si>
    <t>626ykm</t>
  </si>
  <si>
    <t>https://www.trendyol.com/abc/xyz-p-925542?&amp;merchantId=1156908&amp;filterOverPriceListings=false</t>
  </si>
  <si>
    <t>219-0014</t>
  </si>
  <si>
    <t>https://www.trendyol.com/abc/xyz-p-925538?&amp;merchantId=1156908&amp;filterOverPriceListings=false</t>
  </si>
  <si>
    <t>219-0005</t>
  </si>
  <si>
    <t>https://www.trendyol.com/abc/xyz-p-925547?&amp;merchantId=1156908&amp;filterOverPriceListings=false</t>
  </si>
  <si>
    <t>219-0020</t>
  </si>
  <si>
    <t>https://www.trendyol.com/abc/xyz-p-925545?&amp;merchantId=1156908&amp;filterOverPriceListings=false</t>
  </si>
  <si>
    <t>219-0018</t>
  </si>
  <si>
    <t>https://www.trendyol.com/abc/xyz-p-989096592?&amp;merchantId=1156908&amp;filterOverPriceListings=false</t>
  </si>
  <si>
    <t>TX03-4048422107798</t>
  </si>
  <si>
    <t>https://www.trendyol.com/abc/xyz-p-925539?&amp;merchantId=1156908&amp;filterOverPriceListings=false</t>
  </si>
  <si>
    <t>219-0006</t>
  </si>
  <si>
    <t>https://www.trendyol.com/abc/xyz-p-474751340?&amp;merchantId=1156908&amp;filterOverPriceListings=false</t>
  </si>
  <si>
    <t>https://www.trendyol.com/abc/xyz-p-925537?&amp;merchantId=1156908&amp;filterOverPriceListings=false</t>
  </si>
  <si>
    <t>219-0002</t>
  </si>
  <si>
    <t>https://www.trendyol.com/abc/xyz-p-969805099?&amp;merchantId=1156908&amp;filterOverPriceListings=false</t>
  </si>
  <si>
    <t>https://www.trendyol.com/abc/xyz-p-401822662?&amp;merchantId=1156908&amp;filterOverPriceListings=false</t>
  </si>
  <si>
    <t>https://www.trendyol.com/abc/xyz-p-95610091?&amp;merchantId=1156908&amp;filterOverPriceListings=false</t>
  </si>
  <si>
    <t>https://www.trendyol.com/abc/xyz-p-1048362851?&amp;merchantId=1156908&amp;filterOverPriceListings=false</t>
  </si>
  <si>
    <t>https://www.trendyol.com/abc/xyz-p-1032993869?&amp;merchantId=1156908&amp;filterOverPriceListings=false</t>
  </si>
  <si>
    <t>323sd</t>
  </si>
  <si>
    <t>https://www.trendyol.com/abc/xyz-p-924383644?&amp;merchantId=1156908&amp;filterOverPriceListings=false</t>
  </si>
  <si>
    <t>https://www.trendyol.com/abc/xyz-p-837330519?&amp;merchantId=1156908&amp;filterOverPriceListings=false</t>
  </si>
  <si>
    <t>https://www.trendyol.com/abc/xyz-p-134120288?&amp;merchantId=1156908&amp;filterOverPriceListings=false</t>
  </si>
  <si>
    <t>K8530202d</t>
  </si>
  <si>
    <t>https://www.trendyol.com/abc/xyz-p-75342761?&amp;merchantId=1156908&amp;filterOverPriceListings=false</t>
  </si>
  <si>
    <t>https://www.trendyol.com/abc/xyz-p-102112068?&amp;merchantId=1156908&amp;filterOverPriceListings=false</t>
  </si>
  <si>
    <t>https://www.trendyol.com/abc/xyz-p-625332332?&amp;merchantId=1156908&amp;filterOverPriceListings=false</t>
  </si>
  <si>
    <t>copyRC00061</t>
  </si>
  <si>
    <t>https://www.trendyol.com/abc/xyz-p-329486063?&amp;merchantId=1156908&amp;filterOverPriceListings=false</t>
  </si>
  <si>
    <t>MTHRBBY195</t>
  </si>
  <si>
    <t>https://www.trendyol.com/abc/xyz-p-105795035?&amp;merchantId=1156908&amp;filterOverPriceListings=false</t>
  </si>
  <si>
    <t>Royal Canin104</t>
  </si>
  <si>
    <t>https://www.trendyol.com/abc/xyz-p-42574562?&amp;merchantId=1156908&amp;filterOverPriceListings=false</t>
  </si>
  <si>
    <t>https://www.trendyol.com/abc/xyz-p-932765186?&amp;merchantId=1156908&amp;filterOverPriceListings=false</t>
  </si>
  <si>
    <t>https://www.trendyol.com/abc/xyz-p-932765656?&amp;merchantId=1156908&amp;filterOverPriceListings=false</t>
  </si>
  <si>
    <t>https://www.trendyol.com/abc/xyz-p-932769525?&amp;merchantId=1156908&amp;filterOverPriceListings=false</t>
  </si>
  <si>
    <t>https://www.trendyol.com/abc/xyz-p-932766494?&amp;merchantId=1156908&amp;filterOverPriceListings=false</t>
  </si>
  <si>
    <t>https://www.trendyol.com/abc/xyz-p-932768827?&amp;merchantId=1156908&amp;filterOverPriceListings=false</t>
  </si>
  <si>
    <t>https://www.trendyol.com/abc/xyz-p-1063806257?&amp;merchantId=1156908&amp;filterOverPriceListings=false</t>
  </si>
  <si>
    <t>1YB021</t>
  </si>
  <si>
    <t>https://www.trendyol.com/abc/xyz-p-1063799419?&amp;merchantId=1156908&amp;filterOverPriceListings=false</t>
  </si>
  <si>
    <t>https://www.trendyol.com/abc/xyz-p-1063589917?&amp;merchantId=1156908&amp;filterOverPriceListings=false</t>
  </si>
  <si>
    <t>https://www.trendyol.com/abc/xyz-p-1063589945?&amp;merchantId=1156908&amp;filterOverPriceListings=false</t>
  </si>
  <si>
    <t>https://www.trendyol.com/abc/xyz-p-1063589921?&amp;merchantId=1156908&amp;filterOverPriceListings=false</t>
  </si>
  <si>
    <t>https://www.trendyol.com/abc/xyz-p-1063215333?&amp;merchantId=1156908&amp;filterOverPriceListings=false</t>
  </si>
  <si>
    <t>pers10172</t>
  </si>
  <si>
    <t>https://www.trendyol.com/abc/xyz-p-1063156822?&amp;merchantId=1156908&amp;filterOverPriceListings=false</t>
  </si>
  <si>
    <t>https://www.trendyol.com/abc/xyz-p-1063117863?&amp;merchantId=1156908&amp;filterOverPriceListings=false</t>
  </si>
  <si>
    <t>YB022</t>
  </si>
  <si>
    <t>https://www.trendyol.com/abc/xyz-p-1063115910?&amp;merchantId=1156908&amp;filterOverPriceListings=false</t>
  </si>
  <si>
    <t>https://www.trendyol.com/abc/xyz-p-1063115754?&amp;merchantId=1156908&amp;filterOverPriceListings=false</t>
  </si>
  <si>
    <t>https://www.trendyol.com/abc/xyz-p-1223959?&amp;merchantId=1156908&amp;filterOverPriceListings=false</t>
  </si>
  <si>
    <t>https://www.trendyol.com/abc/xyz-p-68846899?&amp;merchantId=1156908&amp;filterOverPriceListings=false</t>
  </si>
  <si>
    <t>kd32</t>
  </si>
  <si>
    <t>https://www.trendyol.com/abc/xyz-p-1062039633?&amp;merchantId=1156908&amp;filterOverPriceListings=false</t>
  </si>
  <si>
    <t>https://www.trendyol.com/abc/xyz-p-1062026395?&amp;merchantId=1156908&amp;filterOverPriceListings=false</t>
  </si>
  <si>
    <t>https://www.trendyol.com/abc/xyz-p-1062026455?&amp;merchantId=1156908&amp;filterOverPriceListings=false</t>
  </si>
  <si>
    <t>https://www.trendyol.com/abc/xyz-p-1062026204?&amp;merchantId=1156908&amp;filterOverPriceListings=false</t>
  </si>
  <si>
    <t>https://www.trendyol.com/abc/xyz-p-1061995659?&amp;merchantId=1156908&amp;filterOverPriceListings=false</t>
  </si>
  <si>
    <t>https://www.trendyol.com/abc/xyz-p-1061995143?&amp;merchantId=1156908&amp;filterOverPriceListings=false</t>
  </si>
  <si>
    <t>https://www.trendyol.com/abc/xyz-p-1061995135?&amp;merchantId=1156908&amp;filterOverPriceListings=false</t>
  </si>
  <si>
    <t>https://www.trendyol.com/abc/xyz-p-1061994614?&amp;merchantId=1156908&amp;filterOverPriceListings=false</t>
  </si>
  <si>
    <t>https://www.trendyol.com/abc/xyz-p-1061994613?&amp;merchantId=1156908&amp;filterOverPriceListings=false</t>
  </si>
  <si>
    <t>https://www.trendyol.com/abc/xyz-p-1061971903?&amp;merchantId=1156908&amp;filterOverPriceListings=false</t>
  </si>
  <si>
    <t>MAMYB035</t>
  </si>
  <si>
    <t>https://www.trendyol.com/abc/xyz-p-1061971895?&amp;merchantId=1156908&amp;filterOverPriceListings=false</t>
  </si>
  <si>
    <t>https://www.trendyol.com/abc/xyz-p-1061971893?&amp;merchantId=1156908&amp;filterOverPriceListings=false</t>
  </si>
  <si>
    <t>https://www.trendyol.com/abc/xyz-p-952175192?&amp;merchantId=1156908&amp;filterOverPriceListings=false</t>
  </si>
  <si>
    <t>TYCMPGTU6N</t>
  </si>
  <si>
    <t>https://www.trendyol.com/abc/xyz-p-1061025761?&amp;merchantId=1156908&amp;filterOverPriceListings=false</t>
  </si>
  <si>
    <t>PETFIX0013</t>
  </si>
  <si>
    <t>https://www.trendyol.com/abc/xyz-p-834465019?&amp;merchantId=1156908&amp;filterOverPriceListings=false</t>
  </si>
  <si>
    <t>https://www.trendyol.com/abc/xyz-p-978734062?&amp;merchantId=1156908&amp;filterOverPriceListings=false</t>
  </si>
  <si>
    <t>https://www.trendyol.com/abc/xyz-p-892295041?&amp;merchantId=1156908&amp;filterOverPriceListings=false</t>
  </si>
  <si>
    <t>https://www.trendyol.com/abc/xyz-p-876792323?&amp;merchantId=1156908&amp;filterOverPriceListings=false</t>
  </si>
  <si>
    <t>https://www.trendyol.com/abc/xyz-p-989100894?&amp;merchantId=1156908&amp;filterOverPriceListings=false</t>
  </si>
  <si>
    <t>RCC65741</t>
  </si>
  <si>
    <t>https://www.trendyol.com/abc/xyz-p-969651086?&amp;merchantId=1156908&amp;filterOverPriceListings=false</t>
  </si>
  <si>
    <t>HBCV000068U1T1</t>
  </si>
  <si>
    <t>https://www.trendyol.com/abc/xyz-p-1095831970?&amp;merchantId=1156908&amp;filterOverPriceListings=false</t>
  </si>
  <si>
    <t>TYC4F845AD1B263B936B74800</t>
  </si>
  <si>
    <t>https://www.trendyol.com/abc/xyz-p-924362265?&amp;merchantId=1156908&amp;filterOverPriceListings=false</t>
  </si>
  <si>
    <t>hypoallergenic</t>
  </si>
  <si>
    <t>https://www.trendyol.com/abc/xyz-p-969634507?&amp;merchantId=1156908&amp;filterOverPriceListings=false</t>
  </si>
  <si>
    <t>HBCV00006CTUW9</t>
  </si>
  <si>
    <t>https://www.trendyol.com/abc/xyz-p-988435582?&amp;merchantId=1156908&amp;filterOverPriceListings=false</t>
  </si>
  <si>
    <t>TYCA9F79DF92069D8CA1EE700</t>
  </si>
  <si>
    <t>https://www.trendyol.com/abc/xyz-p-969653592?&amp;merchantId=1156908&amp;filterOverPriceListings=false</t>
  </si>
  <si>
    <t>HBCV00005MDREA</t>
  </si>
  <si>
    <t>https://www.trendyol.com/abc/xyz-p-1056097841?&amp;merchantId=1156908&amp;filterOverPriceListings=false</t>
  </si>
  <si>
    <t>https://www.trendyol.com/abc/xyz-p-1199865?&amp;merchantId=1156908&amp;filterOverPriceListings=false</t>
  </si>
  <si>
    <t>https://www.trendyol.com/abc/xyz-p-305380294?&amp;merchantId=1156908&amp;filterOverPriceListings=false</t>
  </si>
  <si>
    <t>https://www.trendyol.com/abc/xyz-p-750111?&amp;merchantId=1156908&amp;filterOverPriceListings=false</t>
  </si>
  <si>
    <t>119-0066</t>
  </si>
  <si>
    <t>https://www.trendyol.com/abc/xyz-p-750128?&amp;merchantId=1156908&amp;filterOverPriceListings=false</t>
  </si>
  <si>
    <t>119-0132</t>
  </si>
  <si>
    <t>https://www.trendyol.com/abc/xyz-p-750112?&amp;merchantId=1156908&amp;filterOverPriceListings=false</t>
  </si>
  <si>
    <t>119-0067</t>
  </si>
  <si>
    <t>https://www.trendyol.com/abc/xyz-p-925663?&amp;merchantId=1156908&amp;filterOverPriceListings=false</t>
  </si>
  <si>
    <t>119-0150</t>
  </si>
  <si>
    <t>https://www.trendyol.com/abc/xyz-p-750120?&amp;merchantId=1156908&amp;filterOverPriceListings=false</t>
  </si>
  <si>
    <t>119-0086</t>
  </si>
  <si>
    <t>https://www.trendyol.com/abc/xyz-p-50471501?&amp;merchantId=1156908&amp;filterOverPriceListings=false</t>
  </si>
  <si>
    <t>https://www.trendyol.com/abc/xyz-p-1914357?&amp;merchantId=1156908&amp;filterOverPriceListings=false</t>
  </si>
  <si>
    <t>https://www.trendyol.com/abc/xyz-p-1053732042?&amp;merchantId=1156908&amp;filterOverPriceListings=false</t>
  </si>
  <si>
    <t>PXPMB001</t>
  </si>
  <si>
    <t>https://www.trendyol.com/abc/xyz-p-1053732043?&amp;merchantId=1156908&amp;filterOverPriceListings=false</t>
  </si>
  <si>
    <t>https://www.trendyol.com/abc/xyz-p-1053732048?&amp;merchantId=1156908&amp;filterOverPriceListings=false</t>
  </si>
  <si>
    <t>https://www.trendyol.com/abc/xyz-p-1053732046?&amp;merchantId=1156908&amp;filterOverPriceListings=false</t>
  </si>
  <si>
    <t>https://www.trendyol.com/abc/xyz-p-1053732039?&amp;merchantId=1156908&amp;filterOverPriceListings=false</t>
  </si>
  <si>
    <t>https://www.trendyol.com/abc/xyz-p-1053732037?&amp;merchantId=1156908&amp;filterOverPriceListings=false</t>
  </si>
  <si>
    <t>https://www.trendyol.com/abc/xyz-p-46484191?&amp;merchantId=1156908&amp;filterOverPriceListings=false</t>
  </si>
  <si>
    <t>https://www.trendyol.com/abc/xyz-p-58153037?&amp;merchantId=1156908&amp;filterOverPriceListings=false</t>
  </si>
  <si>
    <t>https://www.trendyol.com/abc/xyz-p-148807960?&amp;merchantId=1156908&amp;filterOverPriceListings=false</t>
  </si>
  <si>
    <t>TYC00226780834</t>
  </si>
  <si>
    <t>https://www.trendyol.com/abc/xyz-p-3405133?&amp;merchantId=1156908&amp;filterOverPriceListings=false</t>
  </si>
  <si>
    <t>https://www.trendyol.com/abc/xyz-p-314745709?&amp;merchantId=1156908&amp;filterOverPriceListings=false</t>
  </si>
  <si>
    <t>TYC00482828770</t>
  </si>
  <si>
    <t>https://www.trendyol.com/abc/xyz-p-302249658?&amp;merchantId=1156908&amp;filterOverPriceListings=false</t>
  </si>
  <si>
    <t>5ZXL8L7K3E</t>
  </si>
  <si>
    <t>https://www.trendyol.com/abc/xyz-p-750129?&amp;merchantId=1156908&amp;filterOverPriceListings=false</t>
  </si>
  <si>
    <t>119-0134</t>
  </si>
  <si>
    <t>https://www.trendyol.com/abc/xyz-p-35873477?&amp;merchantId=1156908&amp;filterOverPriceListings=false</t>
  </si>
  <si>
    <t>https://www.trendyol.com/abc/xyz-p-62908131?&amp;merchantId=1156908&amp;filterOverPriceListings=false</t>
  </si>
  <si>
    <t>https://www.trendyol.com/abc/xyz-p-872246815?&amp;merchantId=1156908&amp;filterOverPriceListings=false</t>
  </si>
  <si>
    <t>https://www.trendyol.com/abc/xyz-p-66292550?&amp;merchantId=1156908&amp;filterOverPriceListings=false</t>
  </si>
  <si>
    <t>https://www.trendyol.com/abc/xyz-p-122542390?&amp;merchantId=1156908&amp;filterOverPriceListings=false</t>
  </si>
  <si>
    <t>https://www.trendyol.com/abc/xyz-p-162471082?&amp;merchantId=1156908&amp;filterOverPriceListings=false</t>
  </si>
  <si>
    <t>https://www.trendyol.com/abc/xyz-p-850916011?&amp;merchantId=1156908&amp;filterOverPriceListings=false</t>
  </si>
  <si>
    <t>https://www.trendyol.com/abc/xyz-p-49679448?&amp;merchantId=1156908&amp;filterOverPriceListings=false</t>
  </si>
  <si>
    <t>https://www.trendyol.com/abc/xyz-p-4741146?&amp;merchantId=1156908&amp;filterOverPriceListings=false</t>
  </si>
  <si>
    <t>https://www.trendyol.com/abc/xyz-p-1194773?&amp;merchantId=1156908&amp;filterOverPriceListings=false</t>
  </si>
  <si>
    <t>https://www.trendyol.com/abc/xyz-p-81607518?&amp;merchantId=1156908&amp;filterOverPriceListings=false</t>
  </si>
  <si>
    <t>https://www.trendyol.com/abc/xyz-p-44866457?&amp;merchantId=1156908&amp;filterOverPriceListings=false</t>
  </si>
  <si>
    <t>https://www.trendyol.com/abc/xyz-p-44866446?&amp;merchantId=1156908&amp;filterOverPriceListings=false</t>
  </si>
  <si>
    <t>https://www.trendyol.com/abc/xyz-p-91046575?&amp;merchantId=1156908&amp;filterOverPriceListings=false</t>
  </si>
  <si>
    <t>https://www.trendyol.com/abc/xyz-p-764987657?&amp;merchantId=1156908&amp;filterOverPriceListings=false</t>
  </si>
  <si>
    <t>https://www.trendyol.com/abc/xyz-p-987039076?&amp;merchantId=1156908&amp;filterOverPriceListings=false</t>
  </si>
  <si>
    <t>https://www.trendyol.com/abc/xyz-p-987026017?&amp;merchantId=1156908&amp;filterOverPriceListings=false</t>
  </si>
  <si>
    <t>https://www.trendyol.com/abc/xyz-p-1075455072?&amp;merchantId=1156908&amp;filterOverPriceListings=false</t>
  </si>
  <si>
    <t>TYCCAF386422327AED5D85F00</t>
  </si>
  <si>
    <t>https://www.trendyol.com/abc/xyz-p-817702655?&amp;merchantId=1156908&amp;filterOverPriceListings=false</t>
  </si>
  <si>
    <t>TYCA529CEDEE2CF480</t>
  </si>
  <si>
    <t>https://www.trendyol.com/abc/xyz-p-239453192?&amp;merchantId=1156908&amp;filterOverPriceListings=false</t>
  </si>
  <si>
    <t>https://www.trendyol.com/abc/xyz-p-179342622?&amp;merchantId=1156908&amp;filterOverPriceListings=false</t>
  </si>
  <si>
    <t>https://www.trendyol.com/abc/xyz-p-705236767?&amp;merchantId=1156908&amp;filterOverPriceListings=false</t>
  </si>
  <si>
    <t>https://www.trendyol.com/abc/xyz-p-746370333?&amp;merchantId=1156908&amp;filterOverPriceListings=false</t>
  </si>
  <si>
    <t>https://www.trendyol.com/abc/xyz-p-655377501?&amp;merchantId=1156908&amp;filterOverPriceListings=false</t>
  </si>
  <si>
    <t>https://www.trendyol.com/abc/xyz-p-2741719?&amp;merchantId=1156908&amp;filterOverPriceListings=false</t>
  </si>
  <si>
    <t>https://www.trendyol.com/abc/xyz-p-703210201?&amp;merchantId=1156908&amp;filterOverPriceListings=false</t>
  </si>
  <si>
    <t>https://www.trendyol.com/abc/xyz-p-335250610?&amp;merchantId=1156908&amp;filterOverPriceListings=false</t>
  </si>
  <si>
    <t>https://www.trendyol.com/abc/xyz-p-705907272?&amp;merchantId=1156908&amp;filterOverPriceListings=false</t>
  </si>
  <si>
    <t>https://www.trendyol.com/abc/xyz-p-13742809?&amp;merchantId=1156908&amp;filterOverPriceListings=false</t>
  </si>
  <si>
    <t>https://www.trendyol.com/abc/xyz-p-49771021?&amp;merchantId=1156908&amp;filterOverPriceListings=false</t>
  </si>
  <si>
    <t>https://www.trendyol.com/abc/xyz-p-970648132?&amp;merchantId=1156908&amp;filterOverPriceListings=false</t>
  </si>
  <si>
    <t>HBCV00001HJKUM</t>
  </si>
  <si>
    <t>https://www.trendyol.com/abc/xyz-p-32793465?&amp;merchantId=1156908&amp;filterOverPriceListings=false</t>
  </si>
  <si>
    <t>https://www.trendyol.com/abc/xyz-p-1914360?&amp;merchantId=1156908&amp;filterOverPriceListings=false</t>
  </si>
  <si>
    <t>https://www.trendyol.com/abc/xyz-p-750126?&amp;merchantId=1156908&amp;filterOverPriceListings=false</t>
  </si>
  <si>
    <t>119-0118</t>
  </si>
  <si>
    <t>https://www.trendyol.com/abc/xyz-p-1096025701?&amp;merchantId=1156908&amp;filterOverPriceListings=false</t>
  </si>
  <si>
    <t>https://www.trendyol.com/abc/xyz-p-57648580?&amp;merchantId=1156908&amp;filterOverPriceListings=false</t>
  </si>
  <si>
    <t>https://www.trendyol.com/abc/xyz-p-972775638?&amp;merchantId=1156908&amp;filterOverPriceListings=false</t>
  </si>
  <si>
    <t>RC8977</t>
  </si>
  <si>
    <t>https://www.trendyol.com/abc/xyz-p-750115?&amp;merchantId=1156908&amp;filterOverPriceListings=false</t>
  </si>
  <si>
    <t>119-0074</t>
  </si>
  <si>
    <t>https://www.trendyol.com/abc/xyz-p-1224010?&amp;merchantId=1156908&amp;filterOverPriceListings=false</t>
  </si>
  <si>
    <t>https://www.trendyol.com/abc/xyz-p-750104?&amp;merchantId=1156908&amp;filterOverPriceListings=false</t>
  </si>
  <si>
    <t>119-0050</t>
  </si>
  <si>
    <t>https://www.trendyol.com/abc/xyz-p-750118?&amp;merchantId=1156908&amp;filterOverPriceListings=false</t>
  </si>
  <si>
    <t>119-0081</t>
  </si>
  <si>
    <t>https://www.trendyol.com/abc/xyz-p-750114?&amp;merchantId=1156908&amp;filterOverPriceListings=false</t>
  </si>
  <si>
    <t>119-0073</t>
  </si>
  <si>
    <t>https://www.trendyol.com/abc/xyz-p-750103?&amp;merchantId=1156908&amp;filterOverPriceListings=false</t>
  </si>
  <si>
    <t>119-0046</t>
  </si>
  <si>
    <t>https://www.trendyol.com/abc/xyz-p-750116?&amp;merchantId=1156908&amp;filterOverPriceListings=false</t>
  </si>
  <si>
    <t>119-0076</t>
  </si>
  <si>
    <t>https://www.trendyol.com/abc/xyz-p-750102?&amp;merchantId=1156908&amp;filterOverPriceListings=false</t>
  </si>
  <si>
    <t>119-0044</t>
  </si>
  <si>
    <t>https://www.trendyol.com/abc/xyz-p-750105?&amp;merchantId=1156908&amp;filterOverPriceListings=false</t>
  </si>
  <si>
    <t>119-0052</t>
  </si>
  <si>
    <t>https://www.trendyol.com/abc/xyz-p-750100?&amp;merchantId=1156908&amp;filterOverPriceListings=false</t>
  </si>
  <si>
    <t>119-0039</t>
  </si>
  <si>
    <t>https://www.trendyol.com/abc/xyz-p-925660?&amp;merchantId=1156908&amp;filterOverPriceListings=false</t>
  </si>
  <si>
    <t>119-0099</t>
  </si>
  <si>
    <t>https://www.trendyol.com/abc/xyz-p-669190407?&amp;merchantId=1156908&amp;filterOverPriceListings=false</t>
  </si>
  <si>
    <t>TYC00698191758</t>
  </si>
  <si>
    <t>https://www.trendyol.com/abc/xyz-p-1914300?&amp;merchantId=1156908&amp;filterOverPriceListings=false</t>
  </si>
  <si>
    <t>https://www.trendyol.com/abc/xyz-p-1057453773?&amp;merchantId=1156908&amp;filterOverPriceListings=false</t>
  </si>
  <si>
    <t>HBCV00003L5CAQ</t>
  </si>
  <si>
    <t>https://www.trendyol.com/abc/xyz-p-1196754?&amp;merchantId=1156908&amp;filterOverPriceListings=false</t>
  </si>
  <si>
    <t>https://www.trendyol.com/abc/xyz-p-1199053?&amp;merchantId=1156908&amp;filterOverPriceListings=false</t>
  </si>
  <si>
    <t>https://www.trendyol.com/abc/xyz-p-938940939?&amp;merchantId=1156908&amp;filterOverPriceListings=false</t>
  </si>
  <si>
    <t>bvtt5656</t>
  </si>
  <si>
    <t>https://www.trendyol.com/abc/xyz-p-55518274?&amp;merchantId=1156908&amp;filterOverPriceListings=false</t>
  </si>
  <si>
    <t>RCS37K10</t>
  </si>
  <si>
    <t>https://www.trendyol.com/abc/xyz-p-94234022?&amp;merchantId=1156908&amp;filterOverPriceListings=false</t>
  </si>
  <si>
    <t>https://www.trendyol.com/abc/xyz-p-749840?&amp;merchantId=1156908&amp;filterOverPriceListings=false</t>
  </si>
  <si>
    <t>https://www.trendyol.com/abc/xyz-p-749836?&amp;merchantId=1156908&amp;filterOverPriceListings=false</t>
  </si>
  <si>
    <t>Siparis numarasi</t>
  </si>
  <si>
    <t>Siparis tarihi</t>
  </si>
  <si>
    <t>Paket ID</t>
  </si>
  <si>
    <t>Durum</t>
  </si>
  <si>
    <t>Siparis tutari</t>
  </si>
  <si>
    <t>Urun maliyeti</t>
  </si>
  <si>
    <t>Ek maliyet</t>
  </si>
  <si>
    <t>Paketleme maliyeti</t>
  </si>
  <si>
    <t>Komisyon tutari</t>
  </si>
  <si>
    <t>Kargo ucreti</t>
  </si>
  <si>
    <t>Hizmet bedeli</t>
  </si>
  <si>
    <t>Stopaj kesintisi</t>
  </si>
  <si>
    <t>Reklam gideri</t>
  </si>
  <si>
    <t>Tahmini KDV</t>
  </si>
  <si>
    <t>Net kar</t>
  </si>
  <si>
    <t>Kar orani %</t>
  </si>
  <si>
    <t>Kar marji %</t>
  </si>
  <si>
    <t>Created</t>
  </si>
  <si>
    <t>Delivered</t>
  </si>
  <si>
    <t>UnDelivered</t>
  </si>
  <si>
    <t>Cancelled</t>
  </si>
  <si>
    <t>Shipped</t>
  </si>
  <si>
    <t>AtCollectionPoint</t>
  </si>
  <si>
    <t>Picking</t>
  </si>
  <si>
    <t>UnPacked</t>
  </si>
  <si>
    <t>Returned</t>
  </si>
  <si>
    <t>Adet</t>
  </si>
  <si>
    <t>Birim satis fiyati</t>
  </si>
  <si>
    <t>Satir satis tutari</t>
  </si>
  <si>
    <t>Birim urun maliyeti</t>
  </si>
  <si>
    <t>Toplam urun maliyeti</t>
  </si>
  <si>
    <t>Satir net kar</t>
  </si>
  <si>
    <t>merchantSku</t>
  </si>
  <si>
    <t>Extra Strength Scented Koku Engelleyici Doğal Kedi Kumu 10 Lt 110-0008, one size</t>
  </si>
  <si>
    <t>Cat Adult Salmon Sensıtıve 3 Kg 223-922073, one size</t>
  </si>
  <si>
    <t>Hair&amp;skin Tüy Ve Deri Sağlığı Için Kuru Kedi Maması 2kg 119-0057, one size</t>
  </si>
  <si>
    <t>Kısırlaştırılmış Somonlu Kuru Kedi Maması 3 Kg 106-0010, one size</t>
  </si>
  <si>
    <t>Jelly Ton Balıklı Tavuk Ve Karidesli Kedi Yaş Maması 85gr Skt:09/2024 T22956, one size</t>
  </si>
  <si>
    <t>Sterilised37 Kısırlaştırılmış Kediler için Kuru Kedi Maması 2 Kg 119-0073, one size</t>
  </si>
  <si>
    <t>Cat Sterilized Hairball Hindili Kısır Kedi Maması 3 Kg 8410650239156, one size</t>
  </si>
  <si>
    <t>Hindili Kıyılmış 85 G X 24 Adet 7613031380992-24, one size</t>
  </si>
  <si>
    <t>Karışık Kıyılmış Konserve Yetişkin Kedi Yaş Maması 24 X 85 gr grmtgldkrsk, one size</t>
  </si>
  <si>
    <t>Purina Gourmet Gold Karışık Kedi Konservesi 85 gr X 24 Adet GourmetGoldKıyılmışKarışık, one size</t>
  </si>
  <si>
    <t xml:space="preserve">Karışık Kedi Yaş Mama 28 Paket, 072, </t>
  </si>
  <si>
    <t>Pro Plan Delicate Kuzu Etli Kedi Maması 3 Kg 12370531, one size</t>
  </si>
  <si>
    <t>Sterilised Kısırlaştırılmış 7 Yaş Ve Üzeri Kediler Için Kuru Kedi Maması 3.5kg 119-0103, one size</t>
  </si>
  <si>
    <t>Sığır Etli Kısırlaştırılmış Kedi Maması 1,5 Kg 76130356138981TY, one size</t>
  </si>
  <si>
    <t>Proplan Somonlu Kısırlaştırılmış Kedi Maması 10 Kg fsprp0, one size</t>
  </si>
  <si>
    <t>Sterilised Hindi-Tavuk Kısırlaştırılmış Kedi Maması 3 Kg 106-0009, one size</t>
  </si>
  <si>
    <t>Ageing +12 Gravy Yaşlı Kedi 85 Gr X 12 Adet copyRC00061, one size</t>
  </si>
  <si>
    <t>Purina Gold Kıyılmış Hindi Etli Konserve Yetişkin Kedi Maması 24 x 85 G 7613031680992, one size</t>
  </si>
  <si>
    <t>Cat Sterilized Kısırlaştırılmış Somonlu Kedi Maması 10 Kg 123-0024, one size</t>
  </si>
  <si>
    <t>Sterilised Malt Macun 100gr (Kısırlaştırılmış Kediler için Tüy Yumağı Önleyici) VETENRGY010, one size</t>
  </si>
  <si>
    <t>Anti-Servikal 4 Ayaklı Kedi ve Köpek Mama &amp; Su Kabı 1YB13, one size</t>
  </si>
  <si>
    <t>Karışık Yaş Kedi Maması Serisi 12 Adet Yeni Çeşitleri Ile 07265, one size</t>
  </si>
  <si>
    <t>Krema Kedi Ödül Maması 14gr (25 Adet) (Karışık Çeşitli) TYC00042033532, one size</t>
  </si>
  <si>
    <t>Malt Paste 100 g – Tüy Dökümü Önleyici, Tüy Yumağı Karşıtı, Sindirim Destekli Kedi Maltı VETENG3, one size</t>
  </si>
  <si>
    <t>Sterilised Somonlu Kısır Kedi Maması 3kg 011020081, one size</t>
  </si>
  <si>
    <t xml:space="preserve">Purina Gourmet Gold Karışık Kedi Konservesi 85 gr X 24 Adet, GourmetGoldKıyılmışKarışık, </t>
  </si>
  <si>
    <t>Ageing 11+ Yaşlı Ve Ileri Yaştaki Kedi Yaş Mama 85 gr X 12 Adet Gravy Soslu ep000001172, one size</t>
  </si>
  <si>
    <t>Sensitive Somonlu Hassas Kısırlaştırılmış Kedi Maması 3 Kg 223-922081, one size</t>
  </si>
  <si>
    <t>Creamy Cat Treat Karışık Krema Sıvı Kedi Ödül Maması 14 gr X 10 Adet klasmama10w, one size</t>
  </si>
  <si>
    <t>Karışık Kedi Yaş Mama 28 Paket 072, one size</t>
  </si>
  <si>
    <t>Sterilised Gravy Yaş Kedi Maması 85 gr 119-0166, one size</t>
  </si>
  <si>
    <t>2'li Pabuçlu , Kedi ve Köpek Mama ve Su Kabı YB-012, one size</t>
  </si>
  <si>
    <t>MultiVitamin Paste 100 g – 18’i 1 Arada Vitamin &amp; Mineral Destekli Kedi Macunu VETENG40, one size</t>
  </si>
  <si>
    <t>Mini Sterilised Yetişkin Kısırlaştırılmış Köpek Maması 3 Kg KY.13312, one size</t>
  </si>
  <si>
    <t>Sensitive Kuzu Etli Hassas Yetişkin Köpek Maması 12 Kg 123-0061, one size</t>
  </si>
  <si>
    <t>Kedi Ödül Maması Karışık Paket 60 Gr X 36 Adet 8681002997592, one size</t>
  </si>
  <si>
    <t>Tavuklu Yetişkin Konserve Kedi Maması 400 Gr X 12 ADET copy5900951020889, one size</t>
  </si>
  <si>
    <t>Purina Gold Karışık Kıyılmış Kedi Konservesi 85 gr X 16 Adet GURME1600, one size</t>
  </si>
  <si>
    <t>Sığır - Tavuk - Somon - Ton Balıklı Karışık Yaş Kedi Maması 28 Adet 85 Gr. 8681003003568, one size</t>
  </si>
  <si>
    <t xml:space="preserve">Purina Gold Kıyılmış Hindi Etli Konserve Yetişkin Kedi Maması 24 x 85 G, 7613031680992, </t>
  </si>
  <si>
    <t>Karışık Yavru Kedi Yaş Maması 12 x 85 gr (6 Adet Tavuklu ve 6 Adet Sığır Etli) JUNIORMP12, one size</t>
  </si>
  <si>
    <t>Jelly Kitten Instinctive Yaş Yavru Kedi Maması 85 Gr LK.01049, one size</t>
  </si>
  <si>
    <t xml:space="preserve">Ageing 11+ Yaşlı Ve Ileri Yaştaki Kedi Yaş Mama 85 gr X 12 Adet Gravy Soslu, ep000001172, </t>
  </si>
  <si>
    <t xml:space="preserve">Ageing +12 Gravy Yaşlı Kedi 85 Gr X 12 Adet, copyRC00061, </t>
  </si>
  <si>
    <t>Yavru ve Anne Kediler İçin Multivitamin Macun - Bağışıklık, Kemik ve Tüy Desteği - 100g VETENG20, one size</t>
  </si>
  <si>
    <t>Purina Gold Kıyılmış Sığır Etli Kedi Yaş Maması 85 Gr 12 Adet prn-gourmet05, one size</t>
  </si>
  <si>
    <t>Sterilised37 Kısırlaştırılmış Yetişkin Kedi Maması 4 Kg 119-0074, one size</t>
  </si>
  <si>
    <t>Proplan sterilised kısırlaştırılmış somonlu kedi maması 2 kg (5 adet 400 gr ) Proplan-T, one size</t>
  </si>
  <si>
    <t>Krema Kedi Ödül Maması 16gr (45 Adet) (3 Lezzetli) SHZI001, one size</t>
  </si>
  <si>
    <t>Gold Kıyılmış Tavuklu Kedi Konservesi 85 gr X 24 Adet 7613031384494, one size</t>
  </si>
  <si>
    <t xml:space="preserve">Sterilised Hindi-Tavuk Kısırlaştırılmış Kedi Maması 3 Kg, 106-0009, </t>
  </si>
  <si>
    <t>Babycat Milk Yavru Kedi Süt Tozu Seti 300gr boomrylcnnbabaycatmilk, one size</t>
  </si>
  <si>
    <t>Chihuahua Kuru Köpek Maması 1.5kg 119-0012, one size</t>
  </si>
  <si>
    <t>Sterilised 37 Kısırlaştırılmış Yetişkin Kedi Maması 4 Kg 119-0074, one size</t>
  </si>
  <si>
    <t>Sterilised Sığır Etli Kısırlaştırılmış Kedi Maması 1,5 Kg 20000041025165TY, one size</t>
  </si>
  <si>
    <t>Karışık Yaş Kedi Maması 85 gr X 52 Adet Karışık felixlunama, one size</t>
  </si>
  <si>
    <t>Sterilised 37 Kısırlaştırılmış Kedi Maması 10 Kg ACcB253710000, one size</t>
  </si>
  <si>
    <t>Sterilised37 Kısırlaştırılmış Kediler için Kuru Kedi Maması 2kg 119-0073, one size</t>
  </si>
  <si>
    <t>Purina Gold Sığır Etli Yetişkin Kıyılmış Kedi Konserve 36 x 85 G ALGK36, one size</t>
  </si>
  <si>
    <t>British Shorthair Adult Yetişkin Kedi Maması 2 Kg TYC00358291726, one size</t>
  </si>
  <si>
    <t>Mini Starter Mother &amp; Babydog Anne ve Yavru Köpek Maması 4kg HBCV000053QYGT, one size</t>
  </si>
  <si>
    <t>Poodle Yetişkin Kuru Köpek Maması 3kg 3182550867719, one size</t>
  </si>
  <si>
    <t>British Shorthair Yaş Kedi Maması 12 Adet x 85 gr HBCV00002I29F3-02, one size</t>
  </si>
  <si>
    <t>Sterilised Gravy Kısırlaştırılmış Yetişkin Kedi Yaş Maması 85 Gr x 12 9003579311295_rollback_1749822933367, one size</t>
  </si>
  <si>
    <t>Sterilised37 Kısırlaştırılmış Yetişkin Kediler için Kuru Kedi Maması 10 kg H9HBCV00004BL7AA, one size</t>
  </si>
  <si>
    <t>Tropical Selection Kuzu Etli Mini Irk Yetişkin Köpek Maması 5kg 8010276042323, one size</t>
  </si>
  <si>
    <t>Karışık Yetişkin Yaş Kedi Maması 104 X 85 gr ver654gve65r4g, one size</t>
  </si>
  <si>
    <t>Köpek Mama Pomeranian Köpek Konserve 12X85GR 9003579013748, one size</t>
  </si>
  <si>
    <t>Mini Adult Küçük Irklar Için Yetişkin Kuru Köpek Maması 4kg 3182550727822, one size</t>
  </si>
  <si>
    <t>Sterilised 37 Kısırlaştırılmış Kedi Maması 2 x 400 gr MASKOTPET-RC-STERILISED37-2-400, one size</t>
  </si>
  <si>
    <t>Kıttenyavru Kediler Için Kuru Kedi Maması 4kg 390092, one size</t>
  </si>
  <si>
    <t>Fit 32 Yetişkin Kuru Kedi Maması 2kg 119-0039, one size</t>
  </si>
  <si>
    <t>Purina Kitten Tavuklu Yavru Kedi Maması 3 KG 7613036505277, one size</t>
  </si>
  <si>
    <t>REVELATIONS Karışık Yaş Kedi Maması 114 g X 8 Adet TYC5E52D7B09265C00, one size</t>
  </si>
  <si>
    <t>Mini Adult Köpek Maması 8kg CB12321 HBCV00002XXS49, one size</t>
  </si>
  <si>
    <t>Light Weight Care Yetişkin Diyet Kedi Maması 1.5 Kg 7364872364627381, one size</t>
  </si>
  <si>
    <t>Kitten Yavru Kediler için Kuru Kedi Maması 2kg TYC00226751487, one size</t>
  </si>
  <si>
    <t>Proplan Sterilised Somon Kısır Kedi Konservesi 85 Gr X 12 Adet Yaş Mama 9584, one size</t>
  </si>
  <si>
    <t>Pouch Gravy Tavuklu Kıyılmış Kedi Yaş Maması 85 Gr 1665850, one size</t>
  </si>
  <si>
    <t>Tropical Kuzu Etl, Kılçıksız Buğday ve Tropikal Meyveli Kısır Kedi Maması 5 KG 8010276042132, one size</t>
  </si>
  <si>
    <t>Sensible33 Sindirim Hassasiyeti Olan Kediler Için Yetişkin Kuru Kedi Maması 2kg 119-0044, one size</t>
  </si>
  <si>
    <t>Hair&amp;skin Tüy Ve Deri Sağlığı Için Kuru Kedi Maması 4kg 119-0058, one size</t>
  </si>
  <si>
    <t xml:space="preserve">Babycat Milk Yavru Kedi Süt Tozu Seti 300gr, boomrylcnnbabaycatmilk, </t>
  </si>
  <si>
    <t>Scıence Plan Somonlu Kısırlaştırılmış Yetişkin Kedi Maması 3 Kg 610-60884, one size</t>
  </si>
  <si>
    <t>Poodle Adult 3 kg H6HBCV00002XXS4Z, one size</t>
  </si>
  <si>
    <t>Yenilenmiş Paketi Ile 32 Adet Karışık Yaş Kedi Maması 070, one size</t>
  </si>
  <si>
    <t>Kitten Yavru Kedi Maması 400 400 gr 390090, one size</t>
  </si>
  <si>
    <t>Sterilised Soslu Yaş Kedi Maması 85 Gr X 6 Adet BUNDLE00009, one size</t>
  </si>
  <si>
    <t>British Shorthair Adult Kedi Kuru Maması 2 Kg TYC00696212156, one size</t>
  </si>
  <si>
    <t>Tropical Kuzu Etli Kısırlaştırılmış Kedi Maması 10 KG PND1000029, one size</t>
  </si>
  <si>
    <t>Mını Puppy Küçük Irklar Için Yavru Kuru Köpek Maması 4kg 119-0118, one size</t>
  </si>
  <si>
    <t>Pumpkin Tahılsız Kuzu Küçük Irk Yetişkin Köpek Maması 2,5 Kg 8010276033277, one size</t>
  </si>
  <si>
    <t>Ageıng 11+ 11 Yaş Ve Üzeri Kediler Için Kuru Kedi Maması 2kg 119-0104, one size</t>
  </si>
  <si>
    <t>A.grain Düşük Tahıllı Kuzulu Ve Yaban Mersinli Mini Irk Yetişkin Köpek Kuru Maması 7 Kg 8010276035097, one size</t>
  </si>
  <si>
    <t>Tropical Kuzulu Kısır Kedi Maması 1.5 Kg 8010276042125, one size</t>
  </si>
  <si>
    <t>Kedi Konservesi Karışık (poşet) X 100 Adet X 85 Gr felix100, one size</t>
  </si>
  <si>
    <t>Ancestral Grain Tavuklu Narlı Düşük Tahıllı Kısırlaştırılmış Kedi Maması 1,5 Kg TYC00500921297, one size</t>
  </si>
  <si>
    <t>Duo Malt Paste Tüy Yumağı Kontrol Kedi Macunu 100 Gr 8711231170357, one size</t>
  </si>
  <si>
    <t>Zilli Peluş Kedi Oyun Eldiveni - Kedi Oyuncağı ZPELDVN01, one size</t>
  </si>
  <si>
    <t>Krema Kedi Ödül Maması 14gr (45 Adet) (Karışık Çeşitli) TYCL2CTSNN170005526308822, one size</t>
  </si>
  <si>
    <t>Tasty Meat Paste Taze Sıvı Kedi Ödül Maması Kedi Ödül Maması 4x90gr boomwanpykedisıvıkapak, one size</t>
  </si>
  <si>
    <t>Kedi Yetişkin Kısır Somonlu 1.5 Kg 8410650167886, one size</t>
  </si>
  <si>
    <t>Renal Plus Sterilised, Somonlu Kısırlaştırılmış Kedi Maması 1.5 Kg 7613033566387, one size</t>
  </si>
  <si>
    <t>Purina Karışık Kedi Yaş Maması 100 Adet 4002064412870-, one size</t>
  </si>
  <si>
    <t>Felix Sığır Etli Kedi Avantajlı Paket (4x85) Gr copy7613287487636, one size</t>
  </si>
  <si>
    <t>Düşük Tahıllı Somonlu Kısırlaştırılmış Kedi Maması 10 kg 8010276040046, one size</t>
  </si>
  <si>
    <t>Karışık Yetişkin Yaş Kedi Maması 85 Gr X 26 Adet 328, one size</t>
  </si>
  <si>
    <t>Felix Karışık Yaş Kedi Maması 20 Adet Flx, one size</t>
  </si>
  <si>
    <t>Pouch Karışık Yaş Kedi Maması 100 Adet FLX-KK-100, one size</t>
  </si>
  <si>
    <t>Karışık Yaş Kedi Maması 52 x 85 G şlsfvmkdfmbvlkdmfbklmd, one size</t>
  </si>
  <si>
    <t>Karışık Paket Pouch Kedi Konservesi 26 x 85 gr fwfwrgergrtghtr, one size</t>
  </si>
  <si>
    <t>Duo Malt Paste Tüy Yumağı Kontrol Kedi Macunu 100 gr - 2 Adet BRSKD0054, one size</t>
  </si>
  <si>
    <t>Proplan Delicate Hassas Sindirim Sistemi Kedi Konserve 85gr 12'li dop6990321igo1, one size</t>
  </si>
  <si>
    <t>Persian Iran Kedi Maması 2 kg (V2) HBCV00000QGS0U-02, one size</t>
  </si>
  <si>
    <t>Ancestral Grain Kuzulu Yaban Mersinli Düşük Tahıllı Yetişkin Kedi Maması 1,5 Kg TYC00438640908, one size</t>
  </si>
  <si>
    <t xml:space="preserve">Kedi Konservesi Karışık (poşet) X 100 Adet X 85 Gr, felix100, </t>
  </si>
  <si>
    <t>Tarih</t>
  </si>
  <si>
    <t>Seviye</t>
  </si>
  <si>
    <t>Mesaj</t>
  </si>
  <si>
    <t>Detay</t>
  </si>
  <si>
    <t>INFO</t>
  </si>
  <si>
    <t>Urun senkronizasyonu tamamlandi.</t>
  </si>
  <si>
    <t>{"rowCount":464}</t>
  </si>
  <si>
    <t>WARN</t>
  </si>
  <si>
    <t>Buybox bilgileri cekilemedi, urun listesi buybox kolonlari bos yazilacak.</t>
  </si>
  <si>
    <t>{"statusCode":"","responseBody":""}</t>
  </si>
  <si>
    <t>{"rowCount":464,"buyboxBarcodeCount":0}</t>
  </si>
  <si>
    <t>{"rowCount":464,"buyboxBarcodeCount":195}</t>
  </si>
  <si>
    <t>Karlilik analiz sekmeleri hazirlandi.</t>
  </si>
  <si>
    <t>{}</t>
  </si>
  <si>
    <t>Siparis karlilik analizi guncellendi.</t>
  </si>
  <si>
    <t>{"orderCount":1490,"orderLineCount":1565}</t>
  </si>
  <si>
    <t>ERROR</t>
  </si>
  <si>
    <t>401 Unauthorized: API Key/API Secret veya sellerId hatali olabilir.</t>
  </si>
  <si>
    <t>{"statusCode":401,"responseBody":"{\"path\":\"/sellers/1156908/products/approved\",\"exception\":\"TrendyolAuthorizationException\",\"traceId\":\"50d00cc20bdd4032ae1312b22fd2f9b9\",\"timestamp\":1779482101864,\"errors\":[{\"key\":\"authentication.error\",\"message\":\"Kimlik doğrulama hatası\",\"errorCode\":\"\"}]}"}</t>
  </si>
  <si>
    <t>{"rowCount":464,"buyboxBarcodeCount":204}</t>
  </si>
  <si>
    <t>Kargo Ücreti</t>
  </si>
  <si>
    <t>Ürün Maliyeti</t>
  </si>
  <si>
    <t>Hizmet Bedeli</t>
  </si>
  <si>
    <t>Stopaj Kesintisi</t>
  </si>
  <si>
    <t>Ödenecek KDV</t>
  </si>
  <si>
    <t>BuyBox Farkı</t>
  </si>
  <si>
    <t>Risk Seviyesi</t>
  </si>
  <si>
    <t>Önerilen Aksiyon</t>
  </si>
  <si>
    <t>Son guncelleme</t>
  </si>
  <si>
    <t>Webhook Secret</t>
  </si>
  <si>
    <t>14781bcf3ff920f56ab26fead6c225c5abfd7fe5154f0d87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</si>
</sst>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 ₺"/>
    <numFmt numFmtId="165" formatCode="yyyy-mm-dd hh:mm:ss"/>
  </numFmts>
  <fonts count="8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9.0"/>
      <color theme="1"/>
      <name val="Calibri"/>
    </font>
    <font>
      <sz val="9.0"/>
      <color theme="1"/>
      <name val="Calibri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DC5A38"/>
        <bgColor rgb="FFDC5A38"/>
      </patternFill>
    </fill>
    <fill>
      <patternFill patternType="solid">
        <fgColor rgb="FFF3E4DD"/>
        <bgColor rgb="FFF3E4DD"/>
      </patternFill>
    </fill>
    <fill>
      <patternFill patternType="solid">
        <fgColor rgb="FFF26B47"/>
        <bgColor rgb="FFF26B47"/>
      </patternFill>
    </fill>
    <fill>
      <patternFill patternType="solid">
        <fgColor rgb="FFFFF4C6"/>
        <bgColor rgb="FFFFF4C6"/>
      </patternFill>
    </fill>
    <fill>
      <patternFill patternType="solid">
        <fgColor rgb="FFF8CB9C"/>
        <bgColor rgb="FFF8CB9C"/>
      </patternFill>
    </fill>
    <fill>
      <patternFill patternType="solid">
        <fgColor rgb="FFDAE1F0"/>
        <bgColor rgb="FFDAE1F0"/>
      </patternFill>
    </fill>
    <fill>
      <patternFill patternType="solid">
        <fgColor rgb="FFFBFB02"/>
        <bgColor rgb="FFFBFB02"/>
      </patternFill>
    </fill>
    <fill>
      <patternFill patternType="solid">
        <fgColor rgb="FFEDEDED"/>
        <bgColor rgb="FFEDEDED"/>
      </patternFill>
    </fill>
    <fill>
      <patternFill patternType="solid">
        <fgColor rgb="FFE25438"/>
        <bgColor rgb="FFE254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0" fillId="0" fontId="2" numFmtId="49" xfId="0" applyFont="1" applyNumberFormat="1"/>
    <xf borderId="0" fillId="3" fontId="3" numFmtId="49" xfId="0" applyAlignment="1" applyFill="1" applyFont="1" applyNumberFormat="1">
      <alignment readingOrder="0"/>
    </xf>
    <xf borderId="0" fillId="3" fontId="3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3" xfId="0" applyFont="1" applyNumberFormat="1"/>
    <xf borderId="0" fillId="3" fontId="3" numFmtId="164" xfId="0" applyFont="1" applyNumberFormat="1"/>
    <xf borderId="0" fillId="3" fontId="3" numFmtId="0" xfId="0" applyFont="1"/>
    <xf borderId="0" fillId="2" fontId="4" numFmtId="49" xfId="0" applyAlignment="1" applyFont="1" applyNumberFormat="1">
      <alignment readingOrder="0"/>
    </xf>
    <xf borderId="0" fillId="2" fontId="4" numFmtId="10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3" fontId="3" numFmtId="164" xfId="0" applyFont="1" applyNumberFormat="1"/>
    <xf borderId="0" fillId="0" fontId="2" numFmtId="0" xfId="0" applyFont="1"/>
    <xf borderId="0" fillId="3" fontId="3" numFmtId="10" xfId="0" applyFont="1" applyNumberFormat="1"/>
    <xf borderId="0" fillId="2" fontId="4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3" fontId="3" numFmtId="10" xfId="0" applyAlignment="1" applyFont="1" applyNumberFormat="1">
      <alignment readingOrder="0"/>
    </xf>
    <xf borderId="0" fillId="2" fontId="4" numFmtId="49" xfId="0" applyFont="1" applyNumberFormat="1"/>
    <xf borderId="0" fillId="2" fontId="4" numFmtId="0" xfId="0" applyFont="1"/>
    <xf borderId="0" fillId="2" fontId="4" numFmtId="4" xfId="0" applyFont="1" applyNumberFormat="1"/>
    <xf borderId="0" fillId="2" fontId="4" numFmtId="164" xfId="0" applyFont="1" applyNumberFormat="1"/>
    <xf borderId="0" fillId="2" fontId="4" numFmtId="10" xfId="0" applyFont="1" applyNumberFormat="1"/>
    <xf borderId="0" fillId="2" fontId="4" numFmtId="164" xfId="0" applyFont="1" applyNumberFormat="1"/>
    <xf borderId="0" fillId="0" fontId="2" numFmtId="4" xfId="0" applyFont="1" applyNumberFormat="1"/>
    <xf borderId="0" fillId="3" fontId="3" numFmtId="4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3" fontId="3" numFmtId="49" xfId="0" applyFont="1" applyNumberFormat="1"/>
    <xf borderId="0" fillId="0" fontId="2" numFmtId="2" xfId="0" applyFont="1" applyNumberFormat="1"/>
    <xf borderId="0" fillId="2" fontId="4" numFmtId="49" xfId="0" applyAlignment="1" applyFont="1" applyNumberFormat="1">
      <alignment horizontal="center" readingOrder="0"/>
    </xf>
    <xf borderId="0" fillId="2" fontId="4" numFmtId="0" xfId="0" applyAlignment="1" applyFont="1">
      <alignment horizontal="center" readingOrder="0"/>
    </xf>
    <xf borderId="0" fillId="0" fontId="2" numFmtId="2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1" fillId="6" fontId="5" numFmtId="0" xfId="0" applyAlignment="1" applyBorder="1" applyFill="1" applyFont="1">
      <alignment horizontal="center" readingOrder="0"/>
    </xf>
    <xf borderId="1" fillId="7" fontId="5" numFmtId="0" xfId="0" applyAlignment="1" applyBorder="1" applyFill="1" applyFont="1">
      <alignment horizontal="center" readingOrder="0"/>
    </xf>
    <xf borderId="1" fillId="8" fontId="5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9" fontId="6" numFmtId="0" xfId="0" applyAlignment="1" applyBorder="1" applyFont="1">
      <alignment horizontal="center" shrinkToFit="0" vertical="bottom" wrapText="0"/>
    </xf>
    <xf borderId="1" fillId="8" fontId="6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4" numFmtId="49" xfId="0" applyAlignment="1" applyFont="1" applyNumberFormat="1">
      <alignment horizontal="center" readingOrder="0"/>
    </xf>
    <xf borderId="0" fillId="4" fontId="4" numFmtId="0" xfId="0" applyAlignment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0" fontId="2" numFmtId="49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BF1616"/>
      </font>
      <fill>
        <patternFill patternType="solid">
          <fgColor rgb="FFFFDDDD"/>
          <bgColor rgb="FFFFDDDD"/>
        </patternFill>
      </fill>
      <border/>
    </dxf>
    <dxf>
      <font>
        <b/>
        <color rgb="FF166D2D"/>
      </font>
      <fill>
        <patternFill patternType="solid">
          <fgColor rgb="FFD8F4DB"/>
          <bgColor rgb="FFD8F4DB"/>
        </patternFill>
      </fill>
      <border/>
    </dxf>
    <dxf>
      <font>
        <b/>
        <color rgb="FFA55400"/>
      </font>
      <fill>
        <patternFill patternType="solid">
          <fgColor rgb="FFFFF4CC"/>
          <bgColor rgb="FFFFF4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trendyol.com/abc/xyz-p-1044195097?&amp;merchantId=1156908&amp;filterOverPriceListings=false" TargetMode="External"/><Relationship Id="rId194" Type="http://schemas.openxmlformats.org/officeDocument/2006/relationships/hyperlink" Target="https://www.trendyol.com/abc/xyz-p-97155182?&amp;merchantId=1156908&amp;filterOverPriceListings=false" TargetMode="External"/><Relationship Id="rId193" Type="http://schemas.openxmlformats.org/officeDocument/2006/relationships/hyperlink" Target="https://www.trendyol.com/abc/xyz-p-750123?&amp;merchantId=1156908&amp;filterOverPriceListings=false" TargetMode="External"/><Relationship Id="rId192" Type="http://schemas.openxmlformats.org/officeDocument/2006/relationships/hyperlink" Target="https://www.trendyol.com/abc/xyz-p-44822644?&amp;merchantId=1156908&amp;filterOverPriceListings=false" TargetMode="External"/><Relationship Id="rId191" Type="http://schemas.openxmlformats.org/officeDocument/2006/relationships/hyperlink" Target="https://www.trendyol.com/abc/xyz-p-44795492?&amp;merchantId=1156908&amp;filterOverPriceListings=false" TargetMode="External"/><Relationship Id="rId187" Type="http://schemas.openxmlformats.org/officeDocument/2006/relationships/hyperlink" Target="https://www.trendyol.com/abc/xyz-p-650696023?&amp;merchantId=1156908&amp;filterOverPriceListings=false" TargetMode="External"/><Relationship Id="rId186" Type="http://schemas.openxmlformats.org/officeDocument/2006/relationships/hyperlink" Target="https://www.trendyol.com/abc/xyz-p-674218257?&amp;merchantId=1156908&amp;filterOverPriceListings=false" TargetMode="External"/><Relationship Id="rId185" Type="http://schemas.openxmlformats.org/officeDocument/2006/relationships/hyperlink" Target="https://www.trendyol.com/abc/xyz-p-750125?&amp;merchantId=1156908&amp;filterOverPriceListings=false" TargetMode="External"/><Relationship Id="rId184" Type="http://schemas.openxmlformats.org/officeDocument/2006/relationships/hyperlink" Target="https://www.trendyol.com/abc/xyz-p-1073769369?&amp;merchantId=1156908&amp;filterOverPriceListings=false" TargetMode="External"/><Relationship Id="rId189" Type="http://schemas.openxmlformats.org/officeDocument/2006/relationships/hyperlink" Target="https://www.trendyol.com/abc/xyz-p-6353571?&amp;merchantId=1156908&amp;filterOverPriceListings=false" TargetMode="External"/><Relationship Id="rId188" Type="http://schemas.openxmlformats.org/officeDocument/2006/relationships/hyperlink" Target="https://www.trendyol.com/abc/xyz-p-109956434?&amp;merchantId=1156908&amp;filterOverPriceListings=false" TargetMode="External"/><Relationship Id="rId183" Type="http://schemas.openxmlformats.org/officeDocument/2006/relationships/hyperlink" Target="https://www.trendyol.com/abc/xyz-p-235833090?&amp;merchantId=1156908&amp;filterOverPriceListings=false" TargetMode="External"/><Relationship Id="rId182" Type="http://schemas.openxmlformats.org/officeDocument/2006/relationships/hyperlink" Target="https://www.trendyol.com/abc/xyz-p-32793291?&amp;merchantId=1156908&amp;filterOverPriceListings=false" TargetMode="External"/><Relationship Id="rId181" Type="http://schemas.openxmlformats.org/officeDocument/2006/relationships/hyperlink" Target="https://www.trendyol.com/abc/xyz-p-91853498?&amp;merchantId=1156908&amp;filterOverPriceListings=false" TargetMode="External"/><Relationship Id="rId180" Type="http://schemas.openxmlformats.org/officeDocument/2006/relationships/hyperlink" Target="https://www.trendyol.com/abc/xyz-p-51856548?&amp;merchantId=1156908&amp;filterOverPriceListings=false" TargetMode="External"/><Relationship Id="rId176" Type="http://schemas.openxmlformats.org/officeDocument/2006/relationships/hyperlink" Target="https://www.trendyol.com/abc/xyz-p-864147440?&amp;merchantId=1156908&amp;filterOverPriceListings=false" TargetMode="External"/><Relationship Id="rId297" Type="http://schemas.openxmlformats.org/officeDocument/2006/relationships/hyperlink" Target="https://www.trendyol.com/abc/xyz-p-1066202592?&amp;merchantId=1156908&amp;filterOverPriceListings=false" TargetMode="External"/><Relationship Id="rId175" Type="http://schemas.openxmlformats.org/officeDocument/2006/relationships/hyperlink" Target="https://www.trendyol.com/abc/xyz-p-850249059?&amp;merchantId=1156908&amp;filterOverPriceListings=false" TargetMode="External"/><Relationship Id="rId296" Type="http://schemas.openxmlformats.org/officeDocument/2006/relationships/hyperlink" Target="https://www.trendyol.com/abc/xyz-p-1066202590?&amp;merchantId=1156908&amp;filterOverPriceListings=false" TargetMode="External"/><Relationship Id="rId174" Type="http://schemas.openxmlformats.org/officeDocument/2006/relationships/hyperlink" Target="https://www.trendyol.com/abc/xyz-p-34406522?&amp;merchantId=1156908&amp;filterOverPriceListings=false" TargetMode="External"/><Relationship Id="rId295" Type="http://schemas.openxmlformats.org/officeDocument/2006/relationships/hyperlink" Target="https://www.trendyol.com/abc/xyz-p-1066202595?&amp;merchantId=1156908&amp;filterOverPriceListings=false" TargetMode="External"/><Relationship Id="rId173" Type="http://schemas.openxmlformats.org/officeDocument/2006/relationships/hyperlink" Target="https://www.trendyol.com/abc/xyz-p-745891410?&amp;merchantId=1156908&amp;filterOverPriceListings=false" TargetMode="External"/><Relationship Id="rId294" Type="http://schemas.openxmlformats.org/officeDocument/2006/relationships/hyperlink" Target="https://www.trendyol.com/abc/xyz-p-1066202589?&amp;merchantId=1156908&amp;filterOverPriceListings=false" TargetMode="External"/><Relationship Id="rId179" Type="http://schemas.openxmlformats.org/officeDocument/2006/relationships/hyperlink" Target="https://www.trendyol.com/abc/xyz-p-877160934?&amp;merchantId=1156908&amp;filterOverPriceListings=false" TargetMode="External"/><Relationship Id="rId178" Type="http://schemas.openxmlformats.org/officeDocument/2006/relationships/hyperlink" Target="https://www.trendyol.com/abc/xyz-p-712512628?&amp;merchantId=1156908&amp;filterOverPriceListings=false" TargetMode="External"/><Relationship Id="rId299" Type="http://schemas.openxmlformats.org/officeDocument/2006/relationships/hyperlink" Target="https://www.trendyol.com/abc/xyz-p-1066202591?&amp;merchantId=1156908&amp;filterOverPriceListings=false" TargetMode="External"/><Relationship Id="rId177" Type="http://schemas.openxmlformats.org/officeDocument/2006/relationships/hyperlink" Target="https://www.trendyol.com/abc/xyz-p-33696842?&amp;merchantId=1156908&amp;filterOverPriceListings=false" TargetMode="External"/><Relationship Id="rId298" Type="http://schemas.openxmlformats.org/officeDocument/2006/relationships/hyperlink" Target="https://www.trendyol.com/abc/xyz-p-1066202596?&amp;merchantId=1156908&amp;filterOverPriceListings=false" TargetMode="External"/><Relationship Id="rId198" Type="http://schemas.openxmlformats.org/officeDocument/2006/relationships/hyperlink" Target="https://www.trendyol.com/abc/xyz-p-4311380?&amp;merchantId=1156908&amp;filterOverPriceListings=false" TargetMode="External"/><Relationship Id="rId197" Type="http://schemas.openxmlformats.org/officeDocument/2006/relationships/hyperlink" Target="https://www.trendyol.com/abc/xyz-p-1095769088?&amp;merchantId=1156908&amp;filterOverPriceListings=false" TargetMode="External"/><Relationship Id="rId196" Type="http://schemas.openxmlformats.org/officeDocument/2006/relationships/hyperlink" Target="https://www.trendyol.com/abc/xyz-p-925659?&amp;merchantId=1156908&amp;filterOverPriceListings=false" TargetMode="External"/><Relationship Id="rId195" Type="http://schemas.openxmlformats.org/officeDocument/2006/relationships/hyperlink" Target="https://www.trendyol.com/abc/xyz-p-235754794?&amp;merchantId=1156908&amp;filterOverPriceListings=false" TargetMode="External"/><Relationship Id="rId199" Type="http://schemas.openxmlformats.org/officeDocument/2006/relationships/hyperlink" Target="https://www.trendyol.com/abc/xyz-p-283544741?&amp;merchantId=1156908&amp;filterOverPriceListings=false" TargetMode="External"/><Relationship Id="rId150" Type="http://schemas.openxmlformats.org/officeDocument/2006/relationships/hyperlink" Target="https://www.trendyol.com/abc/xyz-p-1047910743?&amp;merchantId=1156908&amp;filterOverPriceListings=false" TargetMode="External"/><Relationship Id="rId271" Type="http://schemas.openxmlformats.org/officeDocument/2006/relationships/hyperlink" Target="https://www.trendyol.com/abc/xyz-p-1076400058?&amp;merchantId=1156908&amp;filterOverPriceListings=false" TargetMode="External"/><Relationship Id="rId392" Type="http://schemas.openxmlformats.org/officeDocument/2006/relationships/hyperlink" Target="https://www.trendyol.com/abc/xyz-p-1914357?&amp;merchantId=1156908&amp;filterOverPriceListings=false" TargetMode="External"/><Relationship Id="rId270" Type="http://schemas.openxmlformats.org/officeDocument/2006/relationships/hyperlink" Target="https://www.trendyol.com/abc/xyz-p-896046506?&amp;merchantId=1156908&amp;filterOverPriceListings=false" TargetMode="External"/><Relationship Id="rId391" Type="http://schemas.openxmlformats.org/officeDocument/2006/relationships/hyperlink" Target="https://www.trendyol.com/abc/xyz-p-50471501?&amp;merchantId=1156908&amp;filterOverPriceListings=false" TargetMode="External"/><Relationship Id="rId390" Type="http://schemas.openxmlformats.org/officeDocument/2006/relationships/hyperlink" Target="https://www.trendyol.com/abc/xyz-p-750120?&amp;merchantId=1156908&amp;filterOverPriceListings=false" TargetMode="External"/><Relationship Id="rId1" Type="http://schemas.openxmlformats.org/officeDocument/2006/relationships/hyperlink" Target="https://www.trendyol.com/abc/xyz-p-4638429?&amp;merchantId=1156908&amp;filterOverPriceListings=false" TargetMode="External"/><Relationship Id="rId2" Type="http://schemas.openxmlformats.org/officeDocument/2006/relationships/hyperlink" Target="https://www.trendyol.com/abc/xyz-p-750142?&amp;merchantId=1156908&amp;filterOverPriceListings=false" TargetMode="External"/><Relationship Id="rId3" Type="http://schemas.openxmlformats.org/officeDocument/2006/relationships/hyperlink" Target="https://www.trendyol.com/abc/xyz-p-2269242?&amp;merchantId=1156908&amp;filterOverPriceListings=false" TargetMode="External"/><Relationship Id="rId149" Type="http://schemas.openxmlformats.org/officeDocument/2006/relationships/hyperlink" Target="https://www.trendyol.com/abc/xyz-p-1056284855?&amp;merchantId=1156908&amp;filterOverPriceListings=false" TargetMode="External"/><Relationship Id="rId4" Type="http://schemas.openxmlformats.org/officeDocument/2006/relationships/hyperlink" Target="https://www.trendyol.com/abc/xyz-p-750137?&amp;merchantId=1156908&amp;filterOverPriceListings=false" TargetMode="External"/><Relationship Id="rId148" Type="http://schemas.openxmlformats.org/officeDocument/2006/relationships/hyperlink" Target="https://www.trendyol.com/abc/xyz-p-1065006346?&amp;merchantId=1156908&amp;filterOverPriceListings=false" TargetMode="External"/><Relationship Id="rId269" Type="http://schemas.openxmlformats.org/officeDocument/2006/relationships/hyperlink" Target="https://www.trendyol.com/abc/xyz-p-1076606882?&amp;merchantId=1156908&amp;filterOverPriceListings=false" TargetMode="External"/><Relationship Id="rId9" Type="http://schemas.openxmlformats.org/officeDocument/2006/relationships/hyperlink" Target="https://www.trendyol.com/abc/xyz-p-2564795?&amp;merchantId=1156908&amp;filterOverPriceListings=false" TargetMode="External"/><Relationship Id="rId143" Type="http://schemas.openxmlformats.org/officeDocument/2006/relationships/hyperlink" Target="https://www.trendyol.com/abc/xyz-p-251190771?&amp;merchantId=1156908&amp;filterOverPriceListings=false" TargetMode="External"/><Relationship Id="rId264" Type="http://schemas.openxmlformats.org/officeDocument/2006/relationships/hyperlink" Target="https://www.trendyol.com/abc/xyz-p-147042744?&amp;merchantId=1156908&amp;filterOverPriceListings=false" TargetMode="External"/><Relationship Id="rId385" Type="http://schemas.openxmlformats.org/officeDocument/2006/relationships/hyperlink" Target="https://www.trendyol.com/abc/xyz-p-305380294?&amp;merchantId=1156908&amp;filterOverPriceListings=false" TargetMode="External"/><Relationship Id="rId142" Type="http://schemas.openxmlformats.org/officeDocument/2006/relationships/hyperlink" Target="https://www.trendyol.com/abc/xyz-p-251670068?&amp;merchantId=1156908&amp;filterOverPriceListings=false" TargetMode="External"/><Relationship Id="rId263" Type="http://schemas.openxmlformats.org/officeDocument/2006/relationships/hyperlink" Target="https://www.trendyol.com/abc/xyz-p-239426173?&amp;merchantId=1156908&amp;filterOverPriceListings=false" TargetMode="External"/><Relationship Id="rId384" Type="http://schemas.openxmlformats.org/officeDocument/2006/relationships/hyperlink" Target="https://www.trendyol.com/abc/xyz-p-1199865?&amp;merchantId=1156908&amp;filterOverPriceListings=false" TargetMode="External"/><Relationship Id="rId141" Type="http://schemas.openxmlformats.org/officeDocument/2006/relationships/hyperlink" Target="https://www.trendyol.com/abc/xyz-p-251685886?&amp;merchantId=1156908&amp;filterOverPriceListings=false" TargetMode="External"/><Relationship Id="rId262" Type="http://schemas.openxmlformats.org/officeDocument/2006/relationships/hyperlink" Target="https://www.trendyol.com/abc/xyz-p-1198982?&amp;merchantId=1156908&amp;filterOverPriceListings=false" TargetMode="External"/><Relationship Id="rId383" Type="http://schemas.openxmlformats.org/officeDocument/2006/relationships/hyperlink" Target="https://www.trendyol.com/abc/xyz-p-1056097841?&amp;merchantId=1156908&amp;filterOverPriceListings=false" TargetMode="External"/><Relationship Id="rId140" Type="http://schemas.openxmlformats.org/officeDocument/2006/relationships/hyperlink" Target="https://www.trendyol.com/abc/xyz-p-251685639?&amp;merchantId=1156908&amp;filterOverPriceListings=false" TargetMode="External"/><Relationship Id="rId261" Type="http://schemas.openxmlformats.org/officeDocument/2006/relationships/hyperlink" Target="https://www.trendyol.com/abc/xyz-p-1914491?&amp;merchantId=1156908&amp;filterOverPriceListings=false" TargetMode="External"/><Relationship Id="rId382" Type="http://schemas.openxmlformats.org/officeDocument/2006/relationships/hyperlink" Target="https://www.trendyol.com/abc/xyz-p-969653592?&amp;merchantId=1156908&amp;filterOverPriceListings=false" TargetMode="External"/><Relationship Id="rId5" Type="http://schemas.openxmlformats.org/officeDocument/2006/relationships/hyperlink" Target="https://www.trendyol.com/abc/xyz-p-167840465?&amp;merchantId=1156908&amp;filterOverPriceListings=false" TargetMode="External"/><Relationship Id="rId147" Type="http://schemas.openxmlformats.org/officeDocument/2006/relationships/hyperlink" Target="https://www.trendyol.com/abc/xyz-p-1103506153?&amp;merchantId=1156908&amp;filterOverPriceListings=false" TargetMode="External"/><Relationship Id="rId268" Type="http://schemas.openxmlformats.org/officeDocument/2006/relationships/hyperlink" Target="https://www.trendyol.com/abc/xyz-p-750107?&amp;merchantId=1156908&amp;filterOverPriceListings=false" TargetMode="External"/><Relationship Id="rId389" Type="http://schemas.openxmlformats.org/officeDocument/2006/relationships/hyperlink" Target="https://www.trendyol.com/abc/xyz-p-925663?&amp;merchantId=1156908&amp;filterOverPriceListings=false" TargetMode="External"/><Relationship Id="rId6" Type="http://schemas.openxmlformats.org/officeDocument/2006/relationships/hyperlink" Target="https://www.trendyol.com/abc/xyz-p-925111?&amp;merchantId=1156908&amp;filterOverPriceListings=false" TargetMode="External"/><Relationship Id="rId146" Type="http://schemas.openxmlformats.org/officeDocument/2006/relationships/hyperlink" Target="https://www.trendyol.com/abc/xyz-p-1093663531?&amp;merchantId=1156908&amp;filterOverPriceListings=false" TargetMode="External"/><Relationship Id="rId267" Type="http://schemas.openxmlformats.org/officeDocument/2006/relationships/hyperlink" Target="https://www.trendyol.com/abc/xyz-p-457192059?&amp;merchantId=1156908&amp;filterOverPriceListings=false" TargetMode="External"/><Relationship Id="rId388" Type="http://schemas.openxmlformats.org/officeDocument/2006/relationships/hyperlink" Target="https://www.trendyol.com/abc/xyz-p-750112?&amp;merchantId=1156908&amp;filterOverPriceListings=false" TargetMode="External"/><Relationship Id="rId7" Type="http://schemas.openxmlformats.org/officeDocument/2006/relationships/hyperlink" Target="https://www.trendyol.com/abc/xyz-p-1959452?&amp;merchantId=1156908&amp;filterOverPriceListings=false" TargetMode="External"/><Relationship Id="rId145" Type="http://schemas.openxmlformats.org/officeDocument/2006/relationships/hyperlink" Target="https://www.trendyol.com/abc/xyz-p-4311383?&amp;merchantId=1156908&amp;filterOverPriceListings=false" TargetMode="External"/><Relationship Id="rId266" Type="http://schemas.openxmlformats.org/officeDocument/2006/relationships/hyperlink" Target="https://www.trendyol.com/abc/xyz-p-74116575?&amp;merchantId=1156908&amp;filterOverPriceListings=false" TargetMode="External"/><Relationship Id="rId387" Type="http://schemas.openxmlformats.org/officeDocument/2006/relationships/hyperlink" Target="https://www.trendyol.com/abc/xyz-p-750128?&amp;merchantId=1156908&amp;filterOverPriceListings=false" TargetMode="External"/><Relationship Id="rId8" Type="http://schemas.openxmlformats.org/officeDocument/2006/relationships/hyperlink" Target="https://www.trendyol.com/abc/xyz-p-925110?&amp;merchantId=1156908&amp;filterOverPriceListings=false" TargetMode="External"/><Relationship Id="rId144" Type="http://schemas.openxmlformats.org/officeDocument/2006/relationships/hyperlink" Target="https://www.trendyol.com/abc/xyz-p-345053168?&amp;merchantId=1156908&amp;filterOverPriceListings=false" TargetMode="External"/><Relationship Id="rId265" Type="http://schemas.openxmlformats.org/officeDocument/2006/relationships/hyperlink" Target="https://www.trendyol.com/abc/xyz-p-251658959?&amp;merchantId=1156908&amp;filterOverPriceListings=false" TargetMode="External"/><Relationship Id="rId386" Type="http://schemas.openxmlformats.org/officeDocument/2006/relationships/hyperlink" Target="https://www.trendyol.com/abc/xyz-p-750111?&amp;merchantId=1156908&amp;filterOverPriceListings=false" TargetMode="External"/><Relationship Id="rId260" Type="http://schemas.openxmlformats.org/officeDocument/2006/relationships/hyperlink" Target="https://www.trendyol.com/abc/xyz-p-709661350?&amp;merchantId=1156908&amp;filterOverPriceListings=false" TargetMode="External"/><Relationship Id="rId381" Type="http://schemas.openxmlformats.org/officeDocument/2006/relationships/hyperlink" Target="https://www.trendyol.com/abc/xyz-p-988435582?&amp;merchantId=1156908&amp;filterOverPriceListings=false" TargetMode="External"/><Relationship Id="rId380" Type="http://schemas.openxmlformats.org/officeDocument/2006/relationships/hyperlink" Target="https://www.trendyol.com/abc/xyz-p-969634507?&amp;merchantId=1156908&amp;filterOverPriceListings=false" TargetMode="External"/><Relationship Id="rId139" Type="http://schemas.openxmlformats.org/officeDocument/2006/relationships/hyperlink" Target="https://www.trendyol.com/abc/xyz-p-4257131?&amp;merchantId=1156908&amp;filterOverPriceListings=false" TargetMode="External"/><Relationship Id="rId138" Type="http://schemas.openxmlformats.org/officeDocument/2006/relationships/hyperlink" Target="https://www.trendyol.com/abc/xyz-p-2187247?&amp;merchantId=1156908&amp;filterOverPriceListings=false" TargetMode="External"/><Relationship Id="rId259" Type="http://schemas.openxmlformats.org/officeDocument/2006/relationships/hyperlink" Target="https://www.trendyol.com/abc/xyz-p-819596947?&amp;merchantId=1156908&amp;filterOverPriceListings=false" TargetMode="External"/><Relationship Id="rId137" Type="http://schemas.openxmlformats.org/officeDocument/2006/relationships/hyperlink" Target="https://www.trendyol.com/abc/xyz-p-337045690?&amp;merchantId=1156908&amp;filterOverPriceListings=false" TargetMode="External"/><Relationship Id="rId258" Type="http://schemas.openxmlformats.org/officeDocument/2006/relationships/hyperlink" Target="https://www.trendyol.com/abc/xyz-p-33694557?&amp;merchantId=1156908&amp;filterOverPriceListings=false" TargetMode="External"/><Relationship Id="rId379" Type="http://schemas.openxmlformats.org/officeDocument/2006/relationships/hyperlink" Target="https://www.trendyol.com/abc/xyz-p-924362265?&amp;merchantId=1156908&amp;filterOverPriceListings=false" TargetMode="External"/><Relationship Id="rId132" Type="http://schemas.openxmlformats.org/officeDocument/2006/relationships/hyperlink" Target="https://www.trendyol.com/abc/xyz-p-68196342?&amp;merchantId=1156908&amp;filterOverPriceListings=false" TargetMode="External"/><Relationship Id="rId253" Type="http://schemas.openxmlformats.org/officeDocument/2006/relationships/hyperlink" Target="https://www.trendyol.com/abc/xyz-p-6353569?&amp;merchantId=1156908&amp;filterOverPriceListings=false" TargetMode="External"/><Relationship Id="rId374" Type="http://schemas.openxmlformats.org/officeDocument/2006/relationships/hyperlink" Target="https://www.trendyol.com/abc/xyz-p-876792323?&amp;merchantId=1156908&amp;filterOverPriceListings=false" TargetMode="External"/><Relationship Id="rId131" Type="http://schemas.openxmlformats.org/officeDocument/2006/relationships/hyperlink" Target="https://www.trendyol.com/abc/xyz-p-1056283648?&amp;merchantId=1156908&amp;filterOverPriceListings=false" TargetMode="External"/><Relationship Id="rId252" Type="http://schemas.openxmlformats.org/officeDocument/2006/relationships/hyperlink" Target="https://www.trendyol.com/abc/xyz-p-120627098?&amp;merchantId=1156908&amp;filterOverPriceListings=false" TargetMode="External"/><Relationship Id="rId373" Type="http://schemas.openxmlformats.org/officeDocument/2006/relationships/hyperlink" Target="https://www.trendyol.com/abc/xyz-p-892295041?&amp;merchantId=1156908&amp;filterOverPriceListings=false" TargetMode="External"/><Relationship Id="rId130" Type="http://schemas.openxmlformats.org/officeDocument/2006/relationships/hyperlink" Target="https://www.trendyol.com/abc/xyz-p-2187260?&amp;merchantId=1156908&amp;filterOverPriceListings=false" TargetMode="External"/><Relationship Id="rId251" Type="http://schemas.openxmlformats.org/officeDocument/2006/relationships/hyperlink" Target="https://www.trendyol.com/abc/xyz-p-6353587?&amp;merchantId=1156908&amp;filterOverPriceListings=false" TargetMode="External"/><Relationship Id="rId372" Type="http://schemas.openxmlformats.org/officeDocument/2006/relationships/hyperlink" Target="https://www.trendyol.com/abc/xyz-p-978734062?&amp;merchantId=1156908&amp;filterOverPriceListings=false" TargetMode="External"/><Relationship Id="rId250" Type="http://schemas.openxmlformats.org/officeDocument/2006/relationships/hyperlink" Target="https://www.trendyol.com/abc/xyz-p-96662799?&amp;merchantId=1156908&amp;filterOverPriceListings=false" TargetMode="External"/><Relationship Id="rId371" Type="http://schemas.openxmlformats.org/officeDocument/2006/relationships/hyperlink" Target="https://www.trendyol.com/abc/xyz-p-834465019?&amp;merchantId=1156908&amp;filterOverPriceListings=false" TargetMode="External"/><Relationship Id="rId136" Type="http://schemas.openxmlformats.org/officeDocument/2006/relationships/hyperlink" Target="https://www.trendyol.com/abc/xyz-p-28271709?&amp;merchantId=1156908&amp;filterOverPriceListings=false" TargetMode="External"/><Relationship Id="rId257" Type="http://schemas.openxmlformats.org/officeDocument/2006/relationships/hyperlink" Target="https://www.trendyol.com/abc/xyz-p-919959811?&amp;merchantId=1156908&amp;filterOverPriceListings=false" TargetMode="External"/><Relationship Id="rId378" Type="http://schemas.openxmlformats.org/officeDocument/2006/relationships/hyperlink" Target="https://www.trendyol.com/abc/xyz-p-1095831970?&amp;merchantId=1156908&amp;filterOverPriceListings=false" TargetMode="External"/><Relationship Id="rId135" Type="http://schemas.openxmlformats.org/officeDocument/2006/relationships/hyperlink" Target="https://www.trendyol.com/abc/xyz-p-1914302?&amp;merchantId=1156908&amp;filterOverPriceListings=false" TargetMode="External"/><Relationship Id="rId256" Type="http://schemas.openxmlformats.org/officeDocument/2006/relationships/hyperlink" Target="https://www.trendyol.com/abc/xyz-p-882402568?&amp;merchantId=1156908&amp;filterOverPriceListings=false" TargetMode="External"/><Relationship Id="rId377" Type="http://schemas.openxmlformats.org/officeDocument/2006/relationships/hyperlink" Target="https://www.trendyol.com/abc/xyz-p-969651086?&amp;merchantId=1156908&amp;filterOverPriceListings=false" TargetMode="External"/><Relationship Id="rId134" Type="http://schemas.openxmlformats.org/officeDocument/2006/relationships/hyperlink" Target="https://www.trendyol.com/abc/xyz-p-323026431?&amp;merchantId=1156908&amp;filterOverPriceListings=false" TargetMode="External"/><Relationship Id="rId255" Type="http://schemas.openxmlformats.org/officeDocument/2006/relationships/hyperlink" Target="https://www.trendyol.com/abc/xyz-p-925656?&amp;merchantId=1156908&amp;filterOverPriceListings=false" TargetMode="External"/><Relationship Id="rId376" Type="http://schemas.openxmlformats.org/officeDocument/2006/relationships/hyperlink" Target="https://www.trendyol.com/abc/xyz-p-969651086?&amp;merchantId=1156908&amp;filterOverPriceListings=false" TargetMode="External"/><Relationship Id="rId133" Type="http://schemas.openxmlformats.org/officeDocument/2006/relationships/hyperlink" Target="https://www.trendyol.com/abc/xyz-p-68396408?&amp;merchantId=1156908&amp;filterOverPriceListings=false" TargetMode="External"/><Relationship Id="rId254" Type="http://schemas.openxmlformats.org/officeDocument/2006/relationships/hyperlink" Target="https://www.trendyol.com/abc/xyz-p-74405335?&amp;merchantId=1156908&amp;filterOverPriceListings=false" TargetMode="External"/><Relationship Id="rId375" Type="http://schemas.openxmlformats.org/officeDocument/2006/relationships/hyperlink" Target="https://www.trendyol.com/abc/xyz-p-989100894?&amp;merchantId=1156908&amp;filterOverPriceListings=false" TargetMode="External"/><Relationship Id="rId172" Type="http://schemas.openxmlformats.org/officeDocument/2006/relationships/hyperlink" Target="https://www.trendyol.com/abc/xyz-p-780625667?&amp;merchantId=1156908&amp;filterOverPriceListings=false" TargetMode="External"/><Relationship Id="rId293" Type="http://schemas.openxmlformats.org/officeDocument/2006/relationships/hyperlink" Target="https://www.trendyol.com/abc/xyz-p-35824582?&amp;merchantId=1156908&amp;filterOverPriceListings=false" TargetMode="External"/><Relationship Id="rId171" Type="http://schemas.openxmlformats.org/officeDocument/2006/relationships/hyperlink" Target="https://www.trendyol.com/abc/xyz-p-652260881?&amp;merchantId=1156908&amp;filterOverPriceListings=false" TargetMode="External"/><Relationship Id="rId292" Type="http://schemas.openxmlformats.org/officeDocument/2006/relationships/hyperlink" Target="https://www.trendyol.com/abc/xyz-p-837519777?&amp;merchantId=1156908&amp;filterOverPriceListings=false" TargetMode="External"/><Relationship Id="rId170" Type="http://schemas.openxmlformats.org/officeDocument/2006/relationships/hyperlink" Target="https://www.trendyol.com/abc/xyz-p-674505478?&amp;merchantId=1156908&amp;filterOverPriceListings=false" TargetMode="External"/><Relationship Id="rId291" Type="http://schemas.openxmlformats.org/officeDocument/2006/relationships/hyperlink" Target="https://www.trendyol.com/abc/xyz-p-970662688?&amp;merchantId=1156908&amp;filterOverPriceListings=false" TargetMode="External"/><Relationship Id="rId290" Type="http://schemas.openxmlformats.org/officeDocument/2006/relationships/hyperlink" Target="https://www.trendyol.com/abc/xyz-p-870554509?&amp;merchantId=1156908&amp;filterOverPriceListings=false" TargetMode="External"/><Relationship Id="rId165" Type="http://schemas.openxmlformats.org/officeDocument/2006/relationships/hyperlink" Target="https://www.trendyol.com/abc/xyz-p-879892910?&amp;merchantId=1156908&amp;filterOverPriceListings=false" TargetMode="External"/><Relationship Id="rId286" Type="http://schemas.openxmlformats.org/officeDocument/2006/relationships/hyperlink" Target="https://www.trendyol.com/abc/xyz-p-870554456?&amp;merchantId=1156908&amp;filterOverPriceListings=false" TargetMode="External"/><Relationship Id="rId164" Type="http://schemas.openxmlformats.org/officeDocument/2006/relationships/hyperlink" Target="https://www.trendyol.com/abc/xyz-p-1092392532?&amp;merchantId=1156908&amp;filterOverPriceListings=false" TargetMode="External"/><Relationship Id="rId285" Type="http://schemas.openxmlformats.org/officeDocument/2006/relationships/hyperlink" Target="https://www.trendyol.com/abc/xyz-p-975162955?&amp;merchantId=1156908&amp;filterOverPriceListings=false" TargetMode="External"/><Relationship Id="rId163" Type="http://schemas.openxmlformats.org/officeDocument/2006/relationships/hyperlink" Target="https://www.trendyol.com/abc/xyz-p-749697695?&amp;merchantId=1156908&amp;filterOverPriceListings=false" TargetMode="External"/><Relationship Id="rId284" Type="http://schemas.openxmlformats.org/officeDocument/2006/relationships/hyperlink" Target="https://www.trendyol.com/abc/xyz-p-753786209?&amp;merchantId=1156908&amp;filterOverPriceListings=false" TargetMode="External"/><Relationship Id="rId162" Type="http://schemas.openxmlformats.org/officeDocument/2006/relationships/hyperlink" Target="https://www.trendyol.com/abc/xyz-p-1092420127?&amp;merchantId=1156908&amp;filterOverPriceListings=false" TargetMode="External"/><Relationship Id="rId283" Type="http://schemas.openxmlformats.org/officeDocument/2006/relationships/hyperlink" Target="https://www.trendyol.com/abc/xyz-p-758806159?&amp;merchantId=1156908&amp;filterOverPriceListings=false" TargetMode="External"/><Relationship Id="rId169" Type="http://schemas.openxmlformats.org/officeDocument/2006/relationships/hyperlink" Target="https://www.trendyol.com/abc/xyz-p-206247674?&amp;merchantId=1156908&amp;filterOverPriceListings=false" TargetMode="External"/><Relationship Id="rId168" Type="http://schemas.openxmlformats.org/officeDocument/2006/relationships/hyperlink" Target="https://www.trendyol.com/abc/xyz-p-739411311?&amp;merchantId=1156908&amp;filterOverPriceListings=false" TargetMode="External"/><Relationship Id="rId289" Type="http://schemas.openxmlformats.org/officeDocument/2006/relationships/hyperlink" Target="https://www.trendyol.com/abc/xyz-p-1038210254?&amp;merchantId=1156908&amp;filterOverPriceListings=false" TargetMode="External"/><Relationship Id="rId167" Type="http://schemas.openxmlformats.org/officeDocument/2006/relationships/hyperlink" Target="https://www.trendyol.com/abc/xyz-p-336296981?&amp;merchantId=1156908&amp;filterOverPriceListings=false" TargetMode="External"/><Relationship Id="rId288" Type="http://schemas.openxmlformats.org/officeDocument/2006/relationships/hyperlink" Target="https://www.trendyol.com/abc/xyz-p-1066229951?&amp;merchantId=1156908&amp;filterOverPriceListings=false" TargetMode="External"/><Relationship Id="rId166" Type="http://schemas.openxmlformats.org/officeDocument/2006/relationships/hyperlink" Target="https://www.trendyol.com/abc/xyz-p-49666085?&amp;merchantId=1156908&amp;filterOverPriceListings=false" TargetMode="External"/><Relationship Id="rId287" Type="http://schemas.openxmlformats.org/officeDocument/2006/relationships/hyperlink" Target="https://www.trendyol.com/abc/xyz-p-959487629?&amp;merchantId=1156908&amp;filterOverPriceListings=false" TargetMode="External"/><Relationship Id="rId161" Type="http://schemas.openxmlformats.org/officeDocument/2006/relationships/hyperlink" Target="https://www.trendyol.com/abc/xyz-p-1092420126?&amp;merchantId=1156908&amp;filterOverPriceListings=false" TargetMode="External"/><Relationship Id="rId282" Type="http://schemas.openxmlformats.org/officeDocument/2006/relationships/hyperlink" Target="https://www.trendyol.com/abc/xyz-p-1914222?&amp;merchantId=1156908&amp;filterOverPriceListings=false" TargetMode="External"/><Relationship Id="rId160" Type="http://schemas.openxmlformats.org/officeDocument/2006/relationships/hyperlink" Target="https://www.trendyol.com/abc/xyz-p-1092420128?&amp;merchantId=1156908&amp;filterOverPriceListings=false" TargetMode="External"/><Relationship Id="rId281" Type="http://schemas.openxmlformats.org/officeDocument/2006/relationships/hyperlink" Target="https://www.trendyol.com/abc/xyz-p-758829205?&amp;merchantId=1156908&amp;filterOverPriceListings=false" TargetMode="External"/><Relationship Id="rId280" Type="http://schemas.openxmlformats.org/officeDocument/2006/relationships/hyperlink" Target="https://www.trendyol.com/abc/xyz-p-994127411?&amp;merchantId=1156908&amp;filterOverPriceListings=false" TargetMode="External"/><Relationship Id="rId159" Type="http://schemas.openxmlformats.org/officeDocument/2006/relationships/hyperlink" Target="https://www.trendyol.com/abc/xyz-p-786564743?&amp;merchantId=1156908&amp;filterOverPriceListings=false" TargetMode="External"/><Relationship Id="rId154" Type="http://schemas.openxmlformats.org/officeDocument/2006/relationships/hyperlink" Target="https://www.trendyol.com/abc/xyz-p-1097874525?&amp;merchantId=1156908&amp;filterOverPriceListings=false" TargetMode="External"/><Relationship Id="rId275" Type="http://schemas.openxmlformats.org/officeDocument/2006/relationships/hyperlink" Target="https://www.trendyol.com/abc/xyz-p-973412587?&amp;merchantId=1156908&amp;filterOverPriceListings=false" TargetMode="External"/><Relationship Id="rId396" Type="http://schemas.openxmlformats.org/officeDocument/2006/relationships/hyperlink" Target="https://www.trendyol.com/abc/xyz-p-1053732046?&amp;merchantId=1156908&amp;filterOverPriceListings=false" TargetMode="External"/><Relationship Id="rId153" Type="http://schemas.openxmlformats.org/officeDocument/2006/relationships/hyperlink" Target="https://www.trendyol.com/abc/xyz-p-1098058580?&amp;merchantId=1156908&amp;filterOverPriceListings=false" TargetMode="External"/><Relationship Id="rId274" Type="http://schemas.openxmlformats.org/officeDocument/2006/relationships/hyperlink" Target="https://www.trendyol.com/abc/xyz-p-1075834194?&amp;merchantId=1156908&amp;filterOverPriceListings=false" TargetMode="External"/><Relationship Id="rId395" Type="http://schemas.openxmlformats.org/officeDocument/2006/relationships/hyperlink" Target="https://www.trendyol.com/abc/xyz-p-1053732048?&amp;merchantId=1156908&amp;filterOverPriceListings=false" TargetMode="External"/><Relationship Id="rId152" Type="http://schemas.openxmlformats.org/officeDocument/2006/relationships/hyperlink" Target="https://www.trendyol.com/abc/xyz-p-877376767?&amp;merchantId=1156908&amp;filterOverPriceListings=false" TargetMode="External"/><Relationship Id="rId273" Type="http://schemas.openxmlformats.org/officeDocument/2006/relationships/hyperlink" Target="https://www.trendyol.com/abc/xyz-p-1075834202?&amp;merchantId=1156908&amp;filterOverPriceListings=false" TargetMode="External"/><Relationship Id="rId394" Type="http://schemas.openxmlformats.org/officeDocument/2006/relationships/hyperlink" Target="https://www.trendyol.com/abc/xyz-p-1053732043?&amp;merchantId=1156908&amp;filterOverPriceListings=false" TargetMode="External"/><Relationship Id="rId151" Type="http://schemas.openxmlformats.org/officeDocument/2006/relationships/hyperlink" Target="https://www.trendyol.com/abc/xyz-p-745471045?&amp;merchantId=1156908&amp;filterOverPriceListings=false" TargetMode="External"/><Relationship Id="rId272" Type="http://schemas.openxmlformats.org/officeDocument/2006/relationships/hyperlink" Target="https://www.trendyol.com/abc/xyz-p-1053406262?&amp;merchantId=1156908&amp;filterOverPriceListings=false" TargetMode="External"/><Relationship Id="rId393" Type="http://schemas.openxmlformats.org/officeDocument/2006/relationships/hyperlink" Target="https://www.trendyol.com/abc/xyz-p-1053732042?&amp;merchantId=1156908&amp;filterOverPriceListings=false" TargetMode="External"/><Relationship Id="rId158" Type="http://schemas.openxmlformats.org/officeDocument/2006/relationships/hyperlink" Target="https://www.trendyol.com/abc/xyz-p-660651844?&amp;merchantId=1156908&amp;filterOverPriceListings=false" TargetMode="External"/><Relationship Id="rId279" Type="http://schemas.openxmlformats.org/officeDocument/2006/relationships/hyperlink" Target="https://www.trendyol.com/abc/xyz-p-797384179?&amp;merchantId=1156908&amp;filterOverPriceListings=false" TargetMode="External"/><Relationship Id="rId157" Type="http://schemas.openxmlformats.org/officeDocument/2006/relationships/hyperlink" Target="https://www.trendyol.com/abc/xyz-p-845029088?&amp;merchantId=1156908&amp;filterOverPriceListings=false" TargetMode="External"/><Relationship Id="rId278" Type="http://schemas.openxmlformats.org/officeDocument/2006/relationships/hyperlink" Target="https://www.trendyol.com/abc/xyz-p-1056284843?&amp;merchantId=1156908&amp;filterOverPriceListings=false" TargetMode="External"/><Relationship Id="rId399" Type="http://schemas.openxmlformats.org/officeDocument/2006/relationships/hyperlink" Target="https://www.trendyol.com/abc/xyz-p-46484191?&amp;merchantId=1156908&amp;filterOverPriceListings=false" TargetMode="External"/><Relationship Id="rId156" Type="http://schemas.openxmlformats.org/officeDocument/2006/relationships/hyperlink" Target="https://www.trendyol.com/abc/xyz-p-1097874526?&amp;merchantId=1156908&amp;filterOverPriceListings=false" TargetMode="External"/><Relationship Id="rId277" Type="http://schemas.openxmlformats.org/officeDocument/2006/relationships/hyperlink" Target="https://www.trendyol.com/abc/xyz-p-1056284843?&amp;merchantId=1156908&amp;filterOverPriceListings=false" TargetMode="External"/><Relationship Id="rId398" Type="http://schemas.openxmlformats.org/officeDocument/2006/relationships/hyperlink" Target="https://www.trendyol.com/abc/xyz-p-1053732037?&amp;merchantId=1156908&amp;filterOverPriceListings=false" TargetMode="External"/><Relationship Id="rId155" Type="http://schemas.openxmlformats.org/officeDocument/2006/relationships/hyperlink" Target="https://www.trendyol.com/abc/xyz-p-1097874523?&amp;merchantId=1156908&amp;filterOverPriceListings=false" TargetMode="External"/><Relationship Id="rId276" Type="http://schemas.openxmlformats.org/officeDocument/2006/relationships/hyperlink" Target="https://www.trendyol.com/abc/xyz-p-39590732?&amp;merchantId=1156908&amp;filterOverPriceListings=false" TargetMode="External"/><Relationship Id="rId397" Type="http://schemas.openxmlformats.org/officeDocument/2006/relationships/hyperlink" Target="https://www.trendyol.com/abc/xyz-p-1053732039?&amp;merchantId=1156908&amp;filterOverPriceListings=false" TargetMode="External"/><Relationship Id="rId40" Type="http://schemas.openxmlformats.org/officeDocument/2006/relationships/hyperlink" Target="https://www.trendyol.com/abc/xyz-p-925972?&amp;merchantId=1156908&amp;filterOverPriceListings=false" TargetMode="External"/><Relationship Id="rId42" Type="http://schemas.openxmlformats.org/officeDocument/2006/relationships/hyperlink" Target="https://www.trendyol.com/abc/xyz-p-31636591?&amp;merchantId=1156908&amp;filterOverPriceListings=false" TargetMode="External"/><Relationship Id="rId41" Type="http://schemas.openxmlformats.org/officeDocument/2006/relationships/hyperlink" Target="https://www.trendyol.com/abc/xyz-p-335613732?&amp;merchantId=1156908&amp;filterOverPriceListings=false" TargetMode="External"/><Relationship Id="rId44" Type="http://schemas.openxmlformats.org/officeDocument/2006/relationships/hyperlink" Target="https://www.trendyol.com/abc/xyz-p-925970?&amp;merchantId=1156908&amp;filterOverPriceListings=false" TargetMode="External"/><Relationship Id="rId43" Type="http://schemas.openxmlformats.org/officeDocument/2006/relationships/hyperlink" Target="https://www.trendyol.com/abc/xyz-p-1198497?&amp;merchantId=1156908&amp;filterOverPriceListings=false" TargetMode="External"/><Relationship Id="rId46" Type="http://schemas.openxmlformats.org/officeDocument/2006/relationships/hyperlink" Target="https://www.trendyol.com/abc/xyz-p-99800691?&amp;merchantId=1156908&amp;filterOverPriceListings=false" TargetMode="External"/><Relationship Id="rId45" Type="http://schemas.openxmlformats.org/officeDocument/2006/relationships/hyperlink" Target="https://www.trendyol.com/abc/xyz-p-1195291?&amp;merchantId=1156908&amp;filterOverPriceListings=false" TargetMode="External"/><Relationship Id="rId48" Type="http://schemas.openxmlformats.org/officeDocument/2006/relationships/hyperlink" Target="https://www.trendyol.com/abc/xyz-p-86207455?&amp;merchantId=1156908&amp;filterOverPriceListings=false" TargetMode="External"/><Relationship Id="rId47" Type="http://schemas.openxmlformats.org/officeDocument/2006/relationships/hyperlink" Target="https://www.trendyol.com/abc/xyz-p-86207382?&amp;merchantId=1156908&amp;filterOverPriceListings=false" TargetMode="External"/><Relationship Id="rId49" Type="http://schemas.openxmlformats.org/officeDocument/2006/relationships/hyperlink" Target="https://www.trendyol.com/abc/xyz-p-749835?&amp;merchantId=1156908&amp;filterOverPriceListings=false" TargetMode="External"/><Relationship Id="rId31" Type="http://schemas.openxmlformats.org/officeDocument/2006/relationships/hyperlink" Target="https://www.trendyol.com/abc/xyz-p-2246034?&amp;merchantId=1156908&amp;filterOverPriceListings=false" TargetMode="External"/><Relationship Id="rId30" Type="http://schemas.openxmlformats.org/officeDocument/2006/relationships/hyperlink" Target="https://www.trendyol.com/abc/xyz-p-754114405?&amp;merchantId=1156908&amp;filterOverPriceListings=false" TargetMode="External"/><Relationship Id="rId33" Type="http://schemas.openxmlformats.org/officeDocument/2006/relationships/hyperlink" Target="https://www.trendyol.com/abc/xyz-p-2264608?&amp;merchantId=1156908&amp;filterOverPriceListings=false" TargetMode="External"/><Relationship Id="rId32" Type="http://schemas.openxmlformats.org/officeDocument/2006/relationships/hyperlink" Target="https://www.trendyol.com/abc/xyz-p-1198610?&amp;merchantId=1156908&amp;filterOverPriceListings=false" TargetMode="External"/><Relationship Id="rId35" Type="http://schemas.openxmlformats.org/officeDocument/2006/relationships/hyperlink" Target="https://www.trendyol.com/abc/xyz-p-55591160?&amp;merchantId=1156908&amp;filterOverPriceListings=false" TargetMode="External"/><Relationship Id="rId34" Type="http://schemas.openxmlformats.org/officeDocument/2006/relationships/hyperlink" Target="https://www.trendyol.com/abc/xyz-p-373360014?&amp;merchantId=1156908&amp;filterOverPriceListings=false" TargetMode="External"/><Relationship Id="rId37" Type="http://schemas.openxmlformats.org/officeDocument/2006/relationships/hyperlink" Target="https://www.trendyol.com/abc/xyz-p-1196797?&amp;merchantId=1156908&amp;filterOverPriceListings=false" TargetMode="External"/><Relationship Id="rId36" Type="http://schemas.openxmlformats.org/officeDocument/2006/relationships/hyperlink" Target="https://www.trendyol.com/abc/xyz-p-6270594?&amp;merchantId=1156908&amp;filterOverPriceListings=false" TargetMode="External"/><Relationship Id="rId39" Type="http://schemas.openxmlformats.org/officeDocument/2006/relationships/hyperlink" Target="https://www.trendyol.com/abc/xyz-p-34896559?&amp;merchantId=1156908&amp;filterOverPriceListings=false" TargetMode="External"/><Relationship Id="rId38" Type="http://schemas.openxmlformats.org/officeDocument/2006/relationships/hyperlink" Target="https://www.trendyol.com/abc/xyz-p-925572?&amp;merchantId=1156908&amp;filterOverPriceListings=false" TargetMode="External"/><Relationship Id="rId20" Type="http://schemas.openxmlformats.org/officeDocument/2006/relationships/hyperlink" Target="https://www.trendyol.com/abc/xyz-p-1138886455?&amp;merchantId=1156908&amp;filterOverPriceListings=false" TargetMode="External"/><Relationship Id="rId22" Type="http://schemas.openxmlformats.org/officeDocument/2006/relationships/hyperlink" Target="https://www.trendyol.com/abc/xyz-p-1138907859?&amp;merchantId=1156908&amp;filterOverPriceListings=false" TargetMode="External"/><Relationship Id="rId21" Type="http://schemas.openxmlformats.org/officeDocument/2006/relationships/hyperlink" Target="https://www.trendyol.com/abc/xyz-p-1138882638?&amp;merchantId=1156908&amp;filterOverPriceListings=false" TargetMode="External"/><Relationship Id="rId24" Type="http://schemas.openxmlformats.org/officeDocument/2006/relationships/hyperlink" Target="https://www.trendyol.com/abc/xyz-p-1138919288?&amp;merchantId=1156908&amp;filterOverPriceListings=false" TargetMode="External"/><Relationship Id="rId23" Type="http://schemas.openxmlformats.org/officeDocument/2006/relationships/hyperlink" Target="https://www.trendyol.com/abc/xyz-p-1138911975?&amp;merchantId=1156908&amp;filterOverPriceListings=false" TargetMode="External"/><Relationship Id="rId409" Type="http://schemas.openxmlformats.org/officeDocument/2006/relationships/hyperlink" Target="https://www.trendyol.com/abc/xyz-p-66292550?&amp;merchantId=1156908&amp;filterOverPriceListings=false" TargetMode="External"/><Relationship Id="rId404" Type="http://schemas.openxmlformats.org/officeDocument/2006/relationships/hyperlink" Target="https://www.trendyol.com/abc/xyz-p-302249658?&amp;merchantId=1156908&amp;filterOverPriceListings=false" TargetMode="External"/><Relationship Id="rId403" Type="http://schemas.openxmlformats.org/officeDocument/2006/relationships/hyperlink" Target="https://www.trendyol.com/abc/xyz-p-314745709?&amp;merchantId=1156908&amp;filterOverPriceListings=false" TargetMode="External"/><Relationship Id="rId402" Type="http://schemas.openxmlformats.org/officeDocument/2006/relationships/hyperlink" Target="https://www.trendyol.com/abc/xyz-p-3405133?&amp;merchantId=1156908&amp;filterOverPriceListings=false" TargetMode="External"/><Relationship Id="rId401" Type="http://schemas.openxmlformats.org/officeDocument/2006/relationships/hyperlink" Target="https://www.trendyol.com/abc/xyz-p-148807960?&amp;merchantId=1156908&amp;filterOverPriceListings=false" TargetMode="External"/><Relationship Id="rId408" Type="http://schemas.openxmlformats.org/officeDocument/2006/relationships/hyperlink" Target="https://www.trendyol.com/abc/xyz-p-872246815?&amp;merchantId=1156908&amp;filterOverPriceListings=false" TargetMode="External"/><Relationship Id="rId407" Type="http://schemas.openxmlformats.org/officeDocument/2006/relationships/hyperlink" Target="https://www.trendyol.com/abc/xyz-p-62908131?&amp;merchantId=1156908&amp;filterOverPriceListings=false" TargetMode="External"/><Relationship Id="rId406" Type="http://schemas.openxmlformats.org/officeDocument/2006/relationships/hyperlink" Target="https://www.trendyol.com/abc/xyz-p-35873477?&amp;merchantId=1156908&amp;filterOverPriceListings=false" TargetMode="External"/><Relationship Id="rId405" Type="http://schemas.openxmlformats.org/officeDocument/2006/relationships/hyperlink" Target="https://www.trendyol.com/abc/xyz-p-750129?&amp;merchantId=1156908&amp;filterOverPriceListings=false" TargetMode="External"/><Relationship Id="rId26" Type="http://schemas.openxmlformats.org/officeDocument/2006/relationships/hyperlink" Target="https://www.trendyol.com/abc/xyz-p-67942470?&amp;merchantId=1156908&amp;filterOverPriceListings=false" TargetMode="External"/><Relationship Id="rId25" Type="http://schemas.openxmlformats.org/officeDocument/2006/relationships/hyperlink" Target="https://www.trendyol.com/abc/xyz-p-1138931284?&amp;merchantId=1156908&amp;filterOverPriceListings=false" TargetMode="External"/><Relationship Id="rId28" Type="http://schemas.openxmlformats.org/officeDocument/2006/relationships/hyperlink" Target="https://www.trendyol.com/abc/xyz-p-111352419?&amp;merchantId=1156908&amp;filterOverPriceListings=false" TargetMode="External"/><Relationship Id="rId27" Type="http://schemas.openxmlformats.org/officeDocument/2006/relationships/hyperlink" Target="https://www.trendyol.com/abc/xyz-p-31636879?&amp;merchantId=1156908&amp;filterOverPriceListings=false" TargetMode="External"/><Relationship Id="rId400" Type="http://schemas.openxmlformats.org/officeDocument/2006/relationships/hyperlink" Target="https://www.trendyol.com/abc/xyz-p-58153037?&amp;merchantId=1156908&amp;filterOverPriceListings=false" TargetMode="External"/><Relationship Id="rId29" Type="http://schemas.openxmlformats.org/officeDocument/2006/relationships/hyperlink" Target="https://www.trendyol.com/abc/xyz-p-823600131?&amp;merchantId=1156908&amp;filterOverPriceListings=false" TargetMode="External"/><Relationship Id="rId11" Type="http://schemas.openxmlformats.org/officeDocument/2006/relationships/hyperlink" Target="https://www.trendyol.com/abc/xyz-p-925128?&amp;merchantId=1156908&amp;filterOverPriceListings=false" TargetMode="External"/><Relationship Id="rId10" Type="http://schemas.openxmlformats.org/officeDocument/2006/relationships/hyperlink" Target="https://www.trendyol.com/abc/xyz-p-120871653?&amp;merchantId=1156908&amp;filterOverPriceListings=false" TargetMode="External"/><Relationship Id="rId13" Type="http://schemas.openxmlformats.org/officeDocument/2006/relationships/hyperlink" Target="https://www.trendyol.com/abc/xyz-p-925126?&amp;merchantId=1156908&amp;filterOverPriceListings=false" TargetMode="External"/><Relationship Id="rId12" Type="http://schemas.openxmlformats.org/officeDocument/2006/relationships/hyperlink" Target="https://www.trendyol.com/abc/xyz-p-925127?&amp;merchantId=1156908&amp;filterOverPriceListings=false" TargetMode="External"/><Relationship Id="rId15" Type="http://schemas.openxmlformats.org/officeDocument/2006/relationships/hyperlink" Target="https://www.trendyol.com/abc/xyz-p-925131?&amp;merchantId=1156908&amp;filterOverPriceListings=false" TargetMode="External"/><Relationship Id="rId14" Type="http://schemas.openxmlformats.org/officeDocument/2006/relationships/hyperlink" Target="https://www.trendyol.com/abc/xyz-p-1914251?&amp;merchantId=1156908&amp;filterOverPriceListings=false" TargetMode="External"/><Relationship Id="rId17" Type="http://schemas.openxmlformats.org/officeDocument/2006/relationships/hyperlink" Target="https://www.trendyol.com/abc/xyz-p-39617825?&amp;merchantId=1156908&amp;filterOverPriceListings=false" TargetMode="External"/><Relationship Id="rId16" Type="http://schemas.openxmlformats.org/officeDocument/2006/relationships/hyperlink" Target="https://www.trendyol.com/abc/xyz-p-1959454?&amp;merchantId=1156908&amp;filterOverPriceListings=false" TargetMode="External"/><Relationship Id="rId19" Type="http://schemas.openxmlformats.org/officeDocument/2006/relationships/hyperlink" Target="https://www.trendyol.com/abc/xyz-p-1138882998?&amp;merchantId=1156908&amp;filterOverPriceListings=false" TargetMode="External"/><Relationship Id="rId18" Type="http://schemas.openxmlformats.org/officeDocument/2006/relationships/hyperlink" Target="https://www.trendyol.com/abc/xyz-p-1139941107?&amp;merchantId=1156908&amp;filterOverPriceListings=false" TargetMode="External"/><Relationship Id="rId84" Type="http://schemas.openxmlformats.org/officeDocument/2006/relationships/hyperlink" Target="https://www.trendyol.com/abc/xyz-p-1051420405?&amp;merchantId=1156908&amp;filterOverPriceListings=false" TargetMode="External"/><Relationship Id="rId83" Type="http://schemas.openxmlformats.org/officeDocument/2006/relationships/hyperlink" Target="https://www.trendyol.com/abc/xyz-p-266709809?&amp;merchantId=1156908&amp;filterOverPriceListings=false" TargetMode="External"/><Relationship Id="rId86" Type="http://schemas.openxmlformats.org/officeDocument/2006/relationships/hyperlink" Target="https://www.trendyol.com/abc/xyz-p-756506136?&amp;merchantId=1156908&amp;filterOverPriceListings=false" TargetMode="External"/><Relationship Id="rId85" Type="http://schemas.openxmlformats.org/officeDocument/2006/relationships/hyperlink" Target="https://www.trendyol.com/abc/xyz-p-1086969644?&amp;merchantId=1156908&amp;filterOverPriceListings=false" TargetMode="External"/><Relationship Id="rId88" Type="http://schemas.openxmlformats.org/officeDocument/2006/relationships/hyperlink" Target="https://www.trendyol.com/abc/xyz-p-925654?&amp;merchantId=1156908&amp;filterOverPriceListings=false" TargetMode="External"/><Relationship Id="rId87" Type="http://schemas.openxmlformats.org/officeDocument/2006/relationships/hyperlink" Target="https://www.trendyol.com/abc/xyz-p-1096072947?&amp;merchantId=1156908&amp;filterOverPriceListings=false" TargetMode="External"/><Relationship Id="rId89" Type="http://schemas.openxmlformats.org/officeDocument/2006/relationships/hyperlink" Target="https://www.trendyol.com/abc/xyz-p-925652?&amp;merchantId=1156908&amp;filterOverPriceListings=false" TargetMode="External"/><Relationship Id="rId80" Type="http://schemas.openxmlformats.org/officeDocument/2006/relationships/hyperlink" Target="https://www.trendyol.com/abc/xyz-p-32398725?&amp;merchantId=1156908&amp;filterOverPriceListings=false" TargetMode="External"/><Relationship Id="rId82" Type="http://schemas.openxmlformats.org/officeDocument/2006/relationships/hyperlink" Target="https://www.trendyol.com/abc/xyz-p-984546326?&amp;merchantId=1156908&amp;filterOverPriceListings=false" TargetMode="External"/><Relationship Id="rId81" Type="http://schemas.openxmlformats.org/officeDocument/2006/relationships/hyperlink" Target="https://www.trendyol.com/abc/xyz-p-1199127?&amp;merchantId=1156908&amp;filterOverPriceListings=false" TargetMode="External"/><Relationship Id="rId73" Type="http://schemas.openxmlformats.org/officeDocument/2006/relationships/hyperlink" Target="https://www.trendyol.com/abc/xyz-p-40201801?&amp;merchantId=1156908&amp;filterOverPriceListings=false" TargetMode="External"/><Relationship Id="rId72" Type="http://schemas.openxmlformats.org/officeDocument/2006/relationships/hyperlink" Target="https://www.trendyol.com/abc/xyz-p-1196373?&amp;merchantId=1156908&amp;filterOverPriceListings=false" TargetMode="External"/><Relationship Id="rId75" Type="http://schemas.openxmlformats.org/officeDocument/2006/relationships/hyperlink" Target="https://www.trendyol.com/abc/xyz-p-68992369?&amp;merchantId=1156908&amp;filterOverPriceListings=false" TargetMode="External"/><Relationship Id="rId74" Type="http://schemas.openxmlformats.org/officeDocument/2006/relationships/hyperlink" Target="https://www.trendyol.com/abc/xyz-p-1055079375?&amp;merchantId=1156908&amp;filterOverPriceListings=false" TargetMode="External"/><Relationship Id="rId77" Type="http://schemas.openxmlformats.org/officeDocument/2006/relationships/hyperlink" Target="https://www.trendyol.com/abc/xyz-p-32606601?&amp;merchantId=1156908&amp;filterOverPriceListings=false" TargetMode="External"/><Relationship Id="rId76" Type="http://schemas.openxmlformats.org/officeDocument/2006/relationships/hyperlink" Target="https://www.trendyol.com/abc/xyz-p-764186002?&amp;merchantId=1156908&amp;filterOverPriceListings=false" TargetMode="External"/><Relationship Id="rId79" Type="http://schemas.openxmlformats.org/officeDocument/2006/relationships/hyperlink" Target="https://www.trendyol.com/abc/xyz-p-212119245?&amp;merchantId=1156908&amp;filterOverPriceListings=false" TargetMode="External"/><Relationship Id="rId78" Type="http://schemas.openxmlformats.org/officeDocument/2006/relationships/hyperlink" Target="https://www.trendyol.com/abc/xyz-p-1195660?&amp;merchantId=1156908&amp;filterOverPriceListings=false" TargetMode="External"/><Relationship Id="rId71" Type="http://schemas.openxmlformats.org/officeDocument/2006/relationships/hyperlink" Target="https://www.trendyol.com/abc/xyz-p-41225420?&amp;merchantId=1156908&amp;filterOverPriceListings=false" TargetMode="External"/><Relationship Id="rId70" Type="http://schemas.openxmlformats.org/officeDocument/2006/relationships/hyperlink" Target="https://www.trendyol.com/abc/xyz-p-40130416?&amp;merchantId=1156908&amp;filterOverPriceListings=false" TargetMode="External"/><Relationship Id="rId62" Type="http://schemas.openxmlformats.org/officeDocument/2006/relationships/hyperlink" Target="https://www.trendyol.com/abc/xyz-p-96685636?&amp;merchantId=1156908&amp;filterOverPriceListings=false" TargetMode="External"/><Relationship Id="rId61" Type="http://schemas.openxmlformats.org/officeDocument/2006/relationships/hyperlink" Target="https://www.trendyol.com/abc/xyz-p-4908793?&amp;merchantId=1156908&amp;filterOverPriceListings=false" TargetMode="External"/><Relationship Id="rId64" Type="http://schemas.openxmlformats.org/officeDocument/2006/relationships/hyperlink" Target="https://www.trendyol.com/abc/xyz-p-930926146?&amp;merchantId=1156908&amp;filterOverPriceListings=false" TargetMode="External"/><Relationship Id="rId63" Type="http://schemas.openxmlformats.org/officeDocument/2006/relationships/hyperlink" Target="https://www.trendyol.com/abc/xyz-p-167622890?&amp;merchantId=1156908&amp;filterOverPriceListings=false" TargetMode="External"/><Relationship Id="rId66" Type="http://schemas.openxmlformats.org/officeDocument/2006/relationships/hyperlink" Target="https://www.trendyol.com/abc/xyz-p-247802557?&amp;merchantId=1156908&amp;filterOverPriceListings=false" TargetMode="External"/><Relationship Id="rId65" Type="http://schemas.openxmlformats.org/officeDocument/2006/relationships/hyperlink" Target="https://www.trendyol.com/abc/xyz-p-48031114?&amp;merchantId=1156908&amp;filterOverPriceListings=false" TargetMode="External"/><Relationship Id="rId68" Type="http://schemas.openxmlformats.org/officeDocument/2006/relationships/hyperlink" Target="https://www.trendyol.com/abc/xyz-p-1195893?&amp;merchantId=1156908&amp;filterOverPriceListings=false" TargetMode="External"/><Relationship Id="rId67" Type="http://schemas.openxmlformats.org/officeDocument/2006/relationships/hyperlink" Target="https://www.trendyol.com/abc/xyz-p-925876?&amp;merchantId=1156908&amp;filterOverPriceListings=false" TargetMode="External"/><Relationship Id="rId60" Type="http://schemas.openxmlformats.org/officeDocument/2006/relationships/hyperlink" Target="https://www.trendyol.com/abc/xyz-p-121932068?&amp;merchantId=1156908&amp;filterOverPriceListings=false" TargetMode="External"/><Relationship Id="rId69" Type="http://schemas.openxmlformats.org/officeDocument/2006/relationships/hyperlink" Target="https://www.trendyol.com/abc/xyz-p-72712352?&amp;merchantId=1156908&amp;filterOverPriceListings=false" TargetMode="External"/><Relationship Id="rId51" Type="http://schemas.openxmlformats.org/officeDocument/2006/relationships/hyperlink" Target="https://www.trendyol.com/abc/xyz-p-782890075?&amp;merchantId=1156908&amp;filterOverPriceListings=false" TargetMode="External"/><Relationship Id="rId50" Type="http://schemas.openxmlformats.org/officeDocument/2006/relationships/hyperlink" Target="https://www.trendyol.com/abc/xyz-p-782893739?&amp;merchantId=1156908&amp;filterOverPriceListings=false" TargetMode="External"/><Relationship Id="rId53" Type="http://schemas.openxmlformats.org/officeDocument/2006/relationships/hyperlink" Target="https://www.trendyol.com/abc/xyz-p-844564577?&amp;merchantId=1156908&amp;filterOverPriceListings=false" TargetMode="External"/><Relationship Id="rId52" Type="http://schemas.openxmlformats.org/officeDocument/2006/relationships/hyperlink" Target="https://www.trendyol.com/abc/xyz-p-1198668?&amp;merchantId=1156908&amp;filterOverPriceListings=false" TargetMode="External"/><Relationship Id="rId55" Type="http://schemas.openxmlformats.org/officeDocument/2006/relationships/hyperlink" Target="https://www.trendyol.com/abc/xyz-p-824126553?&amp;merchantId=1156908&amp;filterOverPriceListings=false" TargetMode="External"/><Relationship Id="rId54" Type="http://schemas.openxmlformats.org/officeDocument/2006/relationships/hyperlink" Target="https://www.trendyol.com/abc/xyz-p-1044226051?&amp;merchantId=1156908&amp;filterOverPriceListings=false" TargetMode="External"/><Relationship Id="rId57" Type="http://schemas.openxmlformats.org/officeDocument/2006/relationships/hyperlink" Target="https://www.trendyol.com/abc/xyz-p-925657?&amp;merchantId=1156908&amp;filterOverPriceListings=false" TargetMode="External"/><Relationship Id="rId56" Type="http://schemas.openxmlformats.org/officeDocument/2006/relationships/hyperlink" Target="https://www.trendyol.com/abc/xyz-p-62248854?&amp;merchantId=1156908&amp;filterOverPriceListings=false" TargetMode="External"/><Relationship Id="rId59" Type="http://schemas.openxmlformats.org/officeDocument/2006/relationships/hyperlink" Target="https://www.trendyol.com/abc/xyz-p-104526321?&amp;merchantId=1156908&amp;filterOverPriceListings=false" TargetMode="External"/><Relationship Id="rId58" Type="http://schemas.openxmlformats.org/officeDocument/2006/relationships/hyperlink" Target="https://www.trendyol.com/abc/xyz-p-1107267997?&amp;merchantId=1156908&amp;filterOverPriceListings=false" TargetMode="External"/><Relationship Id="rId107" Type="http://schemas.openxmlformats.org/officeDocument/2006/relationships/hyperlink" Target="https://www.trendyol.com/abc/xyz-p-748692604?&amp;merchantId=1156908&amp;filterOverPriceListings=false" TargetMode="External"/><Relationship Id="rId228" Type="http://schemas.openxmlformats.org/officeDocument/2006/relationships/hyperlink" Target="https://www.trendyol.com/abc/xyz-p-747168034?&amp;merchantId=1156908&amp;filterOverPriceListings=false" TargetMode="External"/><Relationship Id="rId349" Type="http://schemas.openxmlformats.org/officeDocument/2006/relationships/hyperlink" Target="https://www.trendyol.com/abc/xyz-p-1063589921?&amp;merchantId=1156908&amp;filterOverPriceListings=false" TargetMode="External"/><Relationship Id="rId106" Type="http://schemas.openxmlformats.org/officeDocument/2006/relationships/hyperlink" Target="https://www.trendyol.com/abc/xyz-p-203658327?&amp;merchantId=1156908&amp;filterOverPriceListings=false" TargetMode="External"/><Relationship Id="rId227" Type="http://schemas.openxmlformats.org/officeDocument/2006/relationships/hyperlink" Target="https://www.trendyol.com/abc/xyz-p-758546954?&amp;merchantId=1156908&amp;filterOverPriceListings=false" TargetMode="External"/><Relationship Id="rId348" Type="http://schemas.openxmlformats.org/officeDocument/2006/relationships/hyperlink" Target="https://www.trendyol.com/abc/xyz-p-1063589945?&amp;merchantId=1156908&amp;filterOverPriceListings=false" TargetMode="External"/><Relationship Id="rId105" Type="http://schemas.openxmlformats.org/officeDocument/2006/relationships/hyperlink" Target="https://www.trendyol.com/abc/xyz-p-263158441?&amp;merchantId=1156908&amp;filterOverPriceListings=false" TargetMode="External"/><Relationship Id="rId226" Type="http://schemas.openxmlformats.org/officeDocument/2006/relationships/hyperlink" Target="https://www.trendyol.com/abc/xyz-p-814212317?&amp;merchantId=1156908&amp;filterOverPriceListings=false" TargetMode="External"/><Relationship Id="rId347" Type="http://schemas.openxmlformats.org/officeDocument/2006/relationships/hyperlink" Target="https://www.trendyol.com/abc/xyz-p-1063589917?&amp;merchantId=1156908&amp;filterOverPriceListings=false" TargetMode="External"/><Relationship Id="rId104" Type="http://schemas.openxmlformats.org/officeDocument/2006/relationships/hyperlink" Target="https://www.trendyol.com/abc/xyz-p-127132394?&amp;merchantId=1156908&amp;filterOverPriceListings=false" TargetMode="External"/><Relationship Id="rId225" Type="http://schemas.openxmlformats.org/officeDocument/2006/relationships/hyperlink" Target="https://www.trendyol.com/abc/xyz-p-815674470?&amp;merchantId=1156908&amp;filterOverPriceListings=false" TargetMode="External"/><Relationship Id="rId346" Type="http://schemas.openxmlformats.org/officeDocument/2006/relationships/hyperlink" Target="https://www.trendyol.com/abc/xyz-p-1063799419?&amp;merchantId=1156908&amp;filterOverPriceListings=false" TargetMode="External"/><Relationship Id="rId109" Type="http://schemas.openxmlformats.org/officeDocument/2006/relationships/hyperlink" Target="https://www.trendyol.com/abc/xyz-p-33077200?&amp;merchantId=1156908&amp;filterOverPriceListings=false" TargetMode="External"/><Relationship Id="rId108" Type="http://schemas.openxmlformats.org/officeDocument/2006/relationships/hyperlink" Target="https://www.trendyol.com/abc/xyz-p-874999712?&amp;merchantId=1156908&amp;filterOverPriceListings=false" TargetMode="External"/><Relationship Id="rId229" Type="http://schemas.openxmlformats.org/officeDocument/2006/relationships/hyperlink" Target="https://www.trendyol.com/abc/xyz-p-308926341?&amp;merchantId=1156908&amp;filterOverPriceListings=false" TargetMode="External"/><Relationship Id="rId220" Type="http://schemas.openxmlformats.org/officeDocument/2006/relationships/hyperlink" Target="https://www.trendyol.com/abc/xyz-p-175864528?&amp;merchantId=1156908&amp;filterOverPriceListings=false" TargetMode="External"/><Relationship Id="rId341" Type="http://schemas.openxmlformats.org/officeDocument/2006/relationships/hyperlink" Target="https://www.trendyol.com/abc/xyz-p-932765656?&amp;merchantId=1156908&amp;filterOverPriceListings=false" TargetMode="External"/><Relationship Id="rId462" Type="http://schemas.openxmlformats.org/officeDocument/2006/relationships/hyperlink" Target="https://www.trendyol.com/abc/xyz-p-94234022?&amp;merchantId=1156908&amp;filterOverPriceListings=false" TargetMode="External"/><Relationship Id="rId340" Type="http://schemas.openxmlformats.org/officeDocument/2006/relationships/hyperlink" Target="https://www.trendyol.com/abc/xyz-p-932765186?&amp;merchantId=1156908&amp;filterOverPriceListings=false" TargetMode="External"/><Relationship Id="rId461" Type="http://schemas.openxmlformats.org/officeDocument/2006/relationships/hyperlink" Target="https://www.trendyol.com/abc/xyz-p-55518274?&amp;merchantId=1156908&amp;filterOverPriceListings=false" TargetMode="External"/><Relationship Id="rId460" Type="http://schemas.openxmlformats.org/officeDocument/2006/relationships/hyperlink" Target="https://www.trendyol.com/abc/xyz-p-938940939?&amp;merchantId=1156908&amp;filterOverPriceListings=false" TargetMode="External"/><Relationship Id="rId103" Type="http://schemas.openxmlformats.org/officeDocument/2006/relationships/hyperlink" Target="https://www.trendyol.com/abc/xyz-p-203671663?&amp;merchantId=1156908&amp;filterOverPriceListings=false" TargetMode="External"/><Relationship Id="rId224" Type="http://schemas.openxmlformats.org/officeDocument/2006/relationships/hyperlink" Target="https://www.trendyol.com/abc/xyz-p-816379674?&amp;merchantId=1156908&amp;filterOverPriceListings=false" TargetMode="External"/><Relationship Id="rId345" Type="http://schemas.openxmlformats.org/officeDocument/2006/relationships/hyperlink" Target="https://www.trendyol.com/abc/xyz-p-1063806257?&amp;merchantId=1156908&amp;filterOverPriceListings=false" TargetMode="External"/><Relationship Id="rId102" Type="http://schemas.openxmlformats.org/officeDocument/2006/relationships/hyperlink" Target="https://www.trendyol.com/abc/xyz-p-150451159?&amp;merchantId=1156908&amp;filterOverPriceListings=false" TargetMode="External"/><Relationship Id="rId223" Type="http://schemas.openxmlformats.org/officeDocument/2006/relationships/hyperlink" Target="https://www.trendyol.com/abc/xyz-p-868624947?&amp;merchantId=1156908&amp;filterOverPriceListings=false" TargetMode="External"/><Relationship Id="rId344" Type="http://schemas.openxmlformats.org/officeDocument/2006/relationships/hyperlink" Target="https://www.trendyol.com/abc/xyz-p-932768827?&amp;merchantId=1156908&amp;filterOverPriceListings=false" TargetMode="External"/><Relationship Id="rId465" Type="http://schemas.openxmlformats.org/officeDocument/2006/relationships/drawing" Target="../drawings/drawing6.xml"/><Relationship Id="rId101" Type="http://schemas.openxmlformats.org/officeDocument/2006/relationships/hyperlink" Target="https://www.trendyol.com/abc/xyz-p-989109533?&amp;merchantId=1156908&amp;filterOverPriceListings=false" TargetMode="External"/><Relationship Id="rId222" Type="http://schemas.openxmlformats.org/officeDocument/2006/relationships/hyperlink" Target="https://www.trendyol.com/abc/xyz-p-878568477?&amp;merchantId=1156908&amp;filterOverPriceListings=false" TargetMode="External"/><Relationship Id="rId343" Type="http://schemas.openxmlformats.org/officeDocument/2006/relationships/hyperlink" Target="https://www.trendyol.com/abc/xyz-p-932766494?&amp;merchantId=1156908&amp;filterOverPriceListings=false" TargetMode="External"/><Relationship Id="rId464" Type="http://schemas.openxmlformats.org/officeDocument/2006/relationships/hyperlink" Target="https://www.trendyol.com/abc/xyz-p-749836?&amp;merchantId=1156908&amp;filterOverPriceListings=false" TargetMode="External"/><Relationship Id="rId100" Type="http://schemas.openxmlformats.org/officeDocument/2006/relationships/hyperlink" Target="https://www.trendyol.com/abc/xyz-p-127568067?&amp;merchantId=1156908&amp;filterOverPriceListings=false" TargetMode="External"/><Relationship Id="rId221" Type="http://schemas.openxmlformats.org/officeDocument/2006/relationships/hyperlink" Target="https://www.trendyol.com/abc/xyz-p-13742359?&amp;merchantId=1156908&amp;filterOverPriceListings=false" TargetMode="External"/><Relationship Id="rId342" Type="http://schemas.openxmlformats.org/officeDocument/2006/relationships/hyperlink" Target="https://www.trendyol.com/abc/xyz-p-932769525?&amp;merchantId=1156908&amp;filterOverPriceListings=false" TargetMode="External"/><Relationship Id="rId463" Type="http://schemas.openxmlformats.org/officeDocument/2006/relationships/hyperlink" Target="https://www.trendyol.com/abc/xyz-p-749840?&amp;merchantId=1156908&amp;filterOverPriceListings=false" TargetMode="External"/><Relationship Id="rId217" Type="http://schemas.openxmlformats.org/officeDocument/2006/relationships/hyperlink" Target="https://www.trendyol.com/abc/xyz-p-750113?&amp;merchantId=1156908&amp;filterOverPriceListings=false" TargetMode="External"/><Relationship Id="rId338" Type="http://schemas.openxmlformats.org/officeDocument/2006/relationships/hyperlink" Target="https://www.trendyol.com/abc/xyz-p-105795035?&amp;merchantId=1156908&amp;filterOverPriceListings=false" TargetMode="External"/><Relationship Id="rId459" Type="http://schemas.openxmlformats.org/officeDocument/2006/relationships/hyperlink" Target="https://www.trendyol.com/abc/xyz-p-1199053?&amp;merchantId=1156908&amp;filterOverPriceListings=false" TargetMode="External"/><Relationship Id="rId216" Type="http://schemas.openxmlformats.org/officeDocument/2006/relationships/hyperlink" Target="https://www.trendyol.com/abc/xyz-p-750109?&amp;merchantId=1156908&amp;filterOverPriceListings=false" TargetMode="External"/><Relationship Id="rId337" Type="http://schemas.openxmlformats.org/officeDocument/2006/relationships/hyperlink" Target="https://www.trendyol.com/abc/xyz-p-329486063?&amp;merchantId=1156908&amp;filterOverPriceListings=false" TargetMode="External"/><Relationship Id="rId458" Type="http://schemas.openxmlformats.org/officeDocument/2006/relationships/hyperlink" Target="https://www.trendyol.com/abc/xyz-p-1196754?&amp;merchantId=1156908&amp;filterOverPriceListings=false" TargetMode="External"/><Relationship Id="rId215" Type="http://schemas.openxmlformats.org/officeDocument/2006/relationships/hyperlink" Target="https://www.trendyol.com/abc/xyz-p-4741138?&amp;merchantId=1156908&amp;filterOverPriceListings=false" TargetMode="External"/><Relationship Id="rId336" Type="http://schemas.openxmlformats.org/officeDocument/2006/relationships/hyperlink" Target="https://www.trendyol.com/abc/xyz-p-625332332?&amp;merchantId=1156908&amp;filterOverPriceListings=false" TargetMode="External"/><Relationship Id="rId457" Type="http://schemas.openxmlformats.org/officeDocument/2006/relationships/hyperlink" Target="https://www.trendyol.com/abc/xyz-p-1057453773?&amp;merchantId=1156908&amp;filterOverPriceListings=false" TargetMode="External"/><Relationship Id="rId214" Type="http://schemas.openxmlformats.org/officeDocument/2006/relationships/hyperlink" Target="https://www.trendyol.com/abc/xyz-p-1044193531?&amp;merchantId=1156908&amp;filterOverPriceListings=false" TargetMode="External"/><Relationship Id="rId335" Type="http://schemas.openxmlformats.org/officeDocument/2006/relationships/hyperlink" Target="https://www.trendyol.com/abc/xyz-p-102112068?&amp;merchantId=1156908&amp;filterOverPriceListings=false" TargetMode="External"/><Relationship Id="rId456" Type="http://schemas.openxmlformats.org/officeDocument/2006/relationships/hyperlink" Target="https://www.trendyol.com/abc/xyz-p-1914300?&amp;merchantId=1156908&amp;filterOverPriceListings=false" TargetMode="External"/><Relationship Id="rId219" Type="http://schemas.openxmlformats.org/officeDocument/2006/relationships/hyperlink" Target="https://www.trendyol.com/abc/xyz-p-925674?&amp;merchantId=1156908&amp;filterOverPriceListings=false" TargetMode="External"/><Relationship Id="rId218" Type="http://schemas.openxmlformats.org/officeDocument/2006/relationships/hyperlink" Target="https://www.trendyol.com/abc/xyz-p-750127?&amp;merchantId=1156908&amp;filterOverPriceListings=false" TargetMode="External"/><Relationship Id="rId339" Type="http://schemas.openxmlformats.org/officeDocument/2006/relationships/hyperlink" Target="https://www.trendyol.com/abc/xyz-p-42574562?&amp;merchantId=1156908&amp;filterOverPriceListings=false" TargetMode="External"/><Relationship Id="rId330" Type="http://schemas.openxmlformats.org/officeDocument/2006/relationships/hyperlink" Target="https://www.trendyol.com/abc/xyz-p-1032993869?&amp;merchantId=1156908&amp;filterOverPriceListings=false" TargetMode="External"/><Relationship Id="rId451" Type="http://schemas.openxmlformats.org/officeDocument/2006/relationships/hyperlink" Target="https://www.trendyol.com/abc/xyz-p-750102?&amp;merchantId=1156908&amp;filterOverPriceListings=false" TargetMode="External"/><Relationship Id="rId450" Type="http://schemas.openxmlformats.org/officeDocument/2006/relationships/hyperlink" Target="https://www.trendyol.com/abc/xyz-p-750116?&amp;merchantId=1156908&amp;filterOverPriceListings=false" TargetMode="External"/><Relationship Id="rId213" Type="http://schemas.openxmlformats.org/officeDocument/2006/relationships/hyperlink" Target="https://www.trendyol.com/abc/xyz-p-970650098?&amp;merchantId=1156908&amp;filterOverPriceListings=false" TargetMode="External"/><Relationship Id="rId334" Type="http://schemas.openxmlformats.org/officeDocument/2006/relationships/hyperlink" Target="https://www.trendyol.com/abc/xyz-p-75342761?&amp;merchantId=1156908&amp;filterOverPriceListings=false" TargetMode="External"/><Relationship Id="rId455" Type="http://schemas.openxmlformats.org/officeDocument/2006/relationships/hyperlink" Target="https://www.trendyol.com/abc/xyz-p-669190407?&amp;merchantId=1156908&amp;filterOverPriceListings=false" TargetMode="External"/><Relationship Id="rId212" Type="http://schemas.openxmlformats.org/officeDocument/2006/relationships/hyperlink" Target="https://www.trendyol.com/abc/xyz-p-925661?&amp;merchantId=1156908&amp;filterOverPriceListings=false" TargetMode="External"/><Relationship Id="rId333" Type="http://schemas.openxmlformats.org/officeDocument/2006/relationships/hyperlink" Target="https://www.trendyol.com/abc/xyz-p-134120288?&amp;merchantId=1156908&amp;filterOverPriceListings=false" TargetMode="External"/><Relationship Id="rId454" Type="http://schemas.openxmlformats.org/officeDocument/2006/relationships/hyperlink" Target="https://www.trendyol.com/abc/xyz-p-925660?&amp;merchantId=1156908&amp;filterOverPriceListings=false" TargetMode="External"/><Relationship Id="rId211" Type="http://schemas.openxmlformats.org/officeDocument/2006/relationships/hyperlink" Target="https://www.trendyol.com/abc/xyz-p-4741147?&amp;merchantId=1156908&amp;filterOverPriceListings=false" TargetMode="External"/><Relationship Id="rId332" Type="http://schemas.openxmlformats.org/officeDocument/2006/relationships/hyperlink" Target="https://www.trendyol.com/abc/xyz-p-837330519?&amp;merchantId=1156908&amp;filterOverPriceListings=false" TargetMode="External"/><Relationship Id="rId453" Type="http://schemas.openxmlformats.org/officeDocument/2006/relationships/hyperlink" Target="https://www.trendyol.com/abc/xyz-p-750100?&amp;merchantId=1156908&amp;filterOverPriceListings=false" TargetMode="External"/><Relationship Id="rId210" Type="http://schemas.openxmlformats.org/officeDocument/2006/relationships/hyperlink" Target="https://www.trendyol.com/abc/xyz-p-750108?&amp;merchantId=1156908&amp;filterOverPriceListings=false" TargetMode="External"/><Relationship Id="rId331" Type="http://schemas.openxmlformats.org/officeDocument/2006/relationships/hyperlink" Target="https://www.trendyol.com/abc/xyz-p-924383644?&amp;merchantId=1156908&amp;filterOverPriceListings=false" TargetMode="External"/><Relationship Id="rId452" Type="http://schemas.openxmlformats.org/officeDocument/2006/relationships/hyperlink" Target="https://www.trendyol.com/abc/xyz-p-750105?&amp;merchantId=1156908&amp;filterOverPriceListings=false" TargetMode="External"/><Relationship Id="rId370" Type="http://schemas.openxmlformats.org/officeDocument/2006/relationships/hyperlink" Target="https://www.trendyol.com/abc/xyz-p-1061025761?&amp;merchantId=1156908&amp;filterOverPriceListings=false" TargetMode="External"/><Relationship Id="rId129" Type="http://schemas.openxmlformats.org/officeDocument/2006/relationships/hyperlink" Target="https://www.trendyol.com/abc/xyz-p-74648342?&amp;merchantId=1156908&amp;filterOverPriceListings=false" TargetMode="External"/><Relationship Id="rId128" Type="http://schemas.openxmlformats.org/officeDocument/2006/relationships/hyperlink" Target="https://www.trendyol.com/abc/xyz-p-2187254?&amp;merchantId=1156908&amp;filterOverPriceListings=false" TargetMode="External"/><Relationship Id="rId249" Type="http://schemas.openxmlformats.org/officeDocument/2006/relationships/hyperlink" Target="https://www.trendyol.com/abc/xyz-p-251674178?&amp;merchantId=1156908&amp;filterOverPriceListings=false" TargetMode="External"/><Relationship Id="rId127" Type="http://schemas.openxmlformats.org/officeDocument/2006/relationships/hyperlink" Target="https://www.trendyol.com/abc/xyz-p-2266285?&amp;merchantId=1156908&amp;filterOverPriceListings=false" TargetMode="External"/><Relationship Id="rId248" Type="http://schemas.openxmlformats.org/officeDocument/2006/relationships/hyperlink" Target="https://www.trendyol.com/abc/xyz-p-251681087?&amp;merchantId=1156908&amp;filterOverPriceListings=false" TargetMode="External"/><Relationship Id="rId369" Type="http://schemas.openxmlformats.org/officeDocument/2006/relationships/hyperlink" Target="https://www.trendyol.com/abc/xyz-p-952175192?&amp;merchantId=1156908&amp;filterOverPriceListings=false" TargetMode="External"/><Relationship Id="rId126" Type="http://schemas.openxmlformats.org/officeDocument/2006/relationships/hyperlink" Target="https://www.trendyol.com/abc/xyz-p-68395164?&amp;merchantId=1156908&amp;filterOverPriceListings=false" TargetMode="External"/><Relationship Id="rId247" Type="http://schemas.openxmlformats.org/officeDocument/2006/relationships/hyperlink" Target="https://www.trendyol.com/abc/xyz-p-251659304?&amp;merchantId=1156908&amp;filterOverPriceListings=false" TargetMode="External"/><Relationship Id="rId368" Type="http://schemas.openxmlformats.org/officeDocument/2006/relationships/hyperlink" Target="https://www.trendyol.com/abc/xyz-p-1061971893?&amp;merchantId=1156908&amp;filterOverPriceListings=false" TargetMode="External"/><Relationship Id="rId121" Type="http://schemas.openxmlformats.org/officeDocument/2006/relationships/hyperlink" Target="https://www.trendyol.com/abc/xyz-p-758829871?&amp;merchantId=1156908&amp;filterOverPriceListings=false" TargetMode="External"/><Relationship Id="rId242" Type="http://schemas.openxmlformats.org/officeDocument/2006/relationships/hyperlink" Target="https://www.trendyol.com/abc/xyz-p-57363456?&amp;merchantId=1156908&amp;filterOverPriceListings=false" TargetMode="External"/><Relationship Id="rId363" Type="http://schemas.openxmlformats.org/officeDocument/2006/relationships/hyperlink" Target="https://www.trendyol.com/abc/xyz-p-1061995135?&amp;merchantId=1156908&amp;filterOverPriceListings=false" TargetMode="External"/><Relationship Id="rId120" Type="http://schemas.openxmlformats.org/officeDocument/2006/relationships/hyperlink" Target="https://www.trendyol.com/abc/xyz-p-2265396?&amp;merchantId=1156908&amp;filterOverPriceListings=false" TargetMode="External"/><Relationship Id="rId241" Type="http://schemas.openxmlformats.org/officeDocument/2006/relationships/hyperlink" Target="https://www.trendyol.com/abc/xyz-p-1044667976?&amp;merchantId=1156908&amp;filterOverPriceListings=false" TargetMode="External"/><Relationship Id="rId362" Type="http://schemas.openxmlformats.org/officeDocument/2006/relationships/hyperlink" Target="https://www.trendyol.com/abc/xyz-p-1061995143?&amp;merchantId=1156908&amp;filterOverPriceListings=false" TargetMode="External"/><Relationship Id="rId240" Type="http://schemas.openxmlformats.org/officeDocument/2006/relationships/hyperlink" Target="https://www.trendyol.com/abc/xyz-p-750288775?&amp;merchantId=1156908&amp;filterOverPriceListings=false" TargetMode="External"/><Relationship Id="rId361" Type="http://schemas.openxmlformats.org/officeDocument/2006/relationships/hyperlink" Target="https://www.trendyol.com/abc/xyz-p-1061995659?&amp;merchantId=1156908&amp;filterOverPriceListings=false" TargetMode="External"/><Relationship Id="rId360" Type="http://schemas.openxmlformats.org/officeDocument/2006/relationships/hyperlink" Target="https://www.trendyol.com/abc/xyz-p-1062026204?&amp;merchantId=1156908&amp;filterOverPriceListings=false" TargetMode="External"/><Relationship Id="rId125" Type="http://schemas.openxmlformats.org/officeDocument/2006/relationships/hyperlink" Target="https://www.trendyol.com/abc/xyz-p-1056284670?&amp;merchantId=1156908&amp;filterOverPriceListings=false" TargetMode="External"/><Relationship Id="rId246" Type="http://schemas.openxmlformats.org/officeDocument/2006/relationships/hyperlink" Target="https://www.trendyol.com/abc/xyz-p-446165898?&amp;merchantId=1156908&amp;filterOverPriceListings=false" TargetMode="External"/><Relationship Id="rId367" Type="http://schemas.openxmlformats.org/officeDocument/2006/relationships/hyperlink" Target="https://www.trendyol.com/abc/xyz-p-1061971895?&amp;merchantId=1156908&amp;filterOverPriceListings=false" TargetMode="External"/><Relationship Id="rId124" Type="http://schemas.openxmlformats.org/officeDocument/2006/relationships/hyperlink" Target="https://www.trendyol.com/abc/xyz-p-758806141?&amp;merchantId=1156908&amp;filterOverPriceListings=false" TargetMode="External"/><Relationship Id="rId245" Type="http://schemas.openxmlformats.org/officeDocument/2006/relationships/hyperlink" Target="https://www.trendyol.com/abc/xyz-p-251670055?&amp;merchantId=1156908&amp;filterOverPriceListings=false" TargetMode="External"/><Relationship Id="rId366" Type="http://schemas.openxmlformats.org/officeDocument/2006/relationships/hyperlink" Target="https://www.trendyol.com/abc/xyz-p-1061971903?&amp;merchantId=1156908&amp;filterOverPriceListings=false" TargetMode="External"/><Relationship Id="rId123" Type="http://schemas.openxmlformats.org/officeDocument/2006/relationships/hyperlink" Target="https://www.trendyol.com/abc/xyz-p-758806175?&amp;merchantId=1156908&amp;filterOverPriceListings=false" TargetMode="External"/><Relationship Id="rId244" Type="http://schemas.openxmlformats.org/officeDocument/2006/relationships/hyperlink" Target="https://www.trendyol.com/abc/xyz-p-32555025?&amp;merchantId=1156908&amp;filterOverPriceListings=false" TargetMode="External"/><Relationship Id="rId365" Type="http://schemas.openxmlformats.org/officeDocument/2006/relationships/hyperlink" Target="https://www.trendyol.com/abc/xyz-p-1061994613?&amp;merchantId=1156908&amp;filterOverPriceListings=false" TargetMode="External"/><Relationship Id="rId122" Type="http://schemas.openxmlformats.org/officeDocument/2006/relationships/hyperlink" Target="https://www.trendyol.com/abc/xyz-p-758830520?&amp;merchantId=1156908&amp;filterOverPriceListings=false" TargetMode="External"/><Relationship Id="rId243" Type="http://schemas.openxmlformats.org/officeDocument/2006/relationships/hyperlink" Target="https://www.trendyol.com/abc/xyz-p-350327882?&amp;merchantId=1156908&amp;filterOverPriceListings=false" TargetMode="External"/><Relationship Id="rId364" Type="http://schemas.openxmlformats.org/officeDocument/2006/relationships/hyperlink" Target="https://www.trendyol.com/abc/xyz-p-1061994614?&amp;merchantId=1156908&amp;filterOverPriceListings=false" TargetMode="External"/><Relationship Id="rId95" Type="http://schemas.openxmlformats.org/officeDocument/2006/relationships/hyperlink" Target="https://www.trendyol.com/abc/xyz-p-1224016?&amp;merchantId=1156908&amp;filterOverPriceListings=false" TargetMode="External"/><Relationship Id="rId94" Type="http://schemas.openxmlformats.org/officeDocument/2006/relationships/hyperlink" Target="https://www.trendyol.com/abc/xyz-p-748739864?&amp;merchantId=1156908&amp;filterOverPriceListings=false" TargetMode="External"/><Relationship Id="rId97" Type="http://schemas.openxmlformats.org/officeDocument/2006/relationships/hyperlink" Target="https://www.trendyol.com/abc/xyz-p-92889822?&amp;merchantId=1156908&amp;filterOverPriceListings=false" TargetMode="External"/><Relationship Id="rId96" Type="http://schemas.openxmlformats.org/officeDocument/2006/relationships/hyperlink" Target="https://www.trendyol.com/abc/xyz-p-750117?&amp;merchantId=1156908&amp;filterOverPriceListings=false" TargetMode="External"/><Relationship Id="rId99" Type="http://schemas.openxmlformats.org/officeDocument/2006/relationships/hyperlink" Target="https://www.trendyol.com/abc/xyz-p-86262177?&amp;merchantId=1156908&amp;filterOverPriceListings=false" TargetMode="External"/><Relationship Id="rId98" Type="http://schemas.openxmlformats.org/officeDocument/2006/relationships/hyperlink" Target="https://www.trendyol.com/abc/xyz-p-1044663155?&amp;merchantId=1156908&amp;filterOverPriceListings=false" TargetMode="External"/><Relationship Id="rId91" Type="http://schemas.openxmlformats.org/officeDocument/2006/relationships/hyperlink" Target="https://www.trendyol.com/abc/xyz-p-104366130?&amp;merchantId=1156908&amp;filterOverPriceListings=false" TargetMode="External"/><Relationship Id="rId90" Type="http://schemas.openxmlformats.org/officeDocument/2006/relationships/hyperlink" Target="https://www.trendyol.com/abc/xyz-p-1057454468?&amp;merchantId=1156908&amp;filterOverPriceListings=false" TargetMode="External"/><Relationship Id="rId93" Type="http://schemas.openxmlformats.org/officeDocument/2006/relationships/hyperlink" Target="https://www.trendyol.com/abc/xyz-p-33091761?&amp;merchantId=1156908&amp;filterOverPriceListings=false" TargetMode="External"/><Relationship Id="rId92" Type="http://schemas.openxmlformats.org/officeDocument/2006/relationships/hyperlink" Target="https://www.trendyol.com/abc/xyz-p-823585044?&amp;merchantId=1156908&amp;filterOverPriceListings=false" TargetMode="External"/><Relationship Id="rId118" Type="http://schemas.openxmlformats.org/officeDocument/2006/relationships/hyperlink" Target="https://www.trendyol.com/abc/xyz-p-49271205?&amp;merchantId=1156908&amp;filterOverPriceListings=false" TargetMode="External"/><Relationship Id="rId239" Type="http://schemas.openxmlformats.org/officeDocument/2006/relationships/hyperlink" Target="https://www.trendyol.com/abc/xyz-p-65925216?&amp;merchantId=1156908&amp;filterOverPriceListings=false" TargetMode="External"/><Relationship Id="rId117" Type="http://schemas.openxmlformats.org/officeDocument/2006/relationships/hyperlink" Target="https://www.trendyol.com/abc/xyz-p-32625902?&amp;merchantId=1156908&amp;filterOverPriceListings=false" TargetMode="External"/><Relationship Id="rId238" Type="http://schemas.openxmlformats.org/officeDocument/2006/relationships/hyperlink" Target="https://www.trendyol.com/abc/xyz-p-756589622?&amp;merchantId=1156908&amp;filterOverPriceListings=false" TargetMode="External"/><Relationship Id="rId359" Type="http://schemas.openxmlformats.org/officeDocument/2006/relationships/hyperlink" Target="https://www.trendyol.com/abc/xyz-p-1062026455?&amp;merchantId=1156908&amp;filterOverPriceListings=false" TargetMode="External"/><Relationship Id="rId116" Type="http://schemas.openxmlformats.org/officeDocument/2006/relationships/hyperlink" Target="https://www.trendyol.com/abc/xyz-p-32630312?&amp;merchantId=1156908&amp;filterOverPriceListings=false" TargetMode="External"/><Relationship Id="rId237" Type="http://schemas.openxmlformats.org/officeDocument/2006/relationships/hyperlink" Target="https://www.trendyol.com/abc/xyz-p-3954931?&amp;merchantId=1156908&amp;filterOverPriceListings=false" TargetMode="External"/><Relationship Id="rId358" Type="http://schemas.openxmlformats.org/officeDocument/2006/relationships/hyperlink" Target="https://www.trendyol.com/abc/xyz-p-1062026395?&amp;merchantId=1156908&amp;filterOverPriceListings=false" TargetMode="External"/><Relationship Id="rId115" Type="http://schemas.openxmlformats.org/officeDocument/2006/relationships/hyperlink" Target="https://www.trendyol.com/abc/xyz-p-833546129?&amp;merchantId=1156908&amp;filterOverPriceListings=false" TargetMode="External"/><Relationship Id="rId236" Type="http://schemas.openxmlformats.org/officeDocument/2006/relationships/hyperlink" Target="https://www.trendyol.com/abc/xyz-p-672841550?&amp;merchantId=1156908&amp;filterOverPriceListings=false" TargetMode="External"/><Relationship Id="rId357" Type="http://schemas.openxmlformats.org/officeDocument/2006/relationships/hyperlink" Target="https://www.trendyol.com/abc/xyz-p-1062039633?&amp;merchantId=1156908&amp;filterOverPriceListings=false" TargetMode="External"/><Relationship Id="rId119" Type="http://schemas.openxmlformats.org/officeDocument/2006/relationships/hyperlink" Target="https://www.trendyol.com/abc/xyz-p-2187272?&amp;merchantId=1156908&amp;filterOverPriceListings=false" TargetMode="External"/><Relationship Id="rId110" Type="http://schemas.openxmlformats.org/officeDocument/2006/relationships/hyperlink" Target="https://www.trendyol.com/abc/xyz-p-4489404?&amp;merchantId=1156908&amp;filterOverPriceListings=false" TargetMode="External"/><Relationship Id="rId231" Type="http://schemas.openxmlformats.org/officeDocument/2006/relationships/hyperlink" Target="https://www.trendyol.com/abc/xyz-p-127943847?&amp;merchantId=1156908&amp;filterOverPriceListings=false" TargetMode="External"/><Relationship Id="rId352" Type="http://schemas.openxmlformats.org/officeDocument/2006/relationships/hyperlink" Target="https://www.trendyol.com/abc/xyz-p-1063117863?&amp;merchantId=1156908&amp;filterOverPriceListings=false" TargetMode="External"/><Relationship Id="rId230" Type="http://schemas.openxmlformats.org/officeDocument/2006/relationships/hyperlink" Target="https://www.trendyol.com/abc/xyz-p-222416806?&amp;merchantId=1156908&amp;filterOverPriceListings=false" TargetMode="External"/><Relationship Id="rId351" Type="http://schemas.openxmlformats.org/officeDocument/2006/relationships/hyperlink" Target="https://www.trendyol.com/abc/xyz-p-1063156822?&amp;merchantId=1156908&amp;filterOverPriceListings=false" TargetMode="External"/><Relationship Id="rId350" Type="http://schemas.openxmlformats.org/officeDocument/2006/relationships/hyperlink" Target="https://www.trendyol.com/abc/xyz-p-1063215333?&amp;merchantId=1156908&amp;filterOverPriceListings=false" TargetMode="External"/><Relationship Id="rId114" Type="http://schemas.openxmlformats.org/officeDocument/2006/relationships/hyperlink" Target="https://www.trendyol.com/abc/xyz-p-42513904?&amp;merchantId=1156908&amp;filterOverPriceListings=false" TargetMode="External"/><Relationship Id="rId235" Type="http://schemas.openxmlformats.org/officeDocument/2006/relationships/hyperlink" Target="https://www.trendyol.com/abc/xyz-p-660652039?&amp;merchantId=1156908&amp;filterOverPriceListings=false" TargetMode="External"/><Relationship Id="rId356" Type="http://schemas.openxmlformats.org/officeDocument/2006/relationships/hyperlink" Target="https://www.trendyol.com/abc/xyz-p-68846899?&amp;merchantId=1156908&amp;filterOverPriceListings=false" TargetMode="External"/><Relationship Id="rId113" Type="http://schemas.openxmlformats.org/officeDocument/2006/relationships/hyperlink" Target="https://www.trendyol.com/abc/xyz-p-851238670?&amp;merchantId=1156908&amp;filterOverPriceListings=false" TargetMode="External"/><Relationship Id="rId234" Type="http://schemas.openxmlformats.org/officeDocument/2006/relationships/hyperlink" Target="https://www.trendyol.com/abc/xyz-p-93229786?&amp;merchantId=1156908&amp;filterOverPriceListings=false" TargetMode="External"/><Relationship Id="rId355" Type="http://schemas.openxmlformats.org/officeDocument/2006/relationships/hyperlink" Target="https://www.trendyol.com/abc/xyz-p-1223959?&amp;merchantId=1156908&amp;filterOverPriceListings=false" TargetMode="External"/><Relationship Id="rId112" Type="http://schemas.openxmlformats.org/officeDocument/2006/relationships/hyperlink" Target="https://www.trendyol.com/abc/xyz-p-962604823?&amp;merchantId=1156908&amp;filterOverPriceListings=false" TargetMode="External"/><Relationship Id="rId233" Type="http://schemas.openxmlformats.org/officeDocument/2006/relationships/hyperlink" Target="https://www.trendyol.com/abc/xyz-p-138880190?&amp;merchantId=1156908&amp;filterOverPriceListings=false" TargetMode="External"/><Relationship Id="rId354" Type="http://schemas.openxmlformats.org/officeDocument/2006/relationships/hyperlink" Target="https://www.trendyol.com/abc/xyz-p-1063115754?&amp;merchantId=1156908&amp;filterOverPriceListings=false" TargetMode="External"/><Relationship Id="rId111" Type="http://schemas.openxmlformats.org/officeDocument/2006/relationships/hyperlink" Target="https://www.trendyol.com/abc/xyz-p-44795489?&amp;merchantId=1156908&amp;filterOverPriceListings=false" TargetMode="External"/><Relationship Id="rId232" Type="http://schemas.openxmlformats.org/officeDocument/2006/relationships/hyperlink" Target="https://www.trendyol.com/abc/xyz-p-138880190?&amp;merchantId=1156908&amp;filterOverPriceListings=false" TargetMode="External"/><Relationship Id="rId353" Type="http://schemas.openxmlformats.org/officeDocument/2006/relationships/hyperlink" Target="https://www.trendyol.com/abc/xyz-p-1063115910?&amp;merchantId=1156908&amp;filterOverPriceListings=false" TargetMode="External"/><Relationship Id="rId305" Type="http://schemas.openxmlformats.org/officeDocument/2006/relationships/hyperlink" Target="https://www.trendyol.com/abc/xyz-p-1066202584?&amp;merchantId=1156908&amp;filterOverPriceListings=false" TargetMode="External"/><Relationship Id="rId426" Type="http://schemas.openxmlformats.org/officeDocument/2006/relationships/hyperlink" Target="https://www.trendyol.com/abc/xyz-p-179342622?&amp;merchantId=1156908&amp;filterOverPriceListings=false" TargetMode="External"/><Relationship Id="rId304" Type="http://schemas.openxmlformats.org/officeDocument/2006/relationships/hyperlink" Target="https://www.trendyol.com/abc/xyz-p-1066202575?&amp;merchantId=1156908&amp;filterOverPriceListings=false" TargetMode="External"/><Relationship Id="rId425" Type="http://schemas.openxmlformats.org/officeDocument/2006/relationships/hyperlink" Target="https://www.trendyol.com/abc/xyz-p-239453192?&amp;merchantId=1156908&amp;filterOverPriceListings=false" TargetMode="External"/><Relationship Id="rId303" Type="http://schemas.openxmlformats.org/officeDocument/2006/relationships/hyperlink" Target="https://www.trendyol.com/abc/xyz-p-1066202588?&amp;merchantId=1156908&amp;filterOverPriceListings=false" TargetMode="External"/><Relationship Id="rId424" Type="http://schemas.openxmlformats.org/officeDocument/2006/relationships/hyperlink" Target="https://www.trendyol.com/abc/xyz-p-817702655?&amp;merchantId=1156908&amp;filterOverPriceListings=false" TargetMode="External"/><Relationship Id="rId302" Type="http://schemas.openxmlformats.org/officeDocument/2006/relationships/hyperlink" Target="https://www.trendyol.com/abc/xyz-p-1066202570?&amp;merchantId=1156908&amp;filterOverPriceListings=false" TargetMode="External"/><Relationship Id="rId423" Type="http://schemas.openxmlformats.org/officeDocument/2006/relationships/hyperlink" Target="https://www.trendyol.com/abc/xyz-p-1075455072?&amp;merchantId=1156908&amp;filterOverPriceListings=false" TargetMode="External"/><Relationship Id="rId309" Type="http://schemas.openxmlformats.org/officeDocument/2006/relationships/hyperlink" Target="https://www.trendyol.com/abc/xyz-p-1066202582?&amp;merchantId=1156908&amp;filterOverPriceListings=false" TargetMode="External"/><Relationship Id="rId308" Type="http://schemas.openxmlformats.org/officeDocument/2006/relationships/hyperlink" Target="https://www.trendyol.com/abc/xyz-p-1066202578?&amp;merchantId=1156908&amp;filterOverPriceListings=false" TargetMode="External"/><Relationship Id="rId429" Type="http://schemas.openxmlformats.org/officeDocument/2006/relationships/hyperlink" Target="https://www.trendyol.com/abc/xyz-p-655377501?&amp;merchantId=1156908&amp;filterOverPriceListings=false" TargetMode="External"/><Relationship Id="rId307" Type="http://schemas.openxmlformats.org/officeDocument/2006/relationships/hyperlink" Target="https://www.trendyol.com/abc/xyz-p-1066202572?&amp;merchantId=1156908&amp;filterOverPriceListings=false" TargetMode="External"/><Relationship Id="rId428" Type="http://schemas.openxmlformats.org/officeDocument/2006/relationships/hyperlink" Target="https://www.trendyol.com/abc/xyz-p-746370333?&amp;merchantId=1156908&amp;filterOverPriceListings=false" TargetMode="External"/><Relationship Id="rId306" Type="http://schemas.openxmlformats.org/officeDocument/2006/relationships/hyperlink" Target="https://www.trendyol.com/abc/xyz-p-1066202577?&amp;merchantId=1156908&amp;filterOverPriceListings=false" TargetMode="External"/><Relationship Id="rId427" Type="http://schemas.openxmlformats.org/officeDocument/2006/relationships/hyperlink" Target="https://www.trendyol.com/abc/xyz-p-705236767?&amp;merchantId=1156908&amp;filterOverPriceListings=false" TargetMode="External"/><Relationship Id="rId301" Type="http://schemas.openxmlformats.org/officeDocument/2006/relationships/hyperlink" Target="https://www.trendyol.com/abc/xyz-p-1066202585?&amp;merchantId=1156908&amp;filterOverPriceListings=false" TargetMode="External"/><Relationship Id="rId422" Type="http://schemas.openxmlformats.org/officeDocument/2006/relationships/hyperlink" Target="https://www.trendyol.com/abc/xyz-p-987026017?&amp;merchantId=1156908&amp;filterOverPriceListings=false" TargetMode="External"/><Relationship Id="rId300" Type="http://schemas.openxmlformats.org/officeDocument/2006/relationships/hyperlink" Target="https://www.trendyol.com/abc/xyz-p-1066202579?&amp;merchantId=1156908&amp;filterOverPriceListings=false" TargetMode="External"/><Relationship Id="rId421" Type="http://schemas.openxmlformats.org/officeDocument/2006/relationships/hyperlink" Target="https://www.trendyol.com/abc/xyz-p-987039076?&amp;merchantId=1156908&amp;filterOverPriceListings=false" TargetMode="External"/><Relationship Id="rId420" Type="http://schemas.openxmlformats.org/officeDocument/2006/relationships/hyperlink" Target="https://www.trendyol.com/abc/xyz-p-764987657?&amp;merchantId=1156908&amp;filterOverPriceListings=false" TargetMode="External"/><Relationship Id="rId415" Type="http://schemas.openxmlformats.org/officeDocument/2006/relationships/hyperlink" Target="https://www.trendyol.com/abc/xyz-p-1194773?&amp;merchantId=1156908&amp;filterOverPriceListings=false" TargetMode="External"/><Relationship Id="rId414" Type="http://schemas.openxmlformats.org/officeDocument/2006/relationships/hyperlink" Target="https://www.trendyol.com/abc/xyz-p-4741146?&amp;merchantId=1156908&amp;filterOverPriceListings=false" TargetMode="External"/><Relationship Id="rId413" Type="http://schemas.openxmlformats.org/officeDocument/2006/relationships/hyperlink" Target="https://www.trendyol.com/abc/xyz-p-49679448?&amp;merchantId=1156908&amp;filterOverPriceListings=false" TargetMode="External"/><Relationship Id="rId412" Type="http://schemas.openxmlformats.org/officeDocument/2006/relationships/hyperlink" Target="https://www.trendyol.com/abc/xyz-p-850916011?&amp;merchantId=1156908&amp;filterOverPriceListings=false" TargetMode="External"/><Relationship Id="rId419" Type="http://schemas.openxmlformats.org/officeDocument/2006/relationships/hyperlink" Target="https://www.trendyol.com/abc/xyz-p-91046575?&amp;merchantId=1156908&amp;filterOverPriceListings=false" TargetMode="External"/><Relationship Id="rId418" Type="http://schemas.openxmlformats.org/officeDocument/2006/relationships/hyperlink" Target="https://www.trendyol.com/abc/xyz-p-44866446?&amp;merchantId=1156908&amp;filterOverPriceListings=false" TargetMode="External"/><Relationship Id="rId417" Type="http://schemas.openxmlformats.org/officeDocument/2006/relationships/hyperlink" Target="https://www.trendyol.com/abc/xyz-p-44866457?&amp;merchantId=1156908&amp;filterOverPriceListings=false" TargetMode="External"/><Relationship Id="rId416" Type="http://schemas.openxmlformats.org/officeDocument/2006/relationships/hyperlink" Target="https://www.trendyol.com/abc/xyz-p-81607518?&amp;merchantId=1156908&amp;filterOverPriceListings=false" TargetMode="External"/><Relationship Id="rId411" Type="http://schemas.openxmlformats.org/officeDocument/2006/relationships/hyperlink" Target="https://www.trendyol.com/abc/xyz-p-162471082?&amp;merchantId=1156908&amp;filterOverPriceListings=false" TargetMode="External"/><Relationship Id="rId410" Type="http://schemas.openxmlformats.org/officeDocument/2006/relationships/hyperlink" Target="https://www.trendyol.com/abc/xyz-p-122542390?&amp;merchantId=1156908&amp;filterOverPriceListings=false" TargetMode="External"/><Relationship Id="rId206" Type="http://schemas.openxmlformats.org/officeDocument/2006/relationships/hyperlink" Target="https://www.trendyol.com/abc/xyz-p-925670?&amp;merchantId=1156908&amp;filterOverPriceListings=false" TargetMode="External"/><Relationship Id="rId327" Type="http://schemas.openxmlformats.org/officeDocument/2006/relationships/hyperlink" Target="https://www.trendyol.com/abc/xyz-p-401822662?&amp;merchantId=1156908&amp;filterOverPriceListings=false" TargetMode="External"/><Relationship Id="rId448" Type="http://schemas.openxmlformats.org/officeDocument/2006/relationships/hyperlink" Target="https://www.trendyol.com/abc/xyz-p-750114?&amp;merchantId=1156908&amp;filterOverPriceListings=false" TargetMode="External"/><Relationship Id="rId205" Type="http://schemas.openxmlformats.org/officeDocument/2006/relationships/hyperlink" Target="https://www.trendyol.com/abc/xyz-p-925653?&amp;merchantId=1156908&amp;filterOverPriceListings=false" TargetMode="External"/><Relationship Id="rId326" Type="http://schemas.openxmlformats.org/officeDocument/2006/relationships/hyperlink" Target="https://www.trendyol.com/abc/xyz-p-969805099?&amp;merchantId=1156908&amp;filterOverPriceListings=false" TargetMode="External"/><Relationship Id="rId447" Type="http://schemas.openxmlformats.org/officeDocument/2006/relationships/hyperlink" Target="https://www.trendyol.com/abc/xyz-p-750114?&amp;merchantId=1156908&amp;filterOverPriceListings=false" TargetMode="External"/><Relationship Id="rId204" Type="http://schemas.openxmlformats.org/officeDocument/2006/relationships/hyperlink" Target="https://www.trendyol.com/abc/xyz-p-750099?&amp;merchantId=1156908&amp;filterOverPriceListings=false" TargetMode="External"/><Relationship Id="rId325" Type="http://schemas.openxmlformats.org/officeDocument/2006/relationships/hyperlink" Target="https://www.trendyol.com/abc/xyz-p-925537?&amp;merchantId=1156908&amp;filterOverPriceListings=false" TargetMode="External"/><Relationship Id="rId446" Type="http://schemas.openxmlformats.org/officeDocument/2006/relationships/hyperlink" Target="https://www.trendyol.com/abc/xyz-p-750118?&amp;merchantId=1156908&amp;filterOverPriceListings=false" TargetMode="External"/><Relationship Id="rId203" Type="http://schemas.openxmlformats.org/officeDocument/2006/relationships/hyperlink" Target="https://www.trendyol.com/abc/xyz-p-40231199?&amp;merchantId=1156908&amp;filterOverPriceListings=false" TargetMode="External"/><Relationship Id="rId324" Type="http://schemas.openxmlformats.org/officeDocument/2006/relationships/hyperlink" Target="https://www.trendyol.com/abc/xyz-p-474751340?&amp;merchantId=1156908&amp;filterOverPriceListings=false" TargetMode="External"/><Relationship Id="rId445" Type="http://schemas.openxmlformats.org/officeDocument/2006/relationships/hyperlink" Target="https://www.trendyol.com/abc/xyz-p-750104?&amp;merchantId=1156908&amp;filterOverPriceListings=false" TargetMode="External"/><Relationship Id="rId209" Type="http://schemas.openxmlformats.org/officeDocument/2006/relationships/hyperlink" Target="https://www.trendyol.com/abc/xyz-p-1197850?&amp;merchantId=1156908&amp;filterOverPriceListings=false" TargetMode="External"/><Relationship Id="rId208" Type="http://schemas.openxmlformats.org/officeDocument/2006/relationships/hyperlink" Target="https://www.trendyol.com/abc/xyz-p-242032468?&amp;merchantId=1156908&amp;filterOverPriceListings=false" TargetMode="External"/><Relationship Id="rId329" Type="http://schemas.openxmlformats.org/officeDocument/2006/relationships/hyperlink" Target="https://www.trendyol.com/abc/xyz-p-1048362851?&amp;merchantId=1156908&amp;filterOverPriceListings=false" TargetMode="External"/><Relationship Id="rId207" Type="http://schemas.openxmlformats.org/officeDocument/2006/relationships/hyperlink" Target="https://www.trendyol.com/abc/xyz-p-2247670?&amp;merchantId=1156908&amp;filterOverPriceListings=false" TargetMode="External"/><Relationship Id="rId328" Type="http://schemas.openxmlformats.org/officeDocument/2006/relationships/hyperlink" Target="https://www.trendyol.com/abc/xyz-p-95610091?&amp;merchantId=1156908&amp;filterOverPriceListings=false" TargetMode="External"/><Relationship Id="rId449" Type="http://schemas.openxmlformats.org/officeDocument/2006/relationships/hyperlink" Target="https://www.trendyol.com/abc/xyz-p-750103?&amp;merchantId=1156908&amp;filterOverPriceListings=false" TargetMode="External"/><Relationship Id="rId440" Type="http://schemas.openxmlformats.org/officeDocument/2006/relationships/hyperlink" Target="https://www.trendyol.com/abc/xyz-p-1096025701?&amp;merchantId=1156908&amp;filterOverPriceListings=false" TargetMode="External"/><Relationship Id="rId202" Type="http://schemas.openxmlformats.org/officeDocument/2006/relationships/hyperlink" Target="https://www.trendyol.com/abc/xyz-p-925658?&amp;merchantId=1156908&amp;filterOverPriceListings=false" TargetMode="External"/><Relationship Id="rId323" Type="http://schemas.openxmlformats.org/officeDocument/2006/relationships/hyperlink" Target="https://www.trendyol.com/abc/xyz-p-925539?&amp;merchantId=1156908&amp;filterOverPriceListings=false" TargetMode="External"/><Relationship Id="rId444" Type="http://schemas.openxmlformats.org/officeDocument/2006/relationships/hyperlink" Target="https://www.trendyol.com/abc/xyz-p-1224010?&amp;merchantId=1156908&amp;filterOverPriceListings=false" TargetMode="External"/><Relationship Id="rId201" Type="http://schemas.openxmlformats.org/officeDocument/2006/relationships/hyperlink" Target="https://www.trendyol.com/abc/xyz-p-239284691?&amp;merchantId=1156908&amp;filterOverPriceListings=false" TargetMode="External"/><Relationship Id="rId322" Type="http://schemas.openxmlformats.org/officeDocument/2006/relationships/hyperlink" Target="https://www.trendyol.com/abc/xyz-p-989096592?&amp;merchantId=1156908&amp;filterOverPriceListings=false" TargetMode="External"/><Relationship Id="rId443" Type="http://schemas.openxmlformats.org/officeDocument/2006/relationships/hyperlink" Target="https://www.trendyol.com/abc/xyz-p-750115?&amp;merchantId=1156908&amp;filterOverPriceListings=false" TargetMode="External"/><Relationship Id="rId200" Type="http://schemas.openxmlformats.org/officeDocument/2006/relationships/hyperlink" Target="https://www.trendyol.com/abc/xyz-p-272952378?&amp;merchantId=1156908&amp;filterOverPriceListings=false" TargetMode="External"/><Relationship Id="rId321" Type="http://schemas.openxmlformats.org/officeDocument/2006/relationships/hyperlink" Target="https://www.trendyol.com/abc/xyz-p-925545?&amp;merchantId=1156908&amp;filterOverPriceListings=false" TargetMode="External"/><Relationship Id="rId442" Type="http://schemas.openxmlformats.org/officeDocument/2006/relationships/hyperlink" Target="https://www.trendyol.com/abc/xyz-p-972775638?&amp;merchantId=1156908&amp;filterOverPriceListings=false" TargetMode="External"/><Relationship Id="rId320" Type="http://schemas.openxmlformats.org/officeDocument/2006/relationships/hyperlink" Target="https://www.trendyol.com/abc/xyz-p-925547?&amp;merchantId=1156908&amp;filterOverPriceListings=false" TargetMode="External"/><Relationship Id="rId441" Type="http://schemas.openxmlformats.org/officeDocument/2006/relationships/hyperlink" Target="https://www.trendyol.com/abc/xyz-p-57648580?&amp;merchantId=1156908&amp;filterOverPriceListings=false" TargetMode="External"/><Relationship Id="rId316" Type="http://schemas.openxmlformats.org/officeDocument/2006/relationships/hyperlink" Target="https://www.trendyol.com/abc/xyz-p-1031617819?&amp;merchantId=1156908&amp;filterOverPriceListings=false" TargetMode="External"/><Relationship Id="rId437" Type="http://schemas.openxmlformats.org/officeDocument/2006/relationships/hyperlink" Target="https://www.trendyol.com/abc/xyz-p-32793465?&amp;merchantId=1156908&amp;filterOverPriceListings=false" TargetMode="External"/><Relationship Id="rId315" Type="http://schemas.openxmlformats.org/officeDocument/2006/relationships/hyperlink" Target="https://www.trendyol.com/abc/xyz-p-1049981874?&amp;merchantId=1156908&amp;filterOverPriceListings=false" TargetMode="External"/><Relationship Id="rId436" Type="http://schemas.openxmlformats.org/officeDocument/2006/relationships/hyperlink" Target="https://www.trendyol.com/abc/xyz-p-970648132?&amp;merchantId=1156908&amp;filterOverPriceListings=false" TargetMode="External"/><Relationship Id="rId314" Type="http://schemas.openxmlformats.org/officeDocument/2006/relationships/hyperlink" Target="https://www.trendyol.com/abc/xyz-p-1066202576?&amp;merchantId=1156908&amp;filterOverPriceListings=false" TargetMode="External"/><Relationship Id="rId435" Type="http://schemas.openxmlformats.org/officeDocument/2006/relationships/hyperlink" Target="https://www.trendyol.com/abc/xyz-p-49771021?&amp;merchantId=1156908&amp;filterOverPriceListings=false" TargetMode="External"/><Relationship Id="rId313" Type="http://schemas.openxmlformats.org/officeDocument/2006/relationships/hyperlink" Target="https://www.trendyol.com/abc/xyz-p-1066202571?&amp;merchantId=1156908&amp;filterOverPriceListings=false" TargetMode="External"/><Relationship Id="rId434" Type="http://schemas.openxmlformats.org/officeDocument/2006/relationships/hyperlink" Target="https://www.trendyol.com/abc/xyz-p-13742809?&amp;merchantId=1156908&amp;filterOverPriceListings=false" TargetMode="External"/><Relationship Id="rId319" Type="http://schemas.openxmlformats.org/officeDocument/2006/relationships/hyperlink" Target="https://www.trendyol.com/abc/xyz-p-925538?&amp;merchantId=1156908&amp;filterOverPriceListings=false" TargetMode="External"/><Relationship Id="rId318" Type="http://schemas.openxmlformats.org/officeDocument/2006/relationships/hyperlink" Target="https://www.trendyol.com/abc/xyz-p-925542?&amp;merchantId=1156908&amp;filterOverPriceListings=false" TargetMode="External"/><Relationship Id="rId439" Type="http://schemas.openxmlformats.org/officeDocument/2006/relationships/hyperlink" Target="https://www.trendyol.com/abc/xyz-p-750126?&amp;merchantId=1156908&amp;filterOverPriceListings=false" TargetMode="External"/><Relationship Id="rId317" Type="http://schemas.openxmlformats.org/officeDocument/2006/relationships/hyperlink" Target="https://www.trendyol.com/abc/xyz-p-1038215923?&amp;merchantId=1156908&amp;filterOverPriceListings=false" TargetMode="External"/><Relationship Id="rId438" Type="http://schemas.openxmlformats.org/officeDocument/2006/relationships/hyperlink" Target="https://www.trendyol.com/abc/xyz-p-1914360?&amp;merchantId=1156908&amp;filterOverPriceListings=false" TargetMode="External"/><Relationship Id="rId312" Type="http://schemas.openxmlformats.org/officeDocument/2006/relationships/hyperlink" Target="https://www.trendyol.com/abc/xyz-p-1066202574?&amp;merchantId=1156908&amp;filterOverPriceListings=false" TargetMode="External"/><Relationship Id="rId433" Type="http://schemas.openxmlformats.org/officeDocument/2006/relationships/hyperlink" Target="https://www.trendyol.com/abc/xyz-p-705907272?&amp;merchantId=1156908&amp;filterOverPriceListings=false" TargetMode="External"/><Relationship Id="rId311" Type="http://schemas.openxmlformats.org/officeDocument/2006/relationships/hyperlink" Target="https://www.trendyol.com/abc/xyz-p-1066202583?&amp;merchantId=1156908&amp;filterOverPriceListings=false" TargetMode="External"/><Relationship Id="rId432" Type="http://schemas.openxmlformats.org/officeDocument/2006/relationships/hyperlink" Target="https://www.trendyol.com/abc/xyz-p-335250610?&amp;merchantId=1156908&amp;filterOverPriceListings=false" TargetMode="External"/><Relationship Id="rId310" Type="http://schemas.openxmlformats.org/officeDocument/2006/relationships/hyperlink" Target="https://www.trendyol.com/abc/xyz-p-1066202573?&amp;merchantId=1156908&amp;filterOverPriceListings=false" TargetMode="External"/><Relationship Id="rId431" Type="http://schemas.openxmlformats.org/officeDocument/2006/relationships/hyperlink" Target="https://www.trendyol.com/abc/xyz-p-703210201?&amp;merchantId=1156908&amp;filterOverPriceListings=false" TargetMode="External"/><Relationship Id="rId430" Type="http://schemas.openxmlformats.org/officeDocument/2006/relationships/hyperlink" Target="https://www.trendyol.com/abc/xyz-p-2741719?&amp;merchantId=1156908&amp;filterOverPriceListings=false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7.0"/>
    <col customWidth="1" min="11" max="11" width="32.38"/>
    <col customWidth="1" min="12" max="12" width="25.88"/>
  </cols>
  <sheetData>
    <row r="1">
      <c r="A1" s="1" t="s">
        <v>0</v>
      </c>
    </row>
    <row r="2">
      <c r="A2" s="2"/>
    </row>
    <row r="3">
      <c r="A3" s="3" t="s">
        <v>1</v>
      </c>
      <c r="B3" s="4" t="s">
        <v>2</v>
      </c>
    </row>
    <row r="4">
      <c r="A4" s="5" t="s">
        <v>3</v>
      </c>
      <c r="B4" s="6">
        <f>COUNTA(Products!A2:A1000)</f>
        <v>464</v>
      </c>
    </row>
    <row r="5">
      <c r="A5" s="5" t="s">
        <v>4</v>
      </c>
      <c r="B5" s="6">
        <f>COUNTIF(Products!P2:P1000,"&gt;0")</f>
        <v>204</v>
      </c>
    </row>
    <row r="6">
      <c r="A6" s="5" t="s">
        <v>5</v>
      </c>
      <c r="B6" s="6">
        <f>COUNTIF('BuyBox Karlilik'!M2:M300,"KÂRLI")+COUNTIF('BuyBox Karlilik'!M2:M300,"ZARAR")</f>
        <v>184</v>
      </c>
    </row>
    <row r="7">
      <c r="A7" s="5" t="s">
        <v>6</v>
      </c>
      <c r="B7" s="6">
        <f>COUNTIF('BuyBox Karlilik'!M2:M300,"KÂRLI")</f>
        <v>126</v>
      </c>
    </row>
    <row r="8">
      <c r="A8" s="5" t="s">
        <v>7</v>
      </c>
      <c r="B8" s="6">
        <f>COUNTIF('BuyBox Karlilik'!M2:M300,"ZARAR")</f>
        <v>58</v>
      </c>
    </row>
    <row r="9">
      <c r="A9" s="5" t="s">
        <v>8</v>
      </c>
      <c r="B9" s="6">
        <f>COUNTIF('BuyBox Karlilik'!M2:M300,"EKSİK VERİ")</f>
        <v>20</v>
      </c>
    </row>
    <row r="10">
      <c r="A10" s="5" t="s">
        <v>9</v>
      </c>
      <c r="B10" s="6">
        <f>COUNTIF('BuyBox Karlilik'!T2:T300,"ÇOK KÂRLI")</f>
        <v>39</v>
      </c>
    </row>
    <row r="11">
      <c r="A11" s="5" t="s">
        <v>10</v>
      </c>
      <c r="B11" s="6">
        <f>COUNTIF('BuyBox Karlilik'!T2:T300,"SAĞLIKLI")</f>
        <v>27</v>
      </c>
    </row>
    <row r="12">
      <c r="A12" s="5" t="s">
        <v>11</v>
      </c>
      <c r="B12" s="6">
        <f>COUNTIF('BuyBox Karlilik'!T2:T300,"DÜŞÜK KÂR")</f>
        <v>30</v>
      </c>
    </row>
    <row r="13">
      <c r="A13" s="5" t="s">
        <v>12</v>
      </c>
      <c r="B13" s="6">
        <f>COUNTIF('BuyBox Karlilik'!T2:T300,"RİSKLİ")</f>
        <v>30</v>
      </c>
    </row>
    <row r="14">
      <c r="A14" s="5" t="s">
        <v>13</v>
      </c>
      <c r="B14" s="6">
        <f>COUNTIF('Maliyet Giris'!I2:I550,"Tekrarlı barkod")</f>
        <v>0</v>
      </c>
    </row>
    <row r="15">
      <c r="A15" s="3" t="s">
        <v>14</v>
      </c>
      <c r="B15" s="7">
        <f>SUM('BuyBox Karlilik'!K2:K300)</f>
        <v>20898.09253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>
      <c r="A16" s="9" t="s">
        <v>15</v>
      </c>
      <c r="B16" s="10">
        <f>IFERROR(__xludf.DUMMYFUNCTION("IFERROR(AVERAGE(FILTER('BuyBox Karlilik'!L2:L300,'BuyBox Karlilik'!L2:L300&lt;&gt;"""")),0)"),0.07656346898719861)</f>
        <v>0.07656346899</v>
      </c>
      <c r="C16" s="11"/>
      <c r="D16" s="12"/>
      <c r="E16" s="12"/>
      <c r="F16" s="12"/>
      <c r="G16" s="12"/>
      <c r="H16" s="12"/>
      <c r="I16" s="12"/>
      <c r="J16" s="12"/>
      <c r="K16" s="12"/>
      <c r="L16" s="10"/>
      <c r="M16" s="11"/>
    </row>
    <row r="17">
      <c r="A17" s="5" t="s">
        <v>16</v>
      </c>
      <c r="B17" s="13">
        <f>MAX('BuyBox Karlilik'!K2:K300)</f>
        <v>3081.925</v>
      </c>
      <c r="D17" s="14"/>
      <c r="E17" s="14"/>
      <c r="F17" s="14"/>
      <c r="G17" s="14"/>
      <c r="H17" s="14"/>
      <c r="I17" s="14"/>
      <c r="J17" s="14"/>
      <c r="K17" s="14"/>
      <c r="L17" s="15"/>
    </row>
    <row r="18">
      <c r="A18" s="5" t="s">
        <v>17</v>
      </c>
      <c r="B18" s="13">
        <f>MIN('BuyBox Karlilik'!K2:K300)</f>
        <v>-263.3233333</v>
      </c>
      <c r="D18" s="14"/>
      <c r="E18" s="14"/>
      <c r="F18" s="14"/>
      <c r="G18" s="14"/>
      <c r="H18" s="14"/>
      <c r="I18" s="14"/>
      <c r="J18" s="14"/>
      <c r="K18" s="14"/>
      <c r="L18" s="15"/>
    </row>
    <row r="19">
      <c r="A19" s="2"/>
      <c r="D19" s="14"/>
      <c r="E19" s="14"/>
      <c r="F19" s="14"/>
      <c r="G19" s="14"/>
      <c r="H19" s="14"/>
      <c r="I19" s="14"/>
      <c r="J19" s="14"/>
      <c r="K19" s="14"/>
      <c r="L19" s="15"/>
    </row>
    <row r="20">
      <c r="A20" s="3" t="s">
        <v>18</v>
      </c>
      <c r="B20" s="8"/>
      <c r="C20" s="8"/>
      <c r="D20" s="16"/>
      <c r="E20" s="16"/>
      <c r="F20" s="16"/>
      <c r="G20" s="16"/>
      <c r="H20" s="16"/>
      <c r="I20" s="16"/>
      <c r="J20" s="16"/>
      <c r="K20" s="16"/>
      <c r="L20" s="15"/>
    </row>
    <row r="21">
      <c r="A21" s="9" t="s">
        <v>19</v>
      </c>
      <c r="B21" s="11" t="s">
        <v>20</v>
      </c>
      <c r="C21" s="11" t="s">
        <v>21</v>
      </c>
      <c r="D21" s="12" t="s">
        <v>22</v>
      </c>
      <c r="E21" s="12" t="s">
        <v>23</v>
      </c>
      <c r="F21" s="12" t="s">
        <v>24</v>
      </c>
      <c r="G21" s="12" t="s">
        <v>25</v>
      </c>
      <c r="H21" s="12" t="s">
        <v>26</v>
      </c>
      <c r="I21" s="12" t="s">
        <v>27</v>
      </c>
      <c r="J21" s="12" t="s">
        <v>28</v>
      </c>
      <c r="K21" s="12" t="s">
        <v>29</v>
      </c>
      <c r="L21" s="15"/>
    </row>
    <row r="22">
      <c r="A22" s="2" t="str">
        <f>IFERROR(__xludf.DUMMYFUNCTION("SORTN(FILTER({'BuyBox Karlilik'!A2:G300,'BuyBox Karlilik'!K2:L300,'BuyBox Karlilik'!T2:U300},'BuyBox Karlilik'!M2:M300=""KÂRLI""),10,0,8,FALSE)"),"H22HBCV000075VENA")</f>
        <v>H22HBCV000075VENA</v>
      </c>
      <c r="B22" s="17" t="str">
        <f>IFERROR(__xludf.DUMMYFUNCTION("""COMPUTED_VALUE"""),"Orqinel")</f>
        <v>Orqinel</v>
      </c>
      <c r="C22" s="17" t="str">
        <f>IFERROR(__xludf.DUMMYFUNCTION("""COMPUTED_VALUE"""),"Virbac Adult Cat Salmon Neutered &amp; Entire 7 kg")</f>
        <v>Virbac Adult Cat Salmon Neutered &amp; Entire 7 kg</v>
      </c>
      <c r="D22" s="13">
        <f>IFERROR(__xludf.DUMMYFUNCTION("""COMPUTED_VALUE"""),4620.0)</f>
        <v>4620</v>
      </c>
      <c r="E22" s="13">
        <f>IFERROR(__xludf.DUMMYFUNCTION("""COMPUTED_VALUE"""),762.3)</f>
        <v>762.3</v>
      </c>
      <c r="F22" s="13">
        <f>IFERROR(__xludf.DUMMYFUNCTION("""COMPUTED_VALUE"""),90.0)</f>
        <v>90</v>
      </c>
      <c r="G22" s="13">
        <f>IFERROR(__xludf.DUMMYFUNCTION("""COMPUTED_VALUE"""),10.0)</f>
        <v>10</v>
      </c>
      <c r="H22" s="13">
        <f>IFERROR(__xludf.DUMMYFUNCTION("""COMPUTED_VALUE"""),3081.9249999999997)</f>
        <v>3081.925</v>
      </c>
      <c r="I22" s="15">
        <f>IFERROR(__xludf.DUMMYFUNCTION("""COMPUTED_VALUE"""),0.6670833333333333)</f>
        <v>0.6670833333</v>
      </c>
      <c r="J22" s="15" t="str">
        <f>IFERROR(__xludf.DUMMYFUNCTION("""COMPUTED_VALUE"""),"ÇOK KÂRLI")</f>
        <v>ÇOK KÂRLI</v>
      </c>
      <c r="K22" s="14" t="str">
        <f>IFERROR(__xludf.DUMMYFUNCTION("""COMPUTED_VALUE"""),"Stok ve BuyBox takibini artır")</f>
        <v>Stok ve BuyBox takibini artır</v>
      </c>
      <c r="L22" s="15"/>
    </row>
    <row r="23">
      <c r="A23" s="2">
        <f>IFERROR(__xludf.DUMMYFUNCTION("""COMPUTED_VALUE"""),3.5585356426E10)</f>
        <v>35585356426</v>
      </c>
      <c r="B23" s="17" t="str">
        <f>IFERROR(__xludf.DUMMYFUNCTION("""COMPUTED_VALUE"""),"Kong")</f>
        <v>Kong</v>
      </c>
      <c r="C23" s="17" t="str">
        <f>IFERROR(__xludf.DUMMYFUNCTION("""COMPUTED_VALUE"""),"EXTREMETOP ŞEKLİNDESESLİ VE İPSALLANTILI KÖPEKOYUNCAĞI ULTRASERT L")</f>
        <v>EXTREMETOP ŞEKLİNDESESLİ VE İPSALLANTILI KÖPEKOYUNCAĞI ULTRASERT L</v>
      </c>
      <c r="D23" s="13">
        <f>IFERROR(__xludf.DUMMYFUNCTION("""COMPUTED_VALUE"""),2179.0)</f>
        <v>2179</v>
      </c>
      <c r="E23" s="13">
        <f>IFERROR(__xludf.DUMMYFUNCTION("""COMPUTED_VALUE"""),435.8)</f>
        <v>435.8</v>
      </c>
      <c r="F23" s="13">
        <f>IFERROR(__xludf.DUMMYFUNCTION("""COMPUTED_VALUE"""),86.4)</f>
        <v>86.4</v>
      </c>
      <c r="G23" s="13">
        <f>IFERROR(__xludf.DUMMYFUNCTION("""COMPUTED_VALUE"""),347.76)</f>
        <v>347.76</v>
      </c>
      <c r="H23" s="13">
        <f>IFERROR(__xludf.DUMMYFUNCTION("""COMPUTED_VALUE"""),1061.7166666666667)</f>
        <v>1061.716667</v>
      </c>
      <c r="I23" s="15">
        <f>IFERROR(__xludf.DUMMYFUNCTION("""COMPUTED_VALUE"""),0.48724950283004437)</f>
        <v>0.4872495028</v>
      </c>
      <c r="J23" s="15" t="str">
        <f>IFERROR(__xludf.DUMMYFUNCTION("""COMPUTED_VALUE"""),"ÇOK KÂRLI")</f>
        <v>ÇOK KÂRLI</v>
      </c>
      <c r="K23" s="14" t="str">
        <f>IFERROR(__xludf.DUMMYFUNCTION("""COMPUTED_VALUE"""),"Stok ve BuyBox takibini artır")</f>
        <v>Stok ve BuyBox takibini artır</v>
      </c>
      <c r="L23" s="15"/>
    </row>
    <row r="24">
      <c r="A24" s="2">
        <f>IFERROR(__xludf.DUMMYFUNCTION("""COMPUTED_VALUE"""),4.49531020003577E14)</f>
        <v>449531020003577</v>
      </c>
      <c r="B24" s="17" t="str">
        <f>IFERROR(__xludf.DUMMYFUNCTION("""COMPUTED_VALUE"""),"Royal Canin")</f>
        <v>Royal Canin</v>
      </c>
      <c r="C24" s="17" t="str">
        <f>IFERROR(__xludf.DUMMYFUNCTION("""COMPUTED_VALUE"""),"Gravy Ageing +12 Kedi Yaş Mama 85 Gr. X 24 Adet")</f>
        <v>Gravy Ageing +12 Kedi Yaş Mama 85 Gr. X 24 Adet</v>
      </c>
      <c r="D24" s="13">
        <f>IFERROR(__xludf.DUMMYFUNCTION("""COMPUTED_VALUE"""),1799.0)</f>
        <v>1799</v>
      </c>
      <c r="E24" s="13">
        <f>IFERROR(__xludf.DUMMYFUNCTION("""COMPUTED_VALUE"""),224.875)</f>
        <v>224.875</v>
      </c>
      <c r="F24" s="13">
        <f>IFERROR(__xludf.DUMMYFUNCTION("""COMPUTED_VALUE"""),90.0)</f>
        <v>90</v>
      </c>
      <c r="G24" s="13">
        <f>IFERROR(__xludf.DUMMYFUNCTION("""COMPUTED_VALUE"""),465.0)</f>
        <v>465</v>
      </c>
      <c r="H24" s="13">
        <f>IFERROR(__xludf.DUMMYFUNCTION("""COMPUTED_VALUE"""),823.2875)</f>
        <v>823.2875</v>
      </c>
      <c r="I24" s="15">
        <f>IFERROR(__xludf.DUMMYFUNCTION("""COMPUTED_VALUE"""),0.45763618677042806)</f>
        <v>0.4576361868</v>
      </c>
      <c r="J24" s="15" t="str">
        <f>IFERROR(__xludf.DUMMYFUNCTION("""COMPUTED_VALUE"""),"ÇOK KÂRLI")</f>
        <v>ÇOK KÂRLI</v>
      </c>
      <c r="K24" s="14" t="str">
        <f>IFERROR(__xludf.DUMMYFUNCTION("""COMPUTED_VALUE"""),"Stok ve BuyBox takibini artır")</f>
        <v>Stok ve BuyBox takibini artır</v>
      </c>
      <c r="L24" s="15"/>
    </row>
    <row r="25">
      <c r="A25" s="2">
        <f>IFERROR(__xludf.DUMMYFUNCTION("""COMPUTED_VALUE"""),8.681002997592E12)</f>
        <v>8681002997592</v>
      </c>
      <c r="B25" s="17" t="str">
        <f>IFERROR(__xludf.DUMMYFUNCTION("""COMPUTED_VALUE"""),"Dreamies")</f>
        <v>Dreamies</v>
      </c>
      <c r="C25" s="17" t="str">
        <f>IFERROR(__xludf.DUMMYFUNCTION("""COMPUTED_VALUE"""),"Kedi Ödül Maması Karışık Paket 60 Gr X 36 Adet")</f>
        <v>Kedi Ödül Maması Karışık Paket 60 Gr X 36 Adet</v>
      </c>
      <c r="D25" s="13">
        <f>IFERROR(__xludf.DUMMYFUNCTION("""COMPUTED_VALUE"""),1455.0)</f>
        <v>1455</v>
      </c>
      <c r="E25" s="13">
        <f>IFERROR(__xludf.DUMMYFUNCTION("""COMPUTED_VALUE"""),291.0)</f>
        <v>291</v>
      </c>
      <c r="F25" s="13">
        <f>IFERROR(__xludf.DUMMYFUNCTION("""COMPUTED_VALUE"""),86.4)</f>
        <v>86.4</v>
      </c>
      <c r="G25" s="13">
        <f>IFERROR(__xludf.DUMMYFUNCTION("""COMPUTED_VALUE"""),100.0)</f>
        <v>100</v>
      </c>
      <c r="H25" s="13">
        <f>IFERROR(__xludf.DUMMYFUNCTION("""COMPUTED_VALUE"""),791.5499999999998)</f>
        <v>791.55</v>
      </c>
      <c r="I25" s="15">
        <f>IFERROR(__xludf.DUMMYFUNCTION("""COMPUTED_VALUE"""),0.5440206185567009)</f>
        <v>0.5440206186</v>
      </c>
      <c r="J25" s="15" t="str">
        <f>IFERROR(__xludf.DUMMYFUNCTION("""COMPUTED_VALUE"""),"ÇOK KÂRLI")</f>
        <v>ÇOK KÂRLI</v>
      </c>
      <c r="K25" s="14" t="str">
        <f>IFERROR(__xludf.DUMMYFUNCTION("""COMPUTED_VALUE"""),"Stok ve BuyBox takibini artır")</f>
        <v>Stok ve BuyBox takibini artır</v>
      </c>
      <c r="L25" s="15"/>
    </row>
    <row r="26">
      <c r="A26" s="2">
        <f>IFERROR(__xludf.DUMMYFUNCTION("""COMPUTED_VALUE"""),3.5585356389E10)</f>
        <v>35585356389</v>
      </c>
      <c r="B26" s="17" t="str">
        <f>IFERROR(__xludf.DUMMYFUNCTION("""COMPUTED_VALUE"""),"Kong")</f>
        <v>Kong</v>
      </c>
      <c r="C26" s="17" t="str">
        <f>IFERROR(__xludf.DUMMYFUNCTION("""COMPUTED_VALUE"""),"EXTREMEÇOKLU TOPŞEKLİNDE KÖPEKOYUNCAĞI ULTRASERT L")</f>
        <v>EXTREMEÇOKLU TOPŞEKLİNDE KÖPEKOYUNCAĞI ULTRASERT L</v>
      </c>
      <c r="D26" s="13">
        <f>IFERROR(__xludf.DUMMYFUNCTION("""COMPUTED_VALUE"""),2340.0)</f>
        <v>2340</v>
      </c>
      <c r="E26" s="13">
        <f>IFERROR(__xludf.DUMMYFUNCTION("""COMPUTED_VALUE"""),468.0)</f>
        <v>468</v>
      </c>
      <c r="F26" s="13">
        <f>IFERROR(__xludf.DUMMYFUNCTION("""COMPUTED_VALUE"""),86.4)</f>
        <v>86.4</v>
      </c>
      <c r="G26" s="13">
        <f>IFERROR(__xludf.DUMMYFUNCTION("""COMPUTED_VALUE"""),925.2)</f>
        <v>925.2</v>
      </c>
      <c r="H26" s="13">
        <f>IFERROR(__xludf.DUMMYFUNCTION("""COMPUTED_VALUE"""),686.508333333333)</f>
        <v>686.5083333</v>
      </c>
      <c r="I26" s="15">
        <f>IFERROR(__xludf.DUMMYFUNCTION("""COMPUTED_VALUE"""),0.2933796296296295)</f>
        <v>0.2933796296</v>
      </c>
      <c r="J26" s="15" t="str">
        <f>IFERROR(__xludf.DUMMYFUNCTION("""COMPUTED_VALUE"""),"ÇOK KÂRLI")</f>
        <v>ÇOK KÂRLI</v>
      </c>
      <c r="K26" s="14" t="str">
        <f>IFERROR(__xludf.DUMMYFUNCTION("""COMPUTED_VALUE"""),"Stok ve BuyBox takibini artır")</f>
        <v>Stok ve BuyBox takibini artır</v>
      </c>
      <c r="L26" s="15"/>
    </row>
    <row r="27">
      <c r="A27" s="2">
        <f>IFERROR(__xludf.DUMMYFUNCTION("""COMPUTED_VALUE"""),3.5585356242E10)</f>
        <v>35585356242</v>
      </c>
      <c r="B27" s="17" t="str">
        <f>IFERROR(__xludf.DUMMYFUNCTION("""COMPUTED_VALUE"""),"Kong")</f>
        <v>Kong</v>
      </c>
      <c r="C27" s="17" t="str">
        <f>IFERROR(__xludf.DUMMYFUNCTION("""COMPUTED_VALUE"""),"GOODİERİBBON ÇOKLUTOP ŞEKLİNDEKÖPEKOYUNCAĞI L")</f>
        <v>GOODİERİBBON ÇOKLUTOP ŞEKLİNDEKÖPEKOYUNCAĞI L</v>
      </c>
      <c r="D27" s="13">
        <f>IFERROR(__xludf.DUMMYFUNCTION("""COMPUTED_VALUE"""),2329.0)</f>
        <v>2329</v>
      </c>
      <c r="E27" s="13">
        <f>IFERROR(__xludf.DUMMYFUNCTION("""COMPUTED_VALUE"""),465.8)</f>
        <v>465.8</v>
      </c>
      <c r="F27" s="13">
        <f>IFERROR(__xludf.DUMMYFUNCTION("""COMPUTED_VALUE"""),86.4)</f>
        <v>86.4</v>
      </c>
      <c r="G27" s="13">
        <f>IFERROR(__xludf.DUMMYFUNCTION("""COMPUTED_VALUE"""),919.44)</f>
        <v>919.44</v>
      </c>
      <c r="H27" s="13">
        <f>IFERROR(__xludf.DUMMYFUNCTION("""COMPUTED_VALUE"""),684.0666666666666)</f>
        <v>684.0666667</v>
      </c>
      <c r="I27" s="15">
        <f>IFERROR(__xludf.DUMMYFUNCTION("""COMPUTED_VALUE"""),0.29371690281952195)</f>
        <v>0.2937169028</v>
      </c>
      <c r="J27" s="15" t="str">
        <f>IFERROR(__xludf.DUMMYFUNCTION("""COMPUTED_VALUE"""),"ÇOK KÂRLI")</f>
        <v>ÇOK KÂRLI</v>
      </c>
      <c r="K27" s="14" t="str">
        <f>IFERROR(__xludf.DUMMYFUNCTION("""COMPUTED_VALUE"""),"Stok ve BuyBox takibini artır")</f>
        <v>Stok ve BuyBox takibini artır</v>
      </c>
      <c r="L27" s="15"/>
    </row>
    <row r="28">
      <c r="A28" s="2">
        <f>IFERROR(__xludf.DUMMYFUNCTION("""COMPUTED_VALUE"""),6.2420056724154E13)</f>
        <v>62420056724154</v>
      </c>
      <c r="B28" s="17" t="str">
        <f>IFERROR(__xludf.DUMMYFUNCTION("""COMPUTED_VALUE"""),"Dreamies")</f>
        <v>Dreamies</v>
      </c>
      <c r="C28" s="17" t="str">
        <f>IFERROR(__xludf.DUMMYFUNCTION("""COMPUTED_VALUE"""),"Kedi Ödül Maması Karışık 60 gr X 24 Adet")</f>
        <v>Kedi Ödül Maması Karışık 60 gr X 24 Adet</v>
      </c>
      <c r="D28" s="13">
        <f>IFERROR(__xludf.DUMMYFUNCTION("""COMPUTED_VALUE"""),1019.08)</f>
        <v>1019.08</v>
      </c>
      <c r="E28" s="13">
        <f>IFERROR(__xludf.DUMMYFUNCTION("""COMPUTED_VALUE"""),89.67904)</f>
        <v>89.67904</v>
      </c>
      <c r="F28" s="13">
        <f>IFERROR(__xludf.DUMMYFUNCTION("""COMPUTED_VALUE"""),90.0)</f>
        <v>90</v>
      </c>
      <c r="G28" s="13">
        <f>IFERROR(__xludf.DUMMYFUNCTION("""COMPUTED_VALUE"""),10.0)</f>
        <v>10</v>
      </c>
      <c r="H28" s="13">
        <f>IFERROR(__xludf.DUMMYFUNCTION("""COMPUTED_VALUE"""),671.6834666666666)</f>
        <v>671.6834667</v>
      </c>
      <c r="I28" s="15">
        <f>IFERROR(__xludf.DUMMYFUNCTION("""COMPUTED_VALUE"""),0.659107691905117)</f>
        <v>0.6591076919</v>
      </c>
      <c r="J28" s="15" t="str">
        <f>IFERROR(__xludf.DUMMYFUNCTION("""COMPUTED_VALUE"""),"ÇOK KÂRLI")</f>
        <v>ÇOK KÂRLI</v>
      </c>
      <c r="K28" s="14" t="str">
        <f>IFERROR(__xludf.DUMMYFUNCTION("""COMPUTED_VALUE"""),"Stok ve BuyBox takibini artır")</f>
        <v>Stok ve BuyBox takibini artır</v>
      </c>
      <c r="L28" s="15"/>
    </row>
    <row r="29">
      <c r="A29" s="2">
        <f>IFERROR(__xludf.DUMMYFUNCTION("""COMPUTED_VALUE"""),3.5585509006E10)</f>
        <v>35585509006</v>
      </c>
      <c r="B29" s="17" t="str">
        <f>IFERROR(__xludf.DUMMYFUNCTION("""COMPUTED_VALUE"""),"Kong")</f>
        <v>Kong</v>
      </c>
      <c r="C29" s="17" t="str">
        <f>IFERROR(__xludf.DUMMYFUNCTION("""COMPUTED_VALUE"""),"REWARDSTİNKER KÖPEKLERİÇİN ÖDÜLMAMASIDAĞITMAOYUNCAĞI M/L")</f>
        <v>REWARDSTİNKER KÖPEKLERİÇİN ÖDÜLMAMASIDAĞITMAOYUNCAĞI M/L</v>
      </c>
      <c r="D29" s="13">
        <f>IFERROR(__xludf.DUMMYFUNCTION("""COMPUTED_VALUE"""),2197.0)</f>
        <v>2197</v>
      </c>
      <c r="E29" s="13">
        <f>IFERROR(__xludf.DUMMYFUNCTION("""COMPUTED_VALUE"""),439.4)</f>
        <v>439.4</v>
      </c>
      <c r="F29" s="13">
        <f>IFERROR(__xludf.DUMMYFUNCTION("""COMPUTED_VALUE"""),86.4)</f>
        <v>86.4</v>
      </c>
      <c r="G29" s="13">
        <f>IFERROR(__xludf.DUMMYFUNCTION("""COMPUTED_VALUE"""),868.32)</f>
        <v>868.32</v>
      </c>
      <c r="H29" s="13">
        <f>IFERROR(__xludf.DUMMYFUNCTION("""COMPUTED_VALUE"""),639.7666666666665)</f>
        <v>639.7666667</v>
      </c>
      <c r="I29" s="15">
        <f>IFERROR(__xludf.DUMMYFUNCTION("""COMPUTED_VALUE"""),0.2912001213776361)</f>
        <v>0.2912001214</v>
      </c>
      <c r="J29" s="15" t="str">
        <f>IFERROR(__xludf.DUMMYFUNCTION("""COMPUTED_VALUE"""),"ÇOK KÂRLI")</f>
        <v>ÇOK KÂRLI</v>
      </c>
      <c r="K29" s="14" t="str">
        <f>IFERROR(__xludf.DUMMYFUNCTION("""COMPUTED_VALUE"""),"Stok ve BuyBox takibini artır")</f>
        <v>Stok ve BuyBox takibini artır</v>
      </c>
      <c r="L29" s="15"/>
    </row>
    <row r="30">
      <c r="A30" s="3">
        <f>IFERROR(__xludf.DUMMYFUNCTION("""COMPUTED_VALUE"""),3.5585356433E10)</f>
        <v>35585356433</v>
      </c>
      <c r="B30" s="8" t="str">
        <f>IFERROR(__xludf.DUMMYFUNCTION("""COMPUTED_VALUE"""),"Kong")</f>
        <v>Kong</v>
      </c>
      <c r="C30" s="8" t="str">
        <f>IFERROR(__xludf.DUMMYFUNCTION("""COMPUTED_VALUE"""),"EXTREMEDENTAL DİŞTEMİZLİĞİSAĞLAYANKÖPEKOYUNCAĞI ULTRASERT L")</f>
        <v>EXTREMEDENTAL DİŞTEMİZLİĞİSAĞLAYANKÖPEKOYUNCAĞI ULTRASERT L</v>
      </c>
      <c r="D30" s="7">
        <f>IFERROR(__xludf.DUMMYFUNCTION("""COMPUTED_VALUE"""),2179.0)</f>
        <v>2179</v>
      </c>
      <c r="E30" s="7">
        <f>IFERROR(__xludf.DUMMYFUNCTION("""COMPUTED_VALUE"""),435.8)</f>
        <v>435.8</v>
      </c>
      <c r="F30" s="7">
        <f>IFERROR(__xludf.DUMMYFUNCTION("""COMPUTED_VALUE"""),86.4)</f>
        <v>86.4</v>
      </c>
      <c r="G30" s="7">
        <f>IFERROR(__xludf.DUMMYFUNCTION("""COMPUTED_VALUE"""),860.4)</f>
        <v>860.4</v>
      </c>
      <c r="H30" s="7">
        <f>IFERROR(__xludf.DUMMYFUNCTION("""COMPUTED_VALUE"""),634.5166666666667)</f>
        <v>634.5166667</v>
      </c>
      <c r="I30" s="18">
        <f>IFERROR(__xludf.DUMMYFUNCTION("""COMPUTED_VALUE"""),0.29119626740094845)</f>
        <v>0.2911962674</v>
      </c>
      <c r="J30" s="18" t="str">
        <f>IFERROR(__xludf.DUMMYFUNCTION("""COMPUTED_VALUE"""),"ÇOK KÂRLI")</f>
        <v>ÇOK KÂRLI</v>
      </c>
      <c r="K30" s="16" t="str">
        <f>IFERROR(__xludf.DUMMYFUNCTION("""COMPUTED_VALUE"""),"Stok ve BuyBox takibini artır")</f>
        <v>Stok ve BuyBox takibini artır</v>
      </c>
      <c r="L30" s="18"/>
      <c r="M30" s="8"/>
    </row>
    <row r="31">
      <c r="A31" s="9" t="str">
        <f>IFERROR(__xludf.DUMMYFUNCTION("""COMPUTED_VALUE"""),"TYBT0G6C7YR9R8WA07")</f>
        <v>TYBT0G6C7YR9R8WA07</v>
      </c>
      <c r="B31" s="11" t="str">
        <f>IFERROR(__xludf.DUMMYFUNCTION("""COMPUTED_VALUE"""),"Royal Canin")</f>
        <v>Royal Canin</v>
      </c>
      <c r="C31" s="11" t="str">
        <f>IFERROR(__xludf.DUMMYFUNCTION("""COMPUTED_VALUE"""),"Orta Irklar için Yavru Yaş Köpek Maması 10 x 140g")</f>
        <v>Orta Irklar için Yavru Yaş Köpek Maması 10 x 140g</v>
      </c>
      <c r="D31" s="19">
        <f>IFERROR(__xludf.DUMMYFUNCTION("""COMPUTED_VALUE"""),999.0)</f>
        <v>999</v>
      </c>
      <c r="E31" s="19">
        <f>IFERROR(__xludf.DUMMYFUNCTION("""COMPUTED_VALUE"""),124.875)</f>
        <v>124.875</v>
      </c>
      <c r="F31" s="19">
        <f>IFERROR(__xludf.DUMMYFUNCTION("""COMPUTED_VALUE"""),90.0)</f>
        <v>90</v>
      </c>
      <c r="G31" s="19">
        <f>IFERROR(__xludf.DUMMYFUNCTION("""COMPUTED_VALUE"""),1.0)</f>
        <v>1</v>
      </c>
      <c r="H31" s="19">
        <f>IFERROR(__xludf.DUMMYFUNCTION("""COMPUTED_VALUE"""),633.2874999999999)</f>
        <v>633.2875</v>
      </c>
      <c r="I31" s="10">
        <f>IFERROR(__xludf.DUMMYFUNCTION("""COMPUTED_VALUE"""),0.6339214214214214)</f>
        <v>0.6339214214</v>
      </c>
      <c r="J31" s="10" t="str">
        <f>IFERROR(__xludf.DUMMYFUNCTION("""COMPUTED_VALUE"""),"ÇOK KÂRLI")</f>
        <v>ÇOK KÂRLI</v>
      </c>
      <c r="K31" s="12" t="str">
        <f>IFERROR(__xludf.DUMMYFUNCTION("""COMPUTED_VALUE"""),"Stok ve BuyBox takibini artır")</f>
        <v>Stok ve BuyBox takibini artır</v>
      </c>
      <c r="L31" s="10"/>
      <c r="M31" s="11"/>
    </row>
    <row r="32">
      <c r="A32" s="2"/>
      <c r="D32" s="14"/>
      <c r="E32" s="14"/>
      <c r="F32" s="14"/>
      <c r="G32" s="14"/>
      <c r="H32" s="14"/>
      <c r="I32" s="15"/>
      <c r="J32" s="15"/>
      <c r="K32" s="14"/>
      <c r="L32" s="15"/>
    </row>
    <row r="33">
      <c r="A33" s="2"/>
      <c r="D33" s="14"/>
      <c r="E33" s="14"/>
      <c r="F33" s="14"/>
      <c r="G33" s="14"/>
      <c r="H33" s="14"/>
      <c r="I33" s="15"/>
      <c r="J33" s="15"/>
      <c r="K33" s="14"/>
      <c r="L33" s="15"/>
    </row>
    <row r="34">
      <c r="A34" s="5" t="s">
        <v>30</v>
      </c>
      <c r="D34" s="14"/>
      <c r="E34" s="14"/>
      <c r="F34" s="14"/>
      <c r="G34" s="14"/>
      <c r="H34" s="14"/>
      <c r="I34" s="15"/>
      <c r="J34" s="15"/>
      <c r="K34" s="14"/>
      <c r="L34" s="15"/>
    </row>
    <row r="35">
      <c r="A35" s="3" t="s">
        <v>19</v>
      </c>
      <c r="B35" s="4" t="s">
        <v>20</v>
      </c>
      <c r="C35" s="4" t="s">
        <v>21</v>
      </c>
      <c r="D35" s="20" t="s">
        <v>22</v>
      </c>
      <c r="E35" s="20" t="s">
        <v>23</v>
      </c>
      <c r="F35" s="20" t="s">
        <v>24</v>
      </c>
      <c r="G35" s="20" t="s">
        <v>25</v>
      </c>
      <c r="H35" s="20" t="s">
        <v>31</v>
      </c>
      <c r="I35" s="21" t="s">
        <v>26</v>
      </c>
      <c r="J35" s="21" t="s">
        <v>27</v>
      </c>
      <c r="K35" s="20" t="s">
        <v>29</v>
      </c>
      <c r="L35" s="15"/>
    </row>
    <row r="36">
      <c r="A36" s="22">
        <f>IFERROR(__xludf.DUMMYFUNCTION("SORTN(FILTER({'BuyBox Karlilik'!A2:G300,'BuyBox Karlilik'!R2:R300,'BuyBox Karlilik'!K2:L300,'BuyBox Karlilik'!U2:U300},'BuyBox Karlilik'!T2:T300=""ZARAR""),10,0,9,TRUE)"),3.5585494029E10)</f>
        <v>35585494029</v>
      </c>
      <c r="B36" s="23" t="str">
        <f>IFERROR(__xludf.DUMMYFUNCTION("""COMPUTED_VALUE"""),"Kong")</f>
        <v>Kong</v>
      </c>
      <c r="C36" s="24" t="str">
        <f>IFERROR(__xludf.DUMMYFUNCTION("""COMPUTED_VALUE"""),"KONGSİGNATURE STİCKÇUBUK ŞEKLİNDEKÖPEKOYUNCAĞI M")</f>
        <v>KONGSİGNATURE STİCKÇUBUK ŞEKLİNDEKÖPEKOYUNCAĞI M</v>
      </c>
      <c r="D36" s="25">
        <f>IFERROR(__xludf.DUMMYFUNCTION("""COMPUTED_VALUE"""),880.0)</f>
        <v>880</v>
      </c>
      <c r="E36" s="25">
        <f>IFERROR(__xludf.DUMMYFUNCTION("""COMPUTED_VALUE"""),176.0)</f>
        <v>176</v>
      </c>
      <c r="F36" s="25">
        <f>IFERROR(__xludf.DUMMYFUNCTION("""COMPUTED_VALUE"""),86.4)</f>
        <v>86.4</v>
      </c>
      <c r="G36" s="25">
        <f>IFERROR(__xludf.DUMMYFUNCTION("""COMPUTED_VALUE"""),860.4)</f>
        <v>860.4</v>
      </c>
      <c r="H36" s="25">
        <f>IFERROR(__xludf.DUMMYFUNCTION("""COMPUTED_VALUE"""),1212.6184367922372)</f>
        <v>1212.618437</v>
      </c>
      <c r="I36" s="25">
        <f>IFERROR(__xludf.DUMMYFUNCTION("""COMPUTED_VALUE"""),-263.32333333333327)</f>
        <v>-263.3233333</v>
      </c>
      <c r="J36" s="26">
        <f>IFERROR(__xludf.DUMMYFUNCTION("""COMPUTED_VALUE"""),-0.29923106060606053)</f>
        <v>-0.2992310606</v>
      </c>
      <c r="K36" s="27" t="str">
        <f>IFERROR(__xludf.DUMMYFUNCTION("""COMPUTED_VALUE"""),"Fiyat, maliyet veya kampanya kontrol et")</f>
        <v>Fiyat, maliyet veya kampanya kontrol et</v>
      </c>
      <c r="L36" s="15"/>
    </row>
    <row r="37">
      <c r="A37" s="2">
        <f>IFERROR(__xludf.DUMMYFUNCTION("""COMPUTED_VALUE"""),9.003579008485E12)</f>
        <v>9003579008485</v>
      </c>
      <c r="B37" s="17" t="str">
        <f>IFERROR(__xludf.DUMMYFUNCTION("""COMPUTED_VALUE"""),"Royal Canin")</f>
        <v>Royal Canin</v>
      </c>
      <c r="C37" s="28" t="str">
        <f>IFERROR(__xludf.DUMMYFUNCTION("""COMPUTED_VALUE"""),"Maxi Adult Gravy Yetişkin Köpek Konservesi 10 Adet 140 Gr")</f>
        <v>Maxi Adult Gravy Yetişkin Köpek Konservesi 10 Adet 140 Gr</v>
      </c>
      <c r="D37" s="13">
        <f>IFERROR(__xludf.DUMMYFUNCTION("""COMPUTED_VALUE"""),465.0)</f>
        <v>465</v>
      </c>
      <c r="E37" s="13">
        <f>IFERROR(__xludf.DUMMYFUNCTION("""COMPUTED_VALUE"""),58.125)</f>
        <v>58.125</v>
      </c>
      <c r="F37" s="13">
        <f>IFERROR(__xludf.DUMMYFUNCTION("""COMPUTED_VALUE"""),86.4)</f>
        <v>86.4</v>
      </c>
      <c r="G37" s="13">
        <f>IFERROR(__xludf.DUMMYFUNCTION("""COMPUTED_VALUE"""),536.76)</f>
        <v>536.76</v>
      </c>
      <c r="H37" s="13">
        <f>IFERROR(__xludf.DUMMYFUNCTION("""COMPUTED_VALUE"""),734.2497175962625)</f>
        <v>734.2497176</v>
      </c>
      <c r="I37" s="13">
        <f>IFERROR(__xludf.DUMMYFUNCTION("""COMPUTED_VALUE"""),-233.34999999999997)</f>
        <v>-233.35</v>
      </c>
      <c r="J37" s="15">
        <f>IFERROR(__xludf.DUMMYFUNCTION("""COMPUTED_VALUE"""),-0.5018279569892472)</f>
        <v>-0.501827957</v>
      </c>
      <c r="K37" s="14" t="str">
        <f>IFERROR(__xludf.DUMMYFUNCTION("""COMPUTED_VALUE"""),"Fiyat, maliyet veya kampanya kontrol et")</f>
        <v>Fiyat, maliyet veya kampanya kontrol et</v>
      </c>
      <c r="L37" s="15"/>
    </row>
    <row r="38">
      <c r="A38" s="2" t="str">
        <f>IFERROR(__xludf.DUMMYFUNCTION("""COMPUTED_VALUE"""),"TY988899455015287")</f>
        <v>TY988899455015287</v>
      </c>
      <c r="B38" s="17" t="str">
        <f>IFERROR(__xludf.DUMMYFUNCTION("""COMPUTED_VALUE"""),"Royal Canin")</f>
        <v>Royal Canin</v>
      </c>
      <c r="C38" s="28" t="str">
        <f>IFERROR(__xludf.DUMMYFUNCTION("""COMPUTED_VALUE"""),"Mini Starter Mother &amp; Babydog Anne ve Yavru Köpek Maması 4kg")</f>
        <v>Mini Starter Mother &amp; Babydog Anne ve Yavru Köpek Maması 4kg</v>
      </c>
      <c r="D38" s="13">
        <f>IFERROR(__xludf.DUMMYFUNCTION("""COMPUTED_VALUE"""),1555.99)</f>
        <v>1555.99</v>
      </c>
      <c r="E38" s="13">
        <f>IFERROR(__xludf.DUMMYFUNCTION("""COMPUTED_VALUE"""),130.70316)</f>
        <v>130.70316</v>
      </c>
      <c r="F38" s="13">
        <f>IFERROR(__xludf.DUMMYFUNCTION("""COMPUTED_VALUE"""),90.0)</f>
        <v>90</v>
      </c>
      <c r="G38" s="13">
        <f>IFERROR(__xludf.DUMMYFUNCTION("""COMPUTED_VALUE"""),1537.0)</f>
        <v>1537</v>
      </c>
      <c r="H38" s="13">
        <f>IFERROR(__xludf.DUMMYFUNCTION("""COMPUTED_VALUE"""),1807.0393657585878)</f>
        <v>1807.039366</v>
      </c>
      <c r="I38" s="13">
        <f>IFERROR(__xludf.DUMMYFUNCTION("""COMPUTED_VALUE"""),-227.86974333333336)</f>
        <v>-227.8697433</v>
      </c>
      <c r="J38" s="15">
        <f>IFERROR(__xludf.DUMMYFUNCTION("""COMPUTED_VALUE"""),-0.14644679164604743)</f>
        <v>-0.1464467916</v>
      </c>
      <c r="K38" s="14" t="str">
        <f>IFERROR(__xludf.DUMMYFUNCTION("""COMPUTED_VALUE"""),"Fiyat, maliyet veya kampanya kontrol et")</f>
        <v>Fiyat, maliyet veya kampanya kontrol et</v>
      </c>
      <c r="L38" s="15"/>
    </row>
    <row r="39">
      <c r="A39" s="2" t="str">
        <f>IFERROR(__xludf.DUMMYFUNCTION("""COMPUTED_VALUE"""),"TYBUPYD47K660EFG52")</f>
        <v>TYBUPYD47K660EFG52</v>
      </c>
      <c r="B39" s="17" t="str">
        <f>IFERROR(__xludf.DUMMYFUNCTION("""COMPUTED_VALUE"""),"Hill's")</f>
        <v>Hill's</v>
      </c>
      <c r="C39" s="28" t="str">
        <f>IFERROR(__xludf.DUMMYFUNCTION("""COMPUTED_VALUE"""),"Hills Sterilised Somon Kısır Kedi Maması 10 Kg")</f>
        <v>Hills Sterilised Somon Kısır Kedi Maması 10 Kg</v>
      </c>
      <c r="D39" s="13">
        <f>IFERROR(__xludf.DUMMYFUNCTION("""COMPUTED_VALUE"""),4399.72)</f>
        <v>4399.72</v>
      </c>
      <c r="E39" s="13">
        <f>IFERROR(__xludf.DUMMYFUNCTION("""COMPUTED_VALUE"""),549.965)</f>
        <v>549.965</v>
      </c>
      <c r="F39" s="13">
        <f>IFERROR(__xludf.DUMMYFUNCTION("""COMPUTED_VALUE"""),90.0)</f>
        <v>90</v>
      </c>
      <c r="G39" s="13">
        <f>IFERROR(__xludf.DUMMYFUNCTION("""COMPUTED_VALUE"""),3900.0)</f>
        <v>3900</v>
      </c>
      <c r="H39" s="13">
        <f>IFERROR(__xludf.DUMMYFUNCTION("""COMPUTED_VALUE"""),4619.063608052459)</f>
        <v>4619.063608</v>
      </c>
      <c r="I39" s="13">
        <f>IFERROR(__xludf.DUMMYFUNCTION("""COMPUTED_VALUE"""),-190.09933333333322)</f>
        <v>-190.0993333</v>
      </c>
      <c r="J39" s="15">
        <f>IFERROR(__xludf.DUMMYFUNCTION("""COMPUTED_VALUE"""),-0.043207143484888404)</f>
        <v>-0.04320714348</v>
      </c>
      <c r="K39" s="14" t="str">
        <f>IFERROR(__xludf.DUMMYFUNCTION("""COMPUTED_VALUE"""),"Fiyat, maliyet veya kampanya kontrol et")</f>
        <v>Fiyat, maliyet veya kampanya kontrol et</v>
      </c>
      <c r="L39" s="15"/>
    </row>
    <row r="40">
      <c r="A40" s="2">
        <f>IFERROR(__xludf.DUMMYFUNCTION("""COMPUTED_VALUE"""),6.13033566523E11)</f>
        <v>613033566523</v>
      </c>
      <c r="B40" s="17" t="str">
        <f>IFERROR(__xludf.DUMMYFUNCTION("""COMPUTED_VALUE"""),"Pro Plan")</f>
        <v>Pro Plan</v>
      </c>
      <c r="C40" s="28" t="str">
        <f>IFERROR(__xludf.DUMMYFUNCTION("""COMPUTED_VALUE"""),"Kısırlaştırılmış Somonlu Kedi Maması 10 Kg")</f>
        <v>Kısırlaştırılmış Somonlu Kedi Maması 10 Kg</v>
      </c>
      <c r="D40" s="13">
        <f>IFERROR(__xludf.DUMMYFUNCTION("""COMPUTED_VALUE"""),3998.0)</f>
        <v>3998</v>
      </c>
      <c r="E40" s="13">
        <f>IFERROR(__xludf.DUMMYFUNCTION("""COMPUTED_VALUE"""),499.75)</f>
        <v>499.75</v>
      </c>
      <c r="F40" s="13">
        <f>IFERROR(__xludf.DUMMYFUNCTION("""COMPUTED_VALUE"""),159.74)</f>
        <v>159.74</v>
      </c>
      <c r="G40" s="13">
        <f>IFERROR(__xludf.DUMMYFUNCTION("""COMPUTED_VALUE"""),3475.0)</f>
        <v>3475</v>
      </c>
      <c r="H40" s="13">
        <f>IFERROR(__xludf.DUMMYFUNCTION("""COMPUTED_VALUE"""),4209.148381096777)</f>
        <v>4209.148381</v>
      </c>
      <c r="I40" s="13">
        <f>IFERROR(__xludf.DUMMYFUNCTION("""COMPUTED_VALUE"""),-182.99666666666644)</f>
        <v>-182.9966667</v>
      </c>
      <c r="J40" s="15">
        <f>IFERROR(__xludf.DUMMYFUNCTION("""COMPUTED_VALUE"""),-0.04577205269301312)</f>
        <v>-0.04577205269</v>
      </c>
      <c r="K40" s="14" t="str">
        <f>IFERROR(__xludf.DUMMYFUNCTION("""COMPUTED_VALUE"""),"Fiyat, maliyet veya kampanya kontrol et")</f>
        <v>Fiyat, maliyet veya kampanya kontrol et</v>
      </c>
      <c r="L40" s="15"/>
    </row>
    <row r="41">
      <c r="A41" s="2">
        <f>IFERROR(__xludf.DUMMYFUNCTION("""COMPUTED_VALUE"""),7.613033566523E12)</f>
        <v>7613033566523</v>
      </c>
      <c r="B41" s="17" t="str">
        <f>IFERROR(__xludf.DUMMYFUNCTION("""COMPUTED_VALUE"""),"Pro Plan")</f>
        <v>Pro Plan</v>
      </c>
      <c r="C41" s="28" t="str">
        <f>IFERROR(__xludf.DUMMYFUNCTION("""COMPUTED_VALUE"""),"Sterilised Kısırlaştırılmış Somonlu Kedi Maması 10 KG")</f>
        <v>Sterilised Kısırlaştırılmış Somonlu Kedi Maması 10 KG</v>
      </c>
      <c r="D41" s="13">
        <f>IFERROR(__xludf.DUMMYFUNCTION("""COMPUTED_VALUE"""),4000.0)</f>
        <v>4000</v>
      </c>
      <c r="E41" s="13">
        <f>IFERROR(__xludf.DUMMYFUNCTION("""COMPUTED_VALUE"""),500.0)</f>
        <v>500</v>
      </c>
      <c r="F41" s="13">
        <f>IFERROR(__xludf.DUMMYFUNCTION("""COMPUTED_VALUE"""),159.74)</f>
        <v>159.74</v>
      </c>
      <c r="G41" s="13">
        <f>IFERROR(__xludf.DUMMYFUNCTION("""COMPUTED_VALUE"""),3474.24)</f>
        <v>3474.24</v>
      </c>
      <c r="H41" s="13">
        <f>IFERROR(__xludf.DUMMYFUNCTION("""COMPUTED_VALUE"""),4208.271458357131)</f>
        <v>4208.271458</v>
      </c>
      <c r="I41" s="13">
        <f>IFERROR(__xludf.DUMMYFUNCTION("""COMPUTED_VALUE"""),-180.5033333333329)</f>
        <v>-180.5033333</v>
      </c>
      <c r="J41" s="15">
        <f>IFERROR(__xludf.DUMMYFUNCTION("""COMPUTED_VALUE"""),-0.045125833333333226)</f>
        <v>-0.04512583333</v>
      </c>
      <c r="K41" s="14" t="str">
        <f>IFERROR(__xludf.DUMMYFUNCTION("""COMPUTED_VALUE"""),"Fiyat, maliyet veya kampanya kontrol et")</f>
        <v>Fiyat, maliyet veya kampanya kontrol et</v>
      </c>
      <c r="L41" s="15"/>
    </row>
    <row r="42">
      <c r="A42" s="2">
        <f>IFERROR(__xludf.DUMMYFUNCTION("""COMPUTED_VALUE"""),9.003579308745E12)</f>
        <v>9003579308745</v>
      </c>
      <c r="B42" s="17" t="str">
        <f>IFERROR(__xludf.DUMMYFUNCTION("""COMPUTED_VALUE"""),"Royal Canin")</f>
        <v>Royal Canin</v>
      </c>
      <c r="C42" s="28" t="str">
        <f>IFERROR(__xludf.DUMMYFUNCTION("""COMPUTED_VALUE"""),"Gravy Yavru Kedi Konservesi 85 gr 12 Adet")</f>
        <v>Gravy Yavru Kedi Konservesi 85 gr 12 Adet</v>
      </c>
      <c r="D42" s="13">
        <f>IFERROR(__xludf.DUMMYFUNCTION("""COMPUTED_VALUE"""),559.0)</f>
        <v>559</v>
      </c>
      <c r="E42" s="13">
        <f>IFERROR(__xludf.DUMMYFUNCTION("""COMPUTED_VALUE"""),42.483999999999995)</f>
        <v>42.484</v>
      </c>
      <c r="F42" s="13">
        <f>IFERROR(__xludf.DUMMYFUNCTION("""COMPUTED_VALUE"""),86.4)</f>
        <v>86.4</v>
      </c>
      <c r="G42" s="13">
        <f>IFERROR(__xludf.DUMMYFUNCTION("""COMPUTED_VALUE"""),557.76)</f>
        <v>557.76</v>
      </c>
      <c r="H42" s="13">
        <f>IFERROR(__xludf.DUMMYFUNCTION("""COMPUTED_VALUE"""),717.8919847499145)</f>
        <v>717.8919847</v>
      </c>
      <c r="I42" s="13">
        <f>IFERROR(__xludf.DUMMYFUNCTION("""COMPUTED_VALUE"""),-145.49233333333333)</f>
        <v>-145.4923333</v>
      </c>
      <c r="J42" s="15">
        <f>IFERROR(__xludf.DUMMYFUNCTION("""COMPUTED_VALUE"""),-0.26027251043530114)</f>
        <v>-0.2602725104</v>
      </c>
      <c r="K42" s="14" t="str">
        <f>IFERROR(__xludf.DUMMYFUNCTION("""COMPUTED_VALUE"""),"Fiyat, maliyet veya kampanya kontrol et")</f>
        <v>Fiyat, maliyet veya kampanya kontrol et</v>
      </c>
      <c r="L42" s="15"/>
    </row>
    <row r="43">
      <c r="A43" s="2">
        <f>IFERROR(__xludf.DUMMYFUNCTION("""COMPUTED_VALUE"""),9.003579308738E12)</f>
        <v>9003579308738</v>
      </c>
      <c r="B43" s="17" t="str">
        <f>IFERROR(__xludf.DUMMYFUNCTION("""COMPUTED_VALUE"""),"Royal Canin")</f>
        <v>Royal Canin</v>
      </c>
      <c r="C43" s="28" t="str">
        <f>IFERROR(__xludf.DUMMYFUNCTION("""COMPUTED_VALUE"""),"Instinctive Yaş Kedi Maması 12 x 85g")</f>
        <v>Instinctive Yaş Kedi Maması 12 x 85g</v>
      </c>
      <c r="D43" s="13">
        <f>IFERROR(__xludf.DUMMYFUNCTION("""COMPUTED_VALUE"""),527.09)</f>
        <v>527.09</v>
      </c>
      <c r="E43" s="13">
        <f>IFERROR(__xludf.DUMMYFUNCTION("""COMPUTED_VALUE"""),42.1672)</f>
        <v>42.1672</v>
      </c>
      <c r="F43" s="13">
        <f>IFERROR(__xludf.DUMMYFUNCTION("""COMPUTED_VALUE"""),86.4)</f>
        <v>86.4</v>
      </c>
      <c r="G43" s="13">
        <f>IFERROR(__xludf.DUMMYFUNCTION("""COMPUTED_VALUE"""),504.0)</f>
        <v>504</v>
      </c>
      <c r="H43" s="13">
        <f>IFERROR(__xludf.DUMMYFUNCTION("""COMPUTED_VALUE"""),662.0728840684154)</f>
        <v>662.0728841</v>
      </c>
      <c r="I43" s="13">
        <f>IFERROR(__xludf.DUMMYFUNCTION("""COMPUTED_VALUE"""),-123.05961666666659)</f>
        <v>-123.0596167</v>
      </c>
      <c r="J43" s="15">
        <f>IFERROR(__xludf.DUMMYFUNCTION("""COMPUTED_VALUE"""),-0.23346983753565156)</f>
        <v>-0.2334698375</v>
      </c>
      <c r="K43" s="14" t="str">
        <f>IFERROR(__xludf.DUMMYFUNCTION("""COMPUTED_VALUE"""),"Fiyat, maliyet veya kampanya kontrol et")</f>
        <v>Fiyat, maliyet veya kampanya kontrol et</v>
      </c>
      <c r="L43" s="15"/>
    </row>
    <row r="44">
      <c r="A44" s="2" t="str">
        <f>IFERROR(__xludf.DUMMYFUNCTION("""COMPUTED_VALUE"""),"HBCV0000CCFV8V")</f>
        <v>HBCV0000CCFV8V</v>
      </c>
      <c r="B44" s="17" t="str">
        <f>IFERROR(__xludf.DUMMYFUNCTION("""COMPUTED_VALUE"""),"Pro Plan")</f>
        <v>Pro Plan</v>
      </c>
      <c r="C44" s="28" t="str">
        <f>IFERROR(__xludf.DUMMYFUNCTION("""COMPUTED_VALUE"""),"Kitten Yavru Kedi Kuru Maması 400 gr 4 Adet")</f>
        <v>Kitten Yavru Kedi Kuru Maması 400 gr 4 Adet</v>
      </c>
      <c r="D44" s="13">
        <f>IFERROR(__xludf.DUMMYFUNCTION("""COMPUTED_VALUE"""),650.0)</f>
        <v>650</v>
      </c>
      <c r="E44" s="13">
        <f>IFERROR(__xludf.DUMMYFUNCTION("""COMPUTED_VALUE"""),81.25)</f>
        <v>81.25</v>
      </c>
      <c r="F44" s="13">
        <f>IFERROR(__xludf.DUMMYFUNCTION("""COMPUTED_VALUE"""),90.0)</f>
        <v>90</v>
      </c>
      <c r="G44" s="13">
        <f>IFERROR(__xludf.DUMMYFUNCTION("""COMPUTED_VALUE"""),580.0)</f>
        <v>580</v>
      </c>
      <c r="H44" s="13">
        <f>IFERROR(__xludf.DUMMYFUNCTION("""COMPUTED_VALUE"""),788.2958506554421)</f>
        <v>788.2958507</v>
      </c>
      <c r="I44" s="13">
        <f>IFERROR(__xludf.DUMMYFUNCTION("""COMPUTED_VALUE"""),-119.85666666666667)</f>
        <v>-119.8566667</v>
      </c>
      <c r="J44" s="15">
        <f>IFERROR(__xludf.DUMMYFUNCTION("""COMPUTED_VALUE"""),-0.1843948717948718)</f>
        <v>-0.1843948718</v>
      </c>
      <c r="K44" s="14" t="str">
        <f>IFERROR(__xludf.DUMMYFUNCTION("""COMPUTED_VALUE"""),"Fiyat, maliyet veya kampanya kontrol et")</f>
        <v>Fiyat, maliyet veya kampanya kontrol et</v>
      </c>
      <c r="L44" s="15"/>
    </row>
    <row r="45">
      <c r="A45" s="3">
        <f>IFERROR(__xludf.DUMMYFUNCTION("""COMPUTED_VALUE"""),9.003579013748E12)</f>
        <v>9003579013748</v>
      </c>
      <c r="B45" s="8" t="str">
        <f>IFERROR(__xludf.DUMMYFUNCTION("""COMPUTED_VALUE"""),"Royal Canin")</f>
        <v>Royal Canin</v>
      </c>
      <c r="C45" s="29" t="str">
        <f>IFERROR(__xludf.DUMMYFUNCTION("""COMPUTED_VALUE"""),"Köpek Mama Pomeranian Köpek Konserve 12X85GR")</f>
        <v>Köpek Mama Pomeranian Köpek Konserve 12X85GR</v>
      </c>
      <c r="D45" s="7">
        <f>IFERROR(__xludf.DUMMYFUNCTION("""COMPUTED_VALUE"""),540.0)</f>
        <v>540</v>
      </c>
      <c r="E45" s="7">
        <f>IFERROR(__xludf.DUMMYFUNCTION("""COMPUTED_VALUE"""),67.5)</f>
        <v>67.5</v>
      </c>
      <c r="F45" s="7">
        <f>IFERROR(__xludf.DUMMYFUNCTION("""COMPUTED_VALUE"""),86.4)</f>
        <v>86.4</v>
      </c>
      <c r="G45" s="7">
        <f>IFERROR(__xludf.DUMMYFUNCTION("""COMPUTED_VALUE"""),487.2)</f>
        <v>487.2</v>
      </c>
      <c r="H45" s="7">
        <f>IFERROR(__xludf.DUMMYFUNCTION("""COMPUTED_VALUE"""),677.0651242057215)</f>
        <v>677.0651242</v>
      </c>
      <c r="I45" s="7">
        <f>IFERROR(__xludf.DUMMYFUNCTION("""COMPUTED_VALUE"""),-118.78999999999996)</f>
        <v>-118.79</v>
      </c>
      <c r="J45" s="18">
        <f>IFERROR(__xludf.DUMMYFUNCTION("""COMPUTED_VALUE"""),-0.21998148148148142)</f>
        <v>-0.2199814815</v>
      </c>
      <c r="K45" s="16" t="str">
        <f>IFERROR(__xludf.DUMMYFUNCTION("""COMPUTED_VALUE"""),"Fiyat, maliyet veya kampanya kontrol et")</f>
        <v>Fiyat, maliyet veya kampanya kontrol et</v>
      </c>
      <c r="L45" s="18"/>
      <c r="M45" s="8"/>
      <c r="N45" s="8"/>
      <c r="O45" s="8"/>
      <c r="P45" s="8"/>
      <c r="Q45" s="8"/>
      <c r="R45" s="8"/>
      <c r="S45" s="8"/>
      <c r="T45" s="8"/>
      <c r="U45" s="8"/>
    </row>
    <row r="46">
      <c r="A46" s="9"/>
      <c r="B46" s="11"/>
      <c r="C46" s="11"/>
      <c r="D46" s="19"/>
      <c r="E46" s="19"/>
      <c r="F46" s="19"/>
      <c r="G46" s="19"/>
      <c r="H46" s="19"/>
      <c r="I46" s="19"/>
      <c r="J46" s="10"/>
      <c r="K46" s="12"/>
      <c r="L46" s="10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2"/>
      <c r="D47" s="14"/>
      <c r="E47" s="14"/>
      <c r="F47" s="14"/>
      <c r="G47" s="14"/>
      <c r="H47" s="14"/>
      <c r="I47" s="14"/>
      <c r="J47" s="15"/>
      <c r="K47" s="14"/>
      <c r="L47" s="15"/>
    </row>
    <row r="48">
      <c r="A48" s="5" t="s">
        <v>32</v>
      </c>
      <c r="D48" s="14"/>
      <c r="E48" s="14"/>
      <c r="F48" s="14"/>
      <c r="G48" s="14"/>
      <c r="H48" s="14"/>
      <c r="I48" s="15"/>
      <c r="J48" s="15"/>
      <c r="K48" s="14"/>
      <c r="L48" s="15"/>
    </row>
    <row r="49">
      <c r="A49" s="5" t="s">
        <v>19</v>
      </c>
      <c r="B49" s="30" t="s">
        <v>20</v>
      </c>
      <c r="C49" s="30" t="s">
        <v>21</v>
      </c>
      <c r="D49" s="31" t="s">
        <v>22</v>
      </c>
      <c r="E49" s="31" t="s">
        <v>23</v>
      </c>
      <c r="F49" s="31" t="s">
        <v>24</v>
      </c>
      <c r="G49" s="31" t="s">
        <v>25</v>
      </c>
      <c r="H49" s="31" t="s">
        <v>26</v>
      </c>
      <c r="I49" s="32" t="s">
        <v>27</v>
      </c>
      <c r="J49" s="32" t="s">
        <v>28</v>
      </c>
      <c r="K49" s="31" t="s">
        <v>29</v>
      </c>
      <c r="L49" s="15"/>
    </row>
    <row r="50">
      <c r="A50" s="33" t="str">
        <f>IFERROR(__xludf.DUMMYFUNCTION("SORTN(FILTER({'BuyBox Karlilik'!A2:G300,'BuyBox Karlilik'!K2:L300,'BuyBox Karlilik'!T2:U300},('BuyBox Karlilik'!T2:T300=""RİSKLİ"")+('BuyBox Karlilik'!T2:T300=""DÜŞÜK KÂR"")),15,0,9,TRUE)"),"TYBJUIMGWO45LKI893")</f>
        <v>TYBJUIMGWO45LKI893</v>
      </c>
      <c r="B50" s="8" t="str">
        <f>IFERROR(__xludf.DUMMYFUNCTION("""COMPUTED_VALUE"""),"Wanpy")</f>
        <v>Wanpy</v>
      </c>
      <c r="C50" s="8" t="str">
        <f>IFERROR(__xludf.DUMMYFUNCTION("""COMPUTED_VALUE"""),"Tasty Meat Paste Taze Sıvı Kedi Ödül Maması Kedi Ödül Maması 4x90gr")</f>
        <v>Tasty Meat Paste Taze Sıvı Kedi Ödül Maması Kedi Ödül Maması 4x90gr</v>
      </c>
      <c r="D50" s="16">
        <f>IFERROR(__xludf.DUMMYFUNCTION("""COMPUTED_VALUE"""),256.2)</f>
        <v>256.2</v>
      </c>
      <c r="E50" s="16">
        <f>IFERROR(__xludf.DUMMYFUNCTION("""COMPUTED_VALUE"""),32.025)</f>
        <v>32.025</v>
      </c>
      <c r="F50" s="16">
        <f>IFERROR(__xludf.DUMMYFUNCTION("""COMPUTED_VALUE"""),86.4)</f>
        <v>86.4</v>
      </c>
      <c r="G50" s="16">
        <f>IFERROR(__xludf.DUMMYFUNCTION("""COMPUTED_VALUE"""),122.0)</f>
        <v>122</v>
      </c>
      <c r="H50" s="16">
        <f>IFERROR(__xludf.DUMMYFUNCTION("""COMPUTED_VALUE"""),0.01916666666663991)</f>
        <v>0.01916666667</v>
      </c>
      <c r="I50" s="18">
        <f>IFERROR(__xludf.DUMMYFUNCTION("""COMPUTED_VALUE"""),7.481134530304415E-5)</f>
        <v>0.0000748113453</v>
      </c>
      <c r="J50" s="18" t="str">
        <f>IFERROR(__xludf.DUMMYFUNCTION("""COMPUTED_VALUE"""),"RİSKLİ")</f>
        <v>RİSKLİ</v>
      </c>
      <c r="K50" s="16" t="str">
        <f>IFERROR(__xludf.DUMMYFUNCTION("""COMPUTED_VALUE"""),"Minimum fiyat altına düşme")</f>
        <v>Minimum fiyat altına düşme</v>
      </c>
      <c r="L50" s="15"/>
    </row>
    <row r="51">
      <c r="A51" s="22" t="str">
        <f>IFERROR(__xludf.DUMMYFUNCTION("""COMPUTED_VALUE"""),"TYB9771GESJQWCAB60")</f>
        <v>TYB9771GESJQWCAB60</v>
      </c>
      <c r="B51" s="23" t="str">
        <f>IFERROR(__xludf.DUMMYFUNCTION("""COMPUTED_VALUE"""),"Gourmet")</f>
        <v>Gourmet</v>
      </c>
      <c r="C51" s="23" t="str">
        <f>IFERROR(__xludf.DUMMYFUNCTION("""COMPUTED_VALUE"""),"Karışık Kıyılmış Konserve Yetişkin Kedi Yaş Maması 24 X 85 gr")</f>
        <v>Karışık Kıyılmış Konserve Yetişkin Kedi Yaş Maması 24 X 85 gr</v>
      </c>
      <c r="D51" s="27">
        <f>IFERROR(__xludf.DUMMYFUNCTION("""COMPUTED_VALUE"""),736.0)</f>
        <v>736</v>
      </c>
      <c r="E51" s="27">
        <f>IFERROR(__xludf.DUMMYFUNCTION("""COMPUTED_VALUE"""),48.57599999999999)</f>
        <v>48.576</v>
      </c>
      <c r="F51" s="27">
        <f>IFERROR(__xludf.DUMMYFUNCTION("""COMPUTED_VALUE"""),86.4)</f>
        <v>86.4</v>
      </c>
      <c r="G51" s="27">
        <f>IFERROR(__xludf.DUMMYFUNCTION("""COMPUTED_VALUE"""),580.0)</f>
        <v>580</v>
      </c>
      <c r="H51" s="27">
        <f>IFERROR(__xludf.DUMMYFUNCTION("""COMPUTED_VALUE"""),0.394999999999988)</f>
        <v>0.395</v>
      </c>
      <c r="I51" s="26">
        <f>IFERROR(__xludf.DUMMYFUNCTION("""COMPUTED_VALUE"""),5.366847826086794E-4)</f>
        <v>0.0005366847826</v>
      </c>
      <c r="J51" s="26" t="str">
        <f>IFERROR(__xludf.DUMMYFUNCTION("""COMPUTED_VALUE"""),"RİSKLİ")</f>
        <v>RİSKLİ</v>
      </c>
      <c r="K51" s="27" t="str">
        <f>IFERROR(__xludf.DUMMYFUNCTION("""COMPUTED_VALUE"""),"Minimum fiyat altına düşme")</f>
        <v>Minimum fiyat altına düşme</v>
      </c>
      <c r="L51" s="15"/>
    </row>
    <row r="52">
      <c r="A52" s="2">
        <f>IFERROR(__xludf.DUMMYFUNCTION("""COMPUTED_VALUE"""),8.010276035097E12)</f>
        <v>8010276035097</v>
      </c>
      <c r="B52" s="17" t="str">
        <f>IFERROR(__xludf.DUMMYFUNCTION("""COMPUTED_VALUE"""),"N&amp;D")</f>
        <v>N&amp;D</v>
      </c>
      <c r="C52" s="17" t="str">
        <f>IFERROR(__xludf.DUMMYFUNCTION("""COMPUTED_VALUE"""),"A.grain Düşük Tahıllı Kuzulu Ve Yaban Mersinli Mini Irk Yetişkin Köpek Kuru Maması 7 Kg")</f>
        <v>A.grain Düşük Tahıllı Kuzulu Ve Yaban Mersinli Mini Irk Yetişkin Köpek Kuru Maması 7 Kg</v>
      </c>
      <c r="D52" s="13">
        <f>IFERROR(__xludf.DUMMYFUNCTION("""COMPUTED_VALUE"""),2690.0)</f>
        <v>2690</v>
      </c>
      <c r="E52" s="13">
        <f>IFERROR(__xludf.DUMMYFUNCTION("""COMPUTED_VALUE"""),443.85)</f>
        <v>443.85</v>
      </c>
      <c r="F52" s="13">
        <f>IFERROR(__xludf.DUMMYFUNCTION("""COMPUTED_VALUE"""),159.74)</f>
        <v>159.74</v>
      </c>
      <c r="G52" s="13">
        <f>IFERROR(__xludf.DUMMYFUNCTION("""COMPUTED_VALUE"""),2043.0)</f>
        <v>2043</v>
      </c>
      <c r="H52" s="13">
        <f>IFERROR(__xludf.DUMMYFUNCTION("""COMPUTED_VALUE"""),2.7666666666667883)</f>
        <v>2.766666667</v>
      </c>
      <c r="I52" s="15">
        <f>IFERROR(__xludf.DUMMYFUNCTION("""COMPUTED_VALUE"""),0.0010285006195787318)</f>
        <v>0.00102850062</v>
      </c>
      <c r="J52" s="15" t="str">
        <f>IFERROR(__xludf.DUMMYFUNCTION("""COMPUTED_VALUE"""),"RİSKLİ")</f>
        <v>RİSKLİ</v>
      </c>
      <c r="K52" s="14" t="str">
        <f>IFERROR(__xludf.DUMMYFUNCTION("""COMPUTED_VALUE"""),"Minimum fiyat altına düşme")</f>
        <v>Minimum fiyat altına düşme</v>
      </c>
      <c r="L52" s="15"/>
    </row>
    <row r="53">
      <c r="A53" s="2" t="str">
        <f>IFERROR(__xludf.DUMMYFUNCTION("""COMPUTED_VALUE"""),"TYBVYCTB5P95JXTS98")</f>
        <v>TYBVYCTB5P95JXTS98</v>
      </c>
      <c r="B53" s="17" t="str">
        <f>IFERROR(__xludf.DUMMYFUNCTION("""COMPUTED_VALUE"""),"FELIX")</f>
        <v>FELIX</v>
      </c>
      <c r="C53" s="17" t="str">
        <f>IFERROR(__xludf.DUMMYFUNCTION("""COMPUTED_VALUE"""),"Yavru Sığıretli Yaş Kedi Maması 26 Adet X 85 Gr. ( Yeni Paket)")</f>
        <v>Yavru Sığıretli Yaş Kedi Maması 26 Adet X 85 Gr. ( Yeni Paket)</v>
      </c>
      <c r="D53" s="13">
        <f>IFERROR(__xludf.DUMMYFUNCTION("""COMPUTED_VALUE"""),578.99)</f>
        <v>578.99</v>
      </c>
      <c r="E53" s="13">
        <f>IFERROR(__xludf.DUMMYFUNCTION("""COMPUTED_VALUE"""),78.16365)</f>
        <v>78.16365</v>
      </c>
      <c r="F53" s="13">
        <f>IFERROR(__xludf.DUMMYFUNCTION("""COMPUTED_VALUE"""),90.0)</f>
        <v>90</v>
      </c>
      <c r="G53" s="13">
        <f>IFERROR(__xludf.DUMMYFUNCTION("""COMPUTED_VALUE"""),390.0)</f>
        <v>390</v>
      </c>
      <c r="H53" s="13">
        <f>IFERROR(__xludf.DUMMYFUNCTION("""COMPUTED_VALUE"""),1.5387083333333251)</f>
        <v>1.538708333</v>
      </c>
      <c r="I53" s="15">
        <f>IFERROR(__xludf.DUMMYFUNCTION("""COMPUTED_VALUE"""),0.0026575732453640393)</f>
        <v>0.002657573245</v>
      </c>
      <c r="J53" s="15" t="str">
        <f>IFERROR(__xludf.DUMMYFUNCTION("""COMPUTED_VALUE"""),"RİSKLİ")</f>
        <v>RİSKLİ</v>
      </c>
      <c r="K53" s="14" t="str">
        <f>IFERROR(__xludf.DUMMYFUNCTION("""COMPUTED_VALUE"""),"Minimum fiyat altına düşme")</f>
        <v>Minimum fiyat altına düşme</v>
      </c>
      <c r="L53" s="15"/>
    </row>
    <row r="54">
      <c r="A54" s="2" t="str">
        <f>IFERROR(__xludf.DUMMYFUNCTION("""COMPUTED_VALUE"""),"TYBL1W9TPK3NCREP31")</f>
        <v>TYBL1W9TPK3NCREP31</v>
      </c>
      <c r="B54" s="17" t="str">
        <f>IFERROR(__xludf.DUMMYFUNCTION("""COMPUTED_VALUE"""),"Royal Canin")</f>
        <v>Royal Canin</v>
      </c>
      <c r="C54" s="17" t="str">
        <f>IFERROR(__xludf.DUMMYFUNCTION("""COMPUTED_VALUE"""),"Babycat Instinctive Yavru ve Anne Kediler Için Konserve 195 gr x 12 Adet")</f>
        <v>Babycat Instinctive Yavru ve Anne Kediler Için Konserve 195 gr x 12 Adet</v>
      </c>
      <c r="D54" s="13">
        <f>IFERROR(__xludf.DUMMYFUNCTION("""COMPUTED_VALUE"""),1630.0)</f>
        <v>1630</v>
      </c>
      <c r="E54" s="13">
        <f>IFERROR(__xludf.DUMMYFUNCTION("""COMPUTED_VALUE"""),203.75)</f>
        <v>203.75</v>
      </c>
      <c r="F54" s="13">
        <f>IFERROR(__xludf.DUMMYFUNCTION("""COMPUTED_VALUE"""),90.0)</f>
        <v>90</v>
      </c>
      <c r="G54" s="13">
        <f>IFERROR(__xludf.DUMMYFUNCTION("""COMPUTED_VALUE"""),1301.0)</f>
        <v>1301</v>
      </c>
      <c r="H54" s="13">
        <f>IFERROR(__xludf.DUMMYFUNCTION("""COMPUTED_VALUE"""),4.800000000000056)</f>
        <v>4.8</v>
      </c>
      <c r="I54" s="15">
        <f>IFERROR(__xludf.DUMMYFUNCTION("""COMPUTED_VALUE"""),0.002944785276073654)</f>
        <v>0.002944785276</v>
      </c>
      <c r="J54" s="15" t="str">
        <f>IFERROR(__xludf.DUMMYFUNCTION("""COMPUTED_VALUE"""),"RİSKLİ")</f>
        <v>RİSKLİ</v>
      </c>
      <c r="K54" s="14" t="str">
        <f>IFERROR(__xludf.DUMMYFUNCTION("""COMPUTED_VALUE"""),"Minimum fiyat altına düşme")</f>
        <v>Minimum fiyat altına düşme</v>
      </c>
      <c r="L54" s="15"/>
    </row>
    <row r="55">
      <c r="A55" s="2">
        <f>IFERROR(__xludf.DUMMYFUNCTION("""COMPUTED_VALUE"""),5.2742059617E10)</f>
        <v>52742059617</v>
      </c>
      <c r="B55" s="17" t="str">
        <f>IFERROR(__xludf.DUMMYFUNCTION("""COMPUTED_VALUE"""),"Hill's")</f>
        <v>Hill's</v>
      </c>
      <c r="C55" s="17" t="str">
        <f>IFERROR(__xludf.DUMMYFUNCTION("""COMPUTED_VALUE"""),"Hills Adult Optimal Care Tavuklu Yetişkin Kedi Maması 1.5 Kg")</f>
        <v>Hills Adult Optimal Care Tavuklu Yetişkin Kedi Maması 1.5 Kg</v>
      </c>
      <c r="D55" s="13">
        <f>IFERROR(__xludf.DUMMYFUNCTION("""COMPUTED_VALUE"""),1059.0)</f>
        <v>1059</v>
      </c>
      <c r="E55" s="13">
        <f>IFERROR(__xludf.DUMMYFUNCTION("""COMPUTED_VALUE"""),132.375)</f>
        <v>132.375</v>
      </c>
      <c r="F55" s="13">
        <f>IFERROR(__xludf.DUMMYFUNCTION("""COMPUTED_VALUE"""),90.0)</f>
        <v>90</v>
      </c>
      <c r="G55" s="13">
        <f>IFERROR(__xludf.DUMMYFUNCTION("""COMPUTED_VALUE"""),805.0)</f>
        <v>805</v>
      </c>
      <c r="H55" s="13">
        <f>IFERROR(__xludf.DUMMYFUNCTION("""COMPUTED_VALUE"""),6.537499999999962)</f>
        <v>6.5375</v>
      </c>
      <c r="I55" s="15">
        <f>IFERROR(__xludf.DUMMYFUNCTION("""COMPUTED_VALUE"""),0.006173276676109502)</f>
        <v>0.006173276676</v>
      </c>
      <c r="J55" s="15" t="str">
        <f>IFERROR(__xludf.DUMMYFUNCTION("""COMPUTED_VALUE"""),"RİSKLİ")</f>
        <v>RİSKLİ</v>
      </c>
      <c r="K55" s="14" t="str">
        <f>IFERROR(__xludf.DUMMYFUNCTION("""COMPUTED_VALUE"""),"Minimum fiyat altına düşme")</f>
        <v>Minimum fiyat altına düşme</v>
      </c>
      <c r="L55" s="15"/>
    </row>
    <row r="56">
      <c r="A56" s="2" t="str">
        <f>IFERROR(__xludf.DUMMYFUNCTION("""COMPUTED_VALUE"""),"TYBBL117UNTJIWDS99")</f>
        <v>TYBBL117UNTJIWDS99</v>
      </c>
      <c r="B56" s="17" t="str">
        <f>IFERROR(__xludf.DUMMYFUNCTION("""COMPUTED_VALUE"""),"Pro Plan")</f>
        <v>Pro Plan</v>
      </c>
      <c r="C56" s="17" t="str">
        <f>IFERROR(__xludf.DUMMYFUNCTION("""COMPUTED_VALUE"""),"Proplan kısır somonlu 4 kg (400gr x10 ).")</f>
        <v>Proplan kısır somonlu 4 kg (400gr x10 ).</v>
      </c>
      <c r="D56" s="13">
        <f>IFERROR(__xludf.DUMMYFUNCTION("""COMPUTED_VALUE"""),1750.0)</f>
        <v>1750</v>
      </c>
      <c r="E56" s="13">
        <f>IFERROR(__xludf.DUMMYFUNCTION("""COMPUTED_VALUE"""),115.5)</f>
        <v>115.5</v>
      </c>
      <c r="F56" s="13">
        <f>IFERROR(__xludf.DUMMYFUNCTION("""COMPUTED_VALUE"""),90.0)</f>
        <v>90</v>
      </c>
      <c r="G56" s="13">
        <f>IFERROR(__xludf.DUMMYFUNCTION("""COMPUTED_VALUE"""),1500.0)</f>
        <v>1500</v>
      </c>
      <c r="H56" s="13">
        <f>IFERROR(__xludf.DUMMYFUNCTION("""COMPUTED_VALUE"""),11.508333333333484)</f>
        <v>11.50833333</v>
      </c>
      <c r="I56" s="15">
        <f>IFERROR(__xludf.DUMMYFUNCTION("""COMPUTED_VALUE"""),0.006576190476190562)</f>
        <v>0.006576190476</v>
      </c>
      <c r="J56" s="15" t="str">
        <f>IFERROR(__xludf.DUMMYFUNCTION("""COMPUTED_VALUE"""),"RİSKLİ")</f>
        <v>RİSKLİ</v>
      </c>
      <c r="K56" s="14" t="str">
        <f>IFERROR(__xludf.DUMMYFUNCTION("""COMPUTED_VALUE"""),"Minimum fiyat altına düşme")</f>
        <v>Minimum fiyat altına düşme</v>
      </c>
      <c r="L56" s="15"/>
    </row>
    <row r="57">
      <c r="A57" s="2">
        <f>IFERROR(__xludf.DUMMYFUNCTION("""COMPUTED_VALUE"""),2.9695470912E10)</f>
        <v>29695470912</v>
      </c>
      <c r="B57" s="17" t="str">
        <f>IFERROR(__xludf.DUMMYFUNCTION("""COMPUTED_VALUE"""),"Chuckit")</f>
        <v>Chuckit</v>
      </c>
      <c r="C57" s="17" t="str">
        <f>IFERROR(__xludf.DUMMYFUNCTION("""COMPUTED_VALUE"""),"! Ultra Squeaker Sesli Köpek Oyun Halkası")</f>
        <v>! Ultra Squeaker Sesli Köpek Oyun Halkası</v>
      </c>
      <c r="D57" s="13">
        <f>IFERROR(__xludf.DUMMYFUNCTION("""COMPUTED_VALUE"""),428.0)</f>
        <v>428</v>
      </c>
      <c r="E57" s="13">
        <f>IFERROR(__xludf.DUMMYFUNCTION("""COMPUTED_VALUE"""),85.6)</f>
        <v>85.6</v>
      </c>
      <c r="F57" s="13">
        <f>IFERROR(__xludf.DUMMYFUNCTION("""COMPUTED_VALUE"""),86.4)</f>
        <v>86.4</v>
      </c>
      <c r="G57" s="13">
        <f>IFERROR(__xludf.DUMMYFUNCTION("""COMPUTED_VALUE"""),234.0)</f>
        <v>234</v>
      </c>
      <c r="H57" s="13">
        <f>IFERROR(__xludf.DUMMYFUNCTION("""COMPUTED_VALUE"""),3.774999999999981)</f>
        <v>3.775</v>
      </c>
      <c r="I57" s="15">
        <f>IFERROR(__xludf.DUMMYFUNCTION("""COMPUTED_VALUE"""),0.00882009345794388)</f>
        <v>0.008820093458</v>
      </c>
      <c r="J57" s="15" t="str">
        <f>IFERROR(__xludf.DUMMYFUNCTION("""COMPUTED_VALUE"""),"RİSKLİ")</f>
        <v>RİSKLİ</v>
      </c>
      <c r="K57" s="14" t="str">
        <f>IFERROR(__xludf.DUMMYFUNCTION("""COMPUTED_VALUE"""),"Minimum fiyat altına düşme")</f>
        <v>Minimum fiyat altına düşme</v>
      </c>
      <c r="L57" s="15"/>
    </row>
    <row r="58">
      <c r="A58" s="2">
        <f>IFERROR(__xludf.DUMMYFUNCTION("""COMPUTED_VALUE"""),5.412087000395E12)</f>
        <v>5412087000395</v>
      </c>
      <c r="B58" s="17" t="str">
        <f>IFERROR(__xludf.DUMMYFUNCTION("""COMPUTED_VALUE"""),"Moderna")</f>
        <v>Moderna</v>
      </c>
      <c r="C58" s="17" t="str">
        <f>IFERROR(__xludf.DUMMYFUNCTION("""COMPUTED_VALUE"""),"Smart Su Kabı 1.5 lt Sarı")</f>
        <v>Smart Su Kabı 1.5 lt Sarı</v>
      </c>
      <c r="D58" s="13">
        <f>IFERROR(__xludf.DUMMYFUNCTION("""COMPUTED_VALUE"""),450.0)</f>
        <v>450</v>
      </c>
      <c r="E58" s="13">
        <f>IFERROR(__xludf.DUMMYFUNCTION("""COMPUTED_VALUE"""),90.0)</f>
        <v>90</v>
      </c>
      <c r="F58" s="13">
        <f>IFERROR(__xludf.DUMMYFUNCTION("""COMPUTED_VALUE"""),86.4)</f>
        <v>86.4</v>
      </c>
      <c r="G58" s="13">
        <f>IFERROR(__xludf.DUMMYFUNCTION("""COMPUTED_VALUE"""),250.72)</f>
        <v>250.72</v>
      </c>
      <c r="H58" s="13">
        <f>IFERROR(__xludf.DUMMYFUNCTION("""COMPUTED_VALUE"""),4.32500000000001)</f>
        <v>4.325</v>
      </c>
      <c r="I58" s="15">
        <f>IFERROR(__xludf.DUMMYFUNCTION("""COMPUTED_VALUE"""),0.009611111111111133)</f>
        <v>0.009611111111</v>
      </c>
      <c r="J58" s="15" t="str">
        <f>IFERROR(__xludf.DUMMYFUNCTION("""COMPUTED_VALUE"""),"RİSKLİ")</f>
        <v>RİSKLİ</v>
      </c>
      <c r="K58" s="14" t="str">
        <f>IFERROR(__xludf.DUMMYFUNCTION("""COMPUTED_VALUE"""),"Minimum fiyat altına düşme")</f>
        <v>Minimum fiyat altına düşme</v>
      </c>
      <c r="L58" s="15"/>
    </row>
    <row r="59">
      <c r="A59" s="2">
        <f>IFERROR(__xludf.DUMMYFUNCTION("""COMPUTED_VALUE"""),1.44586800733348E15)</f>
        <v>1.44587E+15</v>
      </c>
      <c r="B59" s="17" t="str">
        <f>IFERROR(__xludf.DUMMYFUNCTION("""COMPUTED_VALUE"""),"Wanpy")</f>
        <v>Wanpy</v>
      </c>
      <c r="C59" s="17" t="str">
        <f>IFERROR(__xludf.DUMMYFUNCTION("""COMPUTED_VALUE"""),"Kedi Sıvı Ödül Karma 25 Li X 4 Lü Eko Paket")</f>
        <v>Kedi Sıvı Ödül Karma 25 Li X 4 Lü Eko Paket</v>
      </c>
      <c r="D59" s="13">
        <f>IFERROR(__xludf.DUMMYFUNCTION("""COMPUTED_VALUE"""),1032.9)</f>
        <v>1032.9</v>
      </c>
      <c r="E59" s="13">
        <f>IFERROR(__xludf.DUMMYFUNCTION("""COMPUTED_VALUE"""),120.8493)</f>
        <v>120.8493</v>
      </c>
      <c r="F59" s="13">
        <f>IFERROR(__xludf.DUMMYFUNCTION("""COMPUTED_VALUE"""),86.4)</f>
        <v>86.4</v>
      </c>
      <c r="G59" s="13">
        <f>IFERROR(__xludf.DUMMYFUNCTION("""COMPUTED_VALUE"""),786.0)</f>
        <v>786</v>
      </c>
      <c r="H59" s="13">
        <f>IFERROR(__xludf.DUMMYFUNCTION("""COMPUTED_VALUE"""),13.443083333333485)</f>
        <v>13.44308333</v>
      </c>
      <c r="I59" s="15">
        <f>IFERROR(__xludf.DUMMYFUNCTION("""COMPUTED_VALUE"""),0.013014893342369526)</f>
        <v>0.01301489334</v>
      </c>
      <c r="J59" s="15" t="str">
        <f>IFERROR(__xludf.DUMMYFUNCTION("""COMPUTED_VALUE"""),"RİSKLİ")</f>
        <v>RİSKLİ</v>
      </c>
      <c r="K59" s="14" t="str">
        <f>IFERROR(__xludf.DUMMYFUNCTION("""COMPUTED_VALUE"""),"Minimum fiyat altına düşme")</f>
        <v>Minimum fiyat altına düşme</v>
      </c>
      <c r="L59" s="15"/>
    </row>
    <row r="60">
      <c r="A60" s="2">
        <f>IFERROR(__xludf.DUMMYFUNCTION("""COMPUTED_VALUE"""),7.613032816536E12)</f>
        <v>7613032816536</v>
      </c>
      <c r="B60" s="17" t="str">
        <f>IFERROR(__xludf.DUMMYFUNCTION("""COMPUTED_VALUE"""),"Gourmet")</f>
        <v>Gourmet</v>
      </c>
      <c r="C60" s="17" t="str">
        <f>IFERROR(__xludf.DUMMYFUNCTION("""COMPUTED_VALUE"""),"Purina Gourmet Gold Karışık Kedi Konservesi 85 gr X 24 Adet")</f>
        <v>Purina Gourmet Gold Karışık Kedi Konservesi 85 gr X 24 Adet</v>
      </c>
      <c r="D60" s="13">
        <f>IFERROR(__xludf.DUMMYFUNCTION("""COMPUTED_VALUE"""),746.27)</f>
        <v>746.27</v>
      </c>
      <c r="E60" s="13">
        <f>IFERROR(__xludf.DUMMYFUNCTION("""COMPUTED_VALUE"""),44.776199999999996)</f>
        <v>44.7762</v>
      </c>
      <c r="F60" s="13">
        <f>IFERROR(__xludf.DUMMYFUNCTION("""COMPUTED_VALUE"""),86.4)</f>
        <v>86.4</v>
      </c>
      <c r="G60" s="13">
        <f>IFERROR(__xludf.DUMMYFUNCTION("""COMPUTED_VALUE"""),580.0)</f>
        <v>580</v>
      </c>
      <c r="H60" s="13">
        <f>IFERROR(__xludf.DUMMYFUNCTION("""COMPUTED_VALUE"""),12.034249999999943)</f>
        <v>12.03425</v>
      </c>
      <c r="I60" s="15">
        <f>IFERROR(__xludf.DUMMYFUNCTION("""COMPUTED_VALUE"""),0.01612586597344117)</f>
        <v>0.01612586597</v>
      </c>
      <c r="J60" s="15" t="str">
        <f>IFERROR(__xludf.DUMMYFUNCTION("""COMPUTED_VALUE"""),"RİSKLİ")</f>
        <v>RİSKLİ</v>
      </c>
      <c r="K60" s="14" t="str">
        <f>IFERROR(__xludf.DUMMYFUNCTION("""COMPUTED_VALUE"""),"Minimum fiyat altına düşme")</f>
        <v>Minimum fiyat altına düşme</v>
      </c>
      <c r="L60" s="15"/>
    </row>
    <row r="61">
      <c r="A61" s="2" t="str">
        <f>IFERROR(__xludf.DUMMYFUNCTION("""COMPUTED_VALUE"""),"TYBJ6BLX4VD87YGF30")</f>
        <v>TYBJ6BLX4VD87YGF30</v>
      </c>
      <c r="B61" s="17" t="str">
        <f>IFERROR(__xludf.DUMMYFUNCTION("""COMPUTED_VALUE"""),"FELIX")</f>
        <v>FELIX</v>
      </c>
      <c r="C61" s="17" t="str">
        <f>IFERROR(__xludf.DUMMYFUNCTION("""COMPUTED_VALUE"""),"Felix Sığır Etli Kedi Avantajlı Paket (4x85) Gr")</f>
        <v>Felix Sığır Etli Kedi Avantajlı Paket (4x85) Gr</v>
      </c>
      <c r="D61" s="13">
        <f>IFERROR(__xludf.DUMMYFUNCTION("""COMPUTED_VALUE"""),550.0)</f>
        <v>550</v>
      </c>
      <c r="E61" s="13">
        <f>IFERROR(__xludf.DUMMYFUNCTION("""COMPUTED_VALUE"""),74.25)</f>
        <v>74.25</v>
      </c>
      <c r="F61" s="13">
        <f>IFERROR(__xludf.DUMMYFUNCTION("""COMPUTED_VALUE"""),86.4)</f>
        <v>86.4</v>
      </c>
      <c r="G61" s="13">
        <f>IFERROR(__xludf.DUMMYFUNCTION("""COMPUTED_VALUE"""),360.0)</f>
        <v>360</v>
      </c>
      <c r="H61" s="13">
        <f>IFERROR(__xludf.DUMMYFUNCTION("""COMPUTED_VALUE"""),8.883333333333386)</f>
        <v>8.883333333</v>
      </c>
      <c r="I61" s="15">
        <f>IFERROR(__xludf.DUMMYFUNCTION("""COMPUTED_VALUE"""),0.016151515151515246)</f>
        <v>0.01615151515</v>
      </c>
      <c r="J61" s="15" t="str">
        <f>IFERROR(__xludf.DUMMYFUNCTION("""COMPUTED_VALUE"""),"RİSKLİ")</f>
        <v>RİSKLİ</v>
      </c>
      <c r="K61" s="14" t="str">
        <f>IFERROR(__xludf.DUMMYFUNCTION("""COMPUTED_VALUE"""),"Minimum fiyat altına düşme")</f>
        <v>Minimum fiyat altına düşme</v>
      </c>
      <c r="L61" s="15"/>
    </row>
    <row r="62">
      <c r="A62" s="2">
        <f>IFERROR(__xludf.DUMMYFUNCTION("""COMPUTED_VALUE"""),8.46799273637E11)</f>
        <v>846799273637</v>
      </c>
      <c r="B62" s="17" t="str">
        <f>IFERROR(__xludf.DUMMYFUNCTION("""COMPUTED_VALUE"""),"FELIX")</f>
        <v>FELIX</v>
      </c>
      <c r="C62" s="17" t="str">
        <f>IFERROR(__xludf.DUMMYFUNCTION("""COMPUTED_VALUE"""),"Karışık Kedi Yaş Mama 28 Paket")</f>
        <v>Karışık Kedi Yaş Mama 28 Paket</v>
      </c>
      <c r="D62" s="13">
        <f>IFERROR(__xludf.DUMMYFUNCTION("""COMPUTED_VALUE"""),645.0)</f>
        <v>645</v>
      </c>
      <c r="E62" s="13">
        <f>IFERROR(__xludf.DUMMYFUNCTION("""COMPUTED_VALUE"""),106.425)</f>
        <v>106.425</v>
      </c>
      <c r="F62" s="13">
        <f>IFERROR(__xludf.DUMMYFUNCTION("""COMPUTED_VALUE"""),86.4)</f>
        <v>86.4</v>
      </c>
      <c r="G62" s="13">
        <f>IFERROR(__xludf.DUMMYFUNCTION("""COMPUTED_VALUE"""),420.0)</f>
        <v>420</v>
      </c>
      <c r="H62" s="13">
        <f>IFERROR(__xludf.DUMMYFUNCTION("""COMPUTED_VALUE"""),10.445833333333391)</f>
        <v>10.44583333</v>
      </c>
      <c r="I62" s="15">
        <f>IFERROR(__xludf.DUMMYFUNCTION("""COMPUTED_VALUE"""),0.016195090439276576)</f>
        <v>0.01619509044</v>
      </c>
      <c r="J62" s="15" t="str">
        <f>IFERROR(__xludf.DUMMYFUNCTION("""COMPUTED_VALUE"""),"RİSKLİ")</f>
        <v>RİSKLİ</v>
      </c>
      <c r="K62" s="14" t="str">
        <f>IFERROR(__xludf.DUMMYFUNCTION("""COMPUTED_VALUE"""),"Minimum fiyat altına düşme")</f>
        <v>Minimum fiyat altına düşme</v>
      </c>
      <c r="L62" s="15"/>
    </row>
    <row r="63">
      <c r="A63" s="2">
        <f>IFERROR(__xludf.DUMMYFUNCTION("""COMPUTED_VALUE"""),8.010276042149E12)</f>
        <v>8010276042149</v>
      </c>
      <c r="B63" s="17" t="str">
        <f>IFERROR(__xludf.DUMMYFUNCTION("""COMPUTED_VALUE"""),"N&amp;D")</f>
        <v>N&amp;D</v>
      </c>
      <c r="C63" s="17" t="str">
        <f>IFERROR(__xludf.DUMMYFUNCTION("""COMPUTED_VALUE"""),"Tropical Kuzu Etli Kısırlaştırılmış Kedi Maması 10 KG")</f>
        <v>Tropical Kuzu Etli Kısırlaştırılmış Kedi Maması 10 KG</v>
      </c>
      <c r="D63" s="13">
        <f>IFERROR(__xludf.DUMMYFUNCTION("""COMPUTED_VALUE"""),3872.0)</f>
        <v>3872</v>
      </c>
      <c r="E63" s="13">
        <f>IFERROR(__xludf.DUMMYFUNCTION("""COMPUTED_VALUE"""),638.88)</f>
        <v>638.88</v>
      </c>
      <c r="F63" s="13">
        <f>IFERROR(__xludf.DUMMYFUNCTION("""COMPUTED_VALUE"""),159.74)</f>
        <v>159.74</v>
      </c>
      <c r="G63" s="13">
        <f>IFERROR(__xludf.DUMMYFUNCTION("""COMPUTED_VALUE"""),2944.0)</f>
        <v>2944</v>
      </c>
      <c r="H63" s="13">
        <f>IFERROR(__xludf.DUMMYFUNCTION("""COMPUTED_VALUE"""),64.5583333333336)</f>
        <v>64.55833333</v>
      </c>
      <c r="I63" s="15">
        <f>IFERROR(__xludf.DUMMYFUNCTION("""COMPUTED_VALUE"""),0.01667312327823698)</f>
        <v>0.01667312328</v>
      </c>
      <c r="J63" s="15" t="str">
        <f>IFERROR(__xludf.DUMMYFUNCTION("""COMPUTED_VALUE"""),"RİSKLİ")</f>
        <v>RİSKLİ</v>
      </c>
      <c r="K63" s="17" t="str">
        <f>IFERROR(__xludf.DUMMYFUNCTION("""COMPUTED_VALUE"""),"Minimum fiyat altına düşme")</f>
        <v>Minimum fiyat altına düşme</v>
      </c>
    </row>
    <row r="64">
      <c r="A64" s="2">
        <f>IFERROR(__xludf.DUMMYFUNCTION("""COMPUTED_VALUE"""),8.010276039309E12)</f>
        <v>8010276039309</v>
      </c>
      <c r="B64" s="17" t="str">
        <f>IFERROR(__xludf.DUMMYFUNCTION("""COMPUTED_VALUE"""),"N&amp;D")</f>
        <v>N&amp;D</v>
      </c>
      <c r="C64" s="17" t="str">
        <f>IFERROR(__xludf.DUMMYFUNCTION("""COMPUTED_VALUE"""),"Ocean Somon ve Morina Kavunlu Mini Irk Köpek Maması 2,5 Kg")</f>
        <v>Ocean Somon ve Morina Kavunlu Mini Irk Köpek Maması 2,5 Kg</v>
      </c>
      <c r="D64" s="13">
        <f>IFERROR(__xludf.DUMMYFUNCTION("""COMPUTED_VALUE"""),1828.0)</f>
        <v>1828</v>
      </c>
      <c r="E64" s="13">
        <f>IFERROR(__xludf.DUMMYFUNCTION("""COMPUTED_VALUE"""),301.62)</f>
        <v>301.62</v>
      </c>
      <c r="F64" s="13">
        <f>IFERROR(__xludf.DUMMYFUNCTION("""COMPUTED_VALUE"""),90.0)</f>
        <v>90</v>
      </c>
      <c r="G64" s="13">
        <f>IFERROR(__xludf.DUMMYFUNCTION("""COMPUTED_VALUE"""),1363.0)</f>
        <v>1363</v>
      </c>
      <c r="H64" s="13">
        <f>IFERROR(__xludf.DUMMYFUNCTION("""COMPUTED_VALUE"""),34.92500000000009)</f>
        <v>34.925</v>
      </c>
      <c r="I64" s="15">
        <f>IFERROR(__xludf.DUMMYFUNCTION("""COMPUTED_VALUE"""),0.01910557986870902)</f>
        <v>0.01910557987</v>
      </c>
      <c r="J64" s="15" t="str">
        <f>IFERROR(__xludf.DUMMYFUNCTION("""COMPUTED_VALUE"""),"RİSKLİ")</f>
        <v>RİSKLİ</v>
      </c>
      <c r="K64" s="17" t="str">
        <f>IFERROR(__xludf.DUMMYFUNCTION("""COMPUTED_VALUE"""),"Minimum fiyat altına düşme")</f>
        <v>Minimum fiyat altına düşme</v>
      </c>
    </row>
    <row r="65">
      <c r="A65" s="2"/>
      <c r="D65" s="13"/>
      <c r="E65" s="13"/>
      <c r="F65" s="13"/>
      <c r="G65" s="13"/>
      <c r="H65" s="13"/>
      <c r="I65" s="15"/>
      <c r="J65" s="15"/>
    </row>
    <row r="66">
      <c r="A66" s="5" t="s">
        <v>33</v>
      </c>
      <c r="D66" s="13"/>
      <c r="E66" s="13"/>
      <c r="F66" s="13"/>
      <c r="G66" s="13"/>
      <c r="H66" s="13"/>
      <c r="I66" s="15"/>
      <c r="J66" s="15"/>
    </row>
    <row r="67">
      <c r="A67" s="5" t="s">
        <v>19</v>
      </c>
      <c r="B67" s="30" t="s">
        <v>20</v>
      </c>
      <c r="C67" s="30" t="s">
        <v>21</v>
      </c>
      <c r="D67" s="31" t="s">
        <v>22</v>
      </c>
      <c r="E67" s="31" t="s">
        <v>23</v>
      </c>
      <c r="F67" s="31" t="s">
        <v>24</v>
      </c>
      <c r="G67" s="31" t="s">
        <v>25</v>
      </c>
      <c r="H67" s="31" t="s">
        <v>34</v>
      </c>
      <c r="I67" s="32" t="s">
        <v>35</v>
      </c>
      <c r="J67" s="32" t="s">
        <v>36</v>
      </c>
      <c r="K67" s="30" t="s">
        <v>37</v>
      </c>
      <c r="L67" s="30" t="s">
        <v>29</v>
      </c>
    </row>
    <row r="68">
      <c r="A68" s="33">
        <f>IFERROR(__xludf.DUMMYFUNCTION("SORTN(FILTER({'BuyBox Karlilik'!A2:G300,'BuyBox Karlilik'!N2:Q300,'BuyBox Karlilik'!U2:U300},'BuyBox Karlilik'!T2:T300=""EKSİK VERİ""),15,0,1,TRUE)"),4.53481343543E11)</f>
        <v>453481343543</v>
      </c>
      <c r="B68" s="8" t="str">
        <f>IFERROR(__xludf.DUMMYFUNCTION("""COMPUTED_VALUE"""),"Mito")</f>
        <v>Mito</v>
      </c>
      <c r="C68" s="8" t="str">
        <f>IFERROR(__xludf.DUMMYFUNCTION("""COMPUTED_VALUE"""),"La Adult Cat Tavuklu Yetişkin Kedi Maması 15 Kg")</f>
        <v>La Adult Cat Tavuklu Yetişkin Kedi Maması 15 Kg</v>
      </c>
      <c r="D68" s="16">
        <f>IFERROR(__xludf.DUMMYFUNCTION("""COMPUTED_VALUE"""),1700.0)</f>
        <v>1700</v>
      </c>
      <c r="E68" s="16">
        <f>IFERROR(__xludf.DUMMYFUNCTION("""COMPUTED_VALUE"""),280.5)</f>
        <v>280.5</v>
      </c>
      <c r="F68" s="16" t="str">
        <f>IFERROR(__xludf.DUMMYFUNCTION("""COMPUTED_VALUE"""),"")</f>
        <v/>
      </c>
      <c r="G68" s="16" t="str">
        <f>IFERROR(__xludf.DUMMYFUNCTION("""COMPUTED_VALUE"""),"")</f>
        <v/>
      </c>
      <c r="H68" s="16" t="str">
        <f>IFERROR(__xludf.DUMMYFUNCTION("""COMPUTED_VALUE"""),"")</f>
        <v/>
      </c>
      <c r="I68" s="18" t="str">
        <f>IFERROR(__xludf.DUMMYFUNCTION("""COMPUTED_VALUE"""),"")</f>
        <v/>
      </c>
      <c r="J68" s="18" t="str">
        <f>IFERROR(__xludf.DUMMYFUNCTION("""COMPUTED_VALUE"""),"Maliyet eksik")</f>
        <v>Maliyet eksik</v>
      </c>
      <c r="K68" s="8" t="str">
        <f>IFERROR(__xludf.DUMMYFUNCTION("""COMPUTED_VALUE"""),"Desi eksik")</f>
        <v>Desi eksik</v>
      </c>
      <c r="L68" s="8" t="str">
        <f>IFERROR(__xludf.DUMMYFUNCTION("""COMPUTED_VALUE"""),"Maliyet/desi/komisyon tamamla")</f>
        <v>Maliyet/desi/komisyon tamamla</v>
      </c>
    </row>
    <row r="69">
      <c r="A69" s="22">
        <f>IFERROR(__xludf.DUMMYFUNCTION("""COMPUTED_VALUE"""),8.40134695853E11)</f>
        <v>840134695853</v>
      </c>
      <c r="B69" s="23" t="str">
        <f>IFERROR(__xludf.DUMMYFUNCTION("""COMPUTED_VALUE"""),"BARK")</f>
        <v>BARK</v>
      </c>
      <c r="C69" s="23" t="str">
        <f>IFERROR(__xludf.DUMMYFUNCTION("""COMPUTED_VALUE"""),"Starbark Beyaz Bardak Köpek Çiğneme Oyuncak - M/L Boy (Ödül Doldurulabilir)")</f>
        <v>Starbark Beyaz Bardak Köpek Çiğneme Oyuncak - M/L Boy (Ödül Doldurulabilir)</v>
      </c>
      <c r="D69" s="27">
        <f>IFERROR(__xludf.DUMMYFUNCTION("""COMPUTED_VALUE"""),1592.91)</f>
        <v>1592.91</v>
      </c>
      <c r="E69" s="27">
        <f>IFERROR(__xludf.DUMMYFUNCTION("""COMPUTED_VALUE"""),318.582)</f>
        <v>318.582</v>
      </c>
      <c r="F69" s="27">
        <f>IFERROR(__xludf.DUMMYFUNCTION("""COMPUTED_VALUE"""),86.4)</f>
        <v>86.4</v>
      </c>
      <c r="G69" s="27"/>
      <c r="H69" s="27" t="str">
        <f>IFERROR(__xludf.DUMMYFUNCTION("""COMPUTED_VALUE"""),"")</f>
        <v/>
      </c>
      <c r="I69" s="26">
        <f>IFERROR(__xludf.DUMMYFUNCTION("""COMPUTED_VALUE"""),1.0)</f>
        <v>1</v>
      </c>
      <c r="J69" s="26" t="str">
        <f>IFERROR(__xludf.DUMMYFUNCTION("""COMPUTED_VALUE"""),"Maliyet eksik")</f>
        <v>Maliyet eksik</v>
      </c>
      <c r="K69" s="23" t="str">
        <f>IFERROR(__xludf.DUMMYFUNCTION("""COMPUTED_VALUE"""),"")</f>
        <v/>
      </c>
      <c r="L69" s="23" t="str">
        <f>IFERROR(__xludf.DUMMYFUNCTION("""COMPUTED_VALUE"""),"Maliyet/desi/komisyon tamamla")</f>
        <v>Maliyet/desi/komisyon tamamla</v>
      </c>
    </row>
    <row r="70">
      <c r="A70" s="2">
        <f>IFERROR(__xludf.DUMMYFUNCTION("""COMPUTED_VALUE"""),8.40134695921E11)</f>
        <v>840134695921</v>
      </c>
      <c r="B70" s="17" t="str">
        <f>IFERROR(__xludf.DUMMYFUNCTION("""COMPUTED_VALUE"""),"BARK")</f>
        <v>BARK</v>
      </c>
      <c r="C70" s="17" t="str">
        <f>IFERROR(__xludf.DUMMYFUNCTION("""COMPUTED_VALUE"""),"Flingray Sesli Vatos Köpek Oyuncağı")</f>
        <v>Flingray Sesli Vatos Köpek Oyuncağı</v>
      </c>
      <c r="D70" s="13">
        <f>IFERROR(__xludf.DUMMYFUNCTION("""COMPUTED_VALUE"""),2126.52)</f>
        <v>2126.52</v>
      </c>
      <c r="E70" s="13">
        <f>IFERROR(__xludf.DUMMYFUNCTION("""COMPUTED_VALUE"""),425.30400000000003)</f>
        <v>425.304</v>
      </c>
      <c r="F70" s="13">
        <f>IFERROR(__xludf.DUMMYFUNCTION("""COMPUTED_VALUE"""),86.4)</f>
        <v>86.4</v>
      </c>
      <c r="G70" s="13"/>
      <c r="H70" s="14" t="str">
        <f>IFERROR(__xludf.DUMMYFUNCTION("""COMPUTED_VALUE"""),"")</f>
        <v/>
      </c>
      <c r="I70" s="28">
        <f>IFERROR(__xludf.DUMMYFUNCTION("""COMPUTED_VALUE"""),1.0)</f>
        <v>1</v>
      </c>
      <c r="J70" s="15" t="str">
        <f>IFERROR(__xludf.DUMMYFUNCTION("""COMPUTED_VALUE"""),"Maliyet eksik")</f>
        <v>Maliyet eksik</v>
      </c>
      <c r="K70" s="17" t="str">
        <f>IFERROR(__xludf.DUMMYFUNCTION("""COMPUTED_VALUE"""),"")</f>
        <v/>
      </c>
      <c r="L70" s="17" t="str">
        <f>IFERROR(__xludf.DUMMYFUNCTION("""COMPUTED_VALUE"""),"Maliyet/desi/komisyon tamamla")</f>
        <v>Maliyet/desi/komisyon tamamla</v>
      </c>
    </row>
    <row r="71">
      <c r="A71" s="2">
        <f>IFERROR(__xludf.DUMMYFUNCTION("""COMPUTED_VALUE"""),8.40134695938E11)</f>
        <v>840134695938</v>
      </c>
      <c r="B71" s="17" t="str">
        <f>IFERROR(__xludf.DUMMYFUNCTION("""COMPUTED_VALUE"""),"BARK")</f>
        <v>BARK</v>
      </c>
      <c r="C71" s="17" t="str">
        <f>IFERROR(__xludf.DUMMYFUNCTION("""COMPUTED_VALUE"""),"Hambone Çiğneme Köpek Oyuncağı")</f>
        <v>Hambone Çiğneme Köpek Oyuncağı</v>
      </c>
      <c r="D71" s="13">
        <f>IFERROR(__xludf.DUMMYFUNCTION("""COMPUTED_VALUE"""),1914.66)</f>
        <v>1914.66</v>
      </c>
      <c r="E71" s="13">
        <f>IFERROR(__xludf.DUMMYFUNCTION("""COMPUTED_VALUE"""),382.932)</f>
        <v>382.932</v>
      </c>
      <c r="F71" s="13">
        <f>IFERROR(__xludf.DUMMYFUNCTION("""COMPUTED_VALUE"""),86.4)</f>
        <v>86.4</v>
      </c>
      <c r="G71" s="13"/>
      <c r="H71" s="14" t="str">
        <f>IFERROR(__xludf.DUMMYFUNCTION("""COMPUTED_VALUE"""),"")</f>
        <v/>
      </c>
      <c r="I71" s="28">
        <f>IFERROR(__xludf.DUMMYFUNCTION("""COMPUTED_VALUE"""),1.0)</f>
        <v>1</v>
      </c>
      <c r="J71" s="15" t="str">
        <f>IFERROR(__xludf.DUMMYFUNCTION("""COMPUTED_VALUE"""),"Maliyet eksik")</f>
        <v>Maliyet eksik</v>
      </c>
      <c r="K71" s="17" t="str">
        <f>IFERROR(__xludf.DUMMYFUNCTION("""COMPUTED_VALUE"""),"")</f>
        <v/>
      </c>
      <c r="L71" s="17" t="str">
        <f>IFERROR(__xludf.DUMMYFUNCTION("""COMPUTED_VALUE"""),"Maliyet/desi/komisyon tamamla")</f>
        <v>Maliyet/desi/komisyon tamamla</v>
      </c>
    </row>
    <row r="72">
      <c r="A72" s="2">
        <f>IFERROR(__xludf.DUMMYFUNCTION("""COMPUTED_VALUE"""),8.40134695983E11)</f>
        <v>840134695983</v>
      </c>
      <c r="B72" s="17" t="str">
        <f>IFERROR(__xludf.DUMMYFUNCTION("""COMPUTED_VALUE"""),"BARK")</f>
        <v>BARK</v>
      </c>
      <c r="C72" s="17" t="str">
        <f>IFERROR(__xludf.DUMMYFUNCTION("""COMPUTED_VALUE"""),"Brtha Sesli Ejderha Köpek Oyuncağı")</f>
        <v>Brtha Sesli Ejderha Köpek Oyuncağı</v>
      </c>
      <c r="D72" s="13">
        <f>IFERROR(__xludf.DUMMYFUNCTION("""COMPUTED_VALUE"""),1286.01)</f>
        <v>1286.01</v>
      </c>
      <c r="E72" s="13">
        <f>IFERROR(__xludf.DUMMYFUNCTION("""COMPUTED_VALUE"""),257.202)</f>
        <v>257.202</v>
      </c>
      <c r="F72" s="13">
        <f>IFERROR(__xludf.DUMMYFUNCTION("""COMPUTED_VALUE"""),86.4)</f>
        <v>86.4</v>
      </c>
      <c r="G72" s="13"/>
      <c r="H72" s="14" t="str">
        <f>IFERROR(__xludf.DUMMYFUNCTION("""COMPUTED_VALUE"""),"")</f>
        <v/>
      </c>
      <c r="I72" s="28">
        <f>IFERROR(__xludf.DUMMYFUNCTION("""COMPUTED_VALUE"""),1.0)</f>
        <v>1</v>
      </c>
      <c r="J72" s="15" t="str">
        <f>IFERROR(__xludf.DUMMYFUNCTION("""COMPUTED_VALUE"""),"Maliyet eksik")</f>
        <v>Maliyet eksik</v>
      </c>
      <c r="K72" s="17" t="str">
        <f>IFERROR(__xludf.DUMMYFUNCTION("""COMPUTED_VALUE"""),"")</f>
        <v/>
      </c>
      <c r="L72" s="17" t="str">
        <f>IFERROR(__xludf.DUMMYFUNCTION("""COMPUTED_VALUE"""),"Maliyet/desi/komisyon tamamla")</f>
        <v>Maliyet/desi/komisyon tamamla</v>
      </c>
    </row>
    <row r="73">
      <c r="A73" s="2">
        <f>IFERROR(__xludf.DUMMYFUNCTION("""COMPUTED_VALUE"""),8.4013469599E11)</f>
        <v>840134695990</v>
      </c>
      <c r="B73" s="17" t="str">
        <f>IFERROR(__xludf.DUMMYFUNCTION("""COMPUTED_VALUE"""),"BARK")</f>
        <v>BARK</v>
      </c>
      <c r="C73" s="17" t="str">
        <f>IFERROR(__xludf.DUMMYFUNCTION("""COMPUTED_VALUE"""),"Acornucopia Çiğneme Köpek Oyuncağı")</f>
        <v>Acornucopia Çiğneme Köpek Oyuncağı</v>
      </c>
      <c r="D73" s="13">
        <f>IFERROR(__xludf.DUMMYFUNCTION("""COMPUTED_VALUE"""),1583.01)</f>
        <v>1583.01</v>
      </c>
      <c r="E73" s="13">
        <f>IFERROR(__xludf.DUMMYFUNCTION("""COMPUTED_VALUE"""),316.60200000000003)</f>
        <v>316.602</v>
      </c>
      <c r="F73" s="13">
        <f>IFERROR(__xludf.DUMMYFUNCTION("""COMPUTED_VALUE"""),86.4)</f>
        <v>86.4</v>
      </c>
      <c r="G73" s="13"/>
      <c r="H73" s="14" t="str">
        <f>IFERROR(__xludf.DUMMYFUNCTION("""COMPUTED_VALUE"""),"")</f>
        <v/>
      </c>
      <c r="I73" s="28">
        <f>IFERROR(__xludf.DUMMYFUNCTION("""COMPUTED_VALUE"""),1.0)</f>
        <v>1</v>
      </c>
      <c r="J73" s="15" t="str">
        <f>IFERROR(__xludf.DUMMYFUNCTION("""COMPUTED_VALUE"""),"Maliyet eksik")</f>
        <v>Maliyet eksik</v>
      </c>
      <c r="K73" s="17" t="str">
        <f>IFERROR(__xludf.DUMMYFUNCTION("""COMPUTED_VALUE"""),"")</f>
        <v/>
      </c>
      <c r="L73" s="17" t="str">
        <f>IFERROR(__xludf.DUMMYFUNCTION("""COMPUTED_VALUE"""),"Maliyet/desi/komisyon tamamla")</f>
        <v>Maliyet/desi/komisyon tamamla</v>
      </c>
    </row>
    <row r="74">
      <c r="A74" s="2">
        <f>IFERROR(__xludf.DUMMYFUNCTION("""COMPUTED_VALUE"""),8.40134696355E11)</f>
        <v>840134696355</v>
      </c>
      <c r="B74" s="17" t="str">
        <f>IFERROR(__xludf.DUMMYFUNCTION("""COMPUTED_VALUE"""),"BARK")</f>
        <v>BARK</v>
      </c>
      <c r="C74" s="17" t="str">
        <f>IFERROR(__xludf.DUMMYFUNCTION("""COMPUTED_VALUE"""),"Turnt Turp Köpek Oyuncağı")</f>
        <v>Turnt Turp Köpek Oyuncağı</v>
      </c>
      <c r="D74" s="13">
        <f>IFERROR(__xludf.DUMMYFUNCTION("""COMPUTED_VALUE"""),1999.0)</f>
        <v>1999</v>
      </c>
      <c r="E74" s="13">
        <f>IFERROR(__xludf.DUMMYFUNCTION("""COMPUTED_VALUE"""),399.8)</f>
        <v>399.8</v>
      </c>
      <c r="F74" s="13">
        <f>IFERROR(__xludf.DUMMYFUNCTION("""COMPUTED_VALUE"""),86.4)</f>
        <v>86.4</v>
      </c>
      <c r="G74" s="13"/>
      <c r="H74" s="14" t="str">
        <f>IFERROR(__xludf.DUMMYFUNCTION("""COMPUTED_VALUE"""),"")</f>
        <v/>
      </c>
      <c r="I74" s="28">
        <f>IFERROR(__xludf.DUMMYFUNCTION("""COMPUTED_VALUE"""),1.0)</f>
        <v>1</v>
      </c>
      <c r="J74" s="15" t="str">
        <f>IFERROR(__xludf.DUMMYFUNCTION("""COMPUTED_VALUE"""),"Maliyet eksik")</f>
        <v>Maliyet eksik</v>
      </c>
      <c r="K74" s="17" t="str">
        <f>IFERROR(__xludf.DUMMYFUNCTION("""COMPUTED_VALUE"""),"")</f>
        <v/>
      </c>
      <c r="L74" s="17" t="str">
        <f>IFERROR(__xludf.DUMMYFUNCTION("""COMPUTED_VALUE"""),"Maliyet/desi/komisyon tamamla")</f>
        <v>Maliyet/desi/komisyon tamamla</v>
      </c>
    </row>
    <row r="75">
      <c r="A75" s="2">
        <f>IFERROR(__xludf.DUMMYFUNCTION("""COMPUTED_VALUE"""),8.40134696461E11)</f>
        <v>840134696461</v>
      </c>
      <c r="B75" s="17" t="str">
        <f>IFERROR(__xludf.DUMMYFUNCTION("""COMPUTED_VALUE"""),"BARK")</f>
        <v>BARK</v>
      </c>
      <c r="C75" s="17" t="str">
        <f>IFERROR(__xludf.DUMMYFUNCTION("""COMPUTED_VALUE"""),"Fetch Dal Köpek Oyuncağı")</f>
        <v>Fetch Dal Köpek Oyuncağı</v>
      </c>
      <c r="D75" s="13">
        <f>IFERROR(__xludf.DUMMYFUNCTION("""COMPUTED_VALUE"""),1484.01)</f>
        <v>1484.01</v>
      </c>
      <c r="E75" s="13">
        <f>IFERROR(__xludf.DUMMYFUNCTION("""COMPUTED_VALUE"""),296.802)</f>
        <v>296.802</v>
      </c>
      <c r="F75" s="13">
        <f>IFERROR(__xludf.DUMMYFUNCTION("""COMPUTED_VALUE"""),86.4)</f>
        <v>86.4</v>
      </c>
      <c r="G75" s="13"/>
      <c r="H75" s="14" t="str">
        <f>IFERROR(__xludf.DUMMYFUNCTION("""COMPUTED_VALUE"""),"")</f>
        <v/>
      </c>
      <c r="I75" s="28">
        <f>IFERROR(__xludf.DUMMYFUNCTION("""COMPUTED_VALUE"""),1.0)</f>
        <v>1</v>
      </c>
      <c r="J75" s="15" t="str">
        <f>IFERROR(__xludf.DUMMYFUNCTION("""COMPUTED_VALUE"""),"Maliyet eksik")</f>
        <v>Maliyet eksik</v>
      </c>
      <c r="K75" s="17" t="str">
        <f>IFERROR(__xludf.DUMMYFUNCTION("""COMPUTED_VALUE"""),"")</f>
        <v/>
      </c>
      <c r="L75" s="17" t="str">
        <f>IFERROR(__xludf.DUMMYFUNCTION("""COMPUTED_VALUE"""),"Maliyet/desi/komisyon tamamla")</f>
        <v>Maliyet/desi/komisyon tamamla</v>
      </c>
    </row>
    <row r="76">
      <c r="A76" s="2">
        <f>IFERROR(__xludf.DUMMYFUNCTION("""COMPUTED_VALUE"""),8.40134696485E11)</f>
        <v>840134696485</v>
      </c>
      <c r="B76" s="17" t="str">
        <f>IFERROR(__xludf.DUMMYFUNCTION("""COMPUTED_VALUE"""),"BARK")</f>
        <v>BARK</v>
      </c>
      <c r="C76" s="17" t="str">
        <f>IFERROR(__xludf.DUMMYFUNCTION("""COMPUTED_VALUE"""),"Beaver Kunduz Köpek Oyuncağı")</f>
        <v>Beaver Kunduz Köpek Oyuncağı</v>
      </c>
      <c r="D76" s="13">
        <f>IFERROR(__xludf.DUMMYFUNCTION("""COMPUTED_VALUE"""),1557.27)</f>
        <v>1557.27</v>
      </c>
      <c r="E76" s="13">
        <f>IFERROR(__xludf.DUMMYFUNCTION("""COMPUTED_VALUE"""),311.454)</f>
        <v>311.454</v>
      </c>
      <c r="F76" s="13">
        <f>IFERROR(__xludf.DUMMYFUNCTION("""COMPUTED_VALUE"""),86.4)</f>
        <v>86.4</v>
      </c>
      <c r="G76" s="13"/>
      <c r="H76" s="14" t="str">
        <f>IFERROR(__xludf.DUMMYFUNCTION("""COMPUTED_VALUE"""),"")</f>
        <v/>
      </c>
      <c r="I76" s="28">
        <f>IFERROR(__xludf.DUMMYFUNCTION("""COMPUTED_VALUE"""),1.0)</f>
        <v>1</v>
      </c>
      <c r="J76" s="15" t="str">
        <f>IFERROR(__xludf.DUMMYFUNCTION("""COMPUTED_VALUE"""),"Maliyet eksik")</f>
        <v>Maliyet eksik</v>
      </c>
      <c r="K76" s="17" t="str">
        <f>IFERROR(__xludf.DUMMYFUNCTION("""COMPUTED_VALUE"""),"")</f>
        <v/>
      </c>
      <c r="L76" s="17" t="str">
        <f>IFERROR(__xludf.DUMMYFUNCTION("""COMPUTED_VALUE"""),"Maliyet/desi/komisyon tamamla")</f>
        <v>Maliyet/desi/komisyon tamamla</v>
      </c>
    </row>
    <row r="77">
      <c r="A77" s="2">
        <f>IFERROR(__xludf.DUMMYFUNCTION("""COMPUTED_VALUE"""),5.060255492192E12)</f>
        <v>5060255492192</v>
      </c>
      <c r="B77" s="17" t="str">
        <f>IFERROR(__xludf.DUMMYFUNCTION("""COMPUTED_VALUE"""),"Ever Clean")</f>
        <v>Ever Clean</v>
      </c>
      <c r="C77" s="17" t="str">
        <f>IFERROR(__xludf.DUMMYFUNCTION("""COMPUTED_VALUE"""),"Less Pass(PATİLERE YAPIŞMAYAN) Kedi Kumu 10 Lt")</f>
        <v>Less Pass(PATİLERE YAPIŞMAYAN) Kedi Kumu 10 Lt</v>
      </c>
      <c r="D77" s="13">
        <f>IFERROR(__xludf.DUMMYFUNCTION("""COMPUTED_VALUE"""),1000.0)</f>
        <v>1000</v>
      </c>
      <c r="E77" s="13">
        <f>IFERROR(__xludf.DUMMYFUNCTION("""COMPUTED_VALUE"""),128.0)</f>
        <v>128</v>
      </c>
      <c r="F77" s="13">
        <f>IFERROR(__xludf.DUMMYFUNCTION("""COMPUTED_VALUE"""),86.4)</f>
        <v>86.4</v>
      </c>
      <c r="G77" s="13"/>
      <c r="H77" s="14" t="str">
        <f>IFERROR(__xludf.DUMMYFUNCTION("""COMPUTED_VALUE"""),"")</f>
        <v/>
      </c>
      <c r="I77" s="28">
        <f>IFERROR(__xludf.DUMMYFUNCTION("""COMPUTED_VALUE"""),2.0)</f>
        <v>2</v>
      </c>
      <c r="J77" s="15" t="str">
        <f>IFERROR(__xludf.DUMMYFUNCTION("""COMPUTED_VALUE"""),"Maliyet eksik")</f>
        <v>Maliyet eksik</v>
      </c>
      <c r="K77" s="17" t="str">
        <f>IFERROR(__xludf.DUMMYFUNCTION("""COMPUTED_VALUE"""),"")</f>
        <v/>
      </c>
      <c r="L77" s="17" t="str">
        <f>IFERROR(__xludf.DUMMYFUNCTION("""COMPUTED_VALUE"""),"Maliyet/desi/komisyon tamamla")</f>
        <v>Maliyet/desi/komisyon tamamla</v>
      </c>
    </row>
    <row r="78">
      <c r="A78" s="2">
        <f>IFERROR(__xludf.DUMMYFUNCTION("""COMPUTED_VALUE"""),5.060255492253E12)</f>
        <v>5060255492253</v>
      </c>
      <c r="B78" s="17" t="str">
        <f>IFERROR(__xludf.DUMMYFUNCTION("""COMPUTED_VALUE"""),"Ever Clean")</f>
        <v>Ever Clean</v>
      </c>
      <c r="C78" s="17" t="str">
        <f>IFERROR(__xludf.DUMMYFUNCTION("""COMPUTED_VALUE"""),"Multiple Cat Kedi Kumu 10 Lt")</f>
        <v>Multiple Cat Kedi Kumu 10 Lt</v>
      </c>
      <c r="D78" s="13">
        <f>IFERROR(__xludf.DUMMYFUNCTION("""COMPUTED_VALUE"""),1124.1)</f>
        <v>1124.1</v>
      </c>
      <c r="E78" s="13">
        <f>IFERROR(__xludf.DUMMYFUNCTION("""COMPUTED_VALUE"""),149.50529999999998)</f>
        <v>149.5053</v>
      </c>
      <c r="F78" s="13">
        <f>IFERROR(__xludf.DUMMYFUNCTION("""COMPUTED_VALUE"""),86.4)</f>
        <v>86.4</v>
      </c>
      <c r="G78" s="13"/>
      <c r="H78" s="14" t="str">
        <f>IFERROR(__xludf.DUMMYFUNCTION("""COMPUTED_VALUE"""),"")</f>
        <v/>
      </c>
      <c r="I78" s="28">
        <f>IFERROR(__xludf.DUMMYFUNCTION("""COMPUTED_VALUE"""),2.0)</f>
        <v>2</v>
      </c>
      <c r="J78" s="15" t="str">
        <f>IFERROR(__xludf.DUMMYFUNCTION("""COMPUTED_VALUE"""),"Maliyet eksik")</f>
        <v>Maliyet eksik</v>
      </c>
      <c r="K78" s="17" t="str">
        <f>IFERROR(__xludf.DUMMYFUNCTION("""COMPUTED_VALUE"""),"")</f>
        <v/>
      </c>
      <c r="L78" s="17" t="str">
        <f>IFERROR(__xludf.DUMMYFUNCTION("""COMPUTED_VALUE"""),"Maliyet/desi/komisyon tamamla")</f>
        <v>Maliyet/desi/komisyon tamamla</v>
      </c>
    </row>
    <row r="79">
      <c r="A79" s="2">
        <f>IFERROR(__xludf.DUMMYFUNCTION("""COMPUTED_VALUE"""),5.060255492291E12)</f>
        <v>5060255492291</v>
      </c>
      <c r="B79" s="17" t="str">
        <f>IFERROR(__xludf.DUMMYFUNCTION("""COMPUTED_VALUE"""),"Ever Clean")</f>
        <v>Ever Clean</v>
      </c>
      <c r="C79" s="17" t="str">
        <f>IFERROR(__xludf.DUMMYFUNCTION("""COMPUTED_VALUE"""),"Lavender Lavanta Kokulu Ince Taneli Topaklaşan Kedi Kumu 10 L")</f>
        <v>Lavender Lavanta Kokulu Ince Taneli Topaklaşan Kedi Kumu 10 L</v>
      </c>
      <c r="D79" s="13">
        <f>IFERROR(__xludf.DUMMYFUNCTION("""COMPUTED_VALUE"""),1048.5)</f>
        <v>1048.5</v>
      </c>
      <c r="E79" s="13">
        <f>IFERROR(__xludf.DUMMYFUNCTION("""COMPUTED_VALUE"""),152.0325)</f>
        <v>152.0325</v>
      </c>
      <c r="F79" s="13">
        <f>IFERROR(__xludf.DUMMYFUNCTION("""COMPUTED_VALUE"""),86.4)</f>
        <v>86.4</v>
      </c>
      <c r="G79" s="13"/>
      <c r="H79" s="14" t="str">
        <f>IFERROR(__xludf.DUMMYFUNCTION("""COMPUTED_VALUE"""),"")</f>
        <v/>
      </c>
      <c r="I79" s="28">
        <f>IFERROR(__xludf.DUMMYFUNCTION("""COMPUTED_VALUE"""),2.0)</f>
        <v>2</v>
      </c>
      <c r="J79" s="15" t="str">
        <f>IFERROR(__xludf.DUMMYFUNCTION("""COMPUTED_VALUE"""),"Maliyet eksik")</f>
        <v>Maliyet eksik</v>
      </c>
      <c r="K79" s="17" t="str">
        <f>IFERROR(__xludf.DUMMYFUNCTION("""COMPUTED_VALUE"""),"")</f>
        <v/>
      </c>
      <c r="L79" s="17" t="str">
        <f>IFERROR(__xludf.DUMMYFUNCTION("""COMPUTED_VALUE"""),"Maliyet/desi/komisyon tamamla")</f>
        <v>Maliyet/desi/komisyon tamamla</v>
      </c>
    </row>
    <row r="80">
      <c r="A80" s="2">
        <f>IFERROR(__xludf.DUMMYFUNCTION("""COMPUTED_VALUE"""),5.060412212489E12)</f>
        <v>5060412212489</v>
      </c>
      <c r="B80" s="17" t="str">
        <f>IFERROR(__xludf.DUMMYFUNCTION("""COMPUTED_VALUE"""),"Ever Clean")</f>
        <v>Ever Clean</v>
      </c>
      <c r="C80" s="17" t="str">
        <f>IFERROR(__xludf.DUMMYFUNCTION("""COMPUTED_VALUE"""),"Fast Acting 10 lt.")</f>
        <v>Fast Acting 10 lt.</v>
      </c>
      <c r="D80" s="13">
        <f>IFERROR(__xludf.DUMMYFUNCTION("""COMPUTED_VALUE"""),1169.1)</f>
        <v>1169.1</v>
      </c>
      <c r="E80" s="13">
        <f>IFERROR(__xludf.DUMMYFUNCTION("""COMPUTED_VALUE"""),169.51949999999997)</f>
        <v>169.5195</v>
      </c>
      <c r="F80" s="13">
        <f>IFERROR(__xludf.DUMMYFUNCTION("""COMPUTED_VALUE"""),86.4)</f>
        <v>86.4</v>
      </c>
      <c r="G80" s="13"/>
      <c r="H80" s="14" t="str">
        <f>IFERROR(__xludf.DUMMYFUNCTION("""COMPUTED_VALUE"""),"")</f>
        <v/>
      </c>
      <c r="I80" s="28">
        <f>IFERROR(__xludf.DUMMYFUNCTION("""COMPUTED_VALUE"""),2.0)</f>
        <v>2</v>
      </c>
      <c r="J80" s="15" t="str">
        <f>IFERROR(__xludf.DUMMYFUNCTION("""COMPUTED_VALUE"""),"Maliyet eksik")</f>
        <v>Maliyet eksik</v>
      </c>
      <c r="K80" s="17" t="str">
        <f>IFERROR(__xludf.DUMMYFUNCTION("""COMPUTED_VALUE"""),"")</f>
        <v/>
      </c>
      <c r="L80" s="17" t="str">
        <f>IFERROR(__xludf.DUMMYFUNCTION("""COMPUTED_VALUE"""),"Maliyet/desi/komisyon tamamla")</f>
        <v>Maliyet/desi/komisyon tamamla</v>
      </c>
    </row>
    <row r="81">
      <c r="A81" s="2">
        <f>IFERROR(__xludf.DUMMYFUNCTION("""COMPUTED_VALUE"""),5.060412214117E12)</f>
        <v>5060412214117</v>
      </c>
      <c r="B81" s="17" t="str">
        <f>IFERROR(__xludf.DUMMYFUNCTION("""COMPUTED_VALUE"""),"Ever Clean")</f>
        <v>Ever Clean</v>
      </c>
      <c r="C81" s="17" t="str">
        <f>IFERROR(__xludf.DUMMYFUNCTION("""COMPUTED_VALUE"""),"LitterFree Paws 10 Lt")</f>
        <v>LitterFree Paws 10 Lt</v>
      </c>
      <c r="D81" s="13">
        <f>IFERROR(__xludf.DUMMYFUNCTION("""COMPUTED_VALUE"""),1047.6)</f>
        <v>1047.6</v>
      </c>
      <c r="E81" s="13">
        <f>IFERROR(__xludf.DUMMYFUNCTION("""COMPUTED_VALUE"""),151.902)</f>
        <v>151.902</v>
      </c>
      <c r="F81" s="13">
        <f>IFERROR(__xludf.DUMMYFUNCTION("""COMPUTED_VALUE"""),86.4)</f>
        <v>86.4</v>
      </c>
      <c r="G81" s="13"/>
      <c r="H81" s="14" t="str">
        <f>IFERROR(__xludf.DUMMYFUNCTION("""COMPUTED_VALUE"""),"")</f>
        <v/>
      </c>
      <c r="I81" s="28">
        <f>IFERROR(__xludf.DUMMYFUNCTION("""COMPUTED_VALUE"""),2.0)</f>
        <v>2</v>
      </c>
      <c r="J81" s="15" t="str">
        <f>IFERROR(__xludf.DUMMYFUNCTION("""COMPUTED_VALUE"""),"Maliyet eksik")</f>
        <v>Maliyet eksik</v>
      </c>
      <c r="K81" s="17" t="str">
        <f>IFERROR(__xludf.DUMMYFUNCTION("""COMPUTED_VALUE"""),"")</f>
        <v/>
      </c>
      <c r="L81" s="17" t="str">
        <f>IFERROR(__xludf.DUMMYFUNCTION("""COMPUTED_VALUE"""),"Maliyet/desi/komisyon tamamla")</f>
        <v>Maliyet/desi/komisyon tamamla</v>
      </c>
    </row>
    <row r="82">
      <c r="A82" s="2">
        <f>IFERROR(__xludf.DUMMYFUNCTION("""COMPUTED_VALUE"""),8.005852171054E12)</f>
        <v>8005852171054</v>
      </c>
      <c r="B82" s="17" t="str">
        <f>IFERROR(__xludf.DUMMYFUNCTION("""COMPUTED_VALUE"""),"Schesir")</f>
        <v>Schesir</v>
      </c>
      <c r="C82" s="17" t="str">
        <f>IFERROR(__xludf.DUMMYFUNCTION("""COMPUTED_VALUE"""),"Jelly Ton Balıklı ve Levrekli Pouch Kedi Konservesi 85 Gr")</f>
        <v>Jelly Ton Balıklı ve Levrekli Pouch Kedi Konservesi 85 Gr</v>
      </c>
      <c r="D82" s="13">
        <f>IFERROR(__xludf.DUMMYFUNCTION("""COMPUTED_VALUE"""),259.0)</f>
        <v>259</v>
      </c>
      <c r="E82" s="13">
        <f>IFERROR(__xludf.DUMMYFUNCTION("""COMPUTED_VALUE"""),42.735)</f>
        <v>42.735</v>
      </c>
      <c r="F82" s="13">
        <f>IFERROR(__xludf.DUMMYFUNCTION("""COMPUTED_VALUE"""),90.0)</f>
        <v>90</v>
      </c>
      <c r="G82" s="13"/>
      <c r="H82" s="14" t="str">
        <f>IFERROR(__xludf.DUMMYFUNCTION("""COMPUTED_VALUE"""),"")</f>
        <v/>
      </c>
      <c r="I82" s="28">
        <f>IFERROR(__xludf.DUMMYFUNCTION("""COMPUTED_VALUE"""),3.0)</f>
        <v>3</v>
      </c>
      <c r="J82" s="15" t="str">
        <f>IFERROR(__xludf.DUMMYFUNCTION("""COMPUTED_VALUE"""),"Maliyet eksik")</f>
        <v>Maliyet eksik</v>
      </c>
      <c r="K82" s="17" t="str">
        <f>IFERROR(__xludf.DUMMYFUNCTION("""COMPUTED_VALUE"""),"")</f>
        <v/>
      </c>
      <c r="L82" s="17" t="str">
        <f>IFERROR(__xludf.DUMMYFUNCTION("""COMPUTED_VALUE"""),"Maliyet/desi/komisyon tamamla")</f>
        <v>Maliyet/desi/komisyon tamamla</v>
      </c>
    </row>
    <row r="83">
      <c r="A83" s="2"/>
      <c r="D83" s="13"/>
      <c r="E83" s="13"/>
      <c r="F83" s="13"/>
      <c r="G83" s="13"/>
      <c r="H83" s="14"/>
      <c r="I83" s="28"/>
      <c r="J83" s="15"/>
    </row>
    <row r="84">
      <c r="A84" s="2"/>
      <c r="D84" s="13"/>
      <c r="E84" s="13"/>
      <c r="F84" s="13"/>
      <c r="G84" s="13"/>
      <c r="H84" s="14"/>
      <c r="I84" s="28"/>
      <c r="J84" s="15"/>
    </row>
    <row r="85">
      <c r="A85" s="2"/>
      <c r="D85" s="13"/>
      <c r="E85" s="13"/>
      <c r="F85" s="13"/>
      <c r="G85" s="13"/>
      <c r="H85" s="14"/>
      <c r="I85" s="28"/>
      <c r="J85" s="15"/>
    </row>
    <row r="86">
      <c r="A86" s="2"/>
      <c r="D86" s="14"/>
      <c r="E86" s="14"/>
      <c r="F86" s="14"/>
      <c r="G86" s="14"/>
      <c r="I86" s="34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</sheetData>
  <mergeCells count="1">
    <mergeCell ref="A1:K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38</v>
      </c>
    </row>
    <row r="2">
      <c r="A2" s="2"/>
    </row>
    <row r="3">
      <c r="A3" s="3" t="s">
        <v>39</v>
      </c>
      <c r="B3" s="8"/>
      <c r="C3" s="8"/>
      <c r="D3" s="8"/>
      <c r="E3" s="8"/>
      <c r="F3" s="8"/>
      <c r="G3" s="8"/>
      <c r="H3" s="8"/>
      <c r="I3" s="8"/>
    </row>
    <row r="4">
      <c r="A4" s="9" t="s">
        <v>19</v>
      </c>
      <c r="B4" s="11" t="s">
        <v>20</v>
      </c>
      <c r="C4" s="11" t="s">
        <v>21</v>
      </c>
      <c r="D4" s="11" t="s">
        <v>22</v>
      </c>
      <c r="E4" s="11" t="s">
        <v>40</v>
      </c>
      <c r="F4" s="11" t="s">
        <v>41</v>
      </c>
      <c r="G4" s="11" t="s">
        <v>28</v>
      </c>
      <c r="H4" s="11" t="s">
        <v>29</v>
      </c>
      <c r="I4" s="23"/>
    </row>
    <row r="5">
      <c r="A5" s="2">
        <f>IFERROR(__xludf.DUMMYFUNCTION("SORTN(FILTER({'BuyBox Karlilik'!A2:D300,'BuyBox Karlilik'!K2:L300,'BuyBox Karlilik'!T2:U300},'BuyBox Karlilik'!T2:T300=""ZARAR""),20,0,5,TRUE)"),3.5585494029E10)</f>
        <v>35585494029</v>
      </c>
      <c r="B5" s="17" t="str">
        <f>IFERROR(__xludf.DUMMYFUNCTION("""COMPUTED_VALUE"""),"Kong")</f>
        <v>Kong</v>
      </c>
      <c r="C5" s="28" t="str">
        <f>IFERROR(__xludf.DUMMYFUNCTION("""COMPUTED_VALUE"""),"KONGSİGNATURE STİCKÇUBUK ŞEKLİNDEKÖPEKOYUNCAĞI M")</f>
        <v>KONGSİGNATURE STİCKÇUBUK ŞEKLİNDEKÖPEKOYUNCAĞI M</v>
      </c>
      <c r="D5" s="13">
        <f>IFERROR(__xludf.DUMMYFUNCTION("""COMPUTED_VALUE"""),880.0)</f>
        <v>880</v>
      </c>
      <c r="E5" s="13">
        <f>IFERROR(__xludf.DUMMYFUNCTION("""COMPUTED_VALUE"""),-263.32333333333327)</f>
        <v>-263.3233333</v>
      </c>
      <c r="F5" s="15">
        <f>IFERROR(__xludf.DUMMYFUNCTION("""COMPUTED_VALUE"""),-0.29923106060606053)</f>
        <v>-0.2992310606</v>
      </c>
      <c r="G5" s="17" t="str">
        <f>IFERROR(__xludf.DUMMYFUNCTION("""COMPUTED_VALUE"""),"ZARAR")</f>
        <v>ZARAR</v>
      </c>
      <c r="H5" s="17" t="str">
        <f>IFERROR(__xludf.DUMMYFUNCTION("""COMPUTED_VALUE"""),"Fiyat, maliyet veya kampanya kontrol et")</f>
        <v>Fiyat, maliyet veya kampanya kontrol et</v>
      </c>
    </row>
    <row r="6">
      <c r="A6" s="2">
        <f>IFERROR(__xludf.DUMMYFUNCTION("""COMPUTED_VALUE"""),9.003579008485E12)</f>
        <v>9003579008485</v>
      </c>
      <c r="B6" s="17" t="str">
        <f>IFERROR(__xludf.DUMMYFUNCTION("""COMPUTED_VALUE"""),"Royal Canin")</f>
        <v>Royal Canin</v>
      </c>
      <c r="C6" s="28" t="str">
        <f>IFERROR(__xludf.DUMMYFUNCTION("""COMPUTED_VALUE"""),"Maxi Adult Gravy Yetişkin Köpek Konservesi 10 Adet 140 Gr")</f>
        <v>Maxi Adult Gravy Yetişkin Köpek Konservesi 10 Adet 140 Gr</v>
      </c>
      <c r="D6" s="13">
        <f>IFERROR(__xludf.DUMMYFUNCTION("""COMPUTED_VALUE"""),465.0)</f>
        <v>465</v>
      </c>
      <c r="E6" s="13">
        <f>IFERROR(__xludf.DUMMYFUNCTION("""COMPUTED_VALUE"""),-233.34999999999997)</f>
        <v>-233.35</v>
      </c>
      <c r="F6" s="15">
        <f>IFERROR(__xludf.DUMMYFUNCTION("""COMPUTED_VALUE"""),-0.5018279569892472)</f>
        <v>-0.501827957</v>
      </c>
      <c r="G6" s="17" t="str">
        <f>IFERROR(__xludf.DUMMYFUNCTION("""COMPUTED_VALUE"""),"ZARAR")</f>
        <v>ZARAR</v>
      </c>
      <c r="H6" s="17" t="str">
        <f>IFERROR(__xludf.DUMMYFUNCTION("""COMPUTED_VALUE"""),"Fiyat, maliyet veya kampanya kontrol et")</f>
        <v>Fiyat, maliyet veya kampanya kontrol et</v>
      </c>
    </row>
    <row r="7">
      <c r="A7" s="2" t="str">
        <f>IFERROR(__xludf.DUMMYFUNCTION("""COMPUTED_VALUE"""),"TY988899455015287")</f>
        <v>TY988899455015287</v>
      </c>
      <c r="B7" s="17" t="str">
        <f>IFERROR(__xludf.DUMMYFUNCTION("""COMPUTED_VALUE"""),"Royal Canin")</f>
        <v>Royal Canin</v>
      </c>
      <c r="C7" s="28" t="str">
        <f>IFERROR(__xludf.DUMMYFUNCTION("""COMPUTED_VALUE"""),"Mini Starter Mother &amp; Babydog Anne ve Yavru Köpek Maması 4kg")</f>
        <v>Mini Starter Mother &amp; Babydog Anne ve Yavru Köpek Maması 4kg</v>
      </c>
      <c r="D7" s="13">
        <f>IFERROR(__xludf.DUMMYFUNCTION("""COMPUTED_VALUE"""),1555.99)</f>
        <v>1555.99</v>
      </c>
      <c r="E7" s="13">
        <f>IFERROR(__xludf.DUMMYFUNCTION("""COMPUTED_VALUE"""),-227.86974333333336)</f>
        <v>-227.8697433</v>
      </c>
      <c r="F7" s="15">
        <f>IFERROR(__xludf.DUMMYFUNCTION("""COMPUTED_VALUE"""),-0.14644679164604743)</f>
        <v>-0.1464467916</v>
      </c>
      <c r="G7" s="17" t="str">
        <f>IFERROR(__xludf.DUMMYFUNCTION("""COMPUTED_VALUE"""),"ZARAR")</f>
        <v>ZARAR</v>
      </c>
      <c r="H7" s="17" t="str">
        <f>IFERROR(__xludf.DUMMYFUNCTION("""COMPUTED_VALUE"""),"Fiyat, maliyet veya kampanya kontrol et")</f>
        <v>Fiyat, maliyet veya kampanya kontrol et</v>
      </c>
    </row>
    <row r="8">
      <c r="A8" s="2" t="str">
        <f>IFERROR(__xludf.DUMMYFUNCTION("""COMPUTED_VALUE"""),"TYBUPYD47K660EFG52")</f>
        <v>TYBUPYD47K660EFG52</v>
      </c>
      <c r="B8" s="17" t="str">
        <f>IFERROR(__xludf.DUMMYFUNCTION("""COMPUTED_VALUE"""),"Hill's")</f>
        <v>Hill's</v>
      </c>
      <c r="C8" s="28" t="str">
        <f>IFERROR(__xludf.DUMMYFUNCTION("""COMPUTED_VALUE"""),"Hills Sterilised Somon Kısır Kedi Maması 10 Kg")</f>
        <v>Hills Sterilised Somon Kısır Kedi Maması 10 Kg</v>
      </c>
      <c r="D8" s="13">
        <f>IFERROR(__xludf.DUMMYFUNCTION("""COMPUTED_VALUE"""),4399.72)</f>
        <v>4399.72</v>
      </c>
      <c r="E8" s="13">
        <f>IFERROR(__xludf.DUMMYFUNCTION("""COMPUTED_VALUE"""),-190.09933333333322)</f>
        <v>-190.0993333</v>
      </c>
      <c r="F8" s="15">
        <f>IFERROR(__xludf.DUMMYFUNCTION("""COMPUTED_VALUE"""),-0.043207143484888404)</f>
        <v>-0.04320714348</v>
      </c>
      <c r="G8" s="17" t="str">
        <f>IFERROR(__xludf.DUMMYFUNCTION("""COMPUTED_VALUE"""),"ZARAR")</f>
        <v>ZARAR</v>
      </c>
      <c r="H8" s="17" t="str">
        <f>IFERROR(__xludf.DUMMYFUNCTION("""COMPUTED_VALUE"""),"Fiyat, maliyet veya kampanya kontrol et")</f>
        <v>Fiyat, maliyet veya kampanya kontrol et</v>
      </c>
    </row>
    <row r="9">
      <c r="A9" s="2">
        <f>IFERROR(__xludf.DUMMYFUNCTION("""COMPUTED_VALUE"""),6.13033566523E11)</f>
        <v>613033566523</v>
      </c>
      <c r="B9" s="17" t="str">
        <f>IFERROR(__xludf.DUMMYFUNCTION("""COMPUTED_VALUE"""),"Pro Plan")</f>
        <v>Pro Plan</v>
      </c>
      <c r="C9" s="28" t="str">
        <f>IFERROR(__xludf.DUMMYFUNCTION("""COMPUTED_VALUE"""),"Kısırlaştırılmış Somonlu Kedi Maması 10 Kg")</f>
        <v>Kısırlaştırılmış Somonlu Kedi Maması 10 Kg</v>
      </c>
      <c r="D9" s="13">
        <f>IFERROR(__xludf.DUMMYFUNCTION("""COMPUTED_VALUE"""),3998.0)</f>
        <v>3998</v>
      </c>
      <c r="E9" s="13">
        <f>IFERROR(__xludf.DUMMYFUNCTION("""COMPUTED_VALUE"""),-182.99666666666644)</f>
        <v>-182.9966667</v>
      </c>
      <c r="F9" s="15">
        <f>IFERROR(__xludf.DUMMYFUNCTION("""COMPUTED_VALUE"""),-0.04577205269301312)</f>
        <v>-0.04577205269</v>
      </c>
      <c r="G9" s="17" t="str">
        <f>IFERROR(__xludf.DUMMYFUNCTION("""COMPUTED_VALUE"""),"ZARAR")</f>
        <v>ZARAR</v>
      </c>
      <c r="H9" s="17" t="str">
        <f>IFERROR(__xludf.DUMMYFUNCTION("""COMPUTED_VALUE"""),"Fiyat, maliyet veya kampanya kontrol et")</f>
        <v>Fiyat, maliyet veya kampanya kontrol et</v>
      </c>
    </row>
    <row r="10">
      <c r="A10" s="2">
        <f>IFERROR(__xludf.DUMMYFUNCTION("""COMPUTED_VALUE"""),7.613033566523E12)</f>
        <v>7613033566523</v>
      </c>
      <c r="B10" s="17" t="str">
        <f>IFERROR(__xludf.DUMMYFUNCTION("""COMPUTED_VALUE"""),"Pro Plan")</f>
        <v>Pro Plan</v>
      </c>
      <c r="C10" s="28" t="str">
        <f>IFERROR(__xludf.DUMMYFUNCTION("""COMPUTED_VALUE"""),"Sterilised Kısırlaştırılmış Somonlu Kedi Maması 10 KG")</f>
        <v>Sterilised Kısırlaştırılmış Somonlu Kedi Maması 10 KG</v>
      </c>
      <c r="D10" s="13">
        <f>IFERROR(__xludf.DUMMYFUNCTION("""COMPUTED_VALUE"""),4000.0)</f>
        <v>4000</v>
      </c>
      <c r="E10" s="13">
        <f>IFERROR(__xludf.DUMMYFUNCTION("""COMPUTED_VALUE"""),-180.5033333333329)</f>
        <v>-180.5033333</v>
      </c>
      <c r="F10" s="15">
        <f>IFERROR(__xludf.DUMMYFUNCTION("""COMPUTED_VALUE"""),-0.045125833333333226)</f>
        <v>-0.04512583333</v>
      </c>
      <c r="G10" s="17" t="str">
        <f>IFERROR(__xludf.DUMMYFUNCTION("""COMPUTED_VALUE"""),"ZARAR")</f>
        <v>ZARAR</v>
      </c>
      <c r="H10" s="17" t="str">
        <f>IFERROR(__xludf.DUMMYFUNCTION("""COMPUTED_VALUE"""),"Fiyat, maliyet veya kampanya kontrol et")</f>
        <v>Fiyat, maliyet veya kampanya kontrol et</v>
      </c>
    </row>
    <row r="11">
      <c r="A11" s="2">
        <f>IFERROR(__xludf.DUMMYFUNCTION("""COMPUTED_VALUE"""),9.003579308745E12)</f>
        <v>9003579308745</v>
      </c>
      <c r="B11" s="17" t="str">
        <f>IFERROR(__xludf.DUMMYFUNCTION("""COMPUTED_VALUE"""),"Royal Canin")</f>
        <v>Royal Canin</v>
      </c>
      <c r="C11" s="28" t="str">
        <f>IFERROR(__xludf.DUMMYFUNCTION("""COMPUTED_VALUE"""),"Gravy Yavru Kedi Konservesi 85 gr 12 Adet")</f>
        <v>Gravy Yavru Kedi Konservesi 85 gr 12 Adet</v>
      </c>
      <c r="D11" s="13">
        <f>IFERROR(__xludf.DUMMYFUNCTION("""COMPUTED_VALUE"""),559.0)</f>
        <v>559</v>
      </c>
      <c r="E11" s="13">
        <f>IFERROR(__xludf.DUMMYFUNCTION("""COMPUTED_VALUE"""),-145.49233333333333)</f>
        <v>-145.4923333</v>
      </c>
      <c r="F11" s="15">
        <f>IFERROR(__xludf.DUMMYFUNCTION("""COMPUTED_VALUE"""),-0.26027251043530114)</f>
        <v>-0.2602725104</v>
      </c>
      <c r="G11" s="17" t="str">
        <f>IFERROR(__xludf.DUMMYFUNCTION("""COMPUTED_VALUE"""),"ZARAR")</f>
        <v>ZARAR</v>
      </c>
      <c r="H11" s="17" t="str">
        <f>IFERROR(__xludf.DUMMYFUNCTION("""COMPUTED_VALUE"""),"Fiyat, maliyet veya kampanya kontrol et")</f>
        <v>Fiyat, maliyet veya kampanya kontrol et</v>
      </c>
    </row>
    <row r="12">
      <c r="A12" s="2">
        <f>IFERROR(__xludf.DUMMYFUNCTION("""COMPUTED_VALUE"""),9.003579308738E12)</f>
        <v>9003579308738</v>
      </c>
      <c r="B12" s="17" t="str">
        <f>IFERROR(__xludf.DUMMYFUNCTION("""COMPUTED_VALUE"""),"Royal Canin")</f>
        <v>Royal Canin</v>
      </c>
      <c r="C12" s="28" t="str">
        <f>IFERROR(__xludf.DUMMYFUNCTION("""COMPUTED_VALUE"""),"Instinctive Yaş Kedi Maması 12 x 85g")</f>
        <v>Instinctive Yaş Kedi Maması 12 x 85g</v>
      </c>
      <c r="D12" s="13">
        <f>IFERROR(__xludf.DUMMYFUNCTION("""COMPUTED_VALUE"""),527.09)</f>
        <v>527.09</v>
      </c>
      <c r="E12" s="13">
        <f>IFERROR(__xludf.DUMMYFUNCTION("""COMPUTED_VALUE"""),-123.05961666666659)</f>
        <v>-123.0596167</v>
      </c>
      <c r="F12" s="15">
        <f>IFERROR(__xludf.DUMMYFUNCTION("""COMPUTED_VALUE"""),-0.23346983753565156)</f>
        <v>-0.2334698375</v>
      </c>
      <c r="G12" s="17" t="str">
        <f>IFERROR(__xludf.DUMMYFUNCTION("""COMPUTED_VALUE"""),"ZARAR")</f>
        <v>ZARAR</v>
      </c>
      <c r="H12" s="17" t="str">
        <f>IFERROR(__xludf.DUMMYFUNCTION("""COMPUTED_VALUE"""),"Fiyat, maliyet veya kampanya kontrol et")</f>
        <v>Fiyat, maliyet veya kampanya kontrol et</v>
      </c>
    </row>
    <row r="13">
      <c r="A13" s="2" t="str">
        <f>IFERROR(__xludf.DUMMYFUNCTION("""COMPUTED_VALUE"""),"HBCV0000CCFV8V")</f>
        <v>HBCV0000CCFV8V</v>
      </c>
      <c r="B13" s="17" t="str">
        <f>IFERROR(__xludf.DUMMYFUNCTION("""COMPUTED_VALUE"""),"Pro Plan")</f>
        <v>Pro Plan</v>
      </c>
      <c r="C13" s="28" t="str">
        <f>IFERROR(__xludf.DUMMYFUNCTION("""COMPUTED_VALUE"""),"Kitten Yavru Kedi Kuru Maması 400 gr 4 Adet")</f>
        <v>Kitten Yavru Kedi Kuru Maması 400 gr 4 Adet</v>
      </c>
      <c r="D13" s="13">
        <f>IFERROR(__xludf.DUMMYFUNCTION("""COMPUTED_VALUE"""),650.0)</f>
        <v>650</v>
      </c>
      <c r="E13" s="13">
        <f>IFERROR(__xludf.DUMMYFUNCTION("""COMPUTED_VALUE"""),-119.85666666666667)</f>
        <v>-119.8566667</v>
      </c>
      <c r="F13" s="15">
        <f>IFERROR(__xludf.DUMMYFUNCTION("""COMPUTED_VALUE"""),-0.1843948717948718)</f>
        <v>-0.1843948718</v>
      </c>
      <c r="G13" s="17" t="str">
        <f>IFERROR(__xludf.DUMMYFUNCTION("""COMPUTED_VALUE"""),"ZARAR")</f>
        <v>ZARAR</v>
      </c>
      <c r="H13" s="17" t="str">
        <f>IFERROR(__xludf.DUMMYFUNCTION("""COMPUTED_VALUE"""),"Fiyat, maliyet veya kampanya kontrol et")</f>
        <v>Fiyat, maliyet veya kampanya kontrol et</v>
      </c>
    </row>
    <row r="14">
      <c r="A14" s="2">
        <f>IFERROR(__xludf.DUMMYFUNCTION("""COMPUTED_VALUE"""),9.003579013748E12)</f>
        <v>9003579013748</v>
      </c>
      <c r="B14" s="17" t="str">
        <f>IFERROR(__xludf.DUMMYFUNCTION("""COMPUTED_VALUE"""),"Royal Canin")</f>
        <v>Royal Canin</v>
      </c>
      <c r="C14" s="28" t="str">
        <f>IFERROR(__xludf.DUMMYFUNCTION("""COMPUTED_VALUE"""),"Köpek Mama Pomeranian Köpek Konserve 12X85GR")</f>
        <v>Köpek Mama Pomeranian Köpek Konserve 12X85GR</v>
      </c>
      <c r="D14" s="13">
        <f>IFERROR(__xludf.DUMMYFUNCTION("""COMPUTED_VALUE"""),540.0)</f>
        <v>540</v>
      </c>
      <c r="E14" s="13">
        <f>IFERROR(__xludf.DUMMYFUNCTION("""COMPUTED_VALUE"""),-118.78999999999996)</f>
        <v>-118.79</v>
      </c>
      <c r="F14" s="15">
        <f>IFERROR(__xludf.DUMMYFUNCTION("""COMPUTED_VALUE"""),-0.21998148148148142)</f>
        <v>-0.2199814815</v>
      </c>
      <c r="G14" s="17" t="str">
        <f>IFERROR(__xludf.DUMMYFUNCTION("""COMPUTED_VALUE"""),"ZARAR")</f>
        <v>ZARAR</v>
      </c>
      <c r="H14" s="17" t="str">
        <f>IFERROR(__xludf.DUMMYFUNCTION("""COMPUTED_VALUE"""),"Fiyat, maliyet veya kampanya kontrol et")</f>
        <v>Fiyat, maliyet veya kampanya kontrol et</v>
      </c>
    </row>
    <row r="15">
      <c r="A15" s="2">
        <f>IFERROR(__xludf.DUMMYFUNCTION("""COMPUTED_VALUE"""),8.684207638772E12)</f>
        <v>8684207638772</v>
      </c>
      <c r="B15" s="17" t="str">
        <f>IFERROR(__xludf.DUMMYFUNCTION("""COMPUTED_VALUE"""),"Supreme Cat")</f>
        <v>Supreme Cat</v>
      </c>
      <c r="C15" s="28" t="str">
        <f>IFERROR(__xludf.DUMMYFUNCTION("""COMPUTED_VALUE"""),"Ördek &amp; Somon Kıyılmış Konserve Kedi Yaş Maması 85 gr")</f>
        <v>Ördek &amp; Somon Kıyılmış Konserve Kedi Yaş Maması 85 gr</v>
      </c>
      <c r="D15" s="13">
        <f>IFERROR(__xludf.DUMMYFUNCTION("""COMPUTED_VALUE"""),594.0)</f>
        <v>594</v>
      </c>
      <c r="E15" s="13">
        <f>IFERROR(__xludf.DUMMYFUNCTION("""COMPUTED_VALUE"""),-112.14999999999999)</f>
        <v>-112.15</v>
      </c>
      <c r="F15" s="15">
        <f>IFERROR(__xludf.DUMMYFUNCTION("""COMPUTED_VALUE"""),-0.18880471380471378)</f>
        <v>-0.1888047138</v>
      </c>
      <c r="G15" s="17" t="str">
        <f>IFERROR(__xludf.DUMMYFUNCTION("""COMPUTED_VALUE"""),"ZARAR")</f>
        <v>ZARAR</v>
      </c>
      <c r="H15" s="17" t="str">
        <f>IFERROR(__xludf.DUMMYFUNCTION("""COMPUTED_VALUE"""),"Fiyat, maliyet veya kampanya kontrol et")</f>
        <v>Fiyat, maliyet veya kampanya kontrol et</v>
      </c>
    </row>
    <row r="16">
      <c r="A16" s="2">
        <f>IFERROR(__xludf.DUMMYFUNCTION("""COMPUTED_VALUE"""),7.613033566387E12)</f>
        <v>7613033566387</v>
      </c>
      <c r="B16" s="17" t="str">
        <f>IFERROR(__xludf.DUMMYFUNCTION("""COMPUTED_VALUE"""),"Pro Plan")</f>
        <v>Pro Plan</v>
      </c>
      <c r="C16" s="28" t="str">
        <f>IFERROR(__xludf.DUMMYFUNCTION("""COMPUTED_VALUE"""),"Renal Plus Sterilised, Somonlu Kısırlaştırılmış Kedi Maması 1.5 Kg")</f>
        <v>Renal Plus Sterilised, Somonlu Kısırlaştırılmış Kedi Maması 1.5 Kg</v>
      </c>
      <c r="D16" s="13">
        <f>IFERROR(__xludf.DUMMYFUNCTION("""COMPUTED_VALUE"""),781.3)</f>
        <v>781.3</v>
      </c>
      <c r="E16" s="13">
        <f>IFERROR(__xludf.DUMMYFUNCTION("""COMPUTED_VALUE"""),-107.15523333333341)</f>
        <v>-107.1552333</v>
      </c>
      <c r="F16" s="15">
        <f>IFERROR(__xludf.DUMMYFUNCTION("""COMPUTED_VALUE"""),-0.1371499210717182)</f>
        <v>-0.1371499211</v>
      </c>
      <c r="G16" s="17" t="str">
        <f>IFERROR(__xludf.DUMMYFUNCTION("""COMPUTED_VALUE"""),"ZARAR")</f>
        <v>ZARAR</v>
      </c>
      <c r="H16" s="17" t="str">
        <f>IFERROR(__xludf.DUMMYFUNCTION("""COMPUTED_VALUE"""),"Fiyat, maliyet veya kampanya kontrol et")</f>
        <v>Fiyat, maliyet veya kampanya kontrol et</v>
      </c>
    </row>
    <row r="17">
      <c r="A17" s="2">
        <f>IFERROR(__xludf.DUMMYFUNCTION("""COMPUTED_VALUE"""),7.613033560033E12)</f>
        <v>7613033560033</v>
      </c>
      <c r="B17" s="17" t="str">
        <f>IFERROR(__xludf.DUMMYFUNCTION("""COMPUTED_VALUE"""),"Pro Plan")</f>
        <v>Pro Plan</v>
      </c>
      <c r="C17" s="28" t="str">
        <f>IFERROR(__xludf.DUMMYFUNCTION("""COMPUTED_VALUE"""),"Sterilised Hindi-Tavuk Kısırlaştırılmış Kedi Maması 3 Kg")</f>
        <v>Sterilised Hindi-Tavuk Kısırlaştırılmış Kedi Maması 3 Kg</v>
      </c>
      <c r="D17" s="13">
        <f>IFERROR(__xludf.DUMMYFUNCTION("""COMPUTED_VALUE"""),1299.0)</f>
        <v>1299</v>
      </c>
      <c r="E17" s="13">
        <f>IFERROR(__xludf.DUMMYFUNCTION("""COMPUTED_VALUE"""),-96.92500000000008)</f>
        <v>-96.925</v>
      </c>
      <c r="F17" s="15">
        <f>IFERROR(__xludf.DUMMYFUNCTION("""COMPUTED_VALUE"""),-0.07461508852963825)</f>
        <v>-0.07461508853</v>
      </c>
      <c r="G17" s="17" t="str">
        <f>IFERROR(__xludf.DUMMYFUNCTION("""COMPUTED_VALUE"""),"ZARAR")</f>
        <v>ZARAR</v>
      </c>
      <c r="H17" s="17" t="str">
        <f>IFERROR(__xludf.DUMMYFUNCTION("""COMPUTED_VALUE"""),"Fiyat, maliyet veya kampanya kontrol et")</f>
        <v>Fiyat, maliyet veya kampanya kontrol et</v>
      </c>
    </row>
    <row r="18">
      <c r="A18" s="2">
        <f>IFERROR(__xludf.DUMMYFUNCTION("""COMPUTED_VALUE"""),5.274203597E10)</f>
        <v>52742035970</v>
      </c>
      <c r="B18" s="17" t="str">
        <f>IFERROR(__xludf.DUMMYFUNCTION("""COMPUTED_VALUE"""),"Hill's")</f>
        <v>Hill's</v>
      </c>
      <c r="C18" s="28" t="str">
        <f>IFERROR(__xludf.DUMMYFUNCTION("""COMPUTED_VALUE"""),"Hill’s SCIENCE PLAN Sterilised Ördekli Kısırlaştırılmış Kedi Maması 1,5 Kg")</f>
        <v>Hill’s SCIENCE PLAN Sterilised Ördekli Kısırlaştırılmış Kedi Maması 1,5 Kg</v>
      </c>
      <c r="D18" s="13">
        <f>IFERROR(__xludf.DUMMYFUNCTION("""COMPUTED_VALUE"""),1070.0)</f>
        <v>1070</v>
      </c>
      <c r="E18" s="13">
        <f>IFERROR(__xludf.DUMMYFUNCTION("""COMPUTED_VALUE"""),-89.61666666666666)</f>
        <v>-89.61666667</v>
      </c>
      <c r="F18" s="15">
        <f>IFERROR(__xludf.DUMMYFUNCTION("""COMPUTED_VALUE"""),-0.08375389408099689)</f>
        <v>-0.08375389408</v>
      </c>
      <c r="G18" s="17" t="str">
        <f>IFERROR(__xludf.DUMMYFUNCTION("""COMPUTED_VALUE"""),"ZARAR")</f>
        <v>ZARAR</v>
      </c>
      <c r="H18" s="17" t="str">
        <f>IFERROR(__xludf.DUMMYFUNCTION("""COMPUTED_VALUE"""),"Fiyat, maliyet veya kampanya kontrol et")</f>
        <v>Fiyat, maliyet veya kampanya kontrol et</v>
      </c>
    </row>
    <row r="19">
      <c r="A19" s="2">
        <f>IFERROR(__xludf.DUMMYFUNCTION("""COMPUTED_VALUE"""),9.003579008249E12)</f>
        <v>9003579008249</v>
      </c>
      <c r="B19" s="17" t="str">
        <f>IFERROR(__xludf.DUMMYFUNCTION("""COMPUTED_VALUE"""),"Royal Canin")</f>
        <v>Royal Canin</v>
      </c>
      <c r="C19" s="28" t="str">
        <f>IFERROR(__xludf.DUMMYFUNCTION("""COMPUTED_VALUE"""),"Küçük Irklar için Yetişkin Yaş Köpek Maması 12 x 85g")</f>
        <v>Küçük Irklar için Yetişkin Yaş Köpek Maması 12 x 85g</v>
      </c>
      <c r="D19" s="13">
        <f>IFERROR(__xludf.DUMMYFUNCTION("""COMPUTED_VALUE"""),505.0)</f>
        <v>505</v>
      </c>
      <c r="E19" s="13">
        <f>IFERROR(__xludf.DUMMYFUNCTION("""COMPUTED_VALUE"""),-88.12333333333335)</f>
        <v>-88.12333333</v>
      </c>
      <c r="F19" s="15">
        <f>IFERROR(__xludf.DUMMYFUNCTION("""COMPUTED_VALUE"""),-0.17450165016501654)</f>
        <v>-0.1745016502</v>
      </c>
      <c r="G19" s="17" t="str">
        <f>IFERROR(__xludf.DUMMYFUNCTION("""COMPUTED_VALUE"""),"ZARAR")</f>
        <v>ZARAR</v>
      </c>
      <c r="H19" s="17" t="str">
        <f>IFERROR(__xludf.DUMMYFUNCTION("""COMPUTED_VALUE"""),"Fiyat, maliyet veya kampanya kontrol et")</f>
        <v>Fiyat, maliyet veya kampanya kontrol et</v>
      </c>
    </row>
    <row r="20">
      <c r="A20" s="2">
        <f>IFERROR(__xludf.DUMMYFUNCTION("""COMPUTED_VALUE"""),9.003579008201E12)</f>
        <v>9003579008201</v>
      </c>
      <c r="B20" s="17" t="str">
        <f>IFERROR(__xludf.DUMMYFUNCTION("""COMPUTED_VALUE"""),"Royal Canin")</f>
        <v>Royal Canin</v>
      </c>
      <c r="C20" s="28" t="str">
        <f>IFERROR(__xludf.DUMMYFUNCTION("""COMPUTED_VALUE"""),"Küçük Irklar için Yavru Yaş Köpek Maması 12 x 85g")</f>
        <v>Küçük Irklar için Yavru Yaş Köpek Maması 12 x 85g</v>
      </c>
      <c r="D20" s="13">
        <f>IFERROR(__xludf.DUMMYFUNCTION("""COMPUTED_VALUE"""),517.0)</f>
        <v>517</v>
      </c>
      <c r="E20" s="13">
        <f>IFERROR(__xludf.DUMMYFUNCTION("""COMPUTED_VALUE"""),-80.6583333333333)</f>
        <v>-80.65833333</v>
      </c>
      <c r="F20" s="15">
        <f>IFERROR(__xludf.DUMMYFUNCTION("""COMPUTED_VALUE"""),-0.15601225016118628)</f>
        <v>-0.1560122502</v>
      </c>
      <c r="G20" s="17" t="str">
        <f>IFERROR(__xludf.DUMMYFUNCTION("""COMPUTED_VALUE"""),"ZARAR")</f>
        <v>ZARAR</v>
      </c>
      <c r="H20" s="17" t="str">
        <f>IFERROR(__xludf.DUMMYFUNCTION("""COMPUTED_VALUE"""),"Fiyat, maliyet veya kampanya kontrol et")</f>
        <v>Fiyat, maliyet veya kampanya kontrol et</v>
      </c>
    </row>
    <row r="21">
      <c r="A21" s="2">
        <f>IFERROR(__xludf.DUMMYFUNCTION("""COMPUTED_VALUE"""),7.613033568558E12)</f>
        <v>7613033568558</v>
      </c>
      <c r="B21" s="17" t="str">
        <f>IFERROR(__xludf.DUMMYFUNCTION("""COMPUTED_VALUE"""),"Pro Plan")</f>
        <v>Pro Plan</v>
      </c>
      <c r="C21" s="28" t="str">
        <f>IFERROR(__xludf.DUMMYFUNCTION("""COMPUTED_VALUE"""),"Sterilised Somonlu Kısırlaştırılmış Kedi Konservesi 85 Gr")</f>
        <v>Sterilised Somonlu Kısırlaştırılmış Kedi Konservesi 85 Gr</v>
      </c>
      <c r="D21" s="13">
        <f>IFERROR(__xludf.DUMMYFUNCTION("""COMPUTED_VALUE"""),72.0)</f>
        <v>72</v>
      </c>
      <c r="E21" s="13">
        <f>IFERROR(__xludf.DUMMYFUNCTION("""COMPUTED_VALUE"""),-78.19)</f>
        <v>-78.19</v>
      </c>
      <c r="F21" s="15">
        <f>IFERROR(__xludf.DUMMYFUNCTION("""COMPUTED_VALUE"""),-1.0859722222222221)</f>
        <v>-1.085972222</v>
      </c>
      <c r="G21" s="17" t="str">
        <f>IFERROR(__xludf.DUMMYFUNCTION("""COMPUTED_VALUE"""),"ZARAR")</f>
        <v>ZARAR</v>
      </c>
      <c r="H21" s="17" t="str">
        <f>IFERROR(__xludf.DUMMYFUNCTION("""COMPUTED_VALUE"""),"Fiyat, maliyet veya kampanya kontrol et")</f>
        <v>Fiyat, maliyet veya kampanya kontrol et</v>
      </c>
    </row>
    <row r="22">
      <c r="A22" s="2">
        <f>IFERROR(__xludf.DUMMYFUNCTION("""COMPUTED_VALUE"""),9.003579308929E12)</f>
        <v>9003579308929</v>
      </c>
      <c r="B22" s="17" t="str">
        <f>IFERROR(__xludf.DUMMYFUNCTION("""COMPUTED_VALUE"""),"Royal Canin")</f>
        <v>Royal Canin</v>
      </c>
      <c r="C22" s="28" t="str">
        <f>IFERROR(__xludf.DUMMYFUNCTION("""COMPUTED_VALUE"""),"Intense Beauty Gravy Pouch Yetişkin Kedi Konservesi 85 Gr")</f>
        <v>Intense Beauty Gravy Pouch Yetişkin Kedi Konservesi 85 Gr</v>
      </c>
      <c r="D22" s="13">
        <f>IFERROR(__xludf.DUMMYFUNCTION("""COMPUTED_VALUE"""),76.3)</f>
        <v>76.3</v>
      </c>
      <c r="E22" s="13">
        <f>IFERROR(__xludf.DUMMYFUNCTION("""COMPUTED_VALUE"""),-74.46333333333334)</f>
        <v>-74.46333333</v>
      </c>
      <c r="F22" s="15">
        <f>IFERROR(__xludf.DUMMYFUNCTION("""COMPUTED_VALUE"""),-0.9759283529925733)</f>
        <v>-0.975928353</v>
      </c>
      <c r="G22" s="17" t="str">
        <f>IFERROR(__xludf.DUMMYFUNCTION("""COMPUTED_VALUE"""),"ZARAR")</f>
        <v>ZARAR</v>
      </c>
      <c r="H22" s="17" t="str">
        <f>IFERROR(__xludf.DUMMYFUNCTION("""COMPUTED_VALUE"""),"Fiyat, maliyet veya kampanya kontrol et")</f>
        <v>Fiyat, maliyet veya kampanya kontrol et</v>
      </c>
    </row>
    <row r="23">
      <c r="A23" s="2">
        <f>IFERROR(__xludf.DUMMYFUNCTION("""COMPUTED_VALUE"""),9.003579311844E12)</f>
        <v>9003579311844</v>
      </c>
      <c r="B23" s="17" t="str">
        <f>IFERROR(__xludf.DUMMYFUNCTION("""COMPUTED_VALUE"""),"Royal Canin")</f>
        <v>Royal Canin</v>
      </c>
      <c r="C23" s="28" t="str">
        <f>IFERROR(__xludf.DUMMYFUNCTION("""COMPUTED_VALUE"""),"Sterilised Jelly Kısırlaştırılmış Yetişkin Kedi Yaş Maması 85 Gr x 12")</f>
        <v>Sterilised Jelly Kısırlaştırılmış Yetişkin Kedi Yaş Maması 85 Gr x 12</v>
      </c>
      <c r="D23" s="13">
        <f>IFERROR(__xludf.DUMMYFUNCTION("""COMPUTED_VALUE"""),613.0)</f>
        <v>613</v>
      </c>
      <c r="E23" s="13">
        <f>IFERROR(__xludf.DUMMYFUNCTION("""COMPUTED_VALUE"""),-72.32333333333331)</f>
        <v>-72.32333333</v>
      </c>
      <c r="F23" s="15">
        <f>IFERROR(__xludf.DUMMYFUNCTION("""COMPUTED_VALUE"""),-0.11798259923871665)</f>
        <v>-0.1179825992</v>
      </c>
      <c r="G23" s="17" t="str">
        <f>IFERROR(__xludf.DUMMYFUNCTION("""COMPUTED_VALUE"""),"ZARAR")</f>
        <v>ZARAR</v>
      </c>
      <c r="H23" s="17" t="str">
        <f>IFERROR(__xludf.DUMMYFUNCTION("""COMPUTED_VALUE"""),"Fiyat, maliyet veya kampanya kontrol et")</f>
        <v>Fiyat, maliyet veya kampanya kontrol et</v>
      </c>
    </row>
    <row r="24">
      <c r="A24" s="2">
        <f>IFERROR(__xludf.DUMMYFUNCTION("""COMPUTED_VALUE"""),9.003579311301E12)</f>
        <v>9003579311301</v>
      </c>
      <c r="B24" s="17" t="str">
        <f>IFERROR(__xludf.DUMMYFUNCTION("""COMPUTED_VALUE"""),"Royal Canin")</f>
        <v>Royal Canin</v>
      </c>
      <c r="C24" s="28" t="str">
        <f>IFERROR(__xludf.DUMMYFUNCTION("""COMPUTED_VALUE"""),"Sterilised Gravy Yaş Kedi Maması 85 gr")</f>
        <v>Sterilised Gravy Yaş Kedi Maması 85 gr</v>
      </c>
      <c r="D24" s="13">
        <f>IFERROR(__xludf.DUMMYFUNCTION("""COMPUTED_VALUE"""),71.0)</f>
        <v>71</v>
      </c>
      <c r="E24" s="13">
        <f>IFERROR(__xludf.DUMMYFUNCTION("""COMPUTED_VALUE"""),-72.31166666666667)</f>
        <v>-72.31166667</v>
      </c>
      <c r="F24" s="15">
        <f>IFERROR(__xludf.DUMMYFUNCTION("""COMPUTED_VALUE"""),-1.0184741784037559)</f>
        <v>-1.018474178</v>
      </c>
      <c r="G24" s="17" t="str">
        <f>IFERROR(__xludf.DUMMYFUNCTION("""COMPUTED_VALUE"""),"ZARAR")</f>
        <v>ZARAR</v>
      </c>
      <c r="H24" s="17" t="str">
        <f>IFERROR(__xludf.DUMMYFUNCTION("""COMPUTED_VALUE"""),"Fiyat, maliyet veya kampanya kontrol et")</f>
        <v>Fiyat, maliyet veya kampanya kontrol et</v>
      </c>
    </row>
    <row r="25">
      <c r="A25" s="2"/>
      <c r="D25" s="14"/>
      <c r="E25" s="14"/>
      <c r="F25" s="15"/>
    </row>
    <row r="26">
      <c r="A26" s="3" t="s">
        <v>42</v>
      </c>
      <c r="B26" s="8"/>
      <c r="C26" s="8"/>
      <c r="D26" s="16"/>
      <c r="E26" s="16"/>
      <c r="F26" s="18"/>
      <c r="G26" s="8"/>
      <c r="H26" s="8"/>
      <c r="I26" s="8"/>
    </row>
    <row r="27">
      <c r="A27" s="9" t="s">
        <v>19</v>
      </c>
      <c r="B27" s="11" t="s">
        <v>20</v>
      </c>
      <c r="C27" s="11" t="s">
        <v>21</v>
      </c>
      <c r="D27" s="12" t="s">
        <v>22</v>
      </c>
      <c r="E27" s="12" t="s">
        <v>34</v>
      </c>
      <c r="F27" s="10" t="s">
        <v>35</v>
      </c>
      <c r="G27" s="11" t="s">
        <v>36</v>
      </c>
      <c r="H27" s="11" t="s">
        <v>37</v>
      </c>
      <c r="I27" s="11" t="s">
        <v>29</v>
      </c>
    </row>
    <row r="28">
      <c r="A28" s="2">
        <f>IFERROR(__xludf.DUMMYFUNCTION("SORTN(FILTER({'BuyBox Karlilik'!A2:D300,'BuyBox Karlilik'!N2:Q300,'BuyBox Karlilik'!U2:U300},'BuyBox Karlilik'!T2:T300=""EKSİK VERİ""),25,0,1,TRUE)"),4.53481343543E11)</f>
        <v>453481343543</v>
      </c>
      <c r="B28" s="17" t="str">
        <f>IFERROR(__xludf.DUMMYFUNCTION("""COMPUTED_VALUE"""),"Mito")</f>
        <v>Mito</v>
      </c>
      <c r="C28" s="17" t="str">
        <f>IFERROR(__xludf.DUMMYFUNCTION("""COMPUTED_VALUE"""),"La Adult Cat Tavuklu Yetişkin Kedi Maması 15 Kg")</f>
        <v>La Adult Cat Tavuklu Yetişkin Kedi Maması 15 Kg</v>
      </c>
      <c r="D28" s="13">
        <f>IFERROR(__xludf.DUMMYFUNCTION("""COMPUTED_VALUE"""),1700.0)</f>
        <v>1700</v>
      </c>
      <c r="E28" s="14" t="str">
        <f>IFERROR(__xludf.DUMMYFUNCTION("""COMPUTED_VALUE"""),"")</f>
        <v/>
      </c>
      <c r="F28" s="28" t="str">
        <f>IFERROR(__xludf.DUMMYFUNCTION("""COMPUTED_VALUE"""),"")</f>
        <v/>
      </c>
      <c r="G28" s="17" t="str">
        <f>IFERROR(__xludf.DUMMYFUNCTION("""COMPUTED_VALUE"""),"Maliyet eksik")</f>
        <v>Maliyet eksik</v>
      </c>
      <c r="H28" s="17" t="str">
        <f>IFERROR(__xludf.DUMMYFUNCTION("""COMPUTED_VALUE"""),"Desi eksik")</f>
        <v>Desi eksik</v>
      </c>
      <c r="I28" s="17" t="str">
        <f>IFERROR(__xludf.DUMMYFUNCTION("""COMPUTED_VALUE"""),"Maliyet/desi/komisyon tamamla")</f>
        <v>Maliyet/desi/komisyon tamamla</v>
      </c>
    </row>
    <row r="29">
      <c r="A29" s="2">
        <f>IFERROR(__xludf.DUMMYFUNCTION("""COMPUTED_VALUE"""),8.40134695853E11)</f>
        <v>840134695853</v>
      </c>
      <c r="B29" s="17" t="str">
        <f>IFERROR(__xludf.DUMMYFUNCTION("""COMPUTED_VALUE"""),"BARK")</f>
        <v>BARK</v>
      </c>
      <c r="C29" s="17" t="str">
        <f>IFERROR(__xludf.DUMMYFUNCTION("""COMPUTED_VALUE"""),"Starbark Beyaz Bardak Köpek Çiğneme Oyuncak - M/L Boy (Ödül Doldurulabilir)")</f>
        <v>Starbark Beyaz Bardak Köpek Çiğneme Oyuncak - M/L Boy (Ödül Doldurulabilir)</v>
      </c>
      <c r="D29" s="13">
        <f>IFERROR(__xludf.DUMMYFUNCTION("""COMPUTED_VALUE"""),1592.91)</f>
        <v>1592.91</v>
      </c>
      <c r="E29" s="14" t="str">
        <f>IFERROR(__xludf.DUMMYFUNCTION("""COMPUTED_VALUE"""),"")</f>
        <v/>
      </c>
      <c r="F29" s="28">
        <f>IFERROR(__xludf.DUMMYFUNCTION("""COMPUTED_VALUE"""),1.0)</f>
        <v>1</v>
      </c>
      <c r="G29" s="17" t="str">
        <f>IFERROR(__xludf.DUMMYFUNCTION("""COMPUTED_VALUE"""),"Maliyet eksik")</f>
        <v>Maliyet eksik</v>
      </c>
      <c r="H29" s="17" t="str">
        <f>IFERROR(__xludf.DUMMYFUNCTION("""COMPUTED_VALUE"""),"")</f>
        <v/>
      </c>
      <c r="I29" s="17" t="str">
        <f>IFERROR(__xludf.DUMMYFUNCTION("""COMPUTED_VALUE"""),"Maliyet/desi/komisyon tamamla")</f>
        <v>Maliyet/desi/komisyon tamamla</v>
      </c>
    </row>
    <row r="30">
      <c r="A30" s="2">
        <f>IFERROR(__xludf.DUMMYFUNCTION("""COMPUTED_VALUE"""),8.40134695921E11)</f>
        <v>840134695921</v>
      </c>
      <c r="B30" s="17" t="str">
        <f>IFERROR(__xludf.DUMMYFUNCTION("""COMPUTED_VALUE"""),"BARK")</f>
        <v>BARK</v>
      </c>
      <c r="C30" s="17" t="str">
        <f>IFERROR(__xludf.DUMMYFUNCTION("""COMPUTED_VALUE"""),"Flingray Sesli Vatos Köpek Oyuncağı")</f>
        <v>Flingray Sesli Vatos Köpek Oyuncağı</v>
      </c>
      <c r="D30" s="13">
        <f>IFERROR(__xludf.DUMMYFUNCTION("""COMPUTED_VALUE"""),2126.52)</f>
        <v>2126.52</v>
      </c>
      <c r="E30" s="14" t="str">
        <f>IFERROR(__xludf.DUMMYFUNCTION("""COMPUTED_VALUE"""),"")</f>
        <v/>
      </c>
      <c r="F30" s="28">
        <f>IFERROR(__xludf.DUMMYFUNCTION("""COMPUTED_VALUE"""),1.0)</f>
        <v>1</v>
      </c>
      <c r="G30" s="17" t="str">
        <f>IFERROR(__xludf.DUMMYFUNCTION("""COMPUTED_VALUE"""),"Maliyet eksik")</f>
        <v>Maliyet eksik</v>
      </c>
      <c r="H30" s="17" t="str">
        <f>IFERROR(__xludf.DUMMYFUNCTION("""COMPUTED_VALUE"""),"")</f>
        <v/>
      </c>
      <c r="I30" s="17" t="str">
        <f>IFERROR(__xludf.DUMMYFUNCTION("""COMPUTED_VALUE"""),"Maliyet/desi/komisyon tamamla")</f>
        <v>Maliyet/desi/komisyon tamamla</v>
      </c>
    </row>
    <row r="31">
      <c r="A31" s="2">
        <f>IFERROR(__xludf.DUMMYFUNCTION("""COMPUTED_VALUE"""),8.40134695938E11)</f>
        <v>840134695938</v>
      </c>
      <c r="B31" s="17" t="str">
        <f>IFERROR(__xludf.DUMMYFUNCTION("""COMPUTED_VALUE"""),"BARK")</f>
        <v>BARK</v>
      </c>
      <c r="C31" s="17" t="str">
        <f>IFERROR(__xludf.DUMMYFUNCTION("""COMPUTED_VALUE"""),"Hambone Çiğneme Köpek Oyuncağı")</f>
        <v>Hambone Çiğneme Köpek Oyuncağı</v>
      </c>
      <c r="D31" s="13">
        <f>IFERROR(__xludf.DUMMYFUNCTION("""COMPUTED_VALUE"""),1914.66)</f>
        <v>1914.66</v>
      </c>
      <c r="E31" s="14" t="str">
        <f>IFERROR(__xludf.DUMMYFUNCTION("""COMPUTED_VALUE"""),"")</f>
        <v/>
      </c>
      <c r="F31" s="28">
        <f>IFERROR(__xludf.DUMMYFUNCTION("""COMPUTED_VALUE"""),1.0)</f>
        <v>1</v>
      </c>
      <c r="G31" s="17" t="str">
        <f>IFERROR(__xludf.DUMMYFUNCTION("""COMPUTED_VALUE"""),"Maliyet eksik")</f>
        <v>Maliyet eksik</v>
      </c>
      <c r="H31" s="17" t="str">
        <f>IFERROR(__xludf.DUMMYFUNCTION("""COMPUTED_VALUE"""),"")</f>
        <v/>
      </c>
      <c r="I31" s="17" t="str">
        <f>IFERROR(__xludf.DUMMYFUNCTION("""COMPUTED_VALUE"""),"Maliyet/desi/komisyon tamamla")</f>
        <v>Maliyet/desi/komisyon tamamla</v>
      </c>
    </row>
    <row r="32">
      <c r="A32" s="2">
        <f>IFERROR(__xludf.DUMMYFUNCTION("""COMPUTED_VALUE"""),8.40134695983E11)</f>
        <v>840134695983</v>
      </c>
      <c r="B32" s="17" t="str">
        <f>IFERROR(__xludf.DUMMYFUNCTION("""COMPUTED_VALUE"""),"BARK")</f>
        <v>BARK</v>
      </c>
      <c r="C32" s="17" t="str">
        <f>IFERROR(__xludf.DUMMYFUNCTION("""COMPUTED_VALUE"""),"Brtha Sesli Ejderha Köpek Oyuncağı")</f>
        <v>Brtha Sesli Ejderha Köpek Oyuncağı</v>
      </c>
      <c r="D32" s="13">
        <f>IFERROR(__xludf.DUMMYFUNCTION("""COMPUTED_VALUE"""),1286.01)</f>
        <v>1286.01</v>
      </c>
      <c r="E32" s="14" t="str">
        <f>IFERROR(__xludf.DUMMYFUNCTION("""COMPUTED_VALUE"""),"")</f>
        <v/>
      </c>
      <c r="F32" s="28">
        <f>IFERROR(__xludf.DUMMYFUNCTION("""COMPUTED_VALUE"""),1.0)</f>
        <v>1</v>
      </c>
      <c r="G32" s="17" t="str">
        <f>IFERROR(__xludf.DUMMYFUNCTION("""COMPUTED_VALUE"""),"Maliyet eksik")</f>
        <v>Maliyet eksik</v>
      </c>
      <c r="H32" s="17" t="str">
        <f>IFERROR(__xludf.DUMMYFUNCTION("""COMPUTED_VALUE"""),"")</f>
        <v/>
      </c>
      <c r="I32" s="17" t="str">
        <f>IFERROR(__xludf.DUMMYFUNCTION("""COMPUTED_VALUE"""),"Maliyet/desi/komisyon tamamla")</f>
        <v>Maliyet/desi/komisyon tamamla</v>
      </c>
    </row>
    <row r="33">
      <c r="A33" s="2">
        <f>IFERROR(__xludf.DUMMYFUNCTION("""COMPUTED_VALUE"""),8.4013469599E11)</f>
        <v>840134695990</v>
      </c>
      <c r="B33" s="17" t="str">
        <f>IFERROR(__xludf.DUMMYFUNCTION("""COMPUTED_VALUE"""),"BARK")</f>
        <v>BARK</v>
      </c>
      <c r="C33" s="17" t="str">
        <f>IFERROR(__xludf.DUMMYFUNCTION("""COMPUTED_VALUE"""),"Acornucopia Çiğneme Köpek Oyuncağı")</f>
        <v>Acornucopia Çiğneme Köpek Oyuncağı</v>
      </c>
      <c r="D33" s="13">
        <f>IFERROR(__xludf.DUMMYFUNCTION("""COMPUTED_VALUE"""),1583.01)</f>
        <v>1583.01</v>
      </c>
      <c r="E33" s="14" t="str">
        <f>IFERROR(__xludf.DUMMYFUNCTION("""COMPUTED_VALUE"""),"")</f>
        <v/>
      </c>
      <c r="F33" s="28">
        <f>IFERROR(__xludf.DUMMYFUNCTION("""COMPUTED_VALUE"""),1.0)</f>
        <v>1</v>
      </c>
      <c r="G33" s="17" t="str">
        <f>IFERROR(__xludf.DUMMYFUNCTION("""COMPUTED_VALUE"""),"Maliyet eksik")</f>
        <v>Maliyet eksik</v>
      </c>
      <c r="H33" s="17" t="str">
        <f>IFERROR(__xludf.DUMMYFUNCTION("""COMPUTED_VALUE"""),"")</f>
        <v/>
      </c>
      <c r="I33" s="17" t="str">
        <f>IFERROR(__xludf.DUMMYFUNCTION("""COMPUTED_VALUE"""),"Maliyet/desi/komisyon tamamla")</f>
        <v>Maliyet/desi/komisyon tamamla</v>
      </c>
    </row>
    <row r="34">
      <c r="A34" s="2">
        <f>IFERROR(__xludf.DUMMYFUNCTION("""COMPUTED_VALUE"""),8.40134696355E11)</f>
        <v>840134696355</v>
      </c>
      <c r="B34" s="17" t="str">
        <f>IFERROR(__xludf.DUMMYFUNCTION("""COMPUTED_VALUE"""),"BARK")</f>
        <v>BARK</v>
      </c>
      <c r="C34" s="17" t="str">
        <f>IFERROR(__xludf.DUMMYFUNCTION("""COMPUTED_VALUE"""),"Turnt Turp Köpek Oyuncağı")</f>
        <v>Turnt Turp Köpek Oyuncağı</v>
      </c>
      <c r="D34" s="13">
        <f>IFERROR(__xludf.DUMMYFUNCTION("""COMPUTED_VALUE"""),1999.0)</f>
        <v>1999</v>
      </c>
      <c r="E34" s="14" t="str">
        <f>IFERROR(__xludf.DUMMYFUNCTION("""COMPUTED_VALUE"""),"")</f>
        <v/>
      </c>
      <c r="F34" s="28">
        <f>IFERROR(__xludf.DUMMYFUNCTION("""COMPUTED_VALUE"""),1.0)</f>
        <v>1</v>
      </c>
      <c r="G34" s="17" t="str">
        <f>IFERROR(__xludf.DUMMYFUNCTION("""COMPUTED_VALUE"""),"Maliyet eksik")</f>
        <v>Maliyet eksik</v>
      </c>
      <c r="H34" s="17" t="str">
        <f>IFERROR(__xludf.DUMMYFUNCTION("""COMPUTED_VALUE"""),"")</f>
        <v/>
      </c>
      <c r="I34" s="17" t="str">
        <f>IFERROR(__xludf.DUMMYFUNCTION("""COMPUTED_VALUE"""),"Maliyet/desi/komisyon tamamla")</f>
        <v>Maliyet/desi/komisyon tamamla</v>
      </c>
    </row>
    <row r="35">
      <c r="A35" s="2">
        <f>IFERROR(__xludf.DUMMYFUNCTION("""COMPUTED_VALUE"""),8.40134696461E11)</f>
        <v>840134696461</v>
      </c>
      <c r="B35" s="17" t="str">
        <f>IFERROR(__xludf.DUMMYFUNCTION("""COMPUTED_VALUE"""),"BARK")</f>
        <v>BARK</v>
      </c>
      <c r="C35" s="17" t="str">
        <f>IFERROR(__xludf.DUMMYFUNCTION("""COMPUTED_VALUE"""),"Fetch Dal Köpek Oyuncağı")</f>
        <v>Fetch Dal Köpek Oyuncağı</v>
      </c>
      <c r="D35" s="13">
        <f>IFERROR(__xludf.DUMMYFUNCTION("""COMPUTED_VALUE"""),1484.01)</f>
        <v>1484.01</v>
      </c>
      <c r="E35" s="14" t="str">
        <f>IFERROR(__xludf.DUMMYFUNCTION("""COMPUTED_VALUE"""),"")</f>
        <v/>
      </c>
      <c r="F35" s="28">
        <f>IFERROR(__xludf.DUMMYFUNCTION("""COMPUTED_VALUE"""),1.0)</f>
        <v>1</v>
      </c>
      <c r="G35" s="17" t="str">
        <f>IFERROR(__xludf.DUMMYFUNCTION("""COMPUTED_VALUE"""),"Maliyet eksik")</f>
        <v>Maliyet eksik</v>
      </c>
      <c r="H35" s="17" t="str">
        <f>IFERROR(__xludf.DUMMYFUNCTION("""COMPUTED_VALUE"""),"")</f>
        <v/>
      </c>
      <c r="I35" s="17" t="str">
        <f>IFERROR(__xludf.DUMMYFUNCTION("""COMPUTED_VALUE"""),"Maliyet/desi/komisyon tamamla")</f>
        <v>Maliyet/desi/komisyon tamamla</v>
      </c>
    </row>
    <row r="36">
      <c r="A36" s="2">
        <f>IFERROR(__xludf.DUMMYFUNCTION("""COMPUTED_VALUE"""),8.40134696485E11)</f>
        <v>840134696485</v>
      </c>
      <c r="B36" s="17" t="str">
        <f>IFERROR(__xludf.DUMMYFUNCTION("""COMPUTED_VALUE"""),"BARK")</f>
        <v>BARK</v>
      </c>
      <c r="C36" s="17" t="str">
        <f>IFERROR(__xludf.DUMMYFUNCTION("""COMPUTED_VALUE"""),"Beaver Kunduz Köpek Oyuncağı")</f>
        <v>Beaver Kunduz Köpek Oyuncağı</v>
      </c>
      <c r="D36" s="13">
        <f>IFERROR(__xludf.DUMMYFUNCTION("""COMPUTED_VALUE"""),1557.27)</f>
        <v>1557.27</v>
      </c>
      <c r="E36" s="14" t="str">
        <f>IFERROR(__xludf.DUMMYFUNCTION("""COMPUTED_VALUE"""),"")</f>
        <v/>
      </c>
      <c r="F36" s="28">
        <f>IFERROR(__xludf.DUMMYFUNCTION("""COMPUTED_VALUE"""),1.0)</f>
        <v>1</v>
      </c>
      <c r="G36" s="17" t="str">
        <f>IFERROR(__xludf.DUMMYFUNCTION("""COMPUTED_VALUE"""),"Maliyet eksik")</f>
        <v>Maliyet eksik</v>
      </c>
      <c r="H36" s="17" t="str">
        <f>IFERROR(__xludf.DUMMYFUNCTION("""COMPUTED_VALUE"""),"")</f>
        <v/>
      </c>
      <c r="I36" s="17" t="str">
        <f>IFERROR(__xludf.DUMMYFUNCTION("""COMPUTED_VALUE"""),"Maliyet/desi/komisyon tamamla")</f>
        <v>Maliyet/desi/komisyon tamamla</v>
      </c>
    </row>
    <row r="37">
      <c r="A37" s="2">
        <f>IFERROR(__xludf.DUMMYFUNCTION("""COMPUTED_VALUE"""),5.060255492192E12)</f>
        <v>5060255492192</v>
      </c>
      <c r="B37" s="17" t="str">
        <f>IFERROR(__xludf.DUMMYFUNCTION("""COMPUTED_VALUE"""),"Ever Clean")</f>
        <v>Ever Clean</v>
      </c>
      <c r="C37" s="17" t="str">
        <f>IFERROR(__xludf.DUMMYFUNCTION("""COMPUTED_VALUE"""),"Less Pass(PATİLERE YAPIŞMAYAN) Kedi Kumu 10 Lt")</f>
        <v>Less Pass(PATİLERE YAPIŞMAYAN) Kedi Kumu 10 Lt</v>
      </c>
      <c r="D37" s="13">
        <f>IFERROR(__xludf.DUMMYFUNCTION("""COMPUTED_VALUE"""),1000.0)</f>
        <v>1000</v>
      </c>
      <c r="E37" s="14" t="str">
        <f>IFERROR(__xludf.DUMMYFUNCTION("""COMPUTED_VALUE"""),"")</f>
        <v/>
      </c>
      <c r="F37" s="28">
        <f>IFERROR(__xludf.DUMMYFUNCTION("""COMPUTED_VALUE"""),2.0)</f>
        <v>2</v>
      </c>
      <c r="G37" s="17" t="str">
        <f>IFERROR(__xludf.DUMMYFUNCTION("""COMPUTED_VALUE"""),"Maliyet eksik")</f>
        <v>Maliyet eksik</v>
      </c>
      <c r="H37" s="17" t="str">
        <f>IFERROR(__xludf.DUMMYFUNCTION("""COMPUTED_VALUE"""),"")</f>
        <v/>
      </c>
      <c r="I37" s="17" t="str">
        <f>IFERROR(__xludf.DUMMYFUNCTION("""COMPUTED_VALUE"""),"Maliyet/desi/komisyon tamamla")</f>
        <v>Maliyet/desi/komisyon tamamla</v>
      </c>
    </row>
    <row r="38">
      <c r="A38" s="2">
        <f>IFERROR(__xludf.DUMMYFUNCTION("""COMPUTED_VALUE"""),5.060255492253E12)</f>
        <v>5060255492253</v>
      </c>
      <c r="B38" s="17" t="str">
        <f>IFERROR(__xludf.DUMMYFUNCTION("""COMPUTED_VALUE"""),"Ever Clean")</f>
        <v>Ever Clean</v>
      </c>
      <c r="C38" s="17" t="str">
        <f>IFERROR(__xludf.DUMMYFUNCTION("""COMPUTED_VALUE"""),"Multiple Cat Kedi Kumu 10 Lt")</f>
        <v>Multiple Cat Kedi Kumu 10 Lt</v>
      </c>
      <c r="D38" s="13">
        <f>IFERROR(__xludf.DUMMYFUNCTION("""COMPUTED_VALUE"""),1124.1)</f>
        <v>1124.1</v>
      </c>
      <c r="E38" s="14" t="str">
        <f>IFERROR(__xludf.DUMMYFUNCTION("""COMPUTED_VALUE"""),"")</f>
        <v/>
      </c>
      <c r="F38" s="28">
        <f>IFERROR(__xludf.DUMMYFUNCTION("""COMPUTED_VALUE"""),2.0)</f>
        <v>2</v>
      </c>
      <c r="G38" s="17" t="str">
        <f>IFERROR(__xludf.DUMMYFUNCTION("""COMPUTED_VALUE"""),"Maliyet eksik")</f>
        <v>Maliyet eksik</v>
      </c>
      <c r="H38" s="17" t="str">
        <f>IFERROR(__xludf.DUMMYFUNCTION("""COMPUTED_VALUE"""),"")</f>
        <v/>
      </c>
      <c r="I38" s="17" t="str">
        <f>IFERROR(__xludf.DUMMYFUNCTION("""COMPUTED_VALUE"""),"Maliyet/desi/komisyon tamamla")</f>
        <v>Maliyet/desi/komisyon tamamla</v>
      </c>
    </row>
    <row r="39">
      <c r="A39" s="2">
        <f>IFERROR(__xludf.DUMMYFUNCTION("""COMPUTED_VALUE"""),5.060255492291E12)</f>
        <v>5060255492291</v>
      </c>
      <c r="B39" s="17" t="str">
        <f>IFERROR(__xludf.DUMMYFUNCTION("""COMPUTED_VALUE"""),"Ever Clean")</f>
        <v>Ever Clean</v>
      </c>
      <c r="C39" s="17" t="str">
        <f>IFERROR(__xludf.DUMMYFUNCTION("""COMPUTED_VALUE"""),"Lavender Lavanta Kokulu Ince Taneli Topaklaşan Kedi Kumu 10 L")</f>
        <v>Lavender Lavanta Kokulu Ince Taneli Topaklaşan Kedi Kumu 10 L</v>
      </c>
      <c r="D39" s="13">
        <f>IFERROR(__xludf.DUMMYFUNCTION("""COMPUTED_VALUE"""),1048.5)</f>
        <v>1048.5</v>
      </c>
      <c r="E39" s="14" t="str">
        <f>IFERROR(__xludf.DUMMYFUNCTION("""COMPUTED_VALUE"""),"")</f>
        <v/>
      </c>
      <c r="F39" s="28">
        <f>IFERROR(__xludf.DUMMYFUNCTION("""COMPUTED_VALUE"""),2.0)</f>
        <v>2</v>
      </c>
      <c r="G39" s="17" t="str">
        <f>IFERROR(__xludf.DUMMYFUNCTION("""COMPUTED_VALUE"""),"Maliyet eksik")</f>
        <v>Maliyet eksik</v>
      </c>
      <c r="H39" s="17" t="str">
        <f>IFERROR(__xludf.DUMMYFUNCTION("""COMPUTED_VALUE"""),"")</f>
        <v/>
      </c>
      <c r="I39" s="17" t="str">
        <f>IFERROR(__xludf.DUMMYFUNCTION("""COMPUTED_VALUE"""),"Maliyet/desi/komisyon tamamla")</f>
        <v>Maliyet/desi/komisyon tamamla</v>
      </c>
    </row>
    <row r="40">
      <c r="A40" s="2">
        <f>IFERROR(__xludf.DUMMYFUNCTION("""COMPUTED_VALUE"""),5.060412212489E12)</f>
        <v>5060412212489</v>
      </c>
      <c r="B40" s="17" t="str">
        <f>IFERROR(__xludf.DUMMYFUNCTION("""COMPUTED_VALUE"""),"Ever Clean")</f>
        <v>Ever Clean</v>
      </c>
      <c r="C40" s="17" t="str">
        <f>IFERROR(__xludf.DUMMYFUNCTION("""COMPUTED_VALUE"""),"Fast Acting 10 lt.")</f>
        <v>Fast Acting 10 lt.</v>
      </c>
      <c r="D40" s="13">
        <f>IFERROR(__xludf.DUMMYFUNCTION("""COMPUTED_VALUE"""),1169.1)</f>
        <v>1169.1</v>
      </c>
      <c r="E40" s="14" t="str">
        <f>IFERROR(__xludf.DUMMYFUNCTION("""COMPUTED_VALUE"""),"")</f>
        <v/>
      </c>
      <c r="F40" s="28">
        <f>IFERROR(__xludf.DUMMYFUNCTION("""COMPUTED_VALUE"""),2.0)</f>
        <v>2</v>
      </c>
      <c r="G40" s="17" t="str">
        <f>IFERROR(__xludf.DUMMYFUNCTION("""COMPUTED_VALUE"""),"Maliyet eksik")</f>
        <v>Maliyet eksik</v>
      </c>
      <c r="H40" s="17" t="str">
        <f>IFERROR(__xludf.DUMMYFUNCTION("""COMPUTED_VALUE"""),"")</f>
        <v/>
      </c>
      <c r="I40" s="17" t="str">
        <f>IFERROR(__xludf.DUMMYFUNCTION("""COMPUTED_VALUE"""),"Maliyet/desi/komisyon tamamla")</f>
        <v>Maliyet/desi/komisyon tamamla</v>
      </c>
    </row>
    <row r="41">
      <c r="A41" s="2">
        <f>IFERROR(__xludf.DUMMYFUNCTION("""COMPUTED_VALUE"""),5.060412214117E12)</f>
        <v>5060412214117</v>
      </c>
      <c r="B41" s="17" t="str">
        <f>IFERROR(__xludf.DUMMYFUNCTION("""COMPUTED_VALUE"""),"Ever Clean")</f>
        <v>Ever Clean</v>
      </c>
      <c r="C41" s="17" t="str">
        <f>IFERROR(__xludf.DUMMYFUNCTION("""COMPUTED_VALUE"""),"LitterFree Paws 10 Lt")</f>
        <v>LitterFree Paws 10 Lt</v>
      </c>
      <c r="D41" s="13">
        <f>IFERROR(__xludf.DUMMYFUNCTION("""COMPUTED_VALUE"""),1047.6)</f>
        <v>1047.6</v>
      </c>
      <c r="E41" s="14" t="str">
        <f>IFERROR(__xludf.DUMMYFUNCTION("""COMPUTED_VALUE"""),"")</f>
        <v/>
      </c>
      <c r="F41" s="28">
        <f>IFERROR(__xludf.DUMMYFUNCTION("""COMPUTED_VALUE"""),2.0)</f>
        <v>2</v>
      </c>
      <c r="G41" s="17" t="str">
        <f>IFERROR(__xludf.DUMMYFUNCTION("""COMPUTED_VALUE"""),"Maliyet eksik")</f>
        <v>Maliyet eksik</v>
      </c>
      <c r="H41" s="17" t="str">
        <f>IFERROR(__xludf.DUMMYFUNCTION("""COMPUTED_VALUE"""),"")</f>
        <v/>
      </c>
      <c r="I41" s="17" t="str">
        <f>IFERROR(__xludf.DUMMYFUNCTION("""COMPUTED_VALUE"""),"Maliyet/desi/komisyon tamamla")</f>
        <v>Maliyet/desi/komisyon tamamla</v>
      </c>
    </row>
    <row r="42">
      <c r="A42" s="2">
        <f>IFERROR(__xludf.DUMMYFUNCTION("""COMPUTED_VALUE"""),8.005852171054E12)</f>
        <v>8005852171054</v>
      </c>
      <c r="B42" s="17" t="str">
        <f>IFERROR(__xludf.DUMMYFUNCTION("""COMPUTED_VALUE"""),"Schesir")</f>
        <v>Schesir</v>
      </c>
      <c r="C42" s="17" t="str">
        <f>IFERROR(__xludf.DUMMYFUNCTION("""COMPUTED_VALUE"""),"Jelly Ton Balıklı ve Levrekli Pouch Kedi Konservesi 85 Gr")</f>
        <v>Jelly Ton Balıklı ve Levrekli Pouch Kedi Konservesi 85 Gr</v>
      </c>
      <c r="D42" s="13">
        <f>IFERROR(__xludf.DUMMYFUNCTION("""COMPUTED_VALUE"""),259.0)</f>
        <v>259</v>
      </c>
      <c r="E42" s="14" t="str">
        <f>IFERROR(__xludf.DUMMYFUNCTION("""COMPUTED_VALUE"""),"")</f>
        <v/>
      </c>
      <c r="F42" s="28">
        <f>IFERROR(__xludf.DUMMYFUNCTION("""COMPUTED_VALUE"""),3.0)</f>
        <v>3</v>
      </c>
      <c r="G42" s="17" t="str">
        <f>IFERROR(__xludf.DUMMYFUNCTION("""COMPUTED_VALUE"""),"Maliyet eksik")</f>
        <v>Maliyet eksik</v>
      </c>
      <c r="H42" s="17" t="str">
        <f>IFERROR(__xludf.DUMMYFUNCTION("""COMPUTED_VALUE"""),"")</f>
        <v/>
      </c>
      <c r="I42" s="17" t="str">
        <f>IFERROR(__xludf.DUMMYFUNCTION("""COMPUTED_VALUE"""),"Maliyet/desi/komisyon tamamla")</f>
        <v>Maliyet/desi/komisyon tamamla</v>
      </c>
    </row>
    <row r="43">
      <c r="A43" s="2">
        <f>IFERROR(__xludf.DUMMYFUNCTION("""COMPUTED_VALUE"""),8.005852171108E12)</f>
        <v>8005852171108</v>
      </c>
      <c r="B43" s="17" t="str">
        <f>IFERROR(__xludf.DUMMYFUNCTION("""COMPUTED_VALUE"""),"Schesir")</f>
        <v>Schesir</v>
      </c>
      <c r="C43" s="17" t="str">
        <f>IFERROR(__xludf.DUMMYFUNCTION("""COMPUTED_VALUE"""),"Jelly Ton Balıklı Tavuk Ve Karidesli Kedi Yaş Maması 85gr Skt:09/2024")</f>
        <v>Jelly Ton Balıklı Tavuk Ve Karidesli Kedi Yaş Maması 85gr Skt:09/2024</v>
      </c>
      <c r="D43" s="13">
        <f>IFERROR(__xludf.DUMMYFUNCTION("""COMPUTED_VALUE"""),175.0)</f>
        <v>175</v>
      </c>
      <c r="E43" s="14" t="str">
        <f>IFERROR(__xludf.DUMMYFUNCTION("""COMPUTED_VALUE"""),"")</f>
        <v/>
      </c>
      <c r="F43" s="28">
        <f>IFERROR(__xludf.DUMMYFUNCTION("""COMPUTED_VALUE"""),3.0)</f>
        <v>3</v>
      </c>
      <c r="G43" s="17" t="str">
        <f>IFERROR(__xludf.DUMMYFUNCTION("""COMPUTED_VALUE"""),"Maliyet eksik")</f>
        <v>Maliyet eksik</v>
      </c>
      <c r="H43" s="17" t="str">
        <f>IFERROR(__xludf.DUMMYFUNCTION("""COMPUTED_VALUE"""),"")</f>
        <v/>
      </c>
      <c r="I43" s="17" t="str">
        <f>IFERROR(__xludf.DUMMYFUNCTION("""COMPUTED_VALUE"""),"Maliyet/desi/komisyon tamamla")</f>
        <v>Maliyet/desi/komisyon tamamla</v>
      </c>
    </row>
    <row r="44">
      <c r="A44" s="2">
        <f>IFERROR(__xludf.DUMMYFUNCTION("""COMPUTED_VALUE"""),8.005852171115E12)</f>
        <v>8005852171115</v>
      </c>
      <c r="B44" s="17" t="str">
        <f>IFERROR(__xludf.DUMMYFUNCTION("""COMPUTED_VALUE"""),"Schesir")</f>
        <v>Schesir</v>
      </c>
      <c r="C44" s="17" t="str">
        <f>IFERROR(__xludf.DUMMYFUNCTION("""COMPUTED_VALUE"""),"Pouch Gravy Tavuklu Kıyılmış Kedi Yaş Maması 85 Gr")</f>
        <v>Pouch Gravy Tavuklu Kıyılmış Kedi Yaş Maması 85 Gr</v>
      </c>
      <c r="D44" s="13">
        <f>IFERROR(__xludf.DUMMYFUNCTION("""COMPUTED_VALUE"""),138.18)</f>
        <v>138.18</v>
      </c>
      <c r="E44" s="14" t="str">
        <f>IFERROR(__xludf.DUMMYFUNCTION("""COMPUTED_VALUE"""),"")</f>
        <v/>
      </c>
      <c r="F44" s="28">
        <f>IFERROR(__xludf.DUMMYFUNCTION("""COMPUTED_VALUE"""),3.0)</f>
        <v>3</v>
      </c>
      <c r="G44" s="17" t="str">
        <f>IFERROR(__xludf.DUMMYFUNCTION("""COMPUTED_VALUE"""),"Maliyet eksik")</f>
        <v>Maliyet eksik</v>
      </c>
      <c r="H44" s="17" t="str">
        <f>IFERROR(__xludf.DUMMYFUNCTION("""COMPUTED_VALUE"""),"")</f>
        <v/>
      </c>
      <c r="I44" s="17" t="str">
        <f>IFERROR(__xludf.DUMMYFUNCTION("""COMPUTED_VALUE"""),"Maliyet/desi/komisyon tamamla")</f>
        <v>Maliyet/desi/komisyon tamamla</v>
      </c>
    </row>
    <row r="45">
      <c r="A45" s="2">
        <f>IFERROR(__xludf.DUMMYFUNCTION("""COMPUTED_VALUE"""),8.681002995178E12)</f>
        <v>8681002995178</v>
      </c>
      <c r="B45" s="17" t="str">
        <f>IFERROR(__xludf.DUMMYFUNCTION("""COMPUTED_VALUE"""),"Whiskas")</f>
        <v>Whiskas</v>
      </c>
      <c r="C45" s="17" t="str">
        <f>IFERROR(__xludf.DUMMYFUNCTION("""COMPUTED_VALUE"""),"Tavuklu Konserve Kedi Maması 400 gr 24x")</f>
        <v>Tavuklu Konserve Kedi Maması 400 gr 24x</v>
      </c>
      <c r="D45" s="13">
        <f>IFERROR(__xludf.DUMMYFUNCTION("""COMPUTED_VALUE"""),2065.0)</f>
        <v>2065</v>
      </c>
      <c r="E45" s="14" t="str">
        <f>IFERROR(__xludf.DUMMYFUNCTION("""COMPUTED_VALUE"""),"")</f>
        <v/>
      </c>
      <c r="F45" s="28">
        <f>IFERROR(__xludf.DUMMYFUNCTION("""COMPUTED_VALUE"""),3.0)</f>
        <v>3</v>
      </c>
      <c r="G45" s="17" t="str">
        <f>IFERROR(__xludf.DUMMYFUNCTION("""COMPUTED_VALUE"""),"Maliyet eksik")</f>
        <v>Maliyet eksik</v>
      </c>
      <c r="H45" s="17" t="str">
        <f>IFERROR(__xludf.DUMMYFUNCTION("""COMPUTED_VALUE"""),"")</f>
        <v/>
      </c>
      <c r="I45" s="17" t="str">
        <f>IFERROR(__xludf.DUMMYFUNCTION("""COMPUTED_VALUE"""),"Maliyet/desi/komisyon tamamla")</f>
        <v>Maliyet/desi/komisyon tamamla</v>
      </c>
    </row>
    <row r="46">
      <c r="A46" s="2" t="str">
        <f>IFERROR(__xludf.DUMMYFUNCTION("""COMPUTED_VALUE"""),"AK73LD91")</f>
        <v>AK73LD91</v>
      </c>
      <c r="B46" s="17" t="str">
        <f>IFERROR(__xludf.DUMMYFUNCTION("""COMPUTED_VALUE"""),"Ever Clean")</f>
        <v>Ever Clean</v>
      </c>
      <c r="C46" s="17" t="str">
        <f>IFERROR(__xludf.DUMMYFUNCTION("""COMPUTED_VALUE"""),"Less Trail (patilere Yapışmayan) Kedi Kumu 10 Lt X 2 Adet")</f>
        <v>Less Trail (patilere Yapışmayan) Kedi Kumu 10 Lt X 2 Adet</v>
      </c>
      <c r="D46" s="13">
        <f>IFERROR(__xludf.DUMMYFUNCTION("""COMPUTED_VALUE"""),2119.5)</f>
        <v>2119.5</v>
      </c>
      <c r="E46" s="14" t="str">
        <f>IFERROR(__xludf.DUMMYFUNCTION("""COMPUTED_VALUE"""),"")</f>
        <v/>
      </c>
      <c r="F46" s="28">
        <f>IFERROR(__xludf.DUMMYFUNCTION("""COMPUTED_VALUE"""),2.0)</f>
        <v>2</v>
      </c>
      <c r="G46" s="17" t="str">
        <f>IFERROR(__xludf.DUMMYFUNCTION("""COMPUTED_VALUE"""),"Maliyet eksik")</f>
        <v>Maliyet eksik</v>
      </c>
      <c r="H46" s="17" t="str">
        <f>IFERROR(__xludf.DUMMYFUNCTION("""COMPUTED_VALUE"""),"")</f>
        <v/>
      </c>
      <c r="I46" s="17" t="str">
        <f>IFERROR(__xludf.DUMMYFUNCTION("""COMPUTED_VALUE"""),"Maliyet/desi/komisyon tamamla")</f>
        <v>Maliyet/desi/komisyon tamamla</v>
      </c>
    </row>
    <row r="47">
      <c r="A47" s="2" t="str">
        <f>IFERROR(__xludf.DUMMYFUNCTION("""COMPUTED_VALUE"""),"TYBUAJE2I9OWF7YM95")</f>
        <v>TYBUAJE2I9OWF7YM95</v>
      </c>
      <c r="B47" s="17" t="str">
        <f>IFERROR(__xludf.DUMMYFUNCTION("""COMPUTED_VALUE"""),"Ever Clean")</f>
        <v>Ever Clean</v>
      </c>
      <c r="C47" s="17" t="str">
        <f>IFERROR(__xludf.DUMMYFUNCTION("""COMPUTED_VALUE"""),"Litter Free Paws Patilere Yapışmayan Kedi Kumu 2 X 10 L")</f>
        <v>Litter Free Paws Patilere Yapışmayan Kedi Kumu 2 X 10 L</v>
      </c>
      <c r="D47" s="13">
        <f>IFERROR(__xludf.DUMMYFUNCTION("""COMPUTED_VALUE"""),2016.0)</f>
        <v>2016</v>
      </c>
      <c r="E47" s="14" t="str">
        <f>IFERROR(__xludf.DUMMYFUNCTION("""COMPUTED_VALUE"""),"")</f>
        <v/>
      </c>
      <c r="F47" s="28">
        <f>IFERROR(__xludf.DUMMYFUNCTION("""COMPUTED_VALUE"""),2.0)</f>
        <v>2</v>
      </c>
      <c r="G47" s="17" t="str">
        <f>IFERROR(__xludf.DUMMYFUNCTION("""COMPUTED_VALUE"""),"Maliyet eksik")</f>
        <v>Maliyet eksik</v>
      </c>
      <c r="H47" s="17" t="str">
        <f>IFERROR(__xludf.DUMMYFUNCTION("""COMPUTED_VALUE"""),"")</f>
        <v/>
      </c>
      <c r="I47" s="17" t="str">
        <f>IFERROR(__xludf.DUMMYFUNCTION("""COMPUTED_VALUE"""),"Maliyet/desi/komisyon tamamla")</f>
        <v>Maliyet/desi/komisyon tamamla</v>
      </c>
    </row>
    <row r="48">
      <c r="A48" s="2"/>
      <c r="D48" s="13"/>
      <c r="E48" s="14"/>
      <c r="F48" s="28"/>
    </row>
    <row r="49">
      <c r="A49" s="2"/>
      <c r="D49" s="13"/>
      <c r="E49" s="14"/>
      <c r="F49" s="28"/>
    </row>
    <row r="50">
      <c r="A50" s="2"/>
      <c r="D50" s="13"/>
      <c r="E50" s="14"/>
      <c r="F50" s="28"/>
    </row>
    <row r="51">
      <c r="A51" s="2"/>
      <c r="D51" s="13"/>
      <c r="E51" s="14"/>
      <c r="F51" s="28"/>
    </row>
    <row r="52">
      <c r="A52" s="2"/>
      <c r="D52" s="13"/>
      <c r="E52" s="14"/>
      <c r="F52" s="28"/>
    </row>
    <row r="53">
      <c r="A53" s="5" t="s">
        <v>43</v>
      </c>
      <c r="D53" s="14"/>
      <c r="E53" s="14"/>
      <c r="F53" s="34"/>
    </row>
    <row r="54">
      <c r="A54" s="5" t="s">
        <v>19</v>
      </c>
      <c r="B54" s="30" t="s">
        <v>20</v>
      </c>
      <c r="C54" s="30" t="s">
        <v>21</v>
      </c>
      <c r="D54" s="31" t="s">
        <v>22</v>
      </c>
      <c r="E54" s="31" t="s">
        <v>40</v>
      </c>
      <c r="F54" s="32" t="s">
        <v>41</v>
      </c>
      <c r="G54" s="30" t="s">
        <v>28</v>
      </c>
      <c r="H54" s="30" t="s">
        <v>29</v>
      </c>
    </row>
    <row r="55">
      <c r="A55" s="2" t="str">
        <f>IFERROR(__xludf.DUMMYFUNCTION("SORTN(FILTER({'BuyBox Karlilik'!A2:D300,'BuyBox Karlilik'!K2:L300,'BuyBox Karlilik'!T2:U300},('BuyBox Karlilik'!T2:T300=""RİSKLİ"")+('BuyBox Karlilik'!T2:T300=""DÜŞÜK KÂR"")),25,0,6,TRUE)"),"TYBJUIMGWO45LKI893")</f>
        <v>TYBJUIMGWO45LKI893</v>
      </c>
      <c r="B55" s="17" t="str">
        <f>IFERROR(__xludf.DUMMYFUNCTION("""COMPUTED_VALUE"""),"Wanpy")</f>
        <v>Wanpy</v>
      </c>
      <c r="C55" s="17" t="str">
        <f>IFERROR(__xludf.DUMMYFUNCTION("""COMPUTED_VALUE"""),"Tasty Meat Paste Taze Sıvı Kedi Ödül Maması Kedi Ödül Maması 4x90gr")</f>
        <v>Tasty Meat Paste Taze Sıvı Kedi Ödül Maması Kedi Ödül Maması 4x90gr</v>
      </c>
      <c r="D55" s="14">
        <f>IFERROR(__xludf.DUMMYFUNCTION("""COMPUTED_VALUE"""),256.2)</f>
        <v>256.2</v>
      </c>
      <c r="E55" s="14">
        <f>IFERROR(__xludf.DUMMYFUNCTION("""COMPUTED_VALUE"""),0.01916666666663991)</f>
        <v>0.01916666667</v>
      </c>
      <c r="F55" s="15">
        <f>IFERROR(__xludf.DUMMYFUNCTION("""COMPUTED_VALUE"""),7.481134530304415E-5)</f>
        <v>0.0000748113453</v>
      </c>
      <c r="G55" s="17" t="str">
        <f>IFERROR(__xludf.DUMMYFUNCTION("""COMPUTED_VALUE"""),"RİSKLİ")</f>
        <v>RİSKLİ</v>
      </c>
      <c r="H55" s="17" t="str">
        <f>IFERROR(__xludf.DUMMYFUNCTION("""COMPUTED_VALUE"""),"Minimum fiyat altına düşme")</f>
        <v>Minimum fiyat altına düşme</v>
      </c>
    </row>
    <row r="56">
      <c r="A56" s="33" t="str">
        <f>IFERROR(__xludf.DUMMYFUNCTION("""COMPUTED_VALUE"""),"TYB9771GESJQWCAB60")</f>
        <v>TYB9771GESJQWCAB60</v>
      </c>
      <c r="B56" s="8" t="str">
        <f>IFERROR(__xludf.DUMMYFUNCTION("""COMPUTED_VALUE"""),"Gourmet")</f>
        <v>Gourmet</v>
      </c>
      <c r="C56" s="8" t="str">
        <f>IFERROR(__xludf.DUMMYFUNCTION("""COMPUTED_VALUE"""),"Karışık Kıyılmış Konserve Yetişkin Kedi Yaş Maması 24 X 85 gr")</f>
        <v>Karışık Kıyılmış Konserve Yetişkin Kedi Yaş Maması 24 X 85 gr</v>
      </c>
      <c r="D56" s="16">
        <f>IFERROR(__xludf.DUMMYFUNCTION("""COMPUTED_VALUE"""),736.0)</f>
        <v>736</v>
      </c>
      <c r="E56" s="16">
        <f>IFERROR(__xludf.DUMMYFUNCTION("""COMPUTED_VALUE"""),0.394999999999988)</f>
        <v>0.395</v>
      </c>
      <c r="F56" s="18">
        <f>IFERROR(__xludf.DUMMYFUNCTION("""COMPUTED_VALUE"""),5.366847826086794E-4)</f>
        <v>0.0005366847826</v>
      </c>
      <c r="G56" s="8" t="str">
        <f>IFERROR(__xludf.DUMMYFUNCTION("""COMPUTED_VALUE"""),"RİSKLİ")</f>
        <v>RİSKLİ</v>
      </c>
      <c r="H56" s="8" t="str">
        <f>IFERROR(__xludf.DUMMYFUNCTION("""COMPUTED_VALUE"""),"Minimum fiyat altına düşme")</f>
        <v>Minimum fiyat altına düşme</v>
      </c>
      <c r="I56" s="8"/>
    </row>
    <row r="57">
      <c r="A57" s="22">
        <f>IFERROR(__xludf.DUMMYFUNCTION("""COMPUTED_VALUE"""),8.010276035097E12)</f>
        <v>8010276035097</v>
      </c>
      <c r="B57" s="23" t="str">
        <f>IFERROR(__xludf.DUMMYFUNCTION("""COMPUTED_VALUE"""),"N&amp;D")</f>
        <v>N&amp;D</v>
      </c>
      <c r="C57" s="23" t="str">
        <f>IFERROR(__xludf.DUMMYFUNCTION("""COMPUTED_VALUE"""),"A.grain Düşük Tahıllı Kuzulu Ve Yaban Mersinli Mini Irk Yetişkin Köpek Kuru Maması 7 Kg")</f>
        <v>A.grain Düşük Tahıllı Kuzulu Ve Yaban Mersinli Mini Irk Yetişkin Köpek Kuru Maması 7 Kg</v>
      </c>
      <c r="D57" s="27">
        <f>IFERROR(__xludf.DUMMYFUNCTION("""COMPUTED_VALUE"""),2690.0)</f>
        <v>2690</v>
      </c>
      <c r="E57" s="27">
        <f>IFERROR(__xludf.DUMMYFUNCTION("""COMPUTED_VALUE"""),2.7666666666667883)</f>
        <v>2.766666667</v>
      </c>
      <c r="F57" s="26">
        <f>IFERROR(__xludf.DUMMYFUNCTION("""COMPUTED_VALUE"""),0.0010285006195787318)</f>
        <v>0.00102850062</v>
      </c>
      <c r="G57" s="23" t="str">
        <f>IFERROR(__xludf.DUMMYFUNCTION("""COMPUTED_VALUE"""),"RİSKLİ")</f>
        <v>RİSKLİ</v>
      </c>
      <c r="H57" s="23" t="str">
        <f>IFERROR(__xludf.DUMMYFUNCTION("""COMPUTED_VALUE"""),"Minimum fiyat altına düşme")</f>
        <v>Minimum fiyat altına düşme</v>
      </c>
      <c r="I57" s="23"/>
    </row>
    <row r="58">
      <c r="A58" s="2" t="str">
        <f>IFERROR(__xludf.DUMMYFUNCTION("""COMPUTED_VALUE"""),"TYBVYCTB5P95JXTS98")</f>
        <v>TYBVYCTB5P95JXTS98</v>
      </c>
      <c r="B58" s="17" t="str">
        <f>IFERROR(__xludf.DUMMYFUNCTION("""COMPUTED_VALUE"""),"FELIX")</f>
        <v>FELIX</v>
      </c>
      <c r="C58" s="17" t="str">
        <f>IFERROR(__xludf.DUMMYFUNCTION("""COMPUTED_VALUE"""),"Yavru Sığıretli Yaş Kedi Maması 26 Adet X 85 Gr. ( Yeni Paket)")</f>
        <v>Yavru Sığıretli Yaş Kedi Maması 26 Adet X 85 Gr. ( Yeni Paket)</v>
      </c>
      <c r="D58" s="13">
        <f>IFERROR(__xludf.DUMMYFUNCTION("""COMPUTED_VALUE"""),578.99)</f>
        <v>578.99</v>
      </c>
      <c r="E58" s="13">
        <f>IFERROR(__xludf.DUMMYFUNCTION("""COMPUTED_VALUE"""),1.5387083333333251)</f>
        <v>1.538708333</v>
      </c>
      <c r="F58" s="15">
        <f>IFERROR(__xludf.DUMMYFUNCTION("""COMPUTED_VALUE"""),0.0026575732453640393)</f>
        <v>0.002657573245</v>
      </c>
      <c r="G58" s="17" t="str">
        <f>IFERROR(__xludf.DUMMYFUNCTION("""COMPUTED_VALUE"""),"RİSKLİ")</f>
        <v>RİSKLİ</v>
      </c>
      <c r="H58" s="17" t="str">
        <f>IFERROR(__xludf.DUMMYFUNCTION("""COMPUTED_VALUE"""),"Minimum fiyat altına düşme")</f>
        <v>Minimum fiyat altına düşme</v>
      </c>
    </row>
    <row r="59">
      <c r="A59" s="2" t="str">
        <f>IFERROR(__xludf.DUMMYFUNCTION("""COMPUTED_VALUE"""),"TYBL1W9TPK3NCREP31")</f>
        <v>TYBL1W9TPK3NCREP31</v>
      </c>
      <c r="B59" s="17" t="str">
        <f>IFERROR(__xludf.DUMMYFUNCTION("""COMPUTED_VALUE"""),"Royal Canin")</f>
        <v>Royal Canin</v>
      </c>
      <c r="C59" s="17" t="str">
        <f>IFERROR(__xludf.DUMMYFUNCTION("""COMPUTED_VALUE"""),"Babycat Instinctive Yavru ve Anne Kediler Için Konserve 195 gr x 12 Adet")</f>
        <v>Babycat Instinctive Yavru ve Anne Kediler Için Konserve 195 gr x 12 Adet</v>
      </c>
      <c r="D59" s="13">
        <f>IFERROR(__xludf.DUMMYFUNCTION("""COMPUTED_VALUE"""),1630.0)</f>
        <v>1630</v>
      </c>
      <c r="E59" s="13">
        <f>IFERROR(__xludf.DUMMYFUNCTION("""COMPUTED_VALUE"""),4.800000000000056)</f>
        <v>4.8</v>
      </c>
      <c r="F59" s="15">
        <f>IFERROR(__xludf.DUMMYFUNCTION("""COMPUTED_VALUE"""),0.002944785276073654)</f>
        <v>0.002944785276</v>
      </c>
      <c r="G59" s="17" t="str">
        <f>IFERROR(__xludf.DUMMYFUNCTION("""COMPUTED_VALUE"""),"RİSKLİ")</f>
        <v>RİSKLİ</v>
      </c>
      <c r="H59" s="17" t="str">
        <f>IFERROR(__xludf.DUMMYFUNCTION("""COMPUTED_VALUE"""),"Minimum fiyat altına düşme")</f>
        <v>Minimum fiyat altına düşme</v>
      </c>
    </row>
    <row r="60">
      <c r="A60" s="2">
        <f>IFERROR(__xludf.DUMMYFUNCTION("""COMPUTED_VALUE"""),5.2742059617E10)</f>
        <v>52742059617</v>
      </c>
      <c r="B60" s="17" t="str">
        <f>IFERROR(__xludf.DUMMYFUNCTION("""COMPUTED_VALUE"""),"Hill's")</f>
        <v>Hill's</v>
      </c>
      <c r="C60" s="17" t="str">
        <f>IFERROR(__xludf.DUMMYFUNCTION("""COMPUTED_VALUE"""),"Hills Adult Optimal Care Tavuklu Yetişkin Kedi Maması 1.5 Kg")</f>
        <v>Hills Adult Optimal Care Tavuklu Yetişkin Kedi Maması 1.5 Kg</v>
      </c>
      <c r="D60" s="13">
        <f>IFERROR(__xludf.DUMMYFUNCTION("""COMPUTED_VALUE"""),1059.0)</f>
        <v>1059</v>
      </c>
      <c r="E60" s="13">
        <f>IFERROR(__xludf.DUMMYFUNCTION("""COMPUTED_VALUE"""),6.537499999999962)</f>
        <v>6.5375</v>
      </c>
      <c r="F60" s="15">
        <f>IFERROR(__xludf.DUMMYFUNCTION("""COMPUTED_VALUE"""),0.006173276676109502)</f>
        <v>0.006173276676</v>
      </c>
      <c r="G60" s="17" t="str">
        <f>IFERROR(__xludf.DUMMYFUNCTION("""COMPUTED_VALUE"""),"RİSKLİ")</f>
        <v>RİSKLİ</v>
      </c>
      <c r="H60" s="17" t="str">
        <f>IFERROR(__xludf.DUMMYFUNCTION("""COMPUTED_VALUE"""),"Minimum fiyat altına düşme")</f>
        <v>Minimum fiyat altına düşme</v>
      </c>
    </row>
    <row r="61">
      <c r="A61" s="2" t="str">
        <f>IFERROR(__xludf.DUMMYFUNCTION("""COMPUTED_VALUE"""),"TYBBL117UNTJIWDS99")</f>
        <v>TYBBL117UNTJIWDS99</v>
      </c>
      <c r="B61" s="17" t="str">
        <f>IFERROR(__xludf.DUMMYFUNCTION("""COMPUTED_VALUE"""),"Pro Plan")</f>
        <v>Pro Plan</v>
      </c>
      <c r="C61" s="17" t="str">
        <f>IFERROR(__xludf.DUMMYFUNCTION("""COMPUTED_VALUE"""),"Proplan kısır somonlu 4 kg (400gr x10 ).")</f>
        <v>Proplan kısır somonlu 4 kg (400gr x10 ).</v>
      </c>
      <c r="D61" s="13">
        <f>IFERROR(__xludf.DUMMYFUNCTION("""COMPUTED_VALUE"""),1750.0)</f>
        <v>1750</v>
      </c>
      <c r="E61" s="13">
        <f>IFERROR(__xludf.DUMMYFUNCTION("""COMPUTED_VALUE"""),11.508333333333484)</f>
        <v>11.50833333</v>
      </c>
      <c r="F61" s="15">
        <f>IFERROR(__xludf.DUMMYFUNCTION("""COMPUTED_VALUE"""),0.006576190476190562)</f>
        <v>0.006576190476</v>
      </c>
      <c r="G61" s="17" t="str">
        <f>IFERROR(__xludf.DUMMYFUNCTION("""COMPUTED_VALUE"""),"RİSKLİ")</f>
        <v>RİSKLİ</v>
      </c>
      <c r="H61" s="17" t="str">
        <f>IFERROR(__xludf.DUMMYFUNCTION("""COMPUTED_VALUE"""),"Minimum fiyat altına düşme")</f>
        <v>Minimum fiyat altına düşme</v>
      </c>
    </row>
    <row r="62">
      <c r="A62" s="2">
        <f>IFERROR(__xludf.DUMMYFUNCTION("""COMPUTED_VALUE"""),2.9695470912E10)</f>
        <v>29695470912</v>
      </c>
      <c r="B62" s="17" t="str">
        <f>IFERROR(__xludf.DUMMYFUNCTION("""COMPUTED_VALUE"""),"Chuckit")</f>
        <v>Chuckit</v>
      </c>
      <c r="C62" s="17" t="str">
        <f>IFERROR(__xludf.DUMMYFUNCTION("""COMPUTED_VALUE"""),"! Ultra Squeaker Sesli Köpek Oyun Halkası")</f>
        <v>! Ultra Squeaker Sesli Köpek Oyun Halkası</v>
      </c>
      <c r="D62" s="13">
        <f>IFERROR(__xludf.DUMMYFUNCTION("""COMPUTED_VALUE"""),428.0)</f>
        <v>428</v>
      </c>
      <c r="E62" s="13">
        <f>IFERROR(__xludf.DUMMYFUNCTION("""COMPUTED_VALUE"""),3.774999999999981)</f>
        <v>3.775</v>
      </c>
      <c r="F62" s="15">
        <f>IFERROR(__xludf.DUMMYFUNCTION("""COMPUTED_VALUE"""),0.00882009345794388)</f>
        <v>0.008820093458</v>
      </c>
      <c r="G62" s="17" t="str">
        <f>IFERROR(__xludf.DUMMYFUNCTION("""COMPUTED_VALUE"""),"RİSKLİ")</f>
        <v>RİSKLİ</v>
      </c>
      <c r="H62" s="17" t="str">
        <f>IFERROR(__xludf.DUMMYFUNCTION("""COMPUTED_VALUE"""),"Minimum fiyat altına düşme")</f>
        <v>Minimum fiyat altına düşme</v>
      </c>
    </row>
    <row r="63">
      <c r="A63" s="2">
        <f>IFERROR(__xludf.DUMMYFUNCTION("""COMPUTED_VALUE"""),5.412087000395E12)</f>
        <v>5412087000395</v>
      </c>
      <c r="B63" s="17" t="str">
        <f>IFERROR(__xludf.DUMMYFUNCTION("""COMPUTED_VALUE"""),"Moderna")</f>
        <v>Moderna</v>
      </c>
      <c r="C63" s="17" t="str">
        <f>IFERROR(__xludf.DUMMYFUNCTION("""COMPUTED_VALUE"""),"Smart Su Kabı 1.5 lt Sarı")</f>
        <v>Smart Su Kabı 1.5 lt Sarı</v>
      </c>
      <c r="D63" s="13">
        <f>IFERROR(__xludf.DUMMYFUNCTION("""COMPUTED_VALUE"""),450.0)</f>
        <v>450</v>
      </c>
      <c r="E63" s="13">
        <f>IFERROR(__xludf.DUMMYFUNCTION("""COMPUTED_VALUE"""),4.32500000000001)</f>
        <v>4.325</v>
      </c>
      <c r="F63" s="15">
        <f>IFERROR(__xludf.DUMMYFUNCTION("""COMPUTED_VALUE"""),0.009611111111111133)</f>
        <v>0.009611111111</v>
      </c>
      <c r="G63" s="17" t="str">
        <f>IFERROR(__xludf.DUMMYFUNCTION("""COMPUTED_VALUE"""),"RİSKLİ")</f>
        <v>RİSKLİ</v>
      </c>
      <c r="H63" s="17" t="str">
        <f>IFERROR(__xludf.DUMMYFUNCTION("""COMPUTED_VALUE"""),"Minimum fiyat altına düşme")</f>
        <v>Minimum fiyat altına düşme</v>
      </c>
    </row>
    <row r="64">
      <c r="A64" s="2">
        <f>IFERROR(__xludf.DUMMYFUNCTION("""COMPUTED_VALUE"""),1.44586800733348E15)</f>
        <v>1.44587E+15</v>
      </c>
      <c r="B64" s="17" t="str">
        <f>IFERROR(__xludf.DUMMYFUNCTION("""COMPUTED_VALUE"""),"Wanpy")</f>
        <v>Wanpy</v>
      </c>
      <c r="C64" s="17" t="str">
        <f>IFERROR(__xludf.DUMMYFUNCTION("""COMPUTED_VALUE"""),"Kedi Sıvı Ödül Karma 25 Li X 4 Lü Eko Paket")</f>
        <v>Kedi Sıvı Ödül Karma 25 Li X 4 Lü Eko Paket</v>
      </c>
      <c r="D64" s="13">
        <f>IFERROR(__xludf.DUMMYFUNCTION("""COMPUTED_VALUE"""),1032.9)</f>
        <v>1032.9</v>
      </c>
      <c r="E64" s="13">
        <f>IFERROR(__xludf.DUMMYFUNCTION("""COMPUTED_VALUE"""),13.443083333333485)</f>
        <v>13.44308333</v>
      </c>
      <c r="F64" s="15">
        <f>IFERROR(__xludf.DUMMYFUNCTION("""COMPUTED_VALUE"""),0.013014893342369526)</f>
        <v>0.01301489334</v>
      </c>
      <c r="G64" s="17" t="str">
        <f>IFERROR(__xludf.DUMMYFUNCTION("""COMPUTED_VALUE"""),"RİSKLİ")</f>
        <v>RİSKLİ</v>
      </c>
      <c r="H64" s="17" t="str">
        <f>IFERROR(__xludf.DUMMYFUNCTION("""COMPUTED_VALUE"""),"Minimum fiyat altına düşme")</f>
        <v>Minimum fiyat altına düşme</v>
      </c>
    </row>
    <row r="65">
      <c r="A65" s="2">
        <f>IFERROR(__xludf.DUMMYFUNCTION("""COMPUTED_VALUE"""),7.613032816536E12)</f>
        <v>7613032816536</v>
      </c>
      <c r="B65" s="17" t="str">
        <f>IFERROR(__xludf.DUMMYFUNCTION("""COMPUTED_VALUE"""),"Gourmet")</f>
        <v>Gourmet</v>
      </c>
      <c r="C65" s="17" t="str">
        <f>IFERROR(__xludf.DUMMYFUNCTION("""COMPUTED_VALUE"""),"Purina Gourmet Gold Karışık Kedi Konservesi 85 gr X 24 Adet")</f>
        <v>Purina Gourmet Gold Karışık Kedi Konservesi 85 gr X 24 Adet</v>
      </c>
      <c r="D65" s="13">
        <f>IFERROR(__xludf.DUMMYFUNCTION("""COMPUTED_VALUE"""),746.27)</f>
        <v>746.27</v>
      </c>
      <c r="E65" s="13">
        <f>IFERROR(__xludf.DUMMYFUNCTION("""COMPUTED_VALUE"""),12.034249999999943)</f>
        <v>12.03425</v>
      </c>
      <c r="F65" s="15">
        <f>IFERROR(__xludf.DUMMYFUNCTION("""COMPUTED_VALUE"""),0.01612586597344117)</f>
        <v>0.01612586597</v>
      </c>
      <c r="G65" s="17" t="str">
        <f>IFERROR(__xludf.DUMMYFUNCTION("""COMPUTED_VALUE"""),"RİSKLİ")</f>
        <v>RİSKLİ</v>
      </c>
      <c r="H65" s="17" t="str">
        <f>IFERROR(__xludf.DUMMYFUNCTION("""COMPUTED_VALUE"""),"Minimum fiyat altına düşme")</f>
        <v>Minimum fiyat altına düşme</v>
      </c>
    </row>
    <row r="66">
      <c r="A66" s="2" t="str">
        <f>IFERROR(__xludf.DUMMYFUNCTION("""COMPUTED_VALUE"""),"TYBJ6BLX4VD87YGF30")</f>
        <v>TYBJ6BLX4VD87YGF30</v>
      </c>
      <c r="B66" s="17" t="str">
        <f>IFERROR(__xludf.DUMMYFUNCTION("""COMPUTED_VALUE"""),"FELIX")</f>
        <v>FELIX</v>
      </c>
      <c r="C66" s="17" t="str">
        <f>IFERROR(__xludf.DUMMYFUNCTION("""COMPUTED_VALUE"""),"Felix Sığır Etli Kedi Avantajlı Paket (4x85) Gr")</f>
        <v>Felix Sığır Etli Kedi Avantajlı Paket (4x85) Gr</v>
      </c>
      <c r="D66" s="13">
        <f>IFERROR(__xludf.DUMMYFUNCTION("""COMPUTED_VALUE"""),550.0)</f>
        <v>550</v>
      </c>
      <c r="E66" s="13">
        <f>IFERROR(__xludf.DUMMYFUNCTION("""COMPUTED_VALUE"""),8.883333333333386)</f>
        <v>8.883333333</v>
      </c>
      <c r="F66" s="15">
        <f>IFERROR(__xludf.DUMMYFUNCTION("""COMPUTED_VALUE"""),0.016151515151515246)</f>
        <v>0.01615151515</v>
      </c>
      <c r="G66" s="17" t="str">
        <f>IFERROR(__xludf.DUMMYFUNCTION("""COMPUTED_VALUE"""),"RİSKLİ")</f>
        <v>RİSKLİ</v>
      </c>
      <c r="H66" s="17" t="str">
        <f>IFERROR(__xludf.DUMMYFUNCTION("""COMPUTED_VALUE"""),"Minimum fiyat altına düşme")</f>
        <v>Minimum fiyat altına düşme</v>
      </c>
    </row>
    <row r="67">
      <c r="A67" s="2">
        <f>IFERROR(__xludf.DUMMYFUNCTION("""COMPUTED_VALUE"""),8.46799273637E11)</f>
        <v>846799273637</v>
      </c>
      <c r="B67" s="17" t="str">
        <f>IFERROR(__xludf.DUMMYFUNCTION("""COMPUTED_VALUE"""),"FELIX")</f>
        <v>FELIX</v>
      </c>
      <c r="C67" s="17" t="str">
        <f>IFERROR(__xludf.DUMMYFUNCTION("""COMPUTED_VALUE"""),"Karışık Kedi Yaş Mama 28 Paket")</f>
        <v>Karışık Kedi Yaş Mama 28 Paket</v>
      </c>
      <c r="D67" s="13">
        <f>IFERROR(__xludf.DUMMYFUNCTION("""COMPUTED_VALUE"""),645.0)</f>
        <v>645</v>
      </c>
      <c r="E67" s="13">
        <f>IFERROR(__xludf.DUMMYFUNCTION("""COMPUTED_VALUE"""),10.445833333333391)</f>
        <v>10.44583333</v>
      </c>
      <c r="F67" s="15">
        <f>IFERROR(__xludf.DUMMYFUNCTION("""COMPUTED_VALUE"""),0.016195090439276576)</f>
        <v>0.01619509044</v>
      </c>
      <c r="G67" s="17" t="str">
        <f>IFERROR(__xludf.DUMMYFUNCTION("""COMPUTED_VALUE"""),"RİSKLİ")</f>
        <v>RİSKLİ</v>
      </c>
      <c r="H67" s="17" t="str">
        <f>IFERROR(__xludf.DUMMYFUNCTION("""COMPUTED_VALUE"""),"Minimum fiyat altına düşme")</f>
        <v>Minimum fiyat altına düşme</v>
      </c>
    </row>
    <row r="68">
      <c r="A68" s="2">
        <f>IFERROR(__xludf.DUMMYFUNCTION("""COMPUTED_VALUE"""),8.010276042149E12)</f>
        <v>8010276042149</v>
      </c>
      <c r="B68" s="17" t="str">
        <f>IFERROR(__xludf.DUMMYFUNCTION("""COMPUTED_VALUE"""),"N&amp;D")</f>
        <v>N&amp;D</v>
      </c>
      <c r="C68" s="17" t="str">
        <f>IFERROR(__xludf.DUMMYFUNCTION("""COMPUTED_VALUE"""),"Tropical Kuzu Etli Kısırlaştırılmış Kedi Maması 10 KG")</f>
        <v>Tropical Kuzu Etli Kısırlaştırılmış Kedi Maması 10 KG</v>
      </c>
      <c r="D68" s="13">
        <f>IFERROR(__xludf.DUMMYFUNCTION("""COMPUTED_VALUE"""),3872.0)</f>
        <v>3872</v>
      </c>
      <c r="E68" s="13">
        <f>IFERROR(__xludf.DUMMYFUNCTION("""COMPUTED_VALUE"""),64.5583333333336)</f>
        <v>64.55833333</v>
      </c>
      <c r="F68" s="15">
        <f>IFERROR(__xludf.DUMMYFUNCTION("""COMPUTED_VALUE"""),0.01667312327823698)</f>
        <v>0.01667312328</v>
      </c>
      <c r="G68" s="17" t="str">
        <f>IFERROR(__xludf.DUMMYFUNCTION("""COMPUTED_VALUE"""),"RİSKLİ")</f>
        <v>RİSKLİ</v>
      </c>
      <c r="H68" s="17" t="str">
        <f>IFERROR(__xludf.DUMMYFUNCTION("""COMPUTED_VALUE"""),"Minimum fiyat altına düşme")</f>
        <v>Minimum fiyat altına düşme</v>
      </c>
    </row>
    <row r="69">
      <c r="A69" s="2">
        <f>IFERROR(__xludf.DUMMYFUNCTION("""COMPUTED_VALUE"""),8.010276039309E12)</f>
        <v>8010276039309</v>
      </c>
      <c r="B69" s="17" t="str">
        <f>IFERROR(__xludf.DUMMYFUNCTION("""COMPUTED_VALUE"""),"N&amp;D")</f>
        <v>N&amp;D</v>
      </c>
      <c r="C69" s="17" t="str">
        <f>IFERROR(__xludf.DUMMYFUNCTION("""COMPUTED_VALUE"""),"Ocean Somon ve Morina Kavunlu Mini Irk Köpek Maması 2,5 Kg")</f>
        <v>Ocean Somon ve Morina Kavunlu Mini Irk Köpek Maması 2,5 Kg</v>
      </c>
      <c r="D69" s="13">
        <f>IFERROR(__xludf.DUMMYFUNCTION("""COMPUTED_VALUE"""),1828.0)</f>
        <v>1828</v>
      </c>
      <c r="E69" s="13">
        <f>IFERROR(__xludf.DUMMYFUNCTION("""COMPUTED_VALUE"""),34.92500000000009)</f>
        <v>34.925</v>
      </c>
      <c r="F69" s="15">
        <f>IFERROR(__xludf.DUMMYFUNCTION("""COMPUTED_VALUE"""),0.01910557986870902)</f>
        <v>0.01910557987</v>
      </c>
      <c r="G69" s="17" t="str">
        <f>IFERROR(__xludf.DUMMYFUNCTION("""COMPUTED_VALUE"""),"RİSKLİ")</f>
        <v>RİSKLİ</v>
      </c>
      <c r="H69" s="17" t="str">
        <f>IFERROR(__xludf.DUMMYFUNCTION("""COMPUTED_VALUE"""),"Minimum fiyat altına düşme")</f>
        <v>Minimum fiyat altına düşme</v>
      </c>
    </row>
    <row r="70">
      <c r="A70" s="2" t="str">
        <f>IFERROR(__xludf.DUMMYFUNCTION("""COMPUTED_VALUE"""),"TYPET19")</f>
        <v>TYPET19</v>
      </c>
      <c r="B70" s="17" t="str">
        <f>IFERROR(__xludf.DUMMYFUNCTION("""COMPUTED_VALUE"""),"FELIX")</f>
        <v>FELIX</v>
      </c>
      <c r="C70" s="17" t="str">
        <f>IFERROR(__xludf.DUMMYFUNCTION("""COMPUTED_VALUE"""),"Karma Paket Kedi Konserve Maması 28 Adet X 85gr")</f>
        <v>Karma Paket Kedi Konserve Maması 28 Adet X 85gr</v>
      </c>
      <c r="D70" s="13">
        <f>IFERROR(__xludf.DUMMYFUNCTION("""COMPUTED_VALUE"""),630.0)</f>
        <v>630</v>
      </c>
      <c r="E70" s="13">
        <f>IFERROR(__xludf.DUMMYFUNCTION("""COMPUTED_VALUE"""),12.883333333333377)</f>
        <v>12.88333333</v>
      </c>
      <c r="F70" s="15">
        <f>IFERROR(__xludf.DUMMYFUNCTION("""COMPUTED_VALUE"""),0.02044973544973552)</f>
        <v>0.02044973545</v>
      </c>
      <c r="G70" s="17" t="str">
        <f>IFERROR(__xludf.DUMMYFUNCTION("""COMPUTED_VALUE"""),"RİSKLİ")</f>
        <v>RİSKLİ</v>
      </c>
      <c r="H70" s="17" t="str">
        <f>IFERROR(__xludf.DUMMYFUNCTION("""COMPUTED_VALUE"""),"Minimum fiyat altına düşme")</f>
        <v>Minimum fiyat altına düşme</v>
      </c>
    </row>
    <row r="71">
      <c r="A71" s="2">
        <f>IFERROR(__xludf.DUMMYFUNCTION("""COMPUTED_VALUE"""),7.41245638741E11)</f>
        <v>741245638741</v>
      </c>
      <c r="B71" s="17" t="str">
        <f>IFERROR(__xludf.DUMMYFUNCTION("""COMPUTED_VALUE"""),"Gourmet")</f>
        <v>Gourmet</v>
      </c>
      <c r="C71" s="17" t="str">
        <f>IFERROR(__xludf.DUMMYFUNCTION("""COMPUTED_VALUE"""),"Purina Gold Kıyılmış Sığır Etli Kedi Yaş Maması 85 Gr 12 Adet")</f>
        <v>Purina Gold Kıyılmış Sığır Etli Kedi Yaş Maması 85 Gr 12 Adet</v>
      </c>
      <c r="D71" s="13">
        <f>IFERROR(__xludf.DUMMYFUNCTION("""COMPUTED_VALUE"""),426.25)</f>
        <v>426.25</v>
      </c>
      <c r="E71" s="13">
        <f>IFERROR(__xludf.DUMMYFUNCTION("""COMPUTED_VALUE"""),8.882291666666715)</f>
        <v>8.882291667</v>
      </c>
      <c r="F71" s="15">
        <f>IFERROR(__xludf.DUMMYFUNCTION("""COMPUTED_VALUE"""),0.020838220918866193)</f>
        <v>0.02083822092</v>
      </c>
      <c r="G71" s="17" t="str">
        <f>IFERROR(__xludf.DUMMYFUNCTION("""COMPUTED_VALUE"""),"RİSKLİ")</f>
        <v>RİSKLİ</v>
      </c>
      <c r="H71" s="17" t="str">
        <f>IFERROR(__xludf.DUMMYFUNCTION("""COMPUTED_VALUE"""),"Minimum fiyat altına düşme")</f>
        <v>Minimum fiyat altına düşme</v>
      </c>
    </row>
    <row r="72">
      <c r="A72" s="2">
        <f>IFERROR(__xludf.DUMMYFUNCTION("""COMPUTED_VALUE"""),985474.0)</f>
        <v>985474</v>
      </c>
      <c r="B72" s="17" t="str">
        <f>IFERROR(__xludf.DUMMYFUNCTION("""COMPUTED_VALUE"""),"Pro Plan")</f>
        <v>Pro Plan</v>
      </c>
      <c r="C72" s="17" t="str">
        <f>IFERROR(__xludf.DUMMYFUNCTION("""COMPUTED_VALUE"""),"Proplan Sterilised Somon Kısır Kedi Konservesi 85 Gr X 12 Adet Yaş Mama")</f>
        <v>Proplan Sterilised Somon Kısır Kedi Konservesi 85 Gr X 12 Adet Yaş Mama</v>
      </c>
      <c r="D72" s="13">
        <f>IFERROR(__xludf.DUMMYFUNCTION("""COMPUTED_VALUE"""),520.0)</f>
        <v>520</v>
      </c>
      <c r="E72" s="13">
        <f>IFERROR(__xludf.DUMMYFUNCTION("""COMPUTED_VALUE"""),11.041666666666668)</f>
        <v>11.04166667</v>
      </c>
      <c r="F72" s="15">
        <f>IFERROR(__xludf.DUMMYFUNCTION("""COMPUTED_VALUE"""),0.02123397435897436)</f>
        <v>0.02123397436</v>
      </c>
      <c r="G72" s="17" t="str">
        <f>IFERROR(__xludf.DUMMYFUNCTION("""COMPUTED_VALUE"""),"RİSKLİ")</f>
        <v>RİSKLİ</v>
      </c>
      <c r="H72" s="17" t="str">
        <f>IFERROR(__xludf.DUMMYFUNCTION("""COMPUTED_VALUE"""),"Minimum fiyat altına düşme")</f>
        <v>Minimum fiyat altına düşme</v>
      </c>
    </row>
    <row r="73">
      <c r="A73" s="2">
        <f>IFERROR(__xludf.DUMMYFUNCTION("""COMPUTED_VALUE"""),2.10420241807E11)</f>
        <v>210420241807</v>
      </c>
      <c r="B73" s="17" t="str">
        <f>IFERROR(__xludf.DUMMYFUNCTION("""COMPUTED_VALUE"""),"N&amp;D")</f>
        <v>N&amp;D</v>
      </c>
      <c r="C73" s="17" t="str">
        <f>IFERROR(__xludf.DUMMYFUNCTION("""COMPUTED_VALUE"""),"ND KEDİ MAMASI TROPICAL SELECTİON KISIRLAŞTIRILMIŞ KUZULU 10 KG 1 ADET")</f>
        <v>ND KEDİ MAMASI TROPICAL SELECTİON KISIRLAŞTIRILMIŞ KUZULU 10 KG 1 ADET</v>
      </c>
      <c r="D73" s="13">
        <f>IFERROR(__xludf.DUMMYFUNCTION("""COMPUTED_VALUE"""),3899.0)</f>
        <v>3899</v>
      </c>
      <c r="E73" s="13">
        <f>IFERROR(__xludf.DUMMYFUNCTION("""COMPUTED_VALUE"""),83.12083333333362)</f>
        <v>83.12083333</v>
      </c>
      <c r="F73" s="15">
        <f>IFERROR(__xludf.DUMMYFUNCTION("""COMPUTED_VALUE"""),0.02131850047020611)</f>
        <v>0.02131850047</v>
      </c>
      <c r="G73" s="17" t="str">
        <f>IFERROR(__xludf.DUMMYFUNCTION("""COMPUTED_VALUE"""),"RİSKLİ")</f>
        <v>RİSKLİ</v>
      </c>
      <c r="H73" s="17" t="str">
        <f>IFERROR(__xludf.DUMMYFUNCTION("""COMPUTED_VALUE"""),"Minimum fiyat altına düşme")</f>
        <v>Minimum fiyat altına düşme</v>
      </c>
    </row>
    <row r="74">
      <c r="A74" s="2">
        <f>IFERROR(__xludf.DUMMYFUNCTION("""COMPUTED_VALUE"""),8.010276021823E12)</f>
        <v>8010276021823</v>
      </c>
      <c r="B74" s="17" t="str">
        <f>IFERROR(__xludf.DUMMYFUNCTION("""COMPUTED_VALUE"""),"N&amp;D")</f>
        <v>N&amp;D</v>
      </c>
      <c r="C74" s="17" t="str">
        <f>IFERROR(__xludf.DUMMYFUNCTION("""COMPUTED_VALUE"""),"Tahılsız Kuzulu&amp;Yabanmersinli Mini Irk Yetişkin Köpek Maması 7 KG")</f>
        <v>Tahılsız Kuzulu&amp;Yabanmersinli Mini Irk Yetişkin Köpek Maması 7 KG</v>
      </c>
      <c r="D74" s="13">
        <f>IFERROR(__xludf.DUMMYFUNCTION("""COMPUTED_VALUE"""),3969.0)</f>
        <v>3969</v>
      </c>
      <c r="E74" s="13">
        <f>IFERROR(__xludf.DUMMYFUNCTION("""COMPUTED_VALUE"""),85.41249999999962)</f>
        <v>85.4125</v>
      </c>
      <c r="F74" s="15">
        <f>IFERROR(__xludf.DUMMYFUNCTION("""COMPUTED_VALUE"""),0.021519904257999403)</f>
        <v>0.02151990426</v>
      </c>
      <c r="G74" s="17" t="str">
        <f>IFERROR(__xludf.DUMMYFUNCTION("""COMPUTED_VALUE"""),"RİSKLİ")</f>
        <v>RİSKLİ</v>
      </c>
      <c r="H74" s="17" t="str">
        <f>IFERROR(__xludf.DUMMYFUNCTION("""COMPUTED_VALUE"""),"Minimum fiyat altına düşme")</f>
        <v>Minimum fiyat altına düşme</v>
      </c>
    </row>
    <row r="75">
      <c r="A75" s="2">
        <f>IFERROR(__xludf.DUMMYFUNCTION("""COMPUTED_VALUE"""),9.003579001646E12)</f>
        <v>9003579001646</v>
      </c>
      <c r="B75" s="17" t="str">
        <f>IFERROR(__xludf.DUMMYFUNCTION("""COMPUTED_VALUE"""),"Royal Canin")</f>
        <v>Royal Canin</v>
      </c>
      <c r="C75" s="17" t="str">
        <f>IFERROR(__xludf.DUMMYFUNCTION("""COMPUTED_VALUE"""),"Poodle Yaş Köpek Maması 12 x 85g")</f>
        <v>Poodle Yaş Köpek Maması 12 x 85g</v>
      </c>
      <c r="D75" s="13">
        <f>IFERROR(__xludf.DUMMYFUNCTION("""COMPUTED_VALUE"""),658.0)</f>
        <v>658</v>
      </c>
      <c r="E75" s="13">
        <f>IFERROR(__xludf.DUMMYFUNCTION("""COMPUTED_VALUE"""),14.316666666666714)</f>
        <v>14.31666667</v>
      </c>
      <c r="F75" s="15">
        <f>IFERROR(__xludf.DUMMYFUNCTION("""COMPUTED_VALUE"""),0.021757852077001087)</f>
        <v>0.02175785208</v>
      </c>
      <c r="G75" s="17" t="str">
        <f>IFERROR(__xludf.DUMMYFUNCTION("""COMPUTED_VALUE"""),"RİSKLİ")</f>
        <v>RİSKLİ</v>
      </c>
      <c r="H75" s="17" t="str">
        <f>IFERROR(__xludf.DUMMYFUNCTION("""COMPUTED_VALUE"""),"Minimum fiyat altına düşme")</f>
        <v>Minimum fiyat altına düşme</v>
      </c>
    </row>
    <row r="76">
      <c r="A76" s="2">
        <f>IFERROR(__xludf.DUMMYFUNCTION("""COMPUTED_VALUE"""),8.010276042361E12)</f>
        <v>8010276042361</v>
      </c>
      <c r="B76" s="17" t="str">
        <f>IFERROR(__xludf.DUMMYFUNCTION("""COMPUTED_VALUE"""),"N&amp;D")</f>
        <v>N&amp;D</v>
      </c>
      <c r="C76" s="17" t="str">
        <f>IFERROR(__xludf.DUMMYFUNCTION("""COMPUTED_VALUE"""),"Tropical Selection Somonlu Mini Irk Yetişkin Köpek Maması 5kg")</f>
        <v>Tropical Selection Somonlu Mini Irk Yetişkin Köpek Maması 5kg</v>
      </c>
      <c r="D76" s="13">
        <f>IFERROR(__xludf.DUMMYFUNCTION("""COMPUTED_VALUE"""),2195.0)</f>
        <v>2195</v>
      </c>
      <c r="E76" s="13">
        <f>IFERROR(__xludf.DUMMYFUNCTION("""COMPUTED_VALUE"""),48.07083333333346)</f>
        <v>48.07083333</v>
      </c>
      <c r="F76" s="15">
        <f>IFERROR(__xludf.DUMMYFUNCTION("""COMPUTED_VALUE"""),0.021900151860288593)</f>
        <v>0.02190015186</v>
      </c>
      <c r="G76" s="17" t="str">
        <f>IFERROR(__xludf.DUMMYFUNCTION("""COMPUTED_VALUE"""),"RİSKLİ")</f>
        <v>RİSKLİ</v>
      </c>
      <c r="H76" s="17" t="str">
        <f>IFERROR(__xludf.DUMMYFUNCTION("""COMPUTED_VALUE"""),"Minimum fiyat altına düşme")</f>
        <v>Minimum fiyat altına düşme</v>
      </c>
    </row>
    <row r="77">
      <c r="A77" s="2">
        <f>IFERROR(__xludf.DUMMYFUNCTION("""COMPUTED_VALUE"""),8.010276033703E12)</f>
        <v>8010276033703</v>
      </c>
      <c r="B77" s="17" t="str">
        <f>IFERROR(__xludf.DUMMYFUNCTION("""COMPUTED_VALUE"""),"N&amp;D")</f>
        <v>N&amp;D</v>
      </c>
      <c r="C77" s="17" t="str">
        <f>IFERROR(__xludf.DUMMYFUNCTION("""COMPUTED_VALUE"""),"Ancestral Grain Mini Puppy Kuzulu Yaban Mersinli Küçük Irk Düşük Tahıllı Yavru Köpek Maması 2,5")</f>
        <v>Ancestral Grain Mini Puppy Kuzulu Yaban Mersinli Küçük Irk Düşük Tahıllı Yavru Köpek Maması 2,5</v>
      </c>
      <c r="D77" s="13">
        <f>IFERROR(__xludf.DUMMYFUNCTION("""COMPUTED_VALUE"""),1493.0)</f>
        <v>1493</v>
      </c>
      <c r="E77" s="13">
        <f>IFERROR(__xludf.DUMMYFUNCTION("""COMPUTED_VALUE"""),32.94583333333338)</f>
        <v>32.94583333</v>
      </c>
      <c r="F77" s="15">
        <f>IFERROR(__xludf.DUMMYFUNCTION("""COMPUTED_VALUE"""),0.02206686760437601)</f>
        <v>0.0220668676</v>
      </c>
      <c r="G77" s="17" t="str">
        <f>IFERROR(__xludf.DUMMYFUNCTION("""COMPUTED_VALUE"""),"RİSKLİ")</f>
        <v>RİSKLİ</v>
      </c>
      <c r="H77" s="17" t="str">
        <f>IFERROR(__xludf.DUMMYFUNCTION("""COMPUTED_VALUE"""),"Minimum fiyat altına düşme")</f>
        <v>Minimum fiyat altına düşme</v>
      </c>
    </row>
    <row r="78">
      <c r="A78" s="2">
        <f>IFERROR(__xludf.DUMMYFUNCTION("""COMPUTED_VALUE"""),7.6130335646424E13)</f>
        <v>76130335646424</v>
      </c>
      <c r="B78" s="17" t="str">
        <f>IFERROR(__xludf.DUMMYFUNCTION("""COMPUTED_VALUE"""),"Pro Plan")</f>
        <v>Pro Plan</v>
      </c>
      <c r="C78" s="17" t="str">
        <f>IFERROR(__xludf.DUMMYFUNCTION("""COMPUTED_VALUE"""),"Proplan Sterilised Somon Kısır Kedi Maması 400 Gr*4 Adet")</f>
        <v>Proplan Sterilised Somon Kısır Kedi Maması 400 Gr*4 Adet</v>
      </c>
      <c r="D78" s="13">
        <f>IFERROR(__xludf.DUMMYFUNCTION("""COMPUTED_VALUE"""),802.0)</f>
        <v>802</v>
      </c>
      <c r="E78" s="13">
        <f>IFERROR(__xludf.DUMMYFUNCTION("""COMPUTED_VALUE"""),18.85000000000008)</f>
        <v>18.85</v>
      </c>
      <c r="F78" s="15">
        <f>IFERROR(__xludf.DUMMYFUNCTION("""COMPUTED_VALUE"""),0.02350374064837915)</f>
        <v>0.02350374065</v>
      </c>
      <c r="G78" s="17" t="str">
        <f>IFERROR(__xludf.DUMMYFUNCTION("""COMPUTED_VALUE"""),"RİSKLİ")</f>
        <v>RİSKLİ</v>
      </c>
      <c r="H78" s="17" t="str">
        <f>IFERROR(__xludf.DUMMYFUNCTION("""COMPUTED_VALUE"""),"Minimum fiyat altına düşme")</f>
        <v>Minimum fiyat altına düşme</v>
      </c>
    </row>
    <row r="79">
      <c r="A79" s="2" t="str">
        <f>IFERROR(__xludf.DUMMYFUNCTION("""COMPUTED_VALUE"""),"TYB63LE63X4TX1PQ37")</f>
        <v>TYB63LE63X4TX1PQ37</v>
      </c>
      <c r="B79" s="17" t="str">
        <f>IFERROR(__xludf.DUMMYFUNCTION("""COMPUTED_VALUE"""),"Gourmet")</f>
        <v>Gourmet</v>
      </c>
      <c r="C79" s="17" t="str">
        <f>IFERROR(__xludf.DUMMYFUNCTION("""COMPUTED_VALUE"""),"Hindili Kıyılmış 85 G X 24 Adet")</f>
        <v>Hindili Kıyılmış 85 G X 24 Adet</v>
      </c>
      <c r="D79" s="13">
        <f>IFERROR(__xludf.DUMMYFUNCTION("""COMPUTED_VALUE"""),742.85)</f>
        <v>742.85</v>
      </c>
      <c r="E79" s="13">
        <f>IFERROR(__xludf.DUMMYFUNCTION("""COMPUTED_VALUE"""),18.050333333333363)</f>
        <v>18.05033333</v>
      </c>
      <c r="F79" s="15">
        <f>IFERROR(__xludf.DUMMYFUNCTION("""COMPUTED_VALUE"""),0.02429875928294186)</f>
        <v>0.02429875928</v>
      </c>
      <c r="G79" s="17" t="str">
        <f>IFERROR(__xludf.DUMMYFUNCTION("""COMPUTED_VALUE"""),"RİSKLİ")</f>
        <v>RİSKLİ</v>
      </c>
      <c r="H79" s="17" t="str">
        <f>IFERROR(__xludf.DUMMYFUNCTION("""COMPUTED_VALUE"""),"Minimum fiyat altına düşme")</f>
        <v>Minimum fiyat altına düşme</v>
      </c>
    </row>
    <row r="80">
      <c r="A80" s="2"/>
      <c r="D80" s="13"/>
      <c r="E80" s="13"/>
      <c r="F80" s="15"/>
    </row>
    <row r="81">
      <c r="A81" s="2"/>
      <c r="D81" s="13"/>
      <c r="E81" s="13"/>
      <c r="F81" s="15"/>
    </row>
    <row r="82">
      <c r="A82" s="2"/>
      <c r="D82" s="13"/>
      <c r="E82" s="13"/>
      <c r="F82" s="15"/>
    </row>
    <row r="83">
      <c r="A83" s="2"/>
      <c r="D83" s="14"/>
      <c r="E83" s="14"/>
      <c r="F83" s="15"/>
    </row>
    <row r="84">
      <c r="A84" s="2"/>
      <c r="D84" s="14"/>
      <c r="E84" s="14"/>
      <c r="F84" s="15"/>
    </row>
    <row r="85">
      <c r="A85" s="2"/>
      <c r="D85" s="14"/>
      <c r="E85" s="14"/>
      <c r="F85" s="15"/>
    </row>
    <row r="86">
      <c r="A86" s="2"/>
      <c r="D86" s="14"/>
      <c r="E86" s="14"/>
      <c r="F86" s="15"/>
    </row>
    <row r="87">
      <c r="A87" s="2"/>
      <c r="D87" s="14"/>
      <c r="E87" s="14"/>
      <c r="F87" s="15"/>
    </row>
    <row r="88">
      <c r="A88" s="2"/>
      <c r="D88" s="14"/>
      <c r="E88" s="14"/>
      <c r="F88" s="15"/>
    </row>
    <row r="89">
      <c r="A89" s="2"/>
      <c r="D89" s="14"/>
      <c r="E89" s="14"/>
      <c r="F89" s="15"/>
    </row>
    <row r="90">
      <c r="A90" s="2"/>
      <c r="D90" s="14"/>
      <c r="E90" s="14"/>
      <c r="F90" s="15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19</v>
      </c>
      <c r="B1" s="36" t="s">
        <v>20</v>
      </c>
      <c r="C1" s="36" t="s">
        <v>21</v>
      </c>
      <c r="D1" s="36" t="s">
        <v>44</v>
      </c>
      <c r="E1" s="36" t="s">
        <v>45</v>
      </c>
      <c r="F1" s="36" t="s">
        <v>46</v>
      </c>
      <c r="G1" s="36" t="s">
        <v>47</v>
      </c>
      <c r="H1" s="36" t="s">
        <v>48</v>
      </c>
      <c r="I1" s="36" t="s">
        <v>49</v>
      </c>
    </row>
    <row r="2">
      <c r="A2" s="2">
        <v>7.613033568558E12</v>
      </c>
      <c r="B2" s="17" t="s">
        <v>50</v>
      </c>
      <c r="C2" s="17" t="s">
        <v>51</v>
      </c>
      <c r="E2" s="17" t="s">
        <v>52</v>
      </c>
      <c r="F2" s="31">
        <v>41.0</v>
      </c>
      <c r="G2" s="37">
        <v>1.0</v>
      </c>
      <c r="I2" s="17" t="str">
        <f t="shared" ref="I2:I550" si="1">IF($A2="","",IF(COUNTIF($A$2:$A$550,$A2)&gt;1,"Tekrarlı barkod",""))</f>
        <v/>
      </c>
    </row>
    <row r="3">
      <c r="A3" s="2">
        <v>9.003579311301E12</v>
      </c>
      <c r="B3" s="17" t="s">
        <v>53</v>
      </c>
      <c r="C3" s="17" t="s">
        <v>54</v>
      </c>
      <c r="E3" s="17" t="s">
        <v>52</v>
      </c>
      <c r="F3" s="31">
        <v>41.0</v>
      </c>
      <c r="G3" s="37">
        <v>1.0</v>
      </c>
      <c r="I3" s="17" t="str">
        <f t="shared" si="1"/>
        <v/>
      </c>
    </row>
    <row r="4">
      <c r="A4" s="2">
        <v>9.003579311714E12</v>
      </c>
      <c r="B4" s="17" t="s">
        <v>53</v>
      </c>
      <c r="C4" s="17" t="s">
        <v>55</v>
      </c>
      <c r="E4" s="17" t="s">
        <v>52</v>
      </c>
      <c r="F4" s="31">
        <v>41.0</v>
      </c>
      <c r="G4" s="37">
        <v>1.0</v>
      </c>
      <c r="I4" s="17" t="str">
        <f t="shared" si="1"/>
        <v/>
      </c>
    </row>
    <row r="5">
      <c r="A5" s="2">
        <v>9.003579308929E12</v>
      </c>
      <c r="B5" s="17" t="s">
        <v>53</v>
      </c>
      <c r="C5" s="17" t="s">
        <v>56</v>
      </c>
      <c r="E5" s="17" t="s">
        <v>52</v>
      </c>
      <c r="F5" s="31">
        <v>41.0</v>
      </c>
      <c r="G5" s="37">
        <v>1.0</v>
      </c>
      <c r="I5" s="17" t="str">
        <f t="shared" si="1"/>
        <v/>
      </c>
    </row>
    <row r="6">
      <c r="A6" s="2">
        <v>1.172022022E9</v>
      </c>
      <c r="B6" s="17" t="s">
        <v>53</v>
      </c>
      <c r="C6" s="17" t="s">
        <v>57</v>
      </c>
      <c r="E6" s="17" t="s">
        <v>52</v>
      </c>
      <c r="F6" s="31">
        <v>490.0</v>
      </c>
      <c r="G6" s="37">
        <v>1.0</v>
      </c>
      <c r="I6" s="17" t="str">
        <f t="shared" si="1"/>
        <v/>
      </c>
    </row>
    <row r="7">
      <c r="A7" s="2">
        <v>7.613035214798E12</v>
      </c>
      <c r="B7" s="17" t="s">
        <v>50</v>
      </c>
      <c r="C7" s="17" t="s">
        <v>58</v>
      </c>
      <c r="E7" s="17" t="s">
        <v>59</v>
      </c>
      <c r="F7" s="31">
        <v>872.0</v>
      </c>
      <c r="G7" s="37">
        <v>3.0</v>
      </c>
      <c r="I7" s="17" t="str">
        <f t="shared" si="1"/>
        <v/>
      </c>
    </row>
    <row r="8">
      <c r="A8" s="2">
        <v>7.613035214774E12</v>
      </c>
      <c r="B8" s="17" t="s">
        <v>50</v>
      </c>
      <c r="C8" s="17" t="s">
        <v>60</v>
      </c>
      <c r="E8" s="17" t="s">
        <v>59</v>
      </c>
      <c r="F8" s="31">
        <v>2924.0</v>
      </c>
      <c r="G8" s="37">
        <v>14.0</v>
      </c>
      <c r="I8" s="17" t="str">
        <f t="shared" si="1"/>
        <v/>
      </c>
    </row>
    <row r="9">
      <c r="A9" s="2">
        <v>7.613035214767E12</v>
      </c>
      <c r="B9" s="17" t="s">
        <v>50</v>
      </c>
      <c r="C9" s="17" t="s">
        <v>61</v>
      </c>
      <c r="E9" s="17" t="s">
        <v>59</v>
      </c>
      <c r="F9" s="31">
        <v>2985.0</v>
      </c>
      <c r="G9" s="37">
        <v>12.0</v>
      </c>
      <c r="I9" s="17" t="str">
        <f t="shared" si="1"/>
        <v/>
      </c>
    </row>
    <row r="10">
      <c r="A10" s="2">
        <v>7.613035123809E12</v>
      </c>
      <c r="B10" s="17" t="s">
        <v>50</v>
      </c>
      <c r="C10" s="17" t="s">
        <v>62</v>
      </c>
      <c r="E10" s="17" t="s">
        <v>59</v>
      </c>
      <c r="F10" s="31">
        <v>928.0</v>
      </c>
      <c r="G10" s="37">
        <v>3.0</v>
      </c>
      <c r="I10" s="17" t="str">
        <f t="shared" si="1"/>
        <v/>
      </c>
    </row>
    <row r="11">
      <c r="A11" s="2">
        <v>7.613035120464E12</v>
      </c>
      <c r="B11" s="17" t="s">
        <v>50</v>
      </c>
      <c r="C11" s="17" t="s">
        <v>63</v>
      </c>
      <c r="E11" s="17" t="s">
        <v>59</v>
      </c>
      <c r="F11" s="31">
        <v>2991.0</v>
      </c>
      <c r="G11" s="37">
        <v>14.0</v>
      </c>
      <c r="I11" s="17" t="str">
        <f t="shared" si="1"/>
        <v/>
      </c>
    </row>
    <row r="12">
      <c r="A12" s="2">
        <v>7.613035120389E12</v>
      </c>
      <c r="B12" s="17" t="s">
        <v>50</v>
      </c>
      <c r="C12" s="17" t="s">
        <v>64</v>
      </c>
      <c r="E12" s="17" t="s">
        <v>59</v>
      </c>
      <c r="F12" s="31">
        <v>2991.0</v>
      </c>
      <c r="G12" s="37">
        <v>12.0</v>
      </c>
      <c r="I12" s="17" t="str">
        <f t="shared" si="1"/>
        <v/>
      </c>
    </row>
    <row r="13">
      <c r="A13" s="2">
        <v>7.613035119024E12</v>
      </c>
      <c r="B13" s="17" t="s">
        <v>50</v>
      </c>
      <c r="C13" s="17" t="s">
        <v>65</v>
      </c>
      <c r="E13" s="17" t="s">
        <v>59</v>
      </c>
      <c r="F13" s="31">
        <v>3325.0</v>
      </c>
      <c r="G13" s="37">
        <v>15.0</v>
      </c>
      <c r="I13" s="17" t="str">
        <f t="shared" si="1"/>
        <v/>
      </c>
    </row>
    <row r="14">
      <c r="A14" s="2">
        <v>7.61303511492E12</v>
      </c>
      <c r="B14" s="17" t="s">
        <v>50</v>
      </c>
      <c r="C14" s="17" t="s">
        <v>66</v>
      </c>
      <c r="E14" s="17" t="s">
        <v>59</v>
      </c>
      <c r="F14" s="31">
        <v>866.0</v>
      </c>
      <c r="G14" s="37">
        <v>3.0</v>
      </c>
      <c r="I14" s="17" t="str">
        <f t="shared" si="1"/>
        <v/>
      </c>
    </row>
    <row r="15">
      <c r="A15" s="2">
        <v>7.61303511489E12</v>
      </c>
      <c r="B15" s="17" t="s">
        <v>50</v>
      </c>
      <c r="C15" s="17" t="s">
        <v>67</v>
      </c>
      <c r="E15" s="17" t="s">
        <v>59</v>
      </c>
      <c r="F15" s="31">
        <v>975.0</v>
      </c>
      <c r="G15" s="37">
        <v>3.0</v>
      </c>
      <c r="I15" s="17" t="str">
        <f t="shared" si="1"/>
        <v/>
      </c>
    </row>
    <row r="16">
      <c r="A16" s="2">
        <v>7.613035114838E12</v>
      </c>
      <c r="B16" s="17" t="s">
        <v>50</v>
      </c>
      <c r="C16" s="17" t="s">
        <v>68</v>
      </c>
      <c r="E16" s="17" t="s">
        <v>59</v>
      </c>
      <c r="F16" s="31">
        <v>1035.0</v>
      </c>
      <c r="G16" s="37">
        <v>3.0</v>
      </c>
      <c r="I16" s="17" t="str">
        <f t="shared" si="1"/>
        <v/>
      </c>
    </row>
    <row r="17">
      <c r="A17" s="2">
        <v>7.613035114777E12</v>
      </c>
      <c r="B17" s="17" t="s">
        <v>50</v>
      </c>
      <c r="C17" s="17" t="s">
        <v>69</v>
      </c>
      <c r="E17" s="17" t="s">
        <v>59</v>
      </c>
      <c r="F17" s="31">
        <v>907.0</v>
      </c>
      <c r="G17" s="37">
        <v>3.0</v>
      </c>
      <c r="I17" s="17" t="str">
        <f t="shared" si="1"/>
        <v/>
      </c>
    </row>
    <row r="18">
      <c r="A18" s="2">
        <v>1.10201908E8</v>
      </c>
      <c r="B18" s="17" t="s">
        <v>70</v>
      </c>
      <c r="C18" s="17" t="s">
        <v>71</v>
      </c>
      <c r="E18" s="17" t="s">
        <v>72</v>
      </c>
      <c r="F18" s="31">
        <v>1194.0</v>
      </c>
      <c r="G18" s="34">
        <v>3.0</v>
      </c>
      <c r="I18" s="17" t="str">
        <f t="shared" si="1"/>
        <v/>
      </c>
    </row>
    <row r="19">
      <c r="A19" s="2">
        <v>8.40134695853E11</v>
      </c>
      <c r="B19" s="17" t="s">
        <v>73</v>
      </c>
      <c r="C19" s="17" t="s">
        <v>74</v>
      </c>
      <c r="E19" s="17" t="s">
        <v>75</v>
      </c>
      <c r="F19" s="14"/>
      <c r="G19" s="34">
        <v>1.0</v>
      </c>
      <c r="I19" s="17" t="str">
        <f t="shared" si="1"/>
        <v/>
      </c>
    </row>
    <row r="20">
      <c r="A20" s="2">
        <v>8.40134695921E11</v>
      </c>
      <c r="B20" s="17" t="s">
        <v>73</v>
      </c>
      <c r="C20" s="17" t="s">
        <v>76</v>
      </c>
      <c r="E20" s="17" t="s">
        <v>75</v>
      </c>
      <c r="F20" s="14"/>
      <c r="G20" s="34">
        <v>1.0</v>
      </c>
      <c r="I20" s="17" t="str">
        <f t="shared" si="1"/>
        <v/>
      </c>
    </row>
    <row r="21">
      <c r="A21" s="2">
        <v>8.40134695938E11</v>
      </c>
      <c r="B21" s="17" t="s">
        <v>73</v>
      </c>
      <c r="C21" s="17" t="s">
        <v>77</v>
      </c>
      <c r="E21" s="17" t="s">
        <v>75</v>
      </c>
      <c r="F21" s="14"/>
      <c r="G21" s="34">
        <v>1.0</v>
      </c>
      <c r="I21" s="17" t="str">
        <f t="shared" si="1"/>
        <v/>
      </c>
    </row>
    <row r="22">
      <c r="A22" s="2">
        <v>8.40134695983E11</v>
      </c>
      <c r="B22" s="17" t="s">
        <v>73</v>
      </c>
      <c r="C22" s="17" t="s">
        <v>78</v>
      </c>
      <c r="E22" s="17" t="s">
        <v>75</v>
      </c>
      <c r="F22" s="14"/>
      <c r="G22" s="34">
        <v>1.0</v>
      </c>
      <c r="I22" s="17" t="str">
        <f t="shared" si="1"/>
        <v/>
      </c>
    </row>
    <row r="23">
      <c r="A23" s="2">
        <v>8.4013469599E11</v>
      </c>
      <c r="B23" s="17" t="s">
        <v>73</v>
      </c>
      <c r="C23" s="17" t="s">
        <v>79</v>
      </c>
      <c r="E23" s="17" t="s">
        <v>75</v>
      </c>
      <c r="F23" s="14"/>
      <c r="G23" s="34">
        <v>1.0</v>
      </c>
      <c r="I23" s="17" t="str">
        <f t="shared" si="1"/>
        <v/>
      </c>
    </row>
    <row r="24">
      <c r="A24" s="2">
        <v>8.40134696355E11</v>
      </c>
      <c r="B24" s="17" t="s">
        <v>73</v>
      </c>
      <c r="C24" s="17" t="s">
        <v>80</v>
      </c>
      <c r="E24" s="17" t="s">
        <v>75</v>
      </c>
      <c r="F24" s="14"/>
      <c r="G24" s="34">
        <v>1.0</v>
      </c>
      <c r="I24" s="17" t="str">
        <f t="shared" si="1"/>
        <v/>
      </c>
    </row>
    <row r="25">
      <c r="A25" s="2">
        <v>8.40134696461E11</v>
      </c>
      <c r="B25" s="17" t="s">
        <v>73</v>
      </c>
      <c r="C25" s="17" t="s">
        <v>81</v>
      </c>
      <c r="E25" s="17" t="s">
        <v>75</v>
      </c>
      <c r="F25" s="14"/>
      <c r="G25" s="34">
        <v>1.0</v>
      </c>
      <c r="I25" s="17" t="str">
        <f t="shared" si="1"/>
        <v/>
      </c>
    </row>
    <row r="26">
      <c r="A26" s="2">
        <v>8.40134696485E11</v>
      </c>
      <c r="B26" s="17" t="s">
        <v>73</v>
      </c>
      <c r="C26" s="17" t="s">
        <v>82</v>
      </c>
      <c r="E26" s="17" t="s">
        <v>75</v>
      </c>
      <c r="F26" s="14"/>
      <c r="G26" s="34">
        <v>1.0</v>
      </c>
      <c r="I26" s="17" t="str">
        <f t="shared" si="1"/>
        <v/>
      </c>
    </row>
    <row r="27">
      <c r="A27" s="2" t="s">
        <v>83</v>
      </c>
      <c r="B27" s="17" t="s">
        <v>84</v>
      </c>
      <c r="C27" s="17" t="s">
        <v>85</v>
      </c>
      <c r="E27" s="17" t="s">
        <v>86</v>
      </c>
      <c r="F27" s="14"/>
      <c r="G27" s="34">
        <v>0.5</v>
      </c>
      <c r="I27" s="17" t="str">
        <f t="shared" si="1"/>
        <v/>
      </c>
    </row>
    <row r="28">
      <c r="A28" s="2">
        <v>8.711231170357E12</v>
      </c>
      <c r="B28" s="17" t="s">
        <v>84</v>
      </c>
      <c r="C28" s="17" t="s">
        <v>87</v>
      </c>
      <c r="E28" s="17" t="s">
        <v>86</v>
      </c>
      <c r="F28" s="14"/>
      <c r="G28" s="34">
        <v>0.5</v>
      </c>
      <c r="I28" s="17" t="str">
        <f t="shared" si="1"/>
        <v/>
      </c>
    </row>
    <row r="29">
      <c r="A29" s="2" t="s">
        <v>88</v>
      </c>
      <c r="B29" s="17" t="s">
        <v>84</v>
      </c>
      <c r="C29" s="17" t="s">
        <v>89</v>
      </c>
      <c r="E29" s="17" t="s">
        <v>90</v>
      </c>
      <c r="F29" s="31"/>
      <c r="G29" s="34">
        <v>1.0</v>
      </c>
      <c r="I29" s="17" t="str">
        <f t="shared" si="1"/>
        <v/>
      </c>
    </row>
    <row r="30">
      <c r="A30" s="2">
        <v>2.10420241807E11</v>
      </c>
      <c r="B30" s="17" t="s">
        <v>91</v>
      </c>
      <c r="C30" s="17" t="s">
        <v>92</v>
      </c>
      <c r="E30" s="17" t="s">
        <v>72</v>
      </c>
      <c r="F30" s="31">
        <v>2944.0</v>
      </c>
      <c r="G30" s="37">
        <v>10.0</v>
      </c>
      <c r="I30" s="17" t="str">
        <f t="shared" si="1"/>
        <v/>
      </c>
    </row>
    <row r="31">
      <c r="A31" s="2">
        <v>8.010276042149E12</v>
      </c>
      <c r="B31" s="17" t="s">
        <v>91</v>
      </c>
      <c r="C31" s="17" t="s">
        <v>93</v>
      </c>
      <c r="E31" s="17" t="s">
        <v>72</v>
      </c>
      <c r="F31" s="14">
        <v>2944.0</v>
      </c>
      <c r="G31" s="37">
        <v>10.0</v>
      </c>
      <c r="I31" s="17" t="str">
        <f t="shared" si="1"/>
        <v/>
      </c>
    </row>
    <row r="32">
      <c r="A32" s="2">
        <v>5.060412212489E12</v>
      </c>
      <c r="B32" s="17" t="s">
        <v>94</v>
      </c>
      <c r="C32" s="17" t="s">
        <v>95</v>
      </c>
      <c r="E32" s="17" t="s">
        <v>96</v>
      </c>
      <c r="F32" s="14"/>
      <c r="G32" s="34">
        <v>2.0</v>
      </c>
      <c r="I32" s="17" t="str">
        <f t="shared" si="1"/>
        <v/>
      </c>
    </row>
    <row r="33">
      <c r="A33" s="2">
        <v>5.060255492253E12</v>
      </c>
      <c r="B33" s="17" t="s">
        <v>94</v>
      </c>
      <c r="C33" s="17" t="s">
        <v>97</v>
      </c>
      <c r="E33" s="17" t="s">
        <v>96</v>
      </c>
      <c r="F33" s="14"/>
      <c r="G33" s="34">
        <v>2.0</v>
      </c>
      <c r="I33" s="17" t="str">
        <f t="shared" si="1"/>
        <v/>
      </c>
    </row>
    <row r="34">
      <c r="A34" s="2">
        <v>5.060255492291E12</v>
      </c>
      <c r="B34" s="17" t="s">
        <v>94</v>
      </c>
      <c r="C34" s="17" t="s">
        <v>98</v>
      </c>
      <c r="E34" s="17" t="s">
        <v>96</v>
      </c>
      <c r="F34" s="14"/>
      <c r="G34" s="34">
        <v>2.0</v>
      </c>
      <c r="I34" s="17" t="str">
        <f t="shared" si="1"/>
        <v/>
      </c>
    </row>
    <row r="35">
      <c r="A35" s="2" t="s">
        <v>99</v>
      </c>
      <c r="B35" s="17" t="s">
        <v>94</v>
      </c>
      <c r="C35" s="17" t="s">
        <v>100</v>
      </c>
      <c r="E35" s="17" t="s">
        <v>96</v>
      </c>
      <c r="F35" s="14"/>
      <c r="G35" s="34">
        <v>2.0</v>
      </c>
      <c r="I35" s="17" t="str">
        <f t="shared" si="1"/>
        <v/>
      </c>
    </row>
    <row r="36">
      <c r="A36" s="2" t="s">
        <v>101</v>
      </c>
      <c r="B36" s="17" t="s">
        <v>94</v>
      </c>
      <c r="C36" s="17" t="s">
        <v>102</v>
      </c>
      <c r="E36" s="17" t="s">
        <v>96</v>
      </c>
      <c r="F36" s="14"/>
      <c r="G36" s="34">
        <v>2.0</v>
      </c>
      <c r="I36" s="17" t="str">
        <f t="shared" si="1"/>
        <v/>
      </c>
    </row>
    <row r="37">
      <c r="A37" s="2" t="s">
        <v>103</v>
      </c>
      <c r="B37" s="17" t="s">
        <v>94</v>
      </c>
      <c r="C37" s="17" t="s">
        <v>104</v>
      </c>
      <c r="E37" s="17" t="s">
        <v>96</v>
      </c>
      <c r="F37" s="14"/>
      <c r="G37" s="34">
        <v>2.0</v>
      </c>
      <c r="I37" s="17" t="str">
        <f t="shared" si="1"/>
        <v/>
      </c>
    </row>
    <row r="38">
      <c r="A38" s="2">
        <v>5.060255492192E12</v>
      </c>
      <c r="B38" s="17" t="s">
        <v>94</v>
      </c>
      <c r="C38" s="17" t="s">
        <v>105</v>
      </c>
      <c r="E38" s="17" t="s">
        <v>96</v>
      </c>
      <c r="F38" s="14"/>
      <c r="G38" s="34">
        <v>2.0</v>
      </c>
      <c r="I38" s="17" t="str">
        <f t="shared" si="1"/>
        <v/>
      </c>
    </row>
    <row r="39">
      <c r="A39" s="2">
        <v>5.060255492161E12</v>
      </c>
      <c r="B39" s="17" t="s">
        <v>94</v>
      </c>
      <c r="C39" s="17" t="s">
        <v>106</v>
      </c>
      <c r="E39" s="17" t="s">
        <v>96</v>
      </c>
      <c r="F39" s="14">
        <v>800.0</v>
      </c>
      <c r="G39" s="34">
        <v>2.0</v>
      </c>
      <c r="I39" s="17" t="str">
        <f t="shared" si="1"/>
        <v/>
      </c>
    </row>
    <row r="40">
      <c r="A40" s="2">
        <v>5.060412214117E12</v>
      </c>
      <c r="B40" s="17" t="s">
        <v>94</v>
      </c>
      <c r="C40" s="17" t="s">
        <v>107</v>
      </c>
      <c r="E40" s="17" t="s">
        <v>96</v>
      </c>
      <c r="F40" s="14"/>
      <c r="G40" s="34">
        <v>2.0</v>
      </c>
      <c r="I40" s="17" t="str">
        <f t="shared" si="1"/>
        <v/>
      </c>
    </row>
    <row r="41">
      <c r="A41" s="2">
        <v>8.410650173535E12</v>
      </c>
      <c r="B41" s="17" t="s">
        <v>108</v>
      </c>
      <c r="C41" s="17" t="s">
        <v>109</v>
      </c>
      <c r="E41" s="17" t="s">
        <v>59</v>
      </c>
      <c r="F41" s="14">
        <v>3034.0</v>
      </c>
      <c r="G41" s="34">
        <v>10.0</v>
      </c>
      <c r="I41" s="17" t="str">
        <f t="shared" si="1"/>
        <v/>
      </c>
    </row>
    <row r="42">
      <c r="A42" s="2">
        <v>8.410650167886E12</v>
      </c>
      <c r="B42" s="17" t="s">
        <v>108</v>
      </c>
      <c r="C42" s="17" t="s">
        <v>110</v>
      </c>
      <c r="E42" s="17" t="s">
        <v>72</v>
      </c>
      <c r="F42" s="14">
        <v>715.0</v>
      </c>
      <c r="G42" s="34">
        <v>3.0</v>
      </c>
      <c r="I42" s="17" t="str">
        <f t="shared" si="1"/>
        <v/>
      </c>
    </row>
    <row r="43">
      <c r="A43" s="2">
        <v>8.410650239156E12</v>
      </c>
      <c r="B43" s="17" t="s">
        <v>108</v>
      </c>
      <c r="C43" s="17" t="s">
        <v>111</v>
      </c>
      <c r="E43" s="17" t="s">
        <v>72</v>
      </c>
      <c r="F43" s="14">
        <v>1260.0</v>
      </c>
      <c r="G43" s="34">
        <v>3.0</v>
      </c>
      <c r="I43" s="17" t="str">
        <f t="shared" si="1"/>
        <v/>
      </c>
    </row>
    <row r="44">
      <c r="A44" s="2">
        <v>8.410650151656E12</v>
      </c>
      <c r="B44" s="17" t="s">
        <v>108</v>
      </c>
      <c r="C44" s="17" t="s">
        <v>112</v>
      </c>
      <c r="E44" s="17" t="s">
        <v>72</v>
      </c>
      <c r="F44" s="14">
        <v>1228.0</v>
      </c>
      <c r="G44" s="34">
        <v>3.0</v>
      </c>
      <c r="I44" s="17" t="str">
        <f t="shared" si="1"/>
        <v/>
      </c>
    </row>
    <row r="45">
      <c r="A45" s="2">
        <v>8.410650218663E12</v>
      </c>
      <c r="B45" s="17" t="s">
        <v>108</v>
      </c>
      <c r="C45" s="17" t="s">
        <v>113</v>
      </c>
      <c r="E45" s="17" t="s">
        <v>72</v>
      </c>
      <c r="F45" s="14">
        <v>3556.0</v>
      </c>
      <c r="G45" s="34">
        <v>10.0</v>
      </c>
      <c r="I45" s="17" t="str">
        <f t="shared" si="1"/>
        <v/>
      </c>
    </row>
    <row r="46">
      <c r="A46" s="2">
        <v>8.410650167909E12</v>
      </c>
      <c r="B46" s="17" t="s">
        <v>108</v>
      </c>
      <c r="C46" s="17" t="s">
        <v>114</v>
      </c>
      <c r="E46" s="17" t="s">
        <v>72</v>
      </c>
      <c r="F46" s="14">
        <v>1228.0</v>
      </c>
      <c r="G46" s="34">
        <v>3.0</v>
      </c>
      <c r="I46" s="17" t="str">
        <f t="shared" si="1"/>
        <v/>
      </c>
    </row>
    <row r="47">
      <c r="A47" s="2">
        <v>8.005852171108E12</v>
      </c>
      <c r="B47" s="17" t="s">
        <v>115</v>
      </c>
      <c r="C47" s="17" t="s">
        <v>116</v>
      </c>
      <c r="E47" s="17" t="s">
        <v>52</v>
      </c>
      <c r="F47" s="14"/>
      <c r="G47" s="34">
        <v>3.0</v>
      </c>
      <c r="I47" s="17" t="str">
        <f t="shared" si="1"/>
        <v/>
      </c>
    </row>
    <row r="48">
      <c r="A48" s="2">
        <v>8.005852171054E12</v>
      </c>
      <c r="B48" s="17" t="s">
        <v>115</v>
      </c>
      <c r="C48" s="17" t="s">
        <v>117</v>
      </c>
      <c r="E48" s="17" t="s">
        <v>52</v>
      </c>
      <c r="F48" s="14"/>
      <c r="G48" s="34">
        <v>3.0</v>
      </c>
      <c r="I48" s="17" t="str">
        <f t="shared" si="1"/>
        <v/>
      </c>
    </row>
    <row r="49">
      <c r="A49" s="2">
        <v>8.005852171115E12</v>
      </c>
      <c r="B49" s="17" t="s">
        <v>115</v>
      </c>
      <c r="C49" s="17" t="s">
        <v>118</v>
      </c>
      <c r="E49" s="17" t="s">
        <v>52</v>
      </c>
      <c r="F49" s="14"/>
      <c r="G49" s="34">
        <v>3.0</v>
      </c>
      <c r="I49" s="17" t="str">
        <f t="shared" si="1"/>
        <v/>
      </c>
    </row>
    <row r="50">
      <c r="A50" s="2">
        <v>7.613033560033E12</v>
      </c>
      <c r="B50" s="17" t="s">
        <v>50</v>
      </c>
      <c r="C50" s="17" t="s">
        <v>119</v>
      </c>
      <c r="D50" s="17">
        <v>0.0</v>
      </c>
      <c r="E50" s="17" t="s">
        <v>72</v>
      </c>
      <c r="F50" s="14">
        <v>1165.0</v>
      </c>
      <c r="G50" s="34">
        <v>3.0</v>
      </c>
      <c r="I50" s="17" t="str">
        <f t="shared" si="1"/>
        <v/>
      </c>
    </row>
    <row r="51">
      <c r="A51" s="2" t="s">
        <v>120</v>
      </c>
      <c r="B51" s="17" t="s">
        <v>121</v>
      </c>
      <c r="C51" s="17" t="s">
        <v>122</v>
      </c>
      <c r="E51" s="17" t="s">
        <v>52</v>
      </c>
      <c r="F51" s="14"/>
      <c r="G51" s="34">
        <v>3.0</v>
      </c>
      <c r="I51" s="17" t="str">
        <f t="shared" si="1"/>
        <v/>
      </c>
    </row>
    <row r="52">
      <c r="A52" s="2" t="s">
        <v>123</v>
      </c>
      <c r="B52" s="17" t="s">
        <v>121</v>
      </c>
      <c r="C52" s="17" t="s">
        <v>124</v>
      </c>
      <c r="E52" s="17" t="s">
        <v>52</v>
      </c>
      <c r="F52" s="14">
        <v>792.0</v>
      </c>
      <c r="G52" s="34">
        <v>3.0</v>
      </c>
      <c r="I52" s="17" t="str">
        <f t="shared" si="1"/>
        <v/>
      </c>
    </row>
    <row r="53">
      <c r="A53" s="2">
        <v>640020.0</v>
      </c>
      <c r="B53" s="17" t="s">
        <v>121</v>
      </c>
      <c r="C53" s="17" t="s">
        <v>125</v>
      </c>
      <c r="E53" s="17" t="s">
        <v>52</v>
      </c>
      <c r="F53" s="14">
        <v>1582.0</v>
      </c>
      <c r="G53" s="34">
        <v>3.0</v>
      </c>
      <c r="I53" s="17" t="str">
        <f t="shared" si="1"/>
        <v/>
      </c>
    </row>
    <row r="54">
      <c r="A54" s="2">
        <v>8.681002995178E12</v>
      </c>
      <c r="B54" s="17" t="s">
        <v>121</v>
      </c>
      <c r="C54" s="17" t="s">
        <v>126</v>
      </c>
      <c r="E54" s="17" t="s">
        <v>52</v>
      </c>
      <c r="F54" s="14"/>
      <c r="G54" s="34">
        <v>3.0</v>
      </c>
      <c r="I54" s="17" t="str">
        <f t="shared" si="1"/>
        <v/>
      </c>
    </row>
    <row r="55">
      <c r="A55" s="2" t="s">
        <v>127</v>
      </c>
      <c r="B55" s="17" t="s">
        <v>53</v>
      </c>
      <c r="C55" s="17" t="s">
        <v>128</v>
      </c>
      <c r="E55" s="17" t="s">
        <v>72</v>
      </c>
      <c r="F55" s="14">
        <v>1.0</v>
      </c>
      <c r="G55" s="34">
        <v>3.0</v>
      </c>
      <c r="I55" s="17" t="str">
        <f t="shared" si="1"/>
        <v/>
      </c>
    </row>
    <row r="56">
      <c r="A56" s="2">
        <v>8.681002994201E12</v>
      </c>
      <c r="B56" s="17" t="s">
        <v>129</v>
      </c>
      <c r="C56" s="17" t="s">
        <v>130</v>
      </c>
      <c r="E56" s="17" t="s">
        <v>131</v>
      </c>
      <c r="F56" s="14">
        <v>85.0</v>
      </c>
      <c r="G56" s="34">
        <v>0.5</v>
      </c>
      <c r="I56" s="17" t="str">
        <f t="shared" si="1"/>
        <v/>
      </c>
    </row>
    <row r="57">
      <c r="A57" s="2" t="s">
        <v>132</v>
      </c>
      <c r="B57" s="17" t="s">
        <v>53</v>
      </c>
      <c r="C57" s="17" t="s">
        <v>133</v>
      </c>
      <c r="E57" s="17" t="s">
        <v>59</v>
      </c>
      <c r="F57" s="14">
        <v>1228.0</v>
      </c>
      <c r="G57" s="34">
        <v>3.0</v>
      </c>
      <c r="I57" s="17" t="str">
        <f t="shared" si="1"/>
        <v/>
      </c>
    </row>
    <row r="58">
      <c r="A58" s="2">
        <v>3.182550784399E12</v>
      </c>
      <c r="B58" s="17" t="s">
        <v>53</v>
      </c>
      <c r="C58" s="17" t="s">
        <v>134</v>
      </c>
      <c r="E58" s="17" t="s">
        <v>72</v>
      </c>
      <c r="F58" s="14">
        <v>1.0</v>
      </c>
      <c r="G58" s="34">
        <v>3.0</v>
      </c>
      <c r="I58" s="17" t="str">
        <f t="shared" si="1"/>
        <v/>
      </c>
    </row>
    <row r="59">
      <c r="A59" s="2" t="s">
        <v>135</v>
      </c>
      <c r="B59" s="17" t="s">
        <v>121</v>
      </c>
      <c r="C59" s="17" t="s">
        <v>136</v>
      </c>
      <c r="E59" s="17" t="s">
        <v>52</v>
      </c>
      <c r="F59" s="14">
        <v>1.0</v>
      </c>
      <c r="G59" s="34">
        <v>3.0</v>
      </c>
      <c r="I59" s="17" t="str">
        <f t="shared" si="1"/>
        <v/>
      </c>
    </row>
    <row r="60">
      <c r="A60" s="2">
        <v>8.745236589541E12</v>
      </c>
      <c r="B60" s="17" t="s">
        <v>137</v>
      </c>
      <c r="C60" s="17" t="s">
        <v>138</v>
      </c>
      <c r="E60" s="17" t="s">
        <v>52</v>
      </c>
      <c r="F60" s="14">
        <v>1500.0</v>
      </c>
      <c r="G60" s="34">
        <v>3.0</v>
      </c>
      <c r="I60" s="17" t="str">
        <f t="shared" si="1"/>
        <v/>
      </c>
    </row>
    <row r="61">
      <c r="A61" s="2">
        <v>8.694867251443E12</v>
      </c>
      <c r="B61" s="17" t="s">
        <v>139</v>
      </c>
      <c r="C61" s="17" t="s">
        <v>140</v>
      </c>
      <c r="E61" s="17" t="s">
        <v>52</v>
      </c>
      <c r="F61" s="14">
        <v>300.0</v>
      </c>
      <c r="G61" s="34">
        <v>3.0</v>
      </c>
      <c r="I61" s="17" t="str">
        <f t="shared" si="1"/>
        <v/>
      </c>
    </row>
    <row r="62">
      <c r="A62" s="2" t="s">
        <v>141</v>
      </c>
      <c r="B62" s="17" t="s">
        <v>137</v>
      </c>
      <c r="C62" s="17" t="s">
        <v>142</v>
      </c>
      <c r="E62" s="17" t="s">
        <v>52</v>
      </c>
      <c r="F62" s="14">
        <v>420.0</v>
      </c>
      <c r="G62" s="34">
        <v>3.0</v>
      </c>
      <c r="I62" s="17" t="str">
        <f t="shared" si="1"/>
        <v/>
      </c>
    </row>
    <row r="63">
      <c r="A63" s="2" t="s">
        <v>143</v>
      </c>
      <c r="B63" s="17" t="s">
        <v>137</v>
      </c>
      <c r="C63" s="17" t="s">
        <v>144</v>
      </c>
      <c r="E63" s="17" t="s">
        <v>72</v>
      </c>
      <c r="F63" s="14">
        <v>180.0</v>
      </c>
      <c r="G63" s="34">
        <v>3.0</v>
      </c>
      <c r="I63" s="17" t="str">
        <f t="shared" si="1"/>
        <v/>
      </c>
    </row>
    <row r="64">
      <c r="A64" s="2">
        <v>1.613036962014E12</v>
      </c>
      <c r="B64" s="17" t="s">
        <v>137</v>
      </c>
      <c r="C64" s="17" t="s">
        <v>145</v>
      </c>
      <c r="E64" s="17" t="s">
        <v>72</v>
      </c>
      <c r="F64" s="14">
        <v>300.0</v>
      </c>
      <c r="G64" s="34">
        <v>3.0</v>
      </c>
      <c r="I64" s="17" t="str">
        <f t="shared" si="1"/>
        <v/>
      </c>
    </row>
    <row r="65">
      <c r="A65" s="2">
        <v>8.681002997592E12</v>
      </c>
      <c r="B65" s="17" t="s">
        <v>129</v>
      </c>
      <c r="C65" s="17" t="s">
        <v>146</v>
      </c>
      <c r="E65" s="17" t="s">
        <v>131</v>
      </c>
      <c r="F65" s="14">
        <v>100.0</v>
      </c>
      <c r="G65" s="34">
        <v>0.5</v>
      </c>
      <c r="I65" s="17" t="str">
        <f t="shared" si="1"/>
        <v/>
      </c>
    </row>
    <row r="66">
      <c r="A66" s="2">
        <v>6.2420056724154E13</v>
      </c>
      <c r="B66" s="17" t="s">
        <v>129</v>
      </c>
      <c r="C66" s="17" t="s">
        <v>147</v>
      </c>
      <c r="E66" s="17" t="s">
        <v>72</v>
      </c>
      <c r="F66" s="14">
        <v>10.0</v>
      </c>
      <c r="G66" s="34">
        <v>3.0</v>
      </c>
      <c r="I66" s="17" t="str">
        <f t="shared" si="1"/>
        <v/>
      </c>
    </row>
    <row r="67">
      <c r="A67" s="2" t="s">
        <v>148</v>
      </c>
      <c r="B67" s="17" t="s">
        <v>129</v>
      </c>
      <c r="C67" s="17" t="s">
        <v>149</v>
      </c>
      <c r="E67" s="17" t="s">
        <v>131</v>
      </c>
      <c r="F67" s="14">
        <v>10.0</v>
      </c>
      <c r="G67" s="34">
        <v>0.5</v>
      </c>
      <c r="I67" s="17" t="str">
        <f t="shared" si="1"/>
        <v/>
      </c>
    </row>
    <row r="68">
      <c r="A68" s="2">
        <v>5.998749129968E12</v>
      </c>
      <c r="B68" s="17" t="s">
        <v>121</v>
      </c>
      <c r="C68" s="17" t="s">
        <v>150</v>
      </c>
      <c r="E68" s="17" t="s">
        <v>72</v>
      </c>
      <c r="F68" s="14">
        <v>1.0</v>
      </c>
      <c r="G68" s="34">
        <v>3.0</v>
      </c>
      <c r="I68" s="17" t="str">
        <f t="shared" si="1"/>
        <v/>
      </c>
    </row>
    <row r="69">
      <c r="A69" s="2">
        <v>5.900951014345E12</v>
      </c>
      <c r="B69" s="17" t="s">
        <v>121</v>
      </c>
      <c r="C69" s="17" t="s">
        <v>151</v>
      </c>
      <c r="E69" s="17" t="s">
        <v>72</v>
      </c>
      <c r="F69" s="14"/>
      <c r="G69" s="34">
        <v>3.0</v>
      </c>
      <c r="I69" s="17" t="str">
        <f t="shared" si="1"/>
        <v/>
      </c>
    </row>
    <row r="70">
      <c r="A70" s="2">
        <v>4.77060823913824E14</v>
      </c>
      <c r="B70" s="17" t="s">
        <v>121</v>
      </c>
      <c r="C70" s="17" t="s">
        <v>152</v>
      </c>
      <c r="E70" s="17" t="s">
        <v>52</v>
      </c>
      <c r="F70" s="14">
        <v>1.0</v>
      </c>
      <c r="G70" s="34">
        <v>3.0</v>
      </c>
      <c r="I70" s="17" t="str">
        <f t="shared" si="1"/>
        <v/>
      </c>
    </row>
    <row r="71">
      <c r="A71" s="2">
        <v>8.68447746204E12</v>
      </c>
      <c r="B71" s="17" t="s">
        <v>153</v>
      </c>
      <c r="C71" s="17" t="s">
        <v>154</v>
      </c>
      <c r="E71" s="17" t="s">
        <v>72</v>
      </c>
      <c r="F71" s="14">
        <v>743.0</v>
      </c>
      <c r="G71" s="34">
        <v>3.0</v>
      </c>
      <c r="I71" s="17" t="str">
        <f t="shared" si="1"/>
        <v/>
      </c>
    </row>
    <row r="72">
      <c r="A72" s="2">
        <v>3.208202001E9</v>
      </c>
      <c r="B72" s="17" t="s">
        <v>153</v>
      </c>
      <c r="C72" s="17" t="s">
        <v>155</v>
      </c>
      <c r="E72" s="17" t="s">
        <v>72</v>
      </c>
      <c r="F72" s="14">
        <v>406.0</v>
      </c>
      <c r="G72" s="34">
        <v>3.0</v>
      </c>
      <c r="I72" s="17" t="str">
        <f t="shared" si="1"/>
        <v/>
      </c>
    </row>
    <row r="73">
      <c r="A73" s="2">
        <v>8.681299601295E12</v>
      </c>
      <c r="B73" s="17" t="s">
        <v>153</v>
      </c>
      <c r="C73" s="17" t="s">
        <v>156</v>
      </c>
      <c r="E73" s="17" t="s">
        <v>72</v>
      </c>
      <c r="F73" s="14">
        <v>2065.0</v>
      </c>
      <c r="G73" s="34">
        <v>3.0</v>
      </c>
      <c r="I73" s="17" t="str">
        <f t="shared" si="1"/>
        <v/>
      </c>
    </row>
    <row r="74">
      <c r="A74" s="2">
        <v>8.682221365903E12</v>
      </c>
      <c r="B74" s="17" t="s">
        <v>153</v>
      </c>
      <c r="C74" s="17" t="s">
        <v>157</v>
      </c>
      <c r="E74" s="17" t="s">
        <v>72</v>
      </c>
      <c r="F74" s="14">
        <v>2109.0</v>
      </c>
      <c r="G74" s="34">
        <v>3.0</v>
      </c>
      <c r="I74" s="17" t="str">
        <f t="shared" si="1"/>
        <v/>
      </c>
    </row>
    <row r="75">
      <c r="A75" s="2" t="s">
        <v>158</v>
      </c>
      <c r="B75" s="17" t="s">
        <v>153</v>
      </c>
      <c r="C75" s="17" t="s">
        <v>159</v>
      </c>
      <c r="E75" s="17" t="s">
        <v>72</v>
      </c>
      <c r="F75" s="14">
        <v>2354.0</v>
      </c>
      <c r="G75" s="34">
        <v>3.0</v>
      </c>
      <c r="I75" s="17" t="str">
        <f t="shared" si="1"/>
        <v/>
      </c>
    </row>
    <row r="76">
      <c r="A76" s="2" t="s">
        <v>160</v>
      </c>
      <c r="B76" s="17" t="s">
        <v>153</v>
      </c>
      <c r="C76" s="17" t="s">
        <v>161</v>
      </c>
      <c r="E76" s="17" t="s">
        <v>72</v>
      </c>
      <c r="F76" s="14">
        <v>406.0</v>
      </c>
      <c r="G76" s="34">
        <v>3.0</v>
      </c>
      <c r="I76" s="17" t="str">
        <f t="shared" si="1"/>
        <v/>
      </c>
    </row>
    <row r="77">
      <c r="A77" s="2" t="s">
        <v>162</v>
      </c>
      <c r="B77" s="17" t="s">
        <v>153</v>
      </c>
      <c r="C77" s="17" t="s">
        <v>163</v>
      </c>
      <c r="E77" s="17" t="s">
        <v>72</v>
      </c>
      <c r="F77" s="14">
        <v>359.0</v>
      </c>
      <c r="G77" s="34">
        <v>3.0</v>
      </c>
      <c r="I77" s="17" t="str">
        <f t="shared" si="1"/>
        <v/>
      </c>
    </row>
    <row r="78">
      <c r="A78" s="2">
        <v>8.681299606641E12</v>
      </c>
      <c r="B78" s="17" t="s">
        <v>153</v>
      </c>
      <c r="C78" s="17" t="s">
        <v>164</v>
      </c>
      <c r="E78" s="17" t="s">
        <v>72</v>
      </c>
      <c r="F78" s="14">
        <v>383.0</v>
      </c>
      <c r="G78" s="34">
        <v>3.0</v>
      </c>
      <c r="I78" s="17" t="str">
        <f t="shared" si="1"/>
        <v/>
      </c>
    </row>
    <row r="79">
      <c r="A79" s="2">
        <v>8.681299601264E12</v>
      </c>
      <c r="B79" s="17" t="s">
        <v>153</v>
      </c>
      <c r="C79" s="17" t="s">
        <v>165</v>
      </c>
      <c r="E79" s="17" t="s">
        <v>72</v>
      </c>
      <c r="F79" s="14">
        <v>399.0</v>
      </c>
      <c r="G79" s="34">
        <v>3.0</v>
      </c>
      <c r="I79" s="17" t="str">
        <f t="shared" si="1"/>
        <v/>
      </c>
    </row>
    <row r="80">
      <c r="A80" s="2" t="s">
        <v>166</v>
      </c>
      <c r="B80" s="17" t="s">
        <v>153</v>
      </c>
      <c r="C80" s="17" t="s">
        <v>167</v>
      </c>
      <c r="E80" s="17" t="s">
        <v>72</v>
      </c>
      <c r="F80" s="14">
        <v>2165.0</v>
      </c>
      <c r="G80" s="34">
        <v>3.0</v>
      </c>
      <c r="I80" s="17" t="str">
        <f t="shared" si="1"/>
        <v/>
      </c>
    </row>
    <row r="81">
      <c r="A81" s="2">
        <v>8.681299606665E12</v>
      </c>
      <c r="B81" s="17" t="s">
        <v>153</v>
      </c>
      <c r="C81" s="17" t="s">
        <v>168</v>
      </c>
      <c r="E81" s="17" t="s">
        <v>72</v>
      </c>
      <c r="F81" s="14">
        <v>405.0</v>
      </c>
      <c r="G81" s="34">
        <v>3.0</v>
      </c>
      <c r="I81" s="17" t="str">
        <f t="shared" si="1"/>
        <v/>
      </c>
    </row>
    <row r="82">
      <c r="A82" s="2">
        <v>8.681299601301E12</v>
      </c>
      <c r="B82" s="17" t="s">
        <v>153</v>
      </c>
      <c r="C82" s="17" t="s">
        <v>169</v>
      </c>
      <c r="E82" s="17" t="s">
        <v>72</v>
      </c>
      <c r="F82" s="14">
        <v>374.0</v>
      </c>
      <c r="G82" s="34">
        <v>3.0</v>
      </c>
      <c r="I82" s="17" t="str">
        <f t="shared" si="1"/>
        <v/>
      </c>
    </row>
    <row r="83">
      <c r="A83" s="2" t="s">
        <v>170</v>
      </c>
      <c r="B83" s="17" t="s">
        <v>153</v>
      </c>
      <c r="C83" s="17" t="s">
        <v>171</v>
      </c>
      <c r="E83" s="17" t="s">
        <v>72</v>
      </c>
      <c r="F83" s="14">
        <v>371.0</v>
      </c>
      <c r="G83" s="34">
        <v>3.0</v>
      </c>
      <c r="I83" s="17" t="str">
        <f t="shared" si="1"/>
        <v/>
      </c>
    </row>
    <row r="84">
      <c r="A84" s="2">
        <v>7.451204125632E12</v>
      </c>
      <c r="B84" s="17" t="s">
        <v>153</v>
      </c>
      <c r="C84" s="17" t="s">
        <v>172</v>
      </c>
      <c r="E84" s="17" t="s">
        <v>72</v>
      </c>
      <c r="F84" s="14">
        <v>371.0</v>
      </c>
      <c r="G84" s="34">
        <v>3.0</v>
      </c>
      <c r="I84" s="17" t="str">
        <f t="shared" si="1"/>
        <v/>
      </c>
    </row>
    <row r="85">
      <c r="A85" s="2" t="s">
        <v>173</v>
      </c>
      <c r="B85" s="17" t="s">
        <v>153</v>
      </c>
      <c r="C85" s="17" t="s">
        <v>174</v>
      </c>
      <c r="E85" s="17" t="s">
        <v>72</v>
      </c>
      <c r="F85" s="14">
        <v>1575.0</v>
      </c>
      <c r="G85" s="34">
        <v>3.0</v>
      </c>
      <c r="I85" s="17" t="str">
        <f t="shared" si="1"/>
        <v/>
      </c>
    </row>
    <row r="86">
      <c r="A86" s="2" t="s">
        <v>175</v>
      </c>
      <c r="B86" s="17" t="s">
        <v>121</v>
      </c>
      <c r="C86" s="17" t="s">
        <v>176</v>
      </c>
      <c r="E86" s="17" t="s">
        <v>72</v>
      </c>
      <c r="F86" s="14">
        <v>1.0</v>
      </c>
      <c r="G86" s="34">
        <v>3.0</v>
      </c>
      <c r="I86" s="17" t="str">
        <f t="shared" si="1"/>
        <v/>
      </c>
    </row>
    <row r="87">
      <c r="A87" s="2" t="s">
        <v>177</v>
      </c>
      <c r="B87" s="17" t="s">
        <v>178</v>
      </c>
      <c r="C87" s="17" t="s">
        <v>179</v>
      </c>
      <c r="E87" s="17" t="s">
        <v>72</v>
      </c>
      <c r="F87" s="14" t="s">
        <v>180</v>
      </c>
      <c r="G87" s="34" t="s">
        <v>180</v>
      </c>
      <c r="I87" s="17" t="str">
        <f t="shared" si="1"/>
        <v/>
      </c>
    </row>
    <row r="88">
      <c r="A88" s="2" t="s">
        <v>181</v>
      </c>
      <c r="B88" s="17" t="s">
        <v>178</v>
      </c>
      <c r="C88" s="17" t="s">
        <v>182</v>
      </c>
      <c r="E88" s="17" t="s">
        <v>72</v>
      </c>
      <c r="F88" s="14">
        <v>377.0</v>
      </c>
      <c r="G88" s="34">
        <v>3.0</v>
      </c>
      <c r="I88" s="17" t="str">
        <f t="shared" si="1"/>
        <v/>
      </c>
    </row>
    <row r="89">
      <c r="A89" s="2">
        <v>3.182550721745E12</v>
      </c>
      <c r="B89" s="17" t="s">
        <v>53</v>
      </c>
      <c r="C89" s="17" t="s">
        <v>183</v>
      </c>
      <c r="E89" s="17" t="s">
        <v>72</v>
      </c>
      <c r="F89" s="14">
        <v>2000.0</v>
      </c>
      <c r="G89" s="34">
        <v>3.0</v>
      </c>
      <c r="I89" s="17" t="str">
        <f t="shared" si="1"/>
        <v/>
      </c>
    </row>
    <row r="90">
      <c r="A90" s="2">
        <v>3.182550722544E12</v>
      </c>
      <c r="B90" s="17" t="s">
        <v>53</v>
      </c>
      <c r="C90" s="17" t="s">
        <v>184</v>
      </c>
      <c r="E90" s="17" t="s">
        <v>59</v>
      </c>
      <c r="F90" s="14">
        <v>708.0</v>
      </c>
      <c r="G90" s="34">
        <v>3.0</v>
      </c>
      <c r="I90" s="17" t="str">
        <f t="shared" si="1"/>
        <v/>
      </c>
    </row>
    <row r="91">
      <c r="A91" s="2" t="s">
        <v>185</v>
      </c>
      <c r="B91" s="17" t="s">
        <v>53</v>
      </c>
      <c r="C91" s="17" t="s">
        <v>186</v>
      </c>
      <c r="E91" s="17" t="s">
        <v>59</v>
      </c>
      <c r="F91" s="14">
        <v>1537.0</v>
      </c>
      <c r="G91" s="34">
        <v>3.0</v>
      </c>
      <c r="I91" s="17" t="str">
        <f t="shared" si="1"/>
        <v/>
      </c>
    </row>
    <row r="92">
      <c r="A92" s="2">
        <v>9.888569998999E12</v>
      </c>
      <c r="B92" s="17" t="s">
        <v>187</v>
      </c>
      <c r="C92" s="17" t="s">
        <v>188</v>
      </c>
      <c r="E92" s="17" t="s">
        <v>52</v>
      </c>
      <c r="F92" s="14">
        <v>576.0</v>
      </c>
      <c r="G92" s="34">
        <v>3.0</v>
      </c>
      <c r="I92" s="17" t="str">
        <f t="shared" si="1"/>
        <v/>
      </c>
    </row>
    <row r="93">
      <c r="A93" s="2">
        <v>2.1042024055E11</v>
      </c>
      <c r="B93" s="17" t="s">
        <v>91</v>
      </c>
      <c r="C93" s="17" t="s">
        <v>189</v>
      </c>
      <c r="E93" s="17" t="s">
        <v>59</v>
      </c>
      <c r="F93" s="14">
        <v>713.0</v>
      </c>
      <c r="G93" s="34">
        <v>3.0</v>
      </c>
      <c r="I93" s="17" t="str">
        <f t="shared" si="1"/>
        <v/>
      </c>
    </row>
    <row r="94">
      <c r="A94" s="2" t="s">
        <v>190</v>
      </c>
      <c r="B94" s="17" t="s">
        <v>53</v>
      </c>
      <c r="C94" s="17" t="s">
        <v>191</v>
      </c>
      <c r="E94" s="17" t="s">
        <v>52</v>
      </c>
      <c r="F94" s="14">
        <v>1301.0</v>
      </c>
      <c r="G94" s="34">
        <v>3.0</v>
      </c>
      <c r="I94" s="17" t="str">
        <f t="shared" si="1"/>
        <v/>
      </c>
    </row>
    <row r="95">
      <c r="A95" s="2" t="s">
        <v>192</v>
      </c>
      <c r="B95" s="17" t="s">
        <v>121</v>
      </c>
      <c r="C95" s="17" t="s">
        <v>136</v>
      </c>
      <c r="E95" s="17" t="s">
        <v>52</v>
      </c>
      <c r="F95" s="14">
        <v>1.0</v>
      </c>
      <c r="G95" s="34">
        <v>3.0</v>
      </c>
      <c r="I95" s="17" t="str">
        <f t="shared" si="1"/>
        <v/>
      </c>
    </row>
    <row r="96">
      <c r="A96" s="2">
        <v>3.182550727389E12</v>
      </c>
      <c r="B96" s="17" t="s">
        <v>53</v>
      </c>
      <c r="C96" s="17" t="s">
        <v>193</v>
      </c>
      <c r="E96" s="17" t="s">
        <v>59</v>
      </c>
      <c r="F96" s="14">
        <v>1.0</v>
      </c>
      <c r="G96" s="34">
        <v>3.0</v>
      </c>
      <c r="I96" s="17" t="str">
        <f t="shared" si="1"/>
        <v/>
      </c>
    </row>
    <row r="97">
      <c r="A97" s="2">
        <v>3.182550707312E12</v>
      </c>
      <c r="B97" s="17" t="s">
        <v>53</v>
      </c>
      <c r="C97" s="17" t="s">
        <v>194</v>
      </c>
      <c r="E97" s="17" t="s">
        <v>72</v>
      </c>
      <c r="F97" s="14">
        <v>876.0</v>
      </c>
      <c r="G97" s="34">
        <v>3.0</v>
      </c>
      <c r="I97" s="17" t="str">
        <f t="shared" si="1"/>
        <v/>
      </c>
    </row>
    <row r="98">
      <c r="A98" s="2" t="s">
        <v>195</v>
      </c>
      <c r="B98" s="17" t="s">
        <v>53</v>
      </c>
      <c r="C98" s="17" t="s">
        <v>196</v>
      </c>
      <c r="E98" s="17" t="s">
        <v>59</v>
      </c>
      <c r="F98" s="14">
        <v>708.0</v>
      </c>
      <c r="G98" s="34">
        <v>3.0</v>
      </c>
      <c r="I98" s="17" t="str">
        <f t="shared" si="1"/>
        <v/>
      </c>
    </row>
    <row r="99">
      <c r="A99" s="2" t="s">
        <v>197</v>
      </c>
      <c r="B99" s="17" t="s">
        <v>178</v>
      </c>
      <c r="C99" s="17" t="s">
        <v>198</v>
      </c>
      <c r="E99" s="17" t="s">
        <v>72</v>
      </c>
      <c r="F99" s="14">
        <v>754.0</v>
      </c>
      <c r="G99" s="34">
        <v>3.0</v>
      </c>
      <c r="I99" s="17" t="str">
        <f t="shared" si="1"/>
        <v/>
      </c>
    </row>
    <row r="100">
      <c r="A100" s="2">
        <v>3.724862384675E12</v>
      </c>
      <c r="B100" s="17" t="s">
        <v>178</v>
      </c>
      <c r="C100" s="17" t="s">
        <v>199</v>
      </c>
      <c r="E100" s="17" t="s">
        <v>72</v>
      </c>
      <c r="F100" s="14">
        <v>377.0</v>
      </c>
      <c r="G100" s="34">
        <v>3.0</v>
      </c>
      <c r="I100" s="17" t="str">
        <f t="shared" si="1"/>
        <v/>
      </c>
    </row>
    <row r="101">
      <c r="A101" s="2" t="s">
        <v>200</v>
      </c>
      <c r="B101" s="17" t="s">
        <v>201</v>
      </c>
      <c r="C101" s="17" t="s">
        <v>202</v>
      </c>
      <c r="E101" s="17" t="s">
        <v>203</v>
      </c>
      <c r="F101" s="14">
        <v>1.0</v>
      </c>
      <c r="G101" s="34">
        <v>1.0</v>
      </c>
      <c r="I101" s="17" t="str">
        <f t="shared" si="1"/>
        <v/>
      </c>
    </row>
    <row r="102">
      <c r="A102" s="2" t="s">
        <v>204</v>
      </c>
      <c r="B102" s="17" t="s">
        <v>201</v>
      </c>
      <c r="C102" s="17" t="s">
        <v>205</v>
      </c>
      <c r="E102" s="17" t="s">
        <v>206</v>
      </c>
      <c r="F102" s="14">
        <v>500.0</v>
      </c>
      <c r="G102" s="34">
        <v>1.0</v>
      </c>
      <c r="I102" s="17" t="str">
        <f t="shared" si="1"/>
        <v/>
      </c>
    </row>
    <row r="103">
      <c r="A103" s="2" t="s">
        <v>207</v>
      </c>
      <c r="B103" s="17" t="s">
        <v>201</v>
      </c>
      <c r="C103" s="17" t="s">
        <v>208</v>
      </c>
      <c r="E103" s="17" t="s">
        <v>209</v>
      </c>
      <c r="F103" s="14">
        <v>10.0</v>
      </c>
      <c r="G103" s="34">
        <v>1.0</v>
      </c>
      <c r="I103" s="17" t="str">
        <f t="shared" si="1"/>
        <v/>
      </c>
    </row>
    <row r="104">
      <c r="A104" s="2" t="s">
        <v>210</v>
      </c>
      <c r="B104" s="17" t="s">
        <v>201</v>
      </c>
      <c r="C104" s="17" t="s">
        <v>211</v>
      </c>
      <c r="E104" s="17" t="s">
        <v>203</v>
      </c>
      <c r="F104" s="14">
        <v>1.0</v>
      </c>
      <c r="G104" s="34">
        <v>1.0</v>
      </c>
      <c r="I104" s="17" t="str">
        <f t="shared" si="1"/>
        <v/>
      </c>
    </row>
    <row r="105">
      <c r="A105" s="2" t="s">
        <v>212</v>
      </c>
      <c r="B105" s="17" t="s">
        <v>213</v>
      </c>
      <c r="C105" s="17" t="s">
        <v>214</v>
      </c>
      <c r="E105" s="17" t="s">
        <v>209</v>
      </c>
      <c r="F105" s="14">
        <v>500.0</v>
      </c>
      <c r="G105" s="34">
        <v>1.0</v>
      </c>
      <c r="I105" s="17" t="str">
        <f t="shared" si="1"/>
        <v/>
      </c>
    </row>
    <row r="106">
      <c r="A106" s="2" t="s">
        <v>215</v>
      </c>
      <c r="B106" s="17" t="s">
        <v>201</v>
      </c>
      <c r="C106" s="17" t="s">
        <v>216</v>
      </c>
      <c r="E106" s="17" t="s">
        <v>217</v>
      </c>
      <c r="F106" s="14">
        <v>500.0</v>
      </c>
      <c r="G106" s="34">
        <v>0.3</v>
      </c>
      <c r="I106" s="17" t="str">
        <f t="shared" si="1"/>
        <v/>
      </c>
    </row>
    <row r="107">
      <c r="A107" s="2" t="s">
        <v>218</v>
      </c>
      <c r="B107" s="17" t="s">
        <v>201</v>
      </c>
      <c r="C107" s="17" t="s">
        <v>219</v>
      </c>
      <c r="E107" s="17" t="s">
        <v>203</v>
      </c>
      <c r="F107" s="14">
        <v>500.0</v>
      </c>
      <c r="G107" s="34">
        <v>1.0</v>
      </c>
      <c r="I107" s="17" t="str">
        <f t="shared" si="1"/>
        <v/>
      </c>
    </row>
    <row r="108">
      <c r="A108" s="2" t="s">
        <v>220</v>
      </c>
      <c r="B108" s="17" t="s">
        <v>201</v>
      </c>
      <c r="C108" s="17" t="s">
        <v>221</v>
      </c>
      <c r="E108" s="17" t="s">
        <v>217</v>
      </c>
      <c r="F108" s="14">
        <v>1.0</v>
      </c>
      <c r="G108" s="34">
        <v>0.3</v>
      </c>
      <c r="I108" s="17" t="str">
        <f t="shared" si="1"/>
        <v/>
      </c>
    </row>
    <row r="109">
      <c r="A109" s="2">
        <v>7.613038508528E12</v>
      </c>
      <c r="B109" s="17" t="s">
        <v>178</v>
      </c>
      <c r="C109" s="17" t="s">
        <v>222</v>
      </c>
      <c r="E109" s="17" t="s">
        <v>72</v>
      </c>
      <c r="F109" s="14">
        <v>2790.0</v>
      </c>
      <c r="G109" s="34">
        <v>3.0</v>
      </c>
      <c r="I109" s="17" t="str">
        <f t="shared" si="1"/>
        <v/>
      </c>
    </row>
    <row r="110">
      <c r="A110" s="2">
        <v>2.0000041025165E13</v>
      </c>
      <c r="B110" s="17" t="s">
        <v>178</v>
      </c>
      <c r="C110" s="17" t="s">
        <v>223</v>
      </c>
      <c r="E110" s="17" t="s">
        <v>72</v>
      </c>
      <c r="F110" s="14">
        <v>377.0</v>
      </c>
      <c r="G110" s="34">
        <v>3.0</v>
      </c>
      <c r="I110" s="17" t="str">
        <f t="shared" si="1"/>
        <v/>
      </c>
    </row>
    <row r="111">
      <c r="A111" s="2">
        <v>7.613033566387E12</v>
      </c>
      <c r="B111" s="17" t="s">
        <v>50</v>
      </c>
      <c r="C111" s="17" t="s">
        <v>224</v>
      </c>
      <c r="E111" s="17" t="s">
        <v>72</v>
      </c>
      <c r="F111" s="14">
        <v>710.0</v>
      </c>
      <c r="G111" s="34">
        <v>3.0</v>
      </c>
      <c r="I111" s="17" t="str">
        <f t="shared" si="1"/>
        <v/>
      </c>
    </row>
    <row r="112">
      <c r="A112" s="2">
        <v>3.182550838351E12</v>
      </c>
      <c r="B112" s="17" t="s">
        <v>53</v>
      </c>
      <c r="C112" s="17" t="s">
        <v>225</v>
      </c>
      <c r="E112" s="17" t="s">
        <v>59</v>
      </c>
      <c r="F112" s="14">
        <v>1.0</v>
      </c>
      <c r="G112" s="34">
        <v>3.0</v>
      </c>
      <c r="I112" s="17" t="str">
        <f t="shared" si="1"/>
        <v/>
      </c>
    </row>
    <row r="113">
      <c r="A113" s="2">
        <v>8.445291846166E12</v>
      </c>
      <c r="B113" s="17" t="s">
        <v>50</v>
      </c>
      <c r="C113" s="17" t="s">
        <v>226</v>
      </c>
      <c r="E113" s="17" t="s">
        <v>59</v>
      </c>
      <c r="F113" s="14">
        <v>1766.0</v>
      </c>
      <c r="G113" s="34">
        <v>3.0</v>
      </c>
      <c r="I113" s="17" t="str">
        <f t="shared" si="1"/>
        <v/>
      </c>
    </row>
    <row r="114">
      <c r="A114" s="2">
        <v>3.182550721752E12</v>
      </c>
      <c r="B114" s="17" t="s">
        <v>53</v>
      </c>
      <c r="C114" s="17" t="s">
        <v>227</v>
      </c>
      <c r="D114" s="17">
        <v>100.0</v>
      </c>
      <c r="E114" s="17" t="s">
        <v>72</v>
      </c>
      <c r="F114" s="14">
        <v>5048.0</v>
      </c>
      <c r="G114" s="34">
        <v>10.0</v>
      </c>
      <c r="I114" s="17" t="str">
        <f t="shared" si="1"/>
        <v/>
      </c>
    </row>
    <row r="115">
      <c r="A115" s="2" t="s">
        <v>228</v>
      </c>
      <c r="B115" s="17" t="s">
        <v>229</v>
      </c>
      <c r="C115" s="17" t="s">
        <v>230</v>
      </c>
      <c r="E115" s="17" t="s">
        <v>72</v>
      </c>
      <c r="F115" s="14">
        <v>661.0</v>
      </c>
      <c r="G115" s="34">
        <v>3.0</v>
      </c>
      <c r="I115" s="17" t="str">
        <f t="shared" si="1"/>
        <v/>
      </c>
    </row>
    <row r="116">
      <c r="A116" s="2" t="s">
        <v>231</v>
      </c>
      <c r="B116" s="17" t="s">
        <v>53</v>
      </c>
      <c r="C116" s="17" t="s">
        <v>232</v>
      </c>
      <c r="E116" s="17" t="s">
        <v>52</v>
      </c>
      <c r="F116" s="14">
        <v>1.0</v>
      </c>
      <c r="G116" s="34">
        <v>3.0</v>
      </c>
      <c r="I116" s="17" t="str">
        <f t="shared" si="1"/>
        <v/>
      </c>
    </row>
    <row r="117">
      <c r="A117" s="2">
        <v>8.010276031976E12</v>
      </c>
      <c r="B117" s="17" t="s">
        <v>91</v>
      </c>
      <c r="C117" s="17" t="s">
        <v>233</v>
      </c>
      <c r="E117" s="17" t="s">
        <v>72</v>
      </c>
      <c r="F117" s="14">
        <v>5078.0</v>
      </c>
      <c r="G117" s="34">
        <v>10.0</v>
      </c>
      <c r="I117" s="17" t="str">
        <f t="shared" si="1"/>
        <v/>
      </c>
    </row>
    <row r="118">
      <c r="A118" s="2">
        <v>8.010276036889E12</v>
      </c>
      <c r="B118" s="17" t="s">
        <v>91</v>
      </c>
      <c r="C118" s="17" t="s">
        <v>234</v>
      </c>
      <c r="E118" s="17" t="s">
        <v>72</v>
      </c>
      <c r="F118" s="14">
        <v>3663.0</v>
      </c>
      <c r="G118" s="34">
        <v>10.0</v>
      </c>
      <c r="I118" s="17" t="str">
        <f t="shared" si="1"/>
        <v/>
      </c>
    </row>
    <row r="119">
      <c r="A119" s="2">
        <v>8.010276040268E12</v>
      </c>
      <c r="B119" s="17" t="s">
        <v>91</v>
      </c>
      <c r="C119" s="17" t="s">
        <v>235</v>
      </c>
      <c r="E119" s="17" t="s">
        <v>72</v>
      </c>
      <c r="F119" s="14">
        <v>3663.0</v>
      </c>
      <c r="G119" s="34">
        <v>10.0</v>
      </c>
      <c r="I119" s="17" t="str">
        <f t="shared" si="1"/>
        <v/>
      </c>
    </row>
    <row r="120">
      <c r="A120" s="2">
        <v>8.010276035097E12</v>
      </c>
      <c r="B120" s="17" t="s">
        <v>91</v>
      </c>
      <c r="C120" s="17" t="s">
        <v>236</v>
      </c>
      <c r="E120" s="17" t="s">
        <v>59</v>
      </c>
      <c r="F120" s="14">
        <v>2043.0</v>
      </c>
      <c r="G120" s="34">
        <v>7.0</v>
      </c>
      <c r="I120" s="17" t="str">
        <f t="shared" si="1"/>
        <v/>
      </c>
    </row>
    <row r="121">
      <c r="A121" s="2">
        <v>8.010276021823E12</v>
      </c>
      <c r="B121" s="17" t="s">
        <v>91</v>
      </c>
      <c r="C121" s="17" t="s">
        <v>237</v>
      </c>
      <c r="E121" s="17" t="s">
        <v>59</v>
      </c>
      <c r="F121" s="14">
        <v>2999.0</v>
      </c>
      <c r="G121" s="34">
        <v>7.0</v>
      </c>
      <c r="I121" s="17" t="str">
        <f t="shared" si="1"/>
        <v/>
      </c>
    </row>
    <row r="122">
      <c r="A122" s="2">
        <v>8.010276042361E12</v>
      </c>
      <c r="B122" s="17" t="s">
        <v>91</v>
      </c>
      <c r="C122" s="17" t="s">
        <v>238</v>
      </c>
      <c r="E122" s="17" t="s">
        <v>59</v>
      </c>
      <c r="F122" s="14">
        <v>1638.0</v>
      </c>
      <c r="G122" s="34">
        <v>5.0</v>
      </c>
      <c r="I122" s="17" t="str">
        <f t="shared" si="1"/>
        <v/>
      </c>
    </row>
    <row r="123">
      <c r="A123" s="2">
        <v>8.010276042323E12</v>
      </c>
      <c r="B123" s="17" t="s">
        <v>91</v>
      </c>
      <c r="C123" s="17" t="s">
        <v>239</v>
      </c>
      <c r="E123" s="17" t="s">
        <v>59</v>
      </c>
      <c r="F123" s="14">
        <v>1638.0</v>
      </c>
      <c r="G123" s="34">
        <v>5.0</v>
      </c>
      <c r="I123" s="17" t="str">
        <f t="shared" si="1"/>
        <v/>
      </c>
    </row>
    <row r="124">
      <c r="A124" s="2">
        <v>8.010276042217E12</v>
      </c>
      <c r="B124" s="17" t="s">
        <v>91</v>
      </c>
      <c r="C124" s="17" t="s">
        <v>240</v>
      </c>
      <c r="E124" s="17" t="s">
        <v>72</v>
      </c>
      <c r="F124" s="14">
        <v>1680.0</v>
      </c>
      <c r="G124" s="34">
        <v>5.0</v>
      </c>
      <c r="I124" s="17" t="str">
        <f t="shared" si="1"/>
        <v/>
      </c>
    </row>
    <row r="125">
      <c r="A125" s="2">
        <v>8.010276042132E12</v>
      </c>
      <c r="B125" s="17" t="s">
        <v>91</v>
      </c>
      <c r="C125" s="17" t="s">
        <v>241</v>
      </c>
      <c r="E125" s="17" t="s">
        <v>72</v>
      </c>
      <c r="F125" s="14">
        <v>1680.0</v>
      </c>
      <c r="G125" s="34">
        <v>5.0</v>
      </c>
      <c r="I125" s="17" t="str">
        <f t="shared" si="1"/>
        <v/>
      </c>
    </row>
    <row r="126">
      <c r="A126" s="2">
        <v>8.010276040213E12</v>
      </c>
      <c r="B126" s="17" t="s">
        <v>91</v>
      </c>
      <c r="C126" s="17" t="s">
        <v>242</v>
      </c>
      <c r="E126" s="17" t="s">
        <v>72</v>
      </c>
      <c r="F126" s="14">
        <v>2419.0</v>
      </c>
      <c r="G126" s="34">
        <v>5.0</v>
      </c>
      <c r="I126" s="17" t="str">
        <f t="shared" si="1"/>
        <v/>
      </c>
    </row>
    <row r="127">
      <c r="A127" s="2">
        <v>8.010276038869E12</v>
      </c>
      <c r="B127" s="17" t="s">
        <v>91</v>
      </c>
      <c r="C127" s="17" t="s">
        <v>243</v>
      </c>
      <c r="E127" s="17" t="s">
        <v>72</v>
      </c>
      <c r="F127" s="14">
        <v>2529.0</v>
      </c>
      <c r="G127" s="34">
        <v>5.0</v>
      </c>
      <c r="I127" s="17" t="str">
        <f t="shared" si="1"/>
        <v/>
      </c>
    </row>
    <row r="128">
      <c r="A128" s="2">
        <v>8.010276032751E12</v>
      </c>
      <c r="B128" s="17" t="s">
        <v>91</v>
      </c>
      <c r="C128" s="17" t="s">
        <v>244</v>
      </c>
      <c r="E128" s="17" t="s">
        <v>72</v>
      </c>
      <c r="F128" s="14">
        <v>1940.0</v>
      </c>
      <c r="G128" s="34">
        <v>5.0</v>
      </c>
      <c r="I128" s="17" t="str">
        <f t="shared" si="1"/>
        <v/>
      </c>
    </row>
    <row r="129">
      <c r="A129" s="2">
        <v>8.010276033277E12</v>
      </c>
      <c r="B129" s="17" t="s">
        <v>91</v>
      </c>
      <c r="C129" s="17" t="s">
        <v>245</v>
      </c>
      <c r="E129" s="17" t="s">
        <v>59</v>
      </c>
      <c r="F129" s="14">
        <v>1307.0</v>
      </c>
      <c r="G129" s="34">
        <v>3.0</v>
      </c>
      <c r="I129" s="17" t="str">
        <f t="shared" si="1"/>
        <v/>
      </c>
    </row>
    <row r="130">
      <c r="A130" s="2">
        <v>8.010276039309E12</v>
      </c>
      <c r="B130" s="17" t="s">
        <v>91</v>
      </c>
      <c r="C130" s="17" t="s">
        <v>246</v>
      </c>
      <c r="E130" s="17" t="s">
        <v>59</v>
      </c>
      <c r="F130" s="14">
        <v>1363.0</v>
      </c>
      <c r="G130" s="34">
        <v>3.0</v>
      </c>
      <c r="I130" s="17" t="str">
        <f t="shared" si="1"/>
        <v/>
      </c>
    </row>
    <row r="131">
      <c r="A131" s="2">
        <v>8.010276033703E12</v>
      </c>
      <c r="B131" s="17" t="s">
        <v>91</v>
      </c>
      <c r="C131" s="17" t="s">
        <v>247</v>
      </c>
      <c r="E131" s="17" t="s">
        <v>59</v>
      </c>
      <c r="F131" s="14">
        <v>1089.0</v>
      </c>
      <c r="G131" s="34">
        <v>3.0</v>
      </c>
      <c r="I131" s="17" t="str">
        <f t="shared" si="1"/>
        <v/>
      </c>
    </row>
    <row r="132">
      <c r="A132" s="2">
        <v>8.010276042354E12</v>
      </c>
      <c r="B132" s="17" t="s">
        <v>91</v>
      </c>
      <c r="C132" s="17" t="s">
        <v>248</v>
      </c>
      <c r="E132" s="17" t="s">
        <v>59</v>
      </c>
      <c r="F132" s="14">
        <v>713.0</v>
      </c>
      <c r="G132" s="34">
        <v>3.0</v>
      </c>
      <c r="I132" s="17" t="str">
        <f t="shared" si="1"/>
        <v/>
      </c>
    </row>
    <row r="133">
      <c r="A133" s="2">
        <v>8.010276038852E12</v>
      </c>
      <c r="B133" s="17" t="s">
        <v>91</v>
      </c>
      <c r="C133" s="17" t="s">
        <v>249</v>
      </c>
      <c r="E133" s="17" t="s">
        <v>72</v>
      </c>
      <c r="F133" s="14">
        <v>1054.0</v>
      </c>
      <c r="G133" s="34">
        <v>3.0</v>
      </c>
      <c r="I133" s="17" t="str">
        <f t="shared" si="1"/>
        <v/>
      </c>
    </row>
    <row r="134">
      <c r="A134" s="2">
        <v>8.010276040138E12</v>
      </c>
      <c r="B134" s="17" t="s">
        <v>91</v>
      </c>
      <c r="C134" s="17" t="s">
        <v>250</v>
      </c>
      <c r="E134" s="17" t="s">
        <v>72</v>
      </c>
      <c r="F134" s="14">
        <v>1051.0</v>
      </c>
      <c r="G134" s="34">
        <v>3.0</v>
      </c>
      <c r="I134" s="17" t="str">
        <f t="shared" si="1"/>
        <v/>
      </c>
    </row>
    <row r="135">
      <c r="A135" s="2">
        <v>8.010276030481E12</v>
      </c>
      <c r="B135" s="17" t="s">
        <v>91</v>
      </c>
      <c r="C135" s="17" t="s">
        <v>251</v>
      </c>
      <c r="E135" s="17" t="s">
        <v>72</v>
      </c>
      <c r="F135" s="14">
        <v>824.0</v>
      </c>
      <c r="G135" s="34">
        <v>3.0</v>
      </c>
      <c r="I135" s="17" t="str">
        <f t="shared" si="1"/>
        <v/>
      </c>
    </row>
    <row r="136">
      <c r="A136" s="2">
        <v>8.010276032584E12</v>
      </c>
      <c r="B136" s="17" t="s">
        <v>91</v>
      </c>
      <c r="C136" s="17" t="s">
        <v>252</v>
      </c>
      <c r="E136" s="17" t="s">
        <v>72</v>
      </c>
      <c r="F136" s="14">
        <v>1077.0</v>
      </c>
      <c r="G136" s="34">
        <v>3.0</v>
      </c>
      <c r="I136" s="17" t="str">
        <f t="shared" si="1"/>
        <v/>
      </c>
    </row>
    <row r="137">
      <c r="A137" s="2">
        <v>8.010276036742E12</v>
      </c>
      <c r="B137" s="17" t="s">
        <v>91</v>
      </c>
      <c r="C137" s="17" t="s">
        <v>253</v>
      </c>
      <c r="E137" s="17" t="s">
        <v>72</v>
      </c>
      <c r="F137" s="14">
        <v>1007.0</v>
      </c>
      <c r="G137" s="34">
        <v>3.0</v>
      </c>
      <c r="I137" s="17" t="str">
        <f t="shared" si="1"/>
        <v/>
      </c>
    </row>
    <row r="138">
      <c r="A138" s="2">
        <v>8.010276021595E12</v>
      </c>
      <c r="B138" s="17" t="s">
        <v>91</v>
      </c>
      <c r="C138" s="17" t="s">
        <v>254</v>
      </c>
      <c r="E138" s="17" t="s">
        <v>72</v>
      </c>
      <c r="F138" s="14">
        <v>824.0</v>
      </c>
      <c r="G138" s="34">
        <v>3.0</v>
      </c>
      <c r="I138" s="17" t="str">
        <f t="shared" si="1"/>
        <v/>
      </c>
    </row>
    <row r="139">
      <c r="A139" s="2">
        <v>8.010276030467E12</v>
      </c>
      <c r="B139" s="17" t="s">
        <v>91</v>
      </c>
      <c r="C139" s="17" t="s">
        <v>255</v>
      </c>
      <c r="E139" s="17" t="s">
        <v>72</v>
      </c>
      <c r="F139" s="14">
        <v>1024.0</v>
      </c>
      <c r="G139" s="34">
        <v>3.0</v>
      </c>
      <c r="I139" s="17" t="str">
        <f t="shared" si="1"/>
        <v/>
      </c>
    </row>
    <row r="140">
      <c r="A140" s="2">
        <v>8.005852019662E12</v>
      </c>
      <c r="B140" s="17" t="s">
        <v>115</v>
      </c>
      <c r="C140" s="17" t="s">
        <v>256</v>
      </c>
      <c r="E140" s="17" t="s">
        <v>52</v>
      </c>
      <c r="F140" s="14">
        <v>2080.0</v>
      </c>
      <c r="G140" s="34">
        <v>3.0</v>
      </c>
      <c r="I140" s="17" t="str">
        <f t="shared" si="1"/>
        <v/>
      </c>
    </row>
    <row r="141">
      <c r="A141" s="2" t="s">
        <v>257</v>
      </c>
      <c r="B141" s="17" t="s">
        <v>137</v>
      </c>
      <c r="C141" s="17" t="s">
        <v>258</v>
      </c>
      <c r="E141" s="17" t="s">
        <v>52</v>
      </c>
      <c r="F141" s="14">
        <v>390.0</v>
      </c>
      <c r="G141" s="34">
        <v>3.0</v>
      </c>
      <c r="I141" s="17" t="str">
        <f t="shared" si="1"/>
        <v/>
      </c>
    </row>
    <row r="142">
      <c r="A142" s="2" t="s">
        <v>259</v>
      </c>
      <c r="B142" s="17" t="s">
        <v>137</v>
      </c>
      <c r="C142" s="17" t="s">
        <v>260</v>
      </c>
      <c r="E142" s="17" t="s">
        <v>52</v>
      </c>
      <c r="F142" s="14">
        <v>312.0</v>
      </c>
      <c r="G142" s="34">
        <v>3.0</v>
      </c>
      <c r="I142" s="17" t="str">
        <f t="shared" si="1"/>
        <v/>
      </c>
    </row>
    <row r="143">
      <c r="A143" s="2" t="s">
        <v>261</v>
      </c>
      <c r="B143" s="17" t="s">
        <v>137</v>
      </c>
      <c r="C143" s="17" t="s">
        <v>262</v>
      </c>
      <c r="E143" s="17" t="s">
        <v>52</v>
      </c>
      <c r="F143" s="14">
        <v>390.0</v>
      </c>
      <c r="G143" s="34">
        <v>3.0</v>
      </c>
      <c r="I143" s="17" t="str">
        <f t="shared" si="1"/>
        <v/>
      </c>
    </row>
    <row r="144">
      <c r="A144" s="2" t="s">
        <v>263</v>
      </c>
      <c r="B144" s="17" t="s">
        <v>137</v>
      </c>
      <c r="C144" s="17" t="s">
        <v>264</v>
      </c>
      <c r="E144" s="17" t="s">
        <v>52</v>
      </c>
      <c r="F144" s="14">
        <v>390.0</v>
      </c>
      <c r="G144" s="34">
        <v>3.0</v>
      </c>
      <c r="I144" s="17" t="str">
        <f t="shared" si="1"/>
        <v/>
      </c>
    </row>
    <row r="145">
      <c r="A145" s="2">
        <v>8.606014106732E12</v>
      </c>
      <c r="B145" s="17" t="s">
        <v>91</v>
      </c>
      <c r="C145" s="17" t="s">
        <v>265</v>
      </c>
      <c r="E145" s="17" t="s">
        <v>52</v>
      </c>
      <c r="F145" s="14">
        <v>333.0</v>
      </c>
      <c r="G145" s="34">
        <v>3.0</v>
      </c>
      <c r="I145" s="17" t="str">
        <f t="shared" si="1"/>
        <v/>
      </c>
    </row>
    <row r="146">
      <c r="A146" s="2">
        <v>7.613036505178E12</v>
      </c>
      <c r="B146" s="17" t="s">
        <v>50</v>
      </c>
      <c r="C146" s="17" t="s">
        <v>266</v>
      </c>
      <c r="E146" s="17" t="s">
        <v>72</v>
      </c>
      <c r="F146" s="14">
        <v>450.0</v>
      </c>
      <c r="G146" s="34">
        <v>3.0</v>
      </c>
      <c r="I146" s="17" t="str">
        <f t="shared" si="1"/>
        <v/>
      </c>
    </row>
    <row r="147">
      <c r="A147" s="2" t="s">
        <v>267</v>
      </c>
      <c r="B147" s="17" t="s">
        <v>50</v>
      </c>
      <c r="C147" s="17" t="s">
        <v>268</v>
      </c>
      <c r="E147" s="17" t="s">
        <v>72</v>
      </c>
      <c r="F147" s="14">
        <v>580.0</v>
      </c>
      <c r="G147" s="34">
        <v>3.0</v>
      </c>
      <c r="I147" s="17" t="str">
        <f t="shared" si="1"/>
        <v/>
      </c>
    </row>
    <row r="148">
      <c r="A148" s="2" t="s">
        <v>269</v>
      </c>
      <c r="B148" s="17" t="s">
        <v>187</v>
      </c>
      <c r="C148" s="17" t="s">
        <v>270</v>
      </c>
      <c r="D148" s="17" t="s">
        <v>271</v>
      </c>
      <c r="E148" s="17" t="s">
        <v>52</v>
      </c>
      <c r="F148" s="14">
        <v>420.0</v>
      </c>
      <c r="G148" s="34">
        <v>3.0</v>
      </c>
      <c r="I148" s="17" t="str">
        <f t="shared" si="1"/>
        <v/>
      </c>
    </row>
    <row r="149">
      <c r="A149" s="2">
        <v>8.445291929555E12</v>
      </c>
      <c r="B149" s="17" t="s">
        <v>272</v>
      </c>
      <c r="C149" s="17" t="s">
        <v>273</v>
      </c>
      <c r="D149" s="17" t="s">
        <v>274</v>
      </c>
      <c r="E149" s="17" t="s">
        <v>52</v>
      </c>
      <c r="F149" s="14">
        <v>192.0</v>
      </c>
      <c r="G149" s="34">
        <v>3.0</v>
      </c>
      <c r="I149" s="17" t="str">
        <f t="shared" si="1"/>
        <v/>
      </c>
    </row>
    <row r="150">
      <c r="A150" s="2" t="s">
        <v>275</v>
      </c>
      <c r="B150" s="17" t="s">
        <v>53</v>
      </c>
      <c r="C150" s="17" t="s">
        <v>276</v>
      </c>
      <c r="E150" s="17" t="s">
        <v>72</v>
      </c>
      <c r="F150" s="14">
        <v>515.0</v>
      </c>
      <c r="G150" s="34">
        <v>3.0</v>
      </c>
      <c r="I150" s="17" t="str">
        <f t="shared" si="1"/>
        <v/>
      </c>
    </row>
    <row r="151">
      <c r="A151" s="2" t="s">
        <v>277</v>
      </c>
      <c r="B151" s="17" t="s">
        <v>53</v>
      </c>
      <c r="C151" s="17" t="s">
        <v>278</v>
      </c>
      <c r="E151" s="17" t="s">
        <v>279</v>
      </c>
      <c r="F151" s="14">
        <v>450.0</v>
      </c>
      <c r="G151" s="34">
        <v>2.0</v>
      </c>
      <c r="I151" s="17" t="str">
        <f t="shared" si="1"/>
        <v/>
      </c>
    </row>
    <row r="152">
      <c r="A152" s="2" t="s">
        <v>280</v>
      </c>
      <c r="B152" s="17" t="s">
        <v>53</v>
      </c>
      <c r="C152" s="17" t="s">
        <v>281</v>
      </c>
      <c r="E152" s="17" t="s">
        <v>59</v>
      </c>
      <c r="F152" s="14">
        <v>2294.0</v>
      </c>
      <c r="G152" s="34">
        <v>3.0</v>
      </c>
      <c r="I152" s="17" t="str">
        <f t="shared" si="1"/>
        <v/>
      </c>
    </row>
    <row r="153">
      <c r="A153" s="2">
        <v>7.6130335646424E13</v>
      </c>
      <c r="B153" s="17" t="s">
        <v>50</v>
      </c>
      <c r="C153" s="17" t="s">
        <v>282</v>
      </c>
      <c r="E153" s="17" t="s">
        <v>72</v>
      </c>
      <c r="F153" s="14">
        <v>600.0</v>
      </c>
      <c r="G153" s="34">
        <v>3.0</v>
      </c>
      <c r="I153" s="17" t="str">
        <f t="shared" si="1"/>
        <v/>
      </c>
    </row>
    <row r="154">
      <c r="A154" s="2">
        <v>8.68450194182E12</v>
      </c>
      <c r="B154" s="17" t="s">
        <v>283</v>
      </c>
      <c r="C154" s="17" t="s">
        <v>284</v>
      </c>
      <c r="D154" s="17" t="s">
        <v>285</v>
      </c>
      <c r="E154" s="17" t="s">
        <v>86</v>
      </c>
      <c r="F154" s="14">
        <v>53.0</v>
      </c>
      <c r="G154" s="34">
        <v>0.5</v>
      </c>
      <c r="I154" s="17" t="str">
        <f t="shared" si="1"/>
        <v/>
      </c>
    </row>
    <row r="155">
      <c r="A155" s="2">
        <v>8.684501941813E12</v>
      </c>
      <c r="B155" s="17" t="s">
        <v>283</v>
      </c>
      <c r="C155" s="17" t="s">
        <v>286</v>
      </c>
      <c r="D155" s="17" t="s">
        <v>287</v>
      </c>
      <c r="E155" s="17" t="s">
        <v>86</v>
      </c>
      <c r="F155" s="14">
        <v>53.0</v>
      </c>
      <c r="G155" s="34">
        <v>0.5</v>
      </c>
      <c r="I155" s="17" t="str">
        <f t="shared" si="1"/>
        <v/>
      </c>
    </row>
    <row r="156">
      <c r="A156" s="2">
        <v>8.684501941837E12</v>
      </c>
      <c r="B156" s="17" t="s">
        <v>283</v>
      </c>
      <c r="C156" s="17" t="s">
        <v>288</v>
      </c>
      <c r="D156" s="17" t="s">
        <v>289</v>
      </c>
      <c r="E156" s="17" t="s">
        <v>86</v>
      </c>
      <c r="F156" s="14">
        <v>53.0</v>
      </c>
      <c r="G156" s="34">
        <v>0.5</v>
      </c>
      <c r="I156" s="17" t="str">
        <f t="shared" si="1"/>
        <v/>
      </c>
    </row>
    <row r="157">
      <c r="A157" s="2">
        <v>8.684501941806E12</v>
      </c>
      <c r="B157" s="17" t="s">
        <v>283</v>
      </c>
      <c r="C157" s="17" t="s">
        <v>290</v>
      </c>
      <c r="D157" s="17" t="s">
        <v>291</v>
      </c>
      <c r="E157" s="17" t="s">
        <v>86</v>
      </c>
      <c r="F157" s="14">
        <v>53.0</v>
      </c>
      <c r="G157" s="34">
        <v>0.5</v>
      </c>
      <c r="I157" s="17" t="str">
        <f t="shared" si="1"/>
        <v/>
      </c>
    </row>
    <row r="158">
      <c r="A158" s="2">
        <v>8.681002995109E12</v>
      </c>
      <c r="B158" s="17" t="s">
        <v>121</v>
      </c>
      <c r="C158" s="17" t="s">
        <v>292</v>
      </c>
      <c r="E158" s="17" t="s">
        <v>52</v>
      </c>
      <c r="F158" s="14">
        <v>1.0</v>
      </c>
      <c r="G158" s="34">
        <v>3.0</v>
      </c>
      <c r="I158" s="17" t="str">
        <f t="shared" si="1"/>
        <v/>
      </c>
    </row>
    <row r="159">
      <c r="A159" s="2" t="s">
        <v>293</v>
      </c>
      <c r="B159" s="17" t="s">
        <v>137</v>
      </c>
      <c r="C159" s="17" t="s">
        <v>294</v>
      </c>
      <c r="E159" s="17" t="s">
        <v>52</v>
      </c>
      <c r="F159" s="14">
        <v>360.0</v>
      </c>
      <c r="G159" s="34">
        <v>3.0</v>
      </c>
      <c r="I159" s="17" t="str">
        <f t="shared" si="1"/>
        <v/>
      </c>
    </row>
    <row r="160">
      <c r="A160" s="2">
        <v>7.61328747711E11</v>
      </c>
      <c r="B160" s="17" t="s">
        <v>137</v>
      </c>
      <c r="C160" s="17" t="s">
        <v>295</v>
      </c>
      <c r="E160" s="17" t="s">
        <v>52</v>
      </c>
      <c r="F160" s="14">
        <v>720.0</v>
      </c>
      <c r="G160" s="34">
        <v>3.0</v>
      </c>
      <c r="I160" s="17" t="str">
        <f t="shared" si="1"/>
        <v/>
      </c>
    </row>
    <row r="161">
      <c r="A161" s="2">
        <v>6.923632570006E12</v>
      </c>
      <c r="B161" s="17" t="s">
        <v>296</v>
      </c>
      <c r="C161" s="17" t="s">
        <v>297</v>
      </c>
      <c r="D161" s="17" t="s">
        <v>298</v>
      </c>
      <c r="E161" s="17" t="s">
        <v>299</v>
      </c>
      <c r="F161" s="14">
        <v>130.0</v>
      </c>
      <c r="G161" s="34">
        <v>1.0</v>
      </c>
      <c r="I161" s="17" t="str">
        <f t="shared" si="1"/>
        <v/>
      </c>
    </row>
    <row r="162">
      <c r="A162" s="2">
        <v>6.923632570004E12</v>
      </c>
      <c r="B162" s="17" t="s">
        <v>296</v>
      </c>
      <c r="C162" s="17" t="s">
        <v>297</v>
      </c>
      <c r="D162" s="17" t="s">
        <v>300</v>
      </c>
      <c r="E162" s="17" t="s">
        <v>299</v>
      </c>
      <c r="F162" s="14">
        <v>130.0</v>
      </c>
      <c r="G162" s="34">
        <v>1.0</v>
      </c>
      <c r="I162" s="17" t="str">
        <f t="shared" si="1"/>
        <v/>
      </c>
    </row>
    <row r="163">
      <c r="A163" s="2">
        <v>6.923632570005E12</v>
      </c>
      <c r="B163" s="17" t="s">
        <v>296</v>
      </c>
      <c r="C163" s="17" t="s">
        <v>297</v>
      </c>
      <c r="D163" s="17" t="s">
        <v>301</v>
      </c>
      <c r="E163" s="17" t="s">
        <v>299</v>
      </c>
      <c r="F163" s="14">
        <v>130.0</v>
      </c>
      <c r="G163" s="34">
        <v>1.0</v>
      </c>
      <c r="I163" s="17" t="str">
        <f t="shared" si="1"/>
        <v/>
      </c>
    </row>
    <row r="164">
      <c r="A164" s="2" t="s">
        <v>302</v>
      </c>
      <c r="B164" s="17" t="s">
        <v>303</v>
      </c>
      <c r="C164" s="17" t="s">
        <v>304</v>
      </c>
      <c r="E164" s="17" t="s">
        <v>131</v>
      </c>
      <c r="F164" s="14">
        <v>1.0</v>
      </c>
      <c r="G164" s="34">
        <v>0.5</v>
      </c>
      <c r="I164" s="17" t="str">
        <f t="shared" si="1"/>
        <v/>
      </c>
    </row>
    <row r="165">
      <c r="A165" s="2">
        <v>6.923632570121E12</v>
      </c>
      <c r="B165" s="17" t="s">
        <v>296</v>
      </c>
      <c r="C165" s="17" t="s">
        <v>305</v>
      </c>
      <c r="D165" s="17" t="s">
        <v>306</v>
      </c>
      <c r="E165" s="17" t="s">
        <v>299</v>
      </c>
      <c r="F165" s="14">
        <v>300.0</v>
      </c>
      <c r="G165" s="34">
        <v>1.0</v>
      </c>
      <c r="I165" s="17" t="str">
        <f t="shared" si="1"/>
        <v/>
      </c>
    </row>
    <row r="166">
      <c r="A166" s="2">
        <v>6.927749871859E12</v>
      </c>
      <c r="B166" s="17" t="s">
        <v>303</v>
      </c>
      <c r="C166" s="17" t="s">
        <v>307</v>
      </c>
      <c r="E166" s="17" t="s">
        <v>131</v>
      </c>
      <c r="F166" s="14">
        <v>393.7</v>
      </c>
      <c r="G166" s="34">
        <v>0.5</v>
      </c>
      <c r="I166" s="17" t="str">
        <f t="shared" si="1"/>
        <v/>
      </c>
    </row>
    <row r="167">
      <c r="A167" s="2">
        <v>6.927749871187E12</v>
      </c>
      <c r="B167" s="17" t="s">
        <v>303</v>
      </c>
      <c r="C167" s="17" t="s">
        <v>308</v>
      </c>
      <c r="E167" s="17" t="s">
        <v>131</v>
      </c>
      <c r="F167" s="14">
        <v>196.5</v>
      </c>
      <c r="G167" s="34">
        <v>0.5</v>
      </c>
      <c r="I167" s="17" t="str">
        <f t="shared" si="1"/>
        <v/>
      </c>
    </row>
    <row r="168">
      <c r="A168" s="2" t="s">
        <v>309</v>
      </c>
      <c r="B168" s="17" t="s">
        <v>303</v>
      </c>
      <c r="C168" s="17" t="s">
        <v>308</v>
      </c>
      <c r="E168" s="17" t="s">
        <v>131</v>
      </c>
      <c r="F168" s="14">
        <v>196.5</v>
      </c>
      <c r="G168" s="34">
        <v>0.5</v>
      </c>
      <c r="I168" s="17" t="str">
        <f t="shared" si="1"/>
        <v/>
      </c>
    </row>
    <row r="169">
      <c r="A169" s="2" t="s">
        <v>310</v>
      </c>
      <c r="B169" s="17" t="s">
        <v>303</v>
      </c>
      <c r="C169" s="17" t="s">
        <v>311</v>
      </c>
      <c r="E169" s="17" t="s">
        <v>131</v>
      </c>
      <c r="F169" s="14">
        <v>235.8</v>
      </c>
      <c r="G169" s="34">
        <v>0.5</v>
      </c>
      <c r="I169" s="17" t="str">
        <f t="shared" si="1"/>
        <v/>
      </c>
    </row>
    <row r="170">
      <c r="A170" s="2">
        <v>1.44586800733348E15</v>
      </c>
      <c r="B170" s="17" t="s">
        <v>303</v>
      </c>
      <c r="C170" s="17" t="s">
        <v>312</v>
      </c>
      <c r="E170" s="17" t="s">
        <v>131</v>
      </c>
      <c r="F170" s="14">
        <v>786.0</v>
      </c>
      <c r="G170" s="34">
        <v>0.5</v>
      </c>
      <c r="I170" s="17" t="str">
        <f t="shared" si="1"/>
        <v/>
      </c>
    </row>
    <row r="171">
      <c r="A171" s="2" t="s">
        <v>313</v>
      </c>
      <c r="B171" s="17" t="s">
        <v>303</v>
      </c>
      <c r="C171" s="17" t="s">
        <v>314</v>
      </c>
      <c r="E171" s="17" t="s">
        <v>131</v>
      </c>
      <c r="F171" s="14">
        <v>122.0</v>
      </c>
      <c r="G171" s="34">
        <v>0.5</v>
      </c>
      <c r="I171" s="17" t="str">
        <f t="shared" si="1"/>
        <v/>
      </c>
    </row>
    <row r="172">
      <c r="A172" s="2">
        <v>2.05482668168001E14</v>
      </c>
      <c r="B172" s="17" t="s">
        <v>303</v>
      </c>
      <c r="C172" s="17" t="s">
        <v>315</v>
      </c>
      <c r="E172" s="17" t="s">
        <v>131</v>
      </c>
      <c r="F172" s="14">
        <v>367.0</v>
      </c>
      <c r="G172" s="34">
        <v>0.5</v>
      </c>
      <c r="I172" s="17" t="str">
        <f t="shared" si="1"/>
        <v/>
      </c>
    </row>
    <row r="173">
      <c r="A173" s="2" t="s">
        <v>316</v>
      </c>
      <c r="B173" s="17" t="s">
        <v>303</v>
      </c>
      <c r="C173" s="17" t="s">
        <v>317</v>
      </c>
      <c r="E173" s="17" t="s">
        <v>131</v>
      </c>
      <c r="F173" s="14">
        <v>353.7</v>
      </c>
      <c r="G173" s="34">
        <v>0.5</v>
      </c>
      <c r="I173" s="17" t="str">
        <f t="shared" si="1"/>
        <v/>
      </c>
    </row>
    <row r="174">
      <c r="A174" s="2" t="s">
        <v>318</v>
      </c>
      <c r="B174" s="17" t="s">
        <v>303</v>
      </c>
      <c r="C174" s="17" t="s">
        <v>319</v>
      </c>
      <c r="E174" s="17" t="s">
        <v>131</v>
      </c>
      <c r="F174" s="14">
        <v>78.6</v>
      </c>
      <c r="G174" s="34">
        <v>0.5</v>
      </c>
      <c r="I174" s="17" t="str">
        <f t="shared" si="1"/>
        <v/>
      </c>
    </row>
    <row r="175">
      <c r="A175" s="2">
        <v>5.2742025223E10</v>
      </c>
      <c r="B175" s="17" t="s">
        <v>320</v>
      </c>
      <c r="C175" s="17" t="s">
        <v>321</v>
      </c>
      <c r="E175" s="17" t="s">
        <v>59</v>
      </c>
      <c r="F175" s="14">
        <v>1127.0</v>
      </c>
      <c r="G175" s="34">
        <v>3.0</v>
      </c>
      <c r="I175" s="17" t="str">
        <f t="shared" si="1"/>
        <v/>
      </c>
    </row>
    <row r="176">
      <c r="A176" s="2" t="s">
        <v>322</v>
      </c>
      <c r="B176" s="17" t="s">
        <v>229</v>
      </c>
      <c r="C176" s="17" t="s">
        <v>323</v>
      </c>
      <c r="E176" s="17" t="s">
        <v>72</v>
      </c>
      <c r="F176" s="14">
        <v>3900.0</v>
      </c>
      <c r="G176" s="34">
        <v>3.0</v>
      </c>
      <c r="I176" s="17" t="str">
        <f t="shared" si="1"/>
        <v/>
      </c>
    </row>
    <row r="177">
      <c r="A177" s="2">
        <v>5.2742071381E10</v>
      </c>
      <c r="B177" s="17" t="s">
        <v>229</v>
      </c>
      <c r="C177" s="17" t="s">
        <v>324</v>
      </c>
      <c r="E177" s="17" t="s">
        <v>72</v>
      </c>
      <c r="F177" s="14">
        <v>1247.0</v>
      </c>
      <c r="G177" s="34">
        <v>3.0</v>
      </c>
      <c r="I177" s="17" t="str">
        <f t="shared" si="1"/>
        <v/>
      </c>
    </row>
    <row r="178">
      <c r="A178" s="2">
        <v>5.2742059655E10</v>
      </c>
      <c r="B178" s="17" t="s">
        <v>229</v>
      </c>
      <c r="C178" s="17" t="s">
        <v>325</v>
      </c>
      <c r="E178" s="17" t="s">
        <v>72</v>
      </c>
      <c r="F178" s="14">
        <v>661.0</v>
      </c>
      <c r="G178" s="34">
        <v>3.0</v>
      </c>
      <c r="I178" s="17" t="str">
        <f t="shared" si="1"/>
        <v/>
      </c>
    </row>
    <row r="179">
      <c r="A179" s="2">
        <v>5.2742059525E10</v>
      </c>
      <c r="B179" s="17" t="s">
        <v>229</v>
      </c>
      <c r="C179" s="17" t="s">
        <v>326</v>
      </c>
      <c r="E179" s="17" t="s">
        <v>72</v>
      </c>
      <c r="F179" s="14">
        <v>937.0</v>
      </c>
      <c r="G179" s="34">
        <v>3.0</v>
      </c>
      <c r="I179" s="17" t="str">
        <f t="shared" si="1"/>
        <v/>
      </c>
    </row>
    <row r="180">
      <c r="A180" s="2">
        <v>5.2742059617E10</v>
      </c>
      <c r="B180" s="17" t="s">
        <v>229</v>
      </c>
      <c r="C180" s="17" t="s">
        <v>327</v>
      </c>
      <c r="E180" s="17" t="s">
        <v>72</v>
      </c>
      <c r="F180" s="14">
        <v>805.0</v>
      </c>
      <c r="G180" s="34">
        <v>3.0</v>
      </c>
      <c r="I180" s="17" t="str">
        <f t="shared" si="1"/>
        <v/>
      </c>
    </row>
    <row r="181">
      <c r="A181" s="2">
        <v>5.274203597E10</v>
      </c>
      <c r="B181" s="17" t="s">
        <v>229</v>
      </c>
      <c r="C181" s="17" t="s">
        <v>328</v>
      </c>
      <c r="E181" s="17" t="s">
        <v>72</v>
      </c>
      <c r="F181" s="14">
        <v>948.0</v>
      </c>
      <c r="G181" s="34">
        <v>3.0</v>
      </c>
      <c r="I181" s="17" t="str">
        <f t="shared" si="1"/>
        <v/>
      </c>
    </row>
    <row r="182">
      <c r="A182" s="2">
        <v>5.2742023724E10</v>
      </c>
      <c r="B182" s="17" t="s">
        <v>229</v>
      </c>
      <c r="C182" s="17" t="s">
        <v>329</v>
      </c>
      <c r="E182" s="17" t="s">
        <v>72</v>
      </c>
      <c r="F182" s="14">
        <v>790.0</v>
      </c>
      <c r="G182" s="34">
        <v>3.0</v>
      </c>
      <c r="I182" s="17" t="str">
        <f t="shared" si="1"/>
        <v/>
      </c>
    </row>
    <row r="183">
      <c r="A183" s="2">
        <v>5.2742022949E10</v>
      </c>
      <c r="B183" s="17" t="s">
        <v>229</v>
      </c>
      <c r="C183" s="17" t="s">
        <v>330</v>
      </c>
      <c r="E183" s="17" t="s">
        <v>72</v>
      </c>
      <c r="F183" s="14">
        <v>796.0</v>
      </c>
      <c r="G183" s="34">
        <v>3.0</v>
      </c>
      <c r="I183" s="17" t="str">
        <f t="shared" si="1"/>
        <v/>
      </c>
    </row>
    <row r="184">
      <c r="A184" s="2">
        <v>3.182550756419E12</v>
      </c>
      <c r="B184" s="17" t="s">
        <v>53</v>
      </c>
      <c r="C184" s="17" t="s">
        <v>331</v>
      </c>
      <c r="E184" s="17" t="s">
        <v>72</v>
      </c>
      <c r="F184" s="14">
        <v>999.0</v>
      </c>
      <c r="G184" s="34">
        <v>2.0</v>
      </c>
      <c r="I184" s="17" t="str">
        <f t="shared" si="1"/>
        <v/>
      </c>
    </row>
    <row r="185">
      <c r="A185" s="2" t="s">
        <v>332</v>
      </c>
      <c r="B185" s="17" t="s">
        <v>333</v>
      </c>
      <c r="C185" s="17" t="s">
        <v>334</v>
      </c>
      <c r="E185" s="17" t="s">
        <v>59</v>
      </c>
      <c r="F185" s="14">
        <v>1085.0</v>
      </c>
      <c r="G185" s="34">
        <v>3.0</v>
      </c>
      <c r="I185" s="17" t="str">
        <f t="shared" si="1"/>
        <v/>
      </c>
    </row>
    <row r="186">
      <c r="A186" s="2">
        <v>3.182550793001E12</v>
      </c>
      <c r="B186" s="17" t="s">
        <v>53</v>
      </c>
      <c r="C186" s="17" t="s">
        <v>335</v>
      </c>
      <c r="E186" s="17" t="s">
        <v>59</v>
      </c>
      <c r="F186" s="14">
        <v>689.64</v>
      </c>
      <c r="G186" s="34">
        <v>2.0</v>
      </c>
      <c r="I186" s="17" t="str">
        <f t="shared" si="1"/>
        <v/>
      </c>
    </row>
    <row r="187">
      <c r="A187" s="2" t="s">
        <v>336</v>
      </c>
      <c r="B187" s="17" t="s">
        <v>53</v>
      </c>
      <c r="C187" s="17" t="s">
        <v>337</v>
      </c>
      <c r="E187" s="17" t="s">
        <v>72</v>
      </c>
      <c r="F187" s="14">
        <v>999.6</v>
      </c>
      <c r="G187" s="34">
        <v>2.0</v>
      </c>
      <c r="I187" s="17" t="str">
        <f t="shared" si="1"/>
        <v/>
      </c>
    </row>
    <row r="188">
      <c r="A188" s="2" t="s">
        <v>338</v>
      </c>
      <c r="B188" s="17" t="s">
        <v>187</v>
      </c>
      <c r="C188" s="17" t="s">
        <v>339</v>
      </c>
      <c r="E188" s="17" t="s">
        <v>52</v>
      </c>
      <c r="F188" s="14">
        <v>290.0</v>
      </c>
      <c r="G188" s="34">
        <v>1.0</v>
      </c>
      <c r="I188" s="17" t="str">
        <f t="shared" si="1"/>
        <v/>
      </c>
    </row>
    <row r="189">
      <c r="A189" s="2" t="s">
        <v>340</v>
      </c>
      <c r="B189" s="17" t="s">
        <v>187</v>
      </c>
      <c r="C189" s="17" t="s">
        <v>341</v>
      </c>
      <c r="E189" s="17" t="s">
        <v>52</v>
      </c>
      <c r="F189" s="14">
        <v>580.0</v>
      </c>
      <c r="G189" s="34">
        <v>1.0</v>
      </c>
      <c r="I189" s="17" t="str">
        <f t="shared" si="1"/>
        <v/>
      </c>
    </row>
    <row r="190">
      <c r="A190" s="2">
        <v>7.613031580992E12</v>
      </c>
      <c r="B190" s="17" t="s">
        <v>187</v>
      </c>
      <c r="C190" s="17" t="s">
        <v>342</v>
      </c>
      <c r="E190" s="17" t="s">
        <v>52</v>
      </c>
      <c r="F190" s="14">
        <v>290.0</v>
      </c>
      <c r="G190" s="34">
        <v>1.0</v>
      </c>
      <c r="I190" s="17" t="str">
        <f t="shared" si="1"/>
        <v/>
      </c>
    </row>
    <row r="191">
      <c r="A191" s="2">
        <v>1.28022022E8</v>
      </c>
      <c r="B191" s="17" t="s">
        <v>53</v>
      </c>
      <c r="C191" s="17" t="s">
        <v>343</v>
      </c>
      <c r="D191" s="17" t="s">
        <v>344</v>
      </c>
      <c r="E191" s="17" t="s">
        <v>59</v>
      </c>
      <c r="F191" s="14">
        <v>1137.36</v>
      </c>
      <c r="G191" s="34">
        <v>3.0</v>
      </c>
      <c r="I191" s="17" t="str">
        <f t="shared" si="1"/>
        <v/>
      </c>
    </row>
    <row r="192">
      <c r="A192" s="2">
        <v>3.182550765206E12</v>
      </c>
      <c r="B192" s="17" t="s">
        <v>53</v>
      </c>
      <c r="C192" s="17" t="s">
        <v>345</v>
      </c>
      <c r="E192" s="17" t="s">
        <v>59</v>
      </c>
      <c r="F192" s="14">
        <v>1228.08</v>
      </c>
      <c r="G192" s="34">
        <v>3.0</v>
      </c>
      <c r="I192" s="17" t="str">
        <f t="shared" si="1"/>
        <v/>
      </c>
    </row>
    <row r="193">
      <c r="A193" s="2">
        <v>3.182550867719E12</v>
      </c>
      <c r="B193" s="17" t="s">
        <v>53</v>
      </c>
      <c r="C193" s="17" t="s">
        <v>346</v>
      </c>
      <c r="E193" s="17" t="s">
        <v>59</v>
      </c>
      <c r="F193" s="14">
        <v>1137.36</v>
      </c>
      <c r="G193" s="34">
        <v>3.0</v>
      </c>
      <c r="I193" s="17" t="str">
        <f t="shared" si="1"/>
        <v/>
      </c>
    </row>
    <row r="194">
      <c r="A194" s="2">
        <v>3.182550786218E12</v>
      </c>
      <c r="B194" s="17" t="s">
        <v>53</v>
      </c>
      <c r="C194" s="17" t="s">
        <v>347</v>
      </c>
      <c r="E194" s="17" t="s">
        <v>72</v>
      </c>
      <c r="F194" s="14">
        <v>855.96</v>
      </c>
      <c r="G194" s="34">
        <v>2.0</v>
      </c>
      <c r="I194" s="17" t="str">
        <f t="shared" si="1"/>
        <v/>
      </c>
    </row>
    <row r="195">
      <c r="A195" s="2" t="s">
        <v>348</v>
      </c>
      <c r="B195" s="17" t="s">
        <v>53</v>
      </c>
      <c r="C195" s="17" t="s">
        <v>349</v>
      </c>
      <c r="E195" s="17" t="s">
        <v>72</v>
      </c>
      <c r="F195" s="14">
        <v>924.0</v>
      </c>
      <c r="G195" s="34">
        <v>2.0</v>
      </c>
      <c r="I195" s="17" t="str">
        <f t="shared" si="1"/>
        <v/>
      </c>
    </row>
    <row r="196">
      <c r="A196" s="2" t="s">
        <v>350</v>
      </c>
      <c r="B196" s="17" t="s">
        <v>53</v>
      </c>
      <c r="C196" s="17" t="s">
        <v>351</v>
      </c>
      <c r="E196" s="17" t="s">
        <v>72</v>
      </c>
      <c r="F196" s="14">
        <v>3475.0</v>
      </c>
      <c r="G196" s="34">
        <v>10.0</v>
      </c>
      <c r="I196" s="17" t="str">
        <f t="shared" si="1"/>
        <v/>
      </c>
    </row>
    <row r="197">
      <c r="A197" s="2">
        <v>3.182550721219E12</v>
      </c>
      <c r="B197" s="17" t="s">
        <v>53</v>
      </c>
      <c r="C197" s="17" t="s">
        <v>352</v>
      </c>
      <c r="E197" s="17" t="s">
        <v>72</v>
      </c>
      <c r="F197" s="14">
        <v>1.0</v>
      </c>
      <c r="G197" s="34">
        <v>3.0</v>
      </c>
      <c r="I197" s="17" t="str">
        <f t="shared" si="1"/>
        <v/>
      </c>
    </row>
    <row r="198">
      <c r="A198" s="2" t="s">
        <v>353</v>
      </c>
      <c r="B198" s="17" t="s">
        <v>53</v>
      </c>
      <c r="C198" s="17" t="s">
        <v>354</v>
      </c>
      <c r="E198" s="17" t="s">
        <v>72</v>
      </c>
      <c r="F198" s="14">
        <v>3475.0</v>
      </c>
      <c r="G198" s="34">
        <v>10.0</v>
      </c>
      <c r="I198" s="17" t="str">
        <f t="shared" si="1"/>
        <v/>
      </c>
    </row>
    <row r="199">
      <c r="A199" s="2">
        <v>7.613036505277E12</v>
      </c>
      <c r="B199" s="17" t="s">
        <v>50</v>
      </c>
      <c r="C199" s="17" t="s">
        <v>355</v>
      </c>
      <c r="E199" s="17" t="s">
        <v>72</v>
      </c>
      <c r="F199" s="14">
        <v>900.0</v>
      </c>
      <c r="G199" s="34">
        <v>3.0</v>
      </c>
      <c r="I199" s="17" t="str">
        <f t="shared" si="1"/>
        <v/>
      </c>
    </row>
    <row r="200">
      <c r="A200" s="2" t="s">
        <v>356</v>
      </c>
      <c r="B200" s="17" t="s">
        <v>187</v>
      </c>
      <c r="C200" s="17" t="s">
        <v>357</v>
      </c>
      <c r="E200" s="17" t="s">
        <v>52</v>
      </c>
      <c r="F200" s="14">
        <v>580.0</v>
      </c>
      <c r="G200" s="34">
        <v>2.0</v>
      </c>
      <c r="I200" s="17" t="str">
        <f t="shared" si="1"/>
        <v/>
      </c>
    </row>
    <row r="201">
      <c r="A201" s="2" t="s">
        <v>358</v>
      </c>
      <c r="B201" s="17" t="s">
        <v>139</v>
      </c>
      <c r="C201" s="17" t="s">
        <v>359</v>
      </c>
      <c r="E201" s="17" t="s">
        <v>52</v>
      </c>
      <c r="F201" s="14">
        <v>720.0</v>
      </c>
      <c r="G201" s="34">
        <v>3.0</v>
      </c>
      <c r="I201" s="17" t="str">
        <f t="shared" si="1"/>
        <v/>
      </c>
    </row>
    <row r="202">
      <c r="A202" s="2">
        <v>7.41245638741E11</v>
      </c>
      <c r="B202" s="17" t="s">
        <v>187</v>
      </c>
      <c r="C202" s="17" t="s">
        <v>360</v>
      </c>
      <c r="E202" s="17" t="s">
        <v>52</v>
      </c>
      <c r="F202" s="14">
        <v>290.0</v>
      </c>
      <c r="G202" s="34">
        <v>2.0</v>
      </c>
      <c r="I202" s="17" t="str">
        <f t="shared" si="1"/>
        <v/>
      </c>
    </row>
    <row r="203">
      <c r="A203" s="2">
        <v>3.182550704533E12</v>
      </c>
      <c r="B203" s="17" t="s">
        <v>53</v>
      </c>
      <c r="C203" s="17" t="s">
        <v>361</v>
      </c>
      <c r="E203" s="17" t="s">
        <v>72</v>
      </c>
      <c r="F203" s="14">
        <v>1837.92</v>
      </c>
      <c r="G203" s="34">
        <v>4.0</v>
      </c>
      <c r="I203" s="17" t="str">
        <f t="shared" si="1"/>
        <v/>
      </c>
    </row>
    <row r="204">
      <c r="A204" s="2">
        <v>9.00000046014E12</v>
      </c>
      <c r="B204" s="17" t="s">
        <v>53</v>
      </c>
      <c r="C204" s="17" t="s">
        <v>362</v>
      </c>
      <c r="E204" s="17" t="s">
        <v>279</v>
      </c>
      <c r="F204" s="14">
        <v>504.0</v>
      </c>
      <c r="G204" s="34">
        <v>2.0</v>
      </c>
      <c r="I204" s="17" t="str">
        <f t="shared" si="1"/>
        <v/>
      </c>
    </row>
    <row r="205">
      <c r="A205" s="2">
        <v>3.182550728102E12</v>
      </c>
      <c r="B205" s="17" t="s">
        <v>53</v>
      </c>
      <c r="C205" s="17" t="s">
        <v>363</v>
      </c>
      <c r="E205" s="17" t="s">
        <v>59</v>
      </c>
      <c r="F205" s="14">
        <v>621.6</v>
      </c>
      <c r="G205" s="34">
        <v>2.0</v>
      </c>
      <c r="I205" s="17" t="str">
        <f t="shared" si="1"/>
        <v/>
      </c>
    </row>
    <row r="206">
      <c r="A206" s="2">
        <v>3.182550702362E12</v>
      </c>
      <c r="B206" s="17" t="s">
        <v>53</v>
      </c>
      <c r="C206" s="17" t="s">
        <v>364</v>
      </c>
      <c r="E206" s="17" t="s">
        <v>72</v>
      </c>
      <c r="F206" s="14">
        <v>4756.08</v>
      </c>
      <c r="G206" s="34">
        <v>15.0</v>
      </c>
      <c r="I206" s="17" t="str">
        <f t="shared" si="1"/>
        <v/>
      </c>
    </row>
    <row r="207">
      <c r="A207" s="2">
        <v>9.003579308738E12</v>
      </c>
      <c r="B207" s="17" t="s">
        <v>53</v>
      </c>
      <c r="C207" s="17" t="s">
        <v>365</v>
      </c>
      <c r="E207" s="17" t="s">
        <v>52</v>
      </c>
      <c r="F207" s="14">
        <v>504.0</v>
      </c>
      <c r="G207" s="34">
        <v>2.0</v>
      </c>
      <c r="I207" s="17" t="str">
        <f t="shared" si="1"/>
        <v/>
      </c>
    </row>
    <row r="208">
      <c r="A208" s="2">
        <v>3.182550811637E12</v>
      </c>
      <c r="B208" s="17" t="s">
        <v>53</v>
      </c>
      <c r="C208" s="17" t="s">
        <v>366</v>
      </c>
      <c r="E208" s="17" t="s">
        <v>59</v>
      </c>
      <c r="F208" s="14">
        <v>1137.36</v>
      </c>
      <c r="G208" s="34">
        <v>3.0</v>
      </c>
      <c r="I208" s="17" t="str">
        <f t="shared" si="1"/>
        <v/>
      </c>
    </row>
    <row r="209">
      <c r="A209" s="2">
        <v>9.003579013748E12</v>
      </c>
      <c r="B209" s="17" t="s">
        <v>53</v>
      </c>
      <c r="C209" s="17" t="s">
        <v>367</v>
      </c>
      <c r="E209" s="17" t="s">
        <v>279</v>
      </c>
      <c r="F209" s="14">
        <v>487.2</v>
      </c>
      <c r="G209" s="34">
        <v>2.0</v>
      </c>
      <c r="I209" s="17" t="str">
        <f t="shared" si="1"/>
        <v/>
      </c>
    </row>
    <row r="210">
      <c r="A210" s="2">
        <v>3.182550784566E12</v>
      </c>
      <c r="B210" s="17" t="s">
        <v>53</v>
      </c>
      <c r="C210" s="17" t="s">
        <v>368</v>
      </c>
      <c r="E210" s="17" t="s">
        <v>72</v>
      </c>
      <c r="F210" s="14">
        <v>653.52</v>
      </c>
      <c r="G210" s="34">
        <v>2.0</v>
      </c>
      <c r="I210" s="17" t="str">
        <f t="shared" si="1"/>
        <v/>
      </c>
    </row>
    <row r="211">
      <c r="A211" s="2">
        <v>3.182550704625E12</v>
      </c>
      <c r="B211" s="17" t="s">
        <v>53</v>
      </c>
      <c r="C211" s="17" t="s">
        <v>369</v>
      </c>
      <c r="E211" s="17" t="s">
        <v>72</v>
      </c>
      <c r="F211" s="14">
        <v>1.0</v>
      </c>
      <c r="G211" s="34">
        <v>3.0</v>
      </c>
      <c r="I211" s="17" t="str">
        <f t="shared" si="1"/>
        <v/>
      </c>
    </row>
    <row r="212">
      <c r="A212" s="2">
        <v>9.003579311844E12</v>
      </c>
      <c r="B212" s="17" t="s">
        <v>53</v>
      </c>
      <c r="C212" s="17" t="s">
        <v>370</v>
      </c>
      <c r="E212" s="17" t="s">
        <v>52</v>
      </c>
      <c r="F212" s="14">
        <v>504.0</v>
      </c>
      <c r="G212" s="34">
        <v>1.0</v>
      </c>
      <c r="I212" s="17" t="str">
        <f t="shared" si="1"/>
        <v/>
      </c>
    </row>
    <row r="213">
      <c r="A213" s="2">
        <v>3.18255078458E12</v>
      </c>
      <c r="B213" s="17" t="s">
        <v>53</v>
      </c>
      <c r="C213" s="17" t="s">
        <v>371</v>
      </c>
      <c r="E213" s="17" t="s">
        <v>72</v>
      </c>
      <c r="F213" s="14">
        <v>1604.0</v>
      </c>
      <c r="G213" s="34">
        <v>4.0</v>
      </c>
      <c r="I213" s="17" t="str">
        <f t="shared" si="1"/>
        <v/>
      </c>
    </row>
    <row r="214">
      <c r="A214" s="2">
        <v>3.182550908443E12</v>
      </c>
      <c r="B214" s="17" t="s">
        <v>53</v>
      </c>
      <c r="C214" s="17" t="s">
        <v>372</v>
      </c>
      <c r="E214" s="17" t="s">
        <v>59</v>
      </c>
      <c r="F214" s="14">
        <v>594.0</v>
      </c>
      <c r="G214" s="34">
        <v>2.0</v>
      </c>
      <c r="I214" s="17" t="str">
        <f t="shared" si="1"/>
        <v/>
      </c>
    </row>
    <row r="215">
      <c r="A215" s="2">
        <v>3.182550716857E12</v>
      </c>
      <c r="B215" s="17" t="s">
        <v>53</v>
      </c>
      <c r="C215" s="17" t="s">
        <v>373</v>
      </c>
      <c r="E215" s="17" t="s">
        <v>59</v>
      </c>
      <c r="F215" s="14">
        <v>621.6</v>
      </c>
      <c r="G215" s="34">
        <v>2.0</v>
      </c>
      <c r="I215" s="17" t="str">
        <f t="shared" si="1"/>
        <v/>
      </c>
    </row>
    <row r="216">
      <c r="A216" s="2">
        <v>9.003579308745E12</v>
      </c>
      <c r="B216" s="17" t="s">
        <v>53</v>
      </c>
      <c r="C216" s="17" t="s">
        <v>374</v>
      </c>
      <c r="E216" s="17" t="s">
        <v>52</v>
      </c>
      <c r="F216" s="14">
        <v>557.76</v>
      </c>
      <c r="G216" s="34">
        <v>2.0</v>
      </c>
      <c r="I216" s="17" t="str">
        <f t="shared" si="1"/>
        <v/>
      </c>
    </row>
    <row r="217">
      <c r="A217" s="2">
        <v>3.182550717137E12</v>
      </c>
      <c r="B217" s="17" t="s">
        <v>53</v>
      </c>
      <c r="C217" s="17" t="s">
        <v>375</v>
      </c>
      <c r="E217" s="17" t="s">
        <v>72</v>
      </c>
      <c r="F217" s="14">
        <v>832.44</v>
      </c>
      <c r="G217" s="34">
        <v>2.0</v>
      </c>
      <c r="I217" s="17" t="str">
        <f t="shared" si="1"/>
        <v/>
      </c>
    </row>
    <row r="218">
      <c r="A218" s="2">
        <v>3.1825507214E12</v>
      </c>
      <c r="B218" s="17" t="s">
        <v>53</v>
      </c>
      <c r="C218" s="17" t="s">
        <v>376</v>
      </c>
      <c r="E218" s="17" t="s">
        <v>72</v>
      </c>
      <c r="F218" s="14">
        <v>1083.6</v>
      </c>
      <c r="G218" s="34">
        <v>2.0</v>
      </c>
      <c r="I218" s="17" t="str">
        <f t="shared" si="1"/>
        <v/>
      </c>
    </row>
    <row r="219">
      <c r="A219" s="2">
        <v>3.18255040217E12</v>
      </c>
      <c r="B219" s="17" t="s">
        <v>53</v>
      </c>
      <c r="C219" s="17" t="s">
        <v>377</v>
      </c>
      <c r="E219" s="17" t="s">
        <v>59</v>
      </c>
      <c r="F219" s="14">
        <v>689.64</v>
      </c>
      <c r="G219" s="34">
        <v>2.0</v>
      </c>
      <c r="I219" s="17" t="str">
        <f t="shared" si="1"/>
        <v/>
      </c>
    </row>
    <row r="220">
      <c r="A220" s="2">
        <v>9.00357931179E12</v>
      </c>
      <c r="B220" s="17" t="s">
        <v>53</v>
      </c>
      <c r="C220" s="17" t="s">
        <v>378</v>
      </c>
      <c r="E220" s="17" t="s">
        <v>72</v>
      </c>
      <c r="F220" s="14">
        <v>557.76</v>
      </c>
      <c r="G220" s="34">
        <v>2.0</v>
      </c>
      <c r="I220" s="17" t="str">
        <f t="shared" si="1"/>
        <v/>
      </c>
    </row>
    <row r="221">
      <c r="A221" s="2" t="s">
        <v>379</v>
      </c>
      <c r="B221" s="17" t="s">
        <v>53</v>
      </c>
      <c r="C221" s="17" t="s">
        <v>380</v>
      </c>
      <c r="E221" s="17" t="s">
        <v>72</v>
      </c>
      <c r="F221" s="14">
        <v>1459.0</v>
      </c>
      <c r="G221" s="34">
        <v>4.0</v>
      </c>
      <c r="I221" s="17" t="str">
        <f t="shared" si="1"/>
        <v/>
      </c>
    </row>
    <row r="222">
      <c r="A222" s="2">
        <v>9.003579008249E12</v>
      </c>
      <c r="B222" s="17" t="s">
        <v>53</v>
      </c>
      <c r="C222" s="17" t="s">
        <v>381</v>
      </c>
      <c r="E222" s="17" t="s">
        <v>279</v>
      </c>
      <c r="F222" s="14">
        <v>434.28</v>
      </c>
      <c r="G222" s="34">
        <v>2.0</v>
      </c>
      <c r="I222" s="17" t="str">
        <f t="shared" si="1"/>
        <v/>
      </c>
    </row>
    <row r="223">
      <c r="A223" s="2">
        <v>9.003579029763E12</v>
      </c>
      <c r="B223" s="17" t="s">
        <v>53</v>
      </c>
      <c r="C223" s="17" t="s">
        <v>382</v>
      </c>
      <c r="E223" s="17" t="s">
        <v>279</v>
      </c>
      <c r="F223" s="14">
        <v>1.0</v>
      </c>
      <c r="G223" s="34">
        <v>2.0</v>
      </c>
      <c r="I223" s="17" t="str">
        <f t="shared" si="1"/>
        <v/>
      </c>
    </row>
    <row r="224">
      <c r="A224" s="2" t="s">
        <v>383</v>
      </c>
      <c r="B224" s="17" t="s">
        <v>53</v>
      </c>
      <c r="C224" s="17" t="s">
        <v>384</v>
      </c>
      <c r="E224" s="17" t="s">
        <v>52</v>
      </c>
      <c r="F224" s="14">
        <v>1.0</v>
      </c>
      <c r="G224" s="34">
        <v>3.0</v>
      </c>
      <c r="I224" s="17" t="str">
        <f t="shared" si="1"/>
        <v/>
      </c>
    </row>
    <row r="225">
      <c r="A225" s="2">
        <v>5.703579008379E12</v>
      </c>
      <c r="B225" s="17" t="s">
        <v>53</v>
      </c>
      <c r="C225" s="17" t="s">
        <v>385</v>
      </c>
      <c r="E225" s="17" t="s">
        <v>279</v>
      </c>
      <c r="F225" s="14">
        <v>1.0</v>
      </c>
      <c r="G225" s="34">
        <v>2.0</v>
      </c>
      <c r="I225" s="17" t="str">
        <f t="shared" si="1"/>
        <v/>
      </c>
    </row>
    <row r="226">
      <c r="A226" s="2">
        <v>9.003579008485E12</v>
      </c>
      <c r="B226" s="17" t="s">
        <v>53</v>
      </c>
      <c r="C226" s="17" t="s">
        <v>386</v>
      </c>
      <c r="E226" s="17" t="s">
        <v>279</v>
      </c>
      <c r="F226" s="14">
        <v>536.76</v>
      </c>
      <c r="G226" s="34">
        <v>2.0</v>
      </c>
      <c r="I226" s="17" t="str">
        <f t="shared" si="1"/>
        <v/>
      </c>
    </row>
    <row r="227">
      <c r="A227" s="2">
        <v>9.003579008331E12</v>
      </c>
      <c r="B227" s="17" t="s">
        <v>53</v>
      </c>
      <c r="C227" s="17" t="s">
        <v>387</v>
      </c>
      <c r="E227" s="17" t="s">
        <v>279</v>
      </c>
      <c r="F227" s="14">
        <v>1.0</v>
      </c>
      <c r="G227" s="34">
        <v>2.0</v>
      </c>
      <c r="I227" s="17" t="str">
        <f t="shared" si="1"/>
        <v/>
      </c>
    </row>
    <row r="228">
      <c r="A228" s="2" t="s">
        <v>388</v>
      </c>
      <c r="B228" s="17" t="s">
        <v>53</v>
      </c>
      <c r="C228" s="17" t="s">
        <v>389</v>
      </c>
      <c r="E228" s="17" t="s">
        <v>52</v>
      </c>
      <c r="F228" s="14" t="s">
        <v>180</v>
      </c>
      <c r="G228" s="34" t="s">
        <v>180</v>
      </c>
      <c r="I228" s="17" t="str">
        <f t="shared" si="1"/>
        <v/>
      </c>
    </row>
    <row r="229">
      <c r="A229" s="2">
        <v>9.003579018941E12</v>
      </c>
      <c r="B229" s="17" t="s">
        <v>53</v>
      </c>
      <c r="C229" s="17" t="s">
        <v>390</v>
      </c>
      <c r="E229" s="17" t="s">
        <v>52</v>
      </c>
      <c r="F229" s="14" t="s">
        <v>180</v>
      </c>
      <c r="G229" s="34" t="s">
        <v>180</v>
      </c>
      <c r="I229" s="17" t="str">
        <f t="shared" si="1"/>
        <v/>
      </c>
    </row>
    <row r="230">
      <c r="A230" s="2" t="s">
        <v>391</v>
      </c>
      <c r="B230" s="17" t="s">
        <v>137</v>
      </c>
      <c r="C230" s="17" t="s">
        <v>392</v>
      </c>
      <c r="E230" s="17" t="s">
        <v>52</v>
      </c>
      <c r="F230" s="14">
        <v>390.0</v>
      </c>
      <c r="G230" s="34">
        <v>2.0</v>
      </c>
      <c r="I230" s="17" t="str">
        <f t="shared" si="1"/>
        <v/>
      </c>
    </row>
    <row r="231">
      <c r="A231" s="2" t="s">
        <v>393</v>
      </c>
      <c r="B231" s="17" t="s">
        <v>187</v>
      </c>
      <c r="C231" s="17" t="s">
        <v>394</v>
      </c>
      <c r="E231" s="17" t="s">
        <v>52</v>
      </c>
      <c r="F231" s="14">
        <v>850.0</v>
      </c>
      <c r="G231" s="34">
        <v>3.0</v>
      </c>
      <c r="I231" s="17" t="str">
        <f t="shared" si="1"/>
        <v/>
      </c>
    </row>
    <row r="232">
      <c r="A232" s="2">
        <v>8.694867251321E12</v>
      </c>
      <c r="B232" s="17" t="s">
        <v>137</v>
      </c>
      <c r="C232" s="17" t="s">
        <v>395</v>
      </c>
      <c r="E232" s="17" t="s">
        <v>52</v>
      </c>
      <c r="F232" s="14">
        <v>300.0</v>
      </c>
      <c r="G232" s="34">
        <v>1.0</v>
      </c>
      <c r="I232" s="17" t="str">
        <f t="shared" si="1"/>
        <v/>
      </c>
    </row>
    <row r="233">
      <c r="A233" s="2">
        <v>2.06441287E9</v>
      </c>
      <c r="B233" s="17" t="s">
        <v>137</v>
      </c>
      <c r="C233" s="17" t="s">
        <v>396</v>
      </c>
      <c r="E233" s="17" t="s">
        <v>72</v>
      </c>
      <c r="F233" s="14">
        <v>1500.0</v>
      </c>
      <c r="G233" s="34">
        <v>8.0</v>
      </c>
      <c r="I233" s="17" t="str">
        <f t="shared" si="1"/>
        <v/>
      </c>
    </row>
    <row r="234">
      <c r="A234" s="2">
        <v>4.000487598894E12</v>
      </c>
      <c r="B234" s="17" t="s">
        <v>137</v>
      </c>
      <c r="C234" s="17" t="s">
        <v>396</v>
      </c>
      <c r="E234" s="17" t="s">
        <v>72</v>
      </c>
      <c r="F234" s="14">
        <v>1500.0</v>
      </c>
      <c r="G234" s="34">
        <v>8.0</v>
      </c>
      <c r="I234" s="17" t="str">
        <f t="shared" si="1"/>
        <v/>
      </c>
    </row>
    <row r="235">
      <c r="A235" s="2">
        <v>8.46799273637E11</v>
      </c>
      <c r="B235" s="17" t="s">
        <v>137</v>
      </c>
      <c r="C235" s="17" t="s">
        <v>397</v>
      </c>
      <c r="E235" s="17" t="s">
        <v>72</v>
      </c>
      <c r="F235" s="14">
        <v>420.0</v>
      </c>
      <c r="G235" s="34">
        <v>1.0</v>
      </c>
      <c r="I235" s="17" t="str">
        <f t="shared" si="1"/>
        <v/>
      </c>
    </row>
    <row r="236">
      <c r="A236" s="2" t="s">
        <v>398</v>
      </c>
      <c r="B236" s="17" t="s">
        <v>137</v>
      </c>
      <c r="C236" s="17" t="s">
        <v>399</v>
      </c>
      <c r="E236" s="17" t="s">
        <v>52</v>
      </c>
      <c r="F236" s="14">
        <v>360.0</v>
      </c>
      <c r="G236" s="34">
        <v>2.0</v>
      </c>
      <c r="I236" s="17" t="str">
        <f t="shared" si="1"/>
        <v/>
      </c>
    </row>
    <row r="237">
      <c r="A237" s="2">
        <v>7.613287487728E12</v>
      </c>
      <c r="B237" s="17" t="s">
        <v>137</v>
      </c>
      <c r="C237" s="17" t="s">
        <v>400</v>
      </c>
      <c r="E237" s="17" t="s">
        <v>52</v>
      </c>
      <c r="F237" s="14">
        <v>720.0</v>
      </c>
      <c r="G237" s="34">
        <v>3.0</v>
      </c>
      <c r="I237" s="17" t="str">
        <f t="shared" si="1"/>
        <v/>
      </c>
    </row>
    <row r="238">
      <c r="A238" s="2">
        <v>7.613035613898E12</v>
      </c>
      <c r="B238" s="17" t="s">
        <v>178</v>
      </c>
      <c r="C238" s="17" t="s">
        <v>401</v>
      </c>
      <c r="E238" s="17" t="s">
        <v>72</v>
      </c>
      <c r="F238" s="14">
        <v>377.0</v>
      </c>
      <c r="G238" s="34">
        <v>3.0</v>
      </c>
      <c r="I238" s="17" t="str">
        <f t="shared" si="1"/>
        <v/>
      </c>
    </row>
    <row r="239">
      <c r="A239" s="2" t="s">
        <v>402</v>
      </c>
      <c r="B239" s="17" t="s">
        <v>178</v>
      </c>
      <c r="C239" s="17" t="s">
        <v>403</v>
      </c>
      <c r="E239" s="17" t="s">
        <v>72</v>
      </c>
      <c r="F239" s="14">
        <v>460.0</v>
      </c>
      <c r="G239" s="34">
        <v>3.0</v>
      </c>
      <c r="I239" s="17" t="str">
        <f t="shared" si="1"/>
        <v/>
      </c>
    </row>
    <row r="240">
      <c r="A240" s="2">
        <v>7.613033635574E12</v>
      </c>
      <c r="B240" s="17" t="s">
        <v>178</v>
      </c>
      <c r="C240" s="17" t="s">
        <v>404</v>
      </c>
      <c r="E240" s="17" t="s">
        <v>72</v>
      </c>
      <c r="F240" s="14">
        <v>580.0</v>
      </c>
      <c r="G240" s="34">
        <v>2.0</v>
      </c>
      <c r="I240" s="17" t="str">
        <f t="shared" si="1"/>
        <v/>
      </c>
    </row>
    <row r="241">
      <c r="A241" s="2">
        <v>8.445290099426E12</v>
      </c>
      <c r="B241" s="17" t="s">
        <v>178</v>
      </c>
      <c r="C241" s="17" t="s">
        <v>405</v>
      </c>
      <c r="E241" s="17" t="s">
        <v>72</v>
      </c>
      <c r="F241" s="14">
        <v>255.0</v>
      </c>
      <c r="G241" s="34">
        <v>3.0</v>
      </c>
      <c r="I241" s="17" t="str">
        <f t="shared" si="1"/>
        <v/>
      </c>
    </row>
    <row r="242">
      <c r="A242" s="2" t="s">
        <v>406</v>
      </c>
      <c r="B242" s="17" t="s">
        <v>178</v>
      </c>
      <c r="C242" s="17" t="s">
        <v>407</v>
      </c>
      <c r="E242" s="17" t="s">
        <v>72</v>
      </c>
      <c r="F242" s="14">
        <v>1508.0</v>
      </c>
      <c r="G242" s="34">
        <v>3.0</v>
      </c>
      <c r="I242" s="17" t="str">
        <f t="shared" si="1"/>
        <v/>
      </c>
    </row>
    <row r="243">
      <c r="A243" s="2">
        <v>4.0004872260361E15</v>
      </c>
      <c r="B243" s="17" t="s">
        <v>137</v>
      </c>
      <c r="C243" s="17" t="s">
        <v>408</v>
      </c>
      <c r="E243" s="17" t="s">
        <v>72</v>
      </c>
      <c r="F243" s="14">
        <v>1500.0</v>
      </c>
      <c r="G243" s="34">
        <v>6.0</v>
      </c>
      <c r="I243" s="17" t="str">
        <f t="shared" si="1"/>
        <v/>
      </c>
    </row>
    <row r="244">
      <c r="A244" s="2" t="s">
        <v>409</v>
      </c>
      <c r="B244" s="17" t="s">
        <v>137</v>
      </c>
      <c r="C244" s="17" t="s">
        <v>410</v>
      </c>
      <c r="E244" s="17" t="s">
        <v>52</v>
      </c>
      <c r="F244" s="14">
        <v>780.0</v>
      </c>
      <c r="G244" s="34">
        <v>4.0</v>
      </c>
      <c r="I244" s="17" t="str">
        <f t="shared" si="1"/>
        <v/>
      </c>
    </row>
    <row r="245">
      <c r="A245" s="2" t="s">
        <v>411</v>
      </c>
      <c r="B245" s="17" t="s">
        <v>187</v>
      </c>
      <c r="C245" s="17" t="s">
        <v>412</v>
      </c>
      <c r="E245" s="17" t="s">
        <v>52</v>
      </c>
      <c r="F245" s="14">
        <v>580.0</v>
      </c>
      <c r="G245" s="34">
        <v>2.0</v>
      </c>
      <c r="I245" s="17" t="str">
        <f t="shared" si="1"/>
        <v/>
      </c>
    </row>
    <row r="246">
      <c r="A246" s="2" t="s">
        <v>413</v>
      </c>
      <c r="B246" s="17" t="s">
        <v>137</v>
      </c>
      <c r="C246" s="17" t="s">
        <v>414</v>
      </c>
      <c r="E246" s="17" t="s">
        <v>52</v>
      </c>
      <c r="F246" s="14">
        <v>1560.0</v>
      </c>
      <c r="G246" s="34">
        <v>7.0</v>
      </c>
      <c r="I246" s="17" t="str">
        <f t="shared" si="1"/>
        <v/>
      </c>
    </row>
    <row r="247">
      <c r="A247" s="2" t="s">
        <v>415</v>
      </c>
      <c r="B247" s="17" t="s">
        <v>137</v>
      </c>
      <c r="C247" s="17" t="s">
        <v>416</v>
      </c>
      <c r="E247" s="17" t="s">
        <v>52</v>
      </c>
      <c r="F247" s="14">
        <v>180.0</v>
      </c>
      <c r="G247" s="34">
        <v>3.0</v>
      </c>
      <c r="I247" s="17" t="str">
        <f t="shared" si="1"/>
        <v/>
      </c>
    </row>
    <row r="248">
      <c r="A248" s="2">
        <v>4.54654654354534E14</v>
      </c>
      <c r="B248" s="17" t="s">
        <v>137</v>
      </c>
      <c r="C248" s="17" t="s">
        <v>417</v>
      </c>
      <c r="E248" s="17" t="s">
        <v>52</v>
      </c>
      <c r="F248" s="14">
        <v>390.0</v>
      </c>
      <c r="G248" s="34">
        <v>1.0</v>
      </c>
      <c r="I248" s="17" t="str">
        <f t="shared" si="1"/>
        <v/>
      </c>
    </row>
    <row r="249">
      <c r="A249" s="2" t="s">
        <v>418</v>
      </c>
      <c r="B249" s="17" t="s">
        <v>137</v>
      </c>
      <c r="C249" s="17" t="s">
        <v>419</v>
      </c>
      <c r="E249" s="17" t="s">
        <v>52</v>
      </c>
      <c r="F249" s="14">
        <v>390.0</v>
      </c>
      <c r="G249" s="34">
        <v>3.0</v>
      </c>
      <c r="I249" s="17" t="str">
        <f t="shared" si="1"/>
        <v/>
      </c>
    </row>
    <row r="250">
      <c r="A250" s="2" t="s">
        <v>420</v>
      </c>
      <c r="B250" s="17" t="s">
        <v>137</v>
      </c>
      <c r="C250" s="17" t="s">
        <v>421</v>
      </c>
      <c r="E250" s="17" t="s">
        <v>52</v>
      </c>
      <c r="F250" s="14">
        <v>390.0</v>
      </c>
      <c r="G250" s="34">
        <v>3.0</v>
      </c>
      <c r="I250" s="17" t="str">
        <f t="shared" si="1"/>
        <v/>
      </c>
    </row>
    <row r="251">
      <c r="A251" s="2">
        <v>6.38929373773889E14</v>
      </c>
      <c r="B251" s="17" t="s">
        <v>137</v>
      </c>
      <c r="C251" s="17" t="s">
        <v>422</v>
      </c>
      <c r="E251" s="17" t="s">
        <v>52</v>
      </c>
      <c r="F251" s="14">
        <v>480.0</v>
      </c>
      <c r="G251" s="34">
        <v>1.0</v>
      </c>
      <c r="I251" s="17" t="str">
        <f t="shared" si="1"/>
        <v/>
      </c>
    </row>
    <row r="252">
      <c r="A252" s="2">
        <v>7.613031680992E12</v>
      </c>
      <c r="B252" s="17" t="s">
        <v>187</v>
      </c>
      <c r="C252" s="17" t="s">
        <v>341</v>
      </c>
      <c r="E252" s="17" t="s">
        <v>52</v>
      </c>
      <c r="F252" s="14">
        <v>580.0</v>
      </c>
      <c r="G252" s="34">
        <v>1.0</v>
      </c>
      <c r="I252" s="17" t="str">
        <f t="shared" si="1"/>
        <v/>
      </c>
    </row>
    <row r="253">
      <c r="A253" s="2">
        <v>9.225108931116E12</v>
      </c>
      <c r="B253" s="17" t="s">
        <v>187</v>
      </c>
      <c r="C253" s="17" t="s">
        <v>423</v>
      </c>
      <c r="E253" s="17" t="s">
        <v>52</v>
      </c>
      <c r="F253" s="14">
        <v>580.0</v>
      </c>
      <c r="G253" s="34">
        <v>2.0</v>
      </c>
      <c r="I253" s="17" t="str">
        <f t="shared" si="1"/>
        <v/>
      </c>
    </row>
    <row r="254">
      <c r="A254" s="2">
        <v>7.613031384494E12</v>
      </c>
      <c r="B254" s="17" t="s">
        <v>187</v>
      </c>
      <c r="C254" s="17" t="s">
        <v>424</v>
      </c>
      <c r="E254" s="17" t="s">
        <v>52</v>
      </c>
      <c r="F254" s="14">
        <v>580.0</v>
      </c>
      <c r="G254" s="34">
        <v>3.0</v>
      </c>
      <c r="I254" s="17" t="str">
        <f t="shared" si="1"/>
        <v/>
      </c>
    </row>
    <row r="255">
      <c r="A255" s="2">
        <v>7.8541239E7</v>
      </c>
      <c r="B255" s="17" t="s">
        <v>53</v>
      </c>
      <c r="C255" s="17" t="s">
        <v>425</v>
      </c>
      <c r="E255" s="17" t="s">
        <v>72</v>
      </c>
      <c r="F255" s="14">
        <v>696.0</v>
      </c>
      <c r="G255" s="34">
        <v>1.0</v>
      </c>
      <c r="I255" s="17" t="str">
        <f t="shared" si="1"/>
        <v/>
      </c>
    </row>
    <row r="256">
      <c r="A256" s="2">
        <v>3.182550816311E12</v>
      </c>
      <c r="B256" s="17" t="s">
        <v>53</v>
      </c>
      <c r="C256" s="17" t="s">
        <v>426</v>
      </c>
      <c r="E256" s="17" t="s">
        <v>72</v>
      </c>
      <c r="F256" s="14">
        <v>1.0</v>
      </c>
      <c r="G256" s="34">
        <v>3.0</v>
      </c>
      <c r="I256" s="17" t="str">
        <f t="shared" si="1"/>
        <v/>
      </c>
    </row>
    <row r="257">
      <c r="A257" s="2" t="s">
        <v>427</v>
      </c>
      <c r="B257" s="17" t="s">
        <v>50</v>
      </c>
      <c r="C257" s="17" t="s">
        <v>428</v>
      </c>
      <c r="E257" s="17" t="s">
        <v>72</v>
      </c>
      <c r="F257" s="14">
        <v>1500.0</v>
      </c>
      <c r="G257" s="34">
        <v>3.0</v>
      </c>
      <c r="I257" s="17" t="str">
        <f t="shared" si="1"/>
        <v/>
      </c>
    </row>
    <row r="258">
      <c r="A258" s="2" t="s">
        <v>429</v>
      </c>
      <c r="B258" s="17" t="s">
        <v>50</v>
      </c>
      <c r="C258" s="17" t="s">
        <v>430</v>
      </c>
      <c r="E258" s="17" t="s">
        <v>72</v>
      </c>
      <c r="F258" s="14">
        <v>750.0</v>
      </c>
      <c r="G258" s="34">
        <v>3.0</v>
      </c>
      <c r="I258" s="17" t="str">
        <f t="shared" si="1"/>
        <v/>
      </c>
    </row>
    <row r="259">
      <c r="A259" s="2">
        <v>7.613035846708E12</v>
      </c>
      <c r="B259" s="17" t="s">
        <v>50</v>
      </c>
      <c r="C259" s="17" t="s">
        <v>431</v>
      </c>
      <c r="E259" s="17" t="s">
        <v>72</v>
      </c>
      <c r="F259" s="14">
        <v>1160.0</v>
      </c>
      <c r="G259" s="34">
        <v>3.0</v>
      </c>
      <c r="I259" s="17" t="str">
        <f t="shared" si="1"/>
        <v/>
      </c>
    </row>
    <row r="260">
      <c r="A260" s="2">
        <v>7.301407035156E12</v>
      </c>
      <c r="B260" s="17" t="s">
        <v>53</v>
      </c>
      <c r="C260" s="17" t="s">
        <v>432</v>
      </c>
      <c r="E260" s="17" t="s">
        <v>72</v>
      </c>
      <c r="F260" s="14">
        <v>173.0</v>
      </c>
      <c r="G260" s="34">
        <v>3.0</v>
      </c>
      <c r="I260" s="17" t="str">
        <f t="shared" si="1"/>
        <v/>
      </c>
    </row>
    <row r="261">
      <c r="A261" s="2" t="s">
        <v>433</v>
      </c>
      <c r="B261" s="17" t="s">
        <v>53</v>
      </c>
      <c r="C261" s="17" t="s">
        <v>434</v>
      </c>
      <c r="E261" s="17" t="s">
        <v>72</v>
      </c>
      <c r="F261" s="14">
        <v>340.0</v>
      </c>
      <c r="G261" s="34">
        <v>3.0</v>
      </c>
      <c r="I261" s="17" t="str">
        <f t="shared" si="1"/>
        <v/>
      </c>
    </row>
    <row r="262">
      <c r="A262" s="2">
        <v>3.182550756402E12</v>
      </c>
      <c r="B262" s="17" t="s">
        <v>53</v>
      </c>
      <c r="C262" s="17" t="s">
        <v>435</v>
      </c>
      <c r="E262" s="17" t="s">
        <v>72</v>
      </c>
      <c r="F262" s="14">
        <v>215.88</v>
      </c>
      <c r="G262" s="34">
        <v>1.0</v>
      </c>
      <c r="I262" s="17" t="str">
        <f t="shared" si="1"/>
        <v/>
      </c>
    </row>
    <row r="263">
      <c r="A263" s="2">
        <v>3.182550737555E12</v>
      </c>
      <c r="B263" s="17" t="s">
        <v>53</v>
      </c>
      <c r="C263" s="17" t="s">
        <v>436</v>
      </c>
      <c r="E263" s="17" t="s">
        <v>72</v>
      </c>
      <c r="F263" s="14">
        <v>170.0</v>
      </c>
      <c r="G263" s="34">
        <v>3.0</v>
      </c>
      <c r="I263" s="17" t="str">
        <f t="shared" si="1"/>
        <v/>
      </c>
    </row>
    <row r="264">
      <c r="A264" s="2">
        <v>2.584503166745E12</v>
      </c>
      <c r="B264" s="17" t="s">
        <v>50</v>
      </c>
      <c r="C264" s="17" t="s">
        <v>437</v>
      </c>
      <c r="E264" s="17" t="s">
        <v>72</v>
      </c>
      <c r="F264" s="14">
        <v>3475.0</v>
      </c>
      <c r="G264" s="34">
        <v>3.0</v>
      </c>
      <c r="I264" s="17" t="str">
        <f t="shared" si="1"/>
        <v/>
      </c>
    </row>
    <row r="265">
      <c r="A265" s="2" t="s">
        <v>438</v>
      </c>
      <c r="B265" s="17" t="s">
        <v>53</v>
      </c>
      <c r="C265" s="17" t="s">
        <v>439</v>
      </c>
      <c r="E265" s="17" t="s">
        <v>72</v>
      </c>
      <c r="F265" s="14">
        <v>796.0</v>
      </c>
      <c r="G265" s="34">
        <v>3.0</v>
      </c>
      <c r="I265" s="17" t="str">
        <f t="shared" si="1"/>
        <v/>
      </c>
    </row>
    <row r="266">
      <c r="A266" s="2" t="s">
        <v>440</v>
      </c>
      <c r="B266" s="17" t="s">
        <v>137</v>
      </c>
      <c r="C266" s="17" t="s">
        <v>441</v>
      </c>
      <c r="E266" s="17" t="s">
        <v>52</v>
      </c>
      <c r="F266" s="14">
        <v>780.0</v>
      </c>
      <c r="G266" s="34">
        <v>4.0</v>
      </c>
      <c r="I266" s="17" t="str">
        <f t="shared" si="1"/>
        <v/>
      </c>
    </row>
    <row r="267">
      <c r="A267" s="2">
        <v>6.13033566523E11</v>
      </c>
      <c r="B267" s="17" t="s">
        <v>50</v>
      </c>
      <c r="C267" s="17" t="s">
        <v>442</v>
      </c>
      <c r="E267" s="17" t="s">
        <v>72</v>
      </c>
      <c r="F267" s="14">
        <v>3475.0</v>
      </c>
      <c r="G267" s="34">
        <v>10.0</v>
      </c>
      <c r="I267" s="17" t="str">
        <f t="shared" si="1"/>
        <v/>
      </c>
    </row>
    <row r="268">
      <c r="A268" s="2">
        <v>8.6989950312022E13</v>
      </c>
      <c r="B268" s="17" t="s">
        <v>443</v>
      </c>
      <c r="C268" s="17" t="s">
        <v>444</v>
      </c>
      <c r="E268" s="17" t="s">
        <v>96</v>
      </c>
      <c r="F268" s="14" t="s">
        <v>180</v>
      </c>
      <c r="G268" s="34" t="s">
        <v>180</v>
      </c>
      <c r="I268" s="17" t="str">
        <f t="shared" si="1"/>
        <v/>
      </c>
    </row>
    <row r="269">
      <c r="A269" s="2">
        <v>3.182550721738E12</v>
      </c>
      <c r="B269" s="17" t="s">
        <v>53</v>
      </c>
      <c r="C269" s="17" t="s">
        <v>445</v>
      </c>
      <c r="E269" s="17" t="s">
        <v>72</v>
      </c>
      <c r="F269" s="14">
        <v>1210.0</v>
      </c>
      <c r="G269" s="34">
        <v>2.0</v>
      </c>
      <c r="I269" s="17" t="str">
        <f t="shared" si="1"/>
        <v/>
      </c>
    </row>
    <row r="270">
      <c r="A270" s="2">
        <v>8.652147545641E12</v>
      </c>
      <c r="B270" s="17" t="s">
        <v>296</v>
      </c>
      <c r="C270" s="17" t="s">
        <v>446</v>
      </c>
      <c r="D270" s="17" t="s">
        <v>447</v>
      </c>
      <c r="E270" s="17" t="s">
        <v>448</v>
      </c>
      <c r="F270" s="14">
        <v>50.0</v>
      </c>
      <c r="G270" s="34">
        <v>1.0</v>
      </c>
      <c r="I270" s="17" t="str">
        <f t="shared" si="1"/>
        <v/>
      </c>
    </row>
    <row r="271">
      <c r="A271" s="2">
        <v>8.010276045027E12</v>
      </c>
      <c r="B271" s="17" t="s">
        <v>91</v>
      </c>
      <c r="C271" s="17" t="s">
        <v>449</v>
      </c>
      <c r="E271" s="17" t="s">
        <v>72</v>
      </c>
      <c r="F271" s="14">
        <v>823.0</v>
      </c>
      <c r="G271" s="34">
        <v>3.0</v>
      </c>
      <c r="I271" s="17" t="str">
        <f t="shared" si="1"/>
        <v/>
      </c>
    </row>
    <row r="272">
      <c r="A272" s="2">
        <v>7.17627291911626E14</v>
      </c>
      <c r="B272" s="17" t="s">
        <v>450</v>
      </c>
      <c r="C272" s="17" t="s">
        <v>451</v>
      </c>
      <c r="E272" s="17" t="s">
        <v>72</v>
      </c>
      <c r="F272" s="14">
        <v>10.0</v>
      </c>
      <c r="G272" s="34">
        <v>3.0</v>
      </c>
      <c r="I272" s="17" t="str">
        <f t="shared" si="1"/>
        <v/>
      </c>
    </row>
    <row r="273">
      <c r="A273" s="2" t="s">
        <v>452</v>
      </c>
      <c r="B273" s="17" t="s">
        <v>333</v>
      </c>
      <c r="C273" s="17" t="s">
        <v>453</v>
      </c>
      <c r="E273" s="17" t="s">
        <v>72</v>
      </c>
      <c r="F273" s="14">
        <v>1500.0</v>
      </c>
      <c r="G273" s="34">
        <v>3.0</v>
      </c>
      <c r="I273" s="17" t="str">
        <f t="shared" si="1"/>
        <v/>
      </c>
    </row>
    <row r="274">
      <c r="A274" s="2" t="s">
        <v>454</v>
      </c>
      <c r="B274" s="17" t="s">
        <v>296</v>
      </c>
      <c r="C274" s="17" t="s">
        <v>455</v>
      </c>
      <c r="D274" s="17" t="s">
        <v>456</v>
      </c>
      <c r="E274" s="17" t="s">
        <v>448</v>
      </c>
      <c r="F274" s="14">
        <v>60.0</v>
      </c>
      <c r="G274" s="34">
        <v>1.0</v>
      </c>
      <c r="I274" s="17" t="str">
        <f t="shared" si="1"/>
        <v/>
      </c>
    </row>
    <row r="275">
      <c r="A275" s="2" t="s">
        <v>457</v>
      </c>
      <c r="B275" s="17" t="s">
        <v>296</v>
      </c>
      <c r="C275" s="17" t="s">
        <v>455</v>
      </c>
      <c r="D275" s="17" t="s">
        <v>458</v>
      </c>
      <c r="E275" s="17" t="s">
        <v>448</v>
      </c>
      <c r="F275" s="14">
        <v>60.0</v>
      </c>
      <c r="G275" s="34">
        <v>1.0</v>
      </c>
      <c r="I275" s="17" t="str">
        <f t="shared" si="1"/>
        <v/>
      </c>
    </row>
    <row r="276">
      <c r="A276" s="2" t="s">
        <v>459</v>
      </c>
      <c r="B276" s="17" t="s">
        <v>272</v>
      </c>
      <c r="C276" s="17" t="s">
        <v>460</v>
      </c>
      <c r="E276" s="17" t="s">
        <v>52</v>
      </c>
      <c r="F276" s="14">
        <v>580.0</v>
      </c>
      <c r="G276" s="34">
        <v>3.0</v>
      </c>
      <c r="I276" s="17" t="str">
        <f t="shared" si="1"/>
        <v/>
      </c>
    </row>
    <row r="277">
      <c r="A277" s="2">
        <v>1.12201912E8</v>
      </c>
      <c r="B277" s="17" t="s">
        <v>53</v>
      </c>
      <c r="C277" s="17" t="s">
        <v>461</v>
      </c>
      <c r="E277" s="17" t="s">
        <v>59</v>
      </c>
      <c r="F277" s="14">
        <v>1.0</v>
      </c>
      <c r="G277" s="34">
        <v>3.0</v>
      </c>
      <c r="I277" s="17" t="str">
        <f t="shared" si="1"/>
        <v/>
      </c>
    </row>
    <row r="278">
      <c r="A278" s="2" t="s">
        <v>462</v>
      </c>
      <c r="B278" s="17" t="s">
        <v>53</v>
      </c>
      <c r="C278" s="17" t="s">
        <v>463</v>
      </c>
      <c r="E278" s="17" t="s">
        <v>72</v>
      </c>
      <c r="F278" s="14">
        <v>1000.0</v>
      </c>
      <c r="G278" s="34">
        <v>3.0</v>
      </c>
      <c r="I278" s="17" t="str">
        <f t="shared" si="1"/>
        <v/>
      </c>
    </row>
    <row r="279">
      <c r="A279" s="2">
        <v>702614.0</v>
      </c>
      <c r="B279" s="17" t="s">
        <v>53</v>
      </c>
      <c r="C279" s="17" t="s">
        <v>463</v>
      </c>
      <c r="E279" s="17" t="s">
        <v>72</v>
      </c>
      <c r="F279" s="14">
        <v>1000.0</v>
      </c>
      <c r="G279" s="34">
        <v>3.0</v>
      </c>
      <c r="I279" s="17" t="str">
        <f t="shared" si="1"/>
        <v/>
      </c>
    </row>
    <row r="280">
      <c r="A280" s="2">
        <v>4.53481343543E11</v>
      </c>
      <c r="B280" s="17" t="s">
        <v>464</v>
      </c>
      <c r="C280" s="17" t="s">
        <v>465</v>
      </c>
      <c r="E280" s="17" t="s">
        <v>72</v>
      </c>
      <c r="F280" s="14" t="s">
        <v>180</v>
      </c>
      <c r="G280" s="34" t="s">
        <v>180</v>
      </c>
      <c r="I280" s="17" t="str">
        <f t="shared" si="1"/>
        <v/>
      </c>
    </row>
    <row r="281">
      <c r="A281" s="2" t="s">
        <v>466</v>
      </c>
      <c r="B281" s="17" t="s">
        <v>53</v>
      </c>
      <c r="C281" s="17" t="s">
        <v>467</v>
      </c>
      <c r="E281" s="17" t="s">
        <v>72</v>
      </c>
      <c r="F281" s="14">
        <v>1.0</v>
      </c>
      <c r="G281" s="34">
        <v>3.0</v>
      </c>
      <c r="I281" s="17" t="str">
        <f t="shared" si="1"/>
        <v/>
      </c>
    </row>
    <row r="282">
      <c r="A282" s="2">
        <v>8.010276042163E12</v>
      </c>
      <c r="B282" s="17" t="s">
        <v>91</v>
      </c>
      <c r="C282" s="17" t="s">
        <v>468</v>
      </c>
      <c r="E282" s="17" t="s">
        <v>72</v>
      </c>
      <c r="F282" s="14">
        <v>713.0</v>
      </c>
      <c r="G282" s="34">
        <v>3.0</v>
      </c>
      <c r="I282" s="17" t="str">
        <f t="shared" si="1"/>
        <v/>
      </c>
    </row>
    <row r="283">
      <c r="A283" s="2">
        <v>8.010276020208E12</v>
      </c>
      <c r="B283" s="17" t="s">
        <v>91</v>
      </c>
      <c r="C283" s="17" t="s">
        <v>469</v>
      </c>
      <c r="E283" s="17" t="s">
        <v>72</v>
      </c>
      <c r="F283" s="14">
        <v>1024.0</v>
      </c>
      <c r="G283" s="34">
        <v>3.0</v>
      </c>
      <c r="I283" s="17" t="str">
        <f t="shared" si="1"/>
        <v/>
      </c>
    </row>
    <row r="284">
      <c r="A284" s="2">
        <v>8.0102760422E12</v>
      </c>
      <c r="B284" s="17" t="s">
        <v>91</v>
      </c>
      <c r="C284" s="17" t="s">
        <v>470</v>
      </c>
      <c r="E284" s="17" t="s">
        <v>72</v>
      </c>
      <c r="F284" s="14">
        <v>713.0</v>
      </c>
      <c r="G284" s="34">
        <v>3.0</v>
      </c>
      <c r="I284" s="17" t="str">
        <f t="shared" si="1"/>
        <v/>
      </c>
    </row>
    <row r="285">
      <c r="A285" s="2">
        <v>8.010276042125E12</v>
      </c>
      <c r="B285" s="17" t="s">
        <v>91</v>
      </c>
      <c r="C285" s="17" t="s">
        <v>471</v>
      </c>
      <c r="E285" s="17" t="s">
        <v>72</v>
      </c>
      <c r="F285" s="14">
        <v>713.0</v>
      </c>
      <c r="G285" s="34">
        <v>3.0</v>
      </c>
      <c r="I285" s="17" t="str">
        <f t="shared" si="1"/>
        <v/>
      </c>
    </row>
    <row r="286">
      <c r="A286" s="2">
        <v>6.0598078545E10</v>
      </c>
      <c r="B286" s="17" t="s">
        <v>229</v>
      </c>
      <c r="C286" s="17" t="s">
        <v>472</v>
      </c>
      <c r="E286" s="17" t="s">
        <v>72</v>
      </c>
      <c r="F286" s="14">
        <v>10.0</v>
      </c>
      <c r="G286" s="34">
        <v>3.0</v>
      </c>
      <c r="I286" s="17" t="str">
        <f t="shared" si="1"/>
        <v/>
      </c>
    </row>
    <row r="287">
      <c r="A287" s="2">
        <v>4.290919942723E12</v>
      </c>
      <c r="B287" s="17" t="s">
        <v>229</v>
      </c>
      <c r="C287" s="17" t="s">
        <v>473</v>
      </c>
      <c r="E287" s="17" t="s">
        <v>72</v>
      </c>
      <c r="F287" s="14" t="s">
        <v>180</v>
      </c>
      <c r="G287" s="34" t="s">
        <v>180</v>
      </c>
      <c r="I287" s="17" t="str">
        <f t="shared" si="1"/>
        <v/>
      </c>
    </row>
    <row r="288">
      <c r="A288" s="2">
        <v>1.245896784512E12</v>
      </c>
      <c r="B288" s="17" t="s">
        <v>229</v>
      </c>
      <c r="C288" s="17" t="s">
        <v>474</v>
      </c>
      <c r="E288" s="17" t="s">
        <v>72</v>
      </c>
      <c r="F288" s="14">
        <v>750.0</v>
      </c>
      <c r="G288" s="34">
        <v>3.0</v>
      </c>
      <c r="I288" s="17" t="str">
        <f t="shared" si="1"/>
        <v/>
      </c>
    </row>
    <row r="289">
      <c r="A289" s="2" t="s">
        <v>475</v>
      </c>
      <c r="B289" s="17" t="s">
        <v>333</v>
      </c>
      <c r="C289" s="17" t="s">
        <v>476</v>
      </c>
      <c r="E289" s="17" t="s">
        <v>72</v>
      </c>
      <c r="F289" s="14">
        <v>10.0</v>
      </c>
      <c r="G289" s="34">
        <v>3.0</v>
      </c>
      <c r="I289" s="17" t="str">
        <f t="shared" si="1"/>
        <v/>
      </c>
    </row>
    <row r="290">
      <c r="A290" s="2" t="s">
        <v>477</v>
      </c>
      <c r="B290" s="17" t="s">
        <v>450</v>
      </c>
      <c r="C290" s="17" t="s">
        <v>478</v>
      </c>
      <c r="E290" s="17" t="s">
        <v>59</v>
      </c>
      <c r="F290" s="14">
        <v>1080.0</v>
      </c>
      <c r="G290" s="34">
        <v>3.0</v>
      </c>
      <c r="I290" s="17" t="str">
        <f t="shared" si="1"/>
        <v/>
      </c>
    </row>
    <row r="291">
      <c r="A291" s="2">
        <v>4.290919942719E12</v>
      </c>
      <c r="B291" s="17" t="s">
        <v>229</v>
      </c>
      <c r="C291" s="17" t="s">
        <v>479</v>
      </c>
      <c r="E291" s="17" t="s">
        <v>72</v>
      </c>
      <c r="F291" s="14" t="s">
        <v>180</v>
      </c>
      <c r="G291" s="34" t="s">
        <v>180</v>
      </c>
      <c r="I291" s="17" t="str">
        <f t="shared" si="1"/>
        <v/>
      </c>
    </row>
    <row r="292">
      <c r="A292" s="2" t="s">
        <v>480</v>
      </c>
      <c r="B292" s="17" t="s">
        <v>229</v>
      </c>
      <c r="C292" s="17" t="s">
        <v>481</v>
      </c>
      <c r="E292" s="17" t="s">
        <v>72</v>
      </c>
      <c r="F292" s="14">
        <v>100.0</v>
      </c>
      <c r="G292" s="34">
        <v>3.0</v>
      </c>
      <c r="I292" s="17" t="str">
        <f t="shared" si="1"/>
        <v/>
      </c>
    </row>
    <row r="293">
      <c r="A293" s="2">
        <v>5.2742043814E10</v>
      </c>
      <c r="B293" s="17" t="s">
        <v>229</v>
      </c>
      <c r="C293" s="17" t="s">
        <v>482</v>
      </c>
      <c r="E293" s="17" t="s">
        <v>72</v>
      </c>
      <c r="F293" s="14">
        <v>1579.0</v>
      </c>
      <c r="G293" s="34">
        <v>3.0</v>
      </c>
      <c r="I293" s="17" t="str">
        <f t="shared" si="1"/>
        <v/>
      </c>
    </row>
    <row r="294">
      <c r="A294" s="2">
        <v>8.010276040046E12</v>
      </c>
      <c r="B294" s="17" t="s">
        <v>91</v>
      </c>
      <c r="C294" s="17" t="s">
        <v>483</v>
      </c>
      <c r="E294" s="17" t="s">
        <v>72</v>
      </c>
      <c r="F294" s="14">
        <v>3663.0</v>
      </c>
      <c r="G294" s="34">
        <v>10.0</v>
      </c>
      <c r="I294" s="17" t="str">
        <f t="shared" si="1"/>
        <v/>
      </c>
    </row>
    <row r="295">
      <c r="A295" s="2">
        <v>6.11932100128E11</v>
      </c>
      <c r="B295" s="17" t="s">
        <v>484</v>
      </c>
      <c r="C295" s="17" t="s">
        <v>485</v>
      </c>
      <c r="E295" s="17" t="s">
        <v>75</v>
      </c>
      <c r="F295" s="14">
        <v>500.0</v>
      </c>
      <c r="G295" s="34">
        <v>1.0</v>
      </c>
      <c r="I295" s="17" t="str">
        <f t="shared" si="1"/>
        <v/>
      </c>
    </row>
    <row r="296">
      <c r="A296" s="2">
        <v>3.5585356389E10</v>
      </c>
      <c r="B296" s="17" t="s">
        <v>484</v>
      </c>
      <c r="C296" s="17" t="s">
        <v>486</v>
      </c>
      <c r="E296" s="17" t="s">
        <v>75</v>
      </c>
      <c r="F296" s="14">
        <v>925.2</v>
      </c>
      <c r="G296" s="34">
        <v>1.0</v>
      </c>
      <c r="I296" s="17" t="str">
        <f t="shared" si="1"/>
        <v/>
      </c>
    </row>
    <row r="297">
      <c r="A297" s="2">
        <v>3.558549504E10</v>
      </c>
      <c r="B297" s="17" t="s">
        <v>484</v>
      </c>
      <c r="C297" s="17" t="s">
        <v>487</v>
      </c>
      <c r="E297" s="17" t="s">
        <v>75</v>
      </c>
      <c r="F297" s="14">
        <v>497.52</v>
      </c>
      <c r="G297" s="34">
        <v>1.0</v>
      </c>
      <c r="I297" s="17" t="str">
        <f t="shared" si="1"/>
        <v/>
      </c>
    </row>
    <row r="298">
      <c r="A298" s="2">
        <v>3.5585181226E10</v>
      </c>
      <c r="B298" s="17" t="s">
        <v>484</v>
      </c>
      <c r="C298" s="17" t="s">
        <v>488</v>
      </c>
      <c r="E298" s="17" t="s">
        <v>75</v>
      </c>
      <c r="F298" s="14">
        <v>332.64</v>
      </c>
      <c r="G298" s="34">
        <v>1.0</v>
      </c>
      <c r="I298" s="17" t="str">
        <f t="shared" si="1"/>
        <v/>
      </c>
    </row>
    <row r="299">
      <c r="A299" s="2">
        <v>3.5585495347E10</v>
      </c>
      <c r="B299" s="17" t="s">
        <v>484</v>
      </c>
      <c r="C299" s="17" t="s">
        <v>489</v>
      </c>
      <c r="E299" s="17" t="s">
        <v>75</v>
      </c>
      <c r="F299" s="14">
        <v>285.84</v>
      </c>
      <c r="G299" s="34">
        <v>1.0</v>
      </c>
      <c r="I299" s="17" t="str">
        <f t="shared" si="1"/>
        <v/>
      </c>
    </row>
    <row r="300">
      <c r="A300" s="2">
        <v>3.5585502205E10</v>
      </c>
      <c r="B300" s="17" t="s">
        <v>484</v>
      </c>
      <c r="C300" s="17" t="s">
        <v>490</v>
      </c>
      <c r="E300" s="17" t="s">
        <v>75</v>
      </c>
      <c r="F300" s="14">
        <v>453.6</v>
      </c>
      <c r="G300" s="34">
        <v>1.0</v>
      </c>
      <c r="I300" s="17" t="str">
        <f t="shared" si="1"/>
        <v/>
      </c>
    </row>
    <row r="301">
      <c r="A301" s="2">
        <v>3.5585356266E10</v>
      </c>
      <c r="B301" s="17" t="s">
        <v>484</v>
      </c>
      <c r="C301" s="17" t="s">
        <v>491</v>
      </c>
      <c r="E301" s="17" t="s">
        <v>75</v>
      </c>
      <c r="F301" s="14">
        <v>375.12</v>
      </c>
      <c r="G301" s="34">
        <v>1.0</v>
      </c>
      <c r="I301" s="17" t="str">
        <f t="shared" si="1"/>
        <v/>
      </c>
    </row>
    <row r="302">
      <c r="A302" s="2">
        <v>3.5585780009E10</v>
      </c>
      <c r="B302" s="17" t="s">
        <v>484</v>
      </c>
      <c r="C302" s="17" t="s">
        <v>492</v>
      </c>
      <c r="E302" s="17" t="s">
        <v>75</v>
      </c>
      <c r="F302" s="14">
        <v>490.32</v>
      </c>
      <c r="G302" s="34">
        <v>1.0</v>
      </c>
      <c r="I302" s="17" t="str">
        <f t="shared" si="1"/>
        <v/>
      </c>
    </row>
    <row r="303">
      <c r="A303" s="2">
        <v>3.5585509006E10</v>
      </c>
      <c r="B303" s="17" t="s">
        <v>484</v>
      </c>
      <c r="C303" s="17" t="s">
        <v>493</v>
      </c>
      <c r="E303" s="17" t="s">
        <v>75</v>
      </c>
      <c r="F303" s="14">
        <v>868.32</v>
      </c>
      <c r="G303" s="34">
        <v>1.0</v>
      </c>
      <c r="I303" s="17" t="str">
        <f t="shared" si="1"/>
        <v/>
      </c>
    </row>
    <row r="304">
      <c r="A304" s="2">
        <v>3.5585363172E10</v>
      </c>
      <c r="B304" s="17" t="s">
        <v>484</v>
      </c>
      <c r="C304" s="17" t="s">
        <v>494</v>
      </c>
      <c r="E304" s="17" t="s">
        <v>75</v>
      </c>
      <c r="F304" s="14">
        <v>257.76</v>
      </c>
      <c r="G304" s="34">
        <v>1.0</v>
      </c>
      <c r="I304" s="17" t="str">
        <f t="shared" si="1"/>
        <v/>
      </c>
    </row>
    <row r="305">
      <c r="A305" s="2">
        <v>3.5585356259E10</v>
      </c>
      <c r="B305" s="17" t="s">
        <v>484</v>
      </c>
      <c r="C305" s="17" t="s">
        <v>495</v>
      </c>
      <c r="E305" s="17" t="s">
        <v>75</v>
      </c>
      <c r="F305" s="14">
        <v>513.36</v>
      </c>
      <c r="G305" s="34">
        <v>1.0</v>
      </c>
      <c r="I305" s="17" t="str">
        <f t="shared" si="1"/>
        <v/>
      </c>
    </row>
    <row r="306">
      <c r="A306" s="2">
        <v>3.5585494043E10</v>
      </c>
      <c r="B306" s="17" t="s">
        <v>484</v>
      </c>
      <c r="C306" s="17" t="s">
        <v>496</v>
      </c>
      <c r="E306" s="17" t="s">
        <v>75</v>
      </c>
      <c r="F306" s="14">
        <v>464.4</v>
      </c>
      <c r="G306" s="34">
        <v>1.0</v>
      </c>
      <c r="I306" s="17" t="str">
        <f t="shared" si="1"/>
        <v/>
      </c>
    </row>
    <row r="307">
      <c r="A307" s="2">
        <v>3.5585356242E10</v>
      </c>
      <c r="B307" s="17" t="s">
        <v>484</v>
      </c>
      <c r="C307" s="17" t="s">
        <v>497</v>
      </c>
      <c r="E307" s="17" t="s">
        <v>75</v>
      </c>
      <c r="F307" s="14">
        <v>919.44</v>
      </c>
      <c r="G307" s="34">
        <v>1.0</v>
      </c>
      <c r="I307" s="17" t="str">
        <f t="shared" si="1"/>
        <v/>
      </c>
    </row>
    <row r="308">
      <c r="A308" s="2">
        <v>3.5585509112E10</v>
      </c>
      <c r="B308" s="17" t="s">
        <v>484</v>
      </c>
      <c r="C308" s="17" t="s">
        <v>498</v>
      </c>
      <c r="E308" s="17" t="s">
        <v>75</v>
      </c>
      <c r="F308" s="14">
        <v>622.08</v>
      </c>
      <c r="G308" s="34">
        <v>1.0</v>
      </c>
      <c r="I308" s="17" t="str">
        <f t="shared" si="1"/>
        <v/>
      </c>
    </row>
    <row r="309">
      <c r="A309" s="2">
        <v>3.5585277066E10</v>
      </c>
      <c r="B309" s="17" t="s">
        <v>484</v>
      </c>
      <c r="C309" s="17" t="s">
        <v>499</v>
      </c>
      <c r="E309" s="17" t="s">
        <v>75</v>
      </c>
      <c r="F309" s="14">
        <v>241.92</v>
      </c>
      <c r="G309" s="34">
        <v>1.0</v>
      </c>
      <c r="I309" s="17" t="str">
        <f t="shared" si="1"/>
        <v/>
      </c>
    </row>
    <row r="310">
      <c r="A310" s="2">
        <v>3.5585356419E10</v>
      </c>
      <c r="B310" s="17" t="s">
        <v>484</v>
      </c>
      <c r="C310" s="17" t="s">
        <v>500</v>
      </c>
      <c r="E310" s="17" t="s">
        <v>75</v>
      </c>
      <c r="F310" s="14">
        <v>762.48</v>
      </c>
      <c r="G310" s="34">
        <v>1.0</v>
      </c>
      <c r="I310" s="17" t="str">
        <f t="shared" si="1"/>
        <v/>
      </c>
    </row>
    <row r="311">
      <c r="A311" s="2">
        <v>3.5585495354E10</v>
      </c>
      <c r="B311" s="17" t="s">
        <v>484</v>
      </c>
      <c r="C311" s="17" t="s">
        <v>501</v>
      </c>
      <c r="E311" s="17" t="s">
        <v>75</v>
      </c>
      <c r="F311" s="14">
        <v>350.64</v>
      </c>
      <c r="G311" s="34">
        <v>1.0</v>
      </c>
      <c r="I311" s="17" t="str">
        <f t="shared" si="1"/>
        <v/>
      </c>
    </row>
    <row r="312">
      <c r="A312" s="2">
        <v>3.5585356426E10</v>
      </c>
      <c r="B312" s="17" t="s">
        <v>484</v>
      </c>
      <c r="C312" s="17" t="s">
        <v>502</v>
      </c>
      <c r="E312" s="17" t="s">
        <v>75</v>
      </c>
      <c r="F312" s="14">
        <v>347.76</v>
      </c>
      <c r="G312" s="34">
        <v>1.0</v>
      </c>
      <c r="I312" s="17" t="str">
        <f t="shared" si="1"/>
        <v/>
      </c>
    </row>
    <row r="313">
      <c r="A313" s="2">
        <v>3.5585494029E10</v>
      </c>
      <c r="B313" s="17" t="s">
        <v>484</v>
      </c>
      <c r="C313" s="17" t="s">
        <v>503</v>
      </c>
      <c r="E313" s="17" t="s">
        <v>75</v>
      </c>
      <c r="F313" s="14">
        <v>860.4</v>
      </c>
      <c r="G313" s="34">
        <v>1.0</v>
      </c>
      <c r="I313" s="17" t="str">
        <f t="shared" si="1"/>
        <v/>
      </c>
    </row>
    <row r="314">
      <c r="A314" s="2">
        <v>3.5585401058E10</v>
      </c>
      <c r="B314" s="17" t="s">
        <v>484</v>
      </c>
      <c r="C314" s="17" t="s">
        <v>504</v>
      </c>
      <c r="E314" s="17" t="s">
        <v>75</v>
      </c>
      <c r="F314" s="14">
        <v>511.92</v>
      </c>
      <c r="G314" s="34">
        <v>1.0</v>
      </c>
      <c r="I314" s="17" t="str">
        <f t="shared" si="1"/>
        <v/>
      </c>
    </row>
    <row r="315">
      <c r="A315" s="2">
        <v>3.5585356433E10</v>
      </c>
      <c r="B315" s="17" t="s">
        <v>484</v>
      </c>
      <c r="C315" s="17" t="s">
        <v>505</v>
      </c>
      <c r="E315" s="17" t="s">
        <v>75</v>
      </c>
      <c r="F315" s="14">
        <v>860.4</v>
      </c>
      <c r="G315" s="34">
        <v>1.0</v>
      </c>
      <c r="I315" s="17" t="str">
        <f t="shared" si="1"/>
        <v/>
      </c>
    </row>
    <row r="316">
      <c r="A316" s="2">
        <v>3.5585181202E10</v>
      </c>
      <c r="B316" s="17" t="s">
        <v>484</v>
      </c>
      <c r="C316" s="17" t="s">
        <v>506</v>
      </c>
      <c r="E316" s="17" t="s">
        <v>507</v>
      </c>
      <c r="F316" s="14">
        <v>511.2</v>
      </c>
      <c r="G316" s="34">
        <v>0.5</v>
      </c>
      <c r="I316" s="17" t="str">
        <f t="shared" si="1"/>
        <v/>
      </c>
    </row>
    <row r="317">
      <c r="A317" s="2">
        <v>6.4575697807E10</v>
      </c>
      <c r="B317" s="17" t="s">
        <v>450</v>
      </c>
      <c r="C317" s="17" t="s">
        <v>508</v>
      </c>
      <c r="E317" s="17" t="s">
        <v>72</v>
      </c>
      <c r="F317" s="14">
        <v>1250.0</v>
      </c>
      <c r="G317" s="34">
        <v>3.0</v>
      </c>
      <c r="I317" s="17" t="str">
        <f t="shared" si="1"/>
        <v/>
      </c>
    </row>
    <row r="318">
      <c r="A318" s="2" t="s">
        <v>509</v>
      </c>
      <c r="B318" s="17" t="s">
        <v>450</v>
      </c>
      <c r="C318" s="17" t="s">
        <v>510</v>
      </c>
      <c r="E318" s="17" t="s">
        <v>59</v>
      </c>
      <c r="F318" s="14">
        <v>2187.0</v>
      </c>
      <c r="G318" s="34">
        <v>7.0</v>
      </c>
      <c r="I318" s="17" t="str">
        <f t="shared" si="1"/>
        <v/>
      </c>
    </row>
    <row r="319">
      <c r="A319" s="2">
        <v>4.048422108733E12</v>
      </c>
      <c r="B319" s="17" t="s">
        <v>511</v>
      </c>
      <c r="C319" s="17" t="s">
        <v>512</v>
      </c>
      <c r="E319" s="17" t="s">
        <v>507</v>
      </c>
      <c r="F319" s="14" t="s">
        <v>180</v>
      </c>
      <c r="G319" s="34" t="s">
        <v>180</v>
      </c>
      <c r="I319" s="17" t="str">
        <f t="shared" si="1"/>
        <v/>
      </c>
    </row>
    <row r="320">
      <c r="A320" s="2">
        <v>4.048422102472E12</v>
      </c>
      <c r="B320" s="17" t="s">
        <v>511</v>
      </c>
      <c r="C320" s="17" t="s">
        <v>513</v>
      </c>
      <c r="E320" s="17" t="s">
        <v>507</v>
      </c>
      <c r="F320" s="14">
        <v>152.0</v>
      </c>
      <c r="G320" s="34">
        <v>0.5</v>
      </c>
      <c r="I320" s="17" t="str">
        <f t="shared" si="1"/>
        <v/>
      </c>
    </row>
    <row r="321">
      <c r="A321" s="2">
        <v>4.048422110842E12</v>
      </c>
      <c r="B321" s="17" t="s">
        <v>511</v>
      </c>
      <c r="C321" s="17" t="s">
        <v>514</v>
      </c>
      <c r="E321" s="17" t="s">
        <v>507</v>
      </c>
      <c r="F321" s="14" t="s">
        <v>180</v>
      </c>
      <c r="G321" s="34" t="s">
        <v>180</v>
      </c>
      <c r="I321" s="17" t="str">
        <f t="shared" si="1"/>
        <v/>
      </c>
    </row>
    <row r="322">
      <c r="A322" s="2">
        <v>4.048422108856E12</v>
      </c>
      <c r="B322" s="17" t="s">
        <v>511</v>
      </c>
      <c r="C322" s="17" t="s">
        <v>515</v>
      </c>
      <c r="E322" s="17" t="s">
        <v>507</v>
      </c>
      <c r="F322" s="14" t="s">
        <v>180</v>
      </c>
      <c r="G322" s="34" t="s">
        <v>180</v>
      </c>
      <c r="I322" s="17" t="str">
        <f t="shared" si="1"/>
        <v/>
      </c>
    </row>
    <row r="323">
      <c r="A323" s="2">
        <v>4.048422107798E12</v>
      </c>
      <c r="B323" s="17" t="s">
        <v>511</v>
      </c>
      <c r="C323" s="17" t="s">
        <v>516</v>
      </c>
      <c r="E323" s="17" t="s">
        <v>507</v>
      </c>
      <c r="F323" s="14">
        <v>180.0</v>
      </c>
      <c r="G323" s="34">
        <v>0.5</v>
      </c>
      <c r="I323" s="17" t="str">
        <f t="shared" si="1"/>
        <v/>
      </c>
    </row>
    <row r="324">
      <c r="A324" s="2">
        <v>4.048422102502E12</v>
      </c>
      <c r="B324" s="17" t="s">
        <v>511</v>
      </c>
      <c r="C324" s="17" t="s">
        <v>517</v>
      </c>
      <c r="E324" s="17" t="s">
        <v>507</v>
      </c>
      <c r="F324" s="14" t="s">
        <v>180</v>
      </c>
      <c r="G324" s="34" t="s">
        <v>180</v>
      </c>
      <c r="I324" s="17" t="str">
        <f t="shared" si="1"/>
        <v/>
      </c>
    </row>
    <row r="325">
      <c r="A325" s="2">
        <v>4.048422154822E12</v>
      </c>
      <c r="B325" s="17" t="s">
        <v>511</v>
      </c>
      <c r="C325" s="17" t="s">
        <v>518</v>
      </c>
      <c r="E325" s="17" t="s">
        <v>519</v>
      </c>
      <c r="F325" s="14">
        <v>100.0</v>
      </c>
      <c r="G325" s="34">
        <v>0.5</v>
      </c>
      <c r="I325" s="17" t="str">
        <f t="shared" si="1"/>
        <v/>
      </c>
    </row>
    <row r="326">
      <c r="A326" s="2">
        <v>4.048422102403E12</v>
      </c>
      <c r="B326" s="17" t="s">
        <v>511</v>
      </c>
      <c r="C326" s="17" t="s">
        <v>520</v>
      </c>
      <c r="E326" s="17" t="s">
        <v>507</v>
      </c>
      <c r="F326" s="14" t="s">
        <v>180</v>
      </c>
      <c r="G326" s="34" t="s">
        <v>180</v>
      </c>
      <c r="I326" s="17" t="str">
        <f t="shared" si="1"/>
        <v/>
      </c>
    </row>
    <row r="327">
      <c r="A327" s="2" t="s">
        <v>521</v>
      </c>
      <c r="B327" s="17" t="s">
        <v>511</v>
      </c>
      <c r="C327" s="17" t="s">
        <v>522</v>
      </c>
      <c r="E327" s="17" t="s">
        <v>507</v>
      </c>
      <c r="F327" s="14">
        <v>10.0</v>
      </c>
      <c r="G327" s="34">
        <v>0.5</v>
      </c>
      <c r="I327" s="17" t="str">
        <f t="shared" si="1"/>
        <v/>
      </c>
    </row>
    <row r="328">
      <c r="A328" s="2" t="s">
        <v>523</v>
      </c>
      <c r="B328" s="17" t="s">
        <v>511</v>
      </c>
      <c r="C328" s="17" t="s">
        <v>524</v>
      </c>
      <c r="E328" s="17" t="s">
        <v>507</v>
      </c>
      <c r="F328" s="14">
        <v>100.0</v>
      </c>
      <c r="G328" s="34">
        <v>0.5</v>
      </c>
      <c r="I328" s="17" t="str">
        <f t="shared" si="1"/>
        <v/>
      </c>
    </row>
    <row r="329">
      <c r="A329" s="2">
        <v>4.017721832025E12</v>
      </c>
      <c r="B329" s="17" t="s">
        <v>525</v>
      </c>
      <c r="C329" s="17" t="s">
        <v>526</v>
      </c>
      <c r="E329" s="17" t="s">
        <v>72</v>
      </c>
      <c r="F329" s="14">
        <v>10.0</v>
      </c>
      <c r="G329" s="34">
        <v>3.0</v>
      </c>
      <c r="I329" s="17" t="str">
        <f t="shared" si="1"/>
        <v/>
      </c>
    </row>
    <row r="330">
      <c r="A330" s="2" t="s">
        <v>527</v>
      </c>
      <c r="B330" s="17" t="s">
        <v>333</v>
      </c>
      <c r="C330" s="17" t="s">
        <v>528</v>
      </c>
      <c r="E330" s="17" t="s">
        <v>72</v>
      </c>
      <c r="F330" s="14">
        <v>1350.0</v>
      </c>
      <c r="G330" s="34">
        <v>3.0</v>
      </c>
      <c r="I330" s="17" t="str">
        <f t="shared" si="1"/>
        <v/>
      </c>
    </row>
    <row r="331">
      <c r="A331" s="2" t="s">
        <v>529</v>
      </c>
      <c r="B331" s="17" t="s">
        <v>450</v>
      </c>
      <c r="C331" s="17" t="s">
        <v>530</v>
      </c>
      <c r="E331" s="17" t="s">
        <v>72</v>
      </c>
      <c r="F331" s="14">
        <v>1250.0</v>
      </c>
      <c r="G331" s="34">
        <v>3.0</v>
      </c>
      <c r="I331" s="17" t="str">
        <f t="shared" si="1"/>
        <v/>
      </c>
    </row>
    <row r="332">
      <c r="A332" s="2" t="s">
        <v>531</v>
      </c>
      <c r="B332" s="17" t="s">
        <v>532</v>
      </c>
      <c r="C332" s="17" t="s">
        <v>533</v>
      </c>
      <c r="E332" s="17" t="s">
        <v>72</v>
      </c>
      <c r="F332" s="14">
        <v>10.0</v>
      </c>
      <c r="G332" s="34">
        <v>3.0</v>
      </c>
      <c r="I332" s="17" t="str">
        <f t="shared" si="1"/>
        <v/>
      </c>
    </row>
    <row r="333">
      <c r="A333" s="2">
        <v>5.2742059372E10</v>
      </c>
      <c r="B333" s="17" t="s">
        <v>229</v>
      </c>
      <c r="C333" s="17" t="s">
        <v>534</v>
      </c>
      <c r="E333" s="17" t="s">
        <v>72</v>
      </c>
      <c r="F333" s="14" t="s">
        <v>180</v>
      </c>
      <c r="G333" s="34" t="s">
        <v>180</v>
      </c>
      <c r="I333" s="17" t="str">
        <f t="shared" si="1"/>
        <v/>
      </c>
    </row>
    <row r="334">
      <c r="A334" s="2" t="s">
        <v>535</v>
      </c>
      <c r="B334" s="17" t="s">
        <v>50</v>
      </c>
      <c r="C334" s="17" t="s">
        <v>536</v>
      </c>
      <c r="E334" s="17" t="s">
        <v>72</v>
      </c>
      <c r="F334" s="14">
        <v>1185.0</v>
      </c>
      <c r="G334" s="34">
        <v>3.0</v>
      </c>
      <c r="I334" s="17" t="str">
        <f t="shared" si="1"/>
        <v/>
      </c>
    </row>
    <row r="335">
      <c r="A335" s="2" t="s">
        <v>537</v>
      </c>
      <c r="B335" s="17" t="s">
        <v>53</v>
      </c>
      <c r="C335" s="17" t="s">
        <v>538</v>
      </c>
      <c r="E335" s="17" t="s">
        <v>539</v>
      </c>
      <c r="F335" s="14">
        <v>1053.0</v>
      </c>
      <c r="G335" s="34">
        <v>1.0</v>
      </c>
      <c r="I335" s="17" t="str">
        <f t="shared" si="1"/>
        <v/>
      </c>
    </row>
    <row r="336">
      <c r="A336" s="2">
        <v>2.524015E8</v>
      </c>
      <c r="B336" s="17" t="s">
        <v>53</v>
      </c>
      <c r="C336" s="17" t="s">
        <v>540</v>
      </c>
      <c r="E336" s="17" t="s">
        <v>52</v>
      </c>
      <c r="F336" s="14">
        <v>924.0</v>
      </c>
      <c r="G336" s="34">
        <v>2.0</v>
      </c>
      <c r="I336" s="17" t="str">
        <f t="shared" si="1"/>
        <v/>
      </c>
    </row>
    <row r="337">
      <c r="A337" s="2">
        <v>9.00357931015112E14</v>
      </c>
      <c r="B337" s="17" t="s">
        <v>53</v>
      </c>
      <c r="C337" s="17" t="s">
        <v>541</v>
      </c>
      <c r="E337" s="17" t="s">
        <v>52</v>
      </c>
      <c r="F337" s="14">
        <v>1.0</v>
      </c>
      <c r="G337" s="34">
        <v>3.0</v>
      </c>
      <c r="I337" s="17" t="str">
        <f t="shared" si="1"/>
        <v/>
      </c>
    </row>
    <row r="338">
      <c r="A338" s="2" t="s">
        <v>542</v>
      </c>
      <c r="B338" s="17" t="s">
        <v>53</v>
      </c>
      <c r="C338" s="17" t="s">
        <v>543</v>
      </c>
      <c r="E338" s="17" t="s">
        <v>52</v>
      </c>
      <c r="F338" s="14">
        <v>1.0</v>
      </c>
      <c r="G338" s="34">
        <v>3.0</v>
      </c>
      <c r="I338" s="17" t="str">
        <f t="shared" si="1"/>
        <v/>
      </c>
    </row>
    <row r="339">
      <c r="A339" s="2">
        <v>4.49531020003577E14</v>
      </c>
      <c r="B339" s="17" t="s">
        <v>53</v>
      </c>
      <c r="C339" s="17" t="s">
        <v>544</v>
      </c>
      <c r="E339" s="17" t="s">
        <v>52</v>
      </c>
      <c r="F339" s="14">
        <v>465.0</v>
      </c>
      <c r="G339" s="34">
        <v>3.0</v>
      </c>
      <c r="I339" s="17" t="str">
        <f t="shared" si="1"/>
        <v/>
      </c>
    </row>
    <row r="340">
      <c r="A340" s="2">
        <v>3.569702998444E12</v>
      </c>
      <c r="B340" s="17" t="s">
        <v>53</v>
      </c>
      <c r="C340" s="17" t="s">
        <v>545</v>
      </c>
      <c r="E340" s="17" t="s">
        <v>52</v>
      </c>
      <c r="F340" s="14">
        <v>1.0</v>
      </c>
      <c r="G340" s="34">
        <v>3.0</v>
      </c>
      <c r="I340" s="17" t="str">
        <f t="shared" si="1"/>
        <v/>
      </c>
    </row>
    <row r="341">
      <c r="A341" s="2">
        <v>8.684207638772E12</v>
      </c>
      <c r="B341" s="17" t="s">
        <v>546</v>
      </c>
      <c r="C341" s="17" t="s">
        <v>547</v>
      </c>
      <c r="E341" s="17" t="s">
        <v>52</v>
      </c>
      <c r="F341" s="14">
        <v>500.0</v>
      </c>
      <c r="G341" s="34">
        <v>3.0</v>
      </c>
      <c r="I341" s="17" t="str">
        <f t="shared" si="1"/>
        <v/>
      </c>
    </row>
    <row r="342">
      <c r="A342" s="2" t="s">
        <v>548</v>
      </c>
      <c r="B342" s="17" t="s">
        <v>546</v>
      </c>
      <c r="C342" s="17" t="s">
        <v>549</v>
      </c>
      <c r="E342" s="17" t="s">
        <v>52</v>
      </c>
      <c r="F342" s="14">
        <v>1.0</v>
      </c>
      <c r="G342" s="34">
        <v>3.0</v>
      </c>
      <c r="I342" s="17" t="str">
        <f t="shared" si="1"/>
        <v/>
      </c>
    </row>
    <row r="343">
      <c r="A343" s="2">
        <v>8.684207631578E12</v>
      </c>
      <c r="B343" s="17" t="s">
        <v>546</v>
      </c>
      <c r="C343" s="17" t="s">
        <v>550</v>
      </c>
      <c r="E343" s="17" t="s">
        <v>52</v>
      </c>
      <c r="F343" s="14">
        <v>1.0</v>
      </c>
      <c r="G343" s="34">
        <v>3.0</v>
      </c>
      <c r="I343" s="17" t="str">
        <f t="shared" si="1"/>
        <v/>
      </c>
    </row>
    <row r="344">
      <c r="A344" s="2" t="s">
        <v>551</v>
      </c>
      <c r="B344" s="17" t="s">
        <v>546</v>
      </c>
      <c r="C344" s="17" t="s">
        <v>552</v>
      </c>
      <c r="E344" s="17" t="s">
        <v>52</v>
      </c>
      <c r="F344" s="14">
        <v>1.0</v>
      </c>
      <c r="G344" s="34">
        <v>3.0</v>
      </c>
      <c r="I344" s="17" t="str">
        <f t="shared" si="1"/>
        <v/>
      </c>
    </row>
    <row r="345">
      <c r="A345" s="2">
        <v>8.684207638288E12</v>
      </c>
      <c r="B345" s="17" t="s">
        <v>546</v>
      </c>
      <c r="C345" s="17" t="s">
        <v>553</v>
      </c>
      <c r="E345" s="17" t="s">
        <v>52</v>
      </c>
      <c r="F345" s="14">
        <v>1.0</v>
      </c>
      <c r="G345" s="34">
        <v>3.0</v>
      </c>
      <c r="I345" s="17" t="str">
        <f t="shared" si="1"/>
        <v/>
      </c>
    </row>
    <row r="346">
      <c r="A346" s="2" t="s">
        <v>554</v>
      </c>
      <c r="B346" s="17" t="s">
        <v>296</v>
      </c>
      <c r="C346" s="17" t="s">
        <v>555</v>
      </c>
      <c r="E346" s="17" t="s">
        <v>299</v>
      </c>
      <c r="F346" s="14">
        <v>100.0</v>
      </c>
      <c r="G346" s="34">
        <v>1.0</v>
      </c>
      <c r="I346" s="17" t="str">
        <f t="shared" si="1"/>
        <v/>
      </c>
    </row>
    <row r="347">
      <c r="A347" s="2">
        <v>6.923632570212E12</v>
      </c>
      <c r="B347" s="17" t="s">
        <v>296</v>
      </c>
      <c r="C347" s="17" t="s">
        <v>555</v>
      </c>
      <c r="E347" s="17" t="s">
        <v>299</v>
      </c>
      <c r="F347" s="14">
        <v>100.0</v>
      </c>
      <c r="G347" s="34">
        <v>1.0</v>
      </c>
      <c r="I347" s="17" t="str">
        <f t="shared" si="1"/>
        <v/>
      </c>
    </row>
    <row r="348">
      <c r="A348" s="2">
        <v>6.923632570003E12</v>
      </c>
      <c r="B348" s="17" t="s">
        <v>296</v>
      </c>
      <c r="C348" s="17" t="s">
        <v>297</v>
      </c>
      <c r="E348" s="17" t="s">
        <v>299</v>
      </c>
      <c r="F348" s="14">
        <v>130.0</v>
      </c>
      <c r="G348" s="34">
        <v>1.0</v>
      </c>
      <c r="I348" s="17" t="str">
        <f t="shared" si="1"/>
        <v/>
      </c>
    </row>
    <row r="349">
      <c r="A349" s="2">
        <v>6.923632570001E12</v>
      </c>
      <c r="B349" s="17" t="s">
        <v>296</v>
      </c>
      <c r="C349" s="17" t="s">
        <v>297</v>
      </c>
      <c r="E349" s="17" t="s">
        <v>299</v>
      </c>
      <c r="F349" s="14">
        <v>130.0</v>
      </c>
      <c r="G349" s="34">
        <v>1.0</v>
      </c>
      <c r="I349" s="17" t="str">
        <f t="shared" si="1"/>
        <v/>
      </c>
    </row>
    <row r="350">
      <c r="A350" s="2">
        <v>6.923632570002E12</v>
      </c>
      <c r="B350" s="17" t="s">
        <v>296</v>
      </c>
      <c r="C350" s="17" t="s">
        <v>297</v>
      </c>
      <c r="E350" s="17" t="s">
        <v>299</v>
      </c>
      <c r="F350" s="14">
        <v>130.0</v>
      </c>
      <c r="G350" s="34">
        <v>1.0</v>
      </c>
      <c r="I350" s="17" t="str">
        <f t="shared" si="1"/>
        <v/>
      </c>
    </row>
    <row r="351">
      <c r="A351" s="2">
        <v>1.5226829252E10</v>
      </c>
      <c r="B351" s="17" t="s">
        <v>53</v>
      </c>
      <c r="C351" s="17" t="s">
        <v>556</v>
      </c>
      <c r="E351" s="17" t="s">
        <v>448</v>
      </c>
      <c r="F351" s="14">
        <v>4800.0</v>
      </c>
      <c r="G351" s="34">
        <v>1.0</v>
      </c>
      <c r="I351" s="17" t="str">
        <f t="shared" si="1"/>
        <v/>
      </c>
    </row>
    <row r="352">
      <c r="A352" s="2">
        <v>6.92363257012E12</v>
      </c>
      <c r="B352" s="17" t="s">
        <v>296</v>
      </c>
      <c r="C352" s="17" t="s">
        <v>305</v>
      </c>
      <c r="D352" s="17" t="s">
        <v>557</v>
      </c>
      <c r="E352" s="17" t="s">
        <v>299</v>
      </c>
      <c r="F352" s="14">
        <v>300.0</v>
      </c>
      <c r="G352" s="34">
        <v>1.0</v>
      </c>
      <c r="I352" s="17" t="str">
        <f t="shared" si="1"/>
        <v/>
      </c>
    </row>
    <row r="353">
      <c r="A353" s="2" t="s">
        <v>558</v>
      </c>
      <c r="B353" s="17" t="s">
        <v>296</v>
      </c>
      <c r="C353" s="17" t="s">
        <v>555</v>
      </c>
      <c r="D353" s="17" t="s">
        <v>559</v>
      </c>
      <c r="E353" s="17" t="s">
        <v>299</v>
      </c>
      <c r="F353" s="14">
        <v>100.0</v>
      </c>
      <c r="G353" s="34">
        <v>1.0</v>
      </c>
      <c r="I353" s="17" t="str">
        <f t="shared" si="1"/>
        <v/>
      </c>
    </row>
    <row r="354">
      <c r="A354" s="2" t="s">
        <v>560</v>
      </c>
      <c r="B354" s="17" t="s">
        <v>296</v>
      </c>
      <c r="C354" s="17" t="s">
        <v>555</v>
      </c>
      <c r="D354" s="17" t="s">
        <v>561</v>
      </c>
      <c r="E354" s="17" t="s">
        <v>299</v>
      </c>
      <c r="F354" s="14">
        <v>100.0</v>
      </c>
      <c r="G354" s="34">
        <v>1.0</v>
      </c>
      <c r="I354" s="17" t="str">
        <f t="shared" si="1"/>
        <v/>
      </c>
    </row>
    <row r="355">
      <c r="A355" s="2">
        <v>6.923632570229E12</v>
      </c>
      <c r="B355" s="17" t="s">
        <v>296</v>
      </c>
      <c r="C355" s="17" t="s">
        <v>555</v>
      </c>
      <c r="D355" s="17" t="s">
        <v>562</v>
      </c>
      <c r="E355" s="17" t="s">
        <v>299</v>
      </c>
      <c r="F355" s="14">
        <v>100.0</v>
      </c>
      <c r="G355" s="34">
        <v>1.0</v>
      </c>
      <c r="I355" s="17" t="str">
        <f t="shared" si="1"/>
        <v/>
      </c>
    </row>
    <row r="356">
      <c r="A356" s="2">
        <v>3.182550726948E12</v>
      </c>
      <c r="B356" s="17" t="s">
        <v>53</v>
      </c>
      <c r="C356" s="17" t="s">
        <v>563</v>
      </c>
      <c r="E356" s="17" t="s">
        <v>72</v>
      </c>
      <c r="F356" s="14">
        <v>1.0</v>
      </c>
      <c r="G356" s="34">
        <v>3.0</v>
      </c>
      <c r="I356" s="17" t="str">
        <f t="shared" si="1"/>
        <v/>
      </c>
    </row>
    <row r="357">
      <c r="A357" s="2" t="s">
        <v>564</v>
      </c>
      <c r="B357" s="17" t="s">
        <v>565</v>
      </c>
      <c r="C357" s="17" t="s">
        <v>566</v>
      </c>
      <c r="E357" s="17" t="s">
        <v>75</v>
      </c>
      <c r="F357" s="14">
        <v>10.0</v>
      </c>
      <c r="G357" s="34">
        <v>1.0</v>
      </c>
      <c r="I357" s="17" t="str">
        <f t="shared" si="1"/>
        <v/>
      </c>
    </row>
    <row r="358">
      <c r="A358" s="2">
        <v>-2.291811331E9</v>
      </c>
      <c r="B358" s="17" t="s">
        <v>53</v>
      </c>
      <c r="C358" s="17" t="s">
        <v>567</v>
      </c>
      <c r="E358" s="17" t="s">
        <v>448</v>
      </c>
      <c r="F358" s="14">
        <v>2600.0</v>
      </c>
      <c r="G358" s="34">
        <v>1.0</v>
      </c>
      <c r="I358" s="17" t="str">
        <f t="shared" si="1"/>
        <v/>
      </c>
    </row>
    <row r="359">
      <c r="A359" s="2">
        <v>6.923632570205E12</v>
      </c>
      <c r="B359" s="17" t="s">
        <v>296</v>
      </c>
      <c r="C359" s="17" t="s">
        <v>568</v>
      </c>
      <c r="D359" s="17" t="s">
        <v>562</v>
      </c>
      <c r="E359" s="17" t="s">
        <v>299</v>
      </c>
      <c r="F359" s="14">
        <v>100.0</v>
      </c>
      <c r="G359" s="34">
        <v>1.0</v>
      </c>
      <c r="I359" s="17" t="str">
        <f t="shared" si="1"/>
        <v/>
      </c>
    </row>
    <row r="360">
      <c r="A360" s="2" t="s">
        <v>569</v>
      </c>
      <c r="B360" s="17" t="s">
        <v>296</v>
      </c>
      <c r="C360" s="17" t="s">
        <v>568</v>
      </c>
      <c r="D360" s="17" t="s">
        <v>562</v>
      </c>
      <c r="E360" s="17" t="s">
        <v>299</v>
      </c>
      <c r="F360" s="14">
        <v>100.0</v>
      </c>
      <c r="G360" s="34">
        <v>1.0</v>
      </c>
      <c r="I360" s="17" t="str">
        <f t="shared" si="1"/>
        <v/>
      </c>
    </row>
    <row r="361">
      <c r="A361" s="2" t="s">
        <v>570</v>
      </c>
      <c r="B361" s="17" t="s">
        <v>296</v>
      </c>
      <c r="C361" s="17" t="s">
        <v>568</v>
      </c>
      <c r="D361" s="17" t="s">
        <v>562</v>
      </c>
      <c r="E361" s="17" t="s">
        <v>299</v>
      </c>
      <c r="F361" s="14">
        <v>100.0</v>
      </c>
      <c r="G361" s="34">
        <v>1.0</v>
      </c>
      <c r="I361" s="17" t="str">
        <f t="shared" si="1"/>
        <v/>
      </c>
    </row>
    <row r="362">
      <c r="A362" s="2" t="s">
        <v>571</v>
      </c>
      <c r="B362" s="17" t="s">
        <v>296</v>
      </c>
      <c r="C362" s="17" t="s">
        <v>572</v>
      </c>
      <c r="D362" s="17" t="s">
        <v>573</v>
      </c>
      <c r="E362" s="17" t="s">
        <v>299</v>
      </c>
      <c r="F362" s="14">
        <v>100.0</v>
      </c>
      <c r="G362" s="34">
        <v>1.0</v>
      </c>
      <c r="I362" s="17" t="str">
        <f t="shared" si="1"/>
        <v/>
      </c>
    </row>
    <row r="363">
      <c r="A363" s="2" t="s">
        <v>574</v>
      </c>
      <c r="B363" s="17" t="s">
        <v>296</v>
      </c>
      <c r="C363" s="17" t="s">
        <v>572</v>
      </c>
      <c r="D363" s="17" t="s">
        <v>573</v>
      </c>
      <c r="E363" s="17" t="s">
        <v>299</v>
      </c>
      <c r="F363" s="14">
        <v>100.0</v>
      </c>
      <c r="G363" s="34">
        <v>1.0</v>
      </c>
      <c r="I363" s="17" t="str">
        <f t="shared" si="1"/>
        <v/>
      </c>
    </row>
    <row r="364">
      <c r="A364" s="2">
        <v>6.92363257025E12</v>
      </c>
      <c r="B364" s="17" t="s">
        <v>296</v>
      </c>
      <c r="C364" s="17" t="s">
        <v>572</v>
      </c>
      <c r="D364" s="17" t="s">
        <v>573</v>
      </c>
      <c r="E364" s="17" t="s">
        <v>299</v>
      </c>
      <c r="F364" s="14">
        <v>100.0</v>
      </c>
      <c r="G364" s="34">
        <v>1.0</v>
      </c>
      <c r="I364" s="17" t="str">
        <f t="shared" si="1"/>
        <v/>
      </c>
    </row>
    <row r="365">
      <c r="A365" s="2">
        <v>6.923632570267E12</v>
      </c>
      <c r="B365" s="17" t="s">
        <v>296</v>
      </c>
      <c r="C365" s="17" t="s">
        <v>575</v>
      </c>
      <c r="D365" s="17" t="s">
        <v>576</v>
      </c>
      <c r="E365" s="17" t="s">
        <v>299</v>
      </c>
      <c r="F365" s="14">
        <v>100.0</v>
      </c>
      <c r="G365" s="34">
        <v>1.0</v>
      </c>
      <c r="I365" s="17" t="str">
        <f t="shared" si="1"/>
        <v/>
      </c>
    </row>
    <row r="366">
      <c r="A366" s="2" t="s">
        <v>577</v>
      </c>
      <c r="B366" s="17" t="s">
        <v>296</v>
      </c>
      <c r="C366" s="17" t="s">
        <v>575</v>
      </c>
      <c r="D366" s="17" t="s">
        <v>578</v>
      </c>
      <c r="E366" s="17" t="s">
        <v>299</v>
      </c>
      <c r="F366" s="14">
        <v>100.0</v>
      </c>
      <c r="G366" s="34">
        <v>1.0</v>
      </c>
      <c r="I366" s="17" t="str">
        <f t="shared" si="1"/>
        <v/>
      </c>
    </row>
    <row r="367">
      <c r="A367" s="2" t="s">
        <v>579</v>
      </c>
      <c r="B367" s="17" t="s">
        <v>296</v>
      </c>
      <c r="C367" s="17" t="s">
        <v>580</v>
      </c>
      <c r="D367" s="17" t="s">
        <v>581</v>
      </c>
      <c r="E367" s="17" t="s">
        <v>299</v>
      </c>
      <c r="F367" s="14">
        <v>100.0</v>
      </c>
      <c r="G367" s="34">
        <v>1.0</v>
      </c>
      <c r="I367" s="17" t="str">
        <f t="shared" si="1"/>
        <v/>
      </c>
    </row>
    <row r="368">
      <c r="A368" s="2">
        <v>6.923632570359E12</v>
      </c>
      <c r="B368" s="17" t="s">
        <v>296</v>
      </c>
      <c r="C368" s="17" t="s">
        <v>580</v>
      </c>
      <c r="D368" s="17" t="s">
        <v>582</v>
      </c>
      <c r="E368" s="17" t="s">
        <v>299</v>
      </c>
      <c r="F368" s="14">
        <v>100.0</v>
      </c>
      <c r="G368" s="34">
        <v>1.0</v>
      </c>
      <c r="I368" s="17" t="str">
        <f t="shared" si="1"/>
        <v/>
      </c>
    </row>
    <row r="369">
      <c r="A369" s="2" t="s">
        <v>583</v>
      </c>
      <c r="B369" s="17" t="s">
        <v>296</v>
      </c>
      <c r="C369" s="17" t="s">
        <v>580</v>
      </c>
      <c r="D369" s="17" t="s">
        <v>584</v>
      </c>
      <c r="E369" s="17" t="s">
        <v>299</v>
      </c>
      <c r="F369" s="14">
        <v>100.0</v>
      </c>
      <c r="G369" s="34">
        <v>1.0</v>
      </c>
      <c r="I369" s="17" t="str">
        <f t="shared" si="1"/>
        <v/>
      </c>
    </row>
    <row r="370">
      <c r="A370" s="2" t="s">
        <v>585</v>
      </c>
      <c r="B370" s="17" t="s">
        <v>586</v>
      </c>
      <c r="C370" s="17" t="s">
        <v>587</v>
      </c>
      <c r="E370" s="17" t="s">
        <v>72</v>
      </c>
      <c r="F370" s="14">
        <v>450.0</v>
      </c>
      <c r="G370" s="34">
        <v>3.0</v>
      </c>
      <c r="I370" s="17" t="str">
        <f t="shared" si="1"/>
        <v/>
      </c>
    </row>
    <row r="371">
      <c r="A371" s="2" t="s">
        <v>588</v>
      </c>
      <c r="B371" s="17" t="s">
        <v>296</v>
      </c>
      <c r="C371" s="17" t="s">
        <v>589</v>
      </c>
      <c r="D371" s="17" t="s">
        <v>588</v>
      </c>
      <c r="E371" s="17" t="s">
        <v>299</v>
      </c>
      <c r="F371" s="14">
        <v>100.0</v>
      </c>
      <c r="G371" s="34">
        <v>1.0</v>
      </c>
      <c r="I371" s="17" t="str">
        <f t="shared" si="1"/>
        <v/>
      </c>
    </row>
    <row r="372">
      <c r="A372" s="2" t="s">
        <v>590</v>
      </c>
      <c r="B372" s="17" t="s">
        <v>591</v>
      </c>
      <c r="C372" s="17" t="s">
        <v>592</v>
      </c>
      <c r="E372" s="17" t="s">
        <v>593</v>
      </c>
      <c r="F372" s="14" t="s">
        <v>180</v>
      </c>
      <c r="G372" s="34" t="s">
        <v>180</v>
      </c>
      <c r="I372" s="17" t="str">
        <f t="shared" si="1"/>
        <v/>
      </c>
    </row>
    <row r="373">
      <c r="A373" s="2">
        <v>5.2742043142E10</v>
      </c>
      <c r="B373" s="17" t="s">
        <v>229</v>
      </c>
      <c r="C373" s="17" t="s">
        <v>594</v>
      </c>
      <c r="E373" s="17" t="s">
        <v>72</v>
      </c>
      <c r="F373" s="14">
        <v>10.0</v>
      </c>
      <c r="G373" s="34">
        <v>3.0</v>
      </c>
      <c r="I373" s="17" t="str">
        <f t="shared" si="1"/>
        <v/>
      </c>
    </row>
    <row r="374">
      <c r="A374" s="2" t="s">
        <v>595</v>
      </c>
      <c r="B374" s="17" t="s">
        <v>229</v>
      </c>
      <c r="C374" s="17" t="s">
        <v>596</v>
      </c>
      <c r="E374" s="17" t="s">
        <v>72</v>
      </c>
      <c r="F374" s="14">
        <v>1528.0</v>
      </c>
      <c r="G374" s="34">
        <v>3.0</v>
      </c>
      <c r="I374" s="17" t="str">
        <f t="shared" si="1"/>
        <v/>
      </c>
    </row>
    <row r="375">
      <c r="A375" s="2">
        <v>5.2742055664E10</v>
      </c>
      <c r="B375" s="17" t="s">
        <v>229</v>
      </c>
      <c r="C375" s="17" t="s">
        <v>597</v>
      </c>
      <c r="E375" s="17" t="s">
        <v>72</v>
      </c>
      <c r="F375" s="14">
        <v>1673.0</v>
      </c>
      <c r="G375" s="34">
        <v>3.0</v>
      </c>
      <c r="I375" s="17" t="str">
        <f t="shared" si="1"/>
        <v/>
      </c>
    </row>
    <row r="376">
      <c r="A376" s="2">
        <v>4.185796352148E12</v>
      </c>
      <c r="B376" s="17" t="s">
        <v>53</v>
      </c>
      <c r="C376" s="17" t="s">
        <v>598</v>
      </c>
      <c r="E376" s="17" t="s">
        <v>72</v>
      </c>
      <c r="F376" s="14">
        <v>1.0</v>
      </c>
      <c r="G376" s="34">
        <v>3.0</v>
      </c>
      <c r="I376" s="17" t="str">
        <f t="shared" si="1"/>
        <v/>
      </c>
    </row>
    <row r="377">
      <c r="A377" s="2" t="s">
        <v>599</v>
      </c>
      <c r="B377" s="17" t="s">
        <v>53</v>
      </c>
      <c r="C377" s="17" t="s">
        <v>600</v>
      </c>
      <c r="E377" s="17" t="s">
        <v>72</v>
      </c>
      <c r="F377" s="14">
        <v>1.0</v>
      </c>
      <c r="G377" s="34">
        <v>3.0</v>
      </c>
      <c r="I377" s="17" t="str">
        <f t="shared" si="1"/>
        <v/>
      </c>
    </row>
    <row r="378">
      <c r="A378" s="2">
        <v>9.998002117233E12</v>
      </c>
      <c r="B378" s="17" t="s">
        <v>53</v>
      </c>
      <c r="C378" s="17" t="s">
        <v>600</v>
      </c>
      <c r="E378" s="17" t="s">
        <v>72</v>
      </c>
      <c r="F378" s="14">
        <v>1.0</v>
      </c>
      <c r="G378" s="34">
        <v>3.0</v>
      </c>
      <c r="I378" s="17" t="str">
        <f t="shared" si="1"/>
        <v/>
      </c>
    </row>
    <row r="379">
      <c r="A379" s="2" t="s">
        <v>601</v>
      </c>
      <c r="B379" s="17" t="s">
        <v>53</v>
      </c>
      <c r="C379" s="17" t="s">
        <v>602</v>
      </c>
      <c r="E379" s="17" t="s">
        <v>72</v>
      </c>
      <c r="F379" s="14">
        <v>1.0</v>
      </c>
      <c r="G379" s="34">
        <v>3.0</v>
      </c>
      <c r="I379" s="17" t="str">
        <f t="shared" si="1"/>
        <v/>
      </c>
    </row>
    <row r="380">
      <c r="A380" s="2" t="s">
        <v>603</v>
      </c>
      <c r="B380" s="17" t="s">
        <v>53</v>
      </c>
      <c r="C380" s="17" t="s">
        <v>604</v>
      </c>
      <c r="E380" s="17" t="s">
        <v>72</v>
      </c>
      <c r="F380" s="14">
        <v>1.0</v>
      </c>
      <c r="G380" s="34">
        <v>3.0</v>
      </c>
      <c r="I380" s="17" t="str">
        <f t="shared" si="1"/>
        <v/>
      </c>
    </row>
    <row r="381">
      <c r="A381" s="2" t="s">
        <v>605</v>
      </c>
      <c r="B381" s="17" t="s">
        <v>53</v>
      </c>
      <c r="C381" s="17" t="s">
        <v>606</v>
      </c>
      <c r="E381" s="17" t="s">
        <v>72</v>
      </c>
      <c r="F381" s="14">
        <v>1.0</v>
      </c>
      <c r="G381" s="34">
        <v>3.0</v>
      </c>
      <c r="I381" s="17" t="str">
        <f t="shared" si="1"/>
        <v/>
      </c>
    </row>
    <row r="382">
      <c r="A382" s="2" t="s">
        <v>607</v>
      </c>
      <c r="B382" s="17" t="s">
        <v>53</v>
      </c>
      <c r="C382" s="17" t="s">
        <v>608</v>
      </c>
      <c r="E382" s="17" t="s">
        <v>72</v>
      </c>
      <c r="F382" s="14">
        <v>949.0</v>
      </c>
      <c r="G382" s="34">
        <v>3.0</v>
      </c>
      <c r="I382" s="17" t="str">
        <f t="shared" si="1"/>
        <v/>
      </c>
    </row>
    <row r="383">
      <c r="A383" s="2" t="s">
        <v>609</v>
      </c>
      <c r="B383" s="17" t="s">
        <v>53</v>
      </c>
      <c r="C383" s="17" t="s">
        <v>610</v>
      </c>
      <c r="E383" s="17" t="s">
        <v>448</v>
      </c>
      <c r="F383" s="14">
        <v>3956.0</v>
      </c>
      <c r="G383" s="34">
        <v>12.0</v>
      </c>
      <c r="I383" s="17" t="str">
        <f t="shared" si="1"/>
        <v/>
      </c>
    </row>
    <row r="384">
      <c r="A384" s="2" t="s">
        <v>611</v>
      </c>
      <c r="B384" s="17" t="s">
        <v>612</v>
      </c>
      <c r="C384" s="17" t="s">
        <v>613</v>
      </c>
      <c r="D384" s="17" t="s">
        <v>611</v>
      </c>
      <c r="E384" s="17" t="s">
        <v>131</v>
      </c>
      <c r="F384" s="14">
        <v>240.0</v>
      </c>
      <c r="G384" s="34">
        <v>0.5</v>
      </c>
      <c r="I384" s="17" t="str">
        <f t="shared" si="1"/>
        <v/>
      </c>
    </row>
    <row r="385">
      <c r="A385" s="2">
        <v>3.182550702621E12</v>
      </c>
      <c r="B385" s="17" t="s">
        <v>53</v>
      </c>
      <c r="C385" s="17" t="s">
        <v>614</v>
      </c>
      <c r="E385" s="17" t="s">
        <v>72</v>
      </c>
      <c r="F385" s="14">
        <v>4800.0</v>
      </c>
      <c r="G385" s="34">
        <v>3.0</v>
      </c>
      <c r="I385" s="17" t="str">
        <f t="shared" si="1"/>
        <v/>
      </c>
    </row>
    <row r="386">
      <c r="A386" s="2">
        <v>3.182550805186E12</v>
      </c>
      <c r="B386" s="17" t="s">
        <v>53</v>
      </c>
      <c r="C386" s="17" t="s">
        <v>615</v>
      </c>
      <c r="E386" s="17" t="s">
        <v>72</v>
      </c>
      <c r="F386" s="14">
        <v>1.0</v>
      </c>
      <c r="G386" s="34">
        <v>3.0</v>
      </c>
      <c r="I386" s="17" t="str">
        <f t="shared" si="1"/>
        <v/>
      </c>
    </row>
    <row r="387">
      <c r="A387" s="2">
        <v>3.182550717144E12</v>
      </c>
      <c r="B387" s="17" t="s">
        <v>53</v>
      </c>
      <c r="C387" s="17" t="s">
        <v>616</v>
      </c>
      <c r="E387" s="17" t="s">
        <v>72</v>
      </c>
      <c r="F387" s="14" t="s">
        <v>180</v>
      </c>
      <c r="G387" s="34" t="s">
        <v>180</v>
      </c>
      <c r="I387" s="17" t="str">
        <f t="shared" si="1"/>
        <v/>
      </c>
    </row>
    <row r="388">
      <c r="A388" s="2">
        <v>3.182550732055E12</v>
      </c>
      <c r="B388" s="17" t="s">
        <v>53</v>
      </c>
      <c r="C388" s="17" t="s">
        <v>617</v>
      </c>
      <c r="E388" s="17" t="s">
        <v>59</v>
      </c>
      <c r="F388" s="14" t="s">
        <v>180</v>
      </c>
      <c r="G388" s="34" t="s">
        <v>180</v>
      </c>
      <c r="I388" s="17" t="str">
        <f t="shared" si="1"/>
        <v/>
      </c>
    </row>
    <row r="389">
      <c r="A389" s="2">
        <v>3.18255072166E12</v>
      </c>
      <c r="B389" s="17" t="s">
        <v>53</v>
      </c>
      <c r="C389" s="17" t="s">
        <v>618</v>
      </c>
      <c r="E389" s="17" t="s">
        <v>72</v>
      </c>
      <c r="F389" s="14">
        <v>3109.54</v>
      </c>
      <c r="G389" s="34">
        <v>10.0</v>
      </c>
      <c r="I389" s="17" t="str">
        <f t="shared" si="1"/>
        <v/>
      </c>
    </row>
    <row r="390">
      <c r="A390" s="2">
        <v>3.182550743471E12</v>
      </c>
      <c r="B390" s="17" t="s">
        <v>53</v>
      </c>
      <c r="C390" s="17" t="s">
        <v>619</v>
      </c>
      <c r="E390" s="17" t="s">
        <v>59</v>
      </c>
      <c r="F390" s="14" t="s">
        <v>180</v>
      </c>
      <c r="G390" s="34" t="s">
        <v>180</v>
      </c>
      <c r="I390" s="17" t="str">
        <f t="shared" si="1"/>
        <v/>
      </c>
    </row>
    <row r="391">
      <c r="A391" s="2">
        <v>3.182550710688E12</v>
      </c>
      <c r="B391" s="17" t="s">
        <v>53</v>
      </c>
      <c r="C391" s="17" t="s">
        <v>620</v>
      </c>
      <c r="E391" s="17" t="s">
        <v>72</v>
      </c>
      <c r="F391" s="14">
        <v>1028.16</v>
      </c>
      <c r="G391" s="34">
        <v>2.0</v>
      </c>
      <c r="I391" s="17" t="str">
        <f t="shared" si="1"/>
        <v/>
      </c>
    </row>
    <row r="392">
      <c r="A392" s="2">
        <v>3.182550722605E12</v>
      </c>
      <c r="B392" s="17" t="s">
        <v>53</v>
      </c>
      <c r="C392" s="17" t="s">
        <v>621</v>
      </c>
      <c r="E392" s="17" t="s">
        <v>59</v>
      </c>
      <c r="F392" s="14">
        <v>1.0</v>
      </c>
      <c r="G392" s="34">
        <v>3.0</v>
      </c>
      <c r="I392" s="17" t="str">
        <f t="shared" si="1"/>
        <v/>
      </c>
    </row>
    <row r="393">
      <c r="A393" s="2">
        <v>3.182550813051E12</v>
      </c>
      <c r="B393" s="17" t="s">
        <v>53</v>
      </c>
      <c r="C393" s="17" t="s">
        <v>622</v>
      </c>
      <c r="E393" s="17" t="s">
        <v>59</v>
      </c>
      <c r="F393" s="14" t="s">
        <v>180</v>
      </c>
      <c r="G393" s="34" t="s">
        <v>180</v>
      </c>
      <c r="I393" s="17" t="str">
        <f t="shared" si="1"/>
        <v/>
      </c>
    </row>
    <row r="394">
      <c r="A394" s="2" t="s">
        <v>623</v>
      </c>
      <c r="B394" s="17" t="s">
        <v>296</v>
      </c>
      <c r="C394" s="17" t="s">
        <v>624</v>
      </c>
      <c r="D394" s="17" t="s">
        <v>623</v>
      </c>
      <c r="E394" s="17" t="s">
        <v>625</v>
      </c>
      <c r="F394" s="14">
        <v>252.0</v>
      </c>
      <c r="G394" s="34">
        <v>18.0</v>
      </c>
      <c r="I394" s="17" t="str">
        <f t="shared" si="1"/>
        <v/>
      </c>
    </row>
    <row r="395">
      <c r="A395" s="2" t="s">
        <v>626</v>
      </c>
      <c r="B395" s="17" t="s">
        <v>296</v>
      </c>
      <c r="C395" s="17" t="s">
        <v>624</v>
      </c>
      <c r="D395" s="17" t="s">
        <v>626</v>
      </c>
      <c r="E395" s="17" t="s">
        <v>625</v>
      </c>
      <c r="F395" s="14">
        <v>252.0</v>
      </c>
      <c r="G395" s="34">
        <v>18.0</v>
      </c>
      <c r="I395" s="17" t="str">
        <f t="shared" si="1"/>
        <v/>
      </c>
    </row>
    <row r="396">
      <c r="A396" s="2" t="s">
        <v>627</v>
      </c>
      <c r="B396" s="17" t="s">
        <v>296</v>
      </c>
      <c r="C396" s="17" t="s">
        <v>624</v>
      </c>
      <c r="D396" s="17" t="s">
        <v>627</v>
      </c>
      <c r="E396" s="17" t="s">
        <v>625</v>
      </c>
      <c r="F396" s="14">
        <v>252.0</v>
      </c>
      <c r="G396" s="34">
        <v>18.0</v>
      </c>
      <c r="I396" s="17" t="str">
        <f t="shared" si="1"/>
        <v/>
      </c>
    </row>
    <row r="397">
      <c r="A397" s="2" t="s">
        <v>628</v>
      </c>
      <c r="B397" s="17" t="s">
        <v>296</v>
      </c>
      <c r="C397" s="17" t="s">
        <v>624</v>
      </c>
      <c r="D397" s="17" t="s">
        <v>628</v>
      </c>
      <c r="E397" s="17" t="s">
        <v>625</v>
      </c>
      <c r="F397" s="14">
        <v>252.0</v>
      </c>
      <c r="G397" s="34">
        <v>18.0</v>
      </c>
      <c r="I397" s="17" t="str">
        <f t="shared" si="1"/>
        <v/>
      </c>
    </row>
    <row r="398">
      <c r="A398" s="2" t="s">
        <v>629</v>
      </c>
      <c r="B398" s="17" t="s">
        <v>296</v>
      </c>
      <c r="C398" s="17" t="s">
        <v>624</v>
      </c>
      <c r="D398" s="17" t="s">
        <v>629</v>
      </c>
      <c r="E398" s="17" t="s">
        <v>625</v>
      </c>
      <c r="F398" s="14">
        <v>252.0</v>
      </c>
      <c r="G398" s="34">
        <v>18.0</v>
      </c>
      <c r="I398" s="17" t="str">
        <f t="shared" si="1"/>
        <v/>
      </c>
    </row>
    <row r="399">
      <c r="A399" s="2" t="s">
        <v>630</v>
      </c>
      <c r="B399" s="17" t="s">
        <v>296</v>
      </c>
      <c r="C399" s="17" t="s">
        <v>624</v>
      </c>
      <c r="D399" s="17" t="s">
        <v>630</v>
      </c>
      <c r="E399" s="17" t="s">
        <v>625</v>
      </c>
      <c r="F399" s="14">
        <v>252.0</v>
      </c>
      <c r="G399" s="34">
        <v>18.0</v>
      </c>
      <c r="I399" s="17" t="str">
        <f t="shared" si="1"/>
        <v/>
      </c>
    </row>
    <row r="400">
      <c r="A400" s="2">
        <v>7.95258613316E11</v>
      </c>
      <c r="B400" s="17" t="s">
        <v>50</v>
      </c>
      <c r="C400" s="17" t="s">
        <v>631</v>
      </c>
      <c r="E400" s="17" t="s">
        <v>52</v>
      </c>
      <c r="F400" s="14">
        <v>570.0</v>
      </c>
      <c r="G400" s="34">
        <v>3.0</v>
      </c>
      <c r="I400" s="17" t="str">
        <f t="shared" si="1"/>
        <v/>
      </c>
    </row>
    <row r="401">
      <c r="A401" s="2">
        <v>5.5822100929714E13</v>
      </c>
      <c r="B401" s="17" t="s">
        <v>632</v>
      </c>
      <c r="C401" s="17" t="s">
        <v>633</v>
      </c>
      <c r="E401" s="17" t="s">
        <v>131</v>
      </c>
      <c r="F401" s="14">
        <v>696.0</v>
      </c>
      <c r="G401" s="34">
        <v>0.5</v>
      </c>
      <c r="I401" s="17" t="str">
        <f t="shared" si="1"/>
        <v/>
      </c>
    </row>
    <row r="402">
      <c r="A402" s="2" t="s">
        <v>634</v>
      </c>
      <c r="B402" s="17" t="s">
        <v>53</v>
      </c>
      <c r="C402" s="17" t="s">
        <v>635</v>
      </c>
      <c r="E402" s="17" t="s">
        <v>59</v>
      </c>
      <c r="F402" s="14">
        <v>4065.0</v>
      </c>
      <c r="G402" s="34">
        <v>15.0</v>
      </c>
      <c r="I402" s="17" t="str">
        <f t="shared" si="1"/>
        <v/>
      </c>
    </row>
    <row r="403">
      <c r="A403" s="2">
        <v>3.182550402217E12</v>
      </c>
      <c r="B403" s="17" t="s">
        <v>53</v>
      </c>
      <c r="C403" s="17" t="s">
        <v>636</v>
      </c>
      <c r="E403" s="17" t="s">
        <v>59</v>
      </c>
      <c r="F403" s="14">
        <v>1.0</v>
      </c>
      <c r="G403" s="34">
        <v>3.0</v>
      </c>
      <c r="I403" s="17" t="str">
        <f t="shared" si="1"/>
        <v/>
      </c>
    </row>
    <row r="404">
      <c r="A404" s="2" t="s">
        <v>637</v>
      </c>
      <c r="B404" s="17" t="s">
        <v>53</v>
      </c>
      <c r="C404" s="17" t="s">
        <v>638</v>
      </c>
      <c r="E404" s="17" t="s">
        <v>59</v>
      </c>
      <c r="F404" s="14">
        <v>3638.0</v>
      </c>
      <c r="G404" s="34">
        <v>3.0</v>
      </c>
      <c r="I404" s="17" t="str">
        <f t="shared" si="1"/>
        <v/>
      </c>
    </row>
    <row r="405">
      <c r="A405" s="2" t="s">
        <v>639</v>
      </c>
      <c r="B405" s="17" t="s">
        <v>53</v>
      </c>
      <c r="C405" s="17" t="s">
        <v>640</v>
      </c>
      <c r="E405" s="17" t="s">
        <v>59</v>
      </c>
      <c r="F405" s="14">
        <v>17.0</v>
      </c>
      <c r="G405" s="34">
        <v>3.0</v>
      </c>
      <c r="I405" s="17" t="str">
        <f t="shared" si="1"/>
        <v/>
      </c>
    </row>
    <row r="406">
      <c r="A406" s="2">
        <v>3.182550732154E12</v>
      </c>
      <c r="B406" s="17" t="s">
        <v>53</v>
      </c>
      <c r="C406" s="17" t="s">
        <v>641</v>
      </c>
      <c r="E406" s="17" t="s">
        <v>59</v>
      </c>
      <c r="F406" s="14">
        <v>1.0</v>
      </c>
      <c r="G406" s="34">
        <v>3.0</v>
      </c>
      <c r="I406" s="17" t="str">
        <f t="shared" si="1"/>
        <v/>
      </c>
    </row>
    <row r="407">
      <c r="A407" s="2" t="s">
        <v>642</v>
      </c>
      <c r="B407" s="17" t="s">
        <v>50</v>
      </c>
      <c r="C407" s="17" t="s">
        <v>643</v>
      </c>
      <c r="E407" s="17" t="s">
        <v>52</v>
      </c>
      <c r="F407" s="14">
        <v>570.0</v>
      </c>
      <c r="G407" s="34">
        <v>3.0</v>
      </c>
      <c r="I407" s="17" t="str">
        <f t="shared" si="1"/>
        <v/>
      </c>
    </row>
    <row r="408">
      <c r="A408" s="2">
        <v>985474.0</v>
      </c>
      <c r="B408" s="17" t="s">
        <v>50</v>
      </c>
      <c r="C408" s="17" t="s">
        <v>644</v>
      </c>
      <c r="E408" s="17" t="s">
        <v>72</v>
      </c>
      <c r="F408" s="14">
        <v>350.0</v>
      </c>
      <c r="G408" s="34">
        <v>3.0</v>
      </c>
      <c r="I408" s="17" t="str">
        <f t="shared" si="1"/>
        <v/>
      </c>
    </row>
    <row r="409">
      <c r="A409" s="2">
        <v>7.613038944593E12</v>
      </c>
      <c r="B409" s="17" t="s">
        <v>50</v>
      </c>
      <c r="C409" s="17" t="s">
        <v>645</v>
      </c>
      <c r="E409" s="17" t="s">
        <v>52</v>
      </c>
      <c r="F409" s="14" t="s">
        <v>180</v>
      </c>
      <c r="G409" s="34" t="s">
        <v>180</v>
      </c>
      <c r="I409" s="17" t="str">
        <f t="shared" si="1"/>
        <v/>
      </c>
    </row>
    <row r="410">
      <c r="A410" s="2">
        <v>8.6974221000021E13</v>
      </c>
      <c r="B410" s="17" t="s">
        <v>50</v>
      </c>
      <c r="C410" s="17" t="s">
        <v>646</v>
      </c>
      <c r="E410" s="17" t="s">
        <v>52</v>
      </c>
      <c r="F410" s="14">
        <v>320.0</v>
      </c>
      <c r="G410" s="34">
        <v>3.0</v>
      </c>
      <c r="I410" s="17" t="str">
        <f t="shared" si="1"/>
        <v/>
      </c>
    </row>
    <row r="411">
      <c r="A411" s="2">
        <v>7.7548176924615E13</v>
      </c>
      <c r="B411" s="17" t="s">
        <v>50</v>
      </c>
      <c r="C411" s="17" t="s">
        <v>647</v>
      </c>
      <c r="E411" s="17" t="s">
        <v>52</v>
      </c>
      <c r="F411" s="14">
        <v>570.0</v>
      </c>
      <c r="G411" s="34">
        <v>3.0</v>
      </c>
      <c r="I411" s="17" t="str">
        <f t="shared" si="1"/>
        <v/>
      </c>
    </row>
    <row r="412">
      <c r="A412" s="2" t="s">
        <v>648</v>
      </c>
      <c r="B412" s="17" t="s">
        <v>50</v>
      </c>
      <c r="C412" s="17" t="s">
        <v>649</v>
      </c>
      <c r="E412" s="17" t="s">
        <v>52</v>
      </c>
      <c r="F412" s="14">
        <v>576.0</v>
      </c>
      <c r="G412" s="34">
        <v>3.0</v>
      </c>
      <c r="I412" s="17" t="str">
        <f t="shared" si="1"/>
        <v/>
      </c>
    </row>
    <row r="413">
      <c r="A413" s="2" t="s">
        <v>650</v>
      </c>
      <c r="B413" s="17" t="s">
        <v>187</v>
      </c>
      <c r="C413" s="17" t="s">
        <v>651</v>
      </c>
      <c r="E413" s="17" t="s">
        <v>52</v>
      </c>
      <c r="F413" s="14">
        <v>100.0</v>
      </c>
      <c r="G413" s="34">
        <v>3.0</v>
      </c>
      <c r="I413" s="17" t="str">
        <f t="shared" si="1"/>
        <v/>
      </c>
    </row>
    <row r="414">
      <c r="A414" s="2" t="s">
        <v>652</v>
      </c>
      <c r="B414" s="17" t="s">
        <v>187</v>
      </c>
      <c r="C414" s="17" t="s">
        <v>653</v>
      </c>
      <c r="E414" s="17" t="s">
        <v>52</v>
      </c>
      <c r="F414" s="14">
        <v>580.0</v>
      </c>
      <c r="G414" s="34">
        <v>1.0</v>
      </c>
      <c r="I414" s="17" t="str">
        <f t="shared" si="1"/>
        <v/>
      </c>
    </row>
    <row r="415">
      <c r="A415" s="2">
        <v>9.003579311295E12</v>
      </c>
      <c r="B415" s="17" t="s">
        <v>53</v>
      </c>
      <c r="C415" s="17" t="s">
        <v>654</v>
      </c>
      <c r="E415" s="17" t="s">
        <v>52</v>
      </c>
      <c r="F415" s="14">
        <v>485.36</v>
      </c>
      <c r="G415" s="34">
        <v>2.0</v>
      </c>
      <c r="I415" s="17" t="str">
        <f t="shared" si="1"/>
        <v/>
      </c>
    </row>
    <row r="416">
      <c r="A416" s="2">
        <v>9.00357931166E12</v>
      </c>
      <c r="B416" s="17" t="s">
        <v>53</v>
      </c>
      <c r="C416" s="17" t="s">
        <v>655</v>
      </c>
      <c r="E416" s="17" t="s">
        <v>52</v>
      </c>
      <c r="F416" s="14">
        <v>112.0</v>
      </c>
      <c r="G416" s="34">
        <v>1.0</v>
      </c>
      <c r="I416" s="17" t="str">
        <f t="shared" si="1"/>
        <v/>
      </c>
    </row>
    <row r="417">
      <c r="A417" s="2" t="s">
        <v>656</v>
      </c>
      <c r="B417" s="17" t="s">
        <v>115</v>
      </c>
      <c r="C417" s="17" t="s">
        <v>657</v>
      </c>
      <c r="E417" s="17" t="s">
        <v>72</v>
      </c>
      <c r="F417" s="14">
        <v>2080.0</v>
      </c>
      <c r="G417" s="34">
        <v>3.0</v>
      </c>
      <c r="I417" s="17" t="str">
        <f t="shared" si="1"/>
        <v/>
      </c>
    </row>
    <row r="418">
      <c r="A418" s="2">
        <v>3.7622100929963E13</v>
      </c>
      <c r="B418" s="17" t="s">
        <v>115</v>
      </c>
      <c r="C418" s="17" t="s">
        <v>658</v>
      </c>
      <c r="E418" s="17" t="s">
        <v>52</v>
      </c>
      <c r="F418" s="14">
        <v>520.0</v>
      </c>
      <c r="G418" s="34">
        <v>3.0</v>
      </c>
      <c r="I418" s="17" t="str">
        <f t="shared" si="1"/>
        <v/>
      </c>
    </row>
    <row r="419">
      <c r="A419" s="2">
        <v>2.7622100929963E13</v>
      </c>
      <c r="B419" s="17" t="s">
        <v>115</v>
      </c>
      <c r="C419" s="17" t="s">
        <v>659</v>
      </c>
      <c r="E419" s="17" t="s">
        <v>52</v>
      </c>
      <c r="F419" s="14">
        <v>1040.0</v>
      </c>
      <c r="G419" s="34">
        <v>3.0</v>
      </c>
      <c r="I419" s="17" t="str">
        <f t="shared" si="1"/>
        <v/>
      </c>
    </row>
    <row r="420">
      <c r="A420" s="2">
        <v>5.412087019298E12</v>
      </c>
      <c r="B420" s="17" t="s">
        <v>660</v>
      </c>
      <c r="C420" s="17" t="s">
        <v>661</v>
      </c>
      <c r="E420" s="17" t="s">
        <v>662</v>
      </c>
      <c r="F420" s="14" t="s">
        <v>180</v>
      </c>
      <c r="G420" s="34" t="s">
        <v>180</v>
      </c>
      <c r="I420" s="17" t="str">
        <f t="shared" si="1"/>
        <v/>
      </c>
    </row>
    <row r="421">
      <c r="A421" s="2">
        <v>5.2742060903E10</v>
      </c>
      <c r="B421" s="17" t="s">
        <v>229</v>
      </c>
      <c r="C421" s="17" t="s">
        <v>663</v>
      </c>
      <c r="E421" s="17" t="s">
        <v>59</v>
      </c>
      <c r="F421" s="14">
        <v>938.0</v>
      </c>
      <c r="G421" s="34">
        <v>2.0</v>
      </c>
      <c r="I421" s="17" t="str">
        <f t="shared" si="1"/>
        <v/>
      </c>
    </row>
    <row r="422">
      <c r="A422" s="2">
        <v>8.681612752819E12</v>
      </c>
      <c r="B422" s="17" t="s">
        <v>660</v>
      </c>
      <c r="C422" s="17" t="s">
        <v>664</v>
      </c>
      <c r="E422" s="17" t="s">
        <v>662</v>
      </c>
      <c r="F422" s="14" t="s">
        <v>180</v>
      </c>
      <c r="G422" s="34" t="s">
        <v>180</v>
      </c>
      <c r="I422" s="17" t="str">
        <f t="shared" si="1"/>
        <v/>
      </c>
    </row>
    <row r="423">
      <c r="A423" s="2">
        <v>8.681612752802E12</v>
      </c>
      <c r="B423" s="17" t="s">
        <v>660</v>
      </c>
      <c r="C423" s="17" t="s">
        <v>665</v>
      </c>
      <c r="E423" s="17" t="s">
        <v>662</v>
      </c>
      <c r="F423" s="14" t="s">
        <v>180</v>
      </c>
      <c r="G423" s="34" t="s">
        <v>180</v>
      </c>
      <c r="I423" s="17" t="str">
        <f t="shared" si="1"/>
        <v/>
      </c>
    </row>
    <row r="424">
      <c r="A424" s="2">
        <v>5.412087000395E12</v>
      </c>
      <c r="B424" s="17" t="s">
        <v>660</v>
      </c>
      <c r="C424" s="17" t="s">
        <v>666</v>
      </c>
      <c r="E424" s="17" t="s">
        <v>299</v>
      </c>
      <c r="F424" s="14">
        <v>250.72</v>
      </c>
      <c r="G424" s="34">
        <v>1.0</v>
      </c>
      <c r="I424" s="17" t="str">
        <f t="shared" si="1"/>
        <v/>
      </c>
    </row>
    <row r="425">
      <c r="A425" s="2" t="s">
        <v>667</v>
      </c>
      <c r="B425" s="17" t="s">
        <v>660</v>
      </c>
      <c r="C425" s="17" t="s">
        <v>668</v>
      </c>
      <c r="E425" s="17" t="s">
        <v>299</v>
      </c>
      <c r="F425" s="14">
        <v>250.0</v>
      </c>
      <c r="G425" s="34">
        <v>1.0</v>
      </c>
      <c r="I425" s="17" t="str">
        <f t="shared" si="1"/>
        <v/>
      </c>
    </row>
    <row r="426">
      <c r="A426" s="2">
        <v>4.000498043417E12</v>
      </c>
      <c r="B426" s="17" t="s">
        <v>669</v>
      </c>
      <c r="C426" s="17" t="s">
        <v>670</v>
      </c>
      <c r="E426" s="17" t="s">
        <v>671</v>
      </c>
      <c r="F426" s="14">
        <v>638.67</v>
      </c>
      <c r="G426" s="34">
        <v>0.5</v>
      </c>
      <c r="I426" s="17" t="str">
        <f t="shared" si="1"/>
        <v/>
      </c>
    </row>
    <row r="427">
      <c r="A427" s="2">
        <v>4.00049803251E12</v>
      </c>
      <c r="B427" s="17" t="s">
        <v>669</v>
      </c>
      <c r="C427" s="17" t="s">
        <v>672</v>
      </c>
      <c r="E427" s="17" t="s">
        <v>671</v>
      </c>
      <c r="F427" s="14">
        <v>985.57</v>
      </c>
      <c r="G427" s="34">
        <v>0.5</v>
      </c>
      <c r="I427" s="17" t="str">
        <f t="shared" si="1"/>
        <v/>
      </c>
    </row>
    <row r="428">
      <c r="A428" s="2">
        <v>2.9695470912E10</v>
      </c>
      <c r="B428" s="17" t="s">
        <v>673</v>
      </c>
      <c r="C428" s="17" t="s">
        <v>674</v>
      </c>
      <c r="E428" s="17" t="s">
        <v>75</v>
      </c>
      <c r="F428" s="14">
        <v>234.0</v>
      </c>
      <c r="G428" s="34">
        <v>1.0</v>
      </c>
      <c r="I428" s="17" t="str">
        <f t="shared" si="1"/>
        <v/>
      </c>
    </row>
    <row r="429">
      <c r="A429" s="2">
        <v>2.9695321917E10</v>
      </c>
      <c r="B429" s="17" t="s">
        <v>673</v>
      </c>
      <c r="C429" s="17" t="s">
        <v>675</v>
      </c>
      <c r="E429" s="17" t="s">
        <v>75</v>
      </c>
      <c r="F429" s="14">
        <v>308.88</v>
      </c>
      <c r="G429" s="34">
        <v>1.0</v>
      </c>
      <c r="I429" s="17" t="str">
        <f t="shared" si="1"/>
        <v/>
      </c>
    </row>
    <row r="430">
      <c r="A430" s="2">
        <v>2.9695470899E10</v>
      </c>
      <c r="B430" s="17" t="s">
        <v>673</v>
      </c>
      <c r="C430" s="17" t="s">
        <v>676</v>
      </c>
      <c r="E430" s="17" t="s">
        <v>75</v>
      </c>
      <c r="F430" s="14">
        <v>100.0</v>
      </c>
      <c r="G430" s="34">
        <v>1.0</v>
      </c>
      <c r="I430" s="17" t="str">
        <f t="shared" si="1"/>
        <v/>
      </c>
    </row>
    <row r="431">
      <c r="A431" s="2">
        <v>6.60048067009E11</v>
      </c>
      <c r="B431" s="17" t="s">
        <v>673</v>
      </c>
      <c r="C431" s="17" t="s">
        <v>677</v>
      </c>
      <c r="E431" s="17" t="s">
        <v>75</v>
      </c>
      <c r="F431" s="14">
        <v>542.88</v>
      </c>
      <c r="G431" s="34">
        <v>1.0</v>
      </c>
      <c r="I431" s="17" t="str">
        <f t="shared" si="1"/>
        <v/>
      </c>
    </row>
    <row r="432">
      <c r="A432" s="2">
        <v>6.60048201304E11</v>
      </c>
      <c r="B432" s="17" t="s">
        <v>673</v>
      </c>
      <c r="C432" s="17" t="s">
        <v>678</v>
      </c>
      <c r="E432" s="17" t="s">
        <v>75</v>
      </c>
      <c r="F432" s="14">
        <v>100.0</v>
      </c>
      <c r="G432" s="34">
        <v>1.0</v>
      </c>
      <c r="I432" s="17" t="str">
        <f t="shared" si="1"/>
        <v/>
      </c>
    </row>
    <row r="433">
      <c r="A433" s="2">
        <v>6.60048202202E11</v>
      </c>
      <c r="B433" s="17" t="s">
        <v>673</v>
      </c>
      <c r="C433" s="17" t="s">
        <v>679</v>
      </c>
      <c r="E433" s="17" t="s">
        <v>75</v>
      </c>
      <c r="F433" s="14" t="s">
        <v>180</v>
      </c>
      <c r="G433" s="34" t="s">
        <v>180</v>
      </c>
      <c r="I433" s="17" t="str">
        <f t="shared" si="1"/>
        <v/>
      </c>
    </row>
    <row r="434">
      <c r="A434" s="2">
        <v>2.9695322174E10</v>
      </c>
      <c r="B434" s="17" t="s">
        <v>673</v>
      </c>
      <c r="C434" s="17" t="s">
        <v>680</v>
      </c>
      <c r="E434" s="17" t="s">
        <v>75</v>
      </c>
      <c r="F434" s="14">
        <v>299.52</v>
      </c>
      <c r="G434" s="34">
        <v>1.0</v>
      </c>
      <c r="I434" s="17" t="str">
        <f t="shared" si="1"/>
        <v/>
      </c>
    </row>
    <row r="435">
      <c r="A435" s="2">
        <v>9.003579008201E12</v>
      </c>
      <c r="B435" s="17" t="s">
        <v>53</v>
      </c>
      <c r="C435" s="17" t="s">
        <v>681</v>
      </c>
      <c r="E435" s="17" t="s">
        <v>279</v>
      </c>
      <c r="F435" s="14">
        <v>452.4</v>
      </c>
      <c r="G435" s="34">
        <v>1.0</v>
      </c>
      <c r="I435" s="17" t="str">
        <f t="shared" si="1"/>
        <v/>
      </c>
    </row>
    <row r="436">
      <c r="A436" s="2">
        <v>9.003579001646E12</v>
      </c>
      <c r="B436" s="17" t="s">
        <v>53</v>
      </c>
      <c r="C436" s="17" t="s">
        <v>682</v>
      </c>
      <c r="E436" s="17" t="s">
        <v>279</v>
      </c>
      <c r="F436" s="14">
        <v>452.4</v>
      </c>
      <c r="G436" s="34">
        <v>2.0</v>
      </c>
      <c r="I436" s="17" t="str">
        <f t="shared" si="1"/>
        <v/>
      </c>
    </row>
    <row r="437">
      <c r="A437" s="2">
        <v>3.182550782203E12</v>
      </c>
      <c r="B437" s="17" t="s">
        <v>53</v>
      </c>
      <c r="C437" s="17" t="s">
        <v>683</v>
      </c>
      <c r="E437" s="17" t="s">
        <v>59</v>
      </c>
      <c r="F437" s="14">
        <v>639.36</v>
      </c>
      <c r="G437" s="34">
        <v>3.0</v>
      </c>
      <c r="I437" s="17" t="str">
        <f t="shared" si="1"/>
        <v/>
      </c>
    </row>
    <row r="438">
      <c r="A438" s="2">
        <v>3.182550894128E12</v>
      </c>
      <c r="B438" s="17" t="s">
        <v>53</v>
      </c>
      <c r="C438" s="17" t="s">
        <v>684</v>
      </c>
      <c r="E438" s="17" t="s">
        <v>59</v>
      </c>
      <c r="F438" s="14">
        <v>1394.04</v>
      </c>
      <c r="G438" s="34">
        <v>3.0</v>
      </c>
      <c r="I438" s="17" t="str">
        <f t="shared" si="1"/>
        <v/>
      </c>
    </row>
    <row r="439">
      <c r="A439" s="2">
        <v>3.182550727822E12</v>
      </c>
      <c r="B439" s="17" t="s">
        <v>53</v>
      </c>
      <c r="C439" s="17" t="s">
        <v>685</v>
      </c>
      <c r="E439" s="17" t="s">
        <v>59</v>
      </c>
      <c r="F439" s="14">
        <v>1260.0</v>
      </c>
      <c r="G439" s="34">
        <v>3.0</v>
      </c>
      <c r="I439" s="17" t="str">
        <f t="shared" si="1"/>
        <v/>
      </c>
    </row>
    <row r="440">
      <c r="A440" s="2">
        <v>3.182550793032E12</v>
      </c>
      <c r="B440" s="17" t="s">
        <v>53</v>
      </c>
      <c r="C440" s="17" t="s">
        <v>686</v>
      </c>
      <c r="E440" s="17" t="s">
        <v>59</v>
      </c>
      <c r="F440" s="14">
        <v>1260.0</v>
      </c>
      <c r="G440" s="34">
        <v>4.0</v>
      </c>
      <c r="I440" s="17" t="str">
        <f t="shared" si="1"/>
        <v/>
      </c>
    </row>
    <row r="441">
      <c r="A441" s="2">
        <v>3.182550716888E12</v>
      </c>
      <c r="B441" s="17" t="s">
        <v>53</v>
      </c>
      <c r="C441" s="17" t="s">
        <v>687</v>
      </c>
      <c r="E441" s="17" t="s">
        <v>59</v>
      </c>
      <c r="F441" s="14">
        <v>2294.04</v>
      </c>
      <c r="G441" s="34">
        <v>8.0</v>
      </c>
      <c r="I441" s="17" t="str">
        <f t="shared" si="1"/>
        <v/>
      </c>
    </row>
    <row r="442">
      <c r="A442" s="2">
        <v>3.18255090845E12</v>
      </c>
      <c r="B442" s="17" t="s">
        <v>53</v>
      </c>
      <c r="C442" s="17" t="s">
        <v>688</v>
      </c>
      <c r="E442" s="17" t="s">
        <v>59</v>
      </c>
      <c r="F442" s="14">
        <v>1137.36</v>
      </c>
      <c r="G442" s="34">
        <v>3.0</v>
      </c>
      <c r="I442" s="17" t="str">
        <f t="shared" si="1"/>
        <v/>
      </c>
    </row>
    <row r="443">
      <c r="A443" s="2">
        <v>9.874745679541E12</v>
      </c>
      <c r="B443" s="17" t="s">
        <v>53</v>
      </c>
      <c r="C443" s="17" t="s">
        <v>689</v>
      </c>
      <c r="E443" s="17" t="s">
        <v>72</v>
      </c>
      <c r="F443" s="14">
        <v>1.0</v>
      </c>
      <c r="G443" s="34">
        <v>3.0</v>
      </c>
      <c r="I443" s="17" t="str">
        <f t="shared" si="1"/>
        <v/>
      </c>
    </row>
    <row r="444">
      <c r="A444" s="2">
        <v>3.182550737616E12</v>
      </c>
      <c r="B444" s="17" t="s">
        <v>53</v>
      </c>
      <c r="C444" s="17" t="s">
        <v>690</v>
      </c>
      <c r="E444" s="17" t="s">
        <v>72</v>
      </c>
      <c r="F444" s="14">
        <v>1535.52</v>
      </c>
      <c r="G444" s="34">
        <v>4.0</v>
      </c>
      <c r="I444" s="17" t="str">
        <f t="shared" si="1"/>
        <v/>
      </c>
    </row>
    <row r="445">
      <c r="A445" s="2">
        <v>3.182550702447E12</v>
      </c>
      <c r="B445" s="17" t="s">
        <v>53</v>
      </c>
      <c r="C445" s="17" t="s">
        <v>691</v>
      </c>
      <c r="E445" s="17" t="s">
        <v>72</v>
      </c>
      <c r="F445" s="14">
        <v>1459.08</v>
      </c>
      <c r="G445" s="34">
        <v>4.0</v>
      </c>
      <c r="I445" s="17" t="str">
        <f t="shared" si="1"/>
        <v/>
      </c>
    </row>
    <row r="446">
      <c r="A446" s="2">
        <v>3.182550702423E12</v>
      </c>
      <c r="B446" s="17" t="s">
        <v>53</v>
      </c>
      <c r="C446" s="17" t="s">
        <v>692</v>
      </c>
      <c r="E446" s="17" t="s">
        <v>72</v>
      </c>
      <c r="F446" s="14">
        <v>796.32</v>
      </c>
      <c r="G446" s="34">
        <v>2.0</v>
      </c>
      <c r="I446" s="17" t="str">
        <f t="shared" si="1"/>
        <v/>
      </c>
    </row>
    <row r="447">
      <c r="A447" s="2">
        <v>3.182550707329E12</v>
      </c>
      <c r="B447" s="17" t="s">
        <v>53</v>
      </c>
      <c r="C447" s="17" t="s">
        <v>693</v>
      </c>
      <c r="E447" s="17" t="s">
        <v>72</v>
      </c>
      <c r="F447" s="14">
        <v>1598.52</v>
      </c>
      <c r="G447" s="34">
        <v>4.0</v>
      </c>
      <c r="I447" s="17" t="str">
        <f t="shared" si="1"/>
        <v/>
      </c>
    </row>
    <row r="448">
      <c r="A448" s="2">
        <v>3.182550737593E12</v>
      </c>
      <c r="B448" s="17" t="s">
        <v>53</v>
      </c>
      <c r="C448" s="17" t="s">
        <v>694</v>
      </c>
      <c r="E448" s="17" t="s">
        <v>72</v>
      </c>
      <c r="F448" s="14">
        <v>832.44</v>
      </c>
      <c r="G448" s="34">
        <v>2.0</v>
      </c>
      <c r="I448" s="17" t="str">
        <f t="shared" si="1"/>
        <v/>
      </c>
    </row>
    <row r="449">
      <c r="A449" s="2">
        <v>3.182550737591E12</v>
      </c>
      <c r="B449" s="17" t="s">
        <v>53</v>
      </c>
      <c r="C449" s="17" t="s">
        <v>694</v>
      </c>
      <c r="E449" s="17" t="s">
        <v>72</v>
      </c>
      <c r="F449" s="14">
        <v>832.44</v>
      </c>
      <c r="G449" s="34">
        <v>2.0</v>
      </c>
      <c r="I449" s="17" t="str">
        <f t="shared" si="1"/>
        <v/>
      </c>
    </row>
    <row r="450">
      <c r="A450" s="2">
        <v>3.182550702331E12</v>
      </c>
      <c r="B450" s="17" t="s">
        <v>53</v>
      </c>
      <c r="C450" s="17" t="s">
        <v>695</v>
      </c>
      <c r="E450" s="17" t="s">
        <v>72</v>
      </c>
      <c r="F450" s="14">
        <v>1535.52</v>
      </c>
      <c r="G450" s="34">
        <v>4.0</v>
      </c>
      <c r="I450" s="17" t="str">
        <f t="shared" si="1"/>
        <v/>
      </c>
    </row>
    <row r="451">
      <c r="A451" s="2">
        <v>3.182550777308E12</v>
      </c>
      <c r="B451" s="17" t="s">
        <v>53</v>
      </c>
      <c r="C451" s="17" t="s">
        <v>696</v>
      </c>
      <c r="E451" s="17" t="s">
        <v>72</v>
      </c>
      <c r="F451" s="14">
        <v>4756.08</v>
      </c>
      <c r="G451" s="34">
        <v>15.0</v>
      </c>
      <c r="I451" s="17" t="str">
        <f t="shared" si="1"/>
        <v/>
      </c>
    </row>
    <row r="452">
      <c r="A452" s="2">
        <v>3.182550702317E12</v>
      </c>
      <c r="B452" s="17" t="s">
        <v>53</v>
      </c>
      <c r="C452" s="17" t="s">
        <v>697</v>
      </c>
      <c r="E452" s="17" t="s">
        <v>72</v>
      </c>
      <c r="F452" s="14">
        <v>832.44</v>
      </c>
      <c r="G452" s="34">
        <v>2.0</v>
      </c>
      <c r="I452" s="17" t="str">
        <f t="shared" si="1"/>
        <v/>
      </c>
    </row>
    <row r="453">
      <c r="A453" s="2">
        <v>3.182550702973E12</v>
      </c>
      <c r="B453" s="17" t="s">
        <v>53</v>
      </c>
      <c r="C453" s="17" t="s">
        <v>698</v>
      </c>
      <c r="E453" s="17" t="s">
        <v>72</v>
      </c>
      <c r="F453" s="14">
        <v>3323.04</v>
      </c>
      <c r="G453" s="34">
        <v>10.0</v>
      </c>
      <c r="I453" s="17" t="str">
        <f t="shared" si="1"/>
        <v/>
      </c>
    </row>
    <row r="454">
      <c r="A454" s="2">
        <v>3.182550702201E12</v>
      </c>
      <c r="B454" s="17" t="s">
        <v>53</v>
      </c>
      <c r="C454" s="17" t="s">
        <v>699</v>
      </c>
      <c r="E454" s="17" t="s">
        <v>72</v>
      </c>
      <c r="F454" s="14">
        <v>796.32</v>
      </c>
      <c r="G454" s="34">
        <v>2.0</v>
      </c>
      <c r="I454" s="17" t="str">
        <f t="shared" si="1"/>
        <v/>
      </c>
    </row>
    <row r="455">
      <c r="A455" s="2">
        <v>3.18255075644E12</v>
      </c>
      <c r="B455" s="17" t="s">
        <v>53</v>
      </c>
      <c r="C455" s="17" t="s">
        <v>700</v>
      </c>
      <c r="E455" s="17" t="s">
        <v>72</v>
      </c>
      <c r="F455" s="14">
        <v>1837.92</v>
      </c>
      <c r="G455" s="34">
        <v>4.0</v>
      </c>
      <c r="I455" s="17" t="str">
        <f t="shared" si="1"/>
        <v/>
      </c>
    </row>
    <row r="456">
      <c r="A456" s="2">
        <v>3.182550816533E12</v>
      </c>
      <c r="B456" s="17" t="s">
        <v>53</v>
      </c>
      <c r="C456" s="17" t="s">
        <v>701</v>
      </c>
      <c r="E456" s="17" t="s">
        <v>72</v>
      </c>
      <c r="F456" s="14">
        <v>1108.8</v>
      </c>
      <c r="G456" s="34">
        <v>2.0</v>
      </c>
      <c r="I456" s="17" t="str">
        <f t="shared" si="1"/>
        <v/>
      </c>
    </row>
    <row r="457">
      <c r="A457" s="2">
        <v>3.182550702379E12</v>
      </c>
      <c r="B457" s="17" t="s">
        <v>53</v>
      </c>
      <c r="C457" s="17" t="s">
        <v>702</v>
      </c>
      <c r="E457" s="17" t="s">
        <v>72</v>
      </c>
      <c r="F457" s="14">
        <v>796.0</v>
      </c>
      <c r="G457" s="34">
        <v>3.0</v>
      </c>
      <c r="I457" s="17" t="str">
        <f t="shared" si="1"/>
        <v/>
      </c>
    </row>
    <row r="458">
      <c r="A458" s="2">
        <v>3.182550702225E12</v>
      </c>
      <c r="B458" s="17" t="s">
        <v>53</v>
      </c>
      <c r="C458" s="17" t="s">
        <v>703</v>
      </c>
      <c r="E458" s="17" t="s">
        <v>72</v>
      </c>
      <c r="F458" s="14">
        <v>1464.12</v>
      </c>
      <c r="G458" s="34">
        <v>4.0</v>
      </c>
      <c r="I458" s="17" t="str">
        <f t="shared" si="1"/>
        <v/>
      </c>
    </row>
    <row r="459">
      <c r="A459" s="2">
        <v>3.182550702157E12</v>
      </c>
      <c r="B459" s="17" t="s">
        <v>53</v>
      </c>
      <c r="C459" s="17" t="s">
        <v>704</v>
      </c>
      <c r="E459" s="17" t="s">
        <v>72</v>
      </c>
      <c r="F459" s="14">
        <v>170.0</v>
      </c>
      <c r="G459" s="34">
        <v>3.0</v>
      </c>
      <c r="I459" s="17" t="str">
        <f t="shared" si="1"/>
        <v/>
      </c>
    </row>
    <row r="460">
      <c r="A460" s="2">
        <v>3.182550702263E12</v>
      </c>
      <c r="B460" s="17" t="s">
        <v>53</v>
      </c>
      <c r="C460" s="17" t="s">
        <v>705</v>
      </c>
      <c r="E460" s="17" t="s">
        <v>72</v>
      </c>
      <c r="F460" s="14">
        <v>173.88</v>
      </c>
      <c r="G460" s="34">
        <v>1.0</v>
      </c>
      <c r="I460" s="17" t="str">
        <f t="shared" si="1"/>
        <v/>
      </c>
    </row>
    <row r="461">
      <c r="A461" s="2">
        <v>5.6372941258E10</v>
      </c>
      <c r="B461" s="17" t="s">
        <v>53</v>
      </c>
      <c r="C461" s="17" t="s">
        <v>706</v>
      </c>
      <c r="E461" s="17" t="s">
        <v>72</v>
      </c>
      <c r="F461" s="14">
        <v>796.32</v>
      </c>
      <c r="G461" s="34">
        <v>2.0</v>
      </c>
      <c r="I461" s="17" t="str">
        <f t="shared" si="1"/>
        <v/>
      </c>
    </row>
    <row r="462">
      <c r="A462" s="2">
        <v>8.698524521457E12</v>
      </c>
      <c r="B462" s="17" t="s">
        <v>53</v>
      </c>
      <c r="C462" s="17" t="s">
        <v>707</v>
      </c>
      <c r="E462" s="17" t="s">
        <v>72</v>
      </c>
      <c r="F462" s="14">
        <v>4756.08</v>
      </c>
      <c r="G462" s="34">
        <v>15.0</v>
      </c>
      <c r="I462" s="17" t="str">
        <f t="shared" si="1"/>
        <v/>
      </c>
    </row>
    <row r="463">
      <c r="A463" s="2">
        <v>7.613032816536E12</v>
      </c>
      <c r="B463" s="17" t="s">
        <v>187</v>
      </c>
      <c r="C463" s="17" t="s">
        <v>708</v>
      </c>
      <c r="E463" s="17" t="s">
        <v>52</v>
      </c>
      <c r="F463" s="14">
        <v>580.0</v>
      </c>
      <c r="G463" s="34">
        <v>2.0</v>
      </c>
      <c r="I463" s="17" t="str">
        <f t="shared" si="1"/>
        <v/>
      </c>
    </row>
    <row r="464">
      <c r="A464" s="2">
        <v>7.613033566523E12</v>
      </c>
      <c r="B464" s="17" t="s">
        <v>50</v>
      </c>
      <c r="C464" s="17" t="s">
        <v>709</v>
      </c>
      <c r="E464" s="17" t="s">
        <v>72</v>
      </c>
      <c r="F464" s="14">
        <v>3474.24</v>
      </c>
      <c r="G464" s="34">
        <v>10.0</v>
      </c>
      <c r="I464" s="17" t="str">
        <f t="shared" si="1"/>
        <v/>
      </c>
    </row>
    <row r="465">
      <c r="A465" s="2">
        <v>7.613033560064E12</v>
      </c>
      <c r="B465" s="17" t="s">
        <v>50</v>
      </c>
      <c r="C465" s="17" t="s">
        <v>710</v>
      </c>
      <c r="E465" s="17" t="s">
        <v>72</v>
      </c>
      <c r="F465" s="14">
        <v>1190.0</v>
      </c>
      <c r="G465" s="34">
        <v>3.0</v>
      </c>
      <c r="I465" s="17" t="str">
        <f t="shared" si="1"/>
        <v/>
      </c>
    </row>
    <row r="466">
      <c r="A466" s="2"/>
      <c r="F466" s="14" t="s">
        <v>180</v>
      </c>
      <c r="G466" s="34" t="s">
        <v>180</v>
      </c>
      <c r="I466" s="17" t="str">
        <f t="shared" si="1"/>
        <v/>
      </c>
    </row>
    <row r="467">
      <c r="A467" s="2"/>
      <c r="F467" s="14" t="s">
        <v>180</v>
      </c>
      <c r="G467" s="34" t="s">
        <v>180</v>
      </c>
      <c r="I467" s="17" t="str">
        <f t="shared" si="1"/>
        <v/>
      </c>
    </row>
    <row r="468">
      <c r="A468" s="2"/>
      <c r="F468" s="14" t="s">
        <v>180</v>
      </c>
      <c r="G468" s="34" t="s">
        <v>180</v>
      </c>
      <c r="I468" s="17" t="str">
        <f t="shared" si="1"/>
        <v/>
      </c>
    </row>
    <row r="469">
      <c r="A469" s="2"/>
      <c r="F469" s="14" t="s">
        <v>180</v>
      </c>
      <c r="G469" s="34" t="s">
        <v>180</v>
      </c>
      <c r="I469" s="17" t="str">
        <f t="shared" si="1"/>
        <v/>
      </c>
    </row>
    <row r="470">
      <c r="A470" s="2"/>
      <c r="F470" s="14" t="s">
        <v>180</v>
      </c>
      <c r="G470" s="34" t="s">
        <v>180</v>
      </c>
      <c r="I470" s="17" t="str">
        <f t="shared" si="1"/>
        <v/>
      </c>
    </row>
    <row r="471">
      <c r="A471" s="2"/>
      <c r="F471" s="14" t="s">
        <v>180</v>
      </c>
      <c r="G471" s="34" t="s">
        <v>180</v>
      </c>
      <c r="I471" s="17" t="str">
        <f t="shared" si="1"/>
        <v/>
      </c>
    </row>
    <row r="472">
      <c r="A472" s="2"/>
      <c r="F472" s="14" t="s">
        <v>180</v>
      </c>
      <c r="G472" s="34" t="s">
        <v>180</v>
      </c>
      <c r="I472" s="17" t="str">
        <f t="shared" si="1"/>
        <v/>
      </c>
    </row>
    <row r="473">
      <c r="A473" s="2"/>
      <c r="F473" s="14" t="s">
        <v>180</v>
      </c>
      <c r="G473" s="34" t="s">
        <v>180</v>
      </c>
      <c r="I473" s="17" t="str">
        <f t="shared" si="1"/>
        <v/>
      </c>
    </row>
    <row r="474">
      <c r="A474" s="2"/>
      <c r="F474" s="14" t="s">
        <v>180</v>
      </c>
      <c r="G474" s="34" t="s">
        <v>180</v>
      </c>
      <c r="I474" s="17" t="str">
        <f t="shared" si="1"/>
        <v/>
      </c>
    </row>
    <row r="475">
      <c r="A475" s="2"/>
      <c r="F475" s="14" t="s">
        <v>180</v>
      </c>
      <c r="G475" s="34" t="s">
        <v>180</v>
      </c>
      <c r="I475" s="17" t="str">
        <f t="shared" si="1"/>
        <v/>
      </c>
    </row>
    <row r="476">
      <c r="A476" s="2"/>
      <c r="F476" s="14" t="s">
        <v>180</v>
      </c>
      <c r="G476" s="34" t="s">
        <v>180</v>
      </c>
      <c r="I476" s="17" t="str">
        <f t="shared" si="1"/>
        <v/>
      </c>
    </row>
    <row r="477">
      <c r="A477" s="2"/>
      <c r="F477" s="14" t="s">
        <v>180</v>
      </c>
      <c r="G477" s="34" t="s">
        <v>180</v>
      </c>
      <c r="I477" s="17" t="str">
        <f t="shared" si="1"/>
        <v/>
      </c>
    </row>
    <row r="478">
      <c r="A478" s="2"/>
      <c r="F478" s="14" t="s">
        <v>180</v>
      </c>
      <c r="G478" s="34" t="s">
        <v>180</v>
      </c>
      <c r="I478" s="17" t="str">
        <f t="shared" si="1"/>
        <v/>
      </c>
    </row>
    <row r="479">
      <c r="A479" s="2"/>
      <c r="F479" s="14" t="s">
        <v>180</v>
      </c>
      <c r="G479" s="34" t="s">
        <v>180</v>
      </c>
      <c r="I479" s="17" t="str">
        <f t="shared" si="1"/>
        <v/>
      </c>
    </row>
    <row r="480">
      <c r="A480" s="2"/>
      <c r="F480" s="14" t="s">
        <v>180</v>
      </c>
      <c r="G480" s="34" t="s">
        <v>180</v>
      </c>
      <c r="I480" s="17" t="str">
        <f t="shared" si="1"/>
        <v/>
      </c>
    </row>
    <row r="481">
      <c r="A481" s="2"/>
      <c r="F481" s="14" t="s">
        <v>180</v>
      </c>
      <c r="G481" s="34" t="s">
        <v>180</v>
      </c>
      <c r="I481" s="17" t="str">
        <f t="shared" si="1"/>
        <v/>
      </c>
    </row>
    <row r="482">
      <c r="A482" s="2"/>
      <c r="F482" s="14" t="s">
        <v>180</v>
      </c>
      <c r="G482" s="34" t="s">
        <v>180</v>
      </c>
      <c r="I482" s="17" t="str">
        <f t="shared" si="1"/>
        <v/>
      </c>
    </row>
    <row r="483">
      <c r="A483" s="2"/>
      <c r="F483" s="14" t="s">
        <v>180</v>
      </c>
      <c r="G483" s="34" t="s">
        <v>180</v>
      </c>
      <c r="I483" s="17" t="str">
        <f t="shared" si="1"/>
        <v/>
      </c>
    </row>
    <row r="484">
      <c r="A484" s="2"/>
      <c r="F484" s="14" t="s">
        <v>180</v>
      </c>
      <c r="G484" s="34" t="s">
        <v>180</v>
      </c>
      <c r="I484" s="17" t="str">
        <f t="shared" si="1"/>
        <v/>
      </c>
    </row>
    <row r="485">
      <c r="A485" s="2"/>
      <c r="F485" s="14" t="s">
        <v>180</v>
      </c>
      <c r="G485" s="34" t="s">
        <v>180</v>
      </c>
      <c r="I485" s="17" t="str">
        <f t="shared" si="1"/>
        <v/>
      </c>
    </row>
    <row r="486">
      <c r="A486" s="2"/>
      <c r="F486" s="14" t="s">
        <v>180</v>
      </c>
      <c r="G486" s="34" t="s">
        <v>180</v>
      </c>
      <c r="I486" s="17" t="str">
        <f t="shared" si="1"/>
        <v/>
      </c>
    </row>
    <row r="487">
      <c r="A487" s="2"/>
      <c r="F487" s="14" t="s">
        <v>180</v>
      </c>
      <c r="G487" s="34" t="s">
        <v>180</v>
      </c>
      <c r="I487" s="17" t="str">
        <f t="shared" si="1"/>
        <v/>
      </c>
    </row>
    <row r="488">
      <c r="A488" s="2"/>
      <c r="F488" s="14" t="s">
        <v>180</v>
      </c>
      <c r="G488" s="34" t="s">
        <v>180</v>
      </c>
      <c r="I488" s="17" t="str">
        <f t="shared" si="1"/>
        <v/>
      </c>
    </row>
    <row r="489">
      <c r="A489" s="2"/>
      <c r="F489" s="14" t="s">
        <v>180</v>
      </c>
      <c r="G489" s="34" t="s">
        <v>180</v>
      </c>
      <c r="I489" s="17" t="str">
        <f t="shared" si="1"/>
        <v/>
      </c>
    </row>
    <row r="490">
      <c r="A490" s="2"/>
      <c r="F490" s="14" t="s">
        <v>180</v>
      </c>
      <c r="G490" s="34" t="s">
        <v>180</v>
      </c>
      <c r="I490" s="17" t="str">
        <f t="shared" si="1"/>
        <v/>
      </c>
    </row>
    <row r="491">
      <c r="A491" s="2"/>
      <c r="F491" s="14" t="s">
        <v>180</v>
      </c>
      <c r="G491" s="34" t="s">
        <v>180</v>
      </c>
      <c r="I491" s="17" t="str">
        <f t="shared" si="1"/>
        <v/>
      </c>
    </row>
    <row r="492">
      <c r="A492" s="2"/>
      <c r="F492" s="14" t="s">
        <v>180</v>
      </c>
      <c r="G492" s="34" t="s">
        <v>180</v>
      </c>
      <c r="I492" s="17" t="str">
        <f t="shared" si="1"/>
        <v/>
      </c>
    </row>
    <row r="493">
      <c r="A493" s="2"/>
      <c r="F493" s="14" t="s">
        <v>180</v>
      </c>
      <c r="G493" s="34" t="s">
        <v>180</v>
      </c>
      <c r="I493" s="17" t="str">
        <f t="shared" si="1"/>
        <v/>
      </c>
    </row>
    <row r="494">
      <c r="A494" s="2"/>
      <c r="F494" s="14" t="s">
        <v>180</v>
      </c>
      <c r="G494" s="34" t="s">
        <v>180</v>
      </c>
      <c r="I494" s="17" t="str">
        <f t="shared" si="1"/>
        <v/>
      </c>
    </row>
    <row r="495">
      <c r="A495" s="2"/>
      <c r="F495" s="14" t="s">
        <v>180</v>
      </c>
      <c r="G495" s="34" t="s">
        <v>180</v>
      </c>
      <c r="I495" s="17" t="str">
        <f t="shared" si="1"/>
        <v/>
      </c>
    </row>
    <row r="496">
      <c r="A496" s="2"/>
      <c r="F496" s="14" t="s">
        <v>180</v>
      </c>
      <c r="G496" s="34" t="s">
        <v>180</v>
      </c>
      <c r="I496" s="17" t="str">
        <f t="shared" si="1"/>
        <v/>
      </c>
    </row>
    <row r="497">
      <c r="A497" s="2"/>
      <c r="F497" s="14" t="s">
        <v>180</v>
      </c>
      <c r="G497" s="34" t="s">
        <v>180</v>
      </c>
      <c r="I497" s="17" t="str">
        <f t="shared" si="1"/>
        <v/>
      </c>
    </row>
    <row r="498">
      <c r="A498" s="2"/>
      <c r="F498" s="14" t="s">
        <v>180</v>
      </c>
      <c r="G498" s="34" t="s">
        <v>180</v>
      </c>
      <c r="I498" s="17" t="str">
        <f t="shared" si="1"/>
        <v/>
      </c>
    </row>
    <row r="499">
      <c r="A499" s="2"/>
      <c r="F499" s="14" t="s">
        <v>180</v>
      </c>
      <c r="G499" s="34" t="s">
        <v>180</v>
      </c>
      <c r="I499" s="17" t="str">
        <f t="shared" si="1"/>
        <v/>
      </c>
    </row>
    <row r="500">
      <c r="A500" s="2"/>
      <c r="F500" s="14" t="s">
        <v>180</v>
      </c>
      <c r="G500" s="34" t="s">
        <v>180</v>
      </c>
      <c r="I500" s="17" t="str">
        <f t="shared" si="1"/>
        <v/>
      </c>
    </row>
    <row r="501">
      <c r="A501" s="2"/>
      <c r="F501" s="14" t="s">
        <v>180</v>
      </c>
      <c r="G501" s="34" t="s">
        <v>180</v>
      </c>
      <c r="I501" s="17" t="str">
        <f t="shared" si="1"/>
        <v/>
      </c>
    </row>
    <row r="502">
      <c r="A502" s="2"/>
      <c r="F502" s="14" t="s">
        <v>180</v>
      </c>
      <c r="G502" s="34" t="s">
        <v>180</v>
      </c>
      <c r="I502" s="17" t="str">
        <f t="shared" si="1"/>
        <v/>
      </c>
    </row>
    <row r="503">
      <c r="A503" s="2"/>
      <c r="F503" s="14" t="s">
        <v>180</v>
      </c>
      <c r="G503" s="34" t="s">
        <v>180</v>
      </c>
      <c r="I503" s="17" t="str">
        <f t="shared" si="1"/>
        <v/>
      </c>
    </row>
    <row r="504">
      <c r="A504" s="2"/>
      <c r="F504" s="14" t="s">
        <v>180</v>
      </c>
      <c r="G504" s="34" t="s">
        <v>180</v>
      </c>
      <c r="I504" s="17" t="str">
        <f t="shared" si="1"/>
        <v/>
      </c>
    </row>
    <row r="505">
      <c r="A505" s="2"/>
      <c r="F505" s="14" t="s">
        <v>180</v>
      </c>
      <c r="G505" s="34" t="s">
        <v>180</v>
      </c>
      <c r="I505" s="17" t="str">
        <f t="shared" si="1"/>
        <v/>
      </c>
    </row>
    <row r="506">
      <c r="A506" s="2"/>
      <c r="F506" s="14" t="s">
        <v>180</v>
      </c>
      <c r="G506" s="34" t="s">
        <v>180</v>
      </c>
      <c r="I506" s="17" t="str">
        <f t="shared" si="1"/>
        <v/>
      </c>
    </row>
    <row r="507">
      <c r="A507" s="2"/>
      <c r="F507" s="14" t="s">
        <v>180</v>
      </c>
      <c r="G507" s="34" t="s">
        <v>180</v>
      </c>
      <c r="I507" s="17" t="str">
        <f t="shared" si="1"/>
        <v/>
      </c>
    </row>
    <row r="508">
      <c r="A508" s="2"/>
      <c r="F508" s="14" t="s">
        <v>180</v>
      </c>
      <c r="G508" s="34" t="s">
        <v>180</v>
      </c>
      <c r="I508" s="17" t="str">
        <f t="shared" si="1"/>
        <v/>
      </c>
    </row>
    <row r="509">
      <c r="A509" s="2"/>
      <c r="F509" s="14" t="s">
        <v>180</v>
      </c>
      <c r="G509" s="34" t="s">
        <v>180</v>
      </c>
      <c r="I509" s="17" t="str">
        <f t="shared" si="1"/>
        <v/>
      </c>
    </row>
    <row r="510">
      <c r="A510" s="2"/>
      <c r="F510" s="14" t="s">
        <v>180</v>
      </c>
      <c r="G510" s="34" t="s">
        <v>180</v>
      </c>
      <c r="I510" s="17" t="str">
        <f t="shared" si="1"/>
        <v/>
      </c>
    </row>
    <row r="511">
      <c r="A511" s="2"/>
      <c r="F511" s="14" t="s">
        <v>180</v>
      </c>
      <c r="G511" s="34" t="s">
        <v>180</v>
      </c>
      <c r="I511" s="17" t="str">
        <f t="shared" si="1"/>
        <v/>
      </c>
    </row>
    <row r="512">
      <c r="A512" s="2"/>
      <c r="F512" s="14" t="s">
        <v>180</v>
      </c>
      <c r="G512" s="34" t="s">
        <v>180</v>
      </c>
      <c r="I512" s="17" t="str">
        <f t="shared" si="1"/>
        <v/>
      </c>
    </row>
    <row r="513">
      <c r="A513" s="2"/>
      <c r="F513" s="14" t="s">
        <v>180</v>
      </c>
      <c r="G513" s="34" t="s">
        <v>180</v>
      </c>
      <c r="I513" s="17" t="str">
        <f t="shared" si="1"/>
        <v/>
      </c>
    </row>
    <row r="514">
      <c r="A514" s="2"/>
      <c r="F514" s="14" t="s">
        <v>180</v>
      </c>
      <c r="G514" s="34" t="s">
        <v>180</v>
      </c>
      <c r="I514" s="17" t="str">
        <f t="shared" si="1"/>
        <v/>
      </c>
    </row>
    <row r="515">
      <c r="A515" s="2"/>
      <c r="F515" s="14" t="s">
        <v>180</v>
      </c>
      <c r="G515" s="34" t="s">
        <v>180</v>
      </c>
      <c r="I515" s="17" t="str">
        <f t="shared" si="1"/>
        <v/>
      </c>
    </row>
    <row r="516">
      <c r="A516" s="2"/>
      <c r="F516" s="14" t="s">
        <v>180</v>
      </c>
      <c r="G516" s="34" t="s">
        <v>180</v>
      </c>
      <c r="I516" s="17" t="str">
        <f t="shared" si="1"/>
        <v/>
      </c>
    </row>
    <row r="517">
      <c r="A517" s="2"/>
      <c r="F517" s="14" t="s">
        <v>180</v>
      </c>
      <c r="G517" s="34" t="s">
        <v>180</v>
      </c>
      <c r="I517" s="17" t="str">
        <f t="shared" si="1"/>
        <v/>
      </c>
    </row>
    <row r="518">
      <c r="A518" s="2"/>
      <c r="F518" s="14" t="s">
        <v>180</v>
      </c>
      <c r="G518" s="34" t="s">
        <v>180</v>
      </c>
      <c r="I518" s="17" t="str">
        <f t="shared" si="1"/>
        <v/>
      </c>
    </row>
    <row r="519">
      <c r="A519" s="2"/>
      <c r="F519" s="14" t="s">
        <v>180</v>
      </c>
      <c r="G519" s="34" t="s">
        <v>180</v>
      </c>
      <c r="I519" s="17" t="str">
        <f t="shared" si="1"/>
        <v/>
      </c>
    </row>
    <row r="520">
      <c r="A520" s="2"/>
      <c r="F520" s="14" t="s">
        <v>180</v>
      </c>
      <c r="G520" s="34" t="s">
        <v>180</v>
      </c>
      <c r="I520" s="17" t="str">
        <f t="shared" si="1"/>
        <v/>
      </c>
    </row>
    <row r="521">
      <c r="A521" s="2"/>
      <c r="F521" s="14" t="s">
        <v>180</v>
      </c>
      <c r="G521" s="34" t="s">
        <v>180</v>
      </c>
      <c r="I521" s="17" t="str">
        <f t="shared" si="1"/>
        <v/>
      </c>
    </row>
    <row r="522">
      <c r="A522" s="2"/>
      <c r="F522" s="14" t="s">
        <v>180</v>
      </c>
      <c r="G522" s="34" t="s">
        <v>180</v>
      </c>
      <c r="I522" s="17" t="str">
        <f t="shared" si="1"/>
        <v/>
      </c>
    </row>
    <row r="523">
      <c r="A523" s="2"/>
      <c r="F523" s="14" t="s">
        <v>180</v>
      </c>
      <c r="G523" s="34" t="s">
        <v>180</v>
      </c>
      <c r="I523" s="17" t="str">
        <f t="shared" si="1"/>
        <v/>
      </c>
    </row>
    <row r="524">
      <c r="A524" s="2"/>
      <c r="F524" s="14" t="s">
        <v>180</v>
      </c>
      <c r="G524" s="34" t="s">
        <v>180</v>
      </c>
      <c r="I524" s="17" t="str">
        <f t="shared" si="1"/>
        <v/>
      </c>
    </row>
    <row r="525">
      <c r="A525" s="2"/>
      <c r="F525" s="14" t="s">
        <v>180</v>
      </c>
      <c r="G525" s="34" t="s">
        <v>180</v>
      </c>
      <c r="I525" s="17" t="str">
        <f t="shared" si="1"/>
        <v/>
      </c>
    </row>
    <row r="526">
      <c r="A526" s="2"/>
      <c r="F526" s="14" t="s">
        <v>180</v>
      </c>
      <c r="G526" s="34" t="s">
        <v>180</v>
      </c>
      <c r="I526" s="17" t="str">
        <f t="shared" si="1"/>
        <v/>
      </c>
    </row>
    <row r="527">
      <c r="A527" s="2"/>
      <c r="F527" s="14" t="s">
        <v>180</v>
      </c>
      <c r="G527" s="34" t="s">
        <v>180</v>
      </c>
      <c r="I527" s="17" t="str">
        <f t="shared" si="1"/>
        <v/>
      </c>
    </row>
    <row r="528">
      <c r="A528" s="2"/>
      <c r="F528" s="14" t="s">
        <v>180</v>
      </c>
      <c r="G528" s="34" t="s">
        <v>180</v>
      </c>
      <c r="I528" s="17" t="str">
        <f t="shared" si="1"/>
        <v/>
      </c>
    </row>
    <row r="529">
      <c r="A529" s="2"/>
      <c r="F529" s="14" t="s">
        <v>180</v>
      </c>
      <c r="G529" s="34" t="s">
        <v>180</v>
      </c>
      <c r="I529" s="17" t="str">
        <f t="shared" si="1"/>
        <v/>
      </c>
    </row>
    <row r="530">
      <c r="A530" s="2"/>
      <c r="F530" s="14" t="s">
        <v>180</v>
      </c>
      <c r="G530" s="34" t="s">
        <v>180</v>
      </c>
      <c r="I530" s="17" t="str">
        <f t="shared" si="1"/>
        <v/>
      </c>
    </row>
    <row r="531">
      <c r="A531" s="2"/>
      <c r="F531" s="14" t="s">
        <v>180</v>
      </c>
      <c r="G531" s="34" t="s">
        <v>180</v>
      </c>
      <c r="I531" s="17" t="str">
        <f t="shared" si="1"/>
        <v/>
      </c>
    </row>
    <row r="532">
      <c r="A532" s="2"/>
      <c r="F532" s="14" t="s">
        <v>180</v>
      </c>
      <c r="G532" s="34" t="s">
        <v>180</v>
      </c>
      <c r="I532" s="17" t="str">
        <f t="shared" si="1"/>
        <v/>
      </c>
    </row>
    <row r="533">
      <c r="A533" s="2"/>
      <c r="F533" s="14" t="s">
        <v>180</v>
      </c>
      <c r="G533" s="34" t="s">
        <v>180</v>
      </c>
      <c r="I533" s="17" t="str">
        <f t="shared" si="1"/>
        <v/>
      </c>
    </row>
    <row r="534">
      <c r="A534" s="2"/>
      <c r="F534" s="14" t="s">
        <v>180</v>
      </c>
      <c r="G534" s="34" t="s">
        <v>180</v>
      </c>
      <c r="I534" s="17" t="str">
        <f t="shared" si="1"/>
        <v/>
      </c>
    </row>
    <row r="535">
      <c r="A535" s="2"/>
      <c r="F535" s="14" t="s">
        <v>180</v>
      </c>
      <c r="G535" s="34" t="s">
        <v>180</v>
      </c>
      <c r="I535" s="17" t="str">
        <f t="shared" si="1"/>
        <v/>
      </c>
    </row>
    <row r="536">
      <c r="A536" s="2"/>
      <c r="F536" s="14" t="s">
        <v>180</v>
      </c>
      <c r="G536" s="34" t="s">
        <v>180</v>
      </c>
      <c r="I536" s="17" t="str">
        <f t="shared" si="1"/>
        <v/>
      </c>
    </row>
    <row r="537">
      <c r="A537" s="2"/>
      <c r="F537" s="14" t="s">
        <v>180</v>
      </c>
      <c r="G537" s="34" t="s">
        <v>180</v>
      </c>
      <c r="I537" s="17" t="str">
        <f t="shared" si="1"/>
        <v/>
      </c>
    </row>
    <row r="538">
      <c r="A538" s="2"/>
      <c r="F538" s="14" t="s">
        <v>180</v>
      </c>
      <c r="G538" s="34" t="s">
        <v>180</v>
      </c>
      <c r="I538" s="17" t="str">
        <f t="shared" si="1"/>
        <v/>
      </c>
    </row>
    <row r="539">
      <c r="A539" s="2"/>
      <c r="F539" s="14" t="s">
        <v>180</v>
      </c>
      <c r="G539" s="34" t="s">
        <v>180</v>
      </c>
      <c r="I539" s="17" t="str">
        <f t="shared" si="1"/>
        <v/>
      </c>
    </row>
    <row r="540">
      <c r="A540" s="2"/>
      <c r="F540" s="14" t="s">
        <v>180</v>
      </c>
      <c r="G540" s="34" t="s">
        <v>180</v>
      </c>
      <c r="I540" s="17" t="str">
        <f t="shared" si="1"/>
        <v/>
      </c>
    </row>
    <row r="541">
      <c r="A541" s="2"/>
      <c r="F541" s="14" t="s">
        <v>180</v>
      </c>
      <c r="G541" s="34" t="s">
        <v>180</v>
      </c>
      <c r="I541" s="17" t="str">
        <f t="shared" si="1"/>
        <v/>
      </c>
    </row>
    <row r="542">
      <c r="A542" s="2"/>
      <c r="F542" s="14" t="s">
        <v>180</v>
      </c>
      <c r="G542" s="34" t="s">
        <v>180</v>
      </c>
      <c r="I542" s="17" t="str">
        <f t="shared" si="1"/>
        <v/>
      </c>
    </row>
    <row r="543">
      <c r="A543" s="2"/>
      <c r="F543" s="14" t="s">
        <v>180</v>
      </c>
      <c r="G543" s="34" t="s">
        <v>180</v>
      </c>
      <c r="I543" s="17" t="str">
        <f t="shared" si="1"/>
        <v/>
      </c>
    </row>
    <row r="544">
      <c r="A544" s="2"/>
      <c r="F544" s="14" t="s">
        <v>180</v>
      </c>
      <c r="G544" s="34" t="s">
        <v>180</v>
      </c>
      <c r="I544" s="17" t="str">
        <f t="shared" si="1"/>
        <v/>
      </c>
    </row>
    <row r="545">
      <c r="A545" s="2"/>
      <c r="F545" s="14" t="s">
        <v>180</v>
      </c>
      <c r="G545" s="34" t="s">
        <v>180</v>
      </c>
      <c r="I545" s="17" t="str">
        <f t="shared" si="1"/>
        <v/>
      </c>
    </row>
    <row r="546">
      <c r="A546" s="2"/>
      <c r="F546" s="14" t="s">
        <v>180</v>
      </c>
      <c r="G546" s="34" t="s">
        <v>180</v>
      </c>
      <c r="I546" s="17" t="str">
        <f t="shared" si="1"/>
        <v/>
      </c>
    </row>
    <row r="547">
      <c r="A547" s="2"/>
      <c r="F547" s="14" t="s">
        <v>180</v>
      </c>
      <c r="G547" s="34" t="s">
        <v>180</v>
      </c>
      <c r="I547" s="17" t="str">
        <f t="shared" si="1"/>
        <v/>
      </c>
    </row>
    <row r="548">
      <c r="A548" s="2"/>
      <c r="F548" s="14" t="s">
        <v>180</v>
      </c>
      <c r="G548" s="34" t="s">
        <v>180</v>
      </c>
      <c r="I548" s="17" t="str">
        <f t="shared" si="1"/>
        <v/>
      </c>
    </row>
    <row r="549">
      <c r="A549" s="2"/>
      <c r="F549" s="14" t="s">
        <v>180</v>
      </c>
      <c r="G549" s="34" t="s">
        <v>180</v>
      </c>
      <c r="I549" s="17" t="str">
        <f t="shared" si="1"/>
        <v/>
      </c>
    </row>
    <row r="550">
      <c r="A550" s="2"/>
      <c r="F550" s="14" t="s">
        <v>180</v>
      </c>
      <c r="G550" s="34" t="s">
        <v>180</v>
      </c>
      <c r="I550" s="17" t="str">
        <f t="shared" si="1"/>
        <v/>
      </c>
    </row>
  </sheetData>
  <conditionalFormatting sqref="I2:I550">
    <cfRule type="containsText" dxfId="0" priority="1" stopIfTrue="1" operator="containsText" text="Tekrarlı">
      <formula>NOT(ISERROR(SEARCH(("Tekrarlı"),(I2))))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3.75"/>
    <col customWidth="1" min="3" max="3" width="72.13"/>
    <col customWidth="1" min="4" max="4" width="12.25"/>
    <col customWidth="1" min="5" max="5" width="22.63"/>
    <col customWidth="1" min="6" max="6" width="11.5"/>
    <col customWidth="1" min="7" max="7" width="13.38"/>
    <col customWidth="1" min="8" max="8" width="6.75"/>
    <col customWidth="1" min="9" max="9" width="18.5"/>
    <col customWidth="1" min="10" max="10" width="21.88"/>
    <col customWidth="1" min="11" max="11" width="11.75"/>
  </cols>
  <sheetData>
    <row r="1">
      <c r="A1" s="38" t="s">
        <v>19</v>
      </c>
      <c r="B1" s="38" t="s">
        <v>20</v>
      </c>
      <c r="C1" s="38" t="s">
        <v>21</v>
      </c>
      <c r="D1" s="38" t="s">
        <v>44</v>
      </c>
      <c r="E1" s="38" t="s">
        <v>45</v>
      </c>
      <c r="F1" s="38" t="s">
        <v>711</v>
      </c>
      <c r="G1" s="38" t="s">
        <v>22</v>
      </c>
      <c r="H1" s="38" t="s">
        <v>712</v>
      </c>
      <c r="I1" s="38" t="s">
        <v>713</v>
      </c>
      <c r="J1" s="38" t="s">
        <v>46</v>
      </c>
      <c r="K1" s="38" t="s">
        <v>47</v>
      </c>
    </row>
    <row r="2">
      <c r="A2" s="17">
        <f>IFERROR(__xludf.DUMMYFUNCTION("FILTER(Products!A2:A1000,Products!A2:A1000&lt;&gt;"""")"),7.613033568558E12)</f>
        <v>7613033568558</v>
      </c>
      <c r="B2" s="17" t="str">
        <f>IFERROR(__xludf.DUMMYFUNCTION("FILTER(Products!D2:D1000,Products!A2:A1000&lt;&gt;"""")"),"Pro Plan")</f>
        <v>Pro Plan</v>
      </c>
      <c r="C2" s="17" t="str">
        <f>IFERROR(__xludf.DUMMYFUNCTION("FILTER(Products!C2:C1000,Products!A2:A1000&lt;&gt;"""")"),"Sterilised Somonlu Kısırlaştırılmış Kedi Konservesi 85 Gr")</f>
        <v>Sterilised Somonlu Kısırlaştırılmış Kedi Konservesi 85 Gr</v>
      </c>
      <c r="D2" s="17" t="str">
        <f>IFERROR(__xludf.DUMMYFUNCTION("FILTER(Products!B2:B1000,Products!A2:A1000&lt;&gt;"""")"),"")</f>
        <v/>
      </c>
      <c r="E2" s="17" t="str">
        <f>IFERROR(__xludf.DUMMYFUNCTION("FILTER(Products!E2:E1000,Products!A2:A1000&lt;&gt;"""")"),"Kedi Konserve Maması")</f>
        <v>Kedi Konserve Maması</v>
      </c>
      <c r="F2" s="17">
        <f>IFERROR(__xludf.DUMMYFUNCTION("FILTER(Products!F2:F1000,Products!A2:A1000&lt;&gt;"""")"),87.0)</f>
        <v>87</v>
      </c>
      <c r="G2" s="17">
        <f>IFERROR(__xludf.DUMMYFUNCTION("FILTER(Products!P2:P1000,Products!A2:A1000&lt;&gt;"""")"),72.0)</f>
        <v>72</v>
      </c>
      <c r="H2" s="17">
        <f>IFERROR(__xludf.DUMMYFUNCTION("FILTER(Products!H2:H1000,Products!A2:A1000&lt;&gt;"""")"),100.0)</f>
        <v>100</v>
      </c>
      <c r="I2" s="17" t="str">
        <f>IFERROR(__xludf.DUMMYFUNCTION("FILTER(Products!I2:I1000,Products!A2:A1000&lt;&gt;"""")"),"Onayli")</f>
        <v>Onayli</v>
      </c>
      <c r="J2" s="39">
        <f>IF($A2="","",IFERROR(VLOOKUP($A2,'Maliyet Giris'!$A$2:$G$550,6,0),""))</f>
        <v>41</v>
      </c>
      <c r="K2" s="39">
        <f>IF($A2="","",IFERROR(VLOOKUP($A2,'Maliyet Giris'!$A$2:$G$550,7,0),""))</f>
        <v>1</v>
      </c>
    </row>
    <row r="3">
      <c r="A3" s="17">
        <f>IFERROR(__xludf.DUMMYFUNCTION("""COMPUTED_VALUE"""),9.003579311301E12)</f>
        <v>9003579311301</v>
      </c>
      <c r="B3" s="17" t="str">
        <f>IFERROR(__xludf.DUMMYFUNCTION("""COMPUTED_VALUE"""),"Royal Canin")</f>
        <v>Royal Canin</v>
      </c>
      <c r="C3" s="17" t="str">
        <f>IFERROR(__xludf.DUMMYFUNCTION("""COMPUTED_VALUE"""),"Sterilised Gravy Yaş Kedi Maması 85 gr")</f>
        <v>Sterilised Gravy Yaş Kedi Maması 85 gr</v>
      </c>
      <c r="D3" s="17"/>
      <c r="E3" s="17" t="str">
        <f>IFERROR(__xludf.DUMMYFUNCTION("""COMPUTED_VALUE"""),"Kedi Konserve Maması")</f>
        <v>Kedi Konserve Maması</v>
      </c>
      <c r="F3" s="17">
        <f>IFERROR(__xludf.DUMMYFUNCTION("""COMPUTED_VALUE"""),199.0)</f>
        <v>199</v>
      </c>
      <c r="G3" s="17">
        <f>IFERROR(__xludf.DUMMYFUNCTION("""COMPUTED_VALUE"""),71.0)</f>
        <v>71</v>
      </c>
      <c r="H3" s="17">
        <f>IFERROR(__xludf.DUMMYFUNCTION("""COMPUTED_VALUE"""),996.0)</f>
        <v>996</v>
      </c>
      <c r="I3" s="17" t="str">
        <f>IFERROR(__xludf.DUMMYFUNCTION("""COMPUTED_VALUE"""),"Onayli")</f>
        <v>Onayli</v>
      </c>
      <c r="J3" s="39">
        <f>IF($A3="","",IFERROR(VLOOKUP($A3,'Maliyet Giris'!$A$2:$G$550,6,0),""))</f>
        <v>41</v>
      </c>
      <c r="K3" s="39">
        <f>IF($A3="","",IFERROR(VLOOKUP($A3,'Maliyet Giris'!$A$2:$G$550,7,0),""))</f>
        <v>1</v>
      </c>
    </row>
    <row r="4">
      <c r="A4" s="17">
        <f>IFERROR(__xludf.DUMMYFUNCTION("""COMPUTED_VALUE"""),9.003579311714E12)</f>
        <v>9003579311714</v>
      </c>
      <c r="B4" s="17" t="str">
        <f>IFERROR(__xludf.DUMMYFUNCTION("""COMPUTED_VALUE"""),"Royal Canin")</f>
        <v>Royal Canin</v>
      </c>
      <c r="C4" s="17" t="str">
        <f>IFERROR(__xludf.DUMMYFUNCTION("""COMPUTED_VALUE"""),"Jelly Kitten Instinctive Yaş Yavru Kedi Maması 85 Gr")</f>
        <v>Jelly Kitten Instinctive Yaş Yavru Kedi Maması 85 Gr</v>
      </c>
      <c r="D4" s="17"/>
      <c r="E4" s="17" t="str">
        <f>IFERROR(__xludf.DUMMYFUNCTION("""COMPUTED_VALUE"""),"Kedi Konserve Maması")</f>
        <v>Kedi Konserve Maması</v>
      </c>
      <c r="F4" s="17">
        <f>IFERROR(__xludf.DUMMYFUNCTION("""COMPUTED_VALUE"""),99.0)</f>
        <v>99</v>
      </c>
      <c r="G4" s="17">
        <f>IFERROR(__xludf.DUMMYFUNCTION("""COMPUTED_VALUE"""),99.0)</f>
        <v>99</v>
      </c>
      <c r="H4" s="17">
        <f>IFERROR(__xludf.DUMMYFUNCTION("""COMPUTED_VALUE"""),998.0)</f>
        <v>998</v>
      </c>
      <c r="I4" s="17" t="str">
        <f>IFERROR(__xludf.DUMMYFUNCTION("""COMPUTED_VALUE"""),"Onayli")</f>
        <v>Onayli</v>
      </c>
      <c r="J4" s="39">
        <f>IF($A4="","",IFERROR(VLOOKUP($A4,'Maliyet Giris'!$A$2:$G$550,6,0),""))</f>
        <v>41</v>
      </c>
      <c r="K4" s="39">
        <f>IF($A4="","",IFERROR(VLOOKUP($A4,'Maliyet Giris'!$A$2:$G$550,7,0),""))</f>
        <v>1</v>
      </c>
    </row>
    <row r="5">
      <c r="A5" s="17">
        <f>IFERROR(__xludf.DUMMYFUNCTION("""COMPUTED_VALUE"""),9.003579308929E12)</f>
        <v>9003579308929</v>
      </c>
      <c r="B5" s="17" t="str">
        <f>IFERROR(__xludf.DUMMYFUNCTION("""COMPUTED_VALUE"""),"Royal Canin")</f>
        <v>Royal Canin</v>
      </c>
      <c r="C5" s="17" t="str">
        <f>IFERROR(__xludf.DUMMYFUNCTION("""COMPUTED_VALUE"""),"Intense Beauty Gravy Pouch Yetişkin Kedi Konservesi 85 Gr")</f>
        <v>Intense Beauty Gravy Pouch Yetişkin Kedi Konservesi 85 Gr</v>
      </c>
      <c r="D5" s="17"/>
      <c r="E5" s="17" t="str">
        <f>IFERROR(__xludf.DUMMYFUNCTION("""COMPUTED_VALUE"""),"Kedi Konserve Maması")</f>
        <v>Kedi Konserve Maması</v>
      </c>
      <c r="F5" s="17">
        <f>IFERROR(__xludf.DUMMYFUNCTION("""COMPUTED_VALUE"""),199.0)</f>
        <v>199</v>
      </c>
      <c r="G5" s="17">
        <f>IFERROR(__xludf.DUMMYFUNCTION("""COMPUTED_VALUE"""),76.3)</f>
        <v>76.3</v>
      </c>
      <c r="H5" s="17">
        <f>IFERROR(__xludf.DUMMYFUNCTION("""COMPUTED_VALUE"""),10000.0)</f>
        <v>10000</v>
      </c>
      <c r="I5" s="17" t="str">
        <f>IFERROR(__xludf.DUMMYFUNCTION("""COMPUTED_VALUE"""),"Onayli")</f>
        <v>Onayli</v>
      </c>
      <c r="J5" s="39">
        <f>IF($A5="","",IFERROR(VLOOKUP($A5,'Maliyet Giris'!$A$2:$G$550,6,0),""))</f>
        <v>41</v>
      </c>
      <c r="K5" s="39">
        <f>IF($A5="","",IFERROR(VLOOKUP($A5,'Maliyet Giris'!$A$2:$G$550,7,0),""))</f>
        <v>1</v>
      </c>
    </row>
    <row r="6">
      <c r="A6" s="17">
        <f>IFERROR(__xludf.DUMMYFUNCTION("""COMPUTED_VALUE"""),1.172022022E9)</f>
        <v>1172022022</v>
      </c>
      <c r="B6" s="17" t="str">
        <f>IFERROR(__xludf.DUMMYFUNCTION("""COMPUTED_VALUE"""),"Royal Canin")</f>
        <v>Royal Canin</v>
      </c>
      <c r="C6" s="17" t="str">
        <f>IFERROR(__xludf.DUMMYFUNCTION("""COMPUTED_VALUE"""),"Ageing 11+ Yaşlı Ve Ileri Yaştaki Kedi Yaş Mama 85 gr X 12 Adet Gravy Soslu")</f>
        <v>Ageing 11+ Yaşlı Ve Ileri Yaştaki Kedi Yaş Mama 85 gr X 12 Adet Gravy Soslu</v>
      </c>
      <c r="D6" s="17"/>
      <c r="E6" s="17" t="str">
        <f>IFERROR(__xludf.DUMMYFUNCTION("""COMPUTED_VALUE"""),"Kedi Konserve Maması")</f>
        <v>Kedi Konserve Maması</v>
      </c>
      <c r="F6" s="17">
        <f>IFERROR(__xludf.DUMMYFUNCTION("""COMPUTED_VALUE"""),958.0)</f>
        <v>958</v>
      </c>
      <c r="G6" s="17">
        <f>IFERROR(__xludf.DUMMYFUNCTION("""COMPUTED_VALUE"""),869.0)</f>
        <v>869</v>
      </c>
      <c r="H6" s="17">
        <f>IFERROR(__xludf.DUMMYFUNCTION("""COMPUTED_VALUE"""),8.0)</f>
        <v>8</v>
      </c>
      <c r="I6" s="17" t="str">
        <f>IFERROR(__xludf.DUMMYFUNCTION("""COMPUTED_VALUE"""),"Onayli")</f>
        <v>Onayli</v>
      </c>
      <c r="J6" s="39">
        <f>IF($A6="","",IFERROR(VLOOKUP($A6,'Maliyet Giris'!$A$2:$G$550,6,0),""))</f>
        <v>490</v>
      </c>
      <c r="K6" s="39">
        <f>IF($A6="","",IFERROR(VLOOKUP($A6,'Maliyet Giris'!$A$2:$G$550,7,0),""))</f>
        <v>1</v>
      </c>
    </row>
    <row r="7">
      <c r="A7" s="17">
        <f>IFERROR(__xludf.DUMMYFUNCTION("""COMPUTED_VALUE"""),7.613035214798E12)</f>
        <v>7613035214798</v>
      </c>
      <c r="B7" s="17" t="str">
        <f>IFERROR(__xludf.DUMMYFUNCTION("""COMPUTED_VALUE"""),"Pro Plan")</f>
        <v>Pro Plan</v>
      </c>
      <c r="C7" s="17" t="str">
        <f>IFERROR(__xludf.DUMMYFUNCTION("""COMPUTED_VALUE"""),"Adult Kuzu Etli Yetişkin Köpek Maması 3 Kg")</f>
        <v>Adult Kuzu Etli Yetişkin Köpek Maması 3 Kg</v>
      </c>
      <c r="D7" s="17"/>
      <c r="E7" s="17" t="str">
        <f>IFERROR(__xludf.DUMMYFUNCTION("""COMPUTED_VALUE"""),"Köpek Kuru Maması")</f>
        <v>Köpek Kuru Maması</v>
      </c>
      <c r="F7" s="17">
        <f>IFERROR(__xludf.DUMMYFUNCTION("""COMPUTED_VALUE"""),1500.0)</f>
        <v>1500</v>
      </c>
      <c r="G7" s="17"/>
      <c r="H7" s="17">
        <f>IFERROR(__xludf.DUMMYFUNCTION("""COMPUTED_VALUE"""),0.0)</f>
        <v>0</v>
      </c>
      <c r="I7" s="17" t="str">
        <f>IFERROR(__xludf.DUMMYFUNCTION("""COMPUTED_VALUE"""),"Onayli - Satista degil")</f>
        <v>Onayli - Satista degil</v>
      </c>
      <c r="J7" s="39">
        <f>IF($A7="","",IFERROR(VLOOKUP($A7,'Maliyet Giris'!$A$2:$G$550,6,0),""))</f>
        <v>872</v>
      </c>
      <c r="K7" s="39">
        <f>IF($A7="","",IFERROR(VLOOKUP($A7,'Maliyet Giris'!$A$2:$G$550,7,0),""))</f>
        <v>3</v>
      </c>
    </row>
    <row r="8">
      <c r="A8" s="17">
        <f>IFERROR(__xludf.DUMMYFUNCTION("""COMPUTED_VALUE"""),7.613035214774E12)</f>
        <v>7613035214774</v>
      </c>
      <c r="B8" s="17" t="str">
        <f>IFERROR(__xludf.DUMMYFUNCTION("""COMPUTED_VALUE"""),"Pro Plan")</f>
        <v>Pro Plan</v>
      </c>
      <c r="C8" s="17" t="str">
        <f>IFERROR(__xludf.DUMMYFUNCTION("""COMPUTED_VALUE"""),"Adult Kuzu Etli Yetişkin Köpek Maması 14 Kg")</f>
        <v>Adult Kuzu Etli Yetişkin Köpek Maması 14 Kg</v>
      </c>
      <c r="D8" s="17"/>
      <c r="E8" s="17" t="str">
        <f>IFERROR(__xludf.DUMMYFUNCTION("""COMPUTED_VALUE"""),"Köpek Kuru Maması")</f>
        <v>Köpek Kuru Maması</v>
      </c>
      <c r="F8" s="17">
        <f>IFERROR(__xludf.DUMMYFUNCTION("""COMPUTED_VALUE"""),4500.0)</f>
        <v>4500</v>
      </c>
      <c r="G8" s="17"/>
      <c r="H8" s="17">
        <f>IFERROR(__xludf.DUMMYFUNCTION("""COMPUTED_VALUE"""),0.0)</f>
        <v>0</v>
      </c>
      <c r="I8" s="17" t="str">
        <f>IFERROR(__xludf.DUMMYFUNCTION("""COMPUTED_VALUE"""),"Onayli - Satista degil")</f>
        <v>Onayli - Satista degil</v>
      </c>
      <c r="J8" s="39">
        <f>IF($A8="","",IFERROR(VLOOKUP($A8,'Maliyet Giris'!$A$2:$G$550,6,0),""))</f>
        <v>2924</v>
      </c>
      <c r="K8" s="39">
        <f>IF($A8="","",IFERROR(VLOOKUP($A8,'Maliyet Giris'!$A$2:$G$550,7,0),""))</f>
        <v>14</v>
      </c>
    </row>
    <row r="9">
      <c r="A9" s="17">
        <f>IFERROR(__xludf.DUMMYFUNCTION("""COMPUTED_VALUE"""),7.613035214767E12)</f>
        <v>7613035214767</v>
      </c>
      <c r="B9" s="17" t="str">
        <f>IFERROR(__xludf.DUMMYFUNCTION("""COMPUTED_VALUE"""),"Pro Plan")</f>
        <v>Pro Plan</v>
      </c>
      <c r="C9" s="17" t="str">
        <f>IFERROR(__xludf.DUMMYFUNCTION("""COMPUTED_VALUE"""),"Puppy Kuzu Etli Yavru Köpek Maması 12 Kg")</f>
        <v>Puppy Kuzu Etli Yavru Köpek Maması 12 Kg</v>
      </c>
      <c r="D9" s="17"/>
      <c r="E9" s="17" t="str">
        <f>IFERROR(__xludf.DUMMYFUNCTION("""COMPUTED_VALUE"""),"Köpek Kuru Maması")</f>
        <v>Köpek Kuru Maması</v>
      </c>
      <c r="F9" s="17">
        <f>IFERROR(__xludf.DUMMYFUNCTION("""COMPUTED_VALUE"""),4500.0)</f>
        <v>4500</v>
      </c>
      <c r="G9" s="17"/>
      <c r="H9" s="17">
        <f>IFERROR(__xludf.DUMMYFUNCTION("""COMPUTED_VALUE"""),0.0)</f>
        <v>0</v>
      </c>
      <c r="I9" s="17" t="str">
        <f>IFERROR(__xludf.DUMMYFUNCTION("""COMPUTED_VALUE"""),"Onayli - Satista degil")</f>
        <v>Onayli - Satista degil</v>
      </c>
      <c r="J9" s="39">
        <f>IF($A9="","",IFERROR(VLOOKUP($A9,'Maliyet Giris'!$A$2:$G$550,6,0),""))</f>
        <v>2985</v>
      </c>
      <c r="K9" s="39">
        <f>IF($A9="","",IFERROR(VLOOKUP($A9,'Maliyet Giris'!$A$2:$G$550,7,0),""))</f>
        <v>12</v>
      </c>
    </row>
    <row r="10">
      <c r="A10" s="17">
        <f>IFERROR(__xludf.DUMMYFUNCTION("""COMPUTED_VALUE"""),7.613035123809E12)</f>
        <v>7613035123809</v>
      </c>
      <c r="B10" s="17" t="str">
        <f>IFERROR(__xludf.DUMMYFUNCTION("""COMPUTED_VALUE"""),"Pro Plan")</f>
        <v>Pro Plan</v>
      </c>
      <c r="C10" s="17" t="str">
        <f>IFERROR(__xludf.DUMMYFUNCTION("""COMPUTED_VALUE"""),"Proplan Puppy Somonlu Küçük Irk Yavru Köpek Maması 3 Kg")</f>
        <v>Proplan Puppy Somonlu Küçük Irk Yavru Köpek Maması 3 Kg</v>
      </c>
      <c r="D10" s="17"/>
      <c r="E10" s="17" t="str">
        <f>IFERROR(__xludf.DUMMYFUNCTION("""COMPUTED_VALUE"""),"Köpek Kuru Maması")</f>
        <v>Köpek Kuru Maması</v>
      </c>
      <c r="F10" s="17">
        <f>IFERROR(__xludf.DUMMYFUNCTION("""COMPUTED_VALUE"""),1200.0)</f>
        <v>1200</v>
      </c>
      <c r="G10" s="17"/>
      <c r="H10" s="17">
        <f>IFERROR(__xludf.DUMMYFUNCTION("""COMPUTED_VALUE"""),0.0)</f>
        <v>0</v>
      </c>
      <c r="I10" s="17" t="str">
        <f>IFERROR(__xludf.DUMMYFUNCTION("""COMPUTED_VALUE"""),"Onayli - Satista degil")</f>
        <v>Onayli - Satista degil</v>
      </c>
      <c r="J10" s="39">
        <f>IF($A10="","",IFERROR(VLOOKUP($A10,'Maliyet Giris'!$A$2:$G$550,6,0),""))</f>
        <v>928</v>
      </c>
      <c r="K10" s="39">
        <f>IF($A10="","",IFERROR(VLOOKUP($A10,'Maliyet Giris'!$A$2:$G$550,7,0),""))</f>
        <v>3</v>
      </c>
    </row>
    <row r="11">
      <c r="A11" s="17">
        <f>IFERROR(__xludf.DUMMYFUNCTION("""COMPUTED_VALUE"""),7.613035120464E12)</f>
        <v>7613035120464</v>
      </c>
      <c r="B11" s="17" t="str">
        <f>IFERROR(__xludf.DUMMYFUNCTION("""COMPUTED_VALUE"""),"Pro Plan")</f>
        <v>Pro Plan</v>
      </c>
      <c r="C11" s="17" t="str">
        <f>IFERROR(__xludf.DUMMYFUNCTION("""COMPUTED_VALUE"""),"Optiderma Somonlu Hassas Yetişkin Köpek Maması 14 Kg")</f>
        <v>Optiderma Somonlu Hassas Yetişkin Köpek Maması 14 Kg</v>
      </c>
      <c r="D11" s="17"/>
      <c r="E11" s="17" t="str">
        <f>IFERROR(__xludf.DUMMYFUNCTION("""COMPUTED_VALUE"""),"Köpek Kuru Maması")</f>
        <v>Köpek Kuru Maması</v>
      </c>
      <c r="F11" s="17">
        <f>IFERROR(__xludf.DUMMYFUNCTION("""COMPUTED_VALUE"""),4500.0)</f>
        <v>4500</v>
      </c>
      <c r="G11" s="17"/>
      <c r="H11" s="17">
        <f>IFERROR(__xludf.DUMMYFUNCTION("""COMPUTED_VALUE"""),0.0)</f>
        <v>0</v>
      </c>
      <c r="I11" s="17" t="str">
        <f>IFERROR(__xludf.DUMMYFUNCTION("""COMPUTED_VALUE"""),"Onayli - Satista degil")</f>
        <v>Onayli - Satista degil</v>
      </c>
      <c r="J11" s="39">
        <f>IF($A11="","",IFERROR(VLOOKUP($A11,'Maliyet Giris'!$A$2:$G$550,6,0),""))</f>
        <v>2991</v>
      </c>
      <c r="K11" s="39">
        <f>IF($A11="","",IFERROR(VLOOKUP($A11,'Maliyet Giris'!$A$2:$G$550,7,0),""))</f>
        <v>14</v>
      </c>
    </row>
    <row r="12">
      <c r="A12" s="17">
        <f>IFERROR(__xludf.DUMMYFUNCTION("""COMPUTED_VALUE"""),7.613035120389E12)</f>
        <v>7613035120389</v>
      </c>
      <c r="B12" s="17" t="str">
        <f>IFERROR(__xludf.DUMMYFUNCTION("""COMPUTED_VALUE"""),"Pro Plan")</f>
        <v>Pro Plan</v>
      </c>
      <c r="C12" s="17" t="str">
        <f>IFERROR(__xludf.DUMMYFUNCTION("""COMPUTED_VALUE"""),"Puppy Somonlu Yavru Köpek Maması 12 Kg")</f>
        <v>Puppy Somonlu Yavru Köpek Maması 12 Kg</v>
      </c>
      <c r="D12" s="17"/>
      <c r="E12" s="17" t="str">
        <f>IFERROR(__xludf.DUMMYFUNCTION("""COMPUTED_VALUE"""),"Köpek Kuru Maması")</f>
        <v>Köpek Kuru Maması</v>
      </c>
      <c r="F12" s="17">
        <f>IFERROR(__xludf.DUMMYFUNCTION("""COMPUTED_VALUE"""),4500.0)</f>
        <v>4500</v>
      </c>
      <c r="G12" s="17"/>
      <c r="H12" s="17">
        <f>IFERROR(__xludf.DUMMYFUNCTION("""COMPUTED_VALUE"""),0.0)</f>
        <v>0</v>
      </c>
      <c r="I12" s="17" t="str">
        <f>IFERROR(__xludf.DUMMYFUNCTION("""COMPUTED_VALUE"""),"Onayli - Satista degil")</f>
        <v>Onayli - Satista degil</v>
      </c>
      <c r="J12" s="39">
        <f>IF($A12="","",IFERROR(VLOOKUP($A12,'Maliyet Giris'!$A$2:$G$550,6,0),""))</f>
        <v>2991</v>
      </c>
      <c r="K12" s="39">
        <f>IF($A12="","",IFERROR(VLOOKUP($A12,'Maliyet Giris'!$A$2:$G$550,7,0),""))</f>
        <v>12</v>
      </c>
    </row>
    <row r="13">
      <c r="A13" s="17">
        <f>IFERROR(__xludf.DUMMYFUNCTION("""COMPUTED_VALUE"""),7.613035119024E12)</f>
        <v>7613035119024</v>
      </c>
      <c r="B13" s="17" t="str">
        <f>IFERROR(__xludf.DUMMYFUNCTION("""COMPUTED_VALUE"""),"Pro Plan")</f>
        <v>Pro Plan</v>
      </c>
      <c r="C13" s="17" t="str">
        <f>IFERROR(__xludf.DUMMYFUNCTION("""COMPUTED_VALUE"""),"Adult Somonlu Yetişkin Köpek Maması 16.5 Kg")</f>
        <v>Adult Somonlu Yetişkin Köpek Maması 16.5 Kg</v>
      </c>
      <c r="D13" s="17"/>
      <c r="E13" s="17" t="str">
        <f>IFERROR(__xludf.DUMMYFUNCTION("""COMPUTED_VALUE"""),"Köpek Kuru Maması")</f>
        <v>Köpek Kuru Maması</v>
      </c>
      <c r="F13" s="17">
        <f>IFERROR(__xludf.DUMMYFUNCTION("""COMPUTED_VALUE"""),4200.0)</f>
        <v>4200</v>
      </c>
      <c r="G13" s="17"/>
      <c r="H13" s="17">
        <f>IFERROR(__xludf.DUMMYFUNCTION("""COMPUTED_VALUE"""),0.0)</f>
        <v>0</v>
      </c>
      <c r="I13" s="17" t="str">
        <f>IFERROR(__xludf.DUMMYFUNCTION("""COMPUTED_VALUE"""),"Onayli - Satista degil")</f>
        <v>Onayli - Satista degil</v>
      </c>
      <c r="J13" s="39">
        <f>IF($A13="","",IFERROR(VLOOKUP($A13,'Maliyet Giris'!$A$2:$G$550,6,0),""))</f>
        <v>3325</v>
      </c>
      <c r="K13" s="39">
        <f>IF($A13="","",IFERROR(VLOOKUP($A13,'Maliyet Giris'!$A$2:$G$550,7,0),""))</f>
        <v>15</v>
      </c>
    </row>
    <row r="14">
      <c r="A14" s="17">
        <f>IFERROR(__xludf.DUMMYFUNCTION("""COMPUTED_VALUE"""),7.61303511492E12)</f>
        <v>7613035114920</v>
      </c>
      <c r="B14" s="17" t="str">
        <f>IFERROR(__xludf.DUMMYFUNCTION("""COMPUTED_VALUE"""),"Pro Plan")</f>
        <v>Pro Plan</v>
      </c>
      <c r="C14" s="17" t="str">
        <f>IFERROR(__xludf.DUMMYFUNCTION("""COMPUTED_VALUE"""),"Pro Plan Tavuklu Küçük Irk Köpek Maması 3 Kg")</f>
        <v>Pro Plan Tavuklu Küçük Irk Köpek Maması 3 Kg</v>
      </c>
      <c r="D14" s="17"/>
      <c r="E14" s="17" t="str">
        <f>IFERROR(__xludf.DUMMYFUNCTION("""COMPUTED_VALUE"""),"Köpek Kuru Maması")</f>
        <v>Köpek Kuru Maması</v>
      </c>
      <c r="F14" s="17">
        <f>IFERROR(__xludf.DUMMYFUNCTION("""COMPUTED_VALUE"""),1500.0)</f>
        <v>1500</v>
      </c>
      <c r="G14" s="17"/>
      <c r="H14" s="17">
        <f>IFERROR(__xludf.DUMMYFUNCTION("""COMPUTED_VALUE"""),0.0)</f>
        <v>0</v>
      </c>
      <c r="I14" s="17" t="str">
        <f>IFERROR(__xludf.DUMMYFUNCTION("""COMPUTED_VALUE"""),"Onayli - Satista degil")</f>
        <v>Onayli - Satista degil</v>
      </c>
      <c r="J14" s="39">
        <f>IF($A14="","",IFERROR(VLOOKUP($A14,'Maliyet Giris'!$A$2:$G$550,6,0),""))</f>
        <v>866</v>
      </c>
      <c r="K14" s="39">
        <f>IF($A14="","",IFERROR(VLOOKUP($A14,'Maliyet Giris'!$A$2:$G$550,7,0),""))</f>
        <v>3</v>
      </c>
    </row>
    <row r="15">
      <c r="A15" s="17">
        <f>IFERROR(__xludf.DUMMYFUNCTION("""COMPUTED_VALUE"""),7.61303511489E12)</f>
        <v>7613035114890</v>
      </c>
      <c r="B15" s="17" t="str">
        <f>IFERROR(__xludf.DUMMYFUNCTION("""COMPUTED_VALUE"""),"Pro Plan")</f>
        <v>Pro Plan</v>
      </c>
      <c r="C15" s="17" t="str">
        <f>IFERROR(__xludf.DUMMYFUNCTION("""COMPUTED_VALUE"""),"Sensitive Skin Small &amp; Mini Somonlu Küçük Irk Köpek Maması 3 Kg")</f>
        <v>Sensitive Skin Small &amp; Mini Somonlu Küçük Irk Köpek Maması 3 Kg</v>
      </c>
      <c r="D15" s="17"/>
      <c r="E15" s="17" t="str">
        <f>IFERROR(__xludf.DUMMYFUNCTION("""COMPUTED_VALUE"""),"Köpek Kuru Maması")</f>
        <v>Köpek Kuru Maması</v>
      </c>
      <c r="F15" s="17">
        <f>IFERROR(__xludf.DUMMYFUNCTION("""COMPUTED_VALUE"""),1500.0)</f>
        <v>1500</v>
      </c>
      <c r="G15" s="17"/>
      <c r="H15" s="17">
        <f>IFERROR(__xludf.DUMMYFUNCTION("""COMPUTED_VALUE"""),0.0)</f>
        <v>0</v>
      </c>
      <c r="I15" s="17" t="str">
        <f>IFERROR(__xludf.DUMMYFUNCTION("""COMPUTED_VALUE"""),"Onayli - Satista degil")</f>
        <v>Onayli - Satista degil</v>
      </c>
      <c r="J15" s="39">
        <f>IF($A15="","",IFERROR(VLOOKUP($A15,'Maliyet Giris'!$A$2:$G$550,6,0),""))</f>
        <v>975</v>
      </c>
      <c r="K15" s="39">
        <f>IF($A15="","",IFERROR(VLOOKUP($A15,'Maliyet Giris'!$A$2:$G$550,7,0),""))</f>
        <v>3</v>
      </c>
    </row>
    <row r="16">
      <c r="A16" s="17">
        <f>IFERROR(__xludf.DUMMYFUNCTION("""COMPUTED_VALUE"""),7.613035114838E12)</f>
        <v>7613035114838</v>
      </c>
      <c r="B16" s="17" t="str">
        <f>IFERROR(__xludf.DUMMYFUNCTION("""COMPUTED_VALUE"""),"Pro Plan")</f>
        <v>Pro Plan</v>
      </c>
      <c r="C16" s="17" t="str">
        <f>IFERROR(__xludf.DUMMYFUNCTION("""COMPUTED_VALUE"""),"Proplan Puppy Somonlu Yavru Köpek Maması 3 Kg")</f>
        <v>Proplan Puppy Somonlu Yavru Köpek Maması 3 Kg</v>
      </c>
      <c r="D16" s="17"/>
      <c r="E16" s="17" t="str">
        <f>IFERROR(__xludf.DUMMYFUNCTION("""COMPUTED_VALUE"""),"Köpek Kuru Maması")</f>
        <v>Köpek Kuru Maması</v>
      </c>
      <c r="F16" s="17">
        <f>IFERROR(__xludf.DUMMYFUNCTION("""COMPUTED_VALUE"""),1500.0)</f>
        <v>1500</v>
      </c>
      <c r="G16" s="17"/>
      <c r="H16" s="17">
        <f>IFERROR(__xludf.DUMMYFUNCTION("""COMPUTED_VALUE"""),0.0)</f>
        <v>0</v>
      </c>
      <c r="I16" s="17" t="str">
        <f>IFERROR(__xludf.DUMMYFUNCTION("""COMPUTED_VALUE"""),"Onayli - Satista degil")</f>
        <v>Onayli - Satista degil</v>
      </c>
      <c r="J16" s="39">
        <f>IF($A16="","",IFERROR(VLOOKUP($A16,'Maliyet Giris'!$A$2:$G$550,6,0),""))</f>
        <v>1035</v>
      </c>
      <c r="K16" s="39">
        <f>IF($A16="","",IFERROR(VLOOKUP($A16,'Maliyet Giris'!$A$2:$G$550,7,0),""))</f>
        <v>3</v>
      </c>
    </row>
    <row r="17">
      <c r="A17" s="17">
        <f>IFERROR(__xludf.DUMMYFUNCTION("""COMPUTED_VALUE"""),7.613035114777E12)</f>
        <v>7613035114777</v>
      </c>
      <c r="B17" s="17" t="str">
        <f>IFERROR(__xludf.DUMMYFUNCTION("""COMPUTED_VALUE"""),"Pro Plan")</f>
        <v>Pro Plan</v>
      </c>
      <c r="C17" s="17" t="str">
        <f>IFERROR(__xludf.DUMMYFUNCTION("""COMPUTED_VALUE"""),"Proplan Medium Somonlu Hassas Yetişkin Köpek Maması 3 Kg")</f>
        <v>Proplan Medium Somonlu Hassas Yetişkin Köpek Maması 3 Kg</v>
      </c>
      <c r="D17" s="17"/>
      <c r="E17" s="17" t="str">
        <f>IFERROR(__xludf.DUMMYFUNCTION("""COMPUTED_VALUE"""),"Köpek Kuru Maması")</f>
        <v>Köpek Kuru Maması</v>
      </c>
      <c r="F17" s="17">
        <f>IFERROR(__xludf.DUMMYFUNCTION("""COMPUTED_VALUE"""),1500.0)</f>
        <v>1500</v>
      </c>
      <c r="G17" s="17"/>
      <c r="H17" s="17">
        <f>IFERROR(__xludf.DUMMYFUNCTION("""COMPUTED_VALUE"""),0.0)</f>
        <v>0</v>
      </c>
      <c r="I17" s="17" t="str">
        <f>IFERROR(__xludf.DUMMYFUNCTION("""COMPUTED_VALUE"""),"Onayli - Satista degil")</f>
        <v>Onayli - Satista degil</v>
      </c>
      <c r="J17" s="39">
        <f>IF($A17="","",IFERROR(VLOOKUP($A17,'Maliyet Giris'!$A$2:$G$550,6,0),""))</f>
        <v>907</v>
      </c>
      <c r="K17" s="39">
        <f>IF($A17="","",IFERROR(VLOOKUP($A17,'Maliyet Giris'!$A$2:$G$550,7,0),""))</f>
        <v>3</v>
      </c>
    </row>
    <row r="18">
      <c r="A18" s="17">
        <f>IFERROR(__xludf.DUMMYFUNCTION("""COMPUTED_VALUE"""),1.10201908E8)</f>
        <v>110201908</v>
      </c>
      <c r="B18" s="17" t="str">
        <f>IFERROR(__xludf.DUMMYFUNCTION("""COMPUTED_VALUE"""),"Purina Pro Plan")</f>
        <v>Purina Pro Plan</v>
      </c>
      <c r="C18" s="17" t="str">
        <f>IFERROR(__xludf.DUMMYFUNCTION("""COMPUTED_VALUE"""),"Sterilised Somonlu Kısır Kedi Maması 3kg")</f>
        <v>Sterilised Somonlu Kısır Kedi Maması 3kg</v>
      </c>
      <c r="D18" s="17"/>
      <c r="E18" s="17" t="str">
        <f>IFERROR(__xludf.DUMMYFUNCTION("""COMPUTED_VALUE"""),"Kedi Kuru Maması")</f>
        <v>Kedi Kuru Maması</v>
      </c>
      <c r="F18" s="17">
        <f>IFERROR(__xludf.DUMMYFUNCTION("""COMPUTED_VALUE"""),1645.0)</f>
        <v>1645</v>
      </c>
      <c r="G18" s="17">
        <f>IFERROR(__xludf.DUMMYFUNCTION("""COMPUTED_VALUE"""),1645.0)</f>
        <v>1645</v>
      </c>
      <c r="H18" s="17">
        <f>IFERROR(__xludf.DUMMYFUNCTION("""COMPUTED_VALUE"""),97.0)</f>
        <v>97</v>
      </c>
      <c r="I18" s="17" t="str">
        <f>IFERROR(__xludf.DUMMYFUNCTION("""COMPUTED_VALUE"""),"Onayli")</f>
        <v>Onayli</v>
      </c>
      <c r="J18" s="39">
        <f>IF($A18="","",IFERROR(VLOOKUP($A18,'Maliyet Giris'!$A$2:$G$550,6,0),""))</f>
        <v>1194</v>
      </c>
      <c r="K18" s="40">
        <f>IF($A18="","",IFERROR(VLOOKUP($A18,'Maliyet Giris'!$A$2:$G$550,7,0),""))</f>
        <v>3</v>
      </c>
    </row>
    <row r="19">
      <c r="A19" s="17">
        <f>IFERROR(__xludf.DUMMYFUNCTION("""COMPUTED_VALUE"""),8.40134695853E11)</f>
        <v>840134695853</v>
      </c>
      <c r="B19" s="17" t="str">
        <f>IFERROR(__xludf.DUMMYFUNCTION("""COMPUTED_VALUE"""),"BARK")</f>
        <v>BARK</v>
      </c>
      <c r="C19" s="17" t="str">
        <f>IFERROR(__xludf.DUMMYFUNCTION("""COMPUTED_VALUE"""),"Starbark Beyaz Bardak Köpek Çiğneme Oyuncak - M/L Boy (Ödül Doldurulabilir)")</f>
        <v>Starbark Beyaz Bardak Köpek Çiğneme Oyuncak - M/L Boy (Ödül Doldurulabilir)</v>
      </c>
      <c r="D19" s="17"/>
      <c r="E19" s="17" t="str">
        <f>IFERROR(__xludf.DUMMYFUNCTION("""COMPUTED_VALUE"""),"Köpek Oyuncağı")</f>
        <v>Köpek Oyuncağı</v>
      </c>
      <c r="F19" s="17">
        <f>IFERROR(__xludf.DUMMYFUNCTION("""COMPUTED_VALUE"""),2250.0)</f>
        <v>2250</v>
      </c>
      <c r="G19" s="17">
        <f>IFERROR(__xludf.DUMMYFUNCTION("""COMPUTED_VALUE"""),1592.91)</f>
        <v>1592.91</v>
      </c>
      <c r="H19" s="17">
        <f>IFERROR(__xludf.DUMMYFUNCTION("""COMPUTED_VALUE"""),2.0)</f>
        <v>2</v>
      </c>
      <c r="I19" s="17" t="str">
        <f>IFERROR(__xludf.DUMMYFUNCTION("""COMPUTED_VALUE"""),"Onayli")</f>
        <v>Onayli</v>
      </c>
      <c r="J19" s="40" t="str">
        <f>IF($A19="","",IFERROR(VLOOKUP($A19,'Maliyet Giris'!$A$2:$G$550,6,0),""))</f>
        <v/>
      </c>
      <c r="K19" s="40">
        <f>IF($A19="","",IFERROR(VLOOKUP($A19,'Maliyet Giris'!$A$2:$G$550,7,0),""))</f>
        <v>1</v>
      </c>
    </row>
    <row r="20">
      <c r="A20" s="17">
        <f>IFERROR(__xludf.DUMMYFUNCTION("""COMPUTED_VALUE"""),8.40134695921E11)</f>
        <v>840134695921</v>
      </c>
      <c r="B20" s="17" t="str">
        <f>IFERROR(__xludf.DUMMYFUNCTION("""COMPUTED_VALUE"""),"BARK")</f>
        <v>BARK</v>
      </c>
      <c r="C20" s="17" t="str">
        <f>IFERROR(__xludf.DUMMYFUNCTION("""COMPUTED_VALUE"""),"Flingray Sesli Vatos Köpek Oyuncağı")</f>
        <v>Flingray Sesli Vatos Köpek Oyuncağı</v>
      </c>
      <c r="D20" s="17"/>
      <c r="E20" s="17" t="str">
        <f>IFERROR(__xludf.DUMMYFUNCTION("""COMPUTED_VALUE"""),"Köpek Oyuncağı")</f>
        <v>Köpek Oyuncağı</v>
      </c>
      <c r="F20" s="17">
        <f>IFERROR(__xludf.DUMMYFUNCTION("""COMPUTED_VALUE"""),2999.0)</f>
        <v>2999</v>
      </c>
      <c r="G20" s="17">
        <f>IFERROR(__xludf.DUMMYFUNCTION("""COMPUTED_VALUE"""),2126.52)</f>
        <v>2126.52</v>
      </c>
      <c r="H20" s="17">
        <f>IFERROR(__xludf.DUMMYFUNCTION("""COMPUTED_VALUE"""),2.0)</f>
        <v>2</v>
      </c>
      <c r="I20" s="17" t="str">
        <f>IFERROR(__xludf.DUMMYFUNCTION("""COMPUTED_VALUE"""),"Onayli")</f>
        <v>Onayli</v>
      </c>
      <c r="J20" s="40" t="str">
        <f>IF($A20="","",IFERROR(VLOOKUP($A20,'Maliyet Giris'!$A$2:$G$550,6,0),""))</f>
        <v/>
      </c>
      <c r="K20" s="40">
        <f>IF($A20="","",IFERROR(VLOOKUP($A20,'Maliyet Giris'!$A$2:$G$550,7,0),""))</f>
        <v>1</v>
      </c>
    </row>
    <row r="21">
      <c r="A21" s="17">
        <f>IFERROR(__xludf.DUMMYFUNCTION("""COMPUTED_VALUE"""),8.40134695938E11)</f>
        <v>840134695938</v>
      </c>
      <c r="B21" s="17" t="str">
        <f>IFERROR(__xludf.DUMMYFUNCTION("""COMPUTED_VALUE"""),"BARK")</f>
        <v>BARK</v>
      </c>
      <c r="C21" s="17" t="str">
        <f>IFERROR(__xludf.DUMMYFUNCTION("""COMPUTED_VALUE"""),"Hambone Çiğneme Köpek Oyuncağı")</f>
        <v>Hambone Çiğneme Köpek Oyuncağı</v>
      </c>
      <c r="D21" s="17"/>
      <c r="E21" s="17" t="str">
        <f>IFERROR(__xludf.DUMMYFUNCTION("""COMPUTED_VALUE"""),"Köpek Oyuncağı")</f>
        <v>Köpek Oyuncağı</v>
      </c>
      <c r="F21" s="17">
        <f>IFERROR(__xludf.DUMMYFUNCTION("""COMPUTED_VALUE"""),2750.0)</f>
        <v>2750</v>
      </c>
      <c r="G21" s="17">
        <f>IFERROR(__xludf.DUMMYFUNCTION("""COMPUTED_VALUE"""),1914.66)</f>
        <v>1914.66</v>
      </c>
      <c r="H21" s="17">
        <f>IFERROR(__xludf.DUMMYFUNCTION("""COMPUTED_VALUE"""),2.0)</f>
        <v>2</v>
      </c>
      <c r="I21" s="17" t="str">
        <f>IFERROR(__xludf.DUMMYFUNCTION("""COMPUTED_VALUE"""),"Onayli")</f>
        <v>Onayli</v>
      </c>
      <c r="J21" s="40" t="str">
        <f>IF($A21="","",IFERROR(VLOOKUP($A21,'Maliyet Giris'!$A$2:$G$550,6,0),""))</f>
        <v/>
      </c>
      <c r="K21" s="40">
        <f>IF($A21="","",IFERROR(VLOOKUP($A21,'Maliyet Giris'!$A$2:$G$550,7,0),""))</f>
        <v>1</v>
      </c>
    </row>
    <row r="22">
      <c r="A22" s="17">
        <f>IFERROR(__xludf.DUMMYFUNCTION("""COMPUTED_VALUE"""),8.40134695983E11)</f>
        <v>840134695983</v>
      </c>
      <c r="B22" s="17" t="str">
        <f>IFERROR(__xludf.DUMMYFUNCTION("""COMPUTED_VALUE"""),"BARK")</f>
        <v>BARK</v>
      </c>
      <c r="C22" s="17" t="str">
        <f>IFERROR(__xludf.DUMMYFUNCTION("""COMPUTED_VALUE"""),"Brtha Sesli Ejderha Köpek Oyuncağı")</f>
        <v>Brtha Sesli Ejderha Köpek Oyuncağı</v>
      </c>
      <c r="D22" s="17"/>
      <c r="E22" s="17" t="str">
        <f>IFERROR(__xludf.DUMMYFUNCTION("""COMPUTED_VALUE"""),"Köpek Oyuncağı")</f>
        <v>Köpek Oyuncağı</v>
      </c>
      <c r="F22" s="17">
        <f>IFERROR(__xludf.DUMMYFUNCTION("""COMPUTED_VALUE"""),2100.0)</f>
        <v>2100</v>
      </c>
      <c r="G22" s="17">
        <f>IFERROR(__xludf.DUMMYFUNCTION("""COMPUTED_VALUE"""),1286.01)</f>
        <v>1286.01</v>
      </c>
      <c r="H22" s="17">
        <f>IFERROR(__xludf.DUMMYFUNCTION("""COMPUTED_VALUE"""),2.0)</f>
        <v>2</v>
      </c>
      <c r="I22" s="17" t="str">
        <f>IFERROR(__xludf.DUMMYFUNCTION("""COMPUTED_VALUE"""),"Onayli")</f>
        <v>Onayli</v>
      </c>
      <c r="J22" s="40" t="str">
        <f>IF($A22="","",IFERROR(VLOOKUP($A22,'Maliyet Giris'!$A$2:$G$550,6,0),""))</f>
        <v/>
      </c>
      <c r="K22" s="40">
        <f>IF($A22="","",IFERROR(VLOOKUP($A22,'Maliyet Giris'!$A$2:$G$550,7,0),""))</f>
        <v>1</v>
      </c>
    </row>
    <row r="23">
      <c r="A23" s="17">
        <f>IFERROR(__xludf.DUMMYFUNCTION("""COMPUTED_VALUE"""),8.4013469599E11)</f>
        <v>840134695990</v>
      </c>
      <c r="B23" s="17" t="str">
        <f>IFERROR(__xludf.DUMMYFUNCTION("""COMPUTED_VALUE"""),"BARK")</f>
        <v>BARK</v>
      </c>
      <c r="C23" s="17" t="str">
        <f>IFERROR(__xludf.DUMMYFUNCTION("""COMPUTED_VALUE"""),"Acornucopia Çiğneme Köpek Oyuncağı")</f>
        <v>Acornucopia Çiğneme Köpek Oyuncağı</v>
      </c>
      <c r="D23" s="17"/>
      <c r="E23" s="17" t="str">
        <f>IFERROR(__xludf.DUMMYFUNCTION("""COMPUTED_VALUE"""),"Köpek Oyuncağı")</f>
        <v>Köpek Oyuncağı</v>
      </c>
      <c r="F23" s="17">
        <f>IFERROR(__xludf.DUMMYFUNCTION("""COMPUTED_VALUE"""),2500.0)</f>
        <v>2500</v>
      </c>
      <c r="G23" s="17">
        <f>IFERROR(__xludf.DUMMYFUNCTION("""COMPUTED_VALUE"""),1583.01)</f>
        <v>1583.01</v>
      </c>
      <c r="H23" s="17">
        <f>IFERROR(__xludf.DUMMYFUNCTION("""COMPUTED_VALUE"""),2.0)</f>
        <v>2</v>
      </c>
      <c r="I23" s="17" t="str">
        <f>IFERROR(__xludf.DUMMYFUNCTION("""COMPUTED_VALUE"""),"Onayli")</f>
        <v>Onayli</v>
      </c>
      <c r="J23" s="40" t="str">
        <f>IF($A23="","",IFERROR(VLOOKUP($A23,'Maliyet Giris'!$A$2:$G$550,6,0),""))</f>
        <v/>
      </c>
      <c r="K23" s="40">
        <f>IF($A23="","",IFERROR(VLOOKUP($A23,'Maliyet Giris'!$A$2:$G$550,7,0),""))</f>
        <v>1</v>
      </c>
    </row>
    <row r="24">
      <c r="A24" s="17">
        <f>IFERROR(__xludf.DUMMYFUNCTION("""COMPUTED_VALUE"""),8.40134696355E11)</f>
        <v>840134696355</v>
      </c>
      <c r="B24" s="17" t="str">
        <f>IFERROR(__xludf.DUMMYFUNCTION("""COMPUTED_VALUE"""),"BARK")</f>
        <v>BARK</v>
      </c>
      <c r="C24" s="17" t="str">
        <f>IFERROR(__xludf.DUMMYFUNCTION("""COMPUTED_VALUE"""),"Turnt Turp Köpek Oyuncağı")</f>
        <v>Turnt Turp Köpek Oyuncağı</v>
      </c>
      <c r="D24" s="17"/>
      <c r="E24" s="17" t="str">
        <f>IFERROR(__xludf.DUMMYFUNCTION("""COMPUTED_VALUE"""),"Köpek Oyuncağı")</f>
        <v>Köpek Oyuncağı</v>
      </c>
      <c r="F24" s="17">
        <f>IFERROR(__xludf.DUMMYFUNCTION("""COMPUTED_VALUE"""),2750.0)</f>
        <v>2750</v>
      </c>
      <c r="G24" s="17">
        <f>IFERROR(__xludf.DUMMYFUNCTION("""COMPUTED_VALUE"""),1999.0)</f>
        <v>1999</v>
      </c>
      <c r="H24" s="17">
        <f>IFERROR(__xludf.DUMMYFUNCTION("""COMPUTED_VALUE"""),2.0)</f>
        <v>2</v>
      </c>
      <c r="I24" s="17" t="str">
        <f>IFERROR(__xludf.DUMMYFUNCTION("""COMPUTED_VALUE"""),"Onayli")</f>
        <v>Onayli</v>
      </c>
      <c r="J24" s="40" t="str">
        <f>IF($A24="","",IFERROR(VLOOKUP($A24,'Maliyet Giris'!$A$2:$G$550,6,0),""))</f>
        <v/>
      </c>
      <c r="K24" s="40">
        <f>IF($A24="","",IFERROR(VLOOKUP($A24,'Maliyet Giris'!$A$2:$G$550,7,0),""))</f>
        <v>1</v>
      </c>
    </row>
    <row r="25">
      <c r="A25" s="17">
        <f>IFERROR(__xludf.DUMMYFUNCTION("""COMPUTED_VALUE"""),8.40134696461E11)</f>
        <v>840134696461</v>
      </c>
      <c r="B25" s="17" t="str">
        <f>IFERROR(__xludf.DUMMYFUNCTION("""COMPUTED_VALUE"""),"BARK")</f>
        <v>BARK</v>
      </c>
      <c r="C25" s="17" t="str">
        <f>IFERROR(__xludf.DUMMYFUNCTION("""COMPUTED_VALUE"""),"Fetch Dal Köpek Oyuncağı")</f>
        <v>Fetch Dal Köpek Oyuncağı</v>
      </c>
      <c r="D25" s="17"/>
      <c r="E25" s="17" t="str">
        <f>IFERROR(__xludf.DUMMYFUNCTION("""COMPUTED_VALUE"""),"Köpek Oyuncağı")</f>
        <v>Köpek Oyuncağı</v>
      </c>
      <c r="F25" s="17">
        <f>IFERROR(__xludf.DUMMYFUNCTION("""COMPUTED_VALUE"""),2150.0)</f>
        <v>2150</v>
      </c>
      <c r="G25" s="17">
        <f>IFERROR(__xludf.DUMMYFUNCTION("""COMPUTED_VALUE"""),1484.01)</f>
        <v>1484.01</v>
      </c>
      <c r="H25" s="17">
        <f>IFERROR(__xludf.DUMMYFUNCTION("""COMPUTED_VALUE"""),2.0)</f>
        <v>2</v>
      </c>
      <c r="I25" s="17" t="str">
        <f>IFERROR(__xludf.DUMMYFUNCTION("""COMPUTED_VALUE"""),"Onayli")</f>
        <v>Onayli</v>
      </c>
      <c r="J25" s="40" t="str">
        <f>IF($A25="","",IFERROR(VLOOKUP($A25,'Maliyet Giris'!$A$2:$G$550,6,0),""))</f>
        <v/>
      </c>
      <c r="K25" s="40">
        <f>IF($A25="","",IFERROR(VLOOKUP($A25,'Maliyet Giris'!$A$2:$G$550,7,0),""))</f>
        <v>1</v>
      </c>
    </row>
    <row r="26">
      <c r="A26" s="17">
        <f>IFERROR(__xludf.DUMMYFUNCTION("""COMPUTED_VALUE"""),8.40134696485E11)</f>
        <v>840134696485</v>
      </c>
      <c r="B26" s="17" t="str">
        <f>IFERROR(__xludf.DUMMYFUNCTION("""COMPUTED_VALUE"""),"BARK")</f>
        <v>BARK</v>
      </c>
      <c r="C26" s="17" t="str">
        <f>IFERROR(__xludf.DUMMYFUNCTION("""COMPUTED_VALUE"""),"Beaver Kunduz Köpek Oyuncağı")</f>
        <v>Beaver Kunduz Köpek Oyuncağı</v>
      </c>
      <c r="D26" s="17"/>
      <c r="E26" s="17" t="str">
        <f>IFERROR(__xludf.DUMMYFUNCTION("""COMPUTED_VALUE"""),"Köpek Oyuncağı")</f>
        <v>Köpek Oyuncağı</v>
      </c>
      <c r="F26" s="17">
        <f>IFERROR(__xludf.DUMMYFUNCTION("""COMPUTED_VALUE"""),1950.0)</f>
        <v>1950</v>
      </c>
      <c r="G26" s="17">
        <f>IFERROR(__xludf.DUMMYFUNCTION("""COMPUTED_VALUE"""),1557.27)</f>
        <v>1557.27</v>
      </c>
      <c r="H26" s="17">
        <f>IFERROR(__xludf.DUMMYFUNCTION("""COMPUTED_VALUE"""),2.0)</f>
        <v>2</v>
      </c>
      <c r="I26" s="17" t="str">
        <f>IFERROR(__xludf.DUMMYFUNCTION("""COMPUTED_VALUE"""),"Onayli")</f>
        <v>Onayli</v>
      </c>
      <c r="J26" s="40" t="str">
        <f>IF($A26="","",IFERROR(VLOOKUP($A26,'Maliyet Giris'!$A$2:$G$550,6,0),""))</f>
        <v/>
      </c>
      <c r="K26" s="40">
        <f>IF($A26="","",IFERROR(VLOOKUP($A26,'Maliyet Giris'!$A$2:$G$550,7,0),""))</f>
        <v>1</v>
      </c>
    </row>
    <row r="27">
      <c r="A27" s="17" t="str">
        <f>IFERROR(__xludf.DUMMYFUNCTION("""COMPUTED_VALUE"""),"11111111111115115")</f>
        <v>11111111111115115</v>
      </c>
      <c r="B27" s="17" t="str">
        <f>IFERROR(__xludf.DUMMYFUNCTION("""COMPUTED_VALUE"""),"Beaphar")</f>
        <v>Beaphar</v>
      </c>
      <c r="C27" s="17" t="str">
        <f>IFERROR(__xludf.DUMMYFUNCTION("""COMPUTED_VALUE"""),"Duo Malt Paste Tüy Yumağı Kontrol Kedi Macunu 100 gr - 2 Adet")</f>
        <v>Duo Malt Paste Tüy Yumağı Kontrol Kedi Macunu 100 gr - 2 Adet</v>
      </c>
      <c r="D27" s="17"/>
      <c r="E27" s="17" t="str">
        <f>IFERROR(__xludf.DUMMYFUNCTION("""COMPUTED_VALUE"""),"Kedi Vitamini")</f>
        <v>Kedi Vitamini</v>
      </c>
      <c r="F27" s="17">
        <f>IFERROR(__xludf.DUMMYFUNCTION("""COMPUTED_VALUE"""),645.0)</f>
        <v>645</v>
      </c>
      <c r="G27" s="17"/>
      <c r="H27" s="17">
        <f>IFERROR(__xludf.DUMMYFUNCTION("""COMPUTED_VALUE"""),0.0)</f>
        <v>0</v>
      </c>
      <c r="I27" s="17" t="str">
        <f>IFERROR(__xludf.DUMMYFUNCTION("""COMPUTED_VALUE"""),"Onayli - Satista degil")</f>
        <v>Onayli - Satista degil</v>
      </c>
      <c r="J27" s="40" t="str">
        <f>IF($A27="","",IFERROR(VLOOKUP($A27,'Maliyet Giris'!$A$2:$G$550,6,0),""))</f>
        <v/>
      </c>
      <c r="K27" s="40">
        <f>IF($A27="","",IFERROR(VLOOKUP($A27,'Maliyet Giris'!$A$2:$G$550,7,0),""))</f>
        <v>0.5</v>
      </c>
    </row>
    <row r="28">
      <c r="A28" s="17">
        <f>IFERROR(__xludf.DUMMYFUNCTION("""COMPUTED_VALUE"""),8.711231170357E12)</f>
        <v>8711231170357</v>
      </c>
      <c r="B28" s="17" t="str">
        <f>IFERROR(__xludf.DUMMYFUNCTION("""COMPUTED_VALUE"""),"Beaphar")</f>
        <v>Beaphar</v>
      </c>
      <c r="C28" s="17" t="str">
        <f>IFERROR(__xludf.DUMMYFUNCTION("""COMPUTED_VALUE"""),"Duo Malt Paste Tüy Yumağı Kontrol Kedi Macunu 100 Gr")</f>
        <v>Duo Malt Paste Tüy Yumağı Kontrol Kedi Macunu 100 Gr</v>
      </c>
      <c r="D28" s="17"/>
      <c r="E28" s="17" t="str">
        <f>IFERROR(__xludf.DUMMYFUNCTION("""COMPUTED_VALUE"""),"Kedi Vitamini")</f>
        <v>Kedi Vitamini</v>
      </c>
      <c r="F28" s="17">
        <f>IFERROR(__xludf.DUMMYFUNCTION("""COMPUTED_VALUE"""),149.0)</f>
        <v>149</v>
      </c>
      <c r="G28" s="17"/>
      <c r="H28" s="17">
        <f>IFERROR(__xludf.DUMMYFUNCTION("""COMPUTED_VALUE"""),0.0)</f>
        <v>0</v>
      </c>
      <c r="I28" s="17" t="str">
        <f>IFERROR(__xludf.DUMMYFUNCTION("""COMPUTED_VALUE"""),"Onayli - Satista degil")</f>
        <v>Onayli - Satista degil</v>
      </c>
      <c r="J28" s="40" t="str">
        <f>IF($A28="","",IFERROR(VLOOKUP($A28,'Maliyet Giris'!$A$2:$G$550,6,0),""))</f>
        <v/>
      </c>
      <c r="K28" s="40">
        <f>IF($A28="","",IFERROR(VLOOKUP($A28,'Maliyet Giris'!$A$2:$G$550,7,0),""))</f>
        <v>0.5</v>
      </c>
    </row>
    <row r="29">
      <c r="A29" s="17" t="str">
        <f>IFERROR(__xludf.DUMMYFUNCTION("""COMPUTED_VALUE"""),"TYBWE0JQNGP76NQ209")</f>
        <v>TYBWE0JQNGP76NQ209</v>
      </c>
      <c r="B29" s="17" t="str">
        <f>IFERROR(__xludf.DUMMYFUNCTION("""COMPUTED_VALUE"""),"Beaphar")</f>
        <v>Beaphar</v>
      </c>
      <c r="C29" s="17" t="str">
        <f>IFERROR(__xludf.DUMMYFUNCTION("""COMPUTED_VALUE"""),"Duo Active Tüy Yumağı Önleyici Malt Kedi Macunu 100 gr X 3 Adet")</f>
        <v>Duo Active Tüy Yumağı Önleyici Malt Kedi Macunu 100 gr X 3 Adet</v>
      </c>
      <c r="D29" s="17"/>
      <c r="E29" s="17" t="str">
        <f>IFERROR(__xludf.DUMMYFUNCTION("""COMPUTED_VALUE"""),"Kedi Sağlık Ürünü")</f>
        <v>Kedi Sağlık Ürünü</v>
      </c>
      <c r="F29" s="17">
        <f>IFERROR(__xludf.DUMMYFUNCTION("""COMPUTED_VALUE"""),750.0)</f>
        <v>750</v>
      </c>
      <c r="G29" s="17"/>
      <c r="H29" s="17">
        <f>IFERROR(__xludf.DUMMYFUNCTION("""COMPUTED_VALUE"""),0.0)</f>
        <v>0</v>
      </c>
      <c r="I29" s="17" t="str">
        <f>IFERROR(__xludf.DUMMYFUNCTION("""COMPUTED_VALUE"""),"Onayli - Satista degil")</f>
        <v>Onayli - Satista degil</v>
      </c>
      <c r="J29" s="39" t="str">
        <f>IF($A29="","",IFERROR(VLOOKUP($A29,'Maliyet Giris'!$A$2:$G$550,6,0),""))</f>
        <v/>
      </c>
      <c r="K29" s="40">
        <f>IF($A29="","",IFERROR(VLOOKUP($A29,'Maliyet Giris'!$A$2:$G$550,7,0),""))</f>
        <v>1</v>
      </c>
    </row>
    <row r="30">
      <c r="A30" s="17">
        <f>IFERROR(__xludf.DUMMYFUNCTION("""COMPUTED_VALUE"""),2.10420241807E11)</f>
        <v>210420241807</v>
      </c>
      <c r="B30" s="17" t="str">
        <f>IFERROR(__xludf.DUMMYFUNCTION("""COMPUTED_VALUE"""),"N&amp;D")</f>
        <v>N&amp;D</v>
      </c>
      <c r="C30" s="17" t="str">
        <f>IFERROR(__xludf.DUMMYFUNCTION("""COMPUTED_VALUE"""),"ND KEDİ MAMASI TROPICAL SELECTİON KISIRLAŞTIRILMIŞ KUZULU 10 KG 1 ADET")</f>
        <v>ND KEDİ MAMASI TROPICAL SELECTİON KISIRLAŞTIRILMIŞ KUZULU 10 KG 1 ADET</v>
      </c>
      <c r="D30" s="17"/>
      <c r="E30" s="17" t="str">
        <f>IFERROR(__xludf.DUMMYFUNCTION("""COMPUTED_VALUE"""),"Kedi Kuru Maması")</f>
        <v>Kedi Kuru Maması</v>
      </c>
      <c r="F30" s="17">
        <f>IFERROR(__xludf.DUMMYFUNCTION("""COMPUTED_VALUE"""),3905.0)</f>
        <v>3905</v>
      </c>
      <c r="G30" s="17">
        <f>IFERROR(__xludf.DUMMYFUNCTION("""COMPUTED_VALUE"""),3899.0)</f>
        <v>3899</v>
      </c>
      <c r="H30" s="17">
        <f>IFERROR(__xludf.DUMMYFUNCTION("""COMPUTED_VALUE"""),5.0)</f>
        <v>5</v>
      </c>
      <c r="I30" s="17" t="str">
        <f>IFERROR(__xludf.DUMMYFUNCTION("""COMPUTED_VALUE"""),"Onayli")</f>
        <v>Onayli</v>
      </c>
      <c r="J30" s="39">
        <f>IF($A30="","",IFERROR(VLOOKUP($A30,'Maliyet Giris'!$A$2:$G$550,6,0),""))</f>
        <v>2944</v>
      </c>
      <c r="K30" s="39">
        <f>IF($A30="","",IFERROR(VLOOKUP($A30,'Maliyet Giris'!$A$2:$G$550,7,0),""))</f>
        <v>10</v>
      </c>
    </row>
    <row r="31">
      <c r="A31" s="17">
        <f>IFERROR(__xludf.DUMMYFUNCTION("""COMPUTED_VALUE"""),8.010276042149E12)</f>
        <v>8010276042149</v>
      </c>
      <c r="B31" s="17" t="str">
        <f>IFERROR(__xludf.DUMMYFUNCTION("""COMPUTED_VALUE"""),"N&amp;D")</f>
        <v>N&amp;D</v>
      </c>
      <c r="C31" s="17" t="str">
        <f>IFERROR(__xludf.DUMMYFUNCTION("""COMPUTED_VALUE"""),"Tropical Kuzu Etli Kısırlaştırılmış Kedi Maması 10 KG")</f>
        <v>Tropical Kuzu Etli Kısırlaştırılmış Kedi Maması 10 KG</v>
      </c>
      <c r="D31" s="17"/>
      <c r="E31" s="17" t="str">
        <f>IFERROR(__xludf.DUMMYFUNCTION("""COMPUTED_VALUE"""),"Kedi Kuru Maması")</f>
        <v>Kedi Kuru Maması</v>
      </c>
      <c r="F31" s="17">
        <f>IFERROR(__xludf.DUMMYFUNCTION("""COMPUTED_VALUE"""),3900.0)</f>
        <v>3900</v>
      </c>
      <c r="G31" s="17">
        <f>IFERROR(__xludf.DUMMYFUNCTION("""COMPUTED_VALUE"""),3872.0)</f>
        <v>3872</v>
      </c>
      <c r="H31" s="17">
        <f>IFERROR(__xludf.DUMMYFUNCTION("""COMPUTED_VALUE"""),15.0)</f>
        <v>15</v>
      </c>
      <c r="I31" s="17" t="str">
        <f>IFERROR(__xludf.DUMMYFUNCTION("""COMPUTED_VALUE"""),"Onayli")</f>
        <v>Onayli</v>
      </c>
      <c r="J31" s="40">
        <f>IF($A31="","",IFERROR(VLOOKUP($A31,'Maliyet Giris'!$A$2:$G$550,6,0),""))</f>
        <v>2944</v>
      </c>
      <c r="K31" s="39">
        <f>IF($A31="","",IFERROR(VLOOKUP($A31,'Maliyet Giris'!$A$2:$G$550,7,0),""))</f>
        <v>10</v>
      </c>
    </row>
    <row r="32">
      <c r="A32" s="17">
        <f>IFERROR(__xludf.DUMMYFUNCTION("""COMPUTED_VALUE"""),5.060412212489E12)</f>
        <v>5060412212489</v>
      </c>
      <c r="B32" s="17" t="str">
        <f>IFERROR(__xludf.DUMMYFUNCTION("""COMPUTED_VALUE"""),"Ever Clean")</f>
        <v>Ever Clean</v>
      </c>
      <c r="C32" s="17" t="str">
        <f>IFERROR(__xludf.DUMMYFUNCTION("""COMPUTED_VALUE"""),"Fast Acting 10 lt.")</f>
        <v>Fast Acting 10 lt.</v>
      </c>
      <c r="D32" s="17"/>
      <c r="E32" s="17" t="str">
        <f>IFERROR(__xludf.DUMMYFUNCTION("""COMPUTED_VALUE"""),"Kedi Kumu")</f>
        <v>Kedi Kumu</v>
      </c>
      <c r="F32" s="17">
        <f>IFERROR(__xludf.DUMMYFUNCTION("""COMPUTED_VALUE"""),1200.0)</f>
        <v>1200</v>
      </c>
      <c r="G32" s="17">
        <f>IFERROR(__xludf.DUMMYFUNCTION("""COMPUTED_VALUE"""),1169.1)</f>
        <v>1169.1</v>
      </c>
      <c r="H32" s="17">
        <f>IFERROR(__xludf.DUMMYFUNCTION("""COMPUTED_VALUE"""),99.0)</f>
        <v>99</v>
      </c>
      <c r="I32" s="17" t="str">
        <f>IFERROR(__xludf.DUMMYFUNCTION("""COMPUTED_VALUE"""),"Onayli")</f>
        <v>Onayli</v>
      </c>
      <c r="J32" s="40" t="str">
        <f>IF($A32="","",IFERROR(VLOOKUP($A32,'Maliyet Giris'!$A$2:$G$550,6,0),""))</f>
        <v/>
      </c>
      <c r="K32" s="40">
        <f>IF($A32="","",IFERROR(VLOOKUP($A32,'Maliyet Giris'!$A$2:$G$550,7,0),""))</f>
        <v>2</v>
      </c>
    </row>
    <row r="33">
      <c r="A33" s="17">
        <f>IFERROR(__xludf.DUMMYFUNCTION("""COMPUTED_VALUE"""),5.060255492253E12)</f>
        <v>5060255492253</v>
      </c>
      <c r="B33" s="17" t="str">
        <f>IFERROR(__xludf.DUMMYFUNCTION("""COMPUTED_VALUE"""),"Ever Clean")</f>
        <v>Ever Clean</v>
      </c>
      <c r="C33" s="17" t="str">
        <f>IFERROR(__xludf.DUMMYFUNCTION("""COMPUTED_VALUE"""),"Multiple Cat Kedi Kumu 10 Lt")</f>
        <v>Multiple Cat Kedi Kumu 10 Lt</v>
      </c>
      <c r="D33" s="17"/>
      <c r="E33" s="17" t="str">
        <f>IFERROR(__xludf.DUMMYFUNCTION("""COMPUTED_VALUE"""),"Kedi Kumu")</f>
        <v>Kedi Kumu</v>
      </c>
      <c r="F33" s="17">
        <f>IFERROR(__xludf.DUMMYFUNCTION("""COMPUTED_VALUE"""),1400.0)</f>
        <v>1400</v>
      </c>
      <c r="G33" s="17">
        <f>IFERROR(__xludf.DUMMYFUNCTION("""COMPUTED_VALUE"""),1124.1)</f>
        <v>1124.1</v>
      </c>
      <c r="H33" s="17">
        <f>IFERROR(__xludf.DUMMYFUNCTION("""COMPUTED_VALUE"""),98.0)</f>
        <v>98</v>
      </c>
      <c r="I33" s="17" t="str">
        <f>IFERROR(__xludf.DUMMYFUNCTION("""COMPUTED_VALUE"""),"Onayli")</f>
        <v>Onayli</v>
      </c>
      <c r="J33" s="40" t="str">
        <f>IF($A33="","",IFERROR(VLOOKUP($A33,'Maliyet Giris'!$A$2:$G$550,6,0),""))</f>
        <v/>
      </c>
      <c r="K33" s="40">
        <f>IF($A33="","",IFERROR(VLOOKUP($A33,'Maliyet Giris'!$A$2:$G$550,7,0),""))</f>
        <v>2</v>
      </c>
    </row>
    <row r="34">
      <c r="A34" s="17">
        <f>IFERROR(__xludf.DUMMYFUNCTION("""COMPUTED_VALUE"""),5.060255492291E12)</f>
        <v>5060255492291</v>
      </c>
      <c r="B34" s="17" t="str">
        <f>IFERROR(__xludf.DUMMYFUNCTION("""COMPUTED_VALUE"""),"Ever Clean")</f>
        <v>Ever Clean</v>
      </c>
      <c r="C34" s="17" t="str">
        <f>IFERROR(__xludf.DUMMYFUNCTION("""COMPUTED_VALUE"""),"Lavender Lavanta Kokulu Ince Taneli Topaklaşan Kedi Kumu 10 L")</f>
        <v>Lavender Lavanta Kokulu Ince Taneli Topaklaşan Kedi Kumu 10 L</v>
      </c>
      <c r="D34" s="17"/>
      <c r="E34" s="17" t="str">
        <f>IFERROR(__xludf.DUMMYFUNCTION("""COMPUTED_VALUE"""),"Kedi Kumu")</f>
        <v>Kedi Kumu</v>
      </c>
      <c r="F34" s="17">
        <f>IFERROR(__xludf.DUMMYFUNCTION("""COMPUTED_VALUE"""),1200.0)</f>
        <v>1200</v>
      </c>
      <c r="G34" s="17">
        <f>IFERROR(__xludf.DUMMYFUNCTION("""COMPUTED_VALUE"""),1048.5)</f>
        <v>1048.5</v>
      </c>
      <c r="H34" s="17">
        <f>IFERROR(__xludf.DUMMYFUNCTION("""COMPUTED_VALUE"""),99.0)</f>
        <v>99</v>
      </c>
      <c r="I34" s="17" t="str">
        <f>IFERROR(__xludf.DUMMYFUNCTION("""COMPUTED_VALUE"""),"Onayli")</f>
        <v>Onayli</v>
      </c>
      <c r="J34" s="40" t="str">
        <f>IF($A34="","",IFERROR(VLOOKUP($A34,'Maliyet Giris'!$A$2:$G$550,6,0),""))</f>
        <v/>
      </c>
      <c r="K34" s="40">
        <f>IF($A34="","",IFERROR(VLOOKUP($A34,'Maliyet Giris'!$A$2:$G$550,7,0),""))</f>
        <v>2</v>
      </c>
    </row>
    <row r="35">
      <c r="A35" s="17" t="str">
        <f>IFERROR(__xludf.DUMMYFUNCTION("""COMPUTED_VALUE"""),"TYBFX202T4NBR94F79")</f>
        <v>TYBFX202T4NBR94F79</v>
      </c>
      <c r="B35" s="17" t="str">
        <f>IFERROR(__xludf.DUMMYFUNCTION("""COMPUTED_VALUE"""),"Ever Clean")</f>
        <v>Ever Clean</v>
      </c>
      <c r="C35" s="17" t="str">
        <f>IFERROR(__xludf.DUMMYFUNCTION("""COMPUTED_VALUE"""),"Extra Strong Scented Kedi Kumu 10 Lt")</f>
        <v>Extra Strong Scented Kedi Kumu 10 Lt</v>
      </c>
      <c r="D35" s="17"/>
      <c r="E35" s="17" t="str">
        <f>IFERROR(__xludf.DUMMYFUNCTION("""COMPUTED_VALUE"""),"Kedi Kumu")</f>
        <v>Kedi Kumu</v>
      </c>
      <c r="F35" s="17">
        <f>IFERROR(__xludf.DUMMYFUNCTION("""COMPUTED_VALUE"""),1200.0)</f>
        <v>1200</v>
      </c>
      <c r="G35" s="17"/>
      <c r="H35" s="17">
        <f>IFERROR(__xludf.DUMMYFUNCTION("""COMPUTED_VALUE"""),0.0)</f>
        <v>0</v>
      </c>
      <c r="I35" s="17" t="str">
        <f>IFERROR(__xludf.DUMMYFUNCTION("""COMPUTED_VALUE"""),"Onayli - Satista degil")</f>
        <v>Onayli - Satista degil</v>
      </c>
      <c r="J35" s="40" t="str">
        <f>IF($A35="","",IFERROR(VLOOKUP($A35,'Maliyet Giris'!$A$2:$G$550,6,0),""))</f>
        <v/>
      </c>
      <c r="K35" s="40">
        <f>IF($A35="","",IFERROR(VLOOKUP($A35,'Maliyet Giris'!$A$2:$G$550,7,0),""))</f>
        <v>2</v>
      </c>
    </row>
    <row r="36">
      <c r="A36" s="17" t="str">
        <f>IFERROR(__xludf.DUMMYFUNCTION("""COMPUTED_VALUE"""),"AK73LD91")</f>
        <v>AK73LD91</v>
      </c>
      <c r="B36" s="17" t="str">
        <f>IFERROR(__xludf.DUMMYFUNCTION("""COMPUTED_VALUE"""),"Ever Clean")</f>
        <v>Ever Clean</v>
      </c>
      <c r="C36" s="17" t="str">
        <f>IFERROR(__xludf.DUMMYFUNCTION("""COMPUTED_VALUE"""),"Less Trail (patilere Yapışmayan) Kedi Kumu 10 Lt X 2 Adet")</f>
        <v>Less Trail (patilere Yapışmayan) Kedi Kumu 10 Lt X 2 Adet</v>
      </c>
      <c r="D36" s="17"/>
      <c r="E36" s="17" t="str">
        <f>IFERROR(__xludf.DUMMYFUNCTION("""COMPUTED_VALUE"""),"Kedi Kumu")</f>
        <v>Kedi Kumu</v>
      </c>
      <c r="F36" s="17">
        <f>IFERROR(__xludf.DUMMYFUNCTION("""COMPUTED_VALUE"""),2500.0)</f>
        <v>2500</v>
      </c>
      <c r="G36" s="17">
        <f>IFERROR(__xludf.DUMMYFUNCTION("""COMPUTED_VALUE"""),2119.5)</f>
        <v>2119.5</v>
      </c>
      <c r="H36" s="17">
        <f>IFERROR(__xludf.DUMMYFUNCTION("""COMPUTED_VALUE"""),100.0)</f>
        <v>100</v>
      </c>
      <c r="I36" s="17" t="str">
        <f>IFERROR(__xludf.DUMMYFUNCTION("""COMPUTED_VALUE"""),"Onayli")</f>
        <v>Onayli</v>
      </c>
      <c r="J36" s="40" t="str">
        <f>IF($A36="","",IFERROR(VLOOKUP($A36,'Maliyet Giris'!$A$2:$G$550,6,0),""))</f>
        <v/>
      </c>
      <c r="K36" s="40">
        <f>IF($A36="","",IFERROR(VLOOKUP($A36,'Maliyet Giris'!$A$2:$G$550,7,0),""))</f>
        <v>2</v>
      </c>
    </row>
    <row r="37">
      <c r="A37" s="17" t="str">
        <f>IFERROR(__xludf.DUMMYFUNCTION("""COMPUTED_VALUE"""),"TYBUAJE2I9OWF7YM95")</f>
        <v>TYBUAJE2I9OWF7YM95</v>
      </c>
      <c r="B37" s="17" t="str">
        <f>IFERROR(__xludf.DUMMYFUNCTION("""COMPUTED_VALUE"""),"Ever Clean")</f>
        <v>Ever Clean</v>
      </c>
      <c r="C37" s="17" t="str">
        <f>IFERROR(__xludf.DUMMYFUNCTION("""COMPUTED_VALUE"""),"Litter Free Paws Patilere Yapışmayan Kedi Kumu 2 X 10 L")</f>
        <v>Litter Free Paws Patilere Yapışmayan Kedi Kumu 2 X 10 L</v>
      </c>
      <c r="D37" s="17"/>
      <c r="E37" s="17" t="str">
        <f>IFERROR(__xludf.DUMMYFUNCTION("""COMPUTED_VALUE"""),"Kedi Kumu")</f>
        <v>Kedi Kumu</v>
      </c>
      <c r="F37" s="17">
        <f>IFERROR(__xludf.DUMMYFUNCTION("""COMPUTED_VALUE"""),2500.0)</f>
        <v>2500</v>
      </c>
      <c r="G37" s="17">
        <f>IFERROR(__xludf.DUMMYFUNCTION("""COMPUTED_VALUE"""),2016.0)</f>
        <v>2016</v>
      </c>
      <c r="H37" s="17">
        <f>IFERROR(__xludf.DUMMYFUNCTION("""COMPUTED_VALUE"""),95.0)</f>
        <v>95</v>
      </c>
      <c r="I37" s="17" t="str">
        <f>IFERROR(__xludf.DUMMYFUNCTION("""COMPUTED_VALUE"""),"Onayli")</f>
        <v>Onayli</v>
      </c>
      <c r="J37" s="40" t="str">
        <f>IF($A37="","",IFERROR(VLOOKUP($A37,'Maliyet Giris'!$A$2:$G$550,6,0),""))</f>
        <v/>
      </c>
      <c r="K37" s="40">
        <f>IF($A37="","",IFERROR(VLOOKUP($A37,'Maliyet Giris'!$A$2:$G$550,7,0),""))</f>
        <v>2</v>
      </c>
    </row>
    <row r="38">
      <c r="A38" s="17">
        <f>IFERROR(__xludf.DUMMYFUNCTION("""COMPUTED_VALUE"""),5.060255492192E12)</f>
        <v>5060255492192</v>
      </c>
      <c r="B38" s="17" t="str">
        <f>IFERROR(__xludf.DUMMYFUNCTION("""COMPUTED_VALUE"""),"Ever Clean")</f>
        <v>Ever Clean</v>
      </c>
      <c r="C38" s="17" t="str">
        <f>IFERROR(__xludf.DUMMYFUNCTION("""COMPUTED_VALUE"""),"Less Pass(PATİLERE YAPIŞMAYAN) Kedi Kumu 10 Lt")</f>
        <v>Less Pass(PATİLERE YAPIŞMAYAN) Kedi Kumu 10 Lt</v>
      </c>
      <c r="D38" s="17"/>
      <c r="E38" s="17" t="str">
        <f>IFERROR(__xludf.DUMMYFUNCTION("""COMPUTED_VALUE"""),"Kedi Kumu")</f>
        <v>Kedi Kumu</v>
      </c>
      <c r="F38" s="17">
        <f>IFERROR(__xludf.DUMMYFUNCTION("""COMPUTED_VALUE"""),1200.0)</f>
        <v>1200</v>
      </c>
      <c r="G38" s="17">
        <f>IFERROR(__xludf.DUMMYFUNCTION("""COMPUTED_VALUE"""),1000.0)</f>
        <v>1000</v>
      </c>
      <c r="H38" s="17">
        <f>IFERROR(__xludf.DUMMYFUNCTION("""COMPUTED_VALUE"""),100.0)</f>
        <v>100</v>
      </c>
      <c r="I38" s="17" t="str">
        <f>IFERROR(__xludf.DUMMYFUNCTION("""COMPUTED_VALUE"""),"Onayli")</f>
        <v>Onayli</v>
      </c>
      <c r="J38" s="40" t="str">
        <f>IF($A38="","",IFERROR(VLOOKUP($A38,'Maliyet Giris'!$A$2:$G$550,6,0),""))</f>
        <v/>
      </c>
      <c r="K38" s="40">
        <f>IF($A38="","",IFERROR(VLOOKUP($A38,'Maliyet Giris'!$A$2:$G$550,7,0),""))</f>
        <v>2</v>
      </c>
    </row>
    <row r="39">
      <c r="A39" s="17">
        <f>IFERROR(__xludf.DUMMYFUNCTION("""COMPUTED_VALUE"""),5.060255492161E12)</f>
        <v>5060255492161</v>
      </c>
      <c r="B39" s="17" t="str">
        <f>IFERROR(__xludf.DUMMYFUNCTION("""COMPUTED_VALUE"""),"Ever Clean")</f>
        <v>Ever Clean</v>
      </c>
      <c r="C39" s="17" t="str">
        <f>IFERROR(__xludf.DUMMYFUNCTION("""COMPUTED_VALUE"""),"Extra Strength Scented Koku Engelleyici Doğal Kedi Kumu 10 Lt")</f>
        <v>Extra Strength Scented Koku Engelleyici Doğal Kedi Kumu 10 Lt</v>
      </c>
      <c r="D39" s="17"/>
      <c r="E39" s="17" t="str">
        <f>IFERROR(__xludf.DUMMYFUNCTION("""COMPUTED_VALUE"""),"Kedi Kumu")</f>
        <v>Kedi Kumu</v>
      </c>
      <c r="F39" s="17">
        <f>IFERROR(__xludf.DUMMYFUNCTION("""COMPUTED_VALUE"""),1399.0)</f>
        <v>1399</v>
      </c>
      <c r="G39" s="17">
        <f>IFERROR(__xludf.DUMMYFUNCTION("""COMPUTED_VALUE"""),1169.1)</f>
        <v>1169.1</v>
      </c>
      <c r="H39" s="17">
        <f>IFERROR(__xludf.DUMMYFUNCTION("""COMPUTED_VALUE"""),1.0)</f>
        <v>1</v>
      </c>
      <c r="I39" s="17" t="str">
        <f>IFERROR(__xludf.DUMMYFUNCTION("""COMPUTED_VALUE"""),"Onayli")</f>
        <v>Onayli</v>
      </c>
      <c r="J39" s="40">
        <f>IF($A39="","",IFERROR(VLOOKUP($A39,'Maliyet Giris'!$A$2:$G$550,6,0),""))</f>
        <v>800</v>
      </c>
      <c r="K39" s="40">
        <f>IF($A39="","",IFERROR(VLOOKUP($A39,'Maliyet Giris'!$A$2:$G$550,7,0),""))</f>
        <v>2</v>
      </c>
    </row>
    <row r="40">
      <c r="A40" s="17">
        <f>IFERROR(__xludf.DUMMYFUNCTION("""COMPUTED_VALUE"""),5.060412214117E12)</f>
        <v>5060412214117</v>
      </c>
      <c r="B40" s="17" t="str">
        <f>IFERROR(__xludf.DUMMYFUNCTION("""COMPUTED_VALUE"""),"Ever Clean")</f>
        <v>Ever Clean</v>
      </c>
      <c r="C40" s="17" t="str">
        <f>IFERROR(__xludf.DUMMYFUNCTION("""COMPUTED_VALUE"""),"LitterFree Paws 10 Lt")</f>
        <v>LitterFree Paws 10 Lt</v>
      </c>
      <c r="D40" s="17"/>
      <c r="E40" s="17" t="str">
        <f>IFERROR(__xludf.DUMMYFUNCTION("""COMPUTED_VALUE"""),"Kedi Kumu")</f>
        <v>Kedi Kumu</v>
      </c>
      <c r="F40" s="17">
        <f>IFERROR(__xludf.DUMMYFUNCTION("""COMPUTED_VALUE"""),1200.0)</f>
        <v>1200</v>
      </c>
      <c r="G40" s="17">
        <f>IFERROR(__xludf.DUMMYFUNCTION("""COMPUTED_VALUE"""),1047.6)</f>
        <v>1047.6</v>
      </c>
      <c r="H40" s="17">
        <f>IFERROR(__xludf.DUMMYFUNCTION("""COMPUTED_VALUE"""),100.0)</f>
        <v>100</v>
      </c>
      <c r="I40" s="17" t="str">
        <f>IFERROR(__xludf.DUMMYFUNCTION("""COMPUTED_VALUE"""),"Onayli")</f>
        <v>Onayli</v>
      </c>
      <c r="J40" s="40" t="str">
        <f>IF($A40="","",IFERROR(VLOOKUP($A40,'Maliyet Giris'!$A$2:$G$550,6,0),""))</f>
        <v/>
      </c>
      <c r="K40" s="40">
        <f>IF($A40="","",IFERROR(VLOOKUP($A40,'Maliyet Giris'!$A$2:$G$550,7,0),""))</f>
        <v>2</v>
      </c>
    </row>
    <row r="41">
      <c r="A41" s="17">
        <f>IFERROR(__xludf.DUMMYFUNCTION("""COMPUTED_VALUE"""),8.410650173535E12)</f>
        <v>8410650173535</v>
      </c>
      <c r="B41" s="17" t="str">
        <f>IFERROR(__xludf.DUMMYFUNCTION("""COMPUTED_VALUE"""),"Advance")</f>
        <v>Advance</v>
      </c>
      <c r="C41" s="17" t="str">
        <f>IFERROR(__xludf.DUMMYFUNCTION("""COMPUTED_VALUE"""),"Sensitive Kuzu Etli Hassas Yetişkin Köpek Maması 12 Kg")</f>
        <v>Sensitive Kuzu Etli Hassas Yetişkin Köpek Maması 12 Kg</v>
      </c>
      <c r="D41" s="17"/>
      <c r="E41" s="17" t="str">
        <f>IFERROR(__xludf.DUMMYFUNCTION("""COMPUTED_VALUE"""),"Köpek Kuru Maması")</f>
        <v>Köpek Kuru Maması</v>
      </c>
      <c r="F41" s="17">
        <f>IFERROR(__xludf.DUMMYFUNCTION("""COMPUTED_VALUE"""),4250.0)</f>
        <v>4250</v>
      </c>
      <c r="G41" s="17">
        <f>IFERROR(__xludf.DUMMYFUNCTION("""COMPUTED_VALUE"""),3729.0)</f>
        <v>3729</v>
      </c>
      <c r="H41" s="17">
        <f>IFERROR(__xludf.DUMMYFUNCTION("""COMPUTED_VALUE"""),1.0)</f>
        <v>1</v>
      </c>
      <c r="I41" s="17" t="str">
        <f>IFERROR(__xludf.DUMMYFUNCTION("""COMPUTED_VALUE"""),"Onayli")</f>
        <v>Onayli</v>
      </c>
      <c r="J41" s="40">
        <f>IF($A41="","",IFERROR(VLOOKUP($A41,'Maliyet Giris'!$A$2:$G$550,6,0),""))</f>
        <v>3034</v>
      </c>
      <c r="K41" s="40">
        <f>IF($A41="","",IFERROR(VLOOKUP($A41,'Maliyet Giris'!$A$2:$G$550,7,0),""))</f>
        <v>10</v>
      </c>
    </row>
    <row r="42">
      <c r="A42" s="17">
        <f>IFERROR(__xludf.DUMMYFUNCTION("""COMPUTED_VALUE"""),8.410650167886E12)</f>
        <v>8410650167886</v>
      </c>
      <c r="B42" s="17" t="str">
        <f>IFERROR(__xludf.DUMMYFUNCTION("""COMPUTED_VALUE"""),"Advance")</f>
        <v>Advance</v>
      </c>
      <c r="C42" s="17" t="str">
        <f>IFERROR(__xludf.DUMMYFUNCTION("""COMPUTED_VALUE"""),"Kedi Yetişkin Kısır Somonlu 1.5 Kg")</f>
        <v>Kedi Yetişkin Kısır Somonlu 1.5 Kg</v>
      </c>
      <c r="D42" s="17"/>
      <c r="E42" s="17" t="str">
        <f>IFERROR(__xludf.DUMMYFUNCTION("""COMPUTED_VALUE"""),"Kedi Kuru Maması")</f>
        <v>Kedi Kuru Maması</v>
      </c>
      <c r="F42" s="17">
        <f>IFERROR(__xludf.DUMMYFUNCTION("""COMPUTED_VALUE"""),940.0)</f>
        <v>940</v>
      </c>
      <c r="G42" s="17">
        <f>IFERROR(__xludf.DUMMYFUNCTION("""COMPUTED_VALUE"""),980.0)</f>
        <v>980</v>
      </c>
      <c r="H42" s="17">
        <f>IFERROR(__xludf.DUMMYFUNCTION("""COMPUTED_VALUE"""),28.0)</f>
        <v>28</v>
      </c>
      <c r="I42" s="17" t="str">
        <f>IFERROR(__xludf.DUMMYFUNCTION("""COMPUTED_VALUE"""),"Onayli")</f>
        <v>Onayli</v>
      </c>
      <c r="J42" s="40">
        <f>IF($A42="","",IFERROR(VLOOKUP($A42,'Maliyet Giris'!$A$2:$G$550,6,0),""))</f>
        <v>715</v>
      </c>
      <c r="K42" s="40">
        <f>IF($A42="","",IFERROR(VLOOKUP($A42,'Maliyet Giris'!$A$2:$G$550,7,0),""))</f>
        <v>3</v>
      </c>
    </row>
    <row r="43">
      <c r="A43" s="17">
        <f>IFERROR(__xludf.DUMMYFUNCTION("""COMPUTED_VALUE"""),8.410650239156E12)</f>
        <v>8410650239156</v>
      </c>
      <c r="B43" s="17" t="str">
        <f>IFERROR(__xludf.DUMMYFUNCTION("""COMPUTED_VALUE"""),"Advance")</f>
        <v>Advance</v>
      </c>
      <c r="C43" s="17" t="str">
        <f>IFERROR(__xludf.DUMMYFUNCTION("""COMPUTED_VALUE"""),"Cat Sterilized Hairball Hindili Kısır Kedi Maması 3 Kg")</f>
        <v>Cat Sterilized Hairball Hindili Kısır Kedi Maması 3 Kg</v>
      </c>
      <c r="D43" s="17"/>
      <c r="E43" s="17" t="str">
        <f>IFERROR(__xludf.DUMMYFUNCTION("""COMPUTED_VALUE"""),"Kedi Kuru Maması")</f>
        <v>Kedi Kuru Maması</v>
      </c>
      <c r="F43" s="17">
        <f>IFERROR(__xludf.DUMMYFUNCTION("""COMPUTED_VALUE"""),1728.0)</f>
        <v>1728</v>
      </c>
      <c r="G43" s="17">
        <f>IFERROR(__xludf.DUMMYFUNCTION("""COMPUTED_VALUE"""),1698.0)</f>
        <v>1698</v>
      </c>
      <c r="H43" s="17">
        <f>IFERROR(__xludf.DUMMYFUNCTION("""COMPUTED_VALUE"""),11.0)</f>
        <v>11</v>
      </c>
      <c r="I43" s="17" t="str">
        <f>IFERROR(__xludf.DUMMYFUNCTION("""COMPUTED_VALUE"""),"Onayli")</f>
        <v>Onayli</v>
      </c>
      <c r="J43" s="40">
        <f>IF($A43="","",IFERROR(VLOOKUP($A43,'Maliyet Giris'!$A$2:$G$550,6,0),""))</f>
        <v>1260</v>
      </c>
      <c r="K43" s="40">
        <f>IF($A43="","",IFERROR(VLOOKUP($A43,'Maliyet Giris'!$A$2:$G$550,7,0),""))</f>
        <v>3</v>
      </c>
    </row>
    <row r="44">
      <c r="A44" s="17">
        <f>IFERROR(__xludf.DUMMYFUNCTION("""COMPUTED_VALUE"""),8.410650151656E12)</f>
        <v>8410650151656</v>
      </c>
      <c r="B44" s="17" t="str">
        <f>IFERROR(__xludf.DUMMYFUNCTION("""COMPUTED_VALUE"""),"Advance")</f>
        <v>Advance</v>
      </c>
      <c r="C44" s="17" t="str">
        <f>IFERROR(__xludf.DUMMYFUNCTION("""COMPUTED_VALUE"""),"Cat Adult Salmon Sensıtıve 3 Kg")</f>
        <v>Cat Adult Salmon Sensıtıve 3 Kg</v>
      </c>
      <c r="D44" s="17"/>
      <c r="E44" s="17" t="str">
        <f>IFERROR(__xludf.DUMMYFUNCTION("""COMPUTED_VALUE"""),"Kedi Kuru Maması")</f>
        <v>Kedi Kuru Maması</v>
      </c>
      <c r="F44" s="17">
        <f>IFERROR(__xludf.DUMMYFUNCTION("""COMPUTED_VALUE"""),1630.0)</f>
        <v>1630</v>
      </c>
      <c r="G44" s="17"/>
      <c r="H44" s="17">
        <f>IFERROR(__xludf.DUMMYFUNCTION("""COMPUTED_VALUE"""),0.0)</f>
        <v>0</v>
      </c>
      <c r="I44" s="17" t="str">
        <f>IFERROR(__xludf.DUMMYFUNCTION("""COMPUTED_VALUE"""),"Onayli - Satista degil")</f>
        <v>Onayli - Satista degil</v>
      </c>
      <c r="J44" s="40">
        <f>IF($A44="","",IFERROR(VLOOKUP($A44,'Maliyet Giris'!$A$2:$G$550,6,0),""))</f>
        <v>1228</v>
      </c>
      <c r="K44" s="40">
        <f>IF($A44="","",IFERROR(VLOOKUP($A44,'Maliyet Giris'!$A$2:$G$550,7,0),""))</f>
        <v>3</v>
      </c>
    </row>
    <row r="45">
      <c r="A45" s="17">
        <f>IFERROR(__xludf.DUMMYFUNCTION("""COMPUTED_VALUE"""),8.410650218663E12)</f>
        <v>8410650218663</v>
      </c>
      <c r="B45" s="17" t="str">
        <f>IFERROR(__xludf.DUMMYFUNCTION("""COMPUTED_VALUE"""),"Advance")</f>
        <v>Advance</v>
      </c>
      <c r="C45" s="17" t="str">
        <f>IFERROR(__xludf.DUMMYFUNCTION("""COMPUTED_VALUE"""),"Cat Sterilized Kısırlaştırılmış Somonlu Kedi Maması 10 Kg")</f>
        <v>Cat Sterilized Kısırlaştırılmış Somonlu Kedi Maması 10 Kg</v>
      </c>
      <c r="D45" s="17"/>
      <c r="E45" s="17" t="str">
        <f>IFERROR(__xludf.DUMMYFUNCTION("""COMPUTED_VALUE"""),"Kedi Kuru Maması")</f>
        <v>Kedi Kuru Maması</v>
      </c>
      <c r="F45" s="17">
        <f>IFERROR(__xludf.DUMMYFUNCTION("""COMPUTED_VALUE"""),4515.0)</f>
        <v>4515</v>
      </c>
      <c r="G45" s="17"/>
      <c r="H45" s="17">
        <f>IFERROR(__xludf.DUMMYFUNCTION("""COMPUTED_VALUE"""),0.0)</f>
        <v>0</v>
      </c>
      <c r="I45" s="17" t="str">
        <f>IFERROR(__xludf.DUMMYFUNCTION("""COMPUTED_VALUE"""),"Onayli - Satista degil")</f>
        <v>Onayli - Satista degil</v>
      </c>
      <c r="J45" s="40">
        <f>IF($A45="","",IFERROR(VLOOKUP($A45,'Maliyet Giris'!$A$2:$G$550,6,0),""))</f>
        <v>3556</v>
      </c>
      <c r="K45" s="40">
        <f>IF($A45="","",IFERROR(VLOOKUP($A45,'Maliyet Giris'!$A$2:$G$550,7,0),""))</f>
        <v>10</v>
      </c>
    </row>
    <row r="46">
      <c r="A46" s="17">
        <f>IFERROR(__xludf.DUMMYFUNCTION("""COMPUTED_VALUE"""),8.410650167909E12)</f>
        <v>8410650167909</v>
      </c>
      <c r="B46" s="17" t="str">
        <f>IFERROR(__xludf.DUMMYFUNCTION("""COMPUTED_VALUE"""),"Advance")</f>
        <v>Advance</v>
      </c>
      <c r="C46" s="17" t="str">
        <f>IFERROR(__xludf.DUMMYFUNCTION("""COMPUTED_VALUE"""),"Sensitive Somonlu Hassas Kısırlaştırılmış Kedi Maması 3 Kg")</f>
        <v>Sensitive Somonlu Hassas Kısırlaştırılmış Kedi Maması 3 Kg</v>
      </c>
      <c r="D46" s="17"/>
      <c r="E46" s="17" t="str">
        <f>IFERROR(__xludf.DUMMYFUNCTION("""COMPUTED_VALUE"""),"Kedi Kuru Maması")</f>
        <v>Kedi Kuru Maması</v>
      </c>
      <c r="F46" s="17">
        <f>IFERROR(__xludf.DUMMYFUNCTION("""COMPUTED_VALUE"""),1800.0)</f>
        <v>1800</v>
      </c>
      <c r="G46" s="17">
        <f>IFERROR(__xludf.DUMMYFUNCTION("""COMPUTED_VALUE"""),1799.0)</f>
        <v>1799</v>
      </c>
      <c r="H46" s="17">
        <f>IFERROR(__xludf.DUMMYFUNCTION("""COMPUTED_VALUE"""),5.0)</f>
        <v>5</v>
      </c>
      <c r="I46" s="17" t="str">
        <f>IFERROR(__xludf.DUMMYFUNCTION("""COMPUTED_VALUE"""),"Onayli")</f>
        <v>Onayli</v>
      </c>
      <c r="J46" s="40">
        <f>IF($A46="","",IFERROR(VLOOKUP($A46,'Maliyet Giris'!$A$2:$G$550,6,0),""))</f>
        <v>1228</v>
      </c>
      <c r="K46" s="40">
        <f>IF($A46="","",IFERROR(VLOOKUP($A46,'Maliyet Giris'!$A$2:$G$550,7,0),""))</f>
        <v>3</v>
      </c>
    </row>
    <row r="47">
      <c r="A47" s="17">
        <f>IFERROR(__xludf.DUMMYFUNCTION("""COMPUTED_VALUE"""),8.005852171108E12)</f>
        <v>8005852171108</v>
      </c>
      <c r="B47" s="17" t="str">
        <f>IFERROR(__xludf.DUMMYFUNCTION("""COMPUTED_VALUE"""),"Schesir")</f>
        <v>Schesir</v>
      </c>
      <c r="C47" s="17" t="str">
        <f>IFERROR(__xludf.DUMMYFUNCTION("""COMPUTED_VALUE"""),"Jelly Ton Balıklı Tavuk Ve Karidesli Kedi Yaş Maması 85gr Skt:09/2024")</f>
        <v>Jelly Ton Balıklı Tavuk Ve Karidesli Kedi Yaş Maması 85gr Skt:09/2024</v>
      </c>
      <c r="D47" s="17"/>
      <c r="E47" s="17" t="str">
        <f>IFERROR(__xludf.DUMMYFUNCTION("""COMPUTED_VALUE"""),"Kedi Konserve Maması")</f>
        <v>Kedi Konserve Maması</v>
      </c>
      <c r="F47" s="17">
        <f>IFERROR(__xludf.DUMMYFUNCTION("""COMPUTED_VALUE"""),175.0)</f>
        <v>175</v>
      </c>
      <c r="G47" s="17">
        <f>IFERROR(__xludf.DUMMYFUNCTION("""COMPUTED_VALUE"""),175.0)</f>
        <v>175</v>
      </c>
      <c r="H47" s="17">
        <f>IFERROR(__xludf.DUMMYFUNCTION("""COMPUTED_VALUE"""),90.0)</f>
        <v>90</v>
      </c>
      <c r="I47" s="17" t="str">
        <f>IFERROR(__xludf.DUMMYFUNCTION("""COMPUTED_VALUE"""),"Onayli")</f>
        <v>Onayli</v>
      </c>
      <c r="J47" s="40" t="str">
        <f>IF($A47="","",IFERROR(VLOOKUP($A47,'Maliyet Giris'!$A$2:$G$550,6,0),""))</f>
        <v/>
      </c>
      <c r="K47" s="40">
        <f>IF($A47="","",IFERROR(VLOOKUP($A47,'Maliyet Giris'!$A$2:$G$550,7,0),""))</f>
        <v>3</v>
      </c>
    </row>
    <row r="48">
      <c r="A48" s="17">
        <f>IFERROR(__xludf.DUMMYFUNCTION("""COMPUTED_VALUE"""),8.005852171054E12)</f>
        <v>8005852171054</v>
      </c>
      <c r="B48" s="17" t="str">
        <f>IFERROR(__xludf.DUMMYFUNCTION("""COMPUTED_VALUE"""),"Schesir")</f>
        <v>Schesir</v>
      </c>
      <c r="C48" s="17" t="str">
        <f>IFERROR(__xludf.DUMMYFUNCTION("""COMPUTED_VALUE"""),"Jelly Ton Balıklı ve Levrekli Pouch Kedi Konservesi 85 Gr")</f>
        <v>Jelly Ton Balıklı ve Levrekli Pouch Kedi Konservesi 85 Gr</v>
      </c>
      <c r="D48" s="17"/>
      <c r="E48" s="17" t="str">
        <f>IFERROR(__xludf.DUMMYFUNCTION("""COMPUTED_VALUE"""),"Kedi Konserve Maması")</f>
        <v>Kedi Konserve Maması</v>
      </c>
      <c r="F48" s="17">
        <f>IFERROR(__xludf.DUMMYFUNCTION("""COMPUTED_VALUE"""),259.0)</f>
        <v>259</v>
      </c>
      <c r="G48" s="17">
        <f>IFERROR(__xludf.DUMMYFUNCTION("""COMPUTED_VALUE"""),259.0)</f>
        <v>259</v>
      </c>
      <c r="H48" s="17">
        <f>IFERROR(__xludf.DUMMYFUNCTION("""COMPUTED_VALUE"""),20.0)</f>
        <v>20</v>
      </c>
      <c r="I48" s="17" t="str">
        <f>IFERROR(__xludf.DUMMYFUNCTION("""COMPUTED_VALUE"""),"Onayli")</f>
        <v>Onayli</v>
      </c>
      <c r="J48" s="40" t="str">
        <f>IF($A48="","",IFERROR(VLOOKUP($A48,'Maliyet Giris'!$A$2:$G$550,6,0),""))</f>
        <v/>
      </c>
      <c r="K48" s="40">
        <f>IF($A48="","",IFERROR(VLOOKUP($A48,'Maliyet Giris'!$A$2:$G$550,7,0),""))</f>
        <v>3</v>
      </c>
    </row>
    <row r="49">
      <c r="A49" s="17">
        <f>IFERROR(__xludf.DUMMYFUNCTION("""COMPUTED_VALUE"""),8.005852171115E12)</f>
        <v>8005852171115</v>
      </c>
      <c r="B49" s="17" t="str">
        <f>IFERROR(__xludf.DUMMYFUNCTION("""COMPUTED_VALUE"""),"Schesir")</f>
        <v>Schesir</v>
      </c>
      <c r="C49" s="17" t="str">
        <f>IFERROR(__xludf.DUMMYFUNCTION("""COMPUTED_VALUE"""),"Pouch Gravy Tavuklu Kıyılmış Kedi Yaş Maması 85 Gr")</f>
        <v>Pouch Gravy Tavuklu Kıyılmış Kedi Yaş Maması 85 Gr</v>
      </c>
      <c r="D49" s="17"/>
      <c r="E49" s="17" t="str">
        <f>IFERROR(__xludf.DUMMYFUNCTION("""COMPUTED_VALUE"""),"Kedi Konserve Maması")</f>
        <v>Kedi Konserve Maması</v>
      </c>
      <c r="F49" s="17">
        <f>IFERROR(__xludf.DUMMYFUNCTION("""COMPUTED_VALUE"""),160.0)</f>
        <v>160</v>
      </c>
      <c r="G49" s="17">
        <f>IFERROR(__xludf.DUMMYFUNCTION("""COMPUTED_VALUE"""),138.18)</f>
        <v>138.18</v>
      </c>
      <c r="H49" s="17">
        <f>IFERROR(__xludf.DUMMYFUNCTION("""COMPUTED_VALUE"""),50.0)</f>
        <v>50</v>
      </c>
      <c r="I49" s="17" t="str">
        <f>IFERROR(__xludf.DUMMYFUNCTION("""COMPUTED_VALUE"""),"Onayli")</f>
        <v>Onayli</v>
      </c>
      <c r="J49" s="40" t="str">
        <f>IF($A49="","",IFERROR(VLOOKUP($A49,'Maliyet Giris'!$A$2:$G$550,6,0),""))</f>
        <v/>
      </c>
      <c r="K49" s="40">
        <f>IF($A49="","",IFERROR(VLOOKUP($A49,'Maliyet Giris'!$A$2:$G$550,7,0),""))</f>
        <v>3</v>
      </c>
    </row>
    <row r="50">
      <c r="A50" s="17">
        <f>IFERROR(__xludf.DUMMYFUNCTION("""COMPUTED_VALUE"""),7.613033560033E12)</f>
        <v>7613033560033</v>
      </c>
      <c r="B50" s="17" t="str">
        <f>IFERROR(__xludf.DUMMYFUNCTION("""COMPUTED_VALUE"""),"Pro Plan")</f>
        <v>Pro Plan</v>
      </c>
      <c r="C50" s="17" t="str">
        <f>IFERROR(__xludf.DUMMYFUNCTION("""COMPUTED_VALUE"""),"Sterilised Hindi-Tavuk Kısırlaştırılmış Kedi Maması 3 Kg")</f>
        <v>Sterilised Hindi-Tavuk Kısırlaştırılmış Kedi Maması 3 Kg</v>
      </c>
      <c r="D50" s="17">
        <f>IFERROR(__xludf.DUMMYFUNCTION("""COMPUTED_VALUE"""),0.0)</f>
        <v>0</v>
      </c>
      <c r="E50" s="17" t="str">
        <f>IFERROR(__xludf.DUMMYFUNCTION("""COMPUTED_VALUE"""),"Kedi Kuru Maması")</f>
        <v>Kedi Kuru Maması</v>
      </c>
      <c r="F50" s="17">
        <f>IFERROR(__xludf.DUMMYFUNCTION("""COMPUTED_VALUE"""),1320.0)</f>
        <v>1320</v>
      </c>
      <c r="G50" s="17">
        <f>IFERROR(__xludf.DUMMYFUNCTION("""COMPUTED_VALUE"""),1299.0)</f>
        <v>1299</v>
      </c>
      <c r="H50" s="17">
        <f>IFERROR(__xludf.DUMMYFUNCTION("""COMPUTED_VALUE"""),48.0)</f>
        <v>48</v>
      </c>
      <c r="I50" s="17" t="str">
        <f>IFERROR(__xludf.DUMMYFUNCTION("""COMPUTED_VALUE"""),"Onayli")</f>
        <v>Onayli</v>
      </c>
      <c r="J50" s="40">
        <f>IF($A50="","",IFERROR(VLOOKUP($A50,'Maliyet Giris'!$A$2:$G$550,6,0),""))</f>
        <v>1165</v>
      </c>
      <c r="K50" s="40">
        <f>IF($A50="","",IFERROR(VLOOKUP($A50,'Maliyet Giris'!$A$2:$G$550,7,0),""))</f>
        <v>3</v>
      </c>
    </row>
    <row r="51">
      <c r="A51" s="17" t="str">
        <f>IFERROR(__xludf.DUMMYFUNCTION("""COMPUTED_VALUE"""),"TYBBR26STPQS3M8793")</f>
        <v>TYBBR26STPQS3M8793</v>
      </c>
      <c r="B51" s="17" t="str">
        <f>IFERROR(__xludf.DUMMYFUNCTION("""COMPUTED_VALUE"""),"Whiskas")</f>
        <v>Whiskas</v>
      </c>
      <c r="C51" s="17" t="str">
        <f>IFERROR(__xludf.DUMMYFUNCTION("""COMPUTED_VALUE"""),"Sığır Etli,Biftekli Konserve Kedi Maması 400 Gr X 12 ADET")</f>
        <v>Sığır Etli,Biftekli Konserve Kedi Maması 400 Gr X 12 ADET</v>
      </c>
      <c r="D51" s="17"/>
      <c r="E51" s="17" t="str">
        <f>IFERROR(__xludf.DUMMYFUNCTION("""COMPUTED_VALUE"""),"Kedi Konserve Maması")</f>
        <v>Kedi Konserve Maması</v>
      </c>
      <c r="F51" s="17">
        <f>IFERROR(__xludf.DUMMYFUNCTION("""COMPUTED_VALUE"""),1119.0)</f>
        <v>1119</v>
      </c>
      <c r="G51" s="17"/>
      <c r="H51" s="17">
        <f>IFERROR(__xludf.DUMMYFUNCTION("""COMPUTED_VALUE"""),0.0)</f>
        <v>0</v>
      </c>
      <c r="I51" s="17" t="str">
        <f>IFERROR(__xludf.DUMMYFUNCTION("""COMPUTED_VALUE"""),"Onayli - Satista degil")</f>
        <v>Onayli - Satista degil</v>
      </c>
      <c r="J51" s="40" t="str">
        <f>IF($A51="","",IFERROR(VLOOKUP($A51,'Maliyet Giris'!$A$2:$G$550,6,0),""))</f>
        <v/>
      </c>
      <c r="K51" s="40">
        <f>IF($A51="","",IFERROR(VLOOKUP($A51,'Maliyet Giris'!$A$2:$G$550,7,0),""))</f>
        <v>3</v>
      </c>
    </row>
    <row r="52">
      <c r="A52" s="17" t="str">
        <f>IFERROR(__xludf.DUMMYFUNCTION("""COMPUTED_VALUE"""),"TYB2GSN7NL9EBZ6M38")</f>
        <v>TYB2GSN7NL9EBZ6M38</v>
      </c>
      <c r="B52" s="17" t="str">
        <f>IFERROR(__xludf.DUMMYFUNCTION("""COMPUTED_VALUE"""),"Whiskas")</f>
        <v>Whiskas</v>
      </c>
      <c r="C52" s="17" t="str">
        <f>IFERROR(__xludf.DUMMYFUNCTION("""COMPUTED_VALUE"""),"Tavuklu Yetişkin Konserve Kedi Maması 400 Gr X 12 ADET")</f>
        <v>Tavuklu Yetişkin Konserve Kedi Maması 400 Gr X 12 ADET</v>
      </c>
      <c r="D52" s="17"/>
      <c r="E52" s="17" t="str">
        <f>IFERROR(__xludf.DUMMYFUNCTION("""COMPUTED_VALUE"""),"Kedi Konserve Maması")</f>
        <v>Kedi Konserve Maması</v>
      </c>
      <c r="F52" s="17">
        <f>IFERROR(__xludf.DUMMYFUNCTION("""COMPUTED_VALUE"""),1199.0)</f>
        <v>1199</v>
      </c>
      <c r="G52" s="17"/>
      <c r="H52" s="17">
        <f>IFERROR(__xludf.DUMMYFUNCTION("""COMPUTED_VALUE"""),0.0)</f>
        <v>0</v>
      </c>
      <c r="I52" s="17" t="str">
        <f>IFERROR(__xludf.DUMMYFUNCTION("""COMPUTED_VALUE"""),"Onayli - Satista degil")</f>
        <v>Onayli - Satista degil</v>
      </c>
      <c r="J52" s="40">
        <f>IF($A52="","",IFERROR(VLOOKUP($A52,'Maliyet Giris'!$A$2:$G$550,6,0),""))</f>
        <v>792</v>
      </c>
      <c r="K52" s="40">
        <f>IF($A52="","",IFERROR(VLOOKUP($A52,'Maliyet Giris'!$A$2:$G$550,7,0),""))</f>
        <v>3</v>
      </c>
    </row>
    <row r="53">
      <c r="A53" s="17">
        <f>IFERROR(__xludf.DUMMYFUNCTION("""COMPUTED_VALUE"""),640020.0)</f>
        <v>640020</v>
      </c>
      <c r="B53" s="17" t="str">
        <f>IFERROR(__xludf.DUMMYFUNCTION("""COMPUTED_VALUE"""),"Whiskas")</f>
        <v>Whiskas</v>
      </c>
      <c r="C53" s="17" t="str">
        <f>IFERROR(__xludf.DUMMYFUNCTION("""COMPUTED_VALUE"""),"Konserve Sığırlı Kedi Mama 24 X 400 gr")</f>
        <v>Konserve Sığırlı Kedi Mama 24 X 400 gr</v>
      </c>
      <c r="D53" s="17"/>
      <c r="E53" s="17" t="str">
        <f>IFERROR(__xludf.DUMMYFUNCTION("""COMPUTED_VALUE"""),"Kedi Konserve Maması")</f>
        <v>Kedi Konserve Maması</v>
      </c>
      <c r="F53" s="17">
        <f>IFERROR(__xludf.DUMMYFUNCTION("""COMPUTED_VALUE"""),2199.0)</f>
        <v>2199</v>
      </c>
      <c r="G53" s="17"/>
      <c r="H53" s="17">
        <f>IFERROR(__xludf.DUMMYFUNCTION("""COMPUTED_VALUE"""),0.0)</f>
        <v>0</v>
      </c>
      <c r="I53" s="17" t="str">
        <f>IFERROR(__xludf.DUMMYFUNCTION("""COMPUTED_VALUE"""),"Onayli - Satista degil")</f>
        <v>Onayli - Satista degil</v>
      </c>
      <c r="J53" s="40">
        <f>IF($A53="","",IFERROR(VLOOKUP($A53,'Maliyet Giris'!$A$2:$G$550,6,0),""))</f>
        <v>1582</v>
      </c>
      <c r="K53" s="40">
        <f>IF($A53="","",IFERROR(VLOOKUP($A53,'Maliyet Giris'!$A$2:$G$550,7,0),""))</f>
        <v>3</v>
      </c>
    </row>
    <row r="54">
      <c r="A54" s="17">
        <f>IFERROR(__xludf.DUMMYFUNCTION("""COMPUTED_VALUE"""),8.681002995178E12)</f>
        <v>8681002995178</v>
      </c>
      <c r="B54" s="17" t="str">
        <f>IFERROR(__xludf.DUMMYFUNCTION("""COMPUTED_VALUE"""),"Whiskas")</f>
        <v>Whiskas</v>
      </c>
      <c r="C54" s="17" t="str">
        <f>IFERROR(__xludf.DUMMYFUNCTION("""COMPUTED_VALUE"""),"Tavuklu Konserve Kedi Maması 400 gr 24x")</f>
        <v>Tavuklu Konserve Kedi Maması 400 gr 24x</v>
      </c>
      <c r="D54" s="17"/>
      <c r="E54" s="17" t="str">
        <f>IFERROR(__xludf.DUMMYFUNCTION("""COMPUTED_VALUE"""),"Kedi Konserve Maması")</f>
        <v>Kedi Konserve Maması</v>
      </c>
      <c r="F54" s="17">
        <f>IFERROR(__xludf.DUMMYFUNCTION("""COMPUTED_VALUE"""),2149.0)</f>
        <v>2149</v>
      </c>
      <c r="G54" s="17">
        <f>IFERROR(__xludf.DUMMYFUNCTION("""COMPUTED_VALUE"""),2065.0)</f>
        <v>2065</v>
      </c>
      <c r="H54" s="17">
        <f>IFERROR(__xludf.DUMMYFUNCTION("""COMPUTED_VALUE"""),2.0)</f>
        <v>2</v>
      </c>
      <c r="I54" s="17" t="str">
        <f>IFERROR(__xludf.DUMMYFUNCTION("""COMPUTED_VALUE"""),"Onayli")</f>
        <v>Onayli</v>
      </c>
      <c r="J54" s="40" t="str">
        <f>IF($A54="","",IFERROR(VLOOKUP($A54,'Maliyet Giris'!$A$2:$G$550,6,0),""))</f>
        <v/>
      </c>
      <c r="K54" s="40">
        <f>IF($A54="","",IFERROR(VLOOKUP($A54,'Maliyet Giris'!$A$2:$G$550,7,0),""))</f>
        <v>3</v>
      </c>
    </row>
    <row r="55">
      <c r="A55" s="17" t="str">
        <f>IFERROR(__xludf.DUMMYFUNCTION("""COMPUTED_VALUE"""),"TYBK9VXXS6A8F2MQ14")</f>
        <v>TYBK9VXXS6A8F2MQ14</v>
      </c>
      <c r="B55" s="17" t="str">
        <f>IFERROR(__xludf.DUMMYFUNCTION("""COMPUTED_VALUE"""),"Royal Canin")</f>
        <v>Royal Canin</v>
      </c>
      <c r="C55" s="17" t="str">
        <f>IFERROR(__xludf.DUMMYFUNCTION("""COMPUTED_VALUE"""),"Indoor 7+ Yaşlı Kedi Maması 3,5 kg")</f>
        <v>Indoor 7+ Yaşlı Kedi Maması 3,5 kg</v>
      </c>
      <c r="D55" s="17"/>
      <c r="E55" s="17" t="str">
        <f>IFERROR(__xludf.DUMMYFUNCTION("""COMPUTED_VALUE"""),"Kedi Kuru Maması")</f>
        <v>Kedi Kuru Maması</v>
      </c>
      <c r="F55" s="17">
        <f>IFERROR(__xludf.DUMMYFUNCTION("""COMPUTED_VALUE"""),0.0)</f>
        <v>0</v>
      </c>
      <c r="G55" s="17"/>
      <c r="H55" s="17">
        <f>IFERROR(__xludf.DUMMYFUNCTION("""COMPUTED_VALUE"""),0.0)</f>
        <v>0</v>
      </c>
      <c r="I55" s="17" t="str">
        <f>IFERROR(__xludf.DUMMYFUNCTION("""COMPUTED_VALUE"""),"Onayli - Satista degil")</f>
        <v>Onayli - Satista degil</v>
      </c>
      <c r="J55" s="40">
        <f>IF($A55="","",IFERROR(VLOOKUP($A55,'Maliyet Giris'!$A$2:$G$550,6,0),""))</f>
        <v>1</v>
      </c>
      <c r="K55" s="40">
        <f>IF($A55="","",IFERROR(VLOOKUP($A55,'Maliyet Giris'!$A$2:$G$550,7,0),""))</f>
        <v>3</v>
      </c>
    </row>
    <row r="56">
      <c r="A56" s="17">
        <f>IFERROR(__xludf.DUMMYFUNCTION("""COMPUTED_VALUE"""),8.681002994201E12)</f>
        <v>8681002994201</v>
      </c>
      <c r="B56" s="17" t="str">
        <f>IFERROR(__xludf.DUMMYFUNCTION("""COMPUTED_VALUE"""),"Dreamies")</f>
        <v>Dreamies</v>
      </c>
      <c r="C56" s="17" t="str">
        <f>IFERROR(__xludf.DUMMYFUNCTION("""COMPUTED_VALUE"""),"Somonlu Mega Kedi Ödül Maması 180 G 4X")</f>
        <v>Somonlu Mega Kedi Ödül Maması 180 G 4X</v>
      </c>
      <c r="D56" s="17"/>
      <c r="E56" s="17" t="str">
        <f>IFERROR(__xludf.DUMMYFUNCTION("""COMPUTED_VALUE"""),"Kedi Ödülü")</f>
        <v>Kedi Ödülü</v>
      </c>
      <c r="F56" s="17">
        <f>IFERROR(__xludf.DUMMYFUNCTION("""COMPUTED_VALUE"""),750.0)</f>
        <v>750</v>
      </c>
      <c r="G56" s="17">
        <f>IFERROR(__xludf.DUMMYFUNCTION("""COMPUTED_VALUE"""),414.5)</f>
        <v>414.5</v>
      </c>
      <c r="H56" s="17">
        <f>IFERROR(__xludf.DUMMYFUNCTION("""COMPUTED_VALUE"""),100.0)</f>
        <v>100</v>
      </c>
      <c r="I56" s="17" t="str">
        <f>IFERROR(__xludf.DUMMYFUNCTION("""COMPUTED_VALUE"""),"Onayli")</f>
        <v>Onayli</v>
      </c>
      <c r="J56" s="40">
        <f>IF($A56="","",IFERROR(VLOOKUP($A56,'Maliyet Giris'!$A$2:$G$550,6,0),""))</f>
        <v>85</v>
      </c>
      <c r="K56" s="40">
        <f>IF($A56="","",IFERROR(VLOOKUP($A56,'Maliyet Giris'!$A$2:$G$550,7,0),""))</f>
        <v>0.5</v>
      </c>
    </row>
    <row r="57">
      <c r="A57" s="17" t="str">
        <f>IFERROR(__xludf.DUMMYFUNCTION("""COMPUTED_VALUE"""),"TYBUE8L7NU7ALS2Y13")</f>
        <v>TYBUE8L7NU7ALS2Y13</v>
      </c>
      <c r="B57" s="17" t="str">
        <f>IFERROR(__xludf.DUMMYFUNCTION("""COMPUTED_VALUE"""),"Royal Canin")</f>
        <v>Royal Canin</v>
      </c>
      <c r="C57" s="17" t="str">
        <f>IFERROR(__xludf.DUMMYFUNCTION("""COMPUTED_VALUE"""),"Royal Canın French Bulldog Puppy 3kg")</f>
        <v>Royal Canın French Bulldog Puppy 3kg</v>
      </c>
      <c r="D57" s="17"/>
      <c r="E57" s="17" t="str">
        <f>IFERROR(__xludf.DUMMYFUNCTION("""COMPUTED_VALUE"""),"Köpek Kuru Maması")</f>
        <v>Köpek Kuru Maması</v>
      </c>
      <c r="F57" s="17">
        <f>IFERROR(__xludf.DUMMYFUNCTION("""COMPUTED_VALUE"""),0.0)</f>
        <v>0</v>
      </c>
      <c r="G57" s="17"/>
      <c r="H57" s="17">
        <f>IFERROR(__xludf.DUMMYFUNCTION("""COMPUTED_VALUE"""),0.0)</f>
        <v>0</v>
      </c>
      <c r="I57" s="17" t="str">
        <f>IFERROR(__xludf.DUMMYFUNCTION("""COMPUTED_VALUE"""),"Onayli - Satista degil")</f>
        <v>Onayli - Satista degil</v>
      </c>
      <c r="J57" s="40">
        <f>IF($A57="","",IFERROR(VLOOKUP($A57,'Maliyet Giris'!$A$2:$G$550,6,0),""))</f>
        <v>1228</v>
      </c>
      <c r="K57" s="40">
        <f>IF($A57="","",IFERROR(VLOOKUP($A57,'Maliyet Giris'!$A$2:$G$550,7,0),""))</f>
        <v>3</v>
      </c>
    </row>
    <row r="58">
      <c r="A58" s="17">
        <f>IFERROR(__xludf.DUMMYFUNCTION("""COMPUTED_VALUE"""),3.182550784399E12)</f>
        <v>3182550784399</v>
      </c>
      <c r="B58" s="17" t="str">
        <f>IFERROR(__xludf.DUMMYFUNCTION("""COMPUTED_VALUE"""),"Royal Canin")</f>
        <v>Royal Canin</v>
      </c>
      <c r="C58" s="17" t="str">
        <f>IFERROR(__xludf.DUMMYFUNCTION("""COMPUTED_VALUE"""),"Indoor 7 Ev Kedileri Için Yaşlı Kedi Maması 1,5kg")</f>
        <v>Indoor 7 Ev Kedileri Için Yaşlı Kedi Maması 1,5kg</v>
      </c>
      <c r="D58" s="17"/>
      <c r="E58" s="17" t="str">
        <f>IFERROR(__xludf.DUMMYFUNCTION("""COMPUTED_VALUE"""),"Kedi Kuru Maması")</f>
        <v>Kedi Kuru Maması</v>
      </c>
      <c r="F58" s="17">
        <f>IFERROR(__xludf.DUMMYFUNCTION("""COMPUTED_VALUE"""),0.0)</f>
        <v>0</v>
      </c>
      <c r="G58" s="17"/>
      <c r="H58" s="17">
        <f>IFERROR(__xludf.DUMMYFUNCTION("""COMPUTED_VALUE"""),0.0)</f>
        <v>0</v>
      </c>
      <c r="I58" s="17" t="str">
        <f>IFERROR(__xludf.DUMMYFUNCTION("""COMPUTED_VALUE"""),"Onayli - Satista degil")</f>
        <v>Onayli - Satista degil</v>
      </c>
      <c r="J58" s="40">
        <f>IF($A58="","",IFERROR(VLOOKUP($A58,'Maliyet Giris'!$A$2:$G$550,6,0),""))</f>
        <v>1</v>
      </c>
      <c r="K58" s="40">
        <f>IF($A58="","",IFERROR(VLOOKUP($A58,'Maliyet Giris'!$A$2:$G$550,7,0),""))</f>
        <v>3</v>
      </c>
    </row>
    <row r="59">
      <c r="A59" s="17" t="str">
        <f>IFERROR(__xludf.DUMMYFUNCTION("""COMPUTED_VALUE"""),"TYBPC0369DN0S47078")</f>
        <v>TYBPC0369DN0S47078</v>
      </c>
      <c r="B59" s="17" t="str">
        <f>IFERROR(__xludf.DUMMYFUNCTION("""COMPUTED_VALUE"""),"Whiskas")</f>
        <v>Whiskas</v>
      </c>
      <c r="C59" s="17" t="str">
        <f>IFERROR(__xludf.DUMMYFUNCTION("""COMPUTED_VALUE"""),"Sığır - Tavuk - Somon - Ton Balıklı Karışık Yaş Kedi Maması 28 Adet 85 Gr.")</f>
        <v>Sığır - Tavuk - Somon - Ton Balıklı Karışık Yaş Kedi Maması 28 Adet 85 Gr.</v>
      </c>
      <c r="D59" s="17"/>
      <c r="E59" s="17" t="str">
        <f>IFERROR(__xludf.DUMMYFUNCTION("""COMPUTED_VALUE"""),"Kedi Konserve Maması")</f>
        <v>Kedi Konserve Maması</v>
      </c>
      <c r="F59" s="17">
        <f>IFERROR(__xludf.DUMMYFUNCTION("""COMPUTED_VALUE"""),859.0)</f>
        <v>859</v>
      </c>
      <c r="G59" s="17">
        <f>IFERROR(__xludf.DUMMYFUNCTION("""COMPUTED_VALUE"""),690.0)</f>
        <v>690</v>
      </c>
      <c r="H59" s="17">
        <f>IFERROR(__xludf.DUMMYFUNCTION("""COMPUTED_VALUE"""),97.0)</f>
        <v>97</v>
      </c>
      <c r="I59" s="17" t="str">
        <f>IFERROR(__xludf.DUMMYFUNCTION("""COMPUTED_VALUE"""),"Onayli")</f>
        <v>Onayli</v>
      </c>
      <c r="J59" s="40">
        <f>IF($A59="","",IFERROR(VLOOKUP($A59,'Maliyet Giris'!$A$2:$G$550,6,0),""))</f>
        <v>1</v>
      </c>
      <c r="K59" s="40">
        <f>IF($A59="","",IFERROR(VLOOKUP($A59,'Maliyet Giris'!$A$2:$G$550,7,0),""))</f>
        <v>3</v>
      </c>
    </row>
    <row r="60">
      <c r="A60" s="17">
        <f>IFERROR(__xludf.DUMMYFUNCTION("""COMPUTED_VALUE"""),8.745236589541E12)</f>
        <v>8745236589541</v>
      </c>
      <c r="B60" s="17" t="str">
        <f>IFERROR(__xludf.DUMMYFUNCTION("""COMPUTED_VALUE"""),"FELIX")</f>
        <v>FELIX</v>
      </c>
      <c r="C60" s="17" t="str">
        <f>IFERROR(__xludf.DUMMYFUNCTION("""COMPUTED_VALUE"""),"Pouch Karışık Yaş Kedi Maması 100 Adet")</f>
        <v>Pouch Karışık Yaş Kedi Maması 100 Adet</v>
      </c>
      <c r="D60" s="17"/>
      <c r="E60" s="17" t="str">
        <f>IFERROR(__xludf.DUMMYFUNCTION("""COMPUTED_VALUE"""),"Kedi Konserve Maması")</f>
        <v>Kedi Konserve Maması</v>
      </c>
      <c r="F60" s="17">
        <f>IFERROR(__xludf.DUMMYFUNCTION("""COMPUTED_VALUE"""),2247.0)</f>
        <v>2247</v>
      </c>
      <c r="G60" s="17">
        <f>IFERROR(__xludf.DUMMYFUNCTION("""COMPUTED_VALUE"""),2247.0)</f>
        <v>2247</v>
      </c>
      <c r="H60" s="17">
        <f>IFERROR(__xludf.DUMMYFUNCTION("""COMPUTED_VALUE"""),498.0)</f>
        <v>498</v>
      </c>
      <c r="I60" s="17" t="str">
        <f>IFERROR(__xludf.DUMMYFUNCTION("""COMPUTED_VALUE"""),"Onayli")</f>
        <v>Onayli</v>
      </c>
      <c r="J60" s="40">
        <f>IF($A60="","",IFERROR(VLOOKUP($A60,'Maliyet Giris'!$A$2:$G$550,6,0),""))</f>
        <v>1500</v>
      </c>
      <c r="K60" s="40">
        <f>IF($A60="","",IFERROR(VLOOKUP($A60,'Maliyet Giris'!$A$2:$G$550,7,0),""))</f>
        <v>3</v>
      </c>
    </row>
    <row r="61">
      <c r="A61" s="17">
        <f>IFERROR(__xludf.DUMMYFUNCTION("""COMPUTED_VALUE"""),8.694867251443E12)</f>
        <v>8694867251443</v>
      </c>
      <c r="B61" s="17" t="str">
        <f>IFERROR(__xludf.DUMMYFUNCTION("""COMPUTED_VALUE"""),"Purina Felix")</f>
        <v>Purina Felix</v>
      </c>
      <c r="C61" s="17" t="str">
        <f>IFERROR(__xludf.DUMMYFUNCTION("""COMPUTED_VALUE"""),"Felix Karışık Yaş Kedi Maması 20 Adet")</f>
        <v>Felix Karışık Yaş Kedi Maması 20 Adet</v>
      </c>
      <c r="D61" s="17"/>
      <c r="E61" s="17" t="str">
        <f>IFERROR(__xludf.DUMMYFUNCTION("""COMPUTED_VALUE"""),"Kedi Konserve Maması")</f>
        <v>Kedi Konserve Maması</v>
      </c>
      <c r="F61" s="17">
        <f>IFERROR(__xludf.DUMMYFUNCTION("""COMPUTED_VALUE"""),680.0)</f>
        <v>680</v>
      </c>
      <c r="G61" s="17">
        <f>IFERROR(__xludf.DUMMYFUNCTION("""COMPUTED_VALUE"""),476.0)</f>
        <v>476</v>
      </c>
      <c r="H61" s="17">
        <f>IFERROR(__xludf.DUMMYFUNCTION("""COMPUTED_VALUE"""),990.0)</f>
        <v>990</v>
      </c>
      <c r="I61" s="17" t="str">
        <f>IFERROR(__xludf.DUMMYFUNCTION("""COMPUTED_VALUE"""),"Onayli")</f>
        <v>Onayli</v>
      </c>
      <c r="J61" s="40">
        <f>IF($A61="","",IFERROR(VLOOKUP($A61,'Maliyet Giris'!$A$2:$G$550,6,0),""))</f>
        <v>300</v>
      </c>
      <c r="K61" s="40">
        <f>IF($A61="","",IFERROR(VLOOKUP($A61,'Maliyet Giris'!$A$2:$G$550,7,0),""))</f>
        <v>3</v>
      </c>
    </row>
    <row r="62">
      <c r="A62" s="17" t="str">
        <f>IFERROR(__xludf.DUMMYFUNCTION("""COMPUTED_VALUE"""),"TYPET19")</f>
        <v>TYPET19</v>
      </c>
      <c r="B62" s="17" t="str">
        <f>IFERROR(__xludf.DUMMYFUNCTION("""COMPUTED_VALUE"""),"FELIX")</f>
        <v>FELIX</v>
      </c>
      <c r="C62" s="17" t="str">
        <f>IFERROR(__xludf.DUMMYFUNCTION("""COMPUTED_VALUE"""),"Karma Paket Kedi Konserve Maması 28 Adet X 85gr")</f>
        <v>Karma Paket Kedi Konserve Maması 28 Adet X 85gr</v>
      </c>
      <c r="D62" s="17"/>
      <c r="E62" s="17" t="str">
        <f>IFERROR(__xludf.DUMMYFUNCTION("""COMPUTED_VALUE"""),"Kedi Konserve Maması")</f>
        <v>Kedi Konserve Maması</v>
      </c>
      <c r="F62" s="17">
        <f>IFERROR(__xludf.DUMMYFUNCTION("""COMPUTED_VALUE"""),629.0)</f>
        <v>629</v>
      </c>
      <c r="G62" s="17">
        <f>IFERROR(__xludf.DUMMYFUNCTION("""COMPUTED_VALUE"""),630.0)</f>
        <v>630</v>
      </c>
      <c r="H62" s="17">
        <f>IFERROR(__xludf.DUMMYFUNCTION("""COMPUTED_VALUE"""),998.0)</f>
        <v>998</v>
      </c>
      <c r="I62" s="17" t="str">
        <f>IFERROR(__xludf.DUMMYFUNCTION("""COMPUTED_VALUE"""),"Onayli")</f>
        <v>Onayli</v>
      </c>
      <c r="J62" s="40">
        <f>IF($A62="","",IFERROR(VLOOKUP($A62,'Maliyet Giris'!$A$2:$G$550,6,0),""))</f>
        <v>420</v>
      </c>
      <c r="K62" s="40">
        <f>IF($A62="","",IFERROR(VLOOKUP($A62,'Maliyet Giris'!$A$2:$G$550,7,0),""))</f>
        <v>3</v>
      </c>
    </row>
    <row r="63">
      <c r="A63" s="17" t="str">
        <f>IFERROR(__xludf.DUMMYFUNCTION("""COMPUTED_VALUE"""),"63773829299393728")</f>
        <v>63773829299393728</v>
      </c>
      <c r="B63" s="17" t="str">
        <f>IFERROR(__xludf.DUMMYFUNCTION("""COMPUTED_VALUE"""),"FELIX")</f>
        <v>FELIX</v>
      </c>
      <c r="C63" s="17" t="str">
        <f>IFERROR(__xludf.DUMMYFUNCTION("""COMPUTED_VALUE"""),"Karışık Yaş Kedi Maması Serisi 12 Adet Yeni Çeşitleri Ile")</f>
        <v>Karışık Yaş Kedi Maması Serisi 12 Adet Yeni Çeşitleri Ile</v>
      </c>
      <c r="D63" s="17"/>
      <c r="E63" s="17" t="str">
        <f>IFERROR(__xludf.DUMMYFUNCTION("""COMPUTED_VALUE"""),"Kedi Kuru Maması")</f>
        <v>Kedi Kuru Maması</v>
      </c>
      <c r="F63" s="17">
        <f>IFERROR(__xludf.DUMMYFUNCTION("""COMPUTED_VALUE"""),319.0)</f>
        <v>319</v>
      </c>
      <c r="G63" s="17">
        <f>IFERROR(__xludf.DUMMYFUNCTION("""COMPUTED_VALUE"""),319.0)</f>
        <v>319</v>
      </c>
      <c r="H63" s="17">
        <f>IFERROR(__xludf.DUMMYFUNCTION("""COMPUTED_VALUE"""),170.0)</f>
        <v>170</v>
      </c>
      <c r="I63" s="17" t="str">
        <f>IFERROR(__xludf.DUMMYFUNCTION("""COMPUTED_VALUE"""),"Onayli")</f>
        <v>Onayli</v>
      </c>
      <c r="J63" s="40">
        <f>IF($A63="","",IFERROR(VLOOKUP($A63,'Maliyet Giris'!$A$2:$G$550,6,0),""))</f>
        <v>180</v>
      </c>
      <c r="K63" s="40">
        <f>IF($A63="","",IFERROR(VLOOKUP($A63,'Maliyet Giris'!$A$2:$G$550,7,0),""))</f>
        <v>3</v>
      </c>
    </row>
    <row r="64">
      <c r="A64" s="17">
        <f>IFERROR(__xludf.DUMMYFUNCTION("""COMPUTED_VALUE"""),1.613036962014E12)</f>
        <v>1613036962014</v>
      </c>
      <c r="B64" s="17" t="str">
        <f>IFERROR(__xludf.DUMMYFUNCTION("""COMPUTED_VALUE"""),"FELIX")</f>
        <v>FELIX</v>
      </c>
      <c r="C64" s="17" t="str">
        <f>IFERROR(__xludf.DUMMYFUNCTION("""COMPUTED_VALUE"""),"Somonlu Ton Balıklı Yaş Kedi Maması X 20 Adet")</f>
        <v>Somonlu Ton Balıklı Yaş Kedi Maması X 20 Adet</v>
      </c>
      <c r="D64" s="17"/>
      <c r="E64" s="17" t="str">
        <f>IFERROR(__xludf.DUMMYFUNCTION("""COMPUTED_VALUE"""),"Kedi Kuru Maması")</f>
        <v>Kedi Kuru Maması</v>
      </c>
      <c r="F64" s="17">
        <f>IFERROR(__xludf.DUMMYFUNCTION("""COMPUTED_VALUE"""),725.0)</f>
        <v>725</v>
      </c>
      <c r="G64" s="17">
        <f>IFERROR(__xludf.DUMMYFUNCTION("""COMPUTED_VALUE"""),725.0)</f>
        <v>725</v>
      </c>
      <c r="H64" s="17">
        <f>IFERROR(__xludf.DUMMYFUNCTION("""COMPUTED_VALUE"""),200.0)</f>
        <v>200</v>
      </c>
      <c r="I64" s="17" t="str">
        <f>IFERROR(__xludf.DUMMYFUNCTION("""COMPUTED_VALUE"""),"Onayli")</f>
        <v>Onayli</v>
      </c>
      <c r="J64" s="40">
        <f>IF($A64="","",IFERROR(VLOOKUP($A64,'Maliyet Giris'!$A$2:$G$550,6,0),""))</f>
        <v>300</v>
      </c>
      <c r="K64" s="40">
        <f>IF($A64="","",IFERROR(VLOOKUP($A64,'Maliyet Giris'!$A$2:$G$550,7,0),""))</f>
        <v>3</v>
      </c>
    </row>
    <row r="65">
      <c r="A65" s="17">
        <f>IFERROR(__xludf.DUMMYFUNCTION("""COMPUTED_VALUE"""),8.681002997592E12)</f>
        <v>8681002997592</v>
      </c>
      <c r="B65" s="17" t="str">
        <f>IFERROR(__xludf.DUMMYFUNCTION("""COMPUTED_VALUE"""),"Dreamies")</f>
        <v>Dreamies</v>
      </c>
      <c r="C65" s="17" t="str">
        <f>IFERROR(__xludf.DUMMYFUNCTION("""COMPUTED_VALUE"""),"Kedi Ödül Maması Karışık Paket 60 Gr X 36 Adet")</f>
        <v>Kedi Ödül Maması Karışık Paket 60 Gr X 36 Adet</v>
      </c>
      <c r="D65" s="17"/>
      <c r="E65" s="17" t="str">
        <f>IFERROR(__xludf.DUMMYFUNCTION("""COMPUTED_VALUE"""),"Kedi Ödülü")</f>
        <v>Kedi Ödülü</v>
      </c>
      <c r="F65" s="17">
        <f>IFERROR(__xludf.DUMMYFUNCTION("""COMPUTED_VALUE"""),1750.0)</f>
        <v>1750</v>
      </c>
      <c r="G65" s="17">
        <f>IFERROR(__xludf.DUMMYFUNCTION("""COMPUTED_VALUE"""),1455.0)</f>
        <v>1455</v>
      </c>
      <c r="H65" s="17">
        <f>IFERROR(__xludf.DUMMYFUNCTION("""COMPUTED_VALUE"""),99.0)</f>
        <v>99</v>
      </c>
      <c r="I65" s="17" t="str">
        <f>IFERROR(__xludf.DUMMYFUNCTION("""COMPUTED_VALUE"""),"Onayli")</f>
        <v>Onayli</v>
      </c>
      <c r="J65" s="40">
        <f>IF($A65="","",IFERROR(VLOOKUP($A65,'Maliyet Giris'!$A$2:$G$550,6,0),""))</f>
        <v>100</v>
      </c>
      <c r="K65" s="40">
        <f>IF($A65="","",IFERROR(VLOOKUP($A65,'Maliyet Giris'!$A$2:$G$550,7,0),""))</f>
        <v>0.5</v>
      </c>
    </row>
    <row r="66">
      <c r="A66" s="17">
        <f>IFERROR(__xludf.DUMMYFUNCTION("""COMPUTED_VALUE"""),6.2420056724154E13)</f>
        <v>62420056724154</v>
      </c>
      <c r="B66" s="17" t="str">
        <f>IFERROR(__xludf.DUMMYFUNCTION("""COMPUTED_VALUE"""),"Dreamies")</f>
        <v>Dreamies</v>
      </c>
      <c r="C66" s="17" t="str">
        <f>IFERROR(__xludf.DUMMYFUNCTION("""COMPUTED_VALUE"""),"Kedi Ödül Maması Karışık 60 gr X 24 Adet")</f>
        <v>Kedi Ödül Maması Karışık 60 gr X 24 Adet</v>
      </c>
      <c r="D66" s="17"/>
      <c r="E66" s="17" t="str">
        <f>IFERROR(__xludf.DUMMYFUNCTION("""COMPUTED_VALUE"""),"Kedi Kuru Maması")</f>
        <v>Kedi Kuru Maması</v>
      </c>
      <c r="F66" s="17">
        <f>IFERROR(__xludf.DUMMYFUNCTION("""COMPUTED_VALUE"""),1350.0)</f>
        <v>1350</v>
      </c>
      <c r="G66" s="17">
        <f>IFERROR(__xludf.DUMMYFUNCTION("""COMPUTED_VALUE"""),1019.08)</f>
        <v>1019.08</v>
      </c>
      <c r="H66" s="17">
        <f>IFERROR(__xludf.DUMMYFUNCTION("""COMPUTED_VALUE"""),1000.0)</f>
        <v>1000</v>
      </c>
      <c r="I66" s="17" t="str">
        <f>IFERROR(__xludf.DUMMYFUNCTION("""COMPUTED_VALUE"""),"Onayli")</f>
        <v>Onayli</v>
      </c>
      <c r="J66" s="40">
        <f>IF($A66="","",IFERROR(VLOOKUP($A66,'Maliyet Giris'!$A$2:$G$550,6,0),""))</f>
        <v>10</v>
      </c>
      <c r="K66" s="40">
        <f>IF($A66="","",IFERROR(VLOOKUP($A66,'Maliyet Giris'!$A$2:$G$550,7,0),""))</f>
        <v>3</v>
      </c>
    </row>
    <row r="67">
      <c r="A67" s="17" t="str">
        <f>IFERROR(__xludf.DUMMYFUNCTION("""COMPUTED_VALUE"""),"TYBJH953EK2C3Z3444")</f>
        <v>TYBJH953EK2C3Z3444</v>
      </c>
      <c r="B67" s="17" t="str">
        <f>IFERROR(__xludf.DUMMYFUNCTION("""COMPUTED_VALUE"""),"Dreamies")</f>
        <v>Dreamies</v>
      </c>
      <c r="C67" s="17" t="str">
        <f>IFERROR(__xludf.DUMMYFUNCTION("""COMPUTED_VALUE"""),"Kedi Ödülü Seti Sığırlı, Somonlu, Peynirli, Tavuklu, Somonlu Peynir, Ördekli 6 Adet")</f>
        <v>Kedi Ödülü Seti Sığırlı, Somonlu, Peynirli, Tavuklu, Somonlu Peynir, Ördekli 6 Adet</v>
      </c>
      <c r="D67" s="17"/>
      <c r="E67" s="17" t="str">
        <f>IFERROR(__xludf.DUMMYFUNCTION("""COMPUTED_VALUE"""),"Kedi Ödülü")</f>
        <v>Kedi Ödülü</v>
      </c>
      <c r="F67" s="17">
        <f>IFERROR(__xludf.DUMMYFUNCTION("""COMPUTED_VALUE"""),700.0)</f>
        <v>700</v>
      </c>
      <c r="G67" s="17">
        <f>IFERROR(__xludf.DUMMYFUNCTION("""COMPUTED_VALUE"""),374.0)</f>
        <v>374</v>
      </c>
      <c r="H67" s="17">
        <f>IFERROR(__xludf.DUMMYFUNCTION("""COMPUTED_VALUE"""),100.0)</f>
        <v>100</v>
      </c>
      <c r="I67" s="17" t="str">
        <f>IFERROR(__xludf.DUMMYFUNCTION("""COMPUTED_VALUE"""),"Onayli")</f>
        <v>Onayli</v>
      </c>
      <c r="J67" s="40">
        <f>IF($A67="","",IFERROR(VLOOKUP($A67,'Maliyet Giris'!$A$2:$G$550,6,0),""))</f>
        <v>10</v>
      </c>
      <c r="K67" s="40">
        <f>IF($A67="","",IFERROR(VLOOKUP($A67,'Maliyet Giris'!$A$2:$G$550,7,0),""))</f>
        <v>0.5</v>
      </c>
    </row>
    <row r="68">
      <c r="A68" s="17">
        <f>IFERROR(__xludf.DUMMYFUNCTION("""COMPUTED_VALUE"""),5.998749129968E12)</f>
        <v>5998749129968</v>
      </c>
      <c r="B68" s="17" t="str">
        <f>IFERROR(__xludf.DUMMYFUNCTION("""COMPUTED_VALUE"""),"Whiskas")</f>
        <v>Whiskas</v>
      </c>
      <c r="C68" s="17" t="str">
        <f>IFERROR(__xludf.DUMMYFUNCTION("""COMPUTED_VALUE"""),"Ton Balıklı 1,4 Kg Kuru Mama")</f>
        <v>Ton Balıklı 1,4 Kg Kuru Mama</v>
      </c>
      <c r="D68" s="17"/>
      <c r="E68" s="17" t="str">
        <f>IFERROR(__xludf.DUMMYFUNCTION("""COMPUTED_VALUE"""),"Kedi Kuru Maması")</f>
        <v>Kedi Kuru Maması</v>
      </c>
      <c r="F68" s="17">
        <f>IFERROR(__xludf.DUMMYFUNCTION("""COMPUTED_VALUE"""),600.0)</f>
        <v>600</v>
      </c>
      <c r="G68" s="17"/>
      <c r="H68" s="17">
        <f>IFERROR(__xludf.DUMMYFUNCTION("""COMPUTED_VALUE"""),0.0)</f>
        <v>0</v>
      </c>
      <c r="I68" s="17" t="str">
        <f>IFERROR(__xludf.DUMMYFUNCTION("""COMPUTED_VALUE"""),"Onayli - Satista degil")</f>
        <v>Onayli - Satista degil</v>
      </c>
      <c r="J68" s="40">
        <f>IF($A68="","",IFERROR(VLOOKUP($A68,'Maliyet Giris'!$A$2:$G$550,6,0),""))</f>
        <v>1</v>
      </c>
      <c r="K68" s="40">
        <f>IF($A68="","",IFERROR(VLOOKUP($A68,'Maliyet Giris'!$A$2:$G$550,7,0),""))</f>
        <v>3</v>
      </c>
    </row>
    <row r="69">
      <c r="A69" s="17">
        <f>IFERROR(__xludf.DUMMYFUNCTION("""COMPUTED_VALUE"""),5.900951014345E12)</f>
        <v>5900951014345</v>
      </c>
      <c r="B69" s="17" t="str">
        <f>IFERROR(__xludf.DUMMYFUNCTION("""COMPUTED_VALUE"""),"Whiskas")</f>
        <v>Whiskas</v>
      </c>
      <c r="C69" s="17" t="str">
        <f>IFERROR(__xludf.DUMMYFUNCTION("""COMPUTED_VALUE"""),"Biftekli Yetişkin Kedi Maması 14 Kg")</f>
        <v>Biftekli Yetişkin Kedi Maması 14 Kg</v>
      </c>
      <c r="D69" s="17"/>
      <c r="E69" s="17" t="str">
        <f>IFERROR(__xludf.DUMMYFUNCTION("""COMPUTED_VALUE"""),"Kedi Kuru Maması")</f>
        <v>Kedi Kuru Maması</v>
      </c>
      <c r="F69" s="17">
        <f>IFERROR(__xludf.DUMMYFUNCTION("""COMPUTED_VALUE"""),5500.0)</f>
        <v>5500</v>
      </c>
      <c r="G69" s="17"/>
      <c r="H69" s="17">
        <f>IFERROR(__xludf.DUMMYFUNCTION("""COMPUTED_VALUE"""),0.0)</f>
        <v>0</v>
      </c>
      <c r="I69" s="17" t="str">
        <f>IFERROR(__xludf.DUMMYFUNCTION("""COMPUTED_VALUE"""),"Onayli - Satista degil")</f>
        <v>Onayli - Satista degil</v>
      </c>
      <c r="J69" s="40" t="str">
        <f>IF($A69="","",IFERROR(VLOOKUP($A69,'Maliyet Giris'!$A$2:$G$550,6,0),""))</f>
        <v/>
      </c>
      <c r="K69" s="40">
        <f>IF($A69="","",IFERROR(VLOOKUP($A69,'Maliyet Giris'!$A$2:$G$550,7,0),""))</f>
        <v>3</v>
      </c>
    </row>
    <row r="70">
      <c r="A70" s="17">
        <f>IFERROR(__xludf.DUMMYFUNCTION("""COMPUTED_VALUE"""),4.77060823913824E14)</f>
        <v>477060823913824</v>
      </c>
      <c r="B70" s="17" t="str">
        <f>IFERROR(__xludf.DUMMYFUNCTION("""COMPUTED_VALUE"""),"Whiskas")</f>
        <v>Whiskas</v>
      </c>
      <c r="C70" s="17" t="str">
        <f>IFERROR(__xludf.DUMMYFUNCTION("""COMPUTED_VALUE"""),"Klasik Öğünler Sos Içinde Sığırlı Ve Tavuklu Yetişkin Kedi Maması 24 X 85 G")</f>
        <v>Klasik Öğünler Sos Içinde Sığırlı Ve Tavuklu Yetişkin Kedi Maması 24 X 85 G</v>
      </c>
      <c r="D70" s="17"/>
      <c r="E70" s="17" t="str">
        <f>IFERROR(__xludf.DUMMYFUNCTION("""COMPUTED_VALUE"""),"Kedi Konserve Maması")</f>
        <v>Kedi Konserve Maması</v>
      </c>
      <c r="F70" s="17">
        <f>IFERROR(__xludf.DUMMYFUNCTION("""COMPUTED_VALUE"""),800.0)</f>
        <v>800</v>
      </c>
      <c r="G70" s="17">
        <f>IFERROR(__xludf.DUMMYFUNCTION("""COMPUTED_VALUE"""),800.0)</f>
        <v>800</v>
      </c>
      <c r="H70" s="17">
        <f>IFERROR(__xludf.DUMMYFUNCTION("""COMPUTED_VALUE"""),100.0)</f>
        <v>100</v>
      </c>
      <c r="I70" s="17" t="str">
        <f>IFERROR(__xludf.DUMMYFUNCTION("""COMPUTED_VALUE"""),"Onayli")</f>
        <v>Onayli</v>
      </c>
      <c r="J70" s="40">
        <f>IF($A70="","",IFERROR(VLOOKUP($A70,'Maliyet Giris'!$A$2:$G$550,6,0),""))</f>
        <v>1</v>
      </c>
      <c r="K70" s="40">
        <f>IF($A70="","",IFERROR(VLOOKUP($A70,'Maliyet Giris'!$A$2:$G$550,7,0),""))</f>
        <v>3</v>
      </c>
    </row>
    <row r="71">
      <c r="A71" s="17">
        <f>IFERROR(__xludf.DUMMYFUNCTION("""COMPUTED_VALUE"""),8.68447746204E12)</f>
        <v>8684477462040</v>
      </c>
      <c r="B71" s="17" t="str">
        <f>IFERROR(__xludf.DUMMYFUNCTION("""COMPUTED_VALUE"""),"Felicia")</f>
        <v>Felicia</v>
      </c>
      <c r="C71" s="17" t="str">
        <f>IFERROR(__xludf.DUMMYFUNCTION("""COMPUTED_VALUE"""),"2 Adet Adult Cat Light &amp; Sterilised Somonlu Kısır Yetişkin Kedi Maması 2 kg x 2 = 4 kg")</f>
        <v>2 Adet Adult Cat Light &amp; Sterilised Somonlu Kısır Yetişkin Kedi Maması 2 kg x 2 = 4 kg</v>
      </c>
      <c r="D71" s="17"/>
      <c r="E71" s="17" t="str">
        <f>IFERROR(__xludf.DUMMYFUNCTION("""COMPUTED_VALUE"""),"Kedi Kuru Maması")</f>
        <v>Kedi Kuru Maması</v>
      </c>
      <c r="F71" s="17">
        <f>IFERROR(__xludf.DUMMYFUNCTION("""COMPUTED_VALUE"""),1188.0)</f>
        <v>1188</v>
      </c>
      <c r="G71" s="17"/>
      <c r="H71" s="17">
        <f>IFERROR(__xludf.DUMMYFUNCTION("""COMPUTED_VALUE"""),0.0)</f>
        <v>0</v>
      </c>
      <c r="I71" s="17" t="str">
        <f>IFERROR(__xludf.DUMMYFUNCTION("""COMPUTED_VALUE"""),"Onayli - Satista degil")</f>
        <v>Onayli - Satista degil</v>
      </c>
      <c r="J71" s="40">
        <f>IF($A71="","",IFERROR(VLOOKUP($A71,'Maliyet Giris'!$A$2:$G$550,6,0),""))</f>
        <v>743</v>
      </c>
      <c r="K71" s="40">
        <f>IF($A71="","",IFERROR(VLOOKUP($A71,'Maliyet Giris'!$A$2:$G$550,7,0),""))</f>
        <v>3</v>
      </c>
    </row>
    <row r="72">
      <c r="A72" s="17">
        <f>IFERROR(__xludf.DUMMYFUNCTION("""COMPUTED_VALUE"""),3.208202001E9)</f>
        <v>3208202001</v>
      </c>
      <c r="B72" s="17" t="str">
        <f>IFERROR(__xludf.DUMMYFUNCTION("""COMPUTED_VALUE"""),"Felicia")</f>
        <v>Felicia</v>
      </c>
      <c r="C72" s="17" t="str">
        <f>IFERROR(__xludf.DUMMYFUNCTION("""COMPUTED_VALUE"""),"Kitten Mother &amp; Kitten Kuzu Etli Yavru Kedi Maması 2 Kg")</f>
        <v>Kitten Mother &amp; Kitten Kuzu Etli Yavru Kedi Maması 2 Kg</v>
      </c>
      <c r="D72" s="17"/>
      <c r="E72" s="17" t="str">
        <f>IFERROR(__xludf.DUMMYFUNCTION("""COMPUTED_VALUE"""),"Kedi Kuru Maması")</f>
        <v>Kedi Kuru Maması</v>
      </c>
      <c r="F72" s="17">
        <f>IFERROR(__xludf.DUMMYFUNCTION("""COMPUTED_VALUE"""),625.0)</f>
        <v>625</v>
      </c>
      <c r="G72" s="17"/>
      <c r="H72" s="17">
        <f>IFERROR(__xludf.DUMMYFUNCTION("""COMPUTED_VALUE"""),0.0)</f>
        <v>0</v>
      </c>
      <c r="I72" s="17" t="str">
        <f>IFERROR(__xludf.DUMMYFUNCTION("""COMPUTED_VALUE"""),"Onayli - Satista degil")</f>
        <v>Onayli - Satista degil</v>
      </c>
      <c r="J72" s="40">
        <f>IF($A72="","",IFERROR(VLOOKUP($A72,'Maliyet Giris'!$A$2:$G$550,6,0),""))</f>
        <v>406</v>
      </c>
      <c r="K72" s="40">
        <f>IF($A72="","",IFERROR(VLOOKUP($A72,'Maliyet Giris'!$A$2:$G$550,7,0),""))</f>
        <v>3</v>
      </c>
    </row>
    <row r="73">
      <c r="A73" s="17">
        <f>IFERROR(__xludf.DUMMYFUNCTION("""COMPUTED_VALUE"""),8.681299601295E12)</f>
        <v>8681299601295</v>
      </c>
      <c r="B73" s="17" t="str">
        <f>IFERROR(__xludf.DUMMYFUNCTION("""COMPUTED_VALUE"""),"Felicia")</f>
        <v>Felicia</v>
      </c>
      <c r="C73" s="17" t="str">
        <f>IFERROR(__xludf.DUMMYFUNCTION("""COMPUTED_VALUE"""),"12 Kg Yetişkin Tavuklu Az Tahıllı HypoAllergenic Kedi Maması")</f>
        <v>12 Kg Yetişkin Tavuklu Az Tahıllı HypoAllergenic Kedi Maması</v>
      </c>
      <c r="D73" s="17"/>
      <c r="E73" s="17" t="str">
        <f>IFERROR(__xludf.DUMMYFUNCTION("""COMPUTED_VALUE"""),"Kedi Kuru Maması")</f>
        <v>Kedi Kuru Maması</v>
      </c>
      <c r="F73" s="17">
        <f>IFERROR(__xludf.DUMMYFUNCTION("""COMPUTED_VALUE"""),2999.0)</f>
        <v>2999</v>
      </c>
      <c r="G73" s="17"/>
      <c r="H73" s="17">
        <f>IFERROR(__xludf.DUMMYFUNCTION("""COMPUTED_VALUE"""),0.0)</f>
        <v>0</v>
      </c>
      <c r="I73" s="17" t="str">
        <f>IFERROR(__xludf.DUMMYFUNCTION("""COMPUTED_VALUE"""),"Onayli - Satista degil")</f>
        <v>Onayli - Satista degil</v>
      </c>
      <c r="J73" s="40">
        <f>IF($A73="","",IFERROR(VLOOKUP($A73,'Maliyet Giris'!$A$2:$G$550,6,0),""))</f>
        <v>2065</v>
      </c>
      <c r="K73" s="40">
        <f>IF($A73="","",IFERROR(VLOOKUP($A73,'Maliyet Giris'!$A$2:$G$550,7,0),""))</f>
        <v>3</v>
      </c>
    </row>
    <row r="74">
      <c r="A74" s="17">
        <f>IFERROR(__xludf.DUMMYFUNCTION("""COMPUTED_VALUE"""),8.682221365903E12)</f>
        <v>8682221365903</v>
      </c>
      <c r="B74" s="17" t="str">
        <f>IFERROR(__xludf.DUMMYFUNCTION("""COMPUTED_VALUE"""),"Felicia")</f>
        <v>Felicia</v>
      </c>
      <c r="C74" s="17" t="str">
        <f>IFERROR(__xludf.DUMMYFUNCTION("""COMPUTED_VALUE"""),"Kolajen Destekli Hipoalerjenik Somonlu Kısırlaştırılmış Yetişkin Kedi Maması 12KG")</f>
        <v>Kolajen Destekli Hipoalerjenik Somonlu Kısırlaştırılmış Yetişkin Kedi Maması 12KG</v>
      </c>
      <c r="D74" s="17"/>
      <c r="E74" s="17" t="str">
        <f>IFERROR(__xludf.DUMMYFUNCTION("""COMPUTED_VALUE"""),"Kedi Kuru Maması")</f>
        <v>Kedi Kuru Maması</v>
      </c>
      <c r="F74" s="17">
        <f>IFERROR(__xludf.DUMMYFUNCTION("""COMPUTED_VALUE"""),2999.0)</f>
        <v>2999</v>
      </c>
      <c r="G74" s="17"/>
      <c r="H74" s="17">
        <f>IFERROR(__xludf.DUMMYFUNCTION("""COMPUTED_VALUE"""),0.0)</f>
        <v>0</v>
      </c>
      <c r="I74" s="17" t="str">
        <f>IFERROR(__xludf.DUMMYFUNCTION("""COMPUTED_VALUE"""),"Onayli - Satista degil")</f>
        <v>Onayli - Satista degil</v>
      </c>
      <c r="J74" s="40">
        <f>IF($A74="","",IFERROR(VLOOKUP($A74,'Maliyet Giris'!$A$2:$G$550,6,0),""))</f>
        <v>2109</v>
      </c>
      <c r="K74" s="40">
        <f>IF($A74="","",IFERROR(VLOOKUP($A74,'Maliyet Giris'!$A$2:$G$550,7,0),""))</f>
        <v>3</v>
      </c>
    </row>
    <row r="75">
      <c r="A75" s="17" t="str">
        <f>IFERROR(__xludf.DUMMYFUNCTION("""COMPUTED_VALUE"""),"HBCV00009IIHX6")</f>
        <v>HBCV00009IIHX6</v>
      </c>
      <c r="B75" s="17" t="str">
        <f>IFERROR(__xludf.DUMMYFUNCTION("""COMPUTED_VALUE"""),"Felicia")</f>
        <v>Felicia</v>
      </c>
      <c r="C75" s="17" t="str">
        <f>IFERROR(__xludf.DUMMYFUNCTION("""COMPUTED_VALUE"""),"12 Kg Yetişkin Kuzu Etli Az Tahıllı HypoAllergenic Kedi Maması")</f>
        <v>12 Kg Yetişkin Kuzu Etli Az Tahıllı HypoAllergenic Kedi Maması</v>
      </c>
      <c r="D75" s="17"/>
      <c r="E75" s="17" t="str">
        <f>IFERROR(__xludf.DUMMYFUNCTION("""COMPUTED_VALUE"""),"Kedi Kuru Maması")</f>
        <v>Kedi Kuru Maması</v>
      </c>
      <c r="F75" s="17">
        <f>IFERROR(__xludf.DUMMYFUNCTION("""COMPUTED_VALUE"""),2999.0)</f>
        <v>2999</v>
      </c>
      <c r="G75" s="17"/>
      <c r="H75" s="17">
        <f>IFERROR(__xludf.DUMMYFUNCTION("""COMPUTED_VALUE"""),0.0)</f>
        <v>0</v>
      </c>
      <c r="I75" s="17" t="str">
        <f>IFERROR(__xludf.DUMMYFUNCTION("""COMPUTED_VALUE"""),"Onayli - Satista degil")</f>
        <v>Onayli - Satista degil</v>
      </c>
      <c r="J75" s="40">
        <f>IF($A75="","",IFERROR(VLOOKUP($A75,'Maliyet Giris'!$A$2:$G$550,6,0),""))</f>
        <v>2354</v>
      </c>
      <c r="K75" s="40">
        <f>IF($A75="","",IFERROR(VLOOKUP($A75,'Maliyet Giris'!$A$2:$G$550,7,0),""))</f>
        <v>3</v>
      </c>
    </row>
    <row r="76">
      <c r="A76" s="17" t="str">
        <f>IFERROR(__xludf.DUMMYFUNCTION("""COMPUTED_VALUE"""),"TYBKT7IU1SQMILM116")</f>
        <v>TYBKT7IU1SQMILM116</v>
      </c>
      <c r="B76" s="17" t="str">
        <f>IFERROR(__xludf.DUMMYFUNCTION("""COMPUTED_VALUE"""),"Felicia")</f>
        <v>Felicia</v>
      </c>
      <c r="C76" s="17" t="str">
        <f>IFERROR(__xludf.DUMMYFUNCTION("""COMPUTED_VALUE"""),"Düşük Tahıllı Kuzulu Yavru Kedi Maması 2 Kg")</f>
        <v>Düşük Tahıllı Kuzulu Yavru Kedi Maması 2 Kg</v>
      </c>
      <c r="D76" s="17"/>
      <c r="E76" s="17" t="str">
        <f>IFERROR(__xludf.DUMMYFUNCTION("""COMPUTED_VALUE"""),"Kedi Kuru Maması")</f>
        <v>Kedi Kuru Maması</v>
      </c>
      <c r="F76" s="17">
        <f>IFERROR(__xludf.DUMMYFUNCTION("""COMPUTED_VALUE"""),649.0)</f>
        <v>649</v>
      </c>
      <c r="G76" s="17"/>
      <c r="H76" s="17">
        <f>IFERROR(__xludf.DUMMYFUNCTION("""COMPUTED_VALUE"""),0.0)</f>
        <v>0</v>
      </c>
      <c r="I76" s="17" t="str">
        <f>IFERROR(__xludf.DUMMYFUNCTION("""COMPUTED_VALUE"""),"Onayli - Satista degil")</f>
        <v>Onayli - Satista degil</v>
      </c>
      <c r="J76" s="40">
        <f>IF($A76="","",IFERROR(VLOOKUP($A76,'Maliyet Giris'!$A$2:$G$550,6,0),""))</f>
        <v>406</v>
      </c>
      <c r="K76" s="40">
        <f>IF($A76="","",IFERROR(VLOOKUP($A76,'Maliyet Giris'!$A$2:$G$550,7,0),""))</f>
        <v>3</v>
      </c>
    </row>
    <row r="77">
      <c r="A77" s="17" t="str">
        <f>IFERROR(__xludf.DUMMYFUNCTION("""COMPUTED_VALUE"""),"TYBBUNMP3OTIAJT024")</f>
        <v>TYBBUNMP3OTIAJT024</v>
      </c>
      <c r="B77" s="17" t="str">
        <f>IFERROR(__xludf.DUMMYFUNCTION("""COMPUTED_VALUE"""),"Felicia")</f>
        <v>Felicia</v>
      </c>
      <c r="C77" s="17" t="str">
        <f>IFERROR(__xludf.DUMMYFUNCTION("""COMPUTED_VALUE"""),"2 Kg Yetişkin Tavuklu Az Tahıllı HypoAllergenic Kedi Maması")</f>
        <v>2 Kg Yetişkin Tavuklu Az Tahıllı HypoAllergenic Kedi Maması</v>
      </c>
      <c r="D77" s="17"/>
      <c r="E77" s="17" t="str">
        <f>IFERROR(__xludf.DUMMYFUNCTION("""COMPUTED_VALUE"""),"Kedi Kuru Maması")</f>
        <v>Kedi Kuru Maması</v>
      </c>
      <c r="F77" s="17">
        <f>IFERROR(__xludf.DUMMYFUNCTION("""COMPUTED_VALUE"""),599.0)</f>
        <v>599</v>
      </c>
      <c r="G77" s="17"/>
      <c r="H77" s="17">
        <f>IFERROR(__xludf.DUMMYFUNCTION("""COMPUTED_VALUE"""),0.0)</f>
        <v>0</v>
      </c>
      <c r="I77" s="17" t="str">
        <f>IFERROR(__xludf.DUMMYFUNCTION("""COMPUTED_VALUE"""),"Onayli - Satista degil")</f>
        <v>Onayli - Satista degil</v>
      </c>
      <c r="J77" s="40">
        <f>IF($A77="","",IFERROR(VLOOKUP($A77,'Maliyet Giris'!$A$2:$G$550,6,0),""))</f>
        <v>359</v>
      </c>
      <c r="K77" s="40">
        <f>IF($A77="","",IFERROR(VLOOKUP($A77,'Maliyet Giris'!$A$2:$G$550,7,0),""))</f>
        <v>3</v>
      </c>
    </row>
    <row r="78">
      <c r="A78" s="17">
        <f>IFERROR(__xludf.DUMMYFUNCTION("""COMPUTED_VALUE"""),8.681299606641E12)</f>
        <v>8681299606641</v>
      </c>
      <c r="B78" s="17" t="str">
        <f>IFERROR(__xludf.DUMMYFUNCTION("""COMPUTED_VALUE"""),"Felicia")</f>
        <v>Felicia</v>
      </c>
      <c r="C78" s="17" t="str">
        <f>IFERROR(__xludf.DUMMYFUNCTION("""COMPUTED_VALUE"""),"2 kg Sterilised Tavuklu Az Tahıllı HypoAllergenic Kedi Maması")</f>
        <v>2 kg Sterilised Tavuklu Az Tahıllı HypoAllergenic Kedi Maması</v>
      </c>
      <c r="D78" s="17"/>
      <c r="E78" s="17" t="str">
        <f>IFERROR(__xludf.DUMMYFUNCTION("""COMPUTED_VALUE"""),"Kedi Kuru Maması")</f>
        <v>Kedi Kuru Maması</v>
      </c>
      <c r="F78" s="17">
        <f>IFERROR(__xludf.DUMMYFUNCTION("""COMPUTED_VALUE"""),599.0)</f>
        <v>599</v>
      </c>
      <c r="G78" s="17"/>
      <c r="H78" s="17">
        <f>IFERROR(__xludf.DUMMYFUNCTION("""COMPUTED_VALUE"""),0.0)</f>
        <v>0</v>
      </c>
      <c r="I78" s="17" t="str">
        <f>IFERROR(__xludf.DUMMYFUNCTION("""COMPUTED_VALUE"""),"Onayli - Satista degil")</f>
        <v>Onayli - Satista degil</v>
      </c>
      <c r="J78" s="40">
        <f>IF($A78="","",IFERROR(VLOOKUP($A78,'Maliyet Giris'!$A$2:$G$550,6,0),""))</f>
        <v>383</v>
      </c>
      <c r="K78" s="40">
        <f>IF($A78="","",IFERROR(VLOOKUP($A78,'Maliyet Giris'!$A$2:$G$550,7,0),""))</f>
        <v>3</v>
      </c>
    </row>
    <row r="79">
      <c r="A79" s="17">
        <f>IFERROR(__xludf.DUMMYFUNCTION("""COMPUTED_VALUE"""),8.681299601264E12)</f>
        <v>8681299601264</v>
      </c>
      <c r="B79" s="17" t="str">
        <f>IFERROR(__xludf.DUMMYFUNCTION("""COMPUTED_VALUE"""),"Felicia")</f>
        <v>Felicia</v>
      </c>
      <c r="C79" s="17" t="str">
        <f>IFERROR(__xludf.DUMMYFUNCTION("""COMPUTED_VALUE"""),"2 Kg Yavru Tavuklu Az Tahıllı HypoAllergenic Kedi Maması")</f>
        <v>2 Kg Yavru Tavuklu Az Tahıllı HypoAllergenic Kedi Maması</v>
      </c>
      <c r="D79" s="17"/>
      <c r="E79" s="17" t="str">
        <f>IFERROR(__xludf.DUMMYFUNCTION("""COMPUTED_VALUE"""),"Kedi Kuru Maması")</f>
        <v>Kedi Kuru Maması</v>
      </c>
      <c r="F79" s="17">
        <f>IFERROR(__xludf.DUMMYFUNCTION("""COMPUTED_VALUE"""),599.0)</f>
        <v>599</v>
      </c>
      <c r="G79" s="17"/>
      <c r="H79" s="17">
        <f>IFERROR(__xludf.DUMMYFUNCTION("""COMPUTED_VALUE"""),0.0)</f>
        <v>0</v>
      </c>
      <c r="I79" s="17" t="str">
        <f>IFERROR(__xludf.DUMMYFUNCTION("""COMPUTED_VALUE"""),"Onayli - Satista degil")</f>
        <v>Onayli - Satista degil</v>
      </c>
      <c r="J79" s="40">
        <f>IF($A79="","",IFERROR(VLOOKUP($A79,'Maliyet Giris'!$A$2:$G$550,6,0),""))</f>
        <v>399</v>
      </c>
      <c r="K79" s="40">
        <f>IF($A79="","",IFERROR(VLOOKUP($A79,'Maliyet Giris'!$A$2:$G$550,7,0),""))</f>
        <v>3</v>
      </c>
    </row>
    <row r="80">
      <c r="A80" s="17" t="str">
        <f>IFERROR(__xludf.DUMMYFUNCTION("""COMPUTED_VALUE"""),"TYBP2XETRCWJM87M50")</f>
        <v>TYBP2XETRCWJM87M50</v>
      </c>
      <c r="B80" s="17" t="str">
        <f>IFERROR(__xludf.DUMMYFUNCTION("""COMPUTED_VALUE"""),"Felicia")</f>
        <v>Felicia</v>
      </c>
      <c r="C80" s="17" t="str">
        <f>IFERROR(__xludf.DUMMYFUNCTION("""COMPUTED_VALUE"""),"Somonlu Yetişkin Kedi Maması 12 Kg")</f>
        <v>Somonlu Yetişkin Kedi Maması 12 Kg</v>
      </c>
      <c r="D80" s="17"/>
      <c r="E80" s="17" t="str">
        <f>IFERROR(__xludf.DUMMYFUNCTION("""COMPUTED_VALUE"""),"Kedi Kuru Maması")</f>
        <v>Kedi Kuru Maması</v>
      </c>
      <c r="F80" s="17">
        <f>IFERROR(__xludf.DUMMYFUNCTION("""COMPUTED_VALUE"""),2999.0)</f>
        <v>2999</v>
      </c>
      <c r="G80" s="17"/>
      <c r="H80" s="17">
        <f>IFERROR(__xludf.DUMMYFUNCTION("""COMPUTED_VALUE"""),0.0)</f>
        <v>0</v>
      </c>
      <c r="I80" s="17" t="str">
        <f>IFERROR(__xludf.DUMMYFUNCTION("""COMPUTED_VALUE"""),"Onayli - Satista degil")</f>
        <v>Onayli - Satista degil</v>
      </c>
      <c r="J80" s="40">
        <f>IF($A80="","",IFERROR(VLOOKUP($A80,'Maliyet Giris'!$A$2:$G$550,6,0),""))</f>
        <v>2165</v>
      </c>
      <c r="K80" s="40">
        <f>IF($A80="","",IFERROR(VLOOKUP($A80,'Maliyet Giris'!$A$2:$G$550,7,0),""))</f>
        <v>3</v>
      </c>
    </row>
    <row r="81">
      <c r="A81" s="17">
        <f>IFERROR(__xludf.DUMMYFUNCTION("""COMPUTED_VALUE"""),8.681299606665E12)</f>
        <v>8681299606665</v>
      </c>
      <c r="B81" s="17" t="str">
        <f>IFERROR(__xludf.DUMMYFUNCTION("""COMPUTED_VALUE"""),"Felicia")</f>
        <v>Felicia</v>
      </c>
      <c r="C81" s="17" t="str">
        <f>IFERROR(__xludf.DUMMYFUNCTION("""COMPUTED_VALUE"""),"2 Kg Yetişkin Kuzu Etli Az Tahıllı HypoAllergenic Kedi Maması")</f>
        <v>2 Kg Yetişkin Kuzu Etli Az Tahıllı HypoAllergenic Kedi Maması</v>
      </c>
      <c r="D81" s="17"/>
      <c r="E81" s="17" t="str">
        <f>IFERROR(__xludf.DUMMYFUNCTION("""COMPUTED_VALUE"""),"Kedi Kuru Maması")</f>
        <v>Kedi Kuru Maması</v>
      </c>
      <c r="F81" s="17">
        <f>IFERROR(__xludf.DUMMYFUNCTION("""COMPUTED_VALUE"""),599.0)</f>
        <v>599</v>
      </c>
      <c r="G81" s="17"/>
      <c r="H81" s="17">
        <f>IFERROR(__xludf.DUMMYFUNCTION("""COMPUTED_VALUE"""),0.0)</f>
        <v>0</v>
      </c>
      <c r="I81" s="17" t="str">
        <f>IFERROR(__xludf.DUMMYFUNCTION("""COMPUTED_VALUE"""),"Onayli - Satista degil")</f>
        <v>Onayli - Satista degil</v>
      </c>
      <c r="J81" s="40">
        <f>IF($A81="","",IFERROR(VLOOKUP($A81,'Maliyet Giris'!$A$2:$G$550,6,0),""))</f>
        <v>405</v>
      </c>
      <c r="K81" s="40">
        <f>IF($A81="","",IFERROR(VLOOKUP($A81,'Maliyet Giris'!$A$2:$G$550,7,0),""))</f>
        <v>3</v>
      </c>
    </row>
    <row r="82">
      <c r="A82" s="17">
        <f>IFERROR(__xludf.DUMMYFUNCTION("""COMPUTED_VALUE"""),8.681299601301E12)</f>
        <v>8681299601301</v>
      </c>
      <c r="B82" s="17" t="str">
        <f>IFERROR(__xludf.DUMMYFUNCTION("""COMPUTED_VALUE"""),"Felicia")</f>
        <v>Felicia</v>
      </c>
      <c r="C82" s="17" t="str">
        <f>IFERROR(__xludf.DUMMYFUNCTION("""COMPUTED_VALUE"""),"2 Kg Yetişkin Somonlu Az Tahıllı HypoAllergenic Kedi Maması")</f>
        <v>2 Kg Yetişkin Somonlu Az Tahıllı HypoAllergenic Kedi Maması</v>
      </c>
      <c r="D82" s="17"/>
      <c r="E82" s="17" t="str">
        <f>IFERROR(__xludf.DUMMYFUNCTION("""COMPUTED_VALUE"""),"Kedi Kuru Maması")</f>
        <v>Kedi Kuru Maması</v>
      </c>
      <c r="F82" s="17">
        <f>IFERROR(__xludf.DUMMYFUNCTION("""COMPUTED_VALUE"""),599.0)</f>
        <v>599</v>
      </c>
      <c r="G82" s="17"/>
      <c r="H82" s="17">
        <f>IFERROR(__xludf.DUMMYFUNCTION("""COMPUTED_VALUE"""),0.0)</f>
        <v>0</v>
      </c>
      <c r="I82" s="17" t="str">
        <f>IFERROR(__xludf.DUMMYFUNCTION("""COMPUTED_VALUE"""),"Onayli - Satista degil")</f>
        <v>Onayli - Satista degil</v>
      </c>
      <c r="J82" s="40">
        <f>IF($A82="","",IFERROR(VLOOKUP($A82,'Maliyet Giris'!$A$2:$G$550,6,0),""))</f>
        <v>374</v>
      </c>
      <c r="K82" s="40">
        <f>IF($A82="","",IFERROR(VLOOKUP($A82,'Maliyet Giris'!$A$2:$G$550,7,0),""))</f>
        <v>3</v>
      </c>
    </row>
    <row r="83">
      <c r="A83" s="17" t="str">
        <f>IFERROR(__xludf.DUMMYFUNCTION("""COMPUTED_VALUE"""),"7980556598055659")</f>
        <v>7980556598055659</v>
      </c>
      <c r="B83" s="17" t="str">
        <f>IFERROR(__xludf.DUMMYFUNCTION("""COMPUTED_VALUE"""),"Felicia")</f>
        <v>Felicia</v>
      </c>
      <c r="C83" s="17" t="str">
        <f>IFERROR(__xludf.DUMMYFUNCTION("""COMPUTED_VALUE"""),"2 Kg Kolajenli Somonlu Az Tahıllı Kısırlaştırılmış Kedi Maması")</f>
        <v>2 Kg Kolajenli Somonlu Az Tahıllı Kısırlaştırılmış Kedi Maması</v>
      </c>
      <c r="D83" s="17"/>
      <c r="E83" s="17" t="str">
        <f>IFERROR(__xludf.DUMMYFUNCTION("""COMPUTED_VALUE"""),"Kedi Kuru Maması")</f>
        <v>Kedi Kuru Maması</v>
      </c>
      <c r="F83" s="17">
        <f>IFERROR(__xludf.DUMMYFUNCTION("""COMPUTED_VALUE"""),599.0)</f>
        <v>599</v>
      </c>
      <c r="G83" s="17"/>
      <c r="H83" s="17">
        <f>IFERROR(__xludf.DUMMYFUNCTION("""COMPUTED_VALUE"""),0.0)</f>
        <v>0</v>
      </c>
      <c r="I83" s="17" t="str">
        <f>IFERROR(__xludf.DUMMYFUNCTION("""COMPUTED_VALUE"""),"Onayli - Satista degil")</f>
        <v>Onayli - Satista degil</v>
      </c>
      <c r="J83" s="40">
        <f>IF($A83="","",IFERROR(VLOOKUP($A83,'Maliyet Giris'!$A$2:$G$550,6,0),""))</f>
        <v>371</v>
      </c>
      <c r="K83" s="40">
        <f>IF($A83="","",IFERROR(VLOOKUP($A83,'Maliyet Giris'!$A$2:$G$550,7,0),""))</f>
        <v>3</v>
      </c>
    </row>
    <row r="84">
      <c r="A84" s="17">
        <f>IFERROR(__xludf.DUMMYFUNCTION("""COMPUTED_VALUE"""),7.451204125632E12)</f>
        <v>7451204125632</v>
      </c>
      <c r="B84" s="17" t="str">
        <f>IFERROR(__xludf.DUMMYFUNCTION("""COMPUTED_VALUE"""),"Felicia")</f>
        <v>Felicia</v>
      </c>
      <c r="C84" s="17" t="str">
        <f>IFERROR(__xludf.DUMMYFUNCTION("""COMPUTED_VALUE"""),"Kolajen Destekli Hipoalerjenik Somonlu Kısırlaştırılmış Yetişkin Kedi Maması 2KG")</f>
        <v>Kolajen Destekli Hipoalerjenik Somonlu Kısırlaştırılmış Yetişkin Kedi Maması 2KG</v>
      </c>
      <c r="D84" s="17"/>
      <c r="E84" s="17" t="str">
        <f>IFERROR(__xludf.DUMMYFUNCTION("""COMPUTED_VALUE"""),"Kedi Kuru Maması")</f>
        <v>Kedi Kuru Maması</v>
      </c>
      <c r="F84" s="17">
        <f>IFERROR(__xludf.DUMMYFUNCTION("""COMPUTED_VALUE"""),649.0)</f>
        <v>649</v>
      </c>
      <c r="G84" s="17"/>
      <c r="H84" s="17">
        <f>IFERROR(__xludf.DUMMYFUNCTION("""COMPUTED_VALUE"""),0.0)</f>
        <v>0</v>
      </c>
      <c r="I84" s="17" t="str">
        <f>IFERROR(__xludf.DUMMYFUNCTION("""COMPUTED_VALUE"""),"Onayli - Satista degil")</f>
        <v>Onayli - Satista degil</v>
      </c>
      <c r="J84" s="40">
        <f>IF($A84="","",IFERROR(VLOOKUP($A84,'Maliyet Giris'!$A$2:$G$550,6,0),""))</f>
        <v>371</v>
      </c>
      <c r="K84" s="40">
        <f>IF($A84="","",IFERROR(VLOOKUP($A84,'Maliyet Giris'!$A$2:$G$550,7,0),""))</f>
        <v>3</v>
      </c>
    </row>
    <row r="85">
      <c r="A85" s="17" t="str">
        <f>IFERROR(__xludf.DUMMYFUNCTION("""COMPUTED_VALUE"""),"PTFLC016")</f>
        <v>PTFLC016</v>
      </c>
      <c r="B85" s="17" t="str">
        <f>IFERROR(__xludf.DUMMYFUNCTION("""COMPUTED_VALUE"""),"Felicia")</f>
        <v>Felicia</v>
      </c>
      <c r="C85" s="17" t="str">
        <f>IFERROR(__xludf.DUMMYFUNCTION("""COMPUTED_VALUE"""),"12 Kg Sterilised Somonlu Az Tahıllı HypoAllergenic Kedi Maması")</f>
        <v>12 Kg Sterilised Somonlu Az Tahıllı HypoAllergenic Kedi Maması</v>
      </c>
      <c r="D85" s="17"/>
      <c r="E85" s="17" t="str">
        <f>IFERROR(__xludf.DUMMYFUNCTION("""COMPUTED_VALUE"""),"Kedi Kuru Maması")</f>
        <v>Kedi Kuru Maması</v>
      </c>
      <c r="F85" s="17">
        <f>IFERROR(__xludf.DUMMYFUNCTION("""COMPUTED_VALUE"""),2999.0)</f>
        <v>2999</v>
      </c>
      <c r="G85" s="17"/>
      <c r="H85" s="17">
        <f>IFERROR(__xludf.DUMMYFUNCTION("""COMPUTED_VALUE"""),0.0)</f>
        <v>0</v>
      </c>
      <c r="I85" s="17" t="str">
        <f>IFERROR(__xludf.DUMMYFUNCTION("""COMPUTED_VALUE"""),"Onayli - Satista degil")</f>
        <v>Onayli - Satista degil</v>
      </c>
      <c r="J85" s="40">
        <f>IF($A85="","",IFERROR(VLOOKUP($A85,'Maliyet Giris'!$A$2:$G$550,6,0),""))</f>
        <v>1575</v>
      </c>
      <c r="K85" s="40">
        <f>IF($A85="","",IFERROR(VLOOKUP($A85,'Maliyet Giris'!$A$2:$G$550,7,0),""))</f>
        <v>3</v>
      </c>
    </row>
    <row r="86">
      <c r="A86" s="17" t="str">
        <f>IFERROR(__xludf.DUMMYFUNCTION("""COMPUTED_VALUE"""),"TXC2162D0F52637")</f>
        <v>TXC2162D0F52637</v>
      </c>
      <c r="B86" s="17" t="str">
        <f>IFERROR(__xludf.DUMMYFUNCTION("""COMPUTED_VALUE"""),"Whiskas")</f>
        <v>Whiskas</v>
      </c>
      <c r="C86" s="17" t="str">
        <f>IFERROR(__xludf.DUMMYFUNCTION("""COMPUTED_VALUE"""),"14 Kg Tavuklu ve Sebzeli Kuru Kedi Maması (WHISKAS.149657)")</f>
        <v>14 Kg Tavuklu ve Sebzeli Kuru Kedi Maması (WHISKAS.149657)</v>
      </c>
      <c r="D86" s="17"/>
      <c r="E86" s="17" t="str">
        <f>IFERROR(__xludf.DUMMYFUNCTION("""COMPUTED_VALUE"""),"Kedi Kuru Maması")</f>
        <v>Kedi Kuru Maması</v>
      </c>
      <c r="F86" s="17">
        <f>IFERROR(__xludf.DUMMYFUNCTION("""COMPUTED_VALUE"""),4999.0)</f>
        <v>4999</v>
      </c>
      <c r="G86" s="17"/>
      <c r="H86" s="17">
        <f>IFERROR(__xludf.DUMMYFUNCTION("""COMPUTED_VALUE"""),0.0)</f>
        <v>0</v>
      </c>
      <c r="I86" s="17" t="str">
        <f>IFERROR(__xludf.DUMMYFUNCTION("""COMPUTED_VALUE"""),"Onayli - Satista degil")</f>
        <v>Onayli - Satista degil</v>
      </c>
      <c r="J86" s="40">
        <f>IF($A86="","",IFERROR(VLOOKUP($A86,'Maliyet Giris'!$A$2:$G$550,6,0),""))</f>
        <v>1</v>
      </c>
      <c r="K86" s="40">
        <f>IF($A86="","",IFERROR(VLOOKUP($A86,'Maliyet Giris'!$A$2:$G$550,7,0),""))</f>
        <v>3</v>
      </c>
    </row>
    <row r="87">
      <c r="A87" s="17" t="str">
        <f>IFERROR(__xludf.DUMMYFUNCTION("""COMPUTED_VALUE"""),"TYBPDLDE1MMYOMVD70")</f>
        <v>TYBPDLDE1MMYOMVD70</v>
      </c>
      <c r="B87" s="17" t="str">
        <f>IFERROR(__xludf.DUMMYFUNCTION("""COMPUTED_VALUE"""),"Purina One")</f>
        <v>Purina One</v>
      </c>
      <c r="C87" s="17" t="str">
        <f>IFERROR(__xludf.DUMMYFUNCTION("""COMPUTED_VALUE"""),"Junior Tavuklu Yavru Kedi Maması 800 Gr x 2Adet")</f>
        <v>Junior Tavuklu Yavru Kedi Maması 800 Gr x 2Adet</v>
      </c>
      <c r="D87" s="17"/>
      <c r="E87" s="17" t="str">
        <f>IFERROR(__xludf.DUMMYFUNCTION("""COMPUTED_VALUE"""),"Kedi Kuru Maması")</f>
        <v>Kedi Kuru Maması</v>
      </c>
      <c r="F87" s="17">
        <f>IFERROR(__xludf.DUMMYFUNCTION("""COMPUTED_VALUE"""),999.0)</f>
        <v>999</v>
      </c>
      <c r="G87" s="17"/>
      <c r="H87" s="17">
        <f>IFERROR(__xludf.DUMMYFUNCTION("""COMPUTED_VALUE"""),0.0)</f>
        <v>0</v>
      </c>
      <c r="I87" s="17" t="str">
        <f>IFERROR(__xludf.DUMMYFUNCTION("""COMPUTED_VALUE"""),"Onayli - Satista degil")</f>
        <v>Onayli - Satista degil</v>
      </c>
      <c r="J87" s="40" t="str">
        <f>IF($A87="","",IFERROR(VLOOKUP($A87,'Maliyet Giris'!$A$2:$G$550,6,0),""))</f>
        <v/>
      </c>
      <c r="K87" s="40" t="str">
        <f>IF($A87="","",IFERROR(VLOOKUP($A87,'Maliyet Giris'!$A$2:$G$550,7,0),""))</f>
        <v/>
      </c>
    </row>
    <row r="88">
      <c r="A88" s="17" t="str">
        <f>IFERROR(__xludf.DUMMYFUNCTION("""COMPUTED_VALUE"""),"CB88899991967")</f>
        <v>CB88899991967</v>
      </c>
      <c r="B88" s="17" t="str">
        <f>IFERROR(__xludf.DUMMYFUNCTION("""COMPUTED_VALUE"""),"Purina One")</f>
        <v>Purina One</v>
      </c>
      <c r="C88" s="17" t="str">
        <f>IFERROR(__xludf.DUMMYFUNCTION("""COMPUTED_VALUE"""),"Yetişkin Sığır Etli Kedi Maması 1.5 kg CB9904")</f>
        <v>Yetişkin Sığır Etli Kedi Maması 1.5 kg CB9904</v>
      </c>
      <c r="D88" s="17"/>
      <c r="E88" s="17" t="str">
        <f>IFERROR(__xludf.DUMMYFUNCTION("""COMPUTED_VALUE"""),"Kedi Kuru Maması")</f>
        <v>Kedi Kuru Maması</v>
      </c>
      <c r="F88" s="17">
        <f>IFERROR(__xludf.DUMMYFUNCTION("""COMPUTED_VALUE"""),785.0)</f>
        <v>785</v>
      </c>
      <c r="G88" s="17"/>
      <c r="H88" s="17">
        <f>IFERROR(__xludf.DUMMYFUNCTION("""COMPUTED_VALUE"""),0.0)</f>
        <v>0</v>
      </c>
      <c r="I88" s="17" t="str">
        <f>IFERROR(__xludf.DUMMYFUNCTION("""COMPUTED_VALUE"""),"Onayli - Satista degil")</f>
        <v>Onayli - Satista degil</v>
      </c>
      <c r="J88" s="40">
        <f>IF($A88="","",IFERROR(VLOOKUP($A88,'Maliyet Giris'!$A$2:$G$550,6,0),""))</f>
        <v>377</v>
      </c>
      <c r="K88" s="40">
        <f>IF($A88="","",IFERROR(VLOOKUP($A88,'Maliyet Giris'!$A$2:$G$550,7,0),""))</f>
        <v>3</v>
      </c>
    </row>
    <row r="89">
      <c r="A89" s="17">
        <f>IFERROR(__xludf.DUMMYFUNCTION("""COMPUTED_VALUE"""),3.182550721745E12)</f>
        <v>3182550721745</v>
      </c>
      <c r="B89" s="17" t="str">
        <f>IFERROR(__xludf.DUMMYFUNCTION("""COMPUTED_VALUE"""),"Royal Canin")</f>
        <v>Royal Canin</v>
      </c>
      <c r="C89" s="17" t="str">
        <f>IFERROR(__xludf.DUMMYFUNCTION("""COMPUTED_VALUE"""),"Hair&amp;skin Tüy Ve Deri Sağlığı Için Kuru Kedi Maması 4kg")</f>
        <v>Hair&amp;skin Tüy Ve Deri Sağlığı Için Kuru Kedi Maması 4kg</v>
      </c>
      <c r="D89" s="17"/>
      <c r="E89" s="17" t="str">
        <f>IFERROR(__xludf.DUMMYFUNCTION("""COMPUTED_VALUE"""),"Kedi Kuru Maması")</f>
        <v>Kedi Kuru Maması</v>
      </c>
      <c r="F89" s="17">
        <f>IFERROR(__xludf.DUMMYFUNCTION("""COMPUTED_VALUE"""),0.0)</f>
        <v>0</v>
      </c>
      <c r="G89" s="17"/>
      <c r="H89" s="17">
        <f>IFERROR(__xludf.DUMMYFUNCTION("""COMPUTED_VALUE"""),0.0)</f>
        <v>0</v>
      </c>
      <c r="I89" s="17" t="str">
        <f>IFERROR(__xludf.DUMMYFUNCTION("""COMPUTED_VALUE"""),"Onayli - Satista degil")</f>
        <v>Onayli - Satista degil</v>
      </c>
      <c r="J89" s="40">
        <f>IF($A89="","",IFERROR(VLOOKUP($A89,'Maliyet Giris'!$A$2:$G$550,6,0),""))</f>
        <v>2000</v>
      </c>
      <c r="K89" s="40">
        <f>IF($A89="","",IFERROR(VLOOKUP($A89,'Maliyet Giris'!$A$2:$G$550,7,0),""))</f>
        <v>3</v>
      </c>
    </row>
    <row r="90">
      <c r="A90" s="17">
        <f>IFERROR(__xludf.DUMMYFUNCTION("""COMPUTED_VALUE"""),3.182550722544E12)</f>
        <v>3182550722544</v>
      </c>
      <c r="B90" s="17" t="str">
        <f>IFERROR(__xludf.DUMMYFUNCTION("""COMPUTED_VALUE"""),"Royal Canin")</f>
        <v>Royal Canin</v>
      </c>
      <c r="C90" s="17" t="str">
        <f>IFERROR(__xludf.DUMMYFUNCTION("""COMPUTED_VALUE"""),"Chihuahua Junior Yavru Köpek Maması 1.5 Kg")</f>
        <v>Chihuahua Junior Yavru Köpek Maması 1.5 Kg</v>
      </c>
      <c r="D90" s="17"/>
      <c r="E90" s="17" t="str">
        <f>IFERROR(__xludf.DUMMYFUNCTION("""COMPUTED_VALUE"""),"Köpek Kuru Maması")</f>
        <v>Köpek Kuru Maması</v>
      </c>
      <c r="F90" s="17">
        <f>IFERROR(__xludf.DUMMYFUNCTION("""COMPUTED_VALUE"""),0.0)</f>
        <v>0</v>
      </c>
      <c r="G90" s="17"/>
      <c r="H90" s="17">
        <f>IFERROR(__xludf.DUMMYFUNCTION("""COMPUTED_VALUE"""),0.0)</f>
        <v>0</v>
      </c>
      <c r="I90" s="17" t="str">
        <f>IFERROR(__xludf.DUMMYFUNCTION("""COMPUTED_VALUE"""),"Onayli - Satista degil")</f>
        <v>Onayli - Satista degil</v>
      </c>
      <c r="J90" s="40">
        <f>IF($A90="","",IFERROR(VLOOKUP($A90,'Maliyet Giris'!$A$2:$G$550,6,0),""))</f>
        <v>708</v>
      </c>
      <c r="K90" s="40">
        <f>IF($A90="","",IFERROR(VLOOKUP($A90,'Maliyet Giris'!$A$2:$G$550,7,0),""))</f>
        <v>3</v>
      </c>
    </row>
    <row r="91">
      <c r="A91" s="17" t="str">
        <f>IFERROR(__xludf.DUMMYFUNCTION("""COMPUTED_VALUE"""),"TY988899455015287")</f>
        <v>TY988899455015287</v>
      </c>
      <c r="B91" s="17" t="str">
        <f>IFERROR(__xludf.DUMMYFUNCTION("""COMPUTED_VALUE"""),"Royal Canin")</f>
        <v>Royal Canin</v>
      </c>
      <c r="C91" s="17" t="str">
        <f>IFERROR(__xludf.DUMMYFUNCTION("""COMPUTED_VALUE"""),"Mini Starter Mother &amp; Babydog Anne ve Yavru Köpek Maması 4kg")</f>
        <v>Mini Starter Mother &amp; Babydog Anne ve Yavru Köpek Maması 4kg</v>
      </c>
      <c r="D91" s="17"/>
      <c r="E91" s="17" t="str">
        <f>IFERROR(__xludf.DUMMYFUNCTION("""COMPUTED_VALUE"""),"Köpek Kuru Maması")</f>
        <v>Köpek Kuru Maması</v>
      </c>
      <c r="F91" s="17">
        <f>IFERROR(__xludf.DUMMYFUNCTION("""COMPUTED_VALUE"""),1734.0)</f>
        <v>1734</v>
      </c>
      <c r="G91" s="17">
        <f>IFERROR(__xludf.DUMMYFUNCTION("""COMPUTED_VALUE"""),1555.99)</f>
        <v>1555.99</v>
      </c>
      <c r="H91" s="17">
        <f>IFERROR(__xludf.DUMMYFUNCTION("""COMPUTED_VALUE"""),15.0)</f>
        <v>15</v>
      </c>
      <c r="I91" s="17" t="str">
        <f>IFERROR(__xludf.DUMMYFUNCTION("""COMPUTED_VALUE"""),"Onayli")</f>
        <v>Onayli</v>
      </c>
      <c r="J91" s="40">
        <f>IF($A91="","",IFERROR(VLOOKUP($A91,'Maliyet Giris'!$A$2:$G$550,6,0),""))</f>
        <v>1537</v>
      </c>
      <c r="K91" s="40">
        <f>IF($A91="","",IFERROR(VLOOKUP($A91,'Maliyet Giris'!$A$2:$G$550,7,0),""))</f>
        <v>3</v>
      </c>
    </row>
    <row r="92">
      <c r="A92" s="17">
        <f>IFERROR(__xludf.DUMMYFUNCTION("""COMPUTED_VALUE"""),9.888569998999E12)</f>
        <v>9888569998999</v>
      </c>
      <c r="B92" s="17" t="str">
        <f>IFERROR(__xludf.DUMMYFUNCTION("""COMPUTED_VALUE"""),"Gourmet")</f>
        <v>Gourmet</v>
      </c>
      <c r="C92" s="17" t="str">
        <f>IFERROR(__xludf.DUMMYFUNCTION("""COMPUTED_VALUE"""),"Purina Karışık Kedi Konservesi 85 gr X 24 Adet")</f>
        <v>Purina Karışık Kedi Konservesi 85 gr X 24 Adet</v>
      </c>
      <c r="D92" s="17"/>
      <c r="E92" s="17" t="str">
        <f>IFERROR(__xludf.DUMMYFUNCTION("""COMPUTED_VALUE"""),"Kedi Konserve Maması")</f>
        <v>Kedi Konserve Maması</v>
      </c>
      <c r="F92" s="17">
        <f>IFERROR(__xludf.DUMMYFUNCTION("""COMPUTED_VALUE"""),870.0)</f>
        <v>870</v>
      </c>
      <c r="G92" s="17">
        <f>IFERROR(__xludf.DUMMYFUNCTION("""COMPUTED_VALUE"""),790.0)</f>
        <v>790</v>
      </c>
      <c r="H92" s="17">
        <f>IFERROR(__xludf.DUMMYFUNCTION("""COMPUTED_VALUE"""),7.0)</f>
        <v>7</v>
      </c>
      <c r="I92" s="17" t="str">
        <f>IFERROR(__xludf.DUMMYFUNCTION("""COMPUTED_VALUE"""),"Onayli")</f>
        <v>Onayli</v>
      </c>
      <c r="J92" s="40">
        <f>IF($A92="","",IFERROR(VLOOKUP($A92,'Maliyet Giris'!$A$2:$G$550,6,0),""))</f>
        <v>576</v>
      </c>
      <c r="K92" s="40">
        <f>IF($A92="","",IFERROR(VLOOKUP($A92,'Maliyet Giris'!$A$2:$G$550,7,0),""))</f>
        <v>3</v>
      </c>
    </row>
    <row r="93">
      <c r="A93" s="17">
        <f>IFERROR(__xludf.DUMMYFUNCTION("""COMPUTED_VALUE"""),2.1042024055E11)</f>
        <v>210420240550</v>
      </c>
      <c r="B93" s="17" t="str">
        <f>IFERROR(__xludf.DUMMYFUNCTION("""COMPUTED_VALUE"""),"N&amp;D")</f>
        <v>N&amp;D</v>
      </c>
      <c r="C93" s="17" t="str">
        <f>IFERROR(__xludf.DUMMYFUNCTION("""COMPUTED_VALUE"""),"Nd tropical selection köpek 1,5kg mini adult kuzu etli tropikal meyve küçük ırk yetişkin köpek mama")</f>
        <v>Nd tropical selection köpek 1,5kg mini adult kuzu etli tropikal meyve küçük ırk yetişkin köpek mama</v>
      </c>
      <c r="D93" s="17"/>
      <c r="E93" s="17" t="str">
        <f>IFERROR(__xludf.DUMMYFUNCTION("""COMPUTED_VALUE"""),"Köpek Kuru Maması")</f>
        <v>Köpek Kuru Maması</v>
      </c>
      <c r="F93" s="17">
        <f>IFERROR(__xludf.DUMMYFUNCTION("""COMPUTED_VALUE"""),1350.0)</f>
        <v>1350</v>
      </c>
      <c r="G93" s="17">
        <f>IFERROR(__xludf.DUMMYFUNCTION("""COMPUTED_VALUE"""),988.9)</f>
        <v>988.9</v>
      </c>
      <c r="H93" s="17">
        <f>IFERROR(__xludf.DUMMYFUNCTION("""COMPUTED_VALUE"""),16.0)</f>
        <v>16</v>
      </c>
      <c r="I93" s="17" t="str">
        <f>IFERROR(__xludf.DUMMYFUNCTION("""COMPUTED_VALUE"""),"Onayli")</f>
        <v>Onayli</v>
      </c>
      <c r="J93" s="40">
        <f>IF($A93="","",IFERROR(VLOOKUP($A93,'Maliyet Giris'!$A$2:$G$550,6,0),""))</f>
        <v>713</v>
      </c>
      <c r="K93" s="40">
        <f>IF($A93="","",IFERROR(VLOOKUP($A93,'Maliyet Giris'!$A$2:$G$550,7,0),""))</f>
        <v>3</v>
      </c>
    </row>
    <row r="94">
      <c r="A94" s="17" t="str">
        <f>IFERROR(__xludf.DUMMYFUNCTION("""COMPUTED_VALUE"""),"TYBL1W9TPK3NCREP31")</f>
        <v>TYBL1W9TPK3NCREP31</v>
      </c>
      <c r="B94" s="17" t="str">
        <f>IFERROR(__xludf.DUMMYFUNCTION("""COMPUTED_VALUE"""),"Royal Canin")</f>
        <v>Royal Canin</v>
      </c>
      <c r="C94" s="17" t="str">
        <f>IFERROR(__xludf.DUMMYFUNCTION("""COMPUTED_VALUE"""),"Babycat Instinctive Yavru ve Anne Kediler Için Konserve 195 gr x 12 Adet")</f>
        <v>Babycat Instinctive Yavru ve Anne Kediler Için Konserve 195 gr x 12 Adet</v>
      </c>
      <c r="D94" s="17"/>
      <c r="E94" s="17" t="str">
        <f>IFERROR(__xludf.DUMMYFUNCTION("""COMPUTED_VALUE"""),"Kedi Konserve Maması")</f>
        <v>Kedi Konserve Maması</v>
      </c>
      <c r="F94" s="17">
        <f>IFERROR(__xludf.DUMMYFUNCTION("""COMPUTED_VALUE"""),1690.0)</f>
        <v>1690</v>
      </c>
      <c r="G94" s="17">
        <f>IFERROR(__xludf.DUMMYFUNCTION("""COMPUTED_VALUE"""),1630.0)</f>
        <v>1630</v>
      </c>
      <c r="H94" s="17">
        <f>IFERROR(__xludf.DUMMYFUNCTION("""COMPUTED_VALUE"""),4.0)</f>
        <v>4</v>
      </c>
      <c r="I94" s="17" t="str">
        <f>IFERROR(__xludf.DUMMYFUNCTION("""COMPUTED_VALUE"""),"Onayli")</f>
        <v>Onayli</v>
      </c>
      <c r="J94" s="40">
        <f>IF($A94="","",IFERROR(VLOOKUP($A94,'Maliyet Giris'!$A$2:$G$550,6,0),""))</f>
        <v>1301</v>
      </c>
      <c r="K94" s="40">
        <f>IF($A94="","",IFERROR(VLOOKUP($A94,'Maliyet Giris'!$A$2:$G$550,7,0),""))</f>
        <v>3</v>
      </c>
    </row>
    <row r="95">
      <c r="A95" s="17" t="str">
        <f>IFERROR(__xludf.DUMMYFUNCTION("""COMPUTED_VALUE"""),"WHS28850000")</f>
        <v>WHS28850000</v>
      </c>
      <c r="B95" s="17" t="str">
        <f>IFERROR(__xludf.DUMMYFUNCTION("""COMPUTED_VALUE"""),"Whiskas")</f>
        <v>Whiskas</v>
      </c>
      <c r="C95" s="17" t="str">
        <f>IFERROR(__xludf.DUMMYFUNCTION("""COMPUTED_VALUE"""),"Sığır - Tavuk - Somon - Ton Balıklı Karışık Yaş Kedi Maması 28 Adet 85 Gr.")</f>
        <v>Sığır - Tavuk - Somon - Ton Balıklı Karışık Yaş Kedi Maması 28 Adet 85 Gr.</v>
      </c>
      <c r="D95" s="17"/>
      <c r="E95" s="17" t="str">
        <f>IFERROR(__xludf.DUMMYFUNCTION("""COMPUTED_VALUE"""),"Kedi Konserve Maması")</f>
        <v>Kedi Konserve Maması</v>
      </c>
      <c r="F95" s="17">
        <f>IFERROR(__xludf.DUMMYFUNCTION("""COMPUTED_VALUE"""),1200.0)</f>
        <v>1200</v>
      </c>
      <c r="G95" s="17">
        <f>IFERROR(__xludf.DUMMYFUNCTION("""COMPUTED_VALUE"""),696.0)</f>
        <v>696</v>
      </c>
      <c r="H95" s="17">
        <f>IFERROR(__xludf.DUMMYFUNCTION("""COMPUTED_VALUE"""),100.0)</f>
        <v>100</v>
      </c>
      <c r="I95" s="17" t="str">
        <f>IFERROR(__xludf.DUMMYFUNCTION("""COMPUTED_VALUE"""),"Onayli")</f>
        <v>Onayli</v>
      </c>
      <c r="J95" s="40">
        <f>IF($A95="","",IFERROR(VLOOKUP($A95,'Maliyet Giris'!$A$2:$G$550,6,0),""))</f>
        <v>1</v>
      </c>
      <c r="K95" s="40">
        <f>IF($A95="","",IFERROR(VLOOKUP($A95,'Maliyet Giris'!$A$2:$G$550,7,0),""))</f>
        <v>3</v>
      </c>
    </row>
    <row r="96">
      <c r="A96" s="17">
        <f>IFERROR(__xludf.DUMMYFUNCTION("""COMPUTED_VALUE"""),3.182550727389E12)</f>
        <v>3182550727389</v>
      </c>
      <c r="B96" s="17" t="str">
        <f>IFERROR(__xludf.DUMMYFUNCTION("""COMPUTED_VALUE"""),"Royal Canin")</f>
        <v>Royal Canin</v>
      </c>
      <c r="C96" s="17" t="str">
        <f>IFERROR(__xludf.DUMMYFUNCTION("""COMPUTED_VALUE"""),"Mını Indoor Adult Küçük Irklar Için Indoor Yetişkin Kuru Köpek Maması 1.5kg")</f>
        <v>Mını Indoor Adult Küçük Irklar Için Indoor Yetişkin Kuru Köpek Maması 1.5kg</v>
      </c>
      <c r="D96" s="17"/>
      <c r="E96" s="17" t="str">
        <f>IFERROR(__xludf.DUMMYFUNCTION("""COMPUTED_VALUE"""),"Köpek Kuru Maması")</f>
        <v>Köpek Kuru Maması</v>
      </c>
      <c r="F96" s="17">
        <f>IFERROR(__xludf.DUMMYFUNCTION("""COMPUTED_VALUE"""),0.0)</f>
        <v>0</v>
      </c>
      <c r="G96" s="17"/>
      <c r="H96" s="17">
        <f>IFERROR(__xludf.DUMMYFUNCTION("""COMPUTED_VALUE"""),0.0)</f>
        <v>0</v>
      </c>
      <c r="I96" s="17" t="str">
        <f>IFERROR(__xludf.DUMMYFUNCTION("""COMPUTED_VALUE"""),"Onayli - Satista degil")</f>
        <v>Onayli - Satista degil</v>
      </c>
      <c r="J96" s="40">
        <f>IF($A96="","",IFERROR(VLOOKUP($A96,'Maliyet Giris'!$A$2:$G$550,6,0),""))</f>
        <v>1</v>
      </c>
      <c r="K96" s="40">
        <f>IF($A96="","",IFERROR(VLOOKUP($A96,'Maliyet Giris'!$A$2:$G$550,7,0),""))</f>
        <v>3</v>
      </c>
    </row>
    <row r="97">
      <c r="A97" s="17">
        <f>IFERROR(__xludf.DUMMYFUNCTION("""COMPUTED_VALUE"""),3.182550707312E12)</f>
        <v>3182550707312</v>
      </c>
      <c r="B97" s="17" t="str">
        <f>IFERROR(__xludf.DUMMYFUNCTION("""COMPUTED_VALUE"""),"Royal Canin")</f>
        <v>Royal Canin</v>
      </c>
      <c r="C97" s="17" t="str">
        <f>IFERROR(__xludf.DUMMYFUNCTION("""COMPUTED_VALUE"""),"Mother&amp;babycat Gebe/laktasyondaki Anne Ve Yavru Kedi Için Kuru Kedi Maması 2kg")</f>
        <v>Mother&amp;babycat Gebe/laktasyondaki Anne Ve Yavru Kedi Için Kuru Kedi Maması 2kg</v>
      </c>
      <c r="D97" s="17"/>
      <c r="E97" s="17" t="str">
        <f>IFERROR(__xludf.DUMMYFUNCTION("""COMPUTED_VALUE"""),"Kedi Kuru Maması")</f>
        <v>Kedi Kuru Maması</v>
      </c>
      <c r="F97" s="17">
        <f>IFERROR(__xludf.DUMMYFUNCTION("""COMPUTED_VALUE"""),0.0)</f>
        <v>0</v>
      </c>
      <c r="G97" s="17"/>
      <c r="H97" s="17">
        <f>IFERROR(__xludf.DUMMYFUNCTION("""COMPUTED_VALUE"""),0.0)</f>
        <v>0</v>
      </c>
      <c r="I97" s="17" t="str">
        <f>IFERROR(__xludf.DUMMYFUNCTION("""COMPUTED_VALUE"""),"Onayli - Satista degil")</f>
        <v>Onayli - Satista degil</v>
      </c>
      <c r="J97" s="40">
        <f>IF($A97="","",IFERROR(VLOOKUP($A97,'Maliyet Giris'!$A$2:$G$550,6,0),""))</f>
        <v>876</v>
      </c>
      <c r="K97" s="40">
        <f>IF($A97="","",IFERROR(VLOOKUP($A97,'Maliyet Giris'!$A$2:$G$550,7,0),""))</f>
        <v>3</v>
      </c>
    </row>
    <row r="98">
      <c r="A98" s="17" t="str">
        <f>IFERROR(__xludf.DUMMYFUNCTION("""COMPUTED_VALUE"""),"TYBA2C5Z2ZVZYC1P94")</f>
        <v>TYBA2C5Z2ZVZYC1P94</v>
      </c>
      <c r="B98" s="17" t="str">
        <f>IFERROR(__xludf.DUMMYFUNCTION("""COMPUTED_VALUE"""),"Royal Canin")</f>
        <v>Royal Canin</v>
      </c>
      <c r="C98" s="17" t="str">
        <f>IFERROR(__xludf.DUMMYFUNCTION("""COMPUTED_VALUE"""),"Chihuahua Puppy Yavru Köpek Maması 1,5 Kg")</f>
        <v>Chihuahua Puppy Yavru Köpek Maması 1,5 Kg</v>
      </c>
      <c r="D98" s="17"/>
      <c r="E98" s="17" t="str">
        <f>IFERROR(__xludf.DUMMYFUNCTION("""COMPUTED_VALUE"""),"Köpek Kuru Maması")</f>
        <v>Köpek Kuru Maması</v>
      </c>
      <c r="F98" s="17">
        <f>IFERROR(__xludf.DUMMYFUNCTION("""COMPUTED_VALUE"""),0.0)</f>
        <v>0</v>
      </c>
      <c r="G98" s="17"/>
      <c r="H98" s="17">
        <f>IFERROR(__xludf.DUMMYFUNCTION("""COMPUTED_VALUE"""),0.0)</f>
        <v>0</v>
      </c>
      <c r="I98" s="17" t="str">
        <f>IFERROR(__xludf.DUMMYFUNCTION("""COMPUTED_VALUE"""),"Onayli - Satista degil")</f>
        <v>Onayli - Satista degil</v>
      </c>
      <c r="J98" s="40">
        <f>IF($A98="","",IFERROR(VLOOKUP($A98,'Maliyet Giris'!$A$2:$G$550,6,0),""))</f>
        <v>708</v>
      </c>
      <c r="K98" s="40">
        <f>IF($A98="","",IFERROR(VLOOKUP($A98,'Maliyet Giris'!$A$2:$G$550,7,0),""))</f>
        <v>3</v>
      </c>
    </row>
    <row r="99">
      <c r="A99" s="17" t="str">
        <f>IFERROR(__xludf.DUMMYFUNCTION("""COMPUTED_VALUE"""),"PKTSGRKSR1500X2")</f>
        <v>PKTSGRKSR1500X2</v>
      </c>
      <c r="B99" s="17" t="str">
        <f>IFERROR(__xludf.DUMMYFUNCTION("""COMPUTED_VALUE"""),"Purina One")</f>
        <v>Purina One</v>
      </c>
      <c r="C99" s="17" t="str">
        <f>IFERROR(__xludf.DUMMYFUNCTION("""COMPUTED_VALUE"""),"Sterilised Sığır Etli Kısırlaştırılmış Kedi Maması 1,5 kgX2")</f>
        <v>Sterilised Sığır Etli Kısırlaştırılmış Kedi Maması 1,5 kgX2</v>
      </c>
      <c r="D99" s="17"/>
      <c r="E99" s="17" t="str">
        <f>IFERROR(__xludf.DUMMYFUNCTION("""COMPUTED_VALUE"""),"Kedi Kuru Maması")</f>
        <v>Kedi Kuru Maması</v>
      </c>
      <c r="F99" s="17">
        <f>IFERROR(__xludf.DUMMYFUNCTION("""COMPUTED_VALUE"""),1620.0)</f>
        <v>1620</v>
      </c>
      <c r="G99" s="17"/>
      <c r="H99" s="17">
        <f>IFERROR(__xludf.DUMMYFUNCTION("""COMPUTED_VALUE"""),0.0)</f>
        <v>0</v>
      </c>
      <c r="I99" s="17" t="str">
        <f>IFERROR(__xludf.DUMMYFUNCTION("""COMPUTED_VALUE"""),"Onayli - Satista degil")</f>
        <v>Onayli - Satista degil</v>
      </c>
      <c r="J99" s="40">
        <f>IF($A99="","",IFERROR(VLOOKUP($A99,'Maliyet Giris'!$A$2:$G$550,6,0),""))</f>
        <v>754</v>
      </c>
      <c r="K99" s="40">
        <f>IF($A99="","",IFERROR(VLOOKUP($A99,'Maliyet Giris'!$A$2:$G$550,7,0),""))</f>
        <v>3</v>
      </c>
    </row>
    <row r="100">
      <c r="A100" s="17">
        <f>IFERROR(__xludf.DUMMYFUNCTION("""COMPUTED_VALUE"""),3.724862384675E12)</f>
        <v>3724862384675</v>
      </c>
      <c r="B100" s="17" t="str">
        <f>IFERROR(__xludf.DUMMYFUNCTION("""COMPUTED_VALUE"""),"Purina One")</f>
        <v>Purina One</v>
      </c>
      <c r="C100" s="17" t="str">
        <f>IFERROR(__xludf.DUMMYFUNCTION("""COMPUTED_VALUE"""),"Sterilised Sığır Etli Kısırlaştırılmış Kedi Maması 1.5 Kg")</f>
        <v>Sterilised Sığır Etli Kısırlaştırılmış Kedi Maması 1.5 Kg</v>
      </c>
      <c r="D100" s="17"/>
      <c r="E100" s="17" t="str">
        <f>IFERROR(__xludf.DUMMYFUNCTION("""COMPUTED_VALUE"""),"Kedi Kuru Maması")</f>
        <v>Kedi Kuru Maması</v>
      </c>
      <c r="F100" s="17">
        <f>IFERROR(__xludf.DUMMYFUNCTION("""COMPUTED_VALUE"""),829.0)</f>
        <v>829</v>
      </c>
      <c r="G100" s="17"/>
      <c r="H100" s="17">
        <f>IFERROR(__xludf.DUMMYFUNCTION("""COMPUTED_VALUE"""),0.0)</f>
        <v>0</v>
      </c>
      <c r="I100" s="17" t="str">
        <f>IFERROR(__xludf.DUMMYFUNCTION("""COMPUTED_VALUE"""),"Onayli - Satista degil")</f>
        <v>Onayli - Satista degil</v>
      </c>
      <c r="J100" s="40">
        <f>IF($A100="","",IFERROR(VLOOKUP($A100,'Maliyet Giris'!$A$2:$G$550,6,0),""))</f>
        <v>377</v>
      </c>
      <c r="K100" s="40">
        <f>IF($A100="","",IFERROR(VLOOKUP($A100,'Maliyet Giris'!$A$2:$G$550,7,0),""))</f>
        <v>3</v>
      </c>
    </row>
    <row r="101">
      <c r="A101" s="17" t="str">
        <f>IFERROR(__xludf.DUMMYFUNCTION("""COMPUTED_VALUE"""),"TYBK3GU7R3VD1AJR53")</f>
        <v>TYBK3GU7R3VD1AJR53</v>
      </c>
      <c r="B101" s="17" t="str">
        <f>IFERROR(__xludf.DUMMYFUNCTION("""COMPUTED_VALUE"""),"Simple Solution")</f>
        <v>Simple Solution</v>
      </c>
      <c r="C101" s="17" t="str">
        <f>IFERROR(__xludf.DUMMYFUNCTION("""COMPUTED_VALUE"""),"Leke Ve Koku Giderici Sprey - Orman Ferahlığı")</f>
        <v>Leke Ve Koku Giderici Sprey - Orman Ferahlığı</v>
      </c>
      <c r="D101" s="17"/>
      <c r="E101" s="17" t="str">
        <f>IFERROR(__xludf.DUMMYFUNCTION("""COMPUTED_VALUE"""),"Köpek Koku Giderici")</f>
        <v>Köpek Koku Giderici</v>
      </c>
      <c r="F101" s="17">
        <f>IFERROR(__xludf.DUMMYFUNCTION("""COMPUTED_VALUE"""),1200.0)</f>
        <v>1200</v>
      </c>
      <c r="G101" s="17"/>
      <c r="H101" s="17">
        <f>IFERROR(__xludf.DUMMYFUNCTION("""COMPUTED_VALUE"""),0.0)</f>
        <v>0</v>
      </c>
      <c r="I101" s="17" t="str">
        <f>IFERROR(__xludf.DUMMYFUNCTION("""COMPUTED_VALUE"""),"Onayli - Satista degil")</f>
        <v>Onayli - Satista degil</v>
      </c>
      <c r="J101" s="40">
        <f>IF($A101="","",IFERROR(VLOOKUP($A101,'Maliyet Giris'!$A$2:$G$550,6,0),""))</f>
        <v>1</v>
      </c>
      <c r="K101" s="40">
        <f>IF($A101="","",IFERROR(VLOOKUP($A101,'Maliyet Giris'!$A$2:$G$550,7,0),""))</f>
        <v>1</v>
      </c>
    </row>
    <row r="102">
      <c r="A102" s="17" t="str">
        <f>IFERROR(__xludf.DUMMYFUNCTION("""COMPUTED_VALUE"""),"TYBHAPNK94QXAISK95")</f>
        <v>TYBHAPNK94QXAISK95</v>
      </c>
      <c r="B102" s="17" t="str">
        <f>IFERROR(__xludf.DUMMYFUNCTION("""COMPUTED_VALUE"""),"Simple Solution")</f>
        <v>Simple Solution</v>
      </c>
      <c r="C102" s="17" t="str">
        <f>IFERROR(__xludf.DUMMYFUNCTION("""COMPUTED_VALUE"""),"Solution Kediler İçin Leke ve Koku Giderici Sprey 750ml Luxury")</f>
        <v>Solution Kediler İçin Leke ve Koku Giderici Sprey 750ml Luxury</v>
      </c>
      <c r="D102" s="17"/>
      <c r="E102" s="17" t="str">
        <f>IFERROR(__xludf.DUMMYFUNCTION("""COMPUTED_VALUE"""),"Köpek Aksesuarı")</f>
        <v>Köpek Aksesuarı</v>
      </c>
      <c r="F102" s="17">
        <f>IFERROR(__xludf.DUMMYFUNCTION("""COMPUTED_VALUE"""),0.0)</f>
        <v>0</v>
      </c>
      <c r="G102" s="17"/>
      <c r="H102" s="17">
        <f>IFERROR(__xludf.DUMMYFUNCTION("""COMPUTED_VALUE"""),0.0)</f>
        <v>0</v>
      </c>
      <c r="I102" s="17" t="str">
        <f>IFERROR(__xludf.DUMMYFUNCTION("""COMPUTED_VALUE"""),"Onayli - Satista degil")</f>
        <v>Onayli - Satista degil</v>
      </c>
      <c r="J102" s="40">
        <f>IF($A102="","",IFERROR(VLOOKUP($A102,'Maliyet Giris'!$A$2:$G$550,6,0),""))</f>
        <v>500</v>
      </c>
      <c r="K102" s="40">
        <f>IF($A102="","",IFERROR(VLOOKUP($A102,'Maliyet Giris'!$A$2:$G$550,7,0),""))</f>
        <v>1</v>
      </c>
    </row>
    <row r="103">
      <c r="A103" s="17" t="str">
        <f>IFERROR(__xludf.DUMMYFUNCTION("""COMPUTED_VALUE"""),"TYBAO4JKCQA0LI9T20")</f>
        <v>TYBAO4JKCQA0LI9T20</v>
      </c>
      <c r="B103" s="17" t="str">
        <f>IFERROR(__xludf.DUMMYFUNCTION("""COMPUTED_VALUE"""),"Simple Solution")</f>
        <v>Simple Solution</v>
      </c>
      <c r="C103" s="17" t="str">
        <f>IFERROR(__xludf.DUMMYFUNCTION("""COMPUTED_VALUE"""),"Solutıon Bahar Esintili Leke Ve Koku Giderici Sprey 750 Ml")</f>
        <v>Solutıon Bahar Esintili Leke Ve Koku Giderici Sprey 750 Ml</v>
      </c>
      <c r="D103" s="17"/>
      <c r="E103" s="17" t="str">
        <f>IFERROR(__xludf.DUMMYFUNCTION("""COMPUTED_VALUE"""),"Köpek Sağlık Ürünü")</f>
        <v>Köpek Sağlık Ürünü</v>
      </c>
      <c r="F103" s="17">
        <f>IFERROR(__xludf.DUMMYFUNCTION("""COMPUTED_VALUE"""),1100.0)</f>
        <v>1100</v>
      </c>
      <c r="G103" s="17"/>
      <c r="H103" s="17">
        <f>IFERROR(__xludf.DUMMYFUNCTION("""COMPUTED_VALUE"""),0.0)</f>
        <v>0</v>
      </c>
      <c r="I103" s="17" t="str">
        <f>IFERROR(__xludf.DUMMYFUNCTION("""COMPUTED_VALUE"""),"Onayli - Satista degil")</f>
        <v>Onayli - Satista degil</v>
      </c>
      <c r="J103" s="40">
        <f>IF($A103="","",IFERROR(VLOOKUP($A103,'Maliyet Giris'!$A$2:$G$550,6,0),""))</f>
        <v>10</v>
      </c>
      <c r="K103" s="40">
        <f>IF($A103="","",IFERROR(VLOOKUP($A103,'Maliyet Giris'!$A$2:$G$550,7,0),""))</f>
        <v>1</v>
      </c>
    </row>
    <row r="104">
      <c r="A104" s="17" t="str">
        <f>IFERROR(__xludf.DUMMYFUNCTION("""COMPUTED_VALUE"""),"TYBRSLA8EYRWXBYM96")</f>
        <v>TYBRSLA8EYRWXBYM96</v>
      </c>
      <c r="B104" s="17" t="str">
        <f>IFERROR(__xludf.DUMMYFUNCTION("""COMPUTED_VALUE"""),"Simple Solution")</f>
        <v>Simple Solution</v>
      </c>
      <c r="C104" s="17" t="str">
        <f>IFERROR(__xludf.DUMMYFUNCTION("""COMPUTED_VALUE"""),"Solution Köpek Leke Ve Koku Giderici Sprey 750ml")</f>
        <v>Solution Köpek Leke Ve Koku Giderici Sprey 750ml</v>
      </c>
      <c r="D104" s="17"/>
      <c r="E104" s="17" t="str">
        <f>IFERROR(__xludf.DUMMYFUNCTION("""COMPUTED_VALUE"""),"Köpek Koku Giderici")</f>
        <v>Köpek Koku Giderici</v>
      </c>
      <c r="F104" s="17">
        <f>IFERROR(__xludf.DUMMYFUNCTION("""COMPUTED_VALUE"""),850.0)</f>
        <v>850</v>
      </c>
      <c r="G104" s="17"/>
      <c r="H104" s="17">
        <f>IFERROR(__xludf.DUMMYFUNCTION("""COMPUTED_VALUE"""),0.0)</f>
        <v>0</v>
      </c>
      <c r="I104" s="17" t="str">
        <f>IFERROR(__xludf.DUMMYFUNCTION("""COMPUTED_VALUE"""),"Onayli - Satista degil")</f>
        <v>Onayli - Satista degil</v>
      </c>
      <c r="J104" s="40">
        <f>IF($A104="","",IFERROR(VLOOKUP($A104,'Maliyet Giris'!$A$2:$G$550,6,0),""))</f>
        <v>1</v>
      </c>
      <c r="K104" s="40">
        <f>IF($A104="","",IFERROR(VLOOKUP($A104,'Maliyet Giris'!$A$2:$G$550,7,0),""))</f>
        <v>1</v>
      </c>
    </row>
    <row r="105">
      <c r="A105" s="17" t="str">
        <f>IFERROR(__xludf.DUMMYFUNCTION("""COMPUTED_VALUE"""),"TYBSW7DZ4CUKVRAD69")</f>
        <v>TYBSW7DZ4CUKVRAD69</v>
      </c>
      <c r="B105" s="17" t="str">
        <f>IFERROR(__xludf.DUMMYFUNCTION("""COMPUTED_VALUE"""),"Simple")</f>
        <v>Simple</v>
      </c>
      <c r="C105" s="17" t="str">
        <f>IFERROR(__xludf.DUMMYFUNCTION("""COMPUTED_VALUE"""),"Solution Extreme Leke Ve Koku Giderici Sprey 945 ml")</f>
        <v>Solution Extreme Leke Ve Koku Giderici Sprey 945 ml</v>
      </c>
      <c r="D105" s="17"/>
      <c r="E105" s="17" t="str">
        <f>IFERROR(__xludf.DUMMYFUNCTION("""COMPUTED_VALUE"""),"Köpek Sağlık Ürünü")</f>
        <v>Köpek Sağlık Ürünü</v>
      </c>
      <c r="F105" s="17">
        <f>IFERROR(__xludf.DUMMYFUNCTION("""COMPUTED_VALUE"""),0.0)</f>
        <v>0</v>
      </c>
      <c r="G105" s="17"/>
      <c r="H105" s="17">
        <f>IFERROR(__xludf.DUMMYFUNCTION("""COMPUTED_VALUE"""),0.0)</f>
        <v>0</v>
      </c>
      <c r="I105" s="17" t="str">
        <f>IFERROR(__xludf.DUMMYFUNCTION("""COMPUTED_VALUE"""),"Onayli - Satista degil")</f>
        <v>Onayli - Satista degil</v>
      </c>
      <c r="J105" s="40">
        <f>IF($A105="","",IFERROR(VLOOKUP($A105,'Maliyet Giris'!$A$2:$G$550,6,0),""))</f>
        <v>500</v>
      </c>
      <c r="K105" s="40">
        <f>IF($A105="","",IFERROR(VLOOKUP($A105,'Maliyet Giris'!$A$2:$G$550,7,0),""))</f>
        <v>1</v>
      </c>
    </row>
    <row r="106">
      <c r="A106" s="17" t="str">
        <f>IFERROR(__xludf.DUMMYFUNCTION("""COMPUTED_VALUE"""),"TYBOW65Q08TNPL5Y10")</f>
        <v>TYBOW65Q08TNPL5Y10</v>
      </c>
      <c r="B106" s="17" t="str">
        <f>IFERROR(__xludf.DUMMYFUNCTION("""COMPUTED_VALUE"""),"Simple Solution")</f>
        <v>Simple Solution</v>
      </c>
      <c r="C106" s="17" t="str">
        <f>IFERROR(__xludf.DUMMYFUNCTION("""COMPUTED_VALUE"""),"Solution Kedi Sıvı Leke Ve Koku Giderici 1000ml")</f>
        <v>Solution Kedi Sıvı Leke Ve Koku Giderici 1000ml</v>
      </c>
      <c r="D106" s="17"/>
      <c r="E106" s="17" t="str">
        <f>IFERROR(__xludf.DUMMYFUNCTION("""COMPUTED_VALUE"""),"Kedi Koku Giderici")</f>
        <v>Kedi Koku Giderici</v>
      </c>
      <c r="F106" s="17">
        <f>IFERROR(__xludf.DUMMYFUNCTION("""COMPUTED_VALUE"""),1100.0)</f>
        <v>1100</v>
      </c>
      <c r="G106" s="17"/>
      <c r="H106" s="17">
        <f>IFERROR(__xludf.DUMMYFUNCTION("""COMPUTED_VALUE"""),0.0)</f>
        <v>0</v>
      </c>
      <c r="I106" s="17" t="str">
        <f>IFERROR(__xludf.DUMMYFUNCTION("""COMPUTED_VALUE"""),"Onayli - Satista degil")</f>
        <v>Onayli - Satista degil</v>
      </c>
      <c r="J106" s="40">
        <f>IF($A106="","",IFERROR(VLOOKUP($A106,'Maliyet Giris'!$A$2:$G$550,6,0),""))</f>
        <v>500</v>
      </c>
      <c r="K106" s="40">
        <f>IF($A106="","",IFERROR(VLOOKUP($A106,'Maliyet Giris'!$A$2:$G$550,7,0),""))</f>
        <v>0.3</v>
      </c>
    </row>
    <row r="107">
      <c r="A107" s="17" t="str">
        <f>IFERROR(__xludf.DUMMYFUNCTION("""COMPUTED_VALUE"""),"TYBTDDIFOJC0HA0P01")</f>
        <v>TYBTDDIFOJC0HA0P01</v>
      </c>
      <c r="B107" s="17" t="str">
        <f>IFERROR(__xludf.DUMMYFUNCTION("""COMPUTED_VALUE"""),"Simple Solution")</f>
        <v>Simple Solution</v>
      </c>
      <c r="C107" s="17" t="str">
        <f>IFERROR(__xludf.DUMMYFUNCTION("""COMPUTED_VALUE"""),"Solution Urine Destroyer Idrar Ve 1 Lt")</f>
        <v>Solution Urine Destroyer Idrar Ve 1 Lt</v>
      </c>
      <c r="D107" s="17"/>
      <c r="E107" s="17" t="str">
        <f>IFERROR(__xludf.DUMMYFUNCTION("""COMPUTED_VALUE"""),"Köpek Koku Giderici")</f>
        <v>Köpek Koku Giderici</v>
      </c>
      <c r="F107" s="17">
        <f>IFERROR(__xludf.DUMMYFUNCTION("""COMPUTED_VALUE"""),900.0)</f>
        <v>900</v>
      </c>
      <c r="G107" s="17"/>
      <c r="H107" s="17">
        <f>IFERROR(__xludf.DUMMYFUNCTION("""COMPUTED_VALUE"""),0.0)</f>
        <v>0</v>
      </c>
      <c r="I107" s="17" t="str">
        <f>IFERROR(__xludf.DUMMYFUNCTION("""COMPUTED_VALUE"""),"Onayli - Satista degil")</f>
        <v>Onayli - Satista degil</v>
      </c>
      <c r="J107" s="40">
        <f>IF($A107="","",IFERROR(VLOOKUP($A107,'Maliyet Giris'!$A$2:$G$550,6,0),""))</f>
        <v>500</v>
      </c>
      <c r="K107" s="40">
        <f>IF($A107="","",IFERROR(VLOOKUP($A107,'Maliyet Giris'!$A$2:$G$550,7,0),""))</f>
        <v>1</v>
      </c>
    </row>
    <row r="108">
      <c r="A108" s="17" t="str">
        <f>IFERROR(__xludf.DUMMYFUNCTION("""COMPUTED_VALUE"""),"TYBAUF4CR8GPNRPF93")</f>
        <v>TYBAUF4CR8GPNRPF93</v>
      </c>
      <c r="B108" s="17" t="str">
        <f>IFERROR(__xludf.DUMMYFUNCTION("""COMPUTED_VALUE"""),"Simple Solution")</f>
        <v>Simple Solution</v>
      </c>
      <c r="C108" s="17" t="str">
        <f>IFERROR(__xludf.DUMMYFUNCTION("""COMPUTED_VALUE"""),"Kediler İçin Leke ve Koku Giderici Sprey 750 Ml -")</f>
        <v>Kediler İçin Leke ve Koku Giderici Sprey 750 Ml -</v>
      </c>
      <c r="D108" s="17"/>
      <c r="E108" s="17" t="str">
        <f>IFERROR(__xludf.DUMMYFUNCTION("""COMPUTED_VALUE"""),"Kedi Koku Giderici")</f>
        <v>Kedi Koku Giderici</v>
      </c>
      <c r="F108" s="17">
        <f>IFERROR(__xludf.DUMMYFUNCTION("""COMPUTED_VALUE"""),999.0)</f>
        <v>999</v>
      </c>
      <c r="G108" s="17"/>
      <c r="H108" s="17">
        <f>IFERROR(__xludf.DUMMYFUNCTION("""COMPUTED_VALUE"""),0.0)</f>
        <v>0</v>
      </c>
      <c r="I108" s="17" t="str">
        <f>IFERROR(__xludf.DUMMYFUNCTION("""COMPUTED_VALUE"""),"Onayli - Satista degil")</f>
        <v>Onayli - Satista degil</v>
      </c>
      <c r="J108" s="40">
        <f>IF($A108="","",IFERROR(VLOOKUP($A108,'Maliyet Giris'!$A$2:$G$550,6,0),""))</f>
        <v>1</v>
      </c>
      <c r="K108" s="40">
        <f>IF($A108="","",IFERROR(VLOOKUP($A108,'Maliyet Giris'!$A$2:$G$550,7,0),""))</f>
        <v>0.3</v>
      </c>
    </row>
    <row r="109">
      <c r="A109" s="17">
        <f>IFERROR(__xludf.DUMMYFUNCTION("""COMPUTED_VALUE"""),7.613038508528E12)</f>
        <v>7613038508528</v>
      </c>
      <c r="B109" s="17" t="str">
        <f>IFERROR(__xludf.DUMMYFUNCTION("""COMPUTED_VALUE"""),"Purina One")</f>
        <v>Purina One</v>
      </c>
      <c r="C109" s="17" t="str">
        <f>IFERROR(__xludf.DUMMYFUNCTION("""COMPUTED_VALUE"""),"Sığır Etli Kısırlaştırılmış Kedi Maması 9,75 kg")</f>
        <v>Sığır Etli Kısırlaştırılmış Kedi Maması 9,75 kg</v>
      </c>
      <c r="D109" s="17"/>
      <c r="E109" s="17" t="str">
        <f>IFERROR(__xludf.DUMMYFUNCTION("""COMPUTED_VALUE"""),"Kedi Kuru Maması")</f>
        <v>Kedi Kuru Maması</v>
      </c>
      <c r="F109" s="17">
        <f>IFERROR(__xludf.DUMMYFUNCTION("""COMPUTED_VALUE"""),4399.0)</f>
        <v>4399</v>
      </c>
      <c r="G109" s="17"/>
      <c r="H109" s="17">
        <f>IFERROR(__xludf.DUMMYFUNCTION("""COMPUTED_VALUE"""),0.0)</f>
        <v>0</v>
      </c>
      <c r="I109" s="17" t="str">
        <f>IFERROR(__xludf.DUMMYFUNCTION("""COMPUTED_VALUE"""),"Onayli - Satista degil")</f>
        <v>Onayli - Satista degil</v>
      </c>
      <c r="J109" s="40">
        <f>IF($A109="","",IFERROR(VLOOKUP($A109,'Maliyet Giris'!$A$2:$G$550,6,0),""))</f>
        <v>2790</v>
      </c>
      <c r="K109" s="40">
        <f>IF($A109="","",IFERROR(VLOOKUP($A109,'Maliyet Giris'!$A$2:$G$550,7,0),""))</f>
        <v>3</v>
      </c>
    </row>
    <row r="110">
      <c r="A110" s="17">
        <f>IFERROR(__xludf.DUMMYFUNCTION("""COMPUTED_VALUE"""),2.0000041025165E13)</f>
        <v>20000041025165</v>
      </c>
      <c r="B110" s="17" t="str">
        <f>IFERROR(__xludf.DUMMYFUNCTION("""COMPUTED_VALUE"""),"Purina One")</f>
        <v>Purina One</v>
      </c>
      <c r="C110" s="17" t="str">
        <f>IFERROR(__xludf.DUMMYFUNCTION("""COMPUTED_VALUE"""),"Sterilised Sığır Etli Kısırlaştırılmış Kedi Maması 1,5 Kg")</f>
        <v>Sterilised Sığır Etli Kısırlaştırılmış Kedi Maması 1,5 Kg</v>
      </c>
      <c r="D110" s="17"/>
      <c r="E110" s="17" t="str">
        <f>IFERROR(__xludf.DUMMYFUNCTION("""COMPUTED_VALUE"""),"Kedi Kuru Maması")</f>
        <v>Kedi Kuru Maması</v>
      </c>
      <c r="F110" s="17">
        <f>IFERROR(__xludf.DUMMYFUNCTION("""COMPUTED_VALUE"""),719.0)</f>
        <v>719</v>
      </c>
      <c r="G110" s="17"/>
      <c r="H110" s="17">
        <f>IFERROR(__xludf.DUMMYFUNCTION("""COMPUTED_VALUE"""),0.0)</f>
        <v>0</v>
      </c>
      <c r="I110" s="17" t="str">
        <f>IFERROR(__xludf.DUMMYFUNCTION("""COMPUTED_VALUE"""),"Onayli - Satista degil")</f>
        <v>Onayli - Satista degil</v>
      </c>
      <c r="J110" s="40">
        <f>IF($A110="","",IFERROR(VLOOKUP($A110,'Maliyet Giris'!$A$2:$G$550,6,0),""))</f>
        <v>377</v>
      </c>
      <c r="K110" s="40">
        <f>IF($A110="","",IFERROR(VLOOKUP($A110,'Maliyet Giris'!$A$2:$G$550,7,0),""))</f>
        <v>3</v>
      </c>
    </row>
    <row r="111">
      <c r="A111" s="17">
        <f>IFERROR(__xludf.DUMMYFUNCTION("""COMPUTED_VALUE"""),7.613033566387E12)</f>
        <v>7613033566387</v>
      </c>
      <c r="B111" s="17" t="str">
        <f>IFERROR(__xludf.DUMMYFUNCTION("""COMPUTED_VALUE"""),"Pro Plan")</f>
        <v>Pro Plan</v>
      </c>
      <c r="C111" s="17" t="str">
        <f>IFERROR(__xludf.DUMMYFUNCTION("""COMPUTED_VALUE"""),"Renal Plus Sterilised, Somonlu Kısırlaştırılmış Kedi Maması 1.5 Kg")</f>
        <v>Renal Plus Sterilised, Somonlu Kısırlaştırılmış Kedi Maması 1.5 Kg</v>
      </c>
      <c r="D111" s="17"/>
      <c r="E111" s="17" t="str">
        <f>IFERROR(__xludf.DUMMYFUNCTION("""COMPUTED_VALUE"""),"Kedi Kuru Maması")</f>
        <v>Kedi Kuru Maması</v>
      </c>
      <c r="F111" s="17">
        <f>IFERROR(__xludf.DUMMYFUNCTION("""COMPUTED_VALUE"""),938.0)</f>
        <v>938</v>
      </c>
      <c r="G111" s="17">
        <f>IFERROR(__xludf.DUMMYFUNCTION("""COMPUTED_VALUE"""),781.3)</f>
        <v>781.3</v>
      </c>
      <c r="H111" s="17">
        <f>IFERROR(__xludf.DUMMYFUNCTION("""COMPUTED_VALUE"""),45.0)</f>
        <v>45</v>
      </c>
      <c r="I111" s="17" t="str">
        <f>IFERROR(__xludf.DUMMYFUNCTION("""COMPUTED_VALUE"""),"Onayli")</f>
        <v>Onayli</v>
      </c>
      <c r="J111" s="40">
        <f>IF($A111="","",IFERROR(VLOOKUP($A111,'Maliyet Giris'!$A$2:$G$550,6,0),""))</f>
        <v>710</v>
      </c>
      <c r="K111" s="40">
        <f>IF($A111="","",IFERROR(VLOOKUP($A111,'Maliyet Giris'!$A$2:$G$550,7,0),""))</f>
        <v>3</v>
      </c>
    </row>
    <row r="112">
      <c r="A112" s="17">
        <f>IFERROR(__xludf.DUMMYFUNCTION("""COMPUTED_VALUE"""),3.182550838351E12)</f>
        <v>3182550838351</v>
      </c>
      <c r="B112" s="17" t="str">
        <f>IFERROR(__xludf.DUMMYFUNCTION("""COMPUTED_VALUE"""),"Royal Canin")</f>
        <v>Royal Canin</v>
      </c>
      <c r="C112" s="17" t="str">
        <f>IFERROR(__xludf.DUMMYFUNCTION("""COMPUTED_VALUE"""),"Mını Indoor Puppy Küçük Irklar Için Indoor Yavru Kuru Köpek Maması 1.5kg")</f>
        <v>Mını Indoor Puppy Küçük Irklar Için Indoor Yavru Kuru Köpek Maması 1.5kg</v>
      </c>
      <c r="D112" s="17"/>
      <c r="E112" s="17" t="str">
        <f>IFERROR(__xludf.DUMMYFUNCTION("""COMPUTED_VALUE"""),"Köpek Kuru Maması")</f>
        <v>Köpek Kuru Maması</v>
      </c>
      <c r="F112" s="17">
        <f>IFERROR(__xludf.DUMMYFUNCTION("""COMPUTED_VALUE"""),0.0)</f>
        <v>0</v>
      </c>
      <c r="G112" s="17"/>
      <c r="H112" s="17">
        <f>IFERROR(__xludf.DUMMYFUNCTION("""COMPUTED_VALUE"""),0.0)</f>
        <v>0</v>
      </c>
      <c r="I112" s="17" t="str">
        <f>IFERROR(__xludf.DUMMYFUNCTION("""COMPUTED_VALUE"""),"Onayli - Satista degil")</f>
        <v>Onayli - Satista degil</v>
      </c>
      <c r="J112" s="40">
        <f>IF($A112="","",IFERROR(VLOOKUP($A112,'Maliyet Giris'!$A$2:$G$550,6,0),""))</f>
        <v>1</v>
      </c>
      <c r="K112" s="40">
        <f>IF($A112="","",IFERROR(VLOOKUP($A112,'Maliyet Giris'!$A$2:$G$550,7,0),""))</f>
        <v>3</v>
      </c>
    </row>
    <row r="113">
      <c r="A113" s="17">
        <f>IFERROR(__xludf.DUMMYFUNCTION("""COMPUTED_VALUE"""),8.445291846166E12)</f>
        <v>8445291846166</v>
      </c>
      <c r="B113" s="17" t="str">
        <f>IFERROR(__xludf.DUMMYFUNCTION("""COMPUTED_VALUE"""),"Pro Plan")</f>
        <v>Pro Plan</v>
      </c>
      <c r="C113" s="17" t="str">
        <f>IFERROR(__xludf.DUMMYFUNCTION("""COMPUTED_VALUE"""),"Sensitive Adult Kuzu Etli Yetişkin Köpek Maması 10 kg")</f>
        <v>Sensitive Adult Kuzu Etli Yetişkin Köpek Maması 10 kg</v>
      </c>
      <c r="D113" s="17"/>
      <c r="E113" s="17" t="str">
        <f>IFERROR(__xludf.DUMMYFUNCTION("""COMPUTED_VALUE"""),"Köpek Kuru Maması")</f>
        <v>Köpek Kuru Maması</v>
      </c>
      <c r="F113" s="17">
        <f>IFERROR(__xludf.DUMMYFUNCTION("""COMPUTED_VALUE"""),0.0)</f>
        <v>0</v>
      </c>
      <c r="G113" s="17"/>
      <c r="H113" s="17">
        <f>IFERROR(__xludf.DUMMYFUNCTION("""COMPUTED_VALUE"""),0.0)</f>
        <v>0</v>
      </c>
      <c r="I113" s="17" t="str">
        <f>IFERROR(__xludf.DUMMYFUNCTION("""COMPUTED_VALUE"""),"Onayli - Satista degil")</f>
        <v>Onayli - Satista degil</v>
      </c>
      <c r="J113" s="40">
        <f>IF($A113="","",IFERROR(VLOOKUP($A113,'Maliyet Giris'!$A$2:$G$550,6,0),""))</f>
        <v>1766</v>
      </c>
      <c r="K113" s="40">
        <f>IF($A113="","",IFERROR(VLOOKUP($A113,'Maliyet Giris'!$A$2:$G$550,7,0),""))</f>
        <v>3</v>
      </c>
    </row>
    <row r="114">
      <c r="A114" s="17">
        <f>IFERROR(__xludf.DUMMYFUNCTION("""COMPUTED_VALUE"""),3.182550721752E12)</f>
        <v>3182550721752</v>
      </c>
      <c r="B114" s="17" t="str">
        <f>IFERROR(__xludf.DUMMYFUNCTION("""COMPUTED_VALUE"""),"Royal Canin")</f>
        <v>Royal Canin</v>
      </c>
      <c r="C114" s="17" t="str">
        <f>IFERROR(__xludf.DUMMYFUNCTION("""COMPUTED_VALUE"""),"Hair&amp;skin Tüy Ve Deri Sağlığı Için Kuru Kedi Maması 10 Kg")</f>
        <v>Hair&amp;skin Tüy Ve Deri Sağlığı Için Kuru Kedi Maması 10 Kg</v>
      </c>
      <c r="D114" s="17">
        <f>IFERROR(__xludf.DUMMYFUNCTION("""COMPUTED_VALUE"""),100.0)</f>
        <v>100</v>
      </c>
      <c r="E114" s="17" t="str">
        <f>IFERROR(__xludf.DUMMYFUNCTION("""COMPUTED_VALUE"""),"Kedi Kuru Maması")</f>
        <v>Kedi Kuru Maması</v>
      </c>
      <c r="F114" s="17">
        <f>IFERROR(__xludf.DUMMYFUNCTION("""COMPUTED_VALUE"""),0.0)</f>
        <v>0</v>
      </c>
      <c r="G114" s="17"/>
      <c r="H114" s="17">
        <f>IFERROR(__xludf.DUMMYFUNCTION("""COMPUTED_VALUE"""),0.0)</f>
        <v>0</v>
      </c>
      <c r="I114" s="17" t="str">
        <f>IFERROR(__xludf.DUMMYFUNCTION("""COMPUTED_VALUE"""),"Onayli - Satista degil")</f>
        <v>Onayli - Satista degil</v>
      </c>
      <c r="J114" s="40">
        <f>IF($A114="","",IFERROR(VLOOKUP($A114,'Maliyet Giris'!$A$2:$G$550,6,0),""))</f>
        <v>5048</v>
      </c>
      <c r="K114" s="40">
        <f>IF($A114="","",IFERROR(VLOOKUP($A114,'Maliyet Giris'!$A$2:$G$550,7,0),""))</f>
        <v>10</v>
      </c>
    </row>
    <row r="115">
      <c r="A115" s="17" t="str">
        <f>IFERROR(__xludf.DUMMYFUNCTION("""COMPUTED_VALUE"""),"TYBHRPAFL3EL69WW58")</f>
        <v>TYBHRPAFL3EL69WW58</v>
      </c>
      <c r="B115" s="17" t="str">
        <f>IFERROR(__xludf.DUMMYFUNCTION("""COMPUTED_VALUE"""),"Hill's")</f>
        <v>Hill's</v>
      </c>
      <c r="C115" s="17" t="str">
        <f>IFERROR(__xludf.DUMMYFUNCTION("""COMPUTED_VALUE"""),"SCIENCE PLAN Tavuklu Yavru Kedi Maması 1,5 Kg")</f>
        <v>SCIENCE PLAN Tavuklu Yavru Kedi Maması 1,5 Kg</v>
      </c>
      <c r="D115" s="17"/>
      <c r="E115" s="17" t="str">
        <f>IFERROR(__xludf.DUMMYFUNCTION("""COMPUTED_VALUE"""),"Kedi Kuru Maması")</f>
        <v>Kedi Kuru Maması</v>
      </c>
      <c r="F115" s="17">
        <f>IFERROR(__xludf.DUMMYFUNCTION("""COMPUTED_VALUE"""),750.0)</f>
        <v>750</v>
      </c>
      <c r="G115" s="17"/>
      <c r="H115" s="17">
        <f>IFERROR(__xludf.DUMMYFUNCTION("""COMPUTED_VALUE"""),0.0)</f>
        <v>0</v>
      </c>
      <c r="I115" s="17" t="str">
        <f>IFERROR(__xludf.DUMMYFUNCTION("""COMPUTED_VALUE"""),"Onayli - Satista degil")</f>
        <v>Onayli - Satista degil</v>
      </c>
      <c r="J115" s="40">
        <f>IF($A115="","",IFERROR(VLOOKUP($A115,'Maliyet Giris'!$A$2:$G$550,6,0),""))</f>
        <v>661</v>
      </c>
      <c r="K115" s="40">
        <f>IF($A115="","",IFERROR(VLOOKUP($A115,'Maliyet Giris'!$A$2:$G$550,7,0),""))</f>
        <v>3</v>
      </c>
    </row>
    <row r="116">
      <c r="A116" s="17" t="str">
        <f>IFERROR(__xludf.DUMMYFUNCTION("""COMPUTED_VALUE"""),"TYBAGPLHFKDKLM3M60")</f>
        <v>TYBAGPLHFKDKLM3M60</v>
      </c>
      <c r="B116" s="17" t="str">
        <f>IFERROR(__xludf.DUMMYFUNCTION("""COMPUTED_VALUE"""),"Royal Canin")</f>
        <v>Royal Canin</v>
      </c>
      <c r="C116" s="17" t="str">
        <f>IFERROR(__xludf.DUMMYFUNCTION("""COMPUTED_VALUE"""),"Recovery Pate Yoğun Bakım Konserve Kedi ve Köpek Maması 195 Gr x 6 ADET")</f>
        <v>Recovery Pate Yoğun Bakım Konserve Kedi ve Köpek Maması 195 Gr x 6 ADET</v>
      </c>
      <c r="D116" s="17"/>
      <c r="E116" s="17" t="str">
        <f>IFERROR(__xludf.DUMMYFUNCTION("""COMPUTED_VALUE"""),"Kedi Konserve Maması")</f>
        <v>Kedi Konserve Maması</v>
      </c>
      <c r="F116" s="17">
        <f>IFERROR(__xludf.DUMMYFUNCTION("""COMPUTED_VALUE"""),0.0)</f>
        <v>0</v>
      </c>
      <c r="G116" s="17"/>
      <c r="H116" s="17">
        <f>IFERROR(__xludf.DUMMYFUNCTION("""COMPUTED_VALUE"""),0.0)</f>
        <v>0</v>
      </c>
      <c r="I116" s="17" t="str">
        <f>IFERROR(__xludf.DUMMYFUNCTION("""COMPUTED_VALUE"""),"Onayli - Satista degil")</f>
        <v>Onayli - Satista degil</v>
      </c>
      <c r="J116" s="40">
        <f>IF($A116="","",IFERROR(VLOOKUP($A116,'Maliyet Giris'!$A$2:$G$550,6,0),""))</f>
        <v>1</v>
      </c>
      <c r="K116" s="40">
        <f>IF($A116="","",IFERROR(VLOOKUP($A116,'Maliyet Giris'!$A$2:$G$550,7,0),""))</f>
        <v>3</v>
      </c>
    </row>
    <row r="117">
      <c r="A117" s="17">
        <f>IFERROR(__xludf.DUMMYFUNCTION("""COMPUTED_VALUE"""),8.010276031976E12)</f>
        <v>8010276031976</v>
      </c>
      <c r="B117" s="17" t="str">
        <f>IFERROR(__xludf.DUMMYFUNCTION("""COMPUTED_VALUE"""),"N&amp;D")</f>
        <v>N&amp;D</v>
      </c>
      <c r="C117" s="17" t="str">
        <f>IFERROR(__xludf.DUMMYFUNCTION("""COMPUTED_VALUE"""),"Prime Kitten Tavuklu Narlı Tahılsız Yavru Kedi Maması 10 Kg")</f>
        <v>Prime Kitten Tavuklu Narlı Tahılsız Yavru Kedi Maması 10 Kg</v>
      </c>
      <c r="D117" s="17"/>
      <c r="E117" s="17" t="str">
        <f>IFERROR(__xludf.DUMMYFUNCTION("""COMPUTED_VALUE"""),"Kedi Kuru Maması")</f>
        <v>Kedi Kuru Maması</v>
      </c>
      <c r="F117" s="17">
        <f>IFERROR(__xludf.DUMMYFUNCTION("""COMPUTED_VALUE"""),0.0)</f>
        <v>0</v>
      </c>
      <c r="G117" s="17"/>
      <c r="H117" s="17">
        <f>IFERROR(__xludf.DUMMYFUNCTION("""COMPUTED_VALUE"""),0.0)</f>
        <v>0</v>
      </c>
      <c r="I117" s="17" t="str">
        <f>IFERROR(__xludf.DUMMYFUNCTION("""COMPUTED_VALUE"""),"Onayli - Satista degil")</f>
        <v>Onayli - Satista degil</v>
      </c>
      <c r="J117" s="40">
        <f>IF($A117="","",IFERROR(VLOOKUP($A117,'Maliyet Giris'!$A$2:$G$550,6,0),""))</f>
        <v>5078</v>
      </c>
      <c r="K117" s="40">
        <f>IF($A117="","",IFERROR(VLOOKUP($A117,'Maliyet Giris'!$A$2:$G$550,7,0),""))</f>
        <v>10</v>
      </c>
    </row>
    <row r="118">
      <c r="A118" s="17">
        <f>IFERROR(__xludf.DUMMYFUNCTION("""COMPUTED_VALUE"""),8.010276036889E12)</f>
        <v>8010276036889</v>
      </c>
      <c r="B118" s="17" t="str">
        <f>IFERROR(__xludf.DUMMYFUNCTION("""COMPUTED_VALUE"""),"N&amp;D")</f>
        <v>N&amp;D</v>
      </c>
      <c r="C118" s="17" t="str">
        <f>IFERROR(__xludf.DUMMYFUNCTION("""COMPUTED_VALUE"""),"Ocean Düşük Tahıllı Balıklı Portakallı Yetişkin Kedi Maması 10 Kg")</f>
        <v>Ocean Düşük Tahıllı Balıklı Portakallı Yetişkin Kedi Maması 10 Kg</v>
      </c>
      <c r="D118" s="17"/>
      <c r="E118" s="17" t="str">
        <f>IFERROR(__xludf.DUMMYFUNCTION("""COMPUTED_VALUE"""),"Kedi Kuru Maması")</f>
        <v>Kedi Kuru Maması</v>
      </c>
      <c r="F118" s="17">
        <f>IFERROR(__xludf.DUMMYFUNCTION("""COMPUTED_VALUE"""),0.0)</f>
        <v>0</v>
      </c>
      <c r="G118" s="17"/>
      <c r="H118" s="17">
        <f>IFERROR(__xludf.DUMMYFUNCTION("""COMPUTED_VALUE"""),0.0)</f>
        <v>0</v>
      </c>
      <c r="I118" s="17" t="str">
        <f>IFERROR(__xludf.DUMMYFUNCTION("""COMPUTED_VALUE"""),"Onayli - Satista degil")</f>
        <v>Onayli - Satista degil</v>
      </c>
      <c r="J118" s="40">
        <f>IF($A118="","",IFERROR(VLOOKUP($A118,'Maliyet Giris'!$A$2:$G$550,6,0),""))</f>
        <v>3663</v>
      </c>
      <c r="K118" s="40">
        <f>IF($A118="","",IFERROR(VLOOKUP($A118,'Maliyet Giris'!$A$2:$G$550,7,0),""))</f>
        <v>10</v>
      </c>
    </row>
    <row r="119">
      <c r="A119" s="17">
        <f>IFERROR(__xludf.DUMMYFUNCTION("""COMPUTED_VALUE"""),8.010276040268E12)</f>
        <v>8010276040268</v>
      </c>
      <c r="B119" s="17" t="str">
        <f>IFERROR(__xludf.DUMMYFUNCTION("""COMPUTED_VALUE"""),"N&amp;D")</f>
        <v>N&amp;D</v>
      </c>
      <c r="C119" s="17" t="str">
        <f>IFERROR(__xludf.DUMMYFUNCTION("""COMPUTED_VALUE"""),"Düşük Tahıllı Kuzu Etli ve Yaban Mersinli Kısırlaştırılmış Kedi Maması 10 Kg")</f>
        <v>Düşük Tahıllı Kuzu Etli ve Yaban Mersinli Kısırlaştırılmış Kedi Maması 10 Kg</v>
      </c>
      <c r="D119" s="17"/>
      <c r="E119" s="17" t="str">
        <f>IFERROR(__xludf.DUMMYFUNCTION("""COMPUTED_VALUE"""),"Kedi Kuru Maması")</f>
        <v>Kedi Kuru Maması</v>
      </c>
      <c r="F119" s="17">
        <f>IFERROR(__xludf.DUMMYFUNCTION("""COMPUTED_VALUE"""),0.0)</f>
        <v>0</v>
      </c>
      <c r="G119" s="17"/>
      <c r="H119" s="17">
        <f>IFERROR(__xludf.DUMMYFUNCTION("""COMPUTED_VALUE"""),0.0)</f>
        <v>0</v>
      </c>
      <c r="I119" s="17" t="str">
        <f>IFERROR(__xludf.DUMMYFUNCTION("""COMPUTED_VALUE"""),"Onayli - Satista degil")</f>
        <v>Onayli - Satista degil</v>
      </c>
      <c r="J119" s="40">
        <f>IF($A119="","",IFERROR(VLOOKUP($A119,'Maliyet Giris'!$A$2:$G$550,6,0),""))</f>
        <v>3663</v>
      </c>
      <c r="K119" s="40">
        <f>IF($A119="","",IFERROR(VLOOKUP($A119,'Maliyet Giris'!$A$2:$G$550,7,0),""))</f>
        <v>10</v>
      </c>
    </row>
    <row r="120">
      <c r="A120" s="17">
        <f>IFERROR(__xludf.DUMMYFUNCTION("""COMPUTED_VALUE"""),8.010276035097E12)</f>
        <v>8010276035097</v>
      </c>
      <c r="B120" s="17" t="str">
        <f>IFERROR(__xludf.DUMMYFUNCTION("""COMPUTED_VALUE"""),"N&amp;D")</f>
        <v>N&amp;D</v>
      </c>
      <c r="C120" s="17" t="str">
        <f>IFERROR(__xludf.DUMMYFUNCTION("""COMPUTED_VALUE"""),"A.grain Düşük Tahıllı Kuzulu Ve Yaban Mersinli Mini Irk Yetişkin Köpek Kuru Maması 7 Kg")</f>
        <v>A.grain Düşük Tahıllı Kuzulu Ve Yaban Mersinli Mini Irk Yetişkin Köpek Kuru Maması 7 Kg</v>
      </c>
      <c r="D120" s="17"/>
      <c r="E120" s="17" t="str">
        <f>IFERROR(__xludf.DUMMYFUNCTION("""COMPUTED_VALUE"""),"Köpek Kuru Maması")</f>
        <v>Köpek Kuru Maması</v>
      </c>
      <c r="F120" s="17">
        <f>IFERROR(__xludf.DUMMYFUNCTION("""COMPUTED_VALUE"""),2690.0)</f>
        <v>2690</v>
      </c>
      <c r="G120" s="17">
        <f>IFERROR(__xludf.DUMMYFUNCTION("""COMPUTED_VALUE"""),2690.0)</f>
        <v>2690</v>
      </c>
      <c r="H120" s="17">
        <f>IFERROR(__xludf.DUMMYFUNCTION("""COMPUTED_VALUE"""),11.0)</f>
        <v>11</v>
      </c>
      <c r="I120" s="17" t="str">
        <f>IFERROR(__xludf.DUMMYFUNCTION("""COMPUTED_VALUE"""),"Onayli")</f>
        <v>Onayli</v>
      </c>
      <c r="J120" s="40">
        <f>IF($A120="","",IFERROR(VLOOKUP($A120,'Maliyet Giris'!$A$2:$G$550,6,0),""))</f>
        <v>2043</v>
      </c>
      <c r="K120" s="40">
        <f>IF($A120="","",IFERROR(VLOOKUP($A120,'Maliyet Giris'!$A$2:$G$550,7,0),""))</f>
        <v>7</v>
      </c>
    </row>
    <row r="121">
      <c r="A121" s="17">
        <f>IFERROR(__xludf.DUMMYFUNCTION("""COMPUTED_VALUE"""),8.010276021823E12)</f>
        <v>8010276021823</v>
      </c>
      <c r="B121" s="17" t="str">
        <f>IFERROR(__xludf.DUMMYFUNCTION("""COMPUTED_VALUE"""),"N&amp;D")</f>
        <v>N&amp;D</v>
      </c>
      <c r="C121" s="17" t="str">
        <f>IFERROR(__xludf.DUMMYFUNCTION("""COMPUTED_VALUE"""),"Tahılsız Kuzulu&amp;Yabanmersinli Mini Irk Yetişkin Köpek Maması 7 KG")</f>
        <v>Tahılsız Kuzulu&amp;Yabanmersinli Mini Irk Yetişkin Köpek Maması 7 KG</v>
      </c>
      <c r="D121" s="17"/>
      <c r="E121" s="17" t="str">
        <f>IFERROR(__xludf.DUMMYFUNCTION("""COMPUTED_VALUE"""),"Köpek Kuru Maması")</f>
        <v>Köpek Kuru Maması</v>
      </c>
      <c r="F121" s="17">
        <f>IFERROR(__xludf.DUMMYFUNCTION("""COMPUTED_VALUE"""),4250.0)</f>
        <v>4250</v>
      </c>
      <c r="G121" s="17">
        <f>IFERROR(__xludf.DUMMYFUNCTION("""COMPUTED_VALUE"""),3969.0)</f>
        <v>3969</v>
      </c>
      <c r="H121" s="17">
        <f>IFERROR(__xludf.DUMMYFUNCTION("""COMPUTED_VALUE"""),1.0)</f>
        <v>1</v>
      </c>
      <c r="I121" s="17" t="str">
        <f>IFERROR(__xludf.DUMMYFUNCTION("""COMPUTED_VALUE"""),"Onayli")</f>
        <v>Onayli</v>
      </c>
      <c r="J121" s="40">
        <f>IF($A121="","",IFERROR(VLOOKUP($A121,'Maliyet Giris'!$A$2:$G$550,6,0),""))</f>
        <v>2999</v>
      </c>
      <c r="K121" s="40">
        <f>IF($A121="","",IFERROR(VLOOKUP($A121,'Maliyet Giris'!$A$2:$G$550,7,0),""))</f>
        <v>7</v>
      </c>
    </row>
    <row r="122">
      <c r="A122" s="17">
        <f>IFERROR(__xludf.DUMMYFUNCTION("""COMPUTED_VALUE"""),8.010276042361E12)</f>
        <v>8010276042361</v>
      </c>
      <c r="B122" s="17" t="str">
        <f>IFERROR(__xludf.DUMMYFUNCTION("""COMPUTED_VALUE"""),"N&amp;D")</f>
        <v>N&amp;D</v>
      </c>
      <c r="C122" s="17" t="str">
        <f>IFERROR(__xludf.DUMMYFUNCTION("""COMPUTED_VALUE"""),"Tropical Selection Somonlu Mini Irk Yetişkin Köpek Maması 5kg")</f>
        <v>Tropical Selection Somonlu Mini Irk Yetişkin Köpek Maması 5kg</v>
      </c>
      <c r="D122" s="17"/>
      <c r="E122" s="17" t="str">
        <f>IFERROR(__xludf.DUMMYFUNCTION("""COMPUTED_VALUE"""),"Köpek Kuru Maması")</f>
        <v>Köpek Kuru Maması</v>
      </c>
      <c r="F122" s="17">
        <f>IFERROR(__xludf.DUMMYFUNCTION("""COMPUTED_VALUE"""),2195.0)</f>
        <v>2195</v>
      </c>
      <c r="G122" s="17">
        <f>IFERROR(__xludf.DUMMYFUNCTION("""COMPUTED_VALUE"""),2195.0)</f>
        <v>2195</v>
      </c>
      <c r="H122" s="17">
        <f>IFERROR(__xludf.DUMMYFUNCTION("""COMPUTED_VALUE"""),2.0)</f>
        <v>2</v>
      </c>
      <c r="I122" s="17" t="str">
        <f>IFERROR(__xludf.DUMMYFUNCTION("""COMPUTED_VALUE"""),"Onayli")</f>
        <v>Onayli</v>
      </c>
      <c r="J122" s="40">
        <f>IF($A122="","",IFERROR(VLOOKUP($A122,'Maliyet Giris'!$A$2:$G$550,6,0),""))</f>
        <v>1638</v>
      </c>
      <c r="K122" s="40">
        <f>IF($A122="","",IFERROR(VLOOKUP($A122,'Maliyet Giris'!$A$2:$G$550,7,0),""))</f>
        <v>5</v>
      </c>
    </row>
    <row r="123">
      <c r="A123" s="17">
        <f>IFERROR(__xludf.DUMMYFUNCTION("""COMPUTED_VALUE"""),8.010276042323E12)</f>
        <v>8010276042323</v>
      </c>
      <c r="B123" s="17" t="str">
        <f>IFERROR(__xludf.DUMMYFUNCTION("""COMPUTED_VALUE"""),"N&amp;D")</f>
        <v>N&amp;D</v>
      </c>
      <c r="C123" s="17" t="str">
        <f>IFERROR(__xludf.DUMMYFUNCTION("""COMPUTED_VALUE"""),"Tropical Selection Kuzu Etli Mini Irk Yetişkin Köpek Maması 5kg")</f>
        <v>Tropical Selection Kuzu Etli Mini Irk Yetişkin Köpek Maması 5kg</v>
      </c>
      <c r="D123" s="17"/>
      <c r="E123" s="17" t="str">
        <f>IFERROR(__xludf.DUMMYFUNCTION("""COMPUTED_VALUE"""),"Köpek Kuru Maması")</f>
        <v>Köpek Kuru Maması</v>
      </c>
      <c r="F123" s="17">
        <f>IFERROR(__xludf.DUMMYFUNCTION("""COMPUTED_VALUE"""),2200.0)</f>
        <v>2200</v>
      </c>
      <c r="G123" s="17"/>
      <c r="H123" s="17">
        <f>IFERROR(__xludf.DUMMYFUNCTION("""COMPUTED_VALUE"""),0.0)</f>
        <v>0</v>
      </c>
      <c r="I123" s="17" t="str">
        <f>IFERROR(__xludf.DUMMYFUNCTION("""COMPUTED_VALUE"""),"Onayli - Satista degil")</f>
        <v>Onayli - Satista degil</v>
      </c>
      <c r="J123" s="40">
        <f>IF($A123="","",IFERROR(VLOOKUP($A123,'Maliyet Giris'!$A$2:$G$550,6,0),""))</f>
        <v>1638</v>
      </c>
      <c r="K123" s="40">
        <f>IF($A123="","",IFERROR(VLOOKUP($A123,'Maliyet Giris'!$A$2:$G$550,7,0),""))</f>
        <v>5</v>
      </c>
    </row>
    <row r="124">
      <c r="A124" s="17">
        <f>IFERROR(__xludf.DUMMYFUNCTION("""COMPUTED_VALUE"""),8.010276042217E12)</f>
        <v>8010276042217</v>
      </c>
      <c r="B124" s="17" t="str">
        <f>IFERROR(__xludf.DUMMYFUNCTION("""COMPUTED_VALUE"""),"N&amp;D")</f>
        <v>N&amp;D</v>
      </c>
      <c r="C124" s="17" t="str">
        <f>IFERROR(__xludf.DUMMYFUNCTION("""COMPUTED_VALUE"""),"Tropical Tavuklu Kısırlaştırılmış Kedi Maması 5 kg")</f>
        <v>Tropical Tavuklu Kısırlaştırılmış Kedi Maması 5 kg</v>
      </c>
      <c r="D124" s="17"/>
      <c r="E124" s="17" t="str">
        <f>IFERROR(__xludf.DUMMYFUNCTION("""COMPUTED_VALUE"""),"Kedi Kuru Maması")</f>
        <v>Kedi Kuru Maması</v>
      </c>
      <c r="F124" s="17">
        <f>IFERROR(__xludf.DUMMYFUNCTION("""COMPUTED_VALUE"""),0.0)</f>
        <v>0</v>
      </c>
      <c r="G124" s="17"/>
      <c r="H124" s="17">
        <f>IFERROR(__xludf.DUMMYFUNCTION("""COMPUTED_VALUE"""),0.0)</f>
        <v>0</v>
      </c>
      <c r="I124" s="17" t="str">
        <f>IFERROR(__xludf.DUMMYFUNCTION("""COMPUTED_VALUE"""),"Onayli - Satista degil")</f>
        <v>Onayli - Satista degil</v>
      </c>
      <c r="J124" s="40">
        <f>IF($A124="","",IFERROR(VLOOKUP($A124,'Maliyet Giris'!$A$2:$G$550,6,0),""))</f>
        <v>1680</v>
      </c>
      <c r="K124" s="40">
        <f>IF($A124="","",IFERROR(VLOOKUP($A124,'Maliyet Giris'!$A$2:$G$550,7,0),""))</f>
        <v>5</v>
      </c>
    </row>
    <row r="125">
      <c r="A125" s="17">
        <f>IFERROR(__xludf.DUMMYFUNCTION("""COMPUTED_VALUE"""),8.010276042132E12)</f>
        <v>8010276042132</v>
      </c>
      <c r="B125" s="17" t="str">
        <f>IFERROR(__xludf.DUMMYFUNCTION("""COMPUTED_VALUE"""),"N&amp;D")</f>
        <v>N&amp;D</v>
      </c>
      <c r="C125" s="17" t="str">
        <f>IFERROR(__xludf.DUMMYFUNCTION("""COMPUTED_VALUE"""),"Tropical Kuzu Etl, Kılçıksız Buğday ve Tropikal Meyveli Kısır Kedi Maması 5 KG")</f>
        <v>Tropical Kuzu Etl, Kılçıksız Buğday ve Tropikal Meyveli Kısır Kedi Maması 5 KG</v>
      </c>
      <c r="D125" s="17"/>
      <c r="E125" s="17" t="str">
        <f>IFERROR(__xludf.DUMMYFUNCTION("""COMPUTED_VALUE"""),"Kedi Kuru Maması")</f>
        <v>Kedi Kuru Maması</v>
      </c>
      <c r="F125" s="17">
        <f>IFERROR(__xludf.DUMMYFUNCTION("""COMPUTED_VALUE"""),0.0)</f>
        <v>0</v>
      </c>
      <c r="G125" s="17"/>
      <c r="H125" s="17">
        <f>IFERROR(__xludf.DUMMYFUNCTION("""COMPUTED_VALUE"""),0.0)</f>
        <v>0</v>
      </c>
      <c r="I125" s="17" t="str">
        <f>IFERROR(__xludf.DUMMYFUNCTION("""COMPUTED_VALUE"""),"Onayli - Satista degil")</f>
        <v>Onayli - Satista degil</v>
      </c>
      <c r="J125" s="40">
        <f>IF($A125="","",IFERROR(VLOOKUP($A125,'Maliyet Giris'!$A$2:$G$550,6,0),""))</f>
        <v>1680</v>
      </c>
      <c r="K125" s="40">
        <f>IF($A125="","",IFERROR(VLOOKUP($A125,'Maliyet Giris'!$A$2:$G$550,7,0),""))</f>
        <v>5</v>
      </c>
    </row>
    <row r="126">
      <c r="A126" s="17">
        <f>IFERROR(__xludf.DUMMYFUNCTION("""COMPUTED_VALUE"""),8.010276040213E12)</f>
        <v>8010276040213</v>
      </c>
      <c r="B126" s="17" t="str">
        <f>IFERROR(__xludf.DUMMYFUNCTION("""COMPUTED_VALUE"""),"N&amp;D")</f>
        <v>N&amp;D</v>
      </c>
      <c r="C126" s="17" t="str">
        <f>IFERROR(__xludf.DUMMYFUNCTION("""COMPUTED_VALUE"""),"Ocean Ringa Balık&amp;Portakal Tahılsız Kısırlaştırılmış Kedi Maması 5 Kg")</f>
        <v>Ocean Ringa Balık&amp;Portakal Tahılsız Kısırlaştırılmış Kedi Maması 5 Kg</v>
      </c>
      <c r="D126" s="17"/>
      <c r="E126" s="17" t="str">
        <f>IFERROR(__xludf.DUMMYFUNCTION("""COMPUTED_VALUE"""),"Kedi Kuru Maması")</f>
        <v>Kedi Kuru Maması</v>
      </c>
      <c r="F126" s="17">
        <f>IFERROR(__xludf.DUMMYFUNCTION("""COMPUTED_VALUE"""),0.0)</f>
        <v>0</v>
      </c>
      <c r="G126" s="17"/>
      <c r="H126" s="17">
        <f>IFERROR(__xludf.DUMMYFUNCTION("""COMPUTED_VALUE"""),0.0)</f>
        <v>0</v>
      </c>
      <c r="I126" s="17" t="str">
        <f>IFERROR(__xludf.DUMMYFUNCTION("""COMPUTED_VALUE"""),"Onayli - Satista degil")</f>
        <v>Onayli - Satista degil</v>
      </c>
      <c r="J126" s="40">
        <f>IF($A126="","",IFERROR(VLOOKUP($A126,'Maliyet Giris'!$A$2:$G$550,6,0),""))</f>
        <v>2419</v>
      </c>
      <c r="K126" s="40">
        <f>IF($A126="","",IFERROR(VLOOKUP($A126,'Maliyet Giris'!$A$2:$G$550,7,0),""))</f>
        <v>5</v>
      </c>
    </row>
    <row r="127">
      <c r="A127" s="17">
        <f>IFERROR(__xludf.DUMMYFUNCTION("""COMPUTED_VALUE"""),8.010276038869E12)</f>
        <v>8010276038869</v>
      </c>
      <c r="B127" s="17" t="str">
        <f>IFERROR(__xludf.DUMMYFUNCTION("""COMPUTED_VALUE"""),"N&amp;D")</f>
        <v>N&amp;D</v>
      </c>
      <c r="C127" s="17" t="str">
        <f>IFERROR(__xludf.DUMMYFUNCTION("""COMPUTED_VALUE"""),"Ocean Balkabaklı Morina Balıklı Karidesli Yavru Kedi Maması 5 Kg")</f>
        <v>Ocean Balkabaklı Morina Balıklı Karidesli Yavru Kedi Maması 5 Kg</v>
      </c>
      <c r="D127" s="17"/>
      <c r="E127" s="17" t="str">
        <f>IFERROR(__xludf.DUMMYFUNCTION("""COMPUTED_VALUE"""),"Kedi Kuru Maması")</f>
        <v>Kedi Kuru Maması</v>
      </c>
      <c r="F127" s="17">
        <f>IFERROR(__xludf.DUMMYFUNCTION("""COMPUTED_VALUE"""),3500.0)</f>
        <v>3500</v>
      </c>
      <c r="G127" s="17"/>
      <c r="H127" s="17">
        <f>IFERROR(__xludf.DUMMYFUNCTION("""COMPUTED_VALUE"""),0.0)</f>
        <v>0</v>
      </c>
      <c r="I127" s="17" t="str">
        <f>IFERROR(__xludf.DUMMYFUNCTION("""COMPUTED_VALUE"""),"Onayli - Satista degil")</f>
        <v>Onayli - Satista degil</v>
      </c>
      <c r="J127" s="40">
        <f>IF($A127="","",IFERROR(VLOOKUP($A127,'Maliyet Giris'!$A$2:$G$550,6,0),""))</f>
        <v>2529</v>
      </c>
      <c r="K127" s="40">
        <f>IF($A127="","",IFERROR(VLOOKUP($A127,'Maliyet Giris'!$A$2:$G$550,7,0),""))</f>
        <v>5</v>
      </c>
    </row>
    <row r="128">
      <c r="A128" s="17">
        <f>IFERROR(__xludf.DUMMYFUNCTION("""COMPUTED_VALUE"""),8.010276032751E12)</f>
        <v>8010276032751</v>
      </c>
      <c r="B128" s="17" t="str">
        <f>IFERROR(__xludf.DUMMYFUNCTION("""COMPUTED_VALUE"""),"N&amp;D")</f>
        <v>N&amp;D</v>
      </c>
      <c r="C128" s="17" t="str">
        <f>IFERROR(__xludf.DUMMYFUNCTION("""COMPUTED_VALUE"""),"Ancestral Grain Tavuklu Narlı Düşük Tahıllı Kısırlaştırılmış Kedi Maması 5 Kg")</f>
        <v>Ancestral Grain Tavuklu Narlı Düşük Tahıllı Kısırlaştırılmış Kedi Maması 5 Kg</v>
      </c>
      <c r="D128" s="17"/>
      <c r="E128" s="17" t="str">
        <f>IFERROR(__xludf.DUMMYFUNCTION("""COMPUTED_VALUE"""),"Kedi Kuru Maması")</f>
        <v>Kedi Kuru Maması</v>
      </c>
      <c r="F128" s="17">
        <f>IFERROR(__xludf.DUMMYFUNCTION("""COMPUTED_VALUE"""),0.0)</f>
        <v>0</v>
      </c>
      <c r="G128" s="17"/>
      <c r="H128" s="17">
        <f>IFERROR(__xludf.DUMMYFUNCTION("""COMPUTED_VALUE"""),0.0)</f>
        <v>0</v>
      </c>
      <c r="I128" s="17" t="str">
        <f>IFERROR(__xludf.DUMMYFUNCTION("""COMPUTED_VALUE"""),"Onayli - Satista degil")</f>
        <v>Onayli - Satista degil</v>
      </c>
      <c r="J128" s="40">
        <f>IF($A128="","",IFERROR(VLOOKUP($A128,'Maliyet Giris'!$A$2:$G$550,6,0),""))</f>
        <v>1940</v>
      </c>
      <c r="K128" s="40">
        <f>IF($A128="","",IFERROR(VLOOKUP($A128,'Maliyet Giris'!$A$2:$G$550,7,0),""))</f>
        <v>5</v>
      </c>
    </row>
    <row r="129">
      <c r="A129" s="17">
        <f>IFERROR(__xludf.DUMMYFUNCTION("""COMPUTED_VALUE"""),8.010276033277E12)</f>
        <v>8010276033277</v>
      </c>
      <c r="B129" s="17" t="str">
        <f>IFERROR(__xludf.DUMMYFUNCTION("""COMPUTED_VALUE"""),"N&amp;D")</f>
        <v>N&amp;D</v>
      </c>
      <c r="C129" s="17" t="str">
        <f>IFERROR(__xludf.DUMMYFUNCTION("""COMPUTED_VALUE"""),"Pumpkin Tahılsız Kuzu Küçük Irk Yetişkin Köpek Maması 2,5 Kg")</f>
        <v>Pumpkin Tahılsız Kuzu Küçük Irk Yetişkin Köpek Maması 2,5 Kg</v>
      </c>
      <c r="D129" s="17"/>
      <c r="E129" s="17" t="str">
        <f>IFERROR(__xludf.DUMMYFUNCTION("""COMPUTED_VALUE"""),"Köpek Kuru Maması")</f>
        <v>Köpek Kuru Maması</v>
      </c>
      <c r="F129" s="17">
        <f>IFERROR(__xludf.DUMMYFUNCTION("""COMPUTED_VALUE"""),1780.0)</f>
        <v>1780</v>
      </c>
      <c r="G129" s="17"/>
      <c r="H129" s="17">
        <f>IFERROR(__xludf.DUMMYFUNCTION("""COMPUTED_VALUE"""),0.0)</f>
        <v>0</v>
      </c>
      <c r="I129" s="17" t="str">
        <f>IFERROR(__xludf.DUMMYFUNCTION("""COMPUTED_VALUE"""),"Onayli - Satista degil")</f>
        <v>Onayli - Satista degil</v>
      </c>
      <c r="J129" s="40">
        <f>IF($A129="","",IFERROR(VLOOKUP($A129,'Maliyet Giris'!$A$2:$G$550,6,0),""))</f>
        <v>1307</v>
      </c>
      <c r="K129" s="40">
        <f>IF($A129="","",IFERROR(VLOOKUP($A129,'Maliyet Giris'!$A$2:$G$550,7,0),""))</f>
        <v>3</v>
      </c>
    </row>
    <row r="130">
      <c r="A130" s="17">
        <f>IFERROR(__xludf.DUMMYFUNCTION("""COMPUTED_VALUE"""),8.010276039309E12)</f>
        <v>8010276039309</v>
      </c>
      <c r="B130" s="17" t="str">
        <f>IFERROR(__xludf.DUMMYFUNCTION("""COMPUTED_VALUE"""),"N&amp;D")</f>
        <v>N&amp;D</v>
      </c>
      <c r="C130" s="17" t="str">
        <f>IFERROR(__xludf.DUMMYFUNCTION("""COMPUTED_VALUE"""),"Ocean Somon ve Morina Kavunlu Mini Irk Köpek Maması 2,5 Kg")</f>
        <v>Ocean Somon ve Morina Kavunlu Mini Irk Köpek Maması 2,5 Kg</v>
      </c>
      <c r="D130" s="17"/>
      <c r="E130" s="17" t="str">
        <f>IFERROR(__xludf.DUMMYFUNCTION("""COMPUTED_VALUE"""),"Köpek Kuru Maması")</f>
        <v>Köpek Kuru Maması</v>
      </c>
      <c r="F130" s="17">
        <f>IFERROR(__xludf.DUMMYFUNCTION("""COMPUTED_VALUE"""),1828.0)</f>
        <v>1828</v>
      </c>
      <c r="G130" s="17">
        <f>IFERROR(__xludf.DUMMYFUNCTION("""COMPUTED_VALUE"""),1828.0)</f>
        <v>1828</v>
      </c>
      <c r="H130" s="17">
        <f>IFERROR(__xludf.DUMMYFUNCTION("""COMPUTED_VALUE"""),4.0)</f>
        <v>4</v>
      </c>
      <c r="I130" s="17" t="str">
        <f>IFERROR(__xludf.DUMMYFUNCTION("""COMPUTED_VALUE"""),"Onayli")</f>
        <v>Onayli</v>
      </c>
      <c r="J130" s="40">
        <f>IF($A130="","",IFERROR(VLOOKUP($A130,'Maliyet Giris'!$A$2:$G$550,6,0),""))</f>
        <v>1363</v>
      </c>
      <c r="K130" s="40">
        <f>IF($A130="","",IFERROR(VLOOKUP($A130,'Maliyet Giris'!$A$2:$G$550,7,0),""))</f>
        <v>3</v>
      </c>
    </row>
    <row r="131">
      <c r="A131" s="17">
        <f>IFERROR(__xludf.DUMMYFUNCTION("""COMPUTED_VALUE"""),8.010276033703E12)</f>
        <v>8010276033703</v>
      </c>
      <c r="B131" s="17" t="str">
        <f>IFERROR(__xludf.DUMMYFUNCTION("""COMPUTED_VALUE"""),"N&amp;D")</f>
        <v>N&amp;D</v>
      </c>
      <c r="C131" s="17" t="str">
        <f>IFERROR(__xludf.DUMMYFUNCTION("""COMPUTED_VALUE"""),"Ancestral Grain Mini Puppy Kuzulu Yaban Mersinli Küçük Irk Düşük Tahıllı Yavru Köpek Maması 2,5")</f>
        <v>Ancestral Grain Mini Puppy Kuzulu Yaban Mersinli Küçük Irk Düşük Tahıllı Yavru Köpek Maması 2,5</v>
      </c>
      <c r="D131" s="17"/>
      <c r="E131" s="17" t="str">
        <f>IFERROR(__xludf.DUMMYFUNCTION("""COMPUTED_VALUE"""),"Köpek Kuru Maması")</f>
        <v>Köpek Kuru Maması</v>
      </c>
      <c r="F131" s="17">
        <f>IFERROR(__xludf.DUMMYFUNCTION("""COMPUTED_VALUE"""),1493.0)</f>
        <v>1493</v>
      </c>
      <c r="G131" s="17">
        <f>IFERROR(__xludf.DUMMYFUNCTION("""COMPUTED_VALUE"""),1493.0)</f>
        <v>1493</v>
      </c>
      <c r="H131" s="17">
        <f>IFERROR(__xludf.DUMMYFUNCTION("""COMPUTED_VALUE"""),1.0)</f>
        <v>1</v>
      </c>
      <c r="I131" s="17" t="str">
        <f>IFERROR(__xludf.DUMMYFUNCTION("""COMPUTED_VALUE"""),"Onayli")</f>
        <v>Onayli</v>
      </c>
      <c r="J131" s="40">
        <f>IF($A131="","",IFERROR(VLOOKUP($A131,'Maliyet Giris'!$A$2:$G$550,6,0),""))</f>
        <v>1089</v>
      </c>
      <c r="K131" s="40">
        <f>IF($A131="","",IFERROR(VLOOKUP($A131,'Maliyet Giris'!$A$2:$G$550,7,0),""))</f>
        <v>3</v>
      </c>
    </row>
    <row r="132">
      <c r="A132" s="17">
        <f>IFERROR(__xludf.DUMMYFUNCTION("""COMPUTED_VALUE"""),8.010276042354E12)</f>
        <v>8010276042354</v>
      </c>
      <c r="B132" s="17" t="str">
        <f>IFERROR(__xludf.DUMMYFUNCTION("""COMPUTED_VALUE"""),"N&amp;D")</f>
        <v>N&amp;D</v>
      </c>
      <c r="C132" s="17" t="str">
        <f>IFERROR(__xludf.DUMMYFUNCTION("""COMPUTED_VALUE"""),"Tropıcal Selectıon Somonlu Küçül Irk Yetişkin Köpek Maması 1,5 kg")</f>
        <v>Tropıcal Selectıon Somonlu Küçül Irk Yetişkin Köpek Maması 1,5 kg</v>
      </c>
      <c r="D132" s="17"/>
      <c r="E132" s="17" t="str">
        <f>IFERROR(__xludf.DUMMYFUNCTION("""COMPUTED_VALUE"""),"Köpek Kuru Maması")</f>
        <v>Köpek Kuru Maması</v>
      </c>
      <c r="F132" s="17">
        <f>IFERROR(__xludf.DUMMYFUNCTION("""COMPUTED_VALUE"""),1025.0)</f>
        <v>1025</v>
      </c>
      <c r="G132" s="17"/>
      <c r="H132" s="17">
        <f>IFERROR(__xludf.DUMMYFUNCTION("""COMPUTED_VALUE"""),0.0)</f>
        <v>0</v>
      </c>
      <c r="I132" s="17" t="str">
        <f>IFERROR(__xludf.DUMMYFUNCTION("""COMPUTED_VALUE"""),"Onayli - Satista degil")</f>
        <v>Onayli - Satista degil</v>
      </c>
      <c r="J132" s="40">
        <f>IF($A132="","",IFERROR(VLOOKUP($A132,'Maliyet Giris'!$A$2:$G$550,6,0),""))</f>
        <v>713</v>
      </c>
      <c r="K132" s="40">
        <f>IF($A132="","",IFERROR(VLOOKUP($A132,'Maliyet Giris'!$A$2:$G$550,7,0),""))</f>
        <v>3</v>
      </c>
    </row>
    <row r="133">
      <c r="A133" s="17">
        <f>IFERROR(__xludf.DUMMYFUNCTION("""COMPUTED_VALUE"""),8.010276038852E12)</f>
        <v>8010276038852</v>
      </c>
      <c r="B133" s="17" t="str">
        <f>IFERROR(__xludf.DUMMYFUNCTION("""COMPUTED_VALUE"""),"N&amp;D")</f>
        <v>N&amp;D</v>
      </c>
      <c r="C133" s="17" t="str">
        <f>IFERROR(__xludf.DUMMYFUNCTION("""COMPUTED_VALUE"""),"Ocean Balkabaklı Balık ve Karidesli Yavru Kedi maması 1.5")</f>
        <v>Ocean Balkabaklı Balık ve Karidesli Yavru Kedi maması 1.5</v>
      </c>
      <c r="D133" s="17"/>
      <c r="E133" s="17" t="str">
        <f>IFERROR(__xludf.DUMMYFUNCTION("""COMPUTED_VALUE"""),"Kedi Kuru Maması")</f>
        <v>Kedi Kuru Maması</v>
      </c>
      <c r="F133" s="17">
        <f>IFERROR(__xludf.DUMMYFUNCTION("""COMPUTED_VALUE"""),0.0)</f>
        <v>0</v>
      </c>
      <c r="G133" s="17"/>
      <c r="H133" s="17">
        <f>IFERROR(__xludf.DUMMYFUNCTION("""COMPUTED_VALUE"""),0.0)</f>
        <v>0</v>
      </c>
      <c r="I133" s="17" t="str">
        <f>IFERROR(__xludf.DUMMYFUNCTION("""COMPUTED_VALUE"""),"Onayli - Satista degil")</f>
        <v>Onayli - Satista degil</v>
      </c>
      <c r="J133" s="40">
        <f>IF($A133="","",IFERROR(VLOOKUP($A133,'Maliyet Giris'!$A$2:$G$550,6,0),""))</f>
        <v>1054</v>
      </c>
      <c r="K133" s="40">
        <f>IF($A133="","",IFERROR(VLOOKUP($A133,'Maliyet Giris'!$A$2:$G$550,7,0),""))</f>
        <v>3</v>
      </c>
    </row>
    <row r="134">
      <c r="A134" s="17">
        <f>IFERROR(__xludf.DUMMYFUNCTION("""COMPUTED_VALUE"""),8.010276040138E12)</f>
        <v>8010276040138</v>
      </c>
      <c r="B134" s="17" t="str">
        <f>IFERROR(__xludf.DUMMYFUNCTION("""COMPUTED_VALUE"""),"N&amp;D")</f>
        <v>N&amp;D</v>
      </c>
      <c r="C134" s="17" t="str">
        <f>IFERROR(__xludf.DUMMYFUNCTION("""COMPUTED_VALUE"""),"Pumpkin Kuzu Yaban Mersini Kısırlaştırılmış Kedi Maması 1,5 Kg")</f>
        <v>Pumpkin Kuzu Yaban Mersini Kısırlaştırılmış Kedi Maması 1,5 Kg</v>
      </c>
      <c r="D134" s="17"/>
      <c r="E134" s="17" t="str">
        <f>IFERROR(__xludf.DUMMYFUNCTION("""COMPUTED_VALUE"""),"Kedi Kuru Maması")</f>
        <v>Kedi Kuru Maması</v>
      </c>
      <c r="F134" s="17">
        <f>IFERROR(__xludf.DUMMYFUNCTION("""COMPUTED_VALUE"""),0.0)</f>
        <v>0</v>
      </c>
      <c r="G134" s="17"/>
      <c r="H134" s="17">
        <f>IFERROR(__xludf.DUMMYFUNCTION("""COMPUTED_VALUE"""),0.0)</f>
        <v>0</v>
      </c>
      <c r="I134" s="17" t="str">
        <f>IFERROR(__xludf.DUMMYFUNCTION("""COMPUTED_VALUE"""),"Onayli - Satista degil")</f>
        <v>Onayli - Satista degil</v>
      </c>
      <c r="J134" s="40">
        <f>IF($A134="","",IFERROR(VLOOKUP($A134,'Maliyet Giris'!$A$2:$G$550,6,0),""))</f>
        <v>1051</v>
      </c>
      <c r="K134" s="40">
        <f>IF($A134="","",IFERROR(VLOOKUP($A134,'Maliyet Giris'!$A$2:$G$550,7,0),""))</f>
        <v>3</v>
      </c>
    </row>
    <row r="135">
      <c r="A135" s="17">
        <f>IFERROR(__xludf.DUMMYFUNCTION("""COMPUTED_VALUE"""),8.010276030481E12)</f>
        <v>8010276030481</v>
      </c>
      <c r="B135" s="17" t="str">
        <f>IFERROR(__xludf.DUMMYFUNCTION("""COMPUTED_VALUE"""),"N&amp;D")</f>
        <v>N&amp;D</v>
      </c>
      <c r="C135" s="17" t="str">
        <f>IFERROR(__xludf.DUMMYFUNCTION("""COMPUTED_VALUE"""),"Ancestral Grain Tavuklu Narlı Düşük Tahıllı Kısırlaştırılmış Kedi Maması 1,5 Kg")</f>
        <v>Ancestral Grain Tavuklu Narlı Düşük Tahıllı Kısırlaştırılmış Kedi Maması 1,5 Kg</v>
      </c>
      <c r="D135" s="17"/>
      <c r="E135" s="17" t="str">
        <f>IFERROR(__xludf.DUMMYFUNCTION("""COMPUTED_VALUE"""),"Kedi Kuru Maması")</f>
        <v>Kedi Kuru Maması</v>
      </c>
      <c r="F135" s="17">
        <f>IFERROR(__xludf.DUMMYFUNCTION("""COMPUTED_VALUE"""),0.0)</f>
        <v>0</v>
      </c>
      <c r="G135" s="17"/>
      <c r="H135" s="17">
        <f>IFERROR(__xludf.DUMMYFUNCTION("""COMPUTED_VALUE"""),0.0)</f>
        <v>0</v>
      </c>
      <c r="I135" s="17" t="str">
        <f>IFERROR(__xludf.DUMMYFUNCTION("""COMPUTED_VALUE"""),"Onayli - Satista degil")</f>
        <v>Onayli - Satista degil</v>
      </c>
      <c r="J135" s="40">
        <f>IF($A135="","",IFERROR(VLOOKUP($A135,'Maliyet Giris'!$A$2:$G$550,6,0),""))</f>
        <v>824</v>
      </c>
      <c r="K135" s="40">
        <f>IF($A135="","",IFERROR(VLOOKUP($A135,'Maliyet Giris'!$A$2:$G$550,7,0),""))</f>
        <v>3</v>
      </c>
    </row>
    <row r="136">
      <c r="A136" s="17">
        <f>IFERROR(__xludf.DUMMYFUNCTION("""COMPUTED_VALUE"""),8.010276032584E12)</f>
        <v>8010276032584</v>
      </c>
      <c r="B136" s="17" t="str">
        <f>IFERROR(__xludf.DUMMYFUNCTION("""COMPUTED_VALUE"""),"N&amp;D")</f>
        <v>N&amp;D</v>
      </c>
      <c r="C136" s="17" t="str">
        <f>IFERROR(__xludf.DUMMYFUNCTION("""COMPUTED_VALUE"""),"Prime Kitten Tavuklu Narlı Tahılsız Yavru Kedi Maması 1,5 Kg")</f>
        <v>Prime Kitten Tavuklu Narlı Tahılsız Yavru Kedi Maması 1,5 Kg</v>
      </c>
      <c r="D136" s="17"/>
      <c r="E136" s="17" t="str">
        <f>IFERROR(__xludf.DUMMYFUNCTION("""COMPUTED_VALUE"""),"Kedi Kuru Maması")</f>
        <v>Kedi Kuru Maması</v>
      </c>
      <c r="F136" s="17">
        <f>IFERROR(__xludf.DUMMYFUNCTION("""COMPUTED_VALUE"""),0.0)</f>
        <v>0</v>
      </c>
      <c r="G136" s="17"/>
      <c r="H136" s="17">
        <f>IFERROR(__xludf.DUMMYFUNCTION("""COMPUTED_VALUE"""),0.0)</f>
        <v>0</v>
      </c>
      <c r="I136" s="17" t="str">
        <f>IFERROR(__xludf.DUMMYFUNCTION("""COMPUTED_VALUE"""),"Onayli - Satista degil")</f>
        <v>Onayli - Satista degil</v>
      </c>
      <c r="J136" s="40">
        <f>IF($A136="","",IFERROR(VLOOKUP($A136,'Maliyet Giris'!$A$2:$G$550,6,0),""))</f>
        <v>1077</v>
      </c>
      <c r="K136" s="40">
        <f>IF($A136="","",IFERROR(VLOOKUP($A136,'Maliyet Giris'!$A$2:$G$550,7,0),""))</f>
        <v>3</v>
      </c>
    </row>
    <row r="137">
      <c r="A137" s="17">
        <f>IFERROR(__xludf.DUMMYFUNCTION("""COMPUTED_VALUE"""),8.010276036742E12)</f>
        <v>8010276036742</v>
      </c>
      <c r="B137" s="17" t="str">
        <f>IFERROR(__xludf.DUMMYFUNCTION("""COMPUTED_VALUE"""),"N&amp;D")</f>
        <v>N&amp;D</v>
      </c>
      <c r="C137" s="17" t="str">
        <f>IFERROR(__xludf.DUMMYFUNCTION("""COMPUTED_VALUE"""),"Ocean Pumpkin Balkabaklı Ringa Balıklı Portakallı Tahılsız Yetişkin Kedi Maması 1,5 Kg")</f>
        <v>Ocean Pumpkin Balkabaklı Ringa Balıklı Portakallı Tahılsız Yetişkin Kedi Maması 1,5 Kg</v>
      </c>
      <c r="D137" s="17"/>
      <c r="E137" s="17" t="str">
        <f>IFERROR(__xludf.DUMMYFUNCTION("""COMPUTED_VALUE"""),"Kedi Kuru Maması")</f>
        <v>Kedi Kuru Maması</v>
      </c>
      <c r="F137" s="17">
        <f>IFERROR(__xludf.DUMMYFUNCTION("""COMPUTED_VALUE"""),0.0)</f>
        <v>0</v>
      </c>
      <c r="G137" s="17"/>
      <c r="H137" s="17">
        <f>IFERROR(__xludf.DUMMYFUNCTION("""COMPUTED_VALUE"""),0.0)</f>
        <v>0</v>
      </c>
      <c r="I137" s="17" t="str">
        <f>IFERROR(__xludf.DUMMYFUNCTION("""COMPUTED_VALUE"""),"Onayli - Satista degil")</f>
        <v>Onayli - Satista degil</v>
      </c>
      <c r="J137" s="40">
        <f>IF($A137="","",IFERROR(VLOOKUP($A137,'Maliyet Giris'!$A$2:$G$550,6,0),""))</f>
        <v>1007</v>
      </c>
      <c r="K137" s="40">
        <f>IF($A137="","",IFERROR(VLOOKUP($A137,'Maliyet Giris'!$A$2:$G$550,7,0),""))</f>
        <v>3</v>
      </c>
    </row>
    <row r="138">
      <c r="A138" s="17">
        <f>IFERROR(__xludf.DUMMYFUNCTION("""COMPUTED_VALUE"""),8.010276021595E12)</f>
        <v>8010276021595</v>
      </c>
      <c r="B138" s="17" t="str">
        <f>IFERROR(__xludf.DUMMYFUNCTION("""COMPUTED_VALUE"""),"N&amp;D")</f>
        <v>N&amp;D</v>
      </c>
      <c r="C138" s="17" t="str">
        <f>IFERROR(__xludf.DUMMYFUNCTION("""COMPUTED_VALUE"""),"Ancestral Grain Kuzulu Yaban Mersinli Düşük Tahıllı Yetişkin Kedi Maması 1,5 Kg")</f>
        <v>Ancestral Grain Kuzulu Yaban Mersinli Düşük Tahıllı Yetişkin Kedi Maması 1,5 Kg</v>
      </c>
      <c r="D138" s="17"/>
      <c r="E138" s="17" t="str">
        <f>IFERROR(__xludf.DUMMYFUNCTION("""COMPUTED_VALUE"""),"Kedi Kuru Maması")</f>
        <v>Kedi Kuru Maması</v>
      </c>
      <c r="F138" s="17">
        <f>IFERROR(__xludf.DUMMYFUNCTION("""COMPUTED_VALUE"""),0.0)</f>
        <v>0</v>
      </c>
      <c r="G138" s="17"/>
      <c r="H138" s="17">
        <f>IFERROR(__xludf.DUMMYFUNCTION("""COMPUTED_VALUE"""),0.0)</f>
        <v>0</v>
      </c>
      <c r="I138" s="17" t="str">
        <f>IFERROR(__xludf.DUMMYFUNCTION("""COMPUTED_VALUE"""),"Onayli - Satista degil")</f>
        <v>Onayli - Satista degil</v>
      </c>
      <c r="J138" s="40">
        <f>IF($A138="","",IFERROR(VLOOKUP($A138,'Maliyet Giris'!$A$2:$G$550,6,0),""))</f>
        <v>824</v>
      </c>
      <c r="K138" s="40">
        <f>IF($A138="","",IFERROR(VLOOKUP($A138,'Maliyet Giris'!$A$2:$G$550,7,0),""))</f>
        <v>3</v>
      </c>
    </row>
    <row r="139">
      <c r="A139" s="17">
        <f>IFERROR(__xludf.DUMMYFUNCTION("""COMPUTED_VALUE"""),8.010276030467E12)</f>
        <v>8010276030467</v>
      </c>
      <c r="B139" s="17" t="str">
        <f>IFERROR(__xludf.DUMMYFUNCTION("""COMPUTED_VALUE"""),"N&amp;D")</f>
        <v>N&amp;D</v>
      </c>
      <c r="C139" s="17" t="str">
        <f>IFERROR(__xludf.DUMMYFUNCTION("""COMPUTED_VALUE"""),"Tahılsız Tavuklu Narlı Kısırlaştırılmış Kedi Maması 1,5 Kg")</f>
        <v>Tahılsız Tavuklu Narlı Kısırlaştırılmış Kedi Maması 1,5 Kg</v>
      </c>
      <c r="D139" s="17"/>
      <c r="E139" s="17" t="str">
        <f>IFERROR(__xludf.DUMMYFUNCTION("""COMPUTED_VALUE"""),"Kedi Kuru Maması")</f>
        <v>Kedi Kuru Maması</v>
      </c>
      <c r="F139" s="17">
        <f>IFERROR(__xludf.DUMMYFUNCTION("""COMPUTED_VALUE"""),0.0)</f>
        <v>0</v>
      </c>
      <c r="G139" s="17"/>
      <c r="H139" s="17">
        <f>IFERROR(__xludf.DUMMYFUNCTION("""COMPUTED_VALUE"""),0.0)</f>
        <v>0</v>
      </c>
      <c r="I139" s="17" t="str">
        <f>IFERROR(__xludf.DUMMYFUNCTION("""COMPUTED_VALUE"""),"Onayli - Satista degil")</f>
        <v>Onayli - Satista degil</v>
      </c>
      <c r="J139" s="40">
        <f>IF($A139="","",IFERROR(VLOOKUP($A139,'Maliyet Giris'!$A$2:$G$550,6,0),""))</f>
        <v>1024</v>
      </c>
      <c r="K139" s="40">
        <f>IF($A139="","",IFERROR(VLOOKUP($A139,'Maliyet Giris'!$A$2:$G$550,7,0),""))</f>
        <v>3</v>
      </c>
    </row>
    <row r="140">
      <c r="A140" s="17">
        <f>IFERROR(__xludf.DUMMYFUNCTION("""COMPUTED_VALUE"""),8.005852019662E12)</f>
        <v>8005852019662</v>
      </c>
      <c r="B140" s="17" t="str">
        <f>IFERROR(__xludf.DUMMYFUNCTION("""COMPUTED_VALUE"""),"Schesir")</f>
        <v>Schesir</v>
      </c>
      <c r="C140" s="17" t="str">
        <f>IFERROR(__xludf.DUMMYFUNCTION("""COMPUTED_VALUE"""),"Karışık Kedi Konserve Maması (24 Adet)")</f>
        <v>Karışık Kedi Konserve Maması (24 Adet)</v>
      </c>
      <c r="D140" s="17"/>
      <c r="E140" s="17" t="str">
        <f>IFERROR(__xludf.DUMMYFUNCTION("""COMPUTED_VALUE"""),"Kedi Konserve Maması")</f>
        <v>Kedi Konserve Maması</v>
      </c>
      <c r="F140" s="17">
        <f>IFERROR(__xludf.DUMMYFUNCTION("""COMPUTED_VALUE"""),2815.0)</f>
        <v>2815</v>
      </c>
      <c r="G140" s="17"/>
      <c r="H140" s="17">
        <f>IFERROR(__xludf.DUMMYFUNCTION("""COMPUTED_VALUE"""),0.0)</f>
        <v>0</v>
      </c>
      <c r="I140" s="17" t="str">
        <f>IFERROR(__xludf.DUMMYFUNCTION("""COMPUTED_VALUE"""),"Onayli - Satista degil")</f>
        <v>Onayli - Satista degil</v>
      </c>
      <c r="J140" s="40">
        <f>IF($A140="","",IFERROR(VLOOKUP($A140,'Maliyet Giris'!$A$2:$G$550,6,0),""))</f>
        <v>2080</v>
      </c>
      <c r="K140" s="40">
        <f>IF($A140="","",IFERROR(VLOOKUP($A140,'Maliyet Giris'!$A$2:$G$550,7,0),""))</f>
        <v>3</v>
      </c>
    </row>
    <row r="141">
      <c r="A141" s="17" t="str">
        <f>IFERROR(__xludf.DUMMYFUNCTION("""COMPUTED_VALUE"""),"TYBKHNY9EJARO62U67")</f>
        <v>TYBKHNY9EJARO62U67</v>
      </c>
      <c r="B141" s="17" t="str">
        <f>IFERROR(__xludf.DUMMYFUNCTION("""COMPUTED_VALUE"""),"FELIX")</f>
        <v>FELIX</v>
      </c>
      <c r="C141" s="17" t="str">
        <f>IFERROR(__xludf.DUMMYFUNCTION("""COMPUTED_VALUE"""),"Yavru Kediler Için Tavuklu Yaş Kedi Maması 26 Adet")</f>
        <v>Yavru Kediler Için Tavuklu Yaş Kedi Maması 26 Adet</v>
      </c>
      <c r="D141" s="17"/>
      <c r="E141" s="17" t="str">
        <f>IFERROR(__xludf.DUMMYFUNCTION("""COMPUTED_VALUE"""),"Kedi Konserve Maması")</f>
        <v>Kedi Konserve Maması</v>
      </c>
      <c r="F141" s="17">
        <f>IFERROR(__xludf.DUMMYFUNCTION("""COMPUTED_VALUE"""),699.0)</f>
        <v>699</v>
      </c>
      <c r="G141" s="17">
        <f>IFERROR(__xludf.DUMMYFUNCTION("""COMPUTED_VALUE"""),619.9)</f>
        <v>619.9</v>
      </c>
      <c r="H141" s="17">
        <f>IFERROR(__xludf.DUMMYFUNCTION("""COMPUTED_VALUE"""),100.0)</f>
        <v>100</v>
      </c>
      <c r="I141" s="17" t="str">
        <f>IFERROR(__xludf.DUMMYFUNCTION("""COMPUTED_VALUE"""),"Onayli")</f>
        <v>Onayli</v>
      </c>
      <c r="J141" s="40">
        <f>IF($A141="","",IFERROR(VLOOKUP($A141,'Maliyet Giris'!$A$2:$G$550,6,0),""))</f>
        <v>390</v>
      </c>
      <c r="K141" s="40">
        <f>IF($A141="","",IFERROR(VLOOKUP($A141,'Maliyet Giris'!$A$2:$G$550,7,0),""))</f>
        <v>3</v>
      </c>
    </row>
    <row r="142">
      <c r="A142" s="17" t="str">
        <f>IFERROR(__xludf.DUMMYFUNCTION("""COMPUTED_VALUE"""),"TYB1WRS9OVM51QUP63")</f>
        <v>TYB1WRS9OVM51QUP63</v>
      </c>
      <c r="B142" s="17" t="str">
        <f>IFERROR(__xludf.DUMMYFUNCTION("""COMPUTED_VALUE"""),"FELIX")</f>
        <v>FELIX</v>
      </c>
      <c r="C142" s="17" t="str">
        <f>IFERROR(__xludf.DUMMYFUNCTION("""COMPUTED_VALUE"""),"Ton Balıklı Yaş Kedi Maması 85 gr X 26 Adet")</f>
        <v>Ton Balıklı Yaş Kedi Maması 85 gr X 26 Adet</v>
      </c>
      <c r="D142" s="17"/>
      <c r="E142" s="17" t="str">
        <f>IFERROR(__xludf.DUMMYFUNCTION("""COMPUTED_VALUE"""),"Kedi Konserve Maması")</f>
        <v>Kedi Konserve Maması</v>
      </c>
      <c r="F142" s="17">
        <f>IFERROR(__xludf.DUMMYFUNCTION("""COMPUTED_VALUE"""),699.0)</f>
        <v>699</v>
      </c>
      <c r="G142" s="17">
        <f>IFERROR(__xludf.DUMMYFUNCTION("""COMPUTED_VALUE"""),585.9)</f>
        <v>585.9</v>
      </c>
      <c r="H142" s="17">
        <f>IFERROR(__xludf.DUMMYFUNCTION("""COMPUTED_VALUE"""),100.0)</f>
        <v>100</v>
      </c>
      <c r="I142" s="17" t="str">
        <f>IFERROR(__xludf.DUMMYFUNCTION("""COMPUTED_VALUE"""),"Onayli")</f>
        <v>Onayli</v>
      </c>
      <c r="J142" s="40">
        <f>IF($A142="","",IFERROR(VLOOKUP($A142,'Maliyet Giris'!$A$2:$G$550,6,0),""))</f>
        <v>312</v>
      </c>
      <c r="K142" s="40">
        <f>IF($A142="","",IFERROR(VLOOKUP($A142,'Maliyet Giris'!$A$2:$G$550,7,0),""))</f>
        <v>3</v>
      </c>
    </row>
    <row r="143">
      <c r="A143" s="17" t="str">
        <f>IFERROR(__xludf.DUMMYFUNCTION("""COMPUTED_VALUE"""),"TYBMPF8C5ET2JK1U31")</f>
        <v>TYBMPF8C5ET2JK1U31</v>
      </c>
      <c r="B143" s="17" t="str">
        <f>IFERROR(__xludf.DUMMYFUNCTION("""COMPUTED_VALUE"""),"FELIX")</f>
        <v>FELIX</v>
      </c>
      <c r="C143" s="17" t="str">
        <f>IFERROR(__xludf.DUMMYFUNCTION("""COMPUTED_VALUE"""),"Somonlu Yaş Kedi Maması 26 Adet X 85 Gr.")</f>
        <v>Somonlu Yaş Kedi Maması 26 Adet X 85 Gr.</v>
      </c>
      <c r="D143" s="17"/>
      <c r="E143" s="17" t="str">
        <f>IFERROR(__xludf.DUMMYFUNCTION("""COMPUTED_VALUE"""),"Kedi Konserve Maması")</f>
        <v>Kedi Konserve Maması</v>
      </c>
      <c r="F143" s="17">
        <f>IFERROR(__xludf.DUMMYFUNCTION("""COMPUTED_VALUE"""),699.0)</f>
        <v>699</v>
      </c>
      <c r="G143" s="17">
        <f>IFERROR(__xludf.DUMMYFUNCTION("""COMPUTED_VALUE"""),597.9)</f>
        <v>597.9</v>
      </c>
      <c r="H143" s="17">
        <f>IFERROR(__xludf.DUMMYFUNCTION("""COMPUTED_VALUE"""),2.0)</f>
        <v>2</v>
      </c>
      <c r="I143" s="17" t="str">
        <f>IFERROR(__xludf.DUMMYFUNCTION("""COMPUTED_VALUE"""),"Onayli")</f>
        <v>Onayli</v>
      </c>
      <c r="J143" s="40">
        <f>IF($A143="","",IFERROR(VLOOKUP($A143,'Maliyet Giris'!$A$2:$G$550,6,0),""))</f>
        <v>390</v>
      </c>
      <c r="K143" s="40">
        <f>IF($A143="","",IFERROR(VLOOKUP($A143,'Maliyet Giris'!$A$2:$G$550,7,0),""))</f>
        <v>3</v>
      </c>
    </row>
    <row r="144">
      <c r="A144" s="17" t="str">
        <f>IFERROR(__xludf.DUMMYFUNCTION("""COMPUTED_VALUE"""),"TYB186W8UY88IBPB09")</f>
        <v>TYB186W8UY88IBPB09</v>
      </c>
      <c r="B144" s="17" t="str">
        <f>IFERROR(__xludf.DUMMYFUNCTION("""COMPUTED_VALUE"""),"FELIX")</f>
        <v>FELIX</v>
      </c>
      <c r="C144" s="17" t="str">
        <f>IFERROR(__xludf.DUMMYFUNCTION("""COMPUTED_VALUE"""),"Sığır Etli 85 Gr. X 26 Adet Yaş Kedi Maması")</f>
        <v>Sığır Etli 85 Gr. X 26 Adet Yaş Kedi Maması</v>
      </c>
      <c r="D144" s="17"/>
      <c r="E144" s="17" t="str">
        <f>IFERROR(__xludf.DUMMYFUNCTION("""COMPUTED_VALUE"""),"Kedi Konserve Maması")</f>
        <v>Kedi Konserve Maması</v>
      </c>
      <c r="F144" s="17">
        <f>IFERROR(__xludf.DUMMYFUNCTION("""COMPUTED_VALUE"""),699.0)</f>
        <v>699</v>
      </c>
      <c r="G144" s="17">
        <f>IFERROR(__xludf.DUMMYFUNCTION("""COMPUTED_VALUE"""),680.0)</f>
        <v>680</v>
      </c>
      <c r="H144" s="17">
        <f>IFERROR(__xludf.DUMMYFUNCTION("""COMPUTED_VALUE"""),100.0)</f>
        <v>100</v>
      </c>
      <c r="I144" s="17" t="str">
        <f>IFERROR(__xludf.DUMMYFUNCTION("""COMPUTED_VALUE"""),"Onayli")</f>
        <v>Onayli</v>
      </c>
      <c r="J144" s="40">
        <f>IF($A144="","",IFERROR(VLOOKUP($A144,'Maliyet Giris'!$A$2:$G$550,6,0),""))</f>
        <v>390</v>
      </c>
      <c r="K144" s="40">
        <f>IF($A144="","",IFERROR(VLOOKUP($A144,'Maliyet Giris'!$A$2:$G$550,7,0),""))</f>
        <v>3</v>
      </c>
    </row>
    <row r="145">
      <c r="A145" s="17">
        <f>IFERROR(__xludf.DUMMYFUNCTION("""COMPUTED_VALUE"""),8.606014106732E12)</f>
        <v>8606014106732</v>
      </c>
      <c r="B145" s="17" t="str">
        <f>IFERROR(__xludf.DUMMYFUNCTION("""COMPUTED_VALUE"""),"N&amp;D")</f>
        <v>N&amp;D</v>
      </c>
      <c r="C145" s="17" t="str">
        <f>IFERROR(__xludf.DUMMYFUNCTION("""COMPUTED_VALUE"""),"Fish Trio Menü Somonlu Ve Karidesli Yetişkin Kedi Konserve Yaş Maması 6 X 70 gr")</f>
        <v>Fish Trio Menü Somonlu Ve Karidesli Yetişkin Kedi Konserve Yaş Maması 6 X 70 gr</v>
      </c>
      <c r="D145" s="17"/>
      <c r="E145" s="17" t="str">
        <f>IFERROR(__xludf.DUMMYFUNCTION("""COMPUTED_VALUE"""),"Kedi Konserve Maması")</f>
        <v>Kedi Konserve Maması</v>
      </c>
      <c r="F145" s="17">
        <f>IFERROR(__xludf.DUMMYFUNCTION("""COMPUTED_VALUE"""),749.0)</f>
        <v>749</v>
      </c>
      <c r="G145" s="17">
        <f>IFERROR(__xludf.DUMMYFUNCTION("""COMPUTED_VALUE"""),470.0)</f>
        <v>470</v>
      </c>
      <c r="H145" s="17">
        <f>IFERROR(__xludf.DUMMYFUNCTION("""COMPUTED_VALUE"""),1.0)</f>
        <v>1</v>
      </c>
      <c r="I145" s="17" t="str">
        <f>IFERROR(__xludf.DUMMYFUNCTION("""COMPUTED_VALUE"""),"Onayli")</f>
        <v>Onayli</v>
      </c>
      <c r="J145" s="40">
        <f>IF($A145="","",IFERROR(VLOOKUP($A145,'Maliyet Giris'!$A$2:$G$550,6,0),""))</f>
        <v>333</v>
      </c>
      <c r="K145" s="40">
        <f>IF($A145="","",IFERROR(VLOOKUP($A145,'Maliyet Giris'!$A$2:$G$550,7,0),""))</f>
        <v>3</v>
      </c>
    </row>
    <row r="146">
      <c r="A146" s="17">
        <f>IFERROR(__xludf.DUMMYFUNCTION("""COMPUTED_VALUE"""),7.613036505178E12)</f>
        <v>7613036505178</v>
      </c>
      <c r="B146" s="17" t="str">
        <f>IFERROR(__xludf.DUMMYFUNCTION("""COMPUTED_VALUE"""),"Pro Plan")</f>
        <v>Pro Plan</v>
      </c>
      <c r="C146" s="17" t="str">
        <f>IFERROR(__xludf.DUMMYFUNCTION("""COMPUTED_VALUE"""),"Kitten Tavuklu Yavru Kedi Maması 1.5 Kg")</f>
        <v>Kitten Tavuklu Yavru Kedi Maması 1.5 Kg</v>
      </c>
      <c r="D146" s="17"/>
      <c r="E146" s="17" t="str">
        <f>IFERROR(__xludf.DUMMYFUNCTION("""COMPUTED_VALUE"""),"Kedi Kuru Maması")</f>
        <v>Kedi Kuru Maması</v>
      </c>
      <c r="F146" s="17">
        <f>IFERROR(__xludf.DUMMYFUNCTION("""COMPUTED_VALUE"""),815.0)</f>
        <v>815</v>
      </c>
      <c r="G146" s="17">
        <f>IFERROR(__xludf.DUMMYFUNCTION("""COMPUTED_VALUE"""),665.0)</f>
        <v>665</v>
      </c>
      <c r="H146" s="17">
        <f>IFERROR(__xludf.DUMMYFUNCTION("""COMPUTED_VALUE"""),28.0)</f>
        <v>28</v>
      </c>
      <c r="I146" s="17" t="str">
        <f>IFERROR(__xludf.DUMMYFUNCTION("""COMPUTED_VALUE"""),"Onayli")</f>
        <v>Onayli</v>
      </c>
      <c r="J146" s="40">
        <f>IF($A146="","",IFERROR(VLOOKUP($A146,'Maliyet Giris'!$A$2:$G$550,6,0),""))</f>
        <v>450</v>
      </c>
      <c r="K146" s="40">
        <f>IF($A146="","",IFERROR(VLOOKUP($A146,'Maliyet Giris'!$A$2:$G$550,7,0),""))</f>
        <v>3</v>
      </c>
    </row>
    <row r="147">
      <c r="A147" s="17" t="str">
        <f>IFERROR(__xludf.DUMMYFUNCTION("""COMPUTED_VALUE"""),"HBCV0000CCFV8V")</f>
        <v>HBCV0000CCFV8V</v>
      </c>
      <c r="B147" s="17" t="str">
        <f>IFERROR(__xludf.DUMMYFUNCTION("""COMPUTED_VALUE"""),"Pro Plan")</f>
        <v>Pro Plan</v>
      </c>
      <c r="C147" s="17" t="str">
        <f>IFERROR(__xludf.DUMMYFUNCTION("""COMPUTED_VALUE"""),"Kitten Yavru Kedi Kuru Maması 400 gr 4 Adet")</f>
        <v>Kitten Yavru Kedi Kuru Maması 400 gr 4 Adet</v>
      </c>
      <c r="D147" s="17"/>
      <c r="E147" s="17" t="str">
        <f>IFERROR(__xludf.DUMMYFUNCTION("""COMPUTED_VALUE"""),"Kedi Kuru Maması")</f>
        <v>Kedi Kuru Maması</v>
      </c>
      <c r="F147" s="17">
        <f>IFERROR(__xludf.DUMMYFUNCTION("""COMPUTED_VALUE"""),775.0)</f>
        <v>775</v>
      </c>
      <c r="G147" s="17">
        <f>IFERROR(__xludf.DUMMYFUNCTION("""COMPUTED_VALUE"""),650.0)</f>
        <v>650</v>
      </c>
      <c r="H147" s="17">
        <f>IFERROR(__xludf.DUMMYFUNCTION("""COMPUTED_VALUE"""),1.0)</f>
        <v>1</v>
      </c>
      <c r="I147" s="17" t="str">
        <f>IFERROR(__xludf.DUMMYFUNCTION("""COMPUTED_VALUE"""),"Onayli")</f>
        <v>Onayli</v>
      </c>
      <c r="J147" s="40">
        <f>IF($A147="","",IFERROR(VLOOKUP($A147,'Maliyet Giris'!$A$2:$G$550,6,0),""))</f>
        <v>580</v>
      </c>
      <c r="K147" s="40">
        <f>IF($A147="","",IFERROR(VLOOKUP($A147,'Maliyet Giris'!$A$2:$G$550,7,0),""))</f>
        <v>3</v>
      </c>
    </row>
    <row r="148">
      <c r="A148" s="17" t="str">
        <f>IFERROR(__xludf.DUMMYFUNCTION("""COMPUTED_VALUE"""),"8445291929555-2")</f>
        <v>8445291929555-2</v>
      </c>
      <c r="B148" s="17" t="str">
        <f>IFERROR(__xludf.DUMMYFUNCTION("""COMPUTED_VALUE"""),"Gourmet")</f>
        <v>Gourmet</v>
      </c>
      <c r="C148" s="17" t="str">
        <f>IFERROR(__xludf.DUMMYFUNCTION("""COMPUTED_VALUE"""),"Purina Gold Karışık Kıyılmış Kedi Konservesi 85 gr X 16 Adet")</f>
        <v>Purina Gold Karışık Kıyılmış Kedi Konservesi 85 gr X 16 Adet</v>
      </c>
      <c r="D148" s="17" t="str">
        <f>IFERROR(__xludf.DUMMYFUNCTION("""COMPUTED_VALUE"""),"GRM16")</f>
        <v>GRM16</v>
      </c>
      <c r="E148" s="17" t="str">
        <f>IFERROR(__xludf.DUMMYFUNCTION("""COMPUTED_VALUE"""),"Kedi Konserve Maması")</f>
        <v>Kedi Konserve Maması</v>
      </c>
      <c r="F148" s="17">
        <f>IFERROR(__xludf.DUMMYFUNCTION("""COMPUTED_VALUE"""),699.0)</f>
        <v>699</v>
      </c>
      <c r="G148" s="17">
        <f>IFERROR(__xludf.DUMMYFUNCTION("""COMPUTED_VALUE"""),699.0)</f>
        <v>699</v>
      </c>
      <c r="H148" s="17">
        <f>IFERROR(__xludf.DUMMYFUNCTION("""COMPUTED_VALUE"""),862.0)</f>
        <v>862</v>
      </c>
      <c r="I148" s="17" t="str">
        <f>IFERROR(__xludf.DUMMYFUNCTION("""COMPUTED_VALUE"""),"Onayli")</f>
        <v>Onayli</v>
      </c>
      <c r="J148" s="40">
        <f>IF($A148="","",IFERROR(VLOOKUP($A148,'Maliyet Giris'!$A$2:$G$550,6,0),""))</f>
        <v>420</v>
      </c>
      <c r="K148" s="40">
        <f>IF($A148="","",IFERROR(VLOOKUP($A148,'Maliyet Giris'!$A$2:$G$550,7,0),""))</f>
        <v>3</v>
      </c>
    </row>
    <row r="149">
      <c r="A149" s="17">
        <f>IFERROR(__xludf.DUMMYFUNCTION("""COMPUTED_VALUE"""),8.445291929555E12)</f>
        <v>8445291929555</v>
      </c>
      <c r="B149" s="17" t="str">
        <f>IFERROR(__xludf.DUMMYFUNCTION("""COMPUTED_VALUE"""),"Gourmet Gold")</f>
        <v>Gourmet Gold</v>
      </c>
      <c r="C149" s="17" t="str">
        <f>IFERROR(__xludf.DUMMYFUNCTION("""COMPUTED_VALUE"""),"Kıyılmış Seri Kedi Konservesi 8 Adet*85 Gr")</f>
        <v>Kıyılmış Seri Kedi Konservesi 8 Adet*85 Gr</v>
      </c>
      <c r="D149" s="17" t="str">
        <f>IFERROR(__xludf.DUMMYFUNCTION("""COMPUTED_VALUE"""),"8li Gourmet ")</f>
        <v>8li Gourmet </v>
      </c>
      <c r="E149" s="17" t="str">
        <f>IFERROR(__xludf.DUMMYFUNCTION("""COMPUTED_VALUE"""),"Kedi Konserve Maması")</f>
        <v>Kedi Konserve Maması</v>
      </c>
      <c r="F149" s="17">
        <f>IFERROR(__xludf.DUMMYFUNCTION("""COMPUTED_VALUE"""),345.0)</f>
        <v>345</v>
      </c>
      <c r="G149" s="17">
        <f>IFERROR(__xludf.DUMMYFUNCTION("""COMPUTED_VALUE"""),353.59)</f>
        <v>353.59</v>
      </c>
      <c r="H149" s="17">
        <f>IFERROR(__xludf.DUMMYFUNCTION("""COMPUTED_VALUE"""),999.0)</f>
        <v>999</v>
      </c>
      <c r="I149" s="17" t="str">
        <f>IFERROR(__xludf.DUMMYFUNCTION("""COMPUTED_VALUE"""),"Onayli")</f>
        <v>Onayli</v>
      </c>
      <c r="J149" s="40">
        <f>IF($A149="","",IFERROR(VLOOKUP($A149,'Maliyet Giris'!$A$2:$G$550,6,0),""))</f>
        <v>192</v>
      </c>
      <c r="K149" s="40">
        <f>IF($A149="","",IFERROR(VLOOKUP($A149,'Maliyet Giris'!$A$2:$G$550,7,0),""))</f>
        <v>3</v>
      </c>
    </row>
    <row r="150">
      <c r="A150" s="17" t="str">
        <f>IFERROR(__xludf.DUMMYFUNCTION("""COMPUTED_VALUE"""),"HBCV00002I29F3")</f>
        <v>HBCV00002I29F3</v>
      </c>
      <c r="B150" s="17" t="str">
        <f>IFERROR(__xludf.DUMMYFUNCTION("""COMPUTED_VALUE"""),"Royal Canin")</f>
        <v>Royal Canin</v>
      </c>
      <c r="C150" s="17" t="str">
        <f>IFERROR(__xludf.DUMMYFUNCTION("""COMPUTED_VALUE"""),"British Shorthair Yaş Kedi Maması 12 Adet x 85 gr")</f>
        <v>British Shorthair Yaş Kedi Maması 12 Adet x 85 gr</v>
      </c>
      <c r="D150" s="17"/>
      <c r="E150" s="17" t="str">
        <f>IFERROR(__xludf.DUMMYFUNCTION("""COMPUTED_VALUE"""),"Kedi Kuru Maması")</f>
        <v>Kedi Kuru Maması</v>
      </c>
      <c r="F150" s="17">
        <f>IFERROR(__xludf.DUMMYFUNCTION("""COMPUTED_VALUE"""),0.0)</f>
        <v>0</v>
      </c>
      <c r="G150" s="17"/>
      <c r="H150" s="17">
        <f>IFERROR(__xludf.DUMMYFUNCTION("""COMPUTED_VALUE"""),0.0)</f>
        <v>0</v>
      </c>
      <c r="I150" s="17" t="str">
        <f>IFERROR(__xludf.DUMMYFUNCTION("""COMPUTED_VALUE"""),"Onayli - Satista degil")</f>
        <v>Onayli - Satista degil</v>
      </c>
      <c r="J150" s="40">
        <f>IF($A150="","",IFERROR(VLOOKUP($A150,'Maliyet Giris'!$A$2:$G$550,6,0),""))</f>
        <v>515</v>
      </c>
      <c r="K150" s="40">
        <f>IF($A150="","",IFERROR(VLOOKUP($A150,'Maliyet Giris'!$A$2:$G$550,7,0),""))</f>
        <v>3</v>
      </c>
    </row>
    <row r="151">
      <c r="A151" s="17" t="str">
        <f>IFERROR(__xludf.DUMMYFUNCTION("""COMPUTED_VALUE"""),"HBCV000002HPAM")</f>
        <v>HBCV000002HPAM</v>
      </c>
      <c r="B151" s="17" t="str">
        <f>IFERROR(__xludf.DUMMYFUNCTION("""COMPUTED_VALUE"""),"Royal Canin")</f>
        <v>Royal Canin</v>
      </c>
      <c r="C151" s="17" t="str">
        <f>IFERROR(__xludf.DUMMYFUNCTION("""COMPUTED_VALUE"""),"Poodle Tüy Sağlığı Destekleyici Yetişkin Köpek Konservesi 85GR 12 Adet")</f>
        <v>Poodle Tüy Sağlığı Destekleyici Yetişkin Köpek Konservesi 85GR 12 Adet</v>
      </c>
      <c r="D151" s="17"/>
      <c r="E151" s="17" t="str">
        <f>IFERROR(__xludf.DUMMYFUNCTION("""COMPUTED_VALUE"""),"Köpek Konserve Maması")</f>
        <v>Köpek Konserve Maması</v>
      </c>
      <c r="F151" s="17">
        <f>IFERROR(__xludf.DUMMYFUNCTION("""COMPUTED_VALUE"""),750.0)</f>
        <v>750</v>
      </c>
      <c r="G151" s="17">
        <f>IFERROR(__xludf.DUMMYFUNCTION("""COMPUTED_VALUE"""),751.46)</f>
        <v>751.46</v>
      </c>
      <c r="H151" s="17">
        <f>IFERROR(__xludf.DUMMYFUNCTION("""COMPUTED_VALUE"""),5.0)</f>
        <v>5</v>
      </c>
      <c r="I151" s="17" t="str">
        <f>IFERROR(__xludf.DUMMYFUNCTION("""COMPUTED_VALUE"""),"Onayli")</f>
        <v>Onayli</v>
      </c>
      <c r="J151" s="40">
        <f>IF($A151="","",IFERROR(VLOOKUP($A151,'Maliyet Giris'!$A$2:$G$550,6,0),""))</f>
        <v>450</v>
      </c>
      <c r="K151" s="40">
        <f>IF($A151="","",IFERROR(VLOOKUP($A151,'Maliyet Giris'!$A$2:$G$550,7,0),""))</f>
        <v>2</v>
      </c>
    </row>
    <row r="152">
      <c r="A152" s="17" t="str">
        <f>IFERROR(__xludf.DUMMYFUNCTION("""COMPUTED_VALUE"""),"TYBQK2EQEQKG0VVM31")</f>
        <v>TYBQK2EQEQKG0VVM31</v>
      </c>
      <c r="B152" s="17" t="str">
        <f>IFERROR(__xludf.DUMMYFUNCTION("""COMPUTED_VALUE"""),"Royal Canin")</f>
        <v>Royal Canin</v>
      </c>
      <c r="C152" s="17" t="str">
        <f>IFERROR(__xludf.DUMMYFUNCTION("""COMPUTED_VALUE"""),"WOLF HEDİYELİ Mini Adult Küçük Irk Yetişkin Köpek Maması 8 Kg")</f>
        <v>WOLF HEDİYELİ Mini Adult Küçük Irk Yetişkin Köpek Maması 8 Kg</v>
      </c>
      <c r="D152" s="17"/>
      <c r="E152" s="17" t="str">
        <f>IFERROR(__xludf.DUMMYFUNCTION("""COMPUTED_VALUE"""),"Köpek Kuru Maması")</f>
        <v>Köpek Kuru Maması</v>
      </c>
      <c r="F152" s="17">
        <f>IFERROR(__xludf.DUMMYFUNCTION("""COMPUTED_VALUE"""),0.0)</f>
        <v>0</v>
      </c>
      <c r="G152" s="17"/>
      <c r="H152" s="17">
        <f>IFERROR(__xludf.DUMMYFUNCTION("""COMPUTED_VALUE"""),0.0)</f>
        <v>0</v>
      </c>
      <c r="I152" s="17" t="str">
        <f>IFERROR(__xludf.DUMMYFUNCTION("""COMPUTED_VALUE"""),"Onayli - Satista degil")</f>
        <v>Onayli - Satista degil</v>
      </c>
      <c r="J152" s="40">
        <f>IF($A152="","",IFERROR(VLOOKUP($A152,'Maliyet Giris'!$A$2:$G$550,6,0),""))</f>
        <v>2294</v>
      </c>
      <c r="K152" s="40">
        <f>IF($A152="","",IFERROR(VLOOKUP($A152,'Maliyet Giris'!$A$2:$G$550,7,0),""))</f>
        <v>3</v>
      </c>
    </row>
    <row r="153">
      <c r="A153" s="17">
        <f>IFERROR(__xludf.DUMMYFUNCTION("""COMPUTED_VALUE"""),7.6130335646424E13)</f>
        <v>76130335646424</v>
      </c>
      <c r="B153" s="17" t="str">
        <f>IFERROR(__xludf.DUMMYFUNCTION("""COMPUTED_VALUE"""),"Pro Plan")</f>
        <v>Pro Plan</v>
      </c>
      <c r="C153" s="17" t="str">
        <f>IFERROR(__xludf.DUMMYFUNCTION("""COMPUTED_VALUE"""),"Proplan Sterilised Somon Kısır Kedi Maması 400 Gr*4 Adet")</f>
        <v>Proplan Sterilised Somon Kısır Kedi Maması 400 Gr*4 Adet</v>
      </c>
      <c r="D153" s="17"/>
      <c r="E153" s="17" t="str">
        <f>IFERROR(__xludf.DUMMYFUNCTION("""COMPUTED_VALUE"""),"Kedi Kuru Maması")</f>
        <v>Kedi Kuru Maması</v>
      </c>
      <c r="F153" s="17">
        <f>IFERROR(__xludf.DUMMYFUNCTION("""COMPUTED_VALUE"""),1799.0)</f>
        <v>1799</v>
      </c>
      <c r="G153" s="17">
        <f>IFERROR(__xludf.DUMMYFUNCTION("""COMPUTED_VALUE"""),802.0)</f>
        <v>802</v>
      </c>
      <c r="H153" s="17">
        <f>IFERROR(__xludf.DUMMYFUNCTION("""COMPUTED_VALUE"""),1.0)</f>
        <v>1</v>
      </c>
      <c r="I153" s="17" t="str">
        <f>IFERROR(__xludf.DUMMYFUNCTION("""COMPUTED_VALUE"""),"Onayli")</f>
        <v>Onayli</v>
      </c>
      <c r="J153" s="40">
        <f>IF($A153="","",IFERROR(VLOOKUP($A153,'Maliyet Giris'!$A$2:$G$550,6,0),""))</f>
        <v>600</v>
      </c>
      <c r="K153" s="40">
        <f>IF($A153="","",IFERROR(VLOOKUP($A153,'Maliyet Giris'!$A$2:$G$550,7,0),""))</f>
        <v>3</v>
      </c>
    </row>
    <row r="154">
      <c r="A154" s="17">
        <f>IFERROR(__xludf.DUMMYFUNCTION("""COMPUTED_VALUE"""),8.68450194182E12)</f>
        <v>8684501941820</v>
      </c>
      <c r="B154" s="17" t="str">
        <f>IFERROR(__xludf.DUMMYFUNCTION("""COMPUTED_VALUE"""),"VetEnergy")</f>
        <v>VetEnergy</v>
      </c>
      <c r="C154" s="17" t="str">
        <f>IFERROR(__xludf.DUMMYFUNCTION("""COMPUTED_VALUE"""),"Yavru ve Anne Kediler İçin Multivitamin Macun - Bağışıklık, Kemik ve Tüy Desteği - 100g")</f>
        <v>Yavru ve Anne Kediler İçin Multivitamin Macun - Bağışıklık, Kemik ve Tüy Desteği - 100g</v>
      </c>
      <c r="D154" s="17" t="str">
        <f>IFERROR(__xludf.DUMMYFUNCTION("""COMPUTED_VALUE"""),"VETENG2")</f>
        <v>VETENG2</v>
      </c>
      <c r="E154" s="17" t="str">
        <f>IFERROR(__xludf.DUMMYFUNCTION("""COMPUTED_VALUE"""),"Kedi Vitamini")</f>
        <v>Kedi Vitamini</v>
      </c>
      <c r="F154" s="17">
        <f>IFERROR(__xludf.DUMMYFUNCTION("""COMPUTED_VALUE"""),349.99)</f>
        <v>349.99</v>
      </c>
      <c r="G154" s="17">
        <f>IFERROR(__xludf.DUMMYFUNCTION("""COMPUTED_VALUE"""),349.99)</f>
        <v>349.99</v>
      </c>
      <c r="H154" s="17">
        <f>IFERROR(__xludf.DUMMYFUNCTION("""COMPUTED_VALUE"""),998.0)</f>
        <v>998</v>
      </c>
      <c r="I154" s="17" t="str">
        <f>IFERROR(__xludf.DUMMYFUNCTION("""COMPUTED_VALUE"""),"Onayli")</f>
        <v>Onayli</v>
      </c>
      <c r="J154" s="40">
        <f>IF($A154="","",IFERROR(VLOOKUP($A154,'Maliyet Giris'!$A$2:$G$550,6,0),""))</f>
        <v>53</v>
      </c>
      <c r="K154" s="40">
        <f>IF($A154="","",IFERROR(VLOOKUP($A154,'Maliyet Giris'!$A$2:$G$550,7,0),""))</f>
        <v>0.5</v>
      </c>
    </row>
    <row r="155">
      <c r="A155" s="17">
        <f>IFERROR(__xludf.DUMMYFUNCTION("""COMPUTED_VALUE"""),8.684501941813E12)</f>
        <v>8684501941813</v>
      </c>
      <c r="B155" s="17" t="str">
        <f>IFERROR(__xludf.DUMMYFUNCTION("""COMPUTED_VALUE"""),"VetEnergy")</f>
        <v>VetEnergy</v>
      </c>
      <c r="C155" s="17" t="str">
        <f>IFERROR(__xludf.DUMMYFUNCTION("""COMPUTED_VALUE"""),"Malt Paste 100 g – Tüy Dökümü Önleyici, Tüy Yumağı Karşıtı, Sindirim Destekli Kedi Maltı")</f>
        <v>Malt Paste 100 g – Tüy Dökümü Önleyici, Tüy Yumağı Karşıtı, Sindirim Destekli Kedi Maltı</v>
      </c>
      <c r="D155" s="17" t="str">
        <f>IFERROR(__xludf.DUMMYFUNCTION("""COMPUTED_VALUE"""),"VETENGMAL")</f>
        <v>VETENGMAL</v>
      </c>
      <c r="E155" s="17" t="str">
        <f>IFERROR(__xludf.DUMMYFUNCTION("""COMPUTED_VALUE"""),"Kedi Vitamini")</f>
        <v>Kedi Vitamini</v>
      </c>
      <c r="F155" s="17">
        <f>IFERROR(__xludf.DUMMYFUNCTION("""COMPUTED_VALUE"""),349.99)</f>
        <v>349.99</v>
      </c>
      <c r="G155" s="17">
        <f>IFERROR(__xludf.DUMMYFUNCTION("""COMPUTED_VALUE"""),349.99)</f>
        <v>349.99</v>
      </c>
      <c r="H155" s="17">
        <f>IFERROR(__xludf.DUMMYFUNCTION("""COMPUTED_VALUE"""),415.0)</f>
        <v>415</v>
      </c>
      <c r="I155" s="17" t="str">
        <f>IFERROR(__xludf.DUMMYFUNCTION("""COMPUTED_VALUE"""),"Onayli")</f>
        <v>Onayli</v>
      </c>
      <c r="J155" s="40">
        <f>IF($A155="","",IFERROR(VLOOKUP($A155,'Maliyet Giris'!$A$2:$G$550,6,0),""))</f>
        <v>53</v>
      </c>
      <c r="K155" s="40">
        <f>IF($A155="","",IFERROR(VLOOKUP($A155,'Maliyet Giris'!$A$2:$G$550,7,0),""))</f>
        <v>0.5</v>
      </c>
    </row>
    <row r="156">
      <c r="A156" s="17">
        <f>IFERROR(__xludf.DUMMYFUNCTION("""COMPUTED_VALUE"""),8.684501941837E12)</f>
        <v>8684501941837</v>
      </c>
      <c r="B156" s="17" t="str">
        <f>IFERROR(__xludf.DUMMYFUNCTION("""COMPUTED_VALUE"""),"VetEnergy")</f>
        <v>VetEnergy</v>
      </c>
      <c r="C156" s="17" t="str">
        <f>IFERROR(__xludf.DUMMYFUNCTION("""COMPUTED_VALUE"""),"Sterilised Malt Macun 100gr (Kısırlaştırılmış Kediler için Tüy Yumağı Önleyici)")</f>
        <v>Sterilised Malt Macun 100gr (Kısırlaştırılmış Kediler için Tüy Yumağı Önleyici)</v>
      </c>
      <c r="D156" s="17" t="str">
        <f>IFERROR(__xludf.DUMMYFUNCTION("""COMPUTED_VALUE"""),"VETENG1")</f>
        <v>VETENG1</v>
      </c>
      <c r="E156" s="17" t="str">
        <f>IFERROR(__xludf.DUMMYFUNCTION("""COMPUTED_VALUE"""),"Kedi Vitamini")</f>
        <v>Kedi Vitamini</v>
      </c>
      <c r="F156" s="17">
        <f>IFERROR(__xludf.DUMMYFUNCTION("""COMPUTED_VALUE"""),349.99)</f>
        <v>349.99</v>
      </c>
      <c r="G156" s="17">
        <f>IFERROR(__xludf.DUMMYFUNCTION("""COMPUTED_VALUE"""),349.99)</f>
        <v>349.99</v>
      </c>
      <c r="H156" s="17">
        <f>IFERROR(__xludf.DUMMYFUNCTION("""COMPUTED_VALUE"""),371.0)</f>
        <v>371</v>
      </c>
      <c r="I156" s="17" t="str">
        <f>IFERROR(__xludf.DUMMYFUNCTION("""COMPUTED_VALUE"""),"Onayli")</f>
        <v>Onayli</v>
      </c>
      <c r="J156" s="40">
        <f>IF($A156="","",IFERROR(VLOOKUP($A156,'Maliyet Giris'!$A$2:$G$550,6,0),""))</f>
        <v>53</v>
      </c>
      <c r="K156" s="40">
        <f>IF($A156="","",IFERROR(VLOOKUP($A156,'Maliyet Giris'!$A$2:$G$550,7,0),""))</f>
        <v>0.5</v>
      </c>
    </row>
    <row r="157">
      <c r="A157" s="17">
        <f>IFERROR(__xludf.DUMMYFUNCTION("""COMPUTED_VALUE"""),8.684501941806E12)</f>
        <v>8684501941806</v>
      </c>
      <c r="B157" s="17" t="str">
        <f>IFERROR(__xludf.DUMMYFUNCTION("""COMPUTED_VALUE"""),"VetEnergy")</f>
        <v>VetEnergy</v>
      </c>
      <c r="C157" s="17" t="str">
        <f>IFERROR(__xludf.DUMMYFUNCTION("""COMPUTED_VALUE"""),"MultiVitamin Paste 100 g – 18’i 1 Arada Vitamin &amp; Mineral Destekli Kedi Macunu")</f>
        <v>MultiVitamin Paste 100 g – 18’i 1 Arada Vitamin &amp; Mineral Destekli Kedi Macunu</v>
      </c>
      <c r="D157" s="17" t="str">
        <f>IFERROR(__xludf.DUMMYFUNCTION("""COMPUTED_VALUE"""),"VETENG40")</f>
        <v>VETENG40</v>
      </c>
      <c r="E157" s="17" t="str">
        <f>IFERROR(__xludf.DUMMYFUNCTION("""COMPUTED_VALUE"""),"Kedi Vitamini")</f>
        <v>Kedi Vitamini</v>
      </c>
      <c r="F157" s="17">
        <f>IFERROR(__xludf.DUMMYFUNCTION("""COMPUTED_VALUE"""),349.99)</f>
        <v>349.99</v>
      </c>
      <c r="G157" s="17">
        <f>IFERROR(__xludf.DUMMYFUNCTION("""COMPUTED_VALUE"""),349.99)</f>
        <v>349.99</v>
      </c>
      <c r="H157" s="17">
        <f>IFERROR(__xludf.DUMMYFUNCTION("""COMPUTED_VALUE"""),420.0)</f>
        <v>420</v>
      </c>
      <c r="I157" s="17" t="str">
        <f>IFERROR(__xludf.DUMMYFUNCTION("""COMPUTED_VALUE"""),"Onayli")</f>
        <v>Onayli</v>
      </c>
      <c r="J157" s="40">
        <f>IF($A157="","",IFERROR(VLOOKUP($A157,'Maliyet Giris'!$A$2:$G$550,6,0),""))</f>
        <v>53</v>
      </c>
      <c r="K157" s="40">
        <f>IF($A157="","",IFERROR(VLOOKUP($A157,'Maliyet Giris'!$A$2:$G$550,7,0),""))</f>
        <v>0.5</v>
      </c>
    </row>
    <row r="158">
      <c r="A158" s="17">
        <f>IFERROR(__xludf.DUMMYFUNCTION("""COMPUTED_VALUE"""),8.681002995109E12)</f>
        <v>8681002995109</v>
      </c>
      <c r="B158" s="17" t="str">
        <f>IFERROR(__xludf.DUMMYFUNCTION("""COMPUTED_VALUE"""),"Whiskas")</f>
        <v>Whiskas</v>
      </c>
      <c r="C158" s="17" t="str">
        <f>IFERROR(__xludf.DUMMYFUNCTION("""COMPUTED_VALUE"""),"Pouch Pure Delight Tavuklu Yetişkin Kedi Mama 24 X 85 G")</f>
        <v>Pouch Pure Delight Tavuklu Yetişkin Kedi Mama 24 X 85 G</v>
      </c>
      <c r="D158" s="17"/>
      <c r="E158" s="17" t="str">
        <f>IFERROR(__xludf.DUMMYFUNCTION("""COMPUTED_VALUE"""),"Kedi Konserve Maması")</f>
        <v>Kedi Konserve Maması</v>
      </c>
      <c r="F158" s="17">
        <f>IFERROR(__xludf.DUMMYFUNCTION("""COMPUTED_VALUE"""),999.0)</f>
        <v>999</v>
      </c>
      <c r="G158" s="17">
        <f>IFERROR(__xludf.DUMMYFUNCTION("""COMPUTED_VALUE"""),579.0)</f>
        <v>579</v>
      </c>
      <c r="H158" s="17">
        <f>IFERROR(__xludf.DUMMYFUNCTION("""COMPUTED_VALUE"""),999.0)</f>
        <v>999</v>
      </c>
      <c r="I158" s="17" t="str">
        <f>IFERROR(__xludf.DUMMYFUNCTION("""COMPUTED_VALUE"""),"Onayli")</f>
        <v>Onayli</v>
      </c>
      <c r="J158" s="40">
        <f>IF($A158="","",IFERROR(VLOOKUP($A158,'Maliyet Giris'!$A$2:$G$550,6,0),""))</f>
        <v>1</v>
      </c>
      <c r="K158" s="40">
        <f>IF($A158="","",IFERROR(VLOOKUP($A158,'Maliyet Giris'!$A$2:$G$550,7,0),""))</f>
        <v>3</v>
      </c>
    </row>
    <row r="159">
      <c r="A159" s="17" t="str">
        <f>IFERROR(__xludf.DUMMYFUNCTION("""COMPUTED_VALUE"""),"TYBFHZOSQJ51LV7127")</f>
        <v>TYBFHZOSQJ51LV7127</v>
      </c>
      <c r="B159" s="17" t="str">
        <f>IFERROR(__xludf.DUMMYFUNCTION("""COMPUTED_VALUE"""),"FELIX")</f>
        <v>FELIX</v>
      </c>
      <c r="C159" s="17" t="str">
        <f>IFERROR(__xludf.DUMMYFUNCTION("""COMPUTED_VALUE"""),"Felix Yavru Tavuklu Avantajlı Paket (4x85) Gr")</f>
        <v>Felix Yavru Tavuklu Avantajlı Paket (4x85) Gr</v>
      </c>
      <c r="D159" s="17"/>
      <c r="E159" s="17" t="str">
        <f>IFERROR(__xludf.DUMMYFUNCTION("""COMPUTED_VALUE"""),"Kedi Konserve Maması")</f>
        <v>Kedi Konserve Maması</v>
      </c>
      <c r="F159" s="17">
        <f>IFERROR(__xludf.DUMMYFUNCTION("""COMPUTED_VALUE"""),588.0)</f>
        <v>588</v>
      </c>
      <c r="G159" s="17">
        <f>IFERROR(__xludf.DUMMYFUNCTION("""COMPUTED_VALUE"""),588.0)</f>
        <v>588</v>
      </c>
      <c r="H159" s="17">
        <f>IFERROR(__xludf.DUMMYFUNCTION("""COMPUTED_VALUE"""),47.0)</f>
        <v>47</v>
      </c>
      <c r="I159" s="17" t="str">
        <f>IFERROR(__xludf.DUMMYFUNCTION("""COMPUTED_VALUE"""),"Onayli")</f>
        <v>Onayli</v>
      </c>
      <c r="J159" s="40">
        <f>IF($A159="","",IFERROR(VLOOKUP($A159,'Maliyet Giris'!$A$2:$G$550,6,0),""))</f>
        <v>360</v>
      </c>
      <c r="K159" s="40">
        <f>IF($A159="","",IFERROR(VLOOKUP($A159,'Maliyet Giris'!$A$2:$G$550,7,0),""))</f>
        <v>3</v>
      </c>
    </row>
    <row r="160">
      <c r="A160" s="17">
        <f>IFERROR(__xludf.DUMMYFUNCTION("""COMPUTED_VALUE"""),7.61328747711E11)</f>
        <v>761328747711</v>
      </c>
      <c r="B160" s="17" t="str">
        <f>IFERROR(__xludf.DUMMYFUNCTION("""COMPUTED_VALUE"""),"FELIX")</f>
        <v>FELIX</v>
      </c>
      <c r="C160" s="17" t="str">
        <f>IFERROR(__xludf.DUMMYFUNCTION("""COMPUTED_VALUE"""),"Felix Kedi Maması Sığır Etli ve Tavuklu Yavru Ekonomik Paket (4x85gr) X 12 Adet")</f>
        <v>Felix Kedi Maması Sığır Etli ve Tavuklu Yavru Ekonomik Paket (4x85gr) X 12 Adet</v>
      </c>
      <c r="D160" s="17"/>
      <c r="E160" s="17" t="str">
        <f>IFERROR(__xludf.DUMMYFUNCTION("""COMPUTED_VALUE"""),"Kedi Konserve Maması")</f>
        <v>Kedi Konserve Maması</v>
      </c>
      <c r="F160" s="17">
        <f>IFERROR(__xludf.DUMMYFUNCTION("""COMPUTED_VALUE"""),1175.0)</f>
        <v>1175</v>
      </c>
      <c r="G160" s="17">
        <f>IFERROR(__xludf.DUMMYFUNCTION("""COMPUTED_VALUE"""),1090.95)</f>
        <v>1090.95</v>
      </c>
      <c r="H160" s="17">
        <f>IFERROR(__xludf.DUMMYFUNCTION("""COMPUTED_VALUE"""),10.0)</f>
        <v>10</v>
      </c>
      <c r="I160" s="17" t="str">
        <f>IFERROR(__xludf.DUMMYFUNCTION("""COMPUTED_VALUE"""),"Onayli")</f>
        <v>Onayli</v>
      </c>
      <c r="J160" s="40">
        <f>IF($A160="","",IFERROR(VLOOKUP($A160,'Maliyet Giris'!$A$2:$G$550,6,0),""))</f>
        <v>720</v>
      </c>
      <c r="K160" s="40">
        <f>IF($A160="","",IFERROR(VLOOKUP($A160,'Maliyet Giris'!$A$2:$G$550,7,0),""))</f>
        <v>3</v>
      </c>
    </row>
    <row r="161">
      <c r="A161" s="17">
        <f>IFERROR(__xludf.DUMMYFUNCTION("""COMPUTED_VALUE"""),6.923632570006E12)</f>
        <v>6923632570006</v>
      </c>
      <c r="B161" s="17" t="str">
        <f>IFERROR(__xludf.DUMMYFUNCTION("""COMPUTED_VALUE"""),"PetFix")</f>
        <v>PetFix</v>
      </c>
      <c r="C161" s="17" t="str">
        <f>IFERROR(__xludf.DUMMYFUNCTION("""COMPUTED_VALUE"""),"Anti-Servikal 4 Ayaklı Kedi ve Köpek Mama &amp; Su Kabı")</f>
        <v>Anti-Servikal 4 Ayaklı Kedi ve Köpek Mama &amp; Su Kabı</v>
      </c>
      <c r="D161" s="17" t="str">
        <f>IFERROR(__xludf.DUMMYFUNCTION("""COMPUTED_VALUE"""),"Yb1237")</f>
        <v>Yb1237</v>
      </c>
      <c r="E161" s="17" t="str">
        <f>IFERROR(__xludf.DUMMYFUNCTION("""COMPUTED_VALUE"""),"Kedi ve Köpek Mama Su Kabı")</f>
        <v>Kedi ve Köpek Mama Su Kabı</v>
      </c>
      <c r="F161" s="17">
        <f>IFERROR(__xludf.DUMMYFUNCTION("""COMPUTED_VALUE"""),474.0)</f>
        <v>474</v>
      </c>
      <c r="G161" s="17"/>
      <c r="H161" s="17">
        <f>IFERROR(__xludf.DUMMYFUNCTION("""COMPUTED_VALUE"""),0.0)</f>
        <v>0</v>
      </c>
      <c r="I161" s="17" t="str">
        <f>IFERROR(__xludf.DUMMYFUNCTION("""COMPUTED_VALUE"""),"Onayli - Satista degil")</f>
        <v>Onayli - Satista degil</v>
      </c>
      <c r="J161" s="40">
        <f>IF($A161="","",IFERROR(VLOOKUP($A161,'Maliyet Giris'!$A$2:$G$550,6,0),""))</f>
        <v>130</v>
      </c>
      <c r="K161" s="40">
        <f>IF($A161="","",IFERROR(VLOOKUP($A161,'Maliyet Giris'!$A$2:$G$550,7,0),""))</f>
        <v>1</v>
      </c>
    </row>
    <row r="162">
      <c r="A162" s="17">
        <f>IFERROR(__xludf.DUMMYFUNCTION("""COMPUTED_VALUE"""),6.923632570004E12)</f>
        <v>6923632570004</v>
      </c>
      <c r="B162" s="17" t="str">
        <f>IFERROR(__xludf.DUMMYFUNCTION("""COMPUTED_VALUE"""),"PetFix")</f>
        <v>PetFix</v>
      </c>
      <c r="C162" s="17" t="str">
        <f>IFERROR(__xludf.DUMMYFUNCTION("""COMPUTED_VALUE"""),"Anti-Servikal 4 Ayaklı Kedi ve Köpek Mama &amp; Su Kabı")</f>
        <v>Anti-Servikal 4 Ayaklı Kedi ve Köpek Mama &amp; Su Kabı</v>
      </c>
      <c r="D162" s="17" t="str">
        <f>IFERROR(__xludf.DUMMYFUNCTION("""COMPUTED_VALUE"""),"YB1235")</f>
        <v>YB1235</v>
      </c>
      <c r="E162" s="17" t="str">
        <f>IFERROR(__xludf.DUMMYFUNCTION("""COMPUTED_VALUE"""),"Kedi ve Köpek Mama Su Kabı")</f>
        <v>Kedi ve Köpek Mama Su Kabı</v>
      </c>
      <c r="F162" s="17">
        <f>IFERROR(__xludf.DUMMYFUNCTION("""COMPUTED_VALUE"""),489.0)</f>
        <v>489</v>
      </c>
      <c r="G162" s="17">
        <f>IFERROR(__xludf.DUMMYFUNCTION("""COMPUTED_VALUE"""),489.0)</f>
        <v>489</v>
      </c>
      <c r="H162" s="17">
        <f>IFERROR(__xludf.DUMMYFUNCTION("""COMPUTED_VALUE"""),30.0)</f>
        <v>30</v>
      </c>
      <c r="I162" s="17" t="str">
        <f>IFERROR(__xludf.DUMMYFUNCTION("""COMPUTED_VALUE"""),"Onayli")</f>
        <v>Onayli</v>
      </c>
      <c r="J162" s="40">
        <f>IF($A162="","",IFERROR(VLOOKUP($A162,'Maliyet Giris'!$A$2:$G$550,6,0),""))</f>
        <v>130</v>
      </c>
      <c r="K162" s="40">
        <f>IF($A162="","",IFERROR(VLOOKUP($A162,'Maliyet Giris'!$A$2:$G$550,7,0),""))</f>
        <v>1</v>
      </c>
    </row>
    <row r="163">
      <c r="A163" s="17">
        <f>IFERROR(__xludf.DUMMYFUNCTION("""COMPUTED_VALUE"""),6.923632570005E12)</f>
        <v>6923632570005</v>
      </c>
      <c r="B163" s="17" t="str">
        <f>IFERROR(__xludf.DUMMYFUNCTION("""COMPUTED_VALUE"""),"PetFix")</f>
        <v>PetFix</v>
      </c>
      <c r="C163" s="17" t="str">
        <f>IFERROR(__xludf.DUMMYFUNCTION("""COMPUTED_VALUE"""),"Anti-Servikal 4 Ayaklı Kedi ve Köpek Mama &amp; Su Kabı")</f>
        <v>Anti-Servikal 4 Ayaklı Kedi ve Köpek Mama &amp; Su Kabı</v>
      </c>
      <c r="D163" s="17" t="str">
        <f>IFERROR(__xludf.DUMMYFUNCTION("""COMPUTED_VALUE"""),"Yb1236")</f>
        <v>Yb1236</v>
      </c>
      <c r="E163" s="17" t="str">
        <f>IFERROR(__xludf.DUMMYFUNCTION("""COMPUTED_VALUE"""),"Kedi ve Köpek Mama Su Kabı")</f>
        <v>Kedi ve Köpek Mama Su Kabı</v>
      </c>
      <c r="F163" s="17">
        <f>IFERROR(__xludf.DUMMYFUNCTION("""COMPUTED_VALUE"""),472.0)</f>
        <v>472</v>
      </c>
      <c r="G163" s="17">
        <f>IFERROR(__xludf.DUMMYFUNCTION("""COMPUTED_VALUE"""),472.0)</f>
        <v>472</v>
      </c>
      <c r="H163" s="17">
        <f>IFERROR(__xludf.DUMMYFUNCTION("""COMPUTED_VALUE"""),49.0)</f>
        <v>49</v>
      </c>
      <c r="I163" s="17" t="str">
        <f>IFERROR(__xludf.DUMMYFUNCTION("""COMPUTED_VALUE"""),"Onayli")</f>
        <v>Onayli</v>
      </c>
      <c r="J163" s="40">
        <f>IF($A163="","",IFERROR(VLOOKUP($A163,'Maliyet Giris'!$A$2:$G$550,6,0),""))</f>
        <v>130</v>
      </c>
      <c r="K163" s="40">
        <f>IF($A163="","",IFERROR(VLOOKUP($A163,'Maliyet Giris'!$A$2:$G$550,7,0),""))</f>
        <v>1</v>
      </c>
    </row>
    <row r="164">
      <c r="A164" s="17" t="str">
        <f>IFERROR(__xludf.DUMMYFUNCTION("""COMPUTED_VALUE"""),"TYBYANYA0A46XIAU46")</f>
        <v>TYBYANYA0A46XIAU46</v>
      </c>
      <c r="B164" s="17" t="str">
        <f>IFERROR(__xludf.DUMMYFUNCTION("""COMPUTED_VALUE"""),"Wanpy")</f>
        <v>Wanpy</v>
      </c>
      <c r="C164" s="17" t="str">
        <f>IFERROR(__xludf.DUMMYFUNCTION("""COMPUTED_VALUE"""),"Krema Kedi Ödül Maması 14gr (40 Adet) (Karışık Çeşitli)")</f>
        <v>Krema Kedi Ödül Maması 14gr (40 Adet) (Karışık Çeşitli)</v>
      </c>
      <c r="D164" s="17"/>
      <c r="E164" s="17" t="str">
        <f>IFERROR(__xludf.DUMMYFUNCTION("""COMPUTED_VALUE"""),"Kedi Ödülü")</f>
        <v>Kedi Ödülü</v>
      </c>
      <c r="F164" s="17">
        <f>IFERROR(__xludf.DUMMYFUNCTION("""COMPUTED_VALUE"""),545.0)</f>
        <v>545</v>
      </c>
      <c r="G164" s="17">
        <f>IFERROR(__xludf.DUMMYFUNCTION("""COMPUTED_VALUE"""),468.0)</f>
        <v>468</v>
      </c>
      <c r="H164" s="17">
        <f>IFERROR(__xludf.DUMMYFUNCTION("""COMPUTED_VALUE"""),97.0)</f>
        <v>97</v>
      </c>
      <c r="I164" s="17" t="str">
        <f>IFERROR(__xludf.DUMMYFUNCTION("""COMPUTED_VALUE"""),"Onayli")</f>
        <v>Onayli</v>
      </c>
      <c r="J164" s="40">
        <f>IF($A164="","",IFERROR(VLOOKUP($A164,'Maliyet Giris'!$A$2:$G$550,6,0),""))</f>
        <v>1</v>
      </c>
      <c r="K164" s="40">
        <f>IF($A164="","",IFERROR(VLOOKUP($A164,'Maliyet Giris'!$A$2:$G$550,7,0),""))</f>
        <v>0.5</v>
      </c>
    </row>
    <row r="165">
      <c r="A165" s="17">
        <f>IFERROR(__xludf.DUMMYFUNCTION("""COMPUTED_VALUE"""),6.923632570121E12)</f>
        <v>6923632570121</v>
      </c>
      <c r="B165" s="17" t="str">
        <f>IFERROR(__xludf.DUMMYFUNCTION("""COMPUTED_VALUE"""),"PetFix")</f>
        <v>PetFix</v>
      </c>
      <c r="C165" s="17" t="str">
        <f>IFERROR(__xludf.DUMMYFUNCTION("""COMPUTED_VALUE"""),"2'li Pabuçlu , Kedi ve Köpek Mama ve Su Kabı")</f>
        <v>2'li Pabuçlu , Kedi ve Köpek Mama ve Su Kabı</v>
      </c>
      <c r="D165" s="17" t="str">
        <f>IFERROR(__xludf.DUMMYFUNCTION("""COMPUTED_VALUE"""),"YB0PE")</f>
        <v>YB0PE</v>
      </c>
      <c r="E165" s="17" t="str">
        <f>IFERROR(__xludf.DUMMYFUNCTION("""COMPUTED_VALUE"""),"Kedi ve Köpek Mama Su Kabı")</f>
        <v>Kedi ve Köpek Mama Su Kabı</v>
      </c>
      <c r="F165" s="17">
        <f>IFERROR(__xludf.DUMMYFUNCTION("""COMPUTED_VALUE"""),852.0)</f>
        <v>852</v>
      </c>
      <c r="G165" s="17">
        <f>IFERROR(__xludf.DUMMYFUNCTION("""COMPUTED_VALUE"""),852.0)</f>
        <v>852</v>
      </c>
      <c r="H165" s="17">
        <f>IFERROR(__xludf.DUMMYFUNCTION("""COMPUTED_VALUE"""),45.0)</f>
        <v>45</v>
      </c>
      <c r="I165" s="17" t="str">
        <f>IFERROR(__xludf.DUMMYFUNCTION("""COMPUTED_VALUE"""),"Onayli")</f>
        <v>Onayli</v>
      </c>
      <c r="J165" s="40">
        <f>IF($A165="","",IFERROR(VLOOKUP($A165,'Maliyet Giris'!$A$2:$G$550,6,0),""))</f>
        <v>300</v>
      </c>
      <c r="K165" s="40">
        <f>IF($A165="","",IFERROR(VLOOKUP($A165,'Maliyet Giris'!$A$2:$G$550,7,0),""))</f>
        <v>1</v>
      </c>
    </row>
    <row r="166">
      <c r="A166" s="17">
        <f>IFERROR(__xludf.DUMMYFUNCTION("""COMPUTED_VALUE"""),6.927749871859E12)</f>
        <v>6927749871859</v>
      </c>
      <c r="B166" s="17" t="str">
        <f>IFERROR(__xludf.DUMMYFUNCTION("""COMPUTED_VALUE"""),"Wanpy")</f>
        <v>Wanpy</v>
      </c>
      <c r="C166" s="17" t="str">
        <f>IFERROR(__xludf.DUMMYFUNCTION("""COMPUTED_VALUE"""),"4 Lezzet Karışık Krema Kedi Ödülü 50*14Gr")</f>
        <v>4 Lezzet Karışık Krema Kedi Ödülü 50*14Gr</v>
      </c>
      <c r="D166" s="17"/>
      <c r="E166" s="17" t="str">
        <f>IFERROR(__xludf.DUMMYFUNCTION("""COMPUTED_VALUE"""),"Kedi Ödülü")</f>
        <v>Kedi Ödülü</v>
      </c>
      <c r="F166" s="17">
        <f>IFERROR(__xludf.DUMMYFUNCTION("""COMPUTED_VALUE"""),720.0)</f>
        <v>720</v>
      </c>
      <c r="G166" s="17">
        <f>IFERROR(__xludf.DUMMYFUNCTION("""COMPUTED_VALUE"""),549.0)</f>
        <v>549</v>
      </c>
      <c r="H166" s="17">
        <f>IFERROR(__xludf.DUMMYFUNCTION("""COMPUTED_VALUE"""),99.0)</f>
        <v>99</v>
      </c>
      <c r="I166" s="17" t="str">
        <f>IFERROR(__xludf.DUMMYFUNCTION("""COMPUTED_VALUE"""),"Onayli")</f>
        <v>Onayli</v>
      </c>
      <c r="J166" s="40">
        <f>IF($A166="","",IFERROR(VLOOKUP($A166,'Maliyet Giris'!$A$2:$G$550,6,0),""))</f>
        <v>393.7</v>
      </c>
      <c r="K166" s="40">
        <f>IF($A166="","",IFERROR(VLOOKUP($A166,'Maliyet Giris'!$A$2:$G$550,7,0),""))</f>
        <v>0.5</v>
      </c>
    </row>
    <row r="167">
      <c r="A167" s="17">
        <f>IFERROR(__xludf.DUMMYFUNCTION("""COMPUTED_VALUE"""),6.927749871187E12)</f>
        <v>6927749871187</v>
      </c>
      <c r="B167" s="17" t="str">
        <f>IFERROR(__xludf.DUMMYFUNCTION("""COMPUTED_VALUE"""),"Wanpy")</f>
        <v>Wanpy</v>
      </c>
      <c r="C167" s="17" t="str">
        <f>IFERROR(__xludf.DUMMYFUNCTION("""COMPUTED_VALUE"""),"Krema Kedi Ödül Maması 14gr (25 Adet) (Karışık Çeşitli)")</f>
        <v>Krema Kedi Ödül Maması 14gr (25 Adet) (Karışık Çeşitli)</v>
      </c>
      <c r="D167" s="17"/>
      <c r="E167" s="17" t="str">
        <f>IFERROR(__xludf.DUMMYFUNCTION("""COMPUTED_VALUE"""),"Kedi Ödülü")</f>
        <v>Kedi Ödülü</v>
      </c>
      <c r="F167" s="17">
        <f>IFERROR(__xludf.DUMMYFUNCTION("""COMPUTED_VALUE"""),425.0)</f>
        <v>425</v>
      </c>
      <c r="G167" s="17">
        <f>IFERROR(__xludf.DUMMYFUNCTION("""COMPUTED_VALUE"""),324.9)</f>
        <v>324.9</v>
      </c>
      <c r="H167" s="17">
        <f>IFERROR(__xludf.DUMMYFUNCTION("""COMPUTED_VALUE"""),92.0)</f>
        <v>92</v>
      </c>
      <c r="I167" s="17" t="str">
        <f>IFERROR(__xludf.DUMMYFUNCTION("""COMPUTED_VALUE"""),"Onayli")</f>
        <v>Onayli</v>
      </c>
      <c r="J167" s="40">
        <f>IF($A167="","",IFERROR(VLOOKUP($A167,'Maliyet Giris'!$A$2:$G$550,6,0),""))</f>
        <v>196.5</v>
      </c>
      <c r="K167" s="40">
        <f>IF($A167="","",IFERROR(VLOOKUP($A167,'Maliyet Giris'!$A$2:$G$550,7,0),""))</f>
        <v>0.5</v>
      </c>
    </row>
    <row r="168">
      <c r="A168" s="17" t="str">
        <f>IFERROR(__xludf.DUMMYFUNCTION("""COMPUTED_VALUE"""),"KLSWK")</f>
        <v>KLSWK</v>
      </c>
      <c r="B168" s="17" t="str">
        <f>IFERROR(__xludf.DUMMYFUNCTION("""COMPUTED_VALUE"""),"Wanpy")</f>
        <v>Wanpy</v>
      </c>
      <c r="C168" s="17" t="str">
        <f>IFERROR(__xludf.DUMMYFUNCTION("""COMPUTED_VALUE"""),"Krema Kedi Ödül Maması 14gr (25 Adet) (Karışık Çeşitli)")</f>
        <v>Krema Kedi Ödül Maması 14gr (25 Adet) (Karışık Çeşitli)</v>
      </c>
      <c r="D168" s="17"/>
      <c r="E168" s="17" t="str">
        <f>IFERROR(__xludf.DUMMYFUNCTION("""COMPUTED_VALUE"""),"Kedi Ödülü")</f>
        <v>Kedi Ödülü</v>
      </c>
      <c r="F168" s="17">
        <f>IFERROR(__xludf.DUMMYFUNCTION("""COMPUTED_VALUE"""),450.0)</f>
        <v>450</v>
      </c>
      <c r="G168" s="17">
        <f>IFERROR(__xludf.DUMMYFUNCTION("""COMPUTED_VALUE"""),333.85)</f>
        <v>333.85</v>
      </c>
      <c r="H168" s="17">
        <f>IFERROR(__xludf.DUMMYFUNCTION("""COMPUTED_VALUE"""),99.0)</f>
        <v>99</v>
      </c>
      <c r="I168" s="17" t="str">
        <f>IFERROR(__xludf.DUMMYFUNCTION("""COMPUTED_VALUE"""),"Onayli")</f>
        <v>Onayli</v>
      </c>
      <c r="J168" s="40">
        <f>IF($A168="","",IFERROR(VLOOKUP($A168,'Maliyet Giris'!$A$2:$G$550,6,0),""))</f>
        <v>196.5</v>
      </c>
      <c r="K168" s="40">
        <f>IF($A168="","",IFERROR(VLOOKUP($A168,'Maliyet Giris'!$A$2:$G$550,7,0),""))</f>
        <v>0.5</v>
      </c>
    </row>
    <row r="169">
      <c r="A169" s="17" t="str">
        <f>IFERROR(__xludf.DUMMYFUNCTION("""COMPUTED_VALUE"""),"TYB5K0NQHY75CLFI61")</f>
        <v>TYB5K0NQHY75CLFI61</v>
      </c>
      <c r="B169" s="17" t="str">
        <f>IFERROR(__xludf.DUMMYFUNCTION("""COMPUTED_VALUE"""),"Wanpy")</f>
        <v>Wanpy</v>
      </c>
      <c r="C169" s="17" t="str">
        <f>IFERROR(__xludf.DUMMYFUNCTION("""COMPUTED_VALUE"""),"Krema Kedi Ödül Maması 14gr (30 Adet) (Karışık Çeşitli)")</f>
        <v>Krema Kedi Ödül Maması 14gr (30 Adet) (Karışık Çeşitli)</v>
      </c>
      <c r="D169" s="17"/>
      <c r="E169" s="17" t="str">
        <f>IFERROR(__xludf.DUMMYFUNCTION("""COMPUTED_VALUE"""),"Kedi Ödülü")</f>
        <v>Kedi Ödülü</v>
      </c>
      <c r="F169" s="17">
        <f>IFERROR(__xludf.DUMMYFUNCTION("""COMPUTED_VALUE"""),490.0)</f>
        <v>490</v>
      </c>
      <c r="G169" s="17">
        <f>IFERROR(__xludf.DUMMYFUNCTION("""COMPUTED_VALUE"""),333.1)</f>
        <v>333.1</v>
      </c>
      <c r="H169" s="17">
        <f>IFERROR(__xludf.DUMMYFUNCTION("""COMPUTED_VALUE"""),98.0)</f>
        <v>98</v>
      </c>
      <c r="I169" s="17" t="str">
        <f>IFERROR(__xludf.DUMMYFUNCTION("""COMPUTED_VALUE"""),"Onayli")</f>
        <v>Onayli</v>
      </c>
      <c r="J169" s="40">
        <f>IF($A169="","",IFERROR(VLOOKUP($A169,'Maliyet Giris'!$A$2:$G$550,6,0),""))</f>
        <v>235.8</v>
      </c>
      <c r="K169" s="40">
        <f>IF($A169="","",IFERROR(VLOOKUP($A169,'Maliyet Giris'!$A$2:$G$550,7,0),""))</f>
        <v>0.5</v>
      </c>
    </row>
    <row r="170">
      <c r="A170" s="17">
        <f>IFERROR(__xludf.DUMMYFUNCTION("""COMPUTED_VALUE"""),1.44586800733348E15)</f>
        <v>1.44587E+15</v>
      </c>
      <c r="B170" s="17" t="str">
        <f>IFERROR(__xludf.DUMMYFUNCTION("""COMPUTED_VALUE"""),"Wanpy")</f>
        <v>Wanpy</v>
      </c>
      <c r="C170" s="17" t="str">
        <f>IFERROR(__xludf.DUMMYFUNCTION("""COMPUTED_VALUE"""),"Kedi Sıvı Ödül Karma 25 Li X 4 Lü Eko Paket")</f>
        <v>Kedi Sıvı Ödül Karma 25 Li X 4 Lü Eko Paket</v>
      </c>
      <c r="D170" s="17"/>
      <c r="E170" s="17" t="str">
        <f>IFERROR(__xludf.DUMMYFUNCTION("""COMPUTED_VALUE"""),"Kedi Ödülü")</f>
        <v>Kedi Ödülü</v>
      </c>
      <c r="F170" s="17">
        <f>IFERROR(__xludf.DUMMYFUNCTION("""COMPUTED_VALUE"""),1350.0)</f>
        <v>1350</v>
      </c>
      <c r="G170" s="17">
        <f>IFERROR(__xludf.DUMMYFUNCTION("""COMPUTED_VALUE"""),1032.9)</f>
        <v>1032.9</v>
      </c>
      <c r="H170" s="17">
        <f>IFERROR(__xludf.DUMMYFUNCTION("""COMPUTED_VALUE"""),100.0)</f>
        <v>100</v>
      </c>
      <c r="I170" s="17" t="str">
        <f>IFERROR(__xludf.DUMMYFUNCTION("""COMPUTED_VALUE"""),"Onayli")</f>
        <v>Onayli</v>
      </c>
      <c r="J170" s="40">
        <f>IF($A170="","",IFERROR(VLOOKUP($A170,'Maliyet Giris'!$A$2:$G$550,6,0),""))</f>
        <v>786</v>
      </c>
      <c r="K170" s="40">
        <f>IF($A170="","",IFERROR(VLOOKUP($A170,'Maliyet Giris'!$A$2:$G$550,7,0),""))</f>
        <v>0.5</v>
      </c>
    </row>
    <row r="171">
      <c r="A171" s="17" t="str">
        <f>IFERROR(__xludf.DUMMYFUNCTION("""COMPUTED_VALUE"""),"TYBJUIMGWO45LKI893")</f>
        <v>TYBJUIMGWO45LKI893</v>
      </c>
      <c r="B171" s="17" t="str">
        <f>IFERROR(__xludf.DUMMYFUNCTION("""COMPUTED_VALUE"""),"Wanpy")</f>
        <v>Wanpy</v>
      </c>
      <c r="C171" s="17" t="str">
        <f>IFERROR(__xludf.DUMMYFUNCTION("""COMPUTED_VALUE"""),"Tasty Meat Paste Taze Sıvı Kedi Ödül Maması Kedi Ödül Maması 4x90gr")</f>
        <v>Tasty Meat Paste Taze Sıvı Kedi Ödül Maması Kedi Ödül Maması 4x90gr</v>
      </c>
      <c r="D171" s="17"/>
      <c r="E171" s="17" t="str">
        <f>IFERROR(__xludf.DUMMYFUNCTION("""COMPUTED_VALUE"""),"Kedi Ödülü")</f>
        <v>Kedi Ödülü</v>
      </c>
      <c r="F171" s="17">
        <f>IFERROR(__xludf.DUMMYFUNCTION("""COMPUTED_VALUE"""),355.0)</f>
        <v>355</v>
      </c>
      <c r="G171" s="17">
        <f>IFERROR(__xludf.DUMMYFUNCTION("""COMPUTED_VALUE"""),256.2)</f>
        <v>256.2</v>
      </c>
      <c r="H171" s="17">
        <f>IFERROR(__xludf.DUMMYFUNCTION("""COMPUTED_VALUE"""),7.0)</f>
        <v>7</v>
      </c>
      <c r="I171" s="17" t="str">
        <f>IFERROR(__xludf.DUMMYFUNCTION("""COMPUTED_VALUE"""),"Onayli")</f>
        <v>Onayli</v>
      </c>
      <c r="J171" s="40">
        <f>IF($A171="","",IFERROR(VLOOKUP($A171,'Maliyet Giris'!$A$2:$G$550,6,0),""))</f>
        <v>122</v>
      </c>
      <c r="K171" s="40">
        <f>IF($A171="","",IFERROR(VLOOKUP($A171,'Maliyet Giris'!$A$2:$G$550,7,0),""))</f>
        <v>0.5</v>
      </c>
    </row>
    <row r="172">
      <c r="A172" s="17">
        <f>IFERROR(__xludf.DUMMYFUNCTION("""COMPUTED_VALUE"""),2.05482668168001E14)</f>
        <v>205482668168001</v>
      </c>
      <c r="B172" s="17" t="str">
        <f>IFERROR(__xludf.DUMMYFUNCTION("""COMPUTED_VALUE"""),"Wanpy")</f>
        <v>Wanpy</v>
      </c>
      <c r="C172" s="17" t="str">
        <f>IFERROR(__xludf.DUMMYFUNCTION("""COMPUTED_VALUE"""),"4 Çeşit Karma Kedi Et Ezmesi 90 Gr. X 12 Adet")</f>
        <v>4 Çeşit Karma Kedi Et Ezmesi 90 Gr. X 12 Adet</v>
      </c>
      <c r="D172" s="17"/>
      <c r="E172" s="17" t="str">
        <f>IFERROR(__xludf.DUMMYFUNCTION("""COMPUTED_VALUE"""),"Kedi Ödülü")</f>
        <v>Kedi Ödülü</v>
      </c>
      <c r="F172" s="17">
        <f>IFERROR(__xludf.DUMMYFUNCTION("""COMPUTED_VALUE"""),975.0)</f>
        <v>975</v>
      </c>
      <c r="G172" s="17">
        <f>IFERROR(__xludf.DUMMYFUNCTION("""COMPUTED_VALUE"""),640.0)</f>
        <v>640</v>
      </c>
      <c r="H172" s="17">
        <f>IFERROR(__xludf.DUMMYFUNCTION("""COMPUTED_VALUE"""),10.0)</f>
        <v>10</v>
      </c>
      <c r="I172" s="17" t="str">
        <f>IFERROR(__xludf.DUMMYFUNCTION("""COMPUTED_VALUE"""),"Onayli")</f>
        <v>Onayli</v>
      </c>
      <c r="J172" s="40">
        <f>IF($A172="","",IFERROR(VLOOKUP($A172,'Maliyet Giris'!$A$2:$G$550,6,0),""))</f>
        <v>367</v>
      </c>
      <c r="K172" s="40">
        <f>IF($A172="","",IFERROR(VLOOKUP($A172,'Maliyet Giris'!$A$2:$G$550,7,0),""))</f>
        <v>0.5</v>
      </c>
    </row>
    <row r="173">
      <c r="A173" s="17" t="str">
        <f>IFERROR(__xludf.DUMMYFUNCTION("""COMPUTED_VALUE"""),"TYBMY57X4LSPXU2735")</f>
        <v>TYBMY57X4LSPXU2735</v>
      </c>
      <c r="B173" s="17" t="str">
        <f>IFERROR(__xludf.DUMMYFUNCTION("""COMPUTED_VALUE"""),"Wanpy")</f>
        <v>Wanpy</v>
      </c>
      <c r="C173" s="17" t="str">
        <f>IFERROR(__xludf.DUMMYFUNCTION("""COMPUTED_VALUE"""),"Krema Kedi Ödül Maması 14gr (45 Adet) (Karışık Çeşitli)")</f>
        <v>Krema Kedi Ödül Maması 14gr (45 Adet) (Karışık Çeşitli)</v>
      </c>
      <c r="D173" s="17"/>
      <c r="E173" s="17" t="str">
        <f>IFERROR(__xludf.DUMMYFUNCTION("""COMPUTED_VALUE"""),"Kedi Ödülü")</f>
        <v>Kedi Ödülü</v>
      </c>
      <c r="F173" s="17">
        <f>IFERROR(__xludf.DUMMYFUNCTION("""COMPUTED_VALUE"""),578.0)</f>
        <v>578</v>
      </c>
      <c r="G173" s="17">
        <f>IFERROR(__xludf.DUMMYFUNCTION("""COMPUTED_VALUE"""),486.9)</f>
        <v>486.9</v>
      </c>
      <c r="H173" s="17">
        <f>IFERROR(__xludf.DUMMYFUNCTION("""COMPUTED_VALUE"""),77.0)</f>
        <v>77</v>
      </c>
      <c r="I173" s="17" t="str">
        <f>IFERROR(__xludf.DUMMYFUNCTION("""COMPUTED_VALUE"""),"Onayli")</f>
        <v>Onayli</v>
      </c>
      <c r="J173" s="40">
        <f>IF($A173="","",IFERROR(VLOOKUP($A173,'Maliyet Giris'!$A$2:$G$550,6,0),""))</f>
        <v>353.7</v>
      </c>
      <c r="K173" s="40">
        <f>IF($A173="","",IFERROR(VLOOKUP($A173,'Maliyet Giris'!$A$2:$G$550,7,0),""))</f>
        <v>0.5</v>
      </c>
    </row>
    <row r="174">
      <c r="A174" s="17" t="str">
        <f>IFERROR(__xludf.DUMMYFUNCTION("""COMPUTED_VALUE"""),"TYB2J3PXXV73UG7N88")</f>
        <v>TYB2J3PXXV73UG7N88</v>
      </c>
      <c r="B174" s="17" t="str">
        <f>IFERROR(__xludf.DUMMYFUNCTION("""COMPUTED_VALUE"""),"Wanpy")</f>
        <v>Wanpy</v>
      </c>
      <c r="C174" s="17" t="str">
        <f>IFERROR(__xludf.DUMMYFUNCTION("""COMPUTED_VALUE"""),"Creamy Cat Treat Karışık Krema Sıvı Kedi Ödül Maması 14 gr X 10 Adet")</f>
        <v>Creamy Cat Treat Karışık Krema Sıvı Kedi Ödül Maması 14 gr X 10 Adet</v>
      </c>
      <c r="D174" s="17"/>
      <c r="E174" s="17" t="str">
        <f>IFERROR(__xludf.DUMMYFUNCTION("""COMPUTED_VALUE"""),"Kedi Ödülü")</f>
        <v>Kedi Ödülü</v>
      </c>
      <c r="F174" s="17">
        <f>IFERROR(__xludf.DUMMYFUNCTION("""COMPUTED_VALUE"""),200.0)</f>
        <v>200</v>
      </c>
      <c r="G174" s="17">
        <f>IFERROR(__xludf.DUMMYFUNCTION("""COMPUTED_VALUE"""),116.08)</f>
        <v>116.08</v>
      </c>
      <c r="H174" s="17">
        <f>IFERROR(__xludf.DUMMYFUNCTION("""COMPUTED_VALUE"""),950.0)</f>
        <v>950</v>
      </c>
      <c r="I174" s="17" t="str">
        <f>IFERROR(__xludf.DUMMYFUNCTION("""COMPUTED_VALUE"""),"Onayli")</f>
        <v>Onayli</v>
      </c>
      <c r="J174" s="40">
        <f>IF($A174="","",IFERROR(VLOOKUP($A174,'Maliyet Giris'!$A$2:$G$550,6,0),""))</f>
        <v>78.6</v>
      </c>
      <c r="K174" s="40">
        <f>IF($A174="","",IFERROR(VLOOKUP($A174,'Maliyet Giris'!$A$2:$G$550,7,0),""))</f>
        <v>0.5</v>
      </c>
    </row>
    <row r="175">
      <c r="A175" s="17">
        <f>IFERROR(__xludf.DUMMYFUNCTION("""COMPUTED_VALUE"""),5.2742025223E10)</f>
        <v>52742025223</v>
      </c>
      <c r="B175" s="17" t="str">
        <f>IFERROR(__xludf.DUMMYFUNCTION("""COMPUTED_VALUE"""),"Hills Science Plan")</f>
        <v>Hills Science Plan</v>
      </c>
      <c r="C175" s="17" t="str">
        <f>IFERROR(__xludf.DUMMYFUNCTION("""COMPUTED_VALUE"""),"Hill’s SCIENCE PLAN Adult Medium Lamb &amp; Rice Orta Irk Kuzulu Yetişkin Köpek Maması 2,5 Kg")</f>
        <v>Hill’s SCIENCE PLAN Adult Medium Lamb &amp; Rice Orta Irk Kuzulu Yetişkin Köpek Maması 2,5 Kg</v>
      </c>
      <c r="D175" s="17"/>
      <c r="E175" s="17" t="str">
        <f>IFERROR(__xludf.DUMMYFUNCTION("""COMPUTED_VALUE"""),"Köpek Kuru Maması")</f>
        <v>Köpek Kuru Maması</v>
      </c>
      <c r="F175" s="17">
        <f>IFERROR(__xludf.DUMMYFUNCTION("""COMPUTED_VALUE"""),1750.0)</f>
        <v>1750</v>
      </c>
      <c r="G175" s="17">
        <f>IFERROR(__xludf.DUMMYFUNCTION("""COMPUTED_VALUE"""),1474.6)</f>
        <v>1474.6</v>
      </c>
      <c r="H175" s="17">
        <f>IFERROR(__xludf.DUMMYFUNCTION("""COMPUTED_VALUE"""),100.0)</f>
        <v>100</v>
      </c>
      <c r="I175" s="17" t="str">
        <f>IFERROR(__xludf.DUMMYFUNCTION("""COMPUTED_VALUE"""),"Onayli")</f>
        <v>Onayli</v>
      </c>
      <c r="J175" s="40">
        <f>IF($A175="","",IFERROR(VLOOKUP($A175,'Maliyet Giris'!$A$2:$G$550,6,0),""))</f>
        <v>1127</v>
      </c>
      <c r="K175" s="40">
        <f>IF($A175="","",IFERROR(VLOOKUP($A175,'Maliyet Giris'!$A$2:$G$550,7,0),""))</f>
        <v>3</v>
      </c>
    </row>
    <row r="176">
      <c r="A176" s="17" t="str">
        <f>IFERROR(__xludf.DUMMYFUNCTION("""COMPUTED_VALUE"""),"TYBUPYD47K660EFG52")</f>
        <v>TYBUPYD47K660EFG52</v>
      </c>
      <c r="B176" s="17" t="str">
        <f>IFERROR(__xludf.DUMMYFUNCTION("""COMPUTED_VALUE"""),"Hill's")</f>
        <v>Hill's</v>
      </c>
      <c r="C176" s="17" t="str">
        <f>IFERROR(__xludf.DUMMYFUNCTION("""COMPUTED_VALUE"""),"Hills Sterilised Somon Kısır Kedi Maması 10 Kg")</f>
        <v>Hills Sterilised Somon Kısır Kedi Maması 10 Kg</v>
      </c>
      <c r="D176" s="17"/>
      <c r="E176" s="17" t="str">
        <f>IFERROR(__xludf.DUMMYFUNCTION("""COMPUTED_VALUE"""),"Kedi Kuru Maması")</f>
        <v>Kedi Kuru Maması</v>
      </c>
      <c r="F176" s="17">
        <f>IFERROR(__xludf.DUMMYFUNCTION("""COMPUTED_VALUE"""),5500.0)</f>
        <v>5500</v>
      </c>
      <c r="G176" s="17">
        <f>IFERROR(__xludf.DUMMYFUNCTION("""COMPUTED_VALUE"""),4399.72)</f>
        <v>4399.72</v>
      </c>
      <c r="H176" s="17">
        <f>IFERROR(__xludf.DUMMYFUNCTION("""COMPUTED_VALUE"""),100.0)</f>
        <v>100</v>
      </c>
      <c r="I176" s="17" t="str">
        <f>IFERROR(__xludf.DUMMYFUNCTION("""COMPUTED_VALUE"""),"Onayli")</f>
        <v>Onayli</v>
      </c>
      <c r="J176" s="40">
        <f>IF($A176="","",IFERROR(VLOOKUP($A176,'Maliyet Giris'!$A$2:$G$550,6,0),""))</f>
        <v>3900</v>
      </c>
      <c r="K176" s="40">
        <f>IF($A176="","",IFERROR(VLOOKUP($A176,'Maliyet Giris'!$A$2:$G$550,7,0),""))</f>
        <v>3</v>
      </c>
    </row>
    <row r="177">
      <c r="A177" s="17">
        <f>IFERROR(__xludf.DUMMYFUNCTION("""COMPUTED_VALUE"""),5.2742071381E10)</f>
        <v>52742071381</v>
      </c>
      <c r="B177" s="17" t="str">
        <f>IFERROR(__xludf.DUMMYFUNCTION("""COMPUTED_VALUE"""),"Hill's")</f>
        <v>Hill's</v>
      </c>
      <c r="C177" s="17" t="str">
        <f>IFERROR(__xludf.DUMMYFUNCTION("""COMPUTED_VALUE"""),"Scıence Plan Somonlu Kısırlaştırılmış Yetişkin Kedi Maması 3 Kg")</f>
        <v>Scıence Plan Somonlu Kısırlaştırılmış Yetişkin Kedi Maması 3 Kg</v>
      </c>
      <c r="D177" s="17"/>
      <c r="E177" s="17" t="str">
        <f>IFERROR(__xludf.DUMMYFUNCTION("""COMPUTED_VALUE"""),"Kedi Kuru Maması")</f>
        <v>Kedi Kuru Maması</v>
      </c>
      <c r="F177" s="17">
        <f>IFERROR(__xludf.DUMMYFUNCTION("""COMPUTED_VALUE"""),1600.0)</f>
        <v>1600</v>
      </c>
      <c r="G177" s="17">
        <f>IFERROR(__xludf.DUMMYFUNCTION("""COMPUTED_VALUE"""),1557.06)</f>
        <v>1557.06</v>
      </c>
      <c r="H177" s="17">
        <f>IFERROR(__xludf.DUMMYFUNCTION("""COMPUTED_VALUE"""),7.0)</f>
        <v>7</v>
      </c>
      <c r="I177" s="17" t="str">
        <f>IFERROR(__xludf.DUMMYFUNCTION("""COMPUTED_VALUE"""),"Onayli")</f>
        <v>Onayli</v>
      </c>
      <c r="J177" s="40">
        <f>IF($A177="","",IFERROR(VLOOKUP($A177,'Maliyet Giris'!$A$2:$G$550,6,0),""))</f>
        <v>1247</v>
      </c>
      <c r="K177" s="40">
        <f>IF($A177="","",IFERROR(VLOOKUP($A177,'Maliyet Giris'!$A$2:$G$550,7,0),""))</f>
        <v>3</v>
      </c>
    </row>
    <row r="178">
      <c r="A178" s="17">
        <f>IFERROR(__xludf.DUMMYFUNCTION("""COMPUTED_VALUE"""),5.2742059655E10)</f>
        <v>52742059655</v>
      </c>
      <c r="B178" s="17" t="str">
        <f>IFERROR(__xludf.DUMMYFUNCTION("""COMPUTED_VALUE"""),"Hill's")</f>
        <v>Hill's</v>
      </c>
      <c r="C178" s="17" t="str">
        <f>IFERROR(__xludf.DUMMYFUNCTION("""COMPUTED_VALUE"""),"Kitten Ton Balıklı Yavru Kedi Maması 1.5 Kg")</f>
        <v>Kitten Ton Balıklı Yavru Kedi Maması 1.5 Kg</v>
      </c>
      <c r="D178" s="17"/>
      <c r="E178" s="17" t="str">
        <f>IFERROR(__xludf.DUMMYFUNCTION("""COMPUTED_VALUE"""),"Kedi Kuru Maması")</f>
        <v>Kedi Kuru Maması</v>
      </c>
      <c r="F178" s="17">
        <f>IFERROR(__xludf.DUMMYFUNCTION("""COMPUTED_VALUE"""),925.0)</f>
        <v>925</v>
      </c>
      <c r="G178" s="17">
        <f>IFERROR(__xludf.DUMMYFUNCTION("""COMPUTED_VALUE"""),846.55)</f>
        <v>846.55</v>
      </c>
      <c r="H178" s="17">
        <f>IFERROR(__xludf.DUMMYFUNCTION("""COMPUTED_VALUE"""),100.0)</f>
        <v>100</v>
      </c>
      <c r="I178" s="17" t="str">
        <f>IFERROR(__xludf.DUMMYFUNCTION("""COMPUTED_VALUE"""),"Onayli")</f>
        <v>Onayli</v>
      </c>
      <c r="J178" s="40">
        <f>IF($A178="","",IFERROR(VLOOKUP($A178,'Maliyet Giris'!$A$2:$G$550,6,0),""))</f>
        <v>661</v>
      </c>
      <c r="K178" s="40">
        <f>IF($A178="","",IFERROR(VLOOKUP($A178,'Maliyet Giris'!$A$2:$G$550,7,0),""))</f>
        <v>3</v>
      </c>
    </row>
    <row r="179">
      <c r="A179" s="17">
        <f>IFERROR(__xludf.DUMMYFUNCTION("""COMPUTED_VALUE"""),5.2742059525E10)</f>
        <v>52742059525</v>
      </c>
      <c r="B179" s="17" t="str">
        <f>IFERROR(__xludf.DUMMYFUNCTION("""COMPUTED_VALUE"""),"Hill's")</f>
        <v>Hill's</v>
      </c>
      <c r="C179" s="17" t="str">
        <f>IFERROR(__xludf.DUMMYFUNCTION("""COMPUTED_VALUE"""),"Hills Young Sterilised Tavuklu Kısırlaştırılmış Kedi Maması 1.5 Kg")</f>
        <v>Hills Young Sterilised Tavuklu Kısırlaştırılmış Kedi Maması 1.5 Kg</v>
      </c>
      <c r="D179" s="17"/>
      <c r="E179" s="17" t="str">
        <f>IFERROR(__xludf.DUMMYFUNCTION("""COMPUTED_VALUE"""),"Kedi Kuru Maması")</f>
        <v>Kedi Kuru Maması</v>
      </c>
      <c r="F179" s="17">
        <f>IFERROR(__xludf.DUMMYFUNCTION("""COMPUTED_VALUE"""),1500.0)</f>
        <v>1500</v>
      </c>
      <c r="G179" s="17"/>
      <c r="H179" s="17">
        <f>IFERROR(__xludf.DUMMYFUNCTION("""COMPUTED_VALUE"""),0.0)</f>
        <v>0</v>
      </c>
      <c r="I179" s="17" t="str">
        <f>IFERROR(__xludf.DUMMYFUNCTION("""COMPUTED_VALUE"""),"Onayli - Satista degil")</f>
        <v>Onayli - Satista degil</v>
      </c>
      <c r="J179" s="40">
        <f>IF($A179="","",IFERROR(VLOOKUP($A179,'Maliyet Giris'!$A$2:$G$550,6,0),""))</f>
        <v>937</v>
      </c>
      <c r="K179" s="40">
        <f>IF($A179="","",IFERROR(VLOOKUP($A179,'Maliyet Giris'!$A$2:$G$550,7,0),""))</f>
        <v>3</v>
      </c>
    </row>
    <row r="180">
      <c r="A180" s="17">
        <f>IFERROR(__xludf.DUMMYFUNCTION("""COMPUTED_VALUE"""),5.2742059617E10)</f>
        <v>52742059617</v>
      </c>
      <c r="B180" s="17" t="str">
        <f>IFERROR(__xludf.DUMMYFUNCTION("""COMPUTED_VALUE"""),"Hill's")</f>
        <v>Hill's</v>
      </c>
      <c r="C180" s="17" t="str">
        <f>IFERROR(__xludf.DUMMYFUNCTION("""COMPUTED_VALUE"""),"Hills Adult Optimal Care Tavuklu Yetişkin Kedi Maması 1.5 Kg")</f>
        <v>Hills Adult Optimal Care Tavuklu Yetişkin Kedi Maması 1.5 Kg</v>
      </c>
      <c r="D180" s="17"/>
      <c r="E180" s="17" t="str">
        <f>IFERROR(__xludf.DUMMYFUNCTION("""COMPUTED_VALUE"""),"Kedi Kuru Maması")</f>
        <v>Kedi Kuru Maması</v>
      </c>
      <c r="F180" s="17">
        <f>IFERROR(__xludf.DUMMYFUNCTION("""COMPUTED_VALUE"""),1299.0)</f>
        <v>1299</v>
      </c>
      <c r="G180" s="17">
        <f>IFERROR(__xludf.DUMMYFUNCTION("""COMPUTED_VALUE"""),1059.0)</f>
        <v>1059</v>
      </c>
      <c r="H180" s="17">
        <f>IFERROR(__xludf.DUMMYFUNCTION("""COMPUTED_VALUE"""),10.0)</f>
        <v>10</v>
      </c>
      <c r="I180" s="17" t="str">
        <f>IFERROR(__xludf.DUMMYFUNCTION("""COMPUTED_VALUE"""),"Onayli")</f>
        <v>Onayli</v>
      </c>
      <c r="J180" s="40">
        <f>IF($A180="","",IFERROR(VLOOKUP($A180,'Maliyet Giris'!$A$2:$G$550,6,0),""))</f>
        <v>805</v>
      </c>
      <c r="K180" s="40">
        <f>IF($A180="","",IFERROR(VLOOKUP($A180,'Maliyet Giris'!$A$2:$G$550,7,0),""))</f>
        <v>3</v>
      </c>
    </row>
    <row r="181">
      <c r="A181" s="17">
        <f>IFERROR(__xludf.DUMMYFUNCTION("""COMPUTED_VALUE"""),5.274203597E10)</f>
        <v>52742035970</v>
      </c>
      <c r="B181" s="17" t="str">
        <f>IFERROR(__xludf.DUMMYFUNCTION("""COMPUTED_VALUE"""),"Hill's")</f>
        <v>Hill's</v>
      </c>
      <c r="C181" s="17" t="str">
        <f>IFERROR(__xludf.DUMMYFUNCTION("""COMPUTED_VALUE"""),"Hill’s SCIENCE PLAN Sterilised Ördekli Kısırlaştırılmış Kedi Maması 1,5 Kg")</f>
        <v>Hill’s SCIENCE PLAN Sterilised Ördekli Kısırlaştırılmış Kedi Maması 1,5 Kg</v>
      </c>
      <c r="D181" s="17"/>
      <c r="E181" s="17" t="str">
        <f>IFERROR(__xludf.DUMMYFUNCTION("""COMPUTED_VALUE"""),"Kedi Kuru Maması")</f>
        <v>Kedi Kuru Maması</v>
      </c>
      <c r="F181" s="17">
        <f>IFERROR(__xludf.DUMMYFUNCTION("""COMPUTED_VALUE"""),1500.0)</f>
        <v>1500</v>
      </c>
      <c r="G181" s="17">
        <f>IFERROR(__xludf.DUMMYFUNCTION("""COMPUTED_VALUE"""),1070.0)</f>
        <v>1070</v>
      </c>
      <c r="H181" s="17">
        <f>IFERROR(__xludf.DUMMYFUNCTION("""COMPUTED_VALUE"""),10.0)</f>
        <v>10</v>
      </c>
      <c r="I181" s="17" t="str">
        <f>IFERROR(__xludf.DUMMYFUNCTION("""COMPUTED_VALUE"""),"Onayli")</f>
        <v>Onayli</v>
      </c>
      <c r="J181" s="40">
        <f>IF($A181="","",IFERROR(VLOOKUP($A181,'Maliyet Giris'!$A$2:$G$550,6,0),""))</f>
        <v>948</v>
      </c>
      <c r="K181" s="40">
        <f>IF($A181="","",IFERROR(VLOOKUP($A181,'Maliyet Giris'!$A$2:$G$550,7,0),""))</f>
        <v>3</v>
      </c>
    </row>
    <row r="182">
      <c r="A182" s="17">
        <f>IFERROR(__xludf.DUMMYFUNCTION("""COMPUTED_VALUE"""),5.2742023724E10)</f>
        <v>52742023724</v>
      </c>
      <c r="B182" s="17" t="str">
        <f>IFERROR(__xludf.DUMMYFUNCTION("""COMPUTED_VALUE"""),"Hill's")</f>
        <v>Hill's</v>
      </c>
      <c r="C182" s="17" t="str">
        <f>IFERROR(__xludf.DUMMYFUNCTION("""COMPUTED_VALUE"""),"SCIENCE PLAN Ton Balıklı Yetişkin Kedi Maması 1,5 Kg")</f>
        <v>SCIENCE PLAN Ton Balıklı Yetişkin Kedi Maması 1,5 Kg</v>
      </c>
      <c r="D182" s="17"/>
      <c r="E182" s="17" t="str">
        <f>IFERROR(__xludf.DUMMYFUNCTION("""COMPUTED_VALUE"""),"Kedi Kuru Maması")</f>
        <v>Kedi Kuru Maması</v>
      </c>
      <c r="F182" s="17">
        <f>IFERROR(__xludf.DUMMYFUNCTION("""COMPUTED_VALUE"""),1500.0)</f>
        <v>1500</v>
      </c>
      <c r="G182" s="17">
        <f>IFERROR(__xludf.DUMMYFUNCTION("""COMPUTED_VALUE"""),1068.75)</f>
        <v>1068.75</v>
      </c>
      <c r="H182" s="17">
        <f>IFERROR(__xludf.DUMMYFUNCTION("""COMPUTED_VALUE"""),10.0)</f>
        <v>10</v>
      </c>
      <c r="I182" s="17" t="str">
        <f>IFERROR(__xludf.DUMMYFUNCTION("""COMPUTED_VALUE"""),"Onayli")</f>
        <v>Onayli</v>
      </c>
      <c r="J182" s="40">
        <f>IF($A182="","",IFERROR(VLOOKUP($A182,'Maliyet Giris'!$A$2:$G$550,6,0),""))</f>
        <v>790</v>
      </c>
      <c r="K182" s="40">
        <f>IF($A182="","",IFERROR(VLOOKUP($A182,'Maliyet Giris'!$A$2:$G$550,7,0),""))</f>
        <v>3</v>
      </c>
    </row>
    <row r="183">
      <c r="A183" s="17">
        <f>IFERROR(__xludf.DUMMYFUNCTION("""COMPUTED_VALUE"""),5.2742022949E10)</f>
        <v>52742022949</v>
      </c>
      <c r="B183" s="17" t="str">
        <f>IFERROR(__xludf.DUMMYFUNCTION("""COMPUTED_VALUE"""),"Hill's")</f>
        <v>Hill's</v>
      </c>
      <c r="C183" s="17" t="str">
        <f>IFERROR(__xludf.DUMMYFUNCTION("""COMPUTED_VALUE"""),"Hill’s SCIENCE PLAN Adult Lamb Kuzulu Yetişkin Kedi Maması 1,5 Kg")</f>
        <v>Hill’s SCIENCE PLAN Adult Lamb Kuzulu Yetişkin Kedi Maması 1,5 Kg</v>
      </c>
      <c r="D183" s="17"/>
      <c r="E183" s="17" t="str">
        <f>IFERROR(__xludf.DUMMYFUNCTION("""COMPUTED_VALUE"""),"Kedi Kuru Maması")</f>
        <v>Kedi Kuru Maması</v>
      </c>
      <c r="F183" s="17">
        <f>IFERROR(__xludf.DUMMYFUNCTION("""COMPUTED_VALUE"""),1500.0)</f>
        <v>1500</v>
      </c>
      <c r="G183" s="17">
        <f>IFERROR(__xludf.DUMMYFUNCTION("""COMPUTED_VALUE"""),1008.64)</f>
        <v>1008.64</v>
      </c>
      <c r="H183" s="17">
        <f>IFERROR(__xludf.DUMMYFUNCTION("""COMPUTED_VALUE"""),10.0)</f>
        <v>10</v>
      </c>
      <c r="I183" s="17" t="str">
        <f>IFERROR(__xludf.DUMMYFUNCTION("""COMPUTED_VALUE"""),"Onayli")</f>
        <v>Onayli</v>
      </c>
      <c r="J183" s="40">
        <f>IF($A183="","",IFERROR(VLOOKUP($A183,'Maliyet Giris'!$A$2:$G$550,6,0),""))</f>
        <v>796</v>
      </c>
      <c r="K183" s="40">
        <f>IF($A183="","",IFERROR(VLOOKUP($A183,'Maliyet Giris'!$A$2:$G$550,7,0),""))</f>
        <v>3</v>
      </c>
    </row>
    <row r="184">
      <c r="A184" s="17">
        <f>IFERROR(__xludf.DUMMYFUNCTION("""COMPUTED_VALUE"""),3.182550756419E12)</f>
        <v>3182550756419</v>
      </c>
      <c r="B184" s="17" t="str">
        <f>IFERROR(__xludf.DUMMYFUNCTION("""COMPUTED_VALUE"""),"Royal Canin")</f>
        <v>Royal Canin</v>
      </c>
      <c r="C184" s="17" t="str">
        <f>IFERROR(__xludf.DUMMYFUNCTION("""COMPUTED_VALUE"""),"British Shorthair Adult Yetişkin Kedi Maması 2 Kg")</f>
        <v>British Shorthair Adult Yetişkin Kedi Maması 2 Kg</v>
      </c>
      <c r="D184" s="17"/>
      <c r="E184" s="17" t="str">
        <f>IFERROR(__xludf.DUMMYFUNCTION("""COMPUTED_VALUE"""),"Kedi Kuru Maması")</f>
        <v>Kedi Kuru Maması</v>
      </c>
      <c r="F184" s="17">
        <f>IFERROR(__xludf.DUMMYFUNCTION("""COMPUTED_VALUE"""),0.0)</f>
        <v>0</v>
      </c>
      <c r="G184" s="17"/>
      <c r="H184" s="17">
        <f>IFERROR(__xludf.DUMMYFUNCTION("""COMPUTED_VALUE"""),0.0)</f>
        <v>0</v>
      </c>
      <c r="I184" s="17" t="str">
        <f>IFERROR(__xludf.DUMMYFUNCTION("""COMPUTED_VALUE"""),"Onayli - Satista degil")</f>
        <v>Onayli - Satista degil</v>
      </c>
      <c r="J184" s="40">
        <f>IF($A184="","",IFERROR(VLOOKUP($A184,'Maliyet Giris'!$A$2:$G$550,6,0),""))</f>
        <v>999</v>
      </c>
      <c r="K184" s="40">
        <f>IF($A184="","",IFERROR(VLOOKUP($A184,'Maliyet Giris'!$A$2:$G$550,7,0),""))</f>
        <v>2</v>
      </c>
    </row>
    <row r="185">
      <c r="A185" s="17" t="str">
        <f>IFERROR(__xludf.DUMMYFUNCTION("""COMPUTED_VALUE"""),"TYB2CQFXBF5JL18F84")</f>
        <v>TYB2CQFXBF5JL18F84</v>
      </c>
      <c r="B185" s="17" t="str">
        <f>IFERROR(__xludf.DUMMYFUNCTION("""COMPUTED_VALUE"""),"HPM")</f>
        <v>HPM</v>
      </c>
      <c r="C185" s="17" t="str">
        <f>IFERROR(__xludf.DUMMYFUNCTION("""COMPUTED_VALUE"""),"Virbac Baby Small &amp; Toy 3 KG")</f>
        <v>Virbac Baby Small &amp; Toy 3 KG</v>
      </c>
      <c r="D185" s="17"/>
      <c r="E185" s="17" t="str">
        <f>IFERROR(__xludf.DUMMYFUNCTION("""COMPUTED_VALUE"""),"Köpek Kuru Maması")</f>
        <v>Köpek Kuru Maması</v>
      </c>
      <c r="F185" s="17">
        <f>IFERROR(__xludf.DUMMYFUNCTION("""COMPUTED_VALUE"""),1889.0)</f>
        <v>1889</v>
      </c>
      <c r="G185" s="17"/>
      <c r="H185" s="17">
        <f>IFERROR(__xludf.DUMMYFUNCTION("""COMPUTED_VALUE"""),0.0)</f>
        <v>0</v>
      </c>
      <c r="I185" s="17" t="str">
        <f>IFERROR(__xludf.DUMMYFUNCTION("""COMPUTED_VALUE"""),"Onayli - Satista degil")</f>
        <v>Onayli - Satista degil</v>
      </c>
      <c r="J185" s="40">
        <f>IF($A185="","",IFERROR(VLOOKUP($A185,'Maliyet Giris'!$A$2:$G$550,6,0),""))</f>
        <v>1085</v>
      </c>
      <c r="K185" s="40">
        <f>IF($A185="","",IFERROR(VLOOKUP($A185,'Maliyet Giris'!$A$2:$G$550,7,0),""))</f>
        <v>3</v>
      </c>
    </row>
    <row r="186">
      <c r="A186" s="17">
        <f>IFERROR(__xludf.DUMMYFUNCTION("""COMPUTED_VALUE"""),3.182550793001E12)</f>
        <v>3182550793001</v>
      </c>
      <c r="B186" s="17" t="str">
        <f>IFERROR(__xludf.DUMMYFUNCTION("""COMPUTED_VALUE"""),"Royal Canin")</f>
        <v>Royal Canin</v>
      </c>
      <c r="C186" s="17" t="str">
        <f>IFERROR(__xludf.DUMMYFUNCTION("""COMPUTED_VALUE"""),"Mini Puppy Küçük Irklar Için Yavru Kuru Köpek Maması 2kg")</f>
        <v>Mini Puppy Küçük Irklar Için Yavru Kuru Köpek Maması 2kg</v>
      </c>
      <c r="D186" s="17"/>
      <c r="E186" s="17" t="str">
        <f>IFERROR(__xludf.DUMMYFUNCTION("""COMPUTED_VALUE"""),"Köpek Kuru Maması")</f>
        <v>Köpek Kuru Maması</v>
      </c>
      <c r="F186" s="17">
        <f>IFERROR(__xludf.DUMMYFUNCTION("""COMPUTED_VALUE"""),0.0)</f>
        <v>0</v>
      </c>
      <c r="G186" s="17"/>
      <c r="H186" s="17">
        <f>IFERROR(__xludf.DUMMYFUNCTION("""COMPUTED_VALUE"""),0.0)</f>
        <v>0</v>
      </c>
      <c r="I186" s="17" t="str">
        <f>IFERROR(__xludf.DUMMYFUNCTION("""COMPUTED_VALUE"""),"Onayli - Satista degil")</f>
        <v>Onayli - Satista degil</v>
      </c>
      <c r="J186" s="40">
        <f>IF($A186="","",IFERROR(VLOOKUP($A186,'Maliyet Giris'!$A$2:$G$550,6,0),""))</f>
        <v>689.64</v>
      </c>
      <c r="K186" s="40">
        <f>IF($A186="","",IFERROR(VLOOKUP($A186,'Maliyet Giris'!$A$2:$G$550,7,0),""))</f>
        <v>2</v>
      </c>
    </row>
    <row r="187">
      <c r="A187" s="17" t="str">
        <f>IFERROR(__xludf.DUMMYFUNCTION("""COMPUTED_VALUE"""),"TYBC0ID0GDKC5CIT97")</f>
        <v>TYBC0ID0GDKC5CIT97</v>
      </c>
      <c r="B187" s="17" t="str">
        <f>IFERROR(__xludf.DUMMYFUNCTION("""COMPUTED_VALUE"""),"Royal Canin")</f>
        <v>Royal Canin</v>
      </c>
      <c r="C187" s="17" t="str">
        <f>IFERROR(__xludf.DUMMYFUNCTION("""COMPUTED_VALUE"""),"British Shorthair Adult Kedi Kuru Maması 2 Kg")</f>
        <v>British Shorthair Adult Kedi Kuru Maması 2 Kg</v>
      </c>
      <c r="D187" s="17"/>
      <c r="E187" s="17" t="str">
        <f>IFERROR(__xludf.DUMMYFUNCTION("""COMPUTED_VALUE"""),"Kedi Kuru Maması")</f>
        <v>Kedi Kuru Maması</v>
      </c>
      <c r="F187" s="17">
        <f>IFERROR(__xludf.DUMMYFUNCTION("""COMPUTED_VALUE"""),0.0)</f>
        <v>0</v>
      </c>
      <c r="G187" s="17"/>
      <c r="H187" s="17">
        <f>IFERROR(__xludf.DUMMYFUNCTION("""COMPUTED_VALUE"""),0.0)</f>
        <v>0</v>
      </c>
      <c r="I187" s="17" t="str">
        <f>IFERROR(__xludf.DUMMYFUNCTION("""COMPUTED_VALUE"""),"Onayli - Satista degil")</f>
        <v>Onayli - Satista degil</v>
      </c>
      <c r="J187" s="40">
        <f>IF($A187="","",IFERROR(VLOOKUP($A187,'Maliyet Giris'!$A$2:$G$550,6,0),""))</f>
        <v>999.6</v>
      </c>
      <c r="K187" s="40">
        <f>IF($A187="","",IFERROR(VLOOKUP($A187,'Maliyet Giris'!$A$2:$G$550,7,0),""))</f>
        <v>2</v>
      </c>
    </row>
    <row r="188">
      <c r="A188" s="17" t="str">
        <f>IFERROR(__xludf.DUMMYFUNCTION("""COMPUTED_VALUE"""),"TYBJBM8LYFYNJK3R08")</f>
        <v>TYBJBM8LYFYNJK3R08</v>
      </c>
      <c r="B188" s="17" t="str">
        <f>IFERROR(__xludf.DUMMYFUNCTION("""COMPUTED_VALUE"""),"Gourmet")</f>
        <v>Gourmet</v>
      </c>
      <c r="C188" s="17" t="str">
        <f>IFERROR(__xludf.DUMMYFUNCTION("""COMPUTED_VALUE"""),"Gold Kıyılmış Hindi Etli Konserve Yetişkin Kedi Maması 12 x 85 G")</f>
        <v>Gold Kıyılmış Hindi Etli Konserve Yetişkin Kedi Maması 12 x 85 G</v>
      </c>
      <c r="D188" s="17"/>
      <c r="E188" s="17" t="str">
        <f>IFERROR(__xludf.DUMMYFUNCTION("""COMPUTED_VALUE"""),"Kedi Konserve Maması")</f>
        <v>Kedi Konserve Maması</v>
      </c>
      <c r="F188" s="17">
        <f>IFERROR(__xludf.DUMMYFUNCTION("""COMPUTED_VALUE"""),599.0)</f>
        <v>599</v>
      </c>
      <c r="G188" s="17">
        <f>IFERROR(__xludf.DUMMYFUNCTION("""COMPUTED_VALUE"""),539.9)</f>
        <v>539.9</v>
      </c>
      <c r="H188" s="17">
        <f>IFERROR(__xludf.DUMMYFUNCTION("""COMPUTED_VALUE"""),100.0)</f>
        <v>100</v>
      </c>
      <c r="I188" s="17" t="str">
        <f>IFERROR(__xludf.DUMMYFUNCTION("""COMPUTED_VALUE"""),"Onayli")</f>
        <v>Onayli</v>
      </c>
      <c r="J188" s="40">
        <f>IF($A188="","",IFERROR(VLOOKUP($A188,'Maliyet Giris'!$A$2:$G$550,6,0),""))</f>
        <v>290</v>
      </c>
      <c r="K188" s="40">
        <f>IF($A188="","",IFERROR(VLOOKUP($A188,'Maliyet Giris'!$A$2:$G$550,7,0),""))</f>
        <v>1</v>
      </c>
    </row>
    <row r="189">
      <c r="A189" s="17" t="str">
        <f>IFERROR(__xludf.DUMMYFUNCTION("""COMPUTED_VALUE"""),"TYB10WDHHTYP18N968")</f>
        <v>TYB10WDHHTYP18N968</v>
      </c>
      <c r="B189" s="17" t="str">
        <f>IFERROR(__xludf.DUMMYFUNCTION("""COMPUTED_VALUE"""),"Gourmet")</f>
        <v>Gourmet</v>
      </c>
      <c r="C189" s="17" t="str">
        <f>IFERROR(__xludf.DUMMYFUNCTION("""COMPUTED_VALUE"""),"Purina Gold Kıyılmış Hindi Etli Konserve Yetişkin Kedi Maması 24 x 85 G")</f>
        <v>Purina Gold Kıyılmış Hindi Etli Konserve Yetişkin Kedi Maması 24 x 85 G</v>
      </c>
      <c r="D189" s="17"/>
      <c r="E189" s="17" t="str">
        <f>IFERROR(__xludf.DUMMYFUNCTION("""COMPUTED_VALUE"""),"Kedi Konserve Maması")</f>
        <v>Kedi Konserve Maması</v>
      </c>
      <c r="F189" s="17">
        <f>IFERROR(__xludf.DUMMYFUNCTION("""COMPUTED_VALUE"""),850.0)</f>
        <v>850</v>
      </c>
      <c r="G189" s="17">
        <f>IFERROR(__xludf.DUMMYFUNCTION("""COMPUTED_VALUE"""),786.49)</f>
        <v>786.49</v>
      </c>
      <c r="H189" s="17">
        <f>IFERROR(__xludf.DUMMYFUNCTION("""COMPUTED_VALUE"""),49.0)</f>
        <v>49</v>
      </c>
      <c r="I189" s="17" t="str">
        <f>IFERROR(__xludf.DUMMYFUNCTION("""COMPUTED_VALUE"""),"Onayli")</f>
        <v>Onayli</v>
      </c>
      <c r="J189" s="40">
        <f>IF($A189="","",IFERROR(VLOOKUP($A189,'Maliyet Giris'!$A$2:$G$550,6,0),""))</f>
        <v>580</v>
      </c>
      <c r="K189" s="40">
        <f>IF($A189="","",IFERROR(VLOOKUP($A189,'Maliyet Giris'!$A$2:$G$550,7,0),""))</f>
        <v>1</v>
      </c>
    </row>
    <row r="190">
      <c r="A190" s="17">
        <f>IFERROR(__xludf.DUMMYFUNCTION("""COMPUTED_VALUE"""),7.613031580992E12)</f>
        <v>7613031580992</v>
      </c>
      <c r="B190" s="17" t="str">
        <f>IFERROR(__xludf.DUMMYFUNCTION("""COMPUTED_VALUE"""),"Gourmet")</f>
        <v>Gourmet</v>
      </c>
      <c r="C190" s="17" t="str">
        <f>IFERROR(__xludf.DUMMYFUNCTION("""COMPUTED_VALUE"""),"Gold Kıyılmış Hindi Etli Konserve Yetişkin Kedi Maması 12 X 85 G")</f>
        <v>Gold Kıyılmış Hindi Etli Konserve Yetişkin Kedi Maması 12 X 85 G</v>
      </c>
      <c r="D190" s="17"/>
      <c r="E190" s="17" t="str">
        <f>IFERROR(__xludf.DUMMYFUNCTION("""COMPUTED_VALUE"""),"Kedi Konserve Maması")</f>
        <v>Kedi Konserve Maması</v>
      </c>
      <c r="F190" s="17">
        <f>IFERROR(__xludf.DUMMYFUNCTION("""COMPUTED_VALUE"""),500.0)</f>
        <v>500</v>
      </c>
      <c r="G190" s="17">
        <f>IFERROR(__xludf.DUMMYFUNCTION("""COMPUTED_VALUE"""),419.0)</f>
        <v>419</v>
      </c>
      <c r="H190" s="17">
        <f>IFERROR(__xludf.DUMMYFUNCTION("""COMPUTED_VALUE"""),100.0)</f>
        <v>100</v>
      </c>
      <c r="I190" s="17" t="str">
        <f>IFERROR(__xludf.DUMMYFUNCTION("""COMPUTED_VALUE"""),"Onayli")</f>
        <v>Onayli</v>
      </c>
      <c r="J190" s="40">
        <f>IF($A190="","",IFERROR(VLOOKUP($A190,'Maliyet Giris'!$A$2:$G$550,6,0),""))</f>
        <v>290</v>
      </c>
      <c r="K190" s="40">
        <f>IF($A190="","",IFERROR(VLOOKUP($A190,'Maliyet Giris'!$A$2:$G$550,7,0),""))</f>
        <v>1</v>
      </c>
    </row>
    <row r="191">
      <c r="A191" s="17">
        <f>IFERROR(__xludf.DUMMYFUNCTION("""COMPUTED_VALUE"""),1.28022022E8)</f>
        <v>128022022</v>
      </c>
      <c r="B191" s="17" t="str">
        <f>IFERROR(__xludf.DUMMYFUNCTION("""COMPUTED_VALUE"""),"Royal Canin")</f>
        <v>Royal Canin</v>
      </c>
      <c r="C191" s="17" t="str">
        <f>IFERROR(__xludf.DUMMYFUNCTION("""COMPUTED_VALUE"""),"Poodle Adult 3 kg")</f>
        <v>Poodle Adult 3 kg</v>
      </c>
      <c r="D191" s="17" t="str">
        <f>IFERROR(__xludf.DUMMYFUNCTION("""COMPUTED_VALUE"""),"RCN885855")</f>
        <v>RCN885855</v>
      </c>
      <c r="E191" s="17" t="str">
        <f>IFERROR(__xludf.DUMMYFUNCTION("""COMPUTED_VALUE"""),"Köpek Kuru Maması")</f>
        <v>Köpek Kuru Maması</v>
      </c>
      <c r="F191" s="17">
        <f>IFERROR(__xludf.DUMMYFUNCTION("""COMPUTED_VALUE"""),1699.0)</f>
        <v>1699</v>
      </c>
      <c r="G191" s="17">
        <f>IFERROR(__xludf.DUMMYFUNCTION("""COMPUTED_VALUE"""),1602.0)</f>
        <v>1602</v>
      </c>
      <c r="H191" s="17">
        <f>IFERROR(__xludf.DUMMYFUNCTION("""COMPUTED_VALUE"""),15.0)</f>
        <v>15</v>
      </c>
      <c r="I191" s="17" t="str">
        <f>IFERROR(__xludf.DUMMYFUNCTION("""COMPUTED_VALUE"""),"Onayli")</f>
        <v>Onayli</v>
      </c>
      <c r="J191" s="40">
        <f>IF($A191="","",IFERROR(VLOOKUP($A191,'Maliyet Giris'!$A$2:$G$550,6,0),""))</f>
        <v>1137.36</v>
      </c>
      <c r="K191" s="40">
        <f>IF($A191="","",IFERROR(VLOOKUP($A191,'Maliyet Giris'!$A$2:$G$550,7,0),""))</f>
        <v>3</v>
      </c>
    </row>
    <row r="192">
      <c r="A192" s="17">
        <f>IFERROR(__xludf.DUMMYFUNCTION("""COMPUTED_VALUE"""),3.182550765206E12)</f>
        <v>3182550765206</v>
      </c>
      <c r="B192" s="17" t="str">
        <f>IFERROR(__xludf.DUMMYFUNCTION("""COMPUTED_VALUE"""),"Royal Canin")</f>
        <v>Royal Canin</v>
      </c>
      <c r="C192" s="17" t="str">
        <f>IFERROR(__xludf.DUMMYFUNCTION("""COMPUTED_VALUE"""),"Poodle Yavru Köpek Maması 3kg")</f>
        <v>Poodle Yavru Köpek Maması 3kg</v>
      </c>
      <c r="D192" s="17"/>
      <c r="E192" s="17" t="str">
        <f>IFERROR(__xludf.DUMMYFUNCTION("""COMPUTED_VALUE"""),"Köpek Kuru Maması")</f>
        <v>Köpek Kuru Maması</v>
      </c>
      <c r="F192" s="17">
        <f>IFERROR(__xludf.DUMMYFUNCTION("""COMPUTED_VALUE"""),0.0)</f>
        <v>0</v>
      </c>
      <c r="G192" s="17"/>
      <c r="H192" s="17">
        <f>IFERROR(__xludf.DUMMYFUNCTION("""COMPUTED_VALUE"""),0.0)</f>
        <v>0</v>
      </c>
      <c r="I192" s="17" t="str">
        <f>IFERROR(__xludf.DUMMYFUNCTION("""COMPUTED_VALUE"""),"Onayli - Satista degil")</f>
        <v>Onayli - Satista degil</v>
      </c>
      <c r="J192" s="40">
        <f>IF($A192="","",IFERROR(VLOOKUP($A192,'Maliyet Giris'!$A$2:$G$550,6,0),""))</f>
        <v>1228.08</v>
      </c>
      <c r="K192" s="40">
        <f>IF($A192="","",IFERROR(VLOOKUP($A192,'Maliyet Giris'!$A$2:$G$550,7,0),""))</f>
        <v>3</v>
      </c>
    </row>
    <row r="193">
      <c r="A193" s="17">
        <f>IFERROR(__xludf.DUMMYFUNCTION("""COMPUTED_VALUE"""),3.182550867719E12)</f>
        <v>3182550867719</v>
      </c>
      <c r="B193" s="17" t="str">
        <f>IFERROR(__xludf.DUMMYFUNCTION("""COMPUTED_VALUE"""),"Royal Canin")</f>
        <v>Royal Canin</v>
      </c>
      <c r="C193" s="17" t="str">
        <f>IFERROR(__xludf.DUMMYFUNCTION("""COMPUTED_VALUE"""),"Poodle Yetişkin Kuru Köpek Maması 3kg")</f>
        <v>Poodle Yetişkin Kuru Köpek Maması 3kg</v>
      </c>
      <c r="D193" s="17"/>
      <c r="E193" s="17" t="str">
        <f>IFERROR(__xludf.DUMMYFUNCTION("""COMPUTED_VALUE"""),"Köpek Kuru Maması")</f>
        <v>Köpek Kuru Maması</v>
      </c>
      <c r="F193" s="17">
        <f>IFERROR(__xludf.DUMMYFUNCTION("""COMPUTED_VALUE"""),0.0)</f>
        <v>0</v>
      </c>
      <c r="G193" s="17"/>
      <c r="H193" s="17">
        <f>IFERROR(__xludf.DUMMYFUNCTION("""COMPUTED_VALUE"""),0.0)</f>
        <v>0</v>
      </c>
      <c r="I193" s="17" t="str">
        <f>IFERROR(__xludf.DUMMYFUNCTION("""COMPUTED_VALUE"""),"Onayli - Satista degil")</f>
        <v>Onayli - Satista degil</v>
      </c>
      <c r="J193" s="40">
        <f>IF($A193="","",IFERROR(VLOOKUP($A193,'Maliyet Giris'!$A$2:$G$550,6,0),""))</f>
        <v>1137.36</v>
      </c>
      <c r="K193" s="40">
        <f>IF($A193="","",IFERROR(VLOOKUP($A193,'Maliyet Giris'!$A$2:$G$550,7,0),""))</f>
        <v>3</v>
      </c>
    </row>
    <row r="194">
      <c r="A194" s="17">
        <f>IFERROR(__xludf.DUMMYFUNCTION("""COMPUTED_VALUE"""),3.182550786218E12)</f>
        <v>3182550786218</v>
      </c>
      <c r="B194" s="17" t="str">
        <f>IFERROR(__xludf.DUMMYFUNCTION("""COMPUTED_VALUE"""),"Royal Canin")</f>
        <v>Royal Canin</v>
      </c>
      <c r="C194" s="17" t="str">
        <f>IFERROR(__xludf.DUMMYFUNCTION("""COMPUTED_VALUE"""),"Ageıng 11+ 11 Yaş Ve Üzeri Kediler Için Kuru Kedi Maması 2kg")</f>
        <v>Ageıng 11+ 11 Yaş Ve Üzeri Kediler Için Kuru Kedi Maması 2kg</v>
      </c>
      <c r="D194" s="17"/>
      <c r="E194" s="17" t="str">
        <f>IFERROR(__xludf.DUMMYFUNCTION("""COMPUTED_VALUE"""),"Kedi Kuru Maması")</f>
        <v>Kedi Kuru Maması</v>
      </c>
      <c r="F194" s="17">
        <f>IFERROR(__xludf.DUMMYFUNCTION("""COMPUTED_VALUE"""),0.0)</f>
        <v>0</v>
      </c>
      <c r="G194" s="17"/>
      <c r="H194" s="17">
        <f>IFERROR(__xludf.DUMMYFUNCTION("""COMPUTED_VALUE"""),0.0)</f>
        <v>0</v>
      </c>
      <c r="I194" s="17" t="str">
        <f>IFERROR(__xludf.DUMMYFUNCTION("""COMPUTED_VALUE"""),"Onayli - Satista degil")</f>
        <v>Onayli - Satista degil</v>
      </c>
      <c r="J194" s="40">
        <f>IF($A194="","",IFERROR(VLOOKUP($A194,'Maliyet Giris'!$A$2:$G$550,6,0),""))</f>
        <v>855.96</v>
      </c>
      <c r="K194" s="40">
        <f>IF($A194="","",IFERROR(VLOOKUP($A194,'Maliyet Giris'!$A$2:$G$550,7,0),""))</f>
        <v>2</v>
      </c>
    </row>
    <row r="195">
      <c r="A195" s="17" t="str">
        <f>IFERROR(__xludf.DUMMYFUNCTION("""COMPUTED_VALUE"""),"7364872364627381")</f>
        <v>7364872364627381</v>
      </c>
      <c r="B195" s="17" t="str">
        <f>IFERROR(__xludf.DUMMYFUNCTION("""COMPUTED_VALUE"""),"Royal Canin")</f>
        <v>Royal Canin</v>
      </c>
      <c r="C195" s="17" t="str">
        <f>IFERROR(__xludf.DUMMYFUNCTION("""COMPUTED_VALUE"""),"Light Weight Care Yetişkin Diyet Kedi Maması 1.5 Kg")</f>
        <v>Light Weight Care Yetişkin Diyet Kedi Maması 1.5 Kg</v>
      </c>
      <c r="D195" s="17"/>
      <c r="E195" s="17" t="str">
        <f>IFERROR(__xludf.DUMMYFUNCTION("""COMPUTED_VALUE"""),"Kedi Kuru Maması")</f>
        <v>Kedi Kuru Maması</v>
      </c>
      <c r="F195" s="17">
        <f>IFERROR(__xludf.DUMMYFUNCTION("""COMPUTED_VALUE"""),0.0)</f>
        <v>0</v>
      </c>
      <c r="G195" s="17"/>
      <c r="H195" s="17">
        <f>IFERROR(__xludf.DUMMYFUNCTION("""COMPUTED_VALUE"""),0.0)</f>
        <v>0</v>
      </c>
      <c r="I195" s="17" t="str">
        <f>IFERROR(__xludf.DUMMYFUNCTION("""COMPUTED_VALUE"""),"Onayli - Satista degil")</f>
        <v>Onayli - Satista degil</v>
      </c>
      <c r="J195" s="40">
        <f>IF($A195="","",IFERROR(VLOOKUP($A195,'Maliyet Giris'!$A$2:$G$550,6,0),""))</f>
        <v>924</v>
      </c>
      <c r="K195" s="40">
        <f>IF($A195="","",IFERROR(VLOOKUP($A195,'Maliyet Giris'!$A$2:$G$550,7,0),""))</f>
        <v>2</v>
      </c>
    </row>
    <row r="196">
      <c r="A196" s="17" t="str">
        <f>IFERROR(__xludf.DUMMYFUNCTION("""COMPUTED_VALUE"""),"TYB95ZFKN4QMOUFE28")</f>
        <v>TYB95ZFKN4QMOUFE28</v>
      </c>
      <c r="B196" s="17" t="str">
        <f>IFERROR(__xludf.DUMMYFUNCTION("""COMPUTED_VALUE"""),"Royal Canin")</f>
        <v>Royal Canin</v>
      </c>
      <c r="C196" s="17" t="str">
        <f>IFERROR(__xludf.DUMMYFUNCTION("""COMPUTED_VALUE"""),"Sterilised 37 Kısırlaştırılmış Kedi Maması 10 Kg")</f>
        <v>Sterilised 37 Kısırlaştırılmış Kedi Maması 10 Kg</v>
      </c>
      <c r="D196" s="17"/>
      <c r="E196" s="17" t="str">
        <f>IFERROR(__xludf.DUMMYFUNCTION("""COMPUTED_VALUE"""),"Kedi Kuru Maması")</f>
        <v>Kedi Kuru Maması</v>
      </c>
      <c r="F196" s="17">
        <f>IFERROR(__xludf.DUMMYFUNCTION("""COMPUTED_VALUE"""),0.0)</f>
        <v>0</v>
      </c>
      <c r="G196" s="17"/>
      <c r="H196" s="17">
        <f>IFERROR(__xludf.DUMMYFUNCTION("""COMPUTED_VALUE"""),0.0)</f>
        <v>0</v>
      </c>
      <c r="I196" s="17" t="str">
        <f>IFERROR(__xludf.DUMMYFUNCTION("""COMPUTED_VALUE"""),"Onayli - Satista degil")</f>
        <v>Onayli - Satista degil</v>
      </c>
      <c r="J196" s="40">
        <f>IF($A196="","",IFERROR(VLOOKUP($A196,'Maliyet Giris'!$A$2:$G$550,6,0),""))</f>
        <v>3475</v>
      </c>
      <c r="K196" s="40">
        <f>IF($A196="","",IFERROR(VLOOKUP($A196,'Maliyet Giris'!$A$2:$G$550,7,0),""))</f>
        <v>10</v>
      </c>
    </row>
    <row r="197">
      <c r="A197" s="17">
        <f>IFERROR(__xludf.DUMMYFUNCTION("""COMPUTED_VALUE"""),3.182550721219E12)</f>
        <v>3182550721219</v>
      </c>
      <c r="B197" s="17" t="str">
        <f>IFERROR(__xludf.DUMMYFUNCTION("""COMPUTED_VALUE"""),"Royal Canin")</f>
        <v>Royal Canin</v>
      </c>
      <c r="C197" s="17" t="str">
        <f>IFERROR(__xludf.DUMMYFUNCTION("""COMPUTED_VALUE"""),"Persian Kitten Iran Yavru Kedi Maması 2 Kg")</f>
        <v>Persian Kitten Iran Yavru Kedi Maması 2 Kg</v>
      </c>
      <c r="D197" s="17"/>
      <c r="E197" s="17" t="str">
        <f>IFERROR(__xludf.DUMMYFUNCTION("""COMPUTED_VALUE"""),"Kedi Kuru Maması")</f>
        <v>Kedi Kuru Maması</v>
      </c>
      <c r="F197" s="17">
        <f>IFERROR(__xludf.DUMMYFUNCTION("""COMPUTED_VALUE"""),0.0)</f>
        <v>0</v>
      </c>
      <c r="G197" s="17"/>
      <c r="H197" s="17">
        <f>IFERROR(__xludf.DUMMYFUNCTION("""COMPUTED_VALUE"""),0.0)</f>
        <v>0</v>
      </c>
      <c r="I197" s="17" t="str">
        <f>IFERROR(__xludf.DUMMYFUNCTION("""COMPUTED_VALUE"""),"Onayli - Satista degil")</f>
        <v>Onayli - Satista degil</v>
      </c>
      <c r="J197" s="40">
        <f>IF($A197="","",IFERROR(VLOOKUP($A197,'Maliyet Giris'!$A$2:$G$550,6,0),""))</f>
        <v>1</v>
      </c>
      <c r="K197" s="40">
        <f>IF($A197="","",IFERROR(VLOOKUP($A197,'Maliyet Giris'!$A$2:$G$550,7,0),""))</f>
        <v>3</v>
      </c>
    </row>
    <row r="198">
      <c r="A198" s="17" t="str">
        <f>IFERROR(__xludf.DUMMYFUNCTION("""COMPUTED_VALUE"""),"TYBY2VBWUD3YYSJ560")</f>
        <v>TYBY2VBWUD3YYSJ560</v>
      </c>
      <c r="B198" s="17" t="str">
        <f>IFERROR(__xludf.DUMMYFUNCTION("""COMPUTED_VALUE"""),"Royal Canin")</f>
        <v>Royal Canin</v>
      </c>
      <c r="C198" s="17" t="str">
        <f>IFERROR(__xludf.DUMMYFUNCTION("""COMPUTED_VALUE"""),"Sterilised37 Kısırlaştırılmış Yetişkin Kediler için Kuru Kedi Maması 10 kg")</f>
        <v>Sterilised37 Kısırlaştırılmış Yetişkin Kediler için Kuru Kedi Maması 10 kg</v>
      </c>
      <c r="D198" s="17"/>
      <c r="E198" s="17" t="str">
        <f>IFERROR(__xludf.DUMMYFUNCTION("""COMPUTED_VALUE"""),"Kedi Kuru Maması")</f>
        <v>Kedi Kuru Maması</v>
      </c>
      <c r="F198" s="17">
        <f>IFERROR(__xludf.DUMMYFUNCTION("""COMPUTED_VALUE"""),0.0)</f>
        <v>0</v>
      </c>
      <c r="G198" s="17"/>
      <c r="H198" s="17">
        <f>IFERROR(__xludf.DUMMYFUNCTION("""COMPUTED_VALUE"""),0.0)</f>
        <v>0</v>
      </c>
      <c r="I198" s="17" t="str">
        <f>IFERROR(__xludf.DUMMYFUNCTION("""COMPUTED_VALUE"""),"Onayli - Satista degil")</f>
        <v>Onayli - Satista degil</v>
      </c>
      <c r="J198" s="40">
        <f>IF($A198="","",IFERROR(VLOOKUP($A198,'Maliyet Giris'!$A$2:$G$550,6,0),""))</f>
        <v>3475</v>
      </c>
      <c r="K198" s="40">
        <f>IF($A198="","",IFERROR(VLOOKUP($A198,'Maliyet Giris'!$A$2:$G$550,7,0),""))</f>
        <v>10</v>
      </c>
    </row>
    <row r="199">
      <c r="A199" s="17">
        <f>IFERROR(__xludf.DUMMYFUNCTION("""COMPUTED_VALUE"""),7.613036505277E12)</f>
        <v>7613036505277</v>
      </c>
      <c r="B199" s="17" t="str">
        <f>IFERROR(__xludf.DUMMYFUNCTION("""COMPUTED_VALUE"""),"Pro Plan")</f>
        <v>Pro Plan</v>
      </c>
      <c r="C199" s="17" t="str">
        <f>IFERROR(__xludf.DUMMYFUNCTION("""COMPUTED_VALUE"""),"Purina Kitten Tavuklu Yavru Kedi Maması 3 KG")</f>
        <v>Purina Kitten Tavuklu Yavru Kedi Maması 3 KG</v>
      </c>
      <c r="D199" s="17"/>
      <c r="E199" s="17" t="str">
        <f>IFERROR(__xludf.DUMMYFUNCTION("""COMPUTED_VALUE"""),"Kedi Kuru Maması")</f>
        <v>Kedi Kuru Maması</v>
      </c>
      <c r="F199" s="17">
        <f>IFERROR(__xludf.DUMMYFUNCTION("""COMPUTED_VALUE"""),1535.0)</f>
        <v>1535</v>
      </c>
      <c r="G199" s="17">
        <f>IFERROR(__xludf.DUMMYFUNCTION("""COMPUTED_VALUE"""),1243.0)</f>
        <v>1243</v>
      </c>
      <c r="H199" s="17">
        <f>IFERROR(__xludf.DUMMYFUNCTION("""COMPUTED_VALUE"""),2.0)</f>
        <v>2</v>
      </c>
      <c r="I199" s="17" t="str">
        <f>IFERROR(__xludf.DUMMYFUNCTION("""COMPUTED_VALUE"""),"Onayli")</f>
        <v>Onayli</v>
      </c>
      <c r="J199" s="40">
        <f>IF($A199="","",IFERROR(VLOOKUP($A199,'Maliyet Giris'!$A$2:$G$550,6,0),""))</f>
        <v>900</v>
      </c>
      <c r="K199" s="40">
        <f>IF($A199="","",IFERROR(VLOOKUP($A199,'Maliyet Giris'!$A$2:$G$550,7,0),""))</f>
        <v>3</v>
      </c>
    </row>
    <row r="200">
      <c r="A200" s="17" t="str">
        <f>IFERROR(__xludf.DUMMYFUNCTION("""COMPUTED_VALUE"""),"TYB9771GESJQWCAB60")</f>
        <v>TYB9771GESJQWCAB60</v>
      </c>
      <c r="B200" s="17" t="str">
        <f>IFERROR(__xludf.DUMMYFUNCTION("""COMPUTED_VALUE"""),"Gourmet")</f>
        <v>Gourmet</v>
      </c>
      <c r="C200" s="17" t="str">
        <f>IFERROR(__xludf.DUMMYFUNCTION("""COMPUTED_VALUE"""),"Karışık Kıyılmış Konserve Yetişkin Kedi Yaş Maması 24 X 85 gr")</f>
        <v>Karışık Kıyılmış Konserve Yetişkin Kedi Yaş Maması 24 X 85 gr</v>
      </c>
      <c r="D200" s="17"/>
      <c r="E200" s="17" t="str">
        <f>IFERROR(__xludf.DUMMYFUNCTION("""COMPUTED_VALUE"""),"Kedi Konserve Maması")</f>
        <v>Kedi Konserve Maması</v>
      </c>
      <c r="F200" s="17">
        <f>IFERROR(__xludf.DUMMYFUNCTION("""COMPUTED_VALUE"""),736.0)</f>
        <v>736</v>
      </c>
      <c r="G200" s="17">
        <f>IFERROR(__xludf.DUMMYFUNCTION("""COMPUTED_VALUE"""),736.0)</f>
        <v>736</v>
      </c>
      <c r="H200" s="17">
        <f>IFERROR(__xludf.DUMMYFUNCTION("""COMPUTED_VALUE"""),674.0)</f>
        <v>674</v>
      </c>
      <c r="I200" s="17" t="str">
        <f>IFERROR(__xludf.DUMMYFUNCTION("""COMPUTED_VALUE"""),"Onayli")</f>
        <v>Onayli</v>
      </c>
      <c r="J200" s="40">
        <f>IF($A200="","",IFERROR(VLOOKUP($A200,'Maliyet Giris'!$A$2:$G$550,6,0),""))</f>
        <v>580</v>
      </c>
      <c r="K200" s="40">
        <f>IF($A200="","",IFERROR(VLOOKUP($A200,'Maliyet Giris'!$A$2:$G$550,7,0),""))</f>
        <v>2</v>
      </c>
    </row>
    <row r="201">
      <c r="A201" s="17" t="str">
        <f>IFERROR(__xludf.DUMMYFUNCTION("""COMPUTED_VALUE"""),"TYB48E6K7S39UBYY86")</f>
        <v>TYB48E6K7S39UBYY86</v>
      </c>
      <c r="B201" s="17" t="str">
        <f>IFERROR(__xludf.DUMMYFUNCTION("""COMPUTED_VALUE"""),"Purina Felix")</f>
        <v>Purina Felix</v>
      </c>
      <c r="C201" s="17" t="str">
        <f>IFERROR(__xludf.DUMMYFUNCTION("""COMPUTED_VALUE"""),"Felix Kedi Maması Somonlu &amp; Ton Balıklı Ekonomik Paket (4x85gr) X 12 Adet")</f>
        <v>Felix Kedi Maması Somonlu &amp; Ton Balıklı Ekonomik Paket (4x85gr) X 12 Adet</v>
      </c>
      <c r="D201" s="17"/>
      <c r="E201" s="17" t="str">
        <f>IFERROR(__xludf.DUMMYFUNCTION("""COMPUTED_VALUE"""),"Kedi Konserve Maması")</f>
        <v>Kedi Konserve Maması</v>
      </c>
      <c r="F201" s="17">
        <f>IFERROR(__xludf.DUMMYFUNCTION("""COMPUTED_VALUE"""),1142.0)</f>
        <v>1142</v>
      </c>
      <c r="G201" s="17">
        <f>IFERROR(__xludf.DUMMYFUNCTION("""COMPUTED_VALUE"""),1059.85)</f>
        <v>1059.85</v>
      </c>
      <c r="H201" s="17">
        <f>IFERROR(__xludf.DUMMYFUNCTION("""COMPUTED_VALUE"""),100.0)</f>
        <v>100</v>
      </c>
      <c r="I201" s="17" t="str">
        <f>IFERROR(__xludf.DUMMYFUNCTION("""COMPUTED_VALUE"""),"Onayli")</f>
        <v>Onayli</v>
      </c>
      <c r="J201" s="40">
        <f>IF($A201="","",IFERROR(VLOOKUP($A201,'Maliyet Giris'!$A$2:$G$550,6,0),""))</f>
        <v>720</v>
      </c>
      <c r="K201" s="40">
        <f>IF($A201="","",IFERROR(VLOOKUP($A201,'Maliyet Giris'!$A$2:$G$550,7,0),""))</f>
        <v>3</v>
      </c>
    </row>
    <row r="202">
      <c r="A202" s="17">
        <f>IFERROR(__xludf.DUMMYFUNCTION("""COMPUTED_VALUE"""),7.41245638741E11)</f>
        <v>741245638741</v>
      </c>
      <c r="B202" s="17" t="str">
        <f>IFERROR(__xludf.DUMMYFUNCTION("""COMPUTED_VALUE"""),"Gourmet")</f>
        <v>Gourmet</v>
      </c>
      <c r="C202" s="17" t="str">
        <f>IFERROR(__xludf.DUMMYFUNCTION("""COMPUTED_VALUE"""),"Purina Gold Kıyılmış Sığır Etli Kedi Yaş Maması 85 Gr 12 Adet")</f>
        <v>Purina Gold Kıyılmış Sığır Etli Kedi Yaş Maması 85 Gr 12 Adet</v>
      </c>
      <c r="D202" s="17"/>
      <c r="E202" s="17" t="str">
        <f>IFERROR(__xludf.DUMMYFUNCTION("""COMPUTED_VALUE"""),"Kedi Konserve Maması")</f>
        <v>Kedi Konserve Maması</v>
      </c>
      <c r="F202" s="17">
        <f>IFERROR(__xludf.DUMMYFUNCTION("""COMPUTED_VALUE"""),545.0)</f>
        <v>545</v>
      </c>
      <c r="G202" s="17">
        <f>IFERROR(__xludf.DUMMYFUNCTION("""COMPUTED_VALUE"""),426.25)</f>
        <v>426.25</v>
      </c>
      <c r="H202" s="17">
        <f>IFERROR(__xludf.DUMMYFUNCTION("""COMPUTED_VALUE"""),86.0)</f>
        <v>86</v>
      </c>
      <c r="I202" s="17" t="str">
        <f>IFERROR(__xludf.DUMMYFUNCTION("""COMPUTED_VALUE"""),"Onayli")</f>
        <v>Onayli</v>
      </c>
      <c r="J202" s="40">
        <f>IF($A202="","",IFERROR(VLOOKUP($A202,'Maliyet Giris'!$A$2:$G$550,6,0),""))</f>
        <v>290</v>
      </c>
      <c r="K202" s="40">
        <f>IF($A202="","",IFERROR(VLOOKUP($A202,'Maliyet Giris'!$A$2:$G$550,7,0),""))</f>
        <v>2</v>
      </c>
    </row>
    <row r="203">
      <c r="A203" s="17">
        <f>IFERROR(__xludf.DUMMYFUNCTION("""COMPUTED_VALUE"""),3.182550704533E12)</f>
        <v>3182550704533</v>
      </c>
      <c r="B203" s="17" t="str">
        <f>IFERROR(__xludf.DUMMYFUNCTION("""COMPUTED_VALUE"""),"Royal Canin")</f>
        <v>Royal Canin</v>
      </c>
      <c r="C203" s="17" t="str">
        <f>IFERROR(__xludf.DUMMYFUNCTION("""COMPUTED_VALUE"""),"Persian Yetişkin Iran Kedilerine Özel Mama 4 kg")</f>
        <v>Persian Yetişkin Iran Kedilerine Özel Mama 4 kg</v>
      </c>
      <c r="D203" s="17"/>
      <c r="E203" s="17" t="str">
        <f>IFERROR(__xludf.DUMMYFUNCTION("""COMPUTED_VALUE"""),"Kedi Kuru Maması")</f>
        <v>Kedi Kuru Maması</v>
      </c>
      <c r="F203" s="17">
        <f>IFERROR(__xludf.DUMMYFUNCTION("""COMPUTED_VALUE"""),0.0)</f>
        <v>0</v>
      </c>
      <c r="G203" s="17"/>
      <c r="H203" s="17">
        <f>IFERROR(__xludf.DUMMYFUNCTION("""COMPUTED_VALUE"""),0.0)</f>
        <v>0</v>
      </c>
      <c r="I203" s="17" t="str">
        <f>IFERROR(__xludf.DUMMYFUNCTION("""COMPUTED_VALUE"""),"Onayli - Satista degil")</f>
        <v>Onayli - Satista degil</v>
      </c>
      <c r="J203" s="40">
        <f>IF($A203="","",IFERROR(VLOOKUP($A203,'Maliyet Giris'!$A$2:$G$550,6,0),""))</f>
        <v>1837.92</v>
      </c>
      <c r="K203" s="40">
        <f>IF($A203="","",IFERROR(VLOOKUP($A203,'Maliyet Giris'!$A$2:$G$550,7,0),""))</f>
        <v>4</v>
      </c>
    </row>
    <row r="204">
      <c r="A204" s="17">
        <f>IFERROR(__xludf.DUMMYFUNCTION("""COMPUTED_VALUE"""),9.00000046014E12)</f>
        <v>9000000460140</v>
      </c>
      <c r="B204" s="17" t="str">
        <f>IFERROR(__xludf.DUMMYFUNCTION("""COMPUTED_VALUE"""),"Royal Canin")</f>
        <v>Royal Canin</v>
      </c>
      <c r="C204" s="17" t="str">
        <f>IFERROR(__xludf.DUMMYFUNCTION("""COMPUTED_VALUE"""),"Ccn Dermacomfort Loaf Pate Pouch Küçük Irk Yetişkin Köpek Konservesi 12 Adet 85 Gr")</f>
        <v>Ccn Dermacomfort Loaf Pate Pouch Küçük Irk Yetişkin Köpek Konservesi 12 Adet 85 Gr</v>
      </c>
      <c r="D204" s="17"/>
      <c r="E204" s="17" t="str">
        <f>IFERROR(__xludf.DUMMYFUNCTION("""COMPUTED_VALUE"""),"Köpek Konserve Maması")</f>
        <v>Köpek Konserve Maması</v>
      </c>
      <c r="F204" s="17">
        <f>IFERROR(__xludf.DUMMYFUNCTION("""COMPUTED_VALUE"""),999.0)</f>
        <v>999</v>
      </c>
      <c r="G204" s="17">
        <f>IFERROR(__xludf.DUMMYFUNCTION("""COMPUTED_VALUE"""),618.0)</f>
        <v>618</v>
      </c>
      <c r="H204" s="17">
        <f>IFERROR(__xludf.DUMMYFUNCTION("""COMPUTED_VALUE"""),5.0)</f>
        <v>5</v>
      </c>
      <c r="I204" s="17" t="str">
        <f>IFERROR(__xludf.DUMMYFUNCTION("""COMPUTED_VALUE"""),"Onayli")</f>
        <v>Onayli</v>
      </c>
      <c r="J204" s="40">
        <f>IF($A204="","",IFERROR(VLOOKUP($A204,'Maliyet Giris'!$A$2:$G$550,6,0),""))</f>
        <v>504</v>
      </c>
      <c r="K204" s="40">
        <f>IF($A204="","",IFERROR(VLOOKUP($A204,'Maliyet Giris'!$A$2:$G$550,7,0),""))</f>
        <v>2</v>
      </c>
    </row>
    <row r="205">
      <c r="A205" s="17">
        <f>IFERROR(__xludf.DUMMYFUNCTION("""COMPUTED_VALUE"""),3.182550728102E12)</f>
        <v>3182550728102</v>
      </c>
      <c r="B205" s="17" t="str">
        <f>IFERROR(__xludf.DUMMYFUNCTION("""COMPUTED_VALUE"""),"Royal Canin")</f>
        <v>Royal Canin</v>
      </c>
      <c r="C205" s="17" t="str">
        <f>IFERROR(__xludf.DUMMYFUNCTION("""COMPUTED_VALUE"""),"Chihuahua Kuru Köpek Maması 1.5kg")</f>
        <v>Chihuahua Kuru Köpek Maması 1.5kg</v>
      </c>
      <c r="D205" s="17"/>
      <c r="E205" s="17" t="str">
        <f>IFERROR(__xludf.DUMMYFUNCTION("""COMPUTED_VALUE"""),"Köpek Kuru Maması")</f>
        <v>Köpek Kuru Maması</v>
      </c>
      <c r="F205" s="17">
        <f>IFERROR(__xludf.DUMMYFUNCTION("""COMPUTED_VALUE"""),914.0)</f>
        <v>914</v>
      </c>
      <c r="G205" s="17">
        <f>IFERROR(__xludf.DUMMYFUNCTION("""COMPUTED_VALUE"""),914.0)</f>
        <v>914</v>
      </c>
      <c r="H205" s="17">
        <f>IFERROR(__xludf.DUMMYFUNCTION("""COMPUTED_VALUE"""),25.0)</f>
        <v>25</v>
      </c>
      <c r="I205" s="17" t="str">
        <f>IFERROR(__xludf.DUMMYFUNCTION("""COMPUTED_VALUE"""),"Onayli")</f>
        <v>Onayli</v>
      </c>
      <c r="J205" s="40">
        <f>IF($A205="","",IFERROR(VLOOKUP($A205,'Maliyet Giris'!$A$2:$G$550,6,0),""))</f>
        <v>621.6</v>
      </c>
      <c r="K205" s="40">
        <f>IF($A205="","",IFERROR(VLOOKUP($A205,'Maliyet Giris'!$A$2:$G$550,7,0),""))</f>
        <v>2</v>
      </c>
    </row>
    <row r="206">
      <c r="A206" s="17">
        <f>IFERROR(__xludf.DUMMYFUNCTION("""COMPUTED_VALUE"""),3.182550702362E12)</f>
        <v>3182550702362</v>
      </c>
      <c r="B206" s="17" t="str">
        <f>IFERROR(__xludf.DUMMYFUNCTION("""COMPUTED_VALUE"""),"Royal Canin")</f>
        <v>Royal Canin</v>
      </c>
      <c r="C206" s="17" t="str">
        <f>IFERROR(__xludf.DUMMYFUNCTION("""COMPUTED_VALUE"""),"Sensible33 Sindirim Hassasiyeti Olan Kediler Için Yetişkin Kuru Kedi Maması 15kg")</f>
        <v>Sensible33 Sindirim Hassasiyeti Olan Kediler Için Yetişkin Kuru Kedi Maması 15kg</v>
      </c>
      <c r="D206" s="17"/>
      <c r="E206" s="17" t="str">
        <f>IFERROR(__xludf.DUMMYFUNCTION("""COMPUTED_VALUE"""),"Kedi Kuru Maması")</f>
        <v>Kedi Kuru Maması</v>
      </c>
      <c r="F206" s="17">
        <f>IFERROR(__xludf.DUMMYFUNCTION("""COMPUTED_VALUE"""),0.0)</f>
        <v>0</v>
      </c>
      <c r="G206" s="17"/>
      <c r="H206" s="17">
        <f>IFERROR(__xludf.DUMMYFUNCTION("""COMPUTED_VALUE"""),0.0)</f>
        <v>0</v>
      </c>
      <c r="I206" s="17" t="str">
        <f>IFERROR(__xludf.DUMMYFUNCTION("""COMPUTED_VALUE"""),"Onayli - Satista degil")</f>
        <v>Onayli - Satista degil</v>
      </c>
      <c r="J206" s="40">
        <f>IF($A206="","",IFERROR(VLOOKUP($A206,'Maliyet Giris'!$A$2:$G$550,6,0),""))</f>
        <v>4756.08</v>
      </c>
      <c r="K206" s="40">
        <f>IF($A206="","",IFERROR(VLOOKUP($A206,'Maliyet Giris'!$A$2:$G$550,7,0),""))</f>
        <v>15</v>
      </c>
    </row>
    <row r="207">
      <c r="A207" s="17">
        <f>IFERROR(__xludf.DUMMYFUNCTION("""COMPUTED_VALUE"""),9.003579308738E12)</f>
        <v>9003579308738</v>
      </c>
      <c r="B207" s="17" t="str">
        <f>IFERROR(__xludf.DUMMYFUNCTION("""COMPUTED_VALUE"""),"Royal Canin")</f>
        <v>Royal Canin</v>
      </c>
      <c r="C207" s="17" t="str">
        <f>IFERROR(__xludf.DUMMYFUNCTION("""COMPUTED_VALUE"""),"Instinctive Yaş Kedi Maması 12 x 85g")</f>
        <v>Instinctive Yaş Kedi Maması 12 x 85g</v>
      </c>
      <c r="D207" s="17"/>
      <c r="E207" s="17" t="str">
        <f>IFERROR(__xludf.DUMMYFUNCTION("""COMPUTED_VALUE"""),"Kedi Konserve Maması")</f>
        <v>Kedi Konserve Maması</v>
      </c>
      <c r="F207" s="17">
        <f>IFERROR(__xludf.DUMMYFUNCTION("""COMPUTED_VALUE"""),850.0)</f>
        <v>850</v>
      </c>
      <c r="G207" s="17">
        <f>IFERROR(__xludf.DUMMYFUNCTION("""COMPUTED_VALUE"""),527.09)</f>
        <v>527.09</v>
      </c>
      <c r="H207" s="17">
        <f>IFERROR(__xludf.DUMMYFUNCTION("""COMPUTED_VALUE"""),5.0)</f>
        <v>5</v>
      </c>
      <c r="I207" s="17" t="str">
        <f>IFERROR(__xludf.DUMMYFUNCTION("""COMPUTED_VALUE"""),"Onayli")</f>
        <v>Onayli</v>
      </c>
      <c r="J207" s="40">
        <f>IF($A207="","",IFERROR(VLOOKUP($A207,'Maliyet Giris'!$A$2:$G$550,6,0),""))</f>
        <v>504</v>
      </c>
      <c r="K207" s="40">
        <f>IF($A207="","",IFERROR(VLOOKUP($A207,'Maliyet Giris'!$A$2:$G$550,7,0),""))</f>
        <v>2</v>
      </c>
    </row>
    <row r="208">
      <c r="A208" s="17">
        <f>IFERROR(__xludf.DUMMYFUNCTION("""COMPUTED_VALUE"""),3.182550811637E12)</f>
        <v>3182550811637</v>
      </c>
      <c r="B208" s="17" t="str">
        <f>IFERROR(__xludf.DUMMYFUNCTION("""COMPUTED_VALUE"""),"Royal Canin")</f>
        <v>Royal Canin</v>
      </c>
      <c r="C208" s="17" t="str">
        <f>IFERROR(__xludf.DUMMYFUNCTION("""COMPUTED_VALUE"""),"Fransız Bulldog Yetişkin Kuru Köpek Maması 3kg")</f>
        <v>Fransız Bulldog Yetişkin Kuru Köpek Maması 3kg</v>
      </c>
      <c r="D208" s="17"/>
      <c r="E208" s="17" t="str">
        <f>IFERROR(__xludf.DUMMYFUNCTION("""COMPUTED_VALUE"""),"Köpek Kuru Maması")</f>
        <v>Köpek Kuru Maması</v>
      </c>
      <c r="F208" s="17">
        <f>IFERROR(__xludf.DUMMYFUNCTION("""COMPUTED_VALUE"""),0.0)</f>
        <v>0</v>
      </c>
      <c r="G208" s="17"/>
      <c r="H208" s="17">
        <f>IFERROR(__xludf.DUMMYFUNCTION("""COMPUTED_VALUE"""),0.0)</f>
        <v>0</v>
      </c>
      <c r="I208" s="17" t="str">
        <f>IFERROR(__xludf.DUMMYFUNCTION("""COMPUTED_VALUE"""),"Onayli - Satista degil")</f>
        <v>Onayli - Satista degil</v>
      </c>
      <c r="J208" s="40">
        <f>IF($A208="","",IFERROR(VLOOKUP($A208,'Maliyet Giris'!$A$2:$G$550,6,0),""))</f>
        <v>1137.36</v>
      </c>
      <c r="K208" s="40">
        <f>IF($A208="","",IFERROR(VLOOKUP($A208,'Maliyet Giris'!$A$2:$G$550,7,0),""))</f>
        <v>3</v>
      </c>
    </row>
    <row r="209">
      <c r="A209" s="17">
        <f>IFERROR(__xludf.DUMMYFUNCTION("""COMPUTED_VALUE"""),9.003579013748E12)</f>
        <v>9003579013748</v>
      </c>
      <c r="B209" s="17" t="str">
        <f>IFERROR(__xludf.DUMMYFUNCTION("""COMPUTED_VALUE"""),"Royal Canin")</f>
        <v>Royal Canin</v>
      </c>
      <c r="C209" s="17" t="str">
        <f>IFERROR(__xludf.DUMMYFUNCTION("""COMPUTED_VALUE"""),"Köpek Mama Pomeranian Köpek Konserve 12X85GR")</f>
        <v>Köpek Mama Pomeranian Köpek Konserve 12X85GR</v>
      </c>
      <c r="D209" s="17"/>
      <c r="E209" s="17" t="str">
        <f>IFERROR(__xludf.DUMMYFUNCTION("""COMPUTED_VALUE"""),"Köpek Konserve Maması")</f>
        <v>Köpek Konserve Maması</v>
      </c>
      <c r="F209" s="17">
        <f>IFERROR(__xludf.DUMMYFUNCTION("""COMPUTED_VALUE"""),599.0)</f>
        <v>599</v>
      </c>
      <c r="G209" s="17">
        <f>IFERROR(__xludf.DUMMYFUNCTION("""COMPUTED_VALUE"""),540.0)</f>
        <v>540</v>
      </c>
      <c r="H209" s="17">
        <f>IFERROR(__xludf.DUMMYFUNCTION("""COMPUTED_VALUE"""),14.0)</f>
        <v>14</v>
      </c>
      <c r="I209" s="17" t="str">
        <f>IFERROR(__xludf.DUMMYFUNCTION("""COMPUTED_VALUE"""),"Onayli")</f>
        <v>Onayli</v>
      </c>
      <c r="J209" s="40">
        <f>IF($A209="","",IFERROR(VLOOKUP($A209,'Maliyet Giris'!$A$2:$G$550,6,0),""))</f>
        <v>487.2</v>
      </c>
      <c r="K209" s="40">
        <f>IF($A209="","",IFERROR(VLOOKUP($A209,'Maliyet Giris'!$A$2:$G$550,7,0),""))</f>
        <v>2</v>
      </c>
    </row>
    <row r="210">
      <c r="A210" s="17">
        <f>IFERROR(__xludf.DUMMYFUNCTION("""COMPUTED_VALUE"""),3.182550784566E12)</f>
        <v>3182550784566</v>
      </c>
      <c r="B210" s="17" t="str">
        <f>IFERROR(__xludf.DUMMYFUNCTION("""COMPUTED_VALUE"""),"Royal Canin")</f>
        <v>Royal Canin</v>
      </c>
      <c r="C210" s="17" t="str">
        <f>IFERROR(__xludf.DUMMYFUNCTION("""COMPUTED_VALUE"""),"Sterilised Kısırlaştırılmış 7 Yaş Ve Üzeri Kediler Için Kuru Kedi Maması 1.5kg")</f>
        <v>Sterilised Kısırlaştırılmış 7 Yaş Ve Üzeri Kediler Için Kuru Kedi Maması 1.5kg</v>
      </c>
      <c r="D210" s="17"/>
      <c r="E210" s="17" t="str">
        <f>IFERROR(__xludf.DUMMYFUNCTION("""COMPUTED_VALUE"""),"Kedi Kuru Maması")</f>
        <v>Kedi Kuru Maması</v>
      </c>
      <c r="F210" s="17">
        <f>IFERROR(__xludf.DUMMYFUNCTION("""COMPUTED_VALUE"""),0.0)</f>
        <v>0</v>
      </c>
      <c r="G210" s="17"/>
      <c r="H210" s="17">
        <f>IFERROR(__xludf.DUMMYFUNCTION("""COMPUTED_VALUE"""),0.0)</f>
        <v>0</v>
      </c>
      <c r="I210" s="17" t="str">
        <f>IFERROR(__xludf.DUMMYFUNCTION("""COMPUTED_VALUE"""),"Onayli - Satista degil")</f>
        <v>Onayli - Satista degil</v>
      </c>
      <c r="J210" s="40">
        <f>IF($A210="","",IFERROR(VLOOKUP($A210,'Maliyet Giris'!$A$2:$G$550,6,0),""))</f>
        <v>653.52</v>
      </c>
      <c r="K210" s="40">
        <f>IF($A210="","",IFERROR(VLOOKUP($A210,'Maliyet Giris'!$A$2:$G$550,7,0),""))</f>
        <v>2</v>
      </c>
    </row>
    <row r="211">
      <c r="A211" s="17">
        <f>IFERROR(__xludf.DUMMYFUNCTION("""COMPUTED_VALUE"""),3.182550704625E12)</f>
        <v>3182550704625</v>
      </c>
      <c r="B211" s="17" t="str">
        <f>IFERROR(__xludf.DUMMYFUNCTION("""COMPUTED_VALUE"""),"Royal Canin")</f>
        <v>Royal Canin</v>
      </c>
      <c r="C211" s="17" t="str">
        <f>IFERROR(__xludf.DUMMYFUNCTION("""COMPUTED_VALUE"""),"Indoor27 Yetişkin Kuru Kedi Maması 2kg")</f>
        <v>Indoor27 Yetişkin Kuru Kedi Maması 2kg</v>
      </c>
      <c r="D211" s="17"/>
      <c r="E211" s="17" t="str">
        <f>IFERROR(__xludf.DUMMYFUNCTION("""COMPUTED_VALUE"""),"Kedi Kuru Maması")</f>
        <v>Kedi Kuru Maması</v>
      </c>
      <c r="F211" s="17">
        <f>IFERROR(__xludf.DUMMYFUNCTION("""COMPUTED_VALUE"""),0.0)</f>
        <v>0</v>
      </c>
      <c r="G211" s="17"/>
      <c r="H211" s="17">
        <f>IFERROR(__xludf.DUMMYFUNCTION("""COMPUTED_VALUE"""),0.0)</f>
        <v>0</v>
      </c>
      <c r="I211" s="17" t="str">
        <f>IFERROR(__xludf.DUMMYFUNCTION("""COMPUTED_VALUE"""),"Onayli - Satista degil")</f>
        <v>Onayli - Satista degil</v>
      </c>
      <c r="J211" s="40">
        <f>IF($A211="","",IFERROR(VLOOKUP($A211,'Maliyet Giris'!$A$2:$G$550,6,0),""))</f>
        <v>1</v>
      </c>
      <c r="K211" s="40">
        <f>IF($A211="","",IFERROR(VLOOKUP($A211,'Maliyet Giris'!$A$2:$G$550,7,0),""))</f>
        <v>3</v>
      </c>
    </row>
    <row r="212">
      <c r="A212" s="17">
        <f>IFERROR(__xludf.DUMMYFUNCTION("""COMPUTED_VALUE"""),9.003579311844E12)</f>
        <v>9003579311844</v>
      </c>
      <c r="B212" s="17" t="str">
        <f>IFERROR(__xludf.DUMMYFUNCTION("""COMPUTED_VALUE"""),"Royal Canin")</f>
        <v>Royal Canin</v>
      </c>
      <c r="C212" s="17" t="str">
        <f>IFERROR(__xludf.DUMMYFUNCTION("""COMPUTED_VALUE"""),"Sterilised Jelly Kısırlaştırılmış Yetişkin Kedi Yaş Maması 85 Gr x 12")</f>
        <v>Sterilised Jelly Kısırlaştırılmış Yetişkin Kedi Yaş Maması 85 Gr x 12</v>
      </c>
      <c r="D212" s="17"/>
      <c r="E212" s="17" t="str">
        <f>IFERROR(__xludf.DUMMYFUNCTION("""COMPUTED_VALUE"""),"Kedi Konserve Maması")</f>
        <v>Kedi Konserve Maması</v>
      </c>
      <c r="F212" s="17">
        <f>IFERROR(__xludf.DUMMYFUNCTION("""COMPUTED_VALUE"""),750.0)</f>
        <v>750</v>
      </c>
      <c r="G212" s="17">
        <f>IFERROR(__xludf.DUMMYFUNCTION("""COMPUTED_VALUE"""),613.0)</f>
        <v>613</v>
      </c>
      <c r="H212" s="17">
        <f>IFERROR(__xludf.DUMMYFUNCTION("""COMPUTED_VALUE"""),4.0)</f>
        <v>4</v>
      </c>
      <c r="I212" s="17" t="str">
        <f>IFERROR(__xludf.DUMMYFUNCTION("""COMPUTED_VALUE"""),"Onayli")</f>
        <v>Onayli</v>
      </c>
      <c r="J212" s="40">
        <f>IF($A212="","",IFERROR(VLOOKUP($A212,'Maliyet Giris'!$A$2:$G$550,6,0),""))</f>
        <v>504</v>
      </c>
      <c r="K212" s="40">
        <f>IF($A212="","",IFERROR(VLOOKUP($A212,'Maliyet Giris'!$A$2:$G$550,7,0),""))</f>
        <v>1</v>
      </c>
    </row>
    <row r="213">
      <c r="A213" s="17">
        <f>IFERROR(__xludf.DUMMYFUNCTION("""COMPUTED_VALUE"""),3.18255078458E12)</f>
        <v>3182550784580</v>
      </c>
      <c r="B213" s="17" t="str">
        <f>IFERROR(__xludf.DUMMYFUNCTION("""COMPUTED_VALUE"""),"Royal Canin")</f>
        <v>Royal Canin</v>
      </c>
      <c r="C213" s="17" t="str">
        <f>IFERROR(__xludf.DUMMYFUNCTION("""COMPUTED_VALUE"""),"Sterilised Kısırlaştırılmış 7 Yaş Ve Üzeri Kediler Için Kuru Kedi Maması 3.5kg")</f>
        <v>Sterilised Kısırlaştırılmış 7 Yaş Ve Üzeri Kediler Için Kuru Kedi Maması 3.5kg</v>
      </c>
      <c r="D213" s="17"/>
      <c r="E213" s="17" t="str">
        <f>IFERROR(__xludf.DUMMYFUNCTION("""COMPUTED_VALUE"""),"Kedi Kuru Maması")</f>
        <v>Kedi Kuru Maması</v>
      </c>
      <c r="F213" s="17">
        <f>IFERROR(__xludf.DUMMYFUNCTION("""COMPUTED_VALUE"""),0.0)</f>
        <v>0</v>
      </c>
      <c r="G213" s="17"/>
      <c r="H213" s="17">
        <f>IFERROR(__xludf.DUMMYFUNCTION("""COMPUTED_VALUE"""),0.0)</f>
        <v>0</v>
      </c>
      <c r="I213" s="17" t="str">
        <f>IFERROR(__xludf.DUMMYFUNCTION("""COMPUTED_VALUE"""),"Onayli - Satista degil")</f>
        <v>Onayli - Satista degil</v>
      </c>
      <c r="J213" s="40">
        <f>IF($A213="","",IFERROR(VLOOKUP($A213,'Maliyet Giris'!$A$2:$G$550,6,0),""))</f>
        <v>1604</v>
      </c>
      <c r="K213" s="40">
        <f>IF($A213="","",IFERROR(VLOOKUP($A213,'Maliyet Giris'!$A$2:$G$550,7,0),""))</f>
        <v>4</v>
      </c>
    </row>
    <row r="214">
      <c r="A214" s="17">
        <f>IFERROR(__xludf.DUMMYFUNCTION("""COMPUTED_VALUE"""),3.182550908443E12)</f>
        <v>3182550908443</v>
      </c>
      <c r="B214" s="17" t="str">
        <f>IFERROR(__xludf.DUMMYFUNCTION("""COMPUTED_VALUE"""),"Royal Canin")</f>
        <v>Royal Canin</v>
      </c>
      <c r="C214" s="17" t="str">
        <f>IFERROR(__xludf.DUMMYFUNCTION("""COMPUTED_VALUE"""),"Pomeranian Yetişkin Köpek Maması 1,5 kg Idili")</f>
        <v>Pomeranian Yetişkin Köpek Maması 1,5 kg Idili</v>
      </c>
      <c r="D214" s="17"/>
      <c r="E214" s="17" t="str">
        <f>IFERROR(__xludf.DUMMYFUNCTION("""COMPUTED_VALUE"""),"Köpek Kuru Maması")</f>
        <v>Köpek Kuru Maması</v>
      </c>
      <c r="F214" s="17">
        <f>IFERROR(__xludf.DUMMYFUNCTION("""COMPUTED_VALUE"""),888.0)</f>
        <v>888</v>
      </c>
      <c r="G214" s="17">
        <f>IFERROR(__xludf.DUMMYFUNCTION("""COMPUTED_VALUE"""),769.99)</f>
        <v>769.99</v>
      </c>
      <c r="H214" s="17">
        <f>IFERROR(__xludf.DUMMYFUNCTION("""COMPUTED_VALUE"""),25.0)</f>
        <v>25</v>
      </c>
      <c r="I214" s="17" t="str">
        <f>IFERROR(__xludf.DUMMYFUNCTION("""COMPUTED_VALUE"""),"Onayli")</f>
        <v>Onayli</v>
      </c>
      <c r="J214" s="40">
        <f>IF($A214="","",IFERROR(VLOOKUP($A214,'Maliyet Giris'!$A$2:$G$550,6,0),""))</f>
        <v>594</v>
      </c>
      <c r="K214" s="40">
        <f>IF($A214="","",IFERROR(VLOOKUP($A214,'Maliyet Giris'!$A$2:$G$550,7,0),""))</f>
        <v>2</v>
      </c>
    </row>
    <row r="215">
      <c r="A215" s="17">
        <f>IFERROR(__xludf.DUMMYFUNCTION("""COMPUTED_VALUE"""),3.182550716857E12)</f>
        <v>3182550716857</v>
      </c>
      <c r="B215" s="17" t="str">
        <f>IFERROR(__xludf.DUMMYFUNCTION("""COMPUTED_VALUE"""),"Royal Canin")</f>
        <v>Royal Canin</v>
      </c>
      <c r="C215" s="17" t="str">
        <f>IFERROR(__xludf.DUMMYFUNCTION("""COMPUTED_VALUE"""),"Yorkshire Terrier Yetişkin ve Yaşlılar Için Kuru Köpek Maması 1,5 kg")</f>
        <v>Yorkshire Terrier Yetişkin ve Yaşlılar Için Kuru Köpek Maması 1,5 kg</v>
      </c>
      <c r="D215" s="17"/>
      <c r="E215" s="17" t="str">
        <f>IFERROR(__xludf.DUMMYFUNCTION("""COMPUTED_VALUE"""),"Köpek Kuru Maması")</f>
        <v>Köpek Kuru Maması</v>
      </c>
      <c r="F215" s="17">
        <f>IFERROR(__xludf.DUMMYFUNCTION("""COMPUTED_VALUE"""),1035.0)</f>
        <v>1035</v>
      </c>
      <c r="G215" s="17">
        <f>IFERROR(__xludf.DUMMYFUNCTION("""COMPUTED_VALUE"""),949.0)</f>
        <v>949</v>
      </c>
      <c r="H215" s="17">
        <f>IFERROR(__xludf.DUMMYFUNCTION("""COMPUTED_VALUE"""),3.0)</f>
        <v>3</v>
      </c>
      <c r="I215" s="17" t="str">
        <f>IFERROR(__xludf.DUMMYFUNCTION("""COMPUTED_VALUE"""),"Onayli")</f>
        <v>Onayli</v>
      </c>
      <c r="J215" s="40">
        <f>IF($A215="","",IFERROR(VLOOKUP($A215,'Maliyet Giris'!$A$2:$G$550,6,0),""))</f>
        <v>621.6</v>
      </c>
      <c r="K215" s="40">
        <f>IF($A215="","",IFERROR(VLOOKUP($A215,'Maliyet Giris'!$A$2:$G$550,7,0),""))</f>
        <v>2</v>
      </c>
    </row>
    <row r="216">
      <c r="A216" s="17">
        <f>IFERROR(__xludf.DUMMYFUNCTION("""COMPUTED_VALUE"""),9.003579308745E12)</f>
        <v>9003579308745</v>
      </c>
      <c r="B216" s="17" t="str">
        <f>IFERROR(__xludf.DUMMYFUNCTION("""COMPUTED_VALUE"""),"Royal Canin")</f>
        <v>Royal Canin</v>
      </c>
      <c r="C216" s="17" t="str">
        <f>IFERROR(__xludf.DUMMYFUNCTION("""COMPUTED_VALUE"""),"Gravy Yavru Kedi Konservesi 85 gr 12 Adet")</f>
        <v>Gravy Yavru Kedi Konservesi 85 gr 12 Adet</v>
      </c>
      <c r="D216" s="17"/>
      <c r="E216" s="17" t="str">
        <f>IFERROR(__xludf.DUMMYFUNCTION("""COMPUTED_VALUE"""),"Kedi Konserve Maması")</f>
        <v>Kedi Konserve Maması</v>
      </c>
      <c r="F216" s="17">
        <f>IFERROR(__xludf.DUMMYFUNCTION("""COMPUTED_VALUE"""),850.0)</f>
        <v>850</v>
      </c>
      <c r="G216" s="17">
        <f>IFERROR(__xludf.DUMMYFUNCTION("""COMPUTED_VALUE"""),559.0)</f>
        <v>559</v>
      </c>
      <c r="H216" s="17">
        <f>IFERROR(__xludf.DUMMYFUNCTION("""COMPUTED_VALUE"""),5.0)</f>
        <v>5</v>
      </c>
      <c r="I216" s="17" t="str">
        <f>IFERROR(__xludf.DUMMYFUNCTION("""COMPUTED_VALUE"""),"Onayli")</f>
        <v>Onayli</v>
      </c>
      <c r="J216" s="40">
        <f>IF($A216="","",IFERROR(VLOOKUP($A216,'Maliyet Giris'!$A$2:$G$550,6,0),""))</f>
        <v>557.76</v>
      </c>
      <c r="K216" s="40">
        <f>IF($A216="","",IFERROR(VLOOKUP($A216,'Maliyet Giris'!$A$2:$G$550,7,0),""))</f>
        <v>2</v>
      </c>
    </row>
    <row r="217">
      <c r="A217" s="17">
        <f>IFERROR(__xludf.DUMMYFUNCTION("""COMPUTED_VALUE"""),3.182550717137E12)</f>
        <v>3182550717137</v>
      </c>
      <c r="B217" s="17" t="str">
        <f>IFERROR(__xludf.DUMMYFUNCTION("""COMPUTED_VALUE"""),"Royal Canin")</f>
        <v>Royal Canin</v>
      </c>
      <c r="C217" s="17" t="str">
        <f>IFERROR(__xludf.DUMMYFUNCTION("""COMPUTED_VALUE"""),"Fussy Exigent Seçici Kediler Için Kuru Kedi Maması 2kg")</f>
        <v>Fussy Exigent Seçici Kediler Için Kuru Kedi Maması 2kg</v>
      </c>
      <c r="D217" s="17"/>
      <c r="E217" s="17" t="str">
        <f>IFERROR(__xludf.DUMMYFUNCTION("""COMPUTED_VALUE"""),"Kedi Kuru Maması")</f>
        <v>Kedi Kuru Maması</v>
      </c>
      <c r="F217" s="17">
        <f>IFERROR(__xludf.DUMMYFUNCTION("""COMPUTED_VALUE"""),0.0)</f>
        <v>0</v>
      </c>
      <c r="G217" s="17"/>
      <c r="H217" s="17">
        <f>IFERROR(__xludf.DUMMYFUNCTION("""COMPUTED_VALUE"""),0.0)</f>
        <v>0</v>
      </c>
      <c r="I217" s="17" t="str">
        <f>IFERROR(__xludf.DUMMYFUNCTION("""COMPUTED_VALUE"""),"Onayli - Satista degil")</f>
        <v>Onayli - Satista degil</v>
      </c>
      <c r="J217" s="40">
        <f>IF($A217="","",IFERROR(VLOOKUP($A217,'Maliyet Giris'!$A$2:$G$550,6,0),""))</f>
        <v>832.44</v>
      </c>
      <c r="K217" s="40">
        <f>IF($A217="","",IFERROR(VLOOKUP($A217,'Maliyet Giris'!$A$2:$G$550,7,0),""))</f>
        <v>2</v>
      </c>
    </row>
    <row r="218">
      <c r="A218" s="17">
        <f>IFERROR(__xludf.DUMMYFUNCTION("""COMPUTED_VALUE"""),3.1825507214E12)</f>
        <v>3182550721400</v>
      </c>
      <c r="B218" s="17" t="str">
        <f>IFERROR(__xludf.DUMMYFUNCTION("""COMPUTED_VALUE"""),"Royal Canin")</f>
        <v>Royal Canin</v>
      </c>
      <c r="C218" s="17" t="str">
        <f>IFERROR(__xludf.DUMMYFUNCTION("""COMPUTED_VALUE"""),"Hairball Tüy Yumağı Önleyici Yetişkin Kedi Maması 2 Kg")</f>
        <v>Hairball Tüy Yumağı Önleyici Yetişkin Kedi Maması 2 Kg</v>
      </c>
      <c r="D218" s="17"/>
      <c r="E218" s="17" t="str">
        <f>IFERROR(__xludf.DUMMYFUNCTION("""COMPUTED_VALUE"""),"Kedi Kuru Maması")</f>
        <v>Kedi Kuru Maması</v>
      </c>
      <c r="F218" s="17">
        <f>IFERROR(__xludf.DUMMYFUNCTION("""COMPUTED_VALUE"""),0.0)</f>
        <v>0</v>
      </c>
      <c r="G218" s="17"/>
      <c r="H218" s="17">
        <f>IFERROR(__xludf.DUMMYFUNCTION("""COMPUTED_VALUE"""),0.0)</f>
        <v>0</v>
      </c>
      <c r="I218" s="17" t="str">
        <f>IFERROR(__xludf.DUMMYFUNCTION("""COMPUTED_VALUE"""),"Onayli - Satista degil")</f>
        <v>Onayli - Satista degil</v>
      </c>
      <c r="J218" s="40">
        <f>IF($A218="","",IFERROR(VLOOKUP($A218,'Maliyet Giris'!$A$2:$G$550,6,0),""))</f>
        <v>1083.6</v>
      </c>
      <c r="K218" s="40">
        <f>IF($A218="","",IFERROR(VLOOKUP($A218,'Maliyet Giris'!$A$2:$G$550,7,0),""))</f>
        <v>2</v>
      </c>
    </row>
    <row r="219">
      <c r="A219" s="17">
        <f>IFERROR(__xludf.DUMMYFUNCTION("""COMPUTED_VALUE"""),3.18255040217E12)</f>
        <v>3182550402170</v>
      </c>
      <c r="B219" s="17" t="str">
        <f>IFERROR(__xludf.DUMMYFUNCTION("""COMPUTED_VALUE"""),"Royal Canin")</f>
        <v>Royal Canin</v>
      </c>
      <c r="C219" s="17" t="str">
        <f>IFERROR(__xludf.DUMMYFUNCTION("""COMPUTED_VALUE"""),"Küçük Irklar Için Yetişkin Kuru Köpek Maması 2kg")</f>
        <v>Küçük Irklar Için Yetişkin Kuru Köpek Maması 2kg</v>
      </c>
      <c r="D219" s="17"/>
      <c r="E219" s="17" t="str">
        <f>IFERROR(__xludf.DUMMYFUNCTION("""COMPUTED_VALUE"""),"Köpek Kuru Maması")</f>
        <v>Köpek Kuru Maması</v>
      </c>
      <c r="F219" s="17">
        <f>IFERROR(__xludf.DUMMYFUNCTION("""COMPUTED_VALUE"""),0.0)</f>
        <v>0</v>
      </c>
      <c r="G219" s="17"/>
      <c r="H219" s="17">
        <f>IFERROR(__xludf.DUMMYFUNCTION("""COMPUTED_VALUE"""),0.0)</f>
        <v>0</v>
      </c>
      <c r="I219" s="17" t="str">
        <f>IFERROR(__xludf.DUMMYFUNCTION("""COMPUTED_VALUE"""),"Onayli - Satista degil")</f>
        <v>Onayli - Satista degil</v>
      </c>
      <c r="J219" s="40">
        <f>IF($A219="","",IFERROR(VLOOKUP($A219,'Maliyet Giris'!$A$2:$G$550,6,0),""))</f>
        <v>689.64</v>
      </c>
      <c r="K219" s="40">
        <f>IF($A219="","",IFERROR(VLOOKUP($A219,'Maliyet Giris'!$A$2:$G$550,7,0),""))</f>
        <v>2</v>
      </c>
    </row>
    <row r="220">
      <c r="A220" s="17">
        <f>IFERROR(__xludf.DUMMYFUNCTION("""COMPUTED_VALUE"""),9.00357931179E12)</f>
        <v>9003579311790</v>
      </c>
      <c r="B220" s="17" t="str">
        <f>IFERROR(__xludf.DUMMYFUNCTION("""COMPUTED_VALUE"""),"Royal Canin")</f>
        <v>Royal Canin</v>
      </c>
      <c r="C220" s="17" t="str">
        <f>IFERROR(__xludf.DUMMYFUNCTION("""COMPUTED_VALUE"""),"12'li Intense Beauty Kedi Maması 85 gr")</f>
        <v>12'li Intense Beauty Kedi Maması 85 gr</v>
      </c>
      <c r="D220" s="17"/>
      <c r="E220" s="17" t="str">
        <f>IFERROR(__xludf.DUMMYFUNCTION("""COMPUTED_VALUE"""),"Kedi Kuru Maması")</f>
        <v>Kedi Kuru Maması</v>
      </c>
      <c r="F220" s="17">
        <f>IFERROR(__xludf.DUMMYFUNCTION("""COMPUTED_VALUE"""),0.0)</f>
        <v>0</v>
      </c>
      <c r="G220" s="17"/>
      <c r="H220" s="17">
        <f>IFERROR(__xludf.DUMMYFUNCTION("""COMPUTED_VALUE"""),0.0)</f>
        <v>0</v>
      </c>
      <c r="I220" s="17" t="str">
        <f>IFERROR(__xludf.DUMMYFUNCTION("""COMPUTED_VALUE"""),"Onayli - Satista degil")</f>
        <v>Onayli - Satista degil</v>
      </c>
      <c r="J220" s="40">
        <f>IF($A220="","",IFERROR(VLOOKUP($A220,'Maliyet Giris'!$A$2:$G$550,6,0),""))</f>
        <v>557.76</v>
      </c>
      <c r="K220" s="40">
        <f>IF($A220="","",IFERROR(VLOOKUP($A220,'Maliyet Giris'!$A$2:$G$550,7,0),""))</f>
        <v>2</v>
      </c>
    </row>
    <row r="221">
      <c r="A221" s="17" t="str">
        <f>IFERROR(__xludf.DUMMYFUNCTION("""COMPUTED_VALUE"""),"35RYCNN02")</f>
        <v>35RYCNN02</v>
      </c>
      <c r="B221" s="17" t="str">
        <f>IFERROR(__xludf.DUMMYFUNCTION("""COMPUTED_VALUE"""),"Royal Canin")</f>
        <v>Royal Canin</v>
      </c>
      <c r="C221" s="17" t="str">
        <f>IFERROR(__xludf.DUMMYFUNCTION("""COMPUTED_VALUE"""),"Kitten Yavru Kediler Için Kuru Kedi Maması 4 kg")</f>
        <v>Kitten Yavru Kediler Için Kuru Kedi Maması 4 kg</v>
      </c>
      <c r="D221" s="17"/>
      <c r="E221" s="17" t="str">
        <f>IFERROR(__xludf.DUMMYFUNCTION("""COMPUTED_VALUE"""),"Kedi Kuru Maması")</f>
        <v>Kedi Kuru Maması</v>
      </c>
      <c r="F221" s="17">
        <f>IFERROR(__xludf.DUMMYFUNCTION("""COMPUTED_VALUE"""),0.0)</f>
        <v>0</v>
      </c>
      <c r="G221" s="17"/>
      <c r="H221" s="17">
        <f>IFERROR(__xludf.DUMMYFUNCTION("""COMPUTED_VALUE"""),0.0)</f>
        <v>0</v>
      </c>
      <c r="I221" s="17" t="str">
        <f>IFERROR(__xludf.DUMMYFUNCTION("""COMPUTED_VALUE"""),"Onayli - Satista degil")</f>
        <v>Onayli - Satista degil</v>
      </c>
      <c r="J221" s="40">
        <f>IF($A221="","",IFERROR(VLOOKUP($A221,'Maliyet Giris'!$A$2:$G$550,6,0),""))</f>
        <v>1459</v>
      </c>
      <c r="K221" s="40">
        <f>IF($A221="","",IFERROR(VLOOKUP($A221,'Maliyet Giris'!$A$2:$G$550,7,0),""))</f>
        <v>4</v>
      </c>
    </row>
    <row r="222">
      <c r="A222" s="17">
        <f>IFERROR(__xludf.DUMMYFUNCTION("""COMPUTED_VALUE"""),9.003579008249E12)</f>
        <v>9003579008249</v>
      </c>
      <c r="B222" s="17" t="str">
        <f>IFERROR(__xludf.DUMMYFUNCTION("""COMPUTED_VALUE"""),"Royal Canin")</f>
        <v>Royal Canin</v>
      </c>
      <c r="C222" s="17" t="str">
        <f>IFERROR(__xludf.DUMMYFUNCTION("""COMPUTED_VALUE"""),"Küçük Irklar için Yetişkin Yaş Köpek Maması 12 x 85g")</f>
        <v>Küçük Irklar için Yetişkin Yaş Köpek Maması 12 x 85g</v>
      </c>
      <c r="D222" s="17"/>
      <c r="E222" s="17" t="str">
        <f>IFERROR(__xludf.DUMMYFUNCTION("""COMPUTED_VALUE"""),"Köpek Konserve Maması")</f>
        <v>Köpek Konserve Maması</v>
      </c>
      <c r="F222" s="17">
        <f>IFERROR(__xludf.DUMMYFUNCTION("""COMPUTED_VALUE"""),663.0)</f>
        <v>663</v>
      </c>
      <c r="G222" s="17">
        <f>IFERROR(__xludf.DUMMYFUNCTION("""COMPUTED_VALUE"""),505.0)</f>
        <v>505</v>
      </c>
      <c r="H222" s="17">
        <f>IFERROR(__xludf.DUMMYFUNCTION("""COMPUTED_VALUE"""),10.0)</f>
        <v>10</v>
      </c>
      <c r="I222" s="17" t="str">
        <f>IFERROR(__xludf.DUMMYFUNCTION("""COMPUTED_VALUE"""),"Onayli")</f>
        <v>Onayli</v>
      </c>
      <c r="J222" s="40">
        <f>IF($A222="","",IFERROR(VLOOKUP($A222,'Maliyet Giris'!$A$2:$G$550,6,0),""))</f>
        <v>434.28</v>
      </c>
      <c r="K222" s="40">
        <f>IF($A222="","",IFERROR(VLOOKUP($A222,'Maliyet Giris'!$A$2:$G$550,7,0),""))</f>
        <v>2</v>
      </c>
    </row>
    <row r="223">
      <c r="A223" s="17">
        <f>IFERROR(__xludf.DUMMYFUNCTION("""COMPUTED_VALUE"""),9.003579029763E12)</f>
        <v>9003579029763</v>
      </c>
      <c r="B223" s="17" t="str">
        <f>IFERROR(__xludf.DUMMYFUNCTION("""COMPUTED_VALUE"""),"Royal Canin")</f>
        <v>Royal Canin</v>
      </c>
      <c r="C223" s="17" t="str">
        <f>IFERROR(__xludf.DUMMYFUNCTION("""COMPUTED_VALUE"""),"Orta Irklar Için Yaş Konserve Köpek Maması 410g")</f>
        <v>Orta Irklar Için Yaş Konserve Köpek Maması 410g</v>
      </c>
      <c r="D223" s="17"/>
      <c r="E223" s="17" t="str">
        <f>IFERROR(__xludf.DUMMYFUNCTION("""COMPUTED_VALUE"""),"Köpek Konserve Maması")</f>
        <v>Köpek Konserve Maması</v>
      </c>
      <c r="F223" s="17">
        <f>IFERROR(__xludf.DUMMYFUNCTION("""COMPUTED_VALUE"""),300.0)</f>
        <v>300</v>
      </c>
      <c r="G223" s="17">
        <f>IFERROR(__xludf.DUMMYFUNCTION("""COMPUTED_VALUE"""),189.0)</f>
        <v>189</v>
      </c>
      <c r="H223" s="17">
        <f>IFERROR(__xludf.DUMMYFUNCTION("""COMPUTED_VALUE"""),5.0)</f>
        <v>5</v>
      </c>
      <c r="I223" s="17" t="str">
        <f>IFERROR(__xludf.DUMMYFUNCTION("""COMPUTED_VALUE"""),"Onayli")</f>
        <v>Onayli</v>
      </c>
      <c r="J223" s="40">
        <f>IF($A223="","",IFERROR(VLOOKUP($A223,'Maliyet Giris'!$A$2:$G$550,6,0),""))</f>
        <v>1</v>
      </c>
      <c r="K223" s="40">
        <f>IF($A223="","",IFERROR(VLOOKUP($A223,'Maliyet Giris'!$A$2:$G$550,7,0),""))</f>
        <v>2</v>
      </c>
    </row>
    <row r="224">
      <c r="A224" s="17" t="str">
        <f>IFERROR(__xludf.DUMMYFUNCTION("""COMPUTED_VALUE"""),"TYBT0G6C7YR9R8WA07")</f>
        <v>TYBT0G6C7YR9R8WA07</v>
      </c>
      <c r="B224" s="17" t="str">
        <f>IFERROR(__xludf.DUMMYFUNCTION("""COMPUTED_VALUE"""),"Royal Canin")</f>
        <v>Royal Canin</v>
      </c>
      <c r="C224" s="17" t="str">
        <f>IFERROR(__xludf.DUMMYFUNCTION("""COMPUTED_VALUE"""),"Orta Irklar için Yavru Yaş Köpek Maması 10 x 140g")</f>
        <v>Orta Irklar için Yavru Yaş Köpek Maması 10 x 140g</v>
      </c>
      <c r="D224" s="17"/>
      <c r="E224" s="17" t="str">
        <f>IFERROR(__xludf.DUMMYFUNCTION("""COMPUTED_VALUE"""),"Kedi Konserve Maması")</f>
        <v>Kedi Konserve Maması</v>
      </c>
      <c r="F224" s="17">
        <f>IFERROR(__xludf.DUMMYFUNCTION("""COMPUTED_VALUE"""),999.0)</f>
        <v>999</v>
      </c>
      <c r="G224" s="17">
        <f>IFERROR(__xludf.DUMMYFUNCTION("""COMPUTED_VALUE"""),999.0)</f>
        <v>999</v>
      </c>
      <c r="H224" s="17">
        <f>IFERROR(__xludf.DUMMYFUNCTION("""COMPUTED_VALUE"""),5.0)</f>
        <v>5</v>
      </c>
      <c r="I224" s="17" t="str">
        <f>IFERROR(__xludf.DUMMYFUNCTION("""COMPUTED_VALUE"""),"Onayli")</f>
        <v>Onayli</v>
      </c>
      <c r="J224" s="40">
        <f>IF($A224="","",IFERROR(VLOOKUP($A224,'Maliyet Giris'!$A$2:$G$550,6,0),""))</f>
        <v>1</v>
      </c>
      <c r="K224" s="40">
        <f>IF($A224="","",IFERROR(VLOOKUP($A224,'Maliyet Giris'!$A$2:$G$550,7,0),""))</f>
        <v>3</v>
      </c>
    </row>
    <row r="225">
      <c r="A225" s="17">
        <f>IFERROR(__xludf.DUMMYFUNCTION("""COMPUTED_VALUE"""),5.703579008379E12)</f>
        <v>5703579008379</v>
      </c>
      <c r="B225" s="17" t="str">
        <f>IFERROR(__xludf.DUMMYFUNCTION("""COMPUTED_VALUE"""),"Royal Canin")</f>
        <v>Royal Canin</v>
      </c>
      <c r="C225" s="17" t="str">
        <f>IFERROR(__xludf.DUMMYFUNCTION("""COMPUTED_VALUE"""),"Medium Orta Irklar Için Yaş Köpek Maması 10 X 140g")</f>
        <v>Medium Orta Irklar Için Yaş Köpek Maması 10 X 140g</v>
      </c>
      <c r="D225" s="17"/>
      <c r="E225" s="17" t="str">
        <f>IFERROR(__xludf.DUMMYFUNCTION("""COMPUTED_VALUE"""),"Köpek Konserve Maması")</f>
        <v>Köpek Konserve Maması</v>
      </c>
      <c r="F225" s="17">
        <f>IFERROR(__xludf.DUMMYFUNCTION("""COMPUTED_VALUE"""),1500.0)</f>
        <v>1500</v>
      </c>
      <c r="G225" s="17"/>
      <c r="H225" s="17">
        <f>IFERROR(__xludf.DUMMYFUNCTION("""COMPUTED_VALUE"""),0.0)</f>
        <v>0</v>
      </c>
      <c r="I225" s="17" t="str">
        <f>IFERROR(__xludf.DUMMYFUNCTION("""COMPUTED_VALUE"""),"Onayli - Satista degil")</f>
        <v>Onayli - Satista degil</v>
      </c>
      <c r="J225" s="40">
        <f>IF($A225="","",IFERROR(VLOOKUP($A225,'Maliyet Giris'!$A$2:$G$550,6,0),""))</f>
        <v>1</v>
      </c>
      <c r="K225" s="40">
        <f>IF($A225="","",IFERROR(VLOOKUP($A225,'Maliyet Giris'!$A$2:$G$550,7,0),""))</f>
        <v>2</v>
      </c>
    </row>
    <row r="226">
      <c r="A226" s="17">
        <f>IFERROR(__xludf.DUMMYFUNCTION("""COMPUTED_VALUE"""),9.003579008485E12)</f>
        <v>9003579008485</v>
      </c>
      <c r="B226" s="17" t="str">
        <f>IFERROR(__xludf.DUMMYFUNCTION("""COMPUTED_VALUE"""),"Royal Canin")</f>
        <v>Royal Canin</v>
      </c>
      <c r="C226" s="17" t="str">
        <f>IFERROR(__xludf.DUMMYFUNCTION("""COMPUTED_VALUE"""),"Maxi Adult Gravy Yetişkin Köpek Konservesi 10 Adet 140 Gr")</f>
        <v>Maxi Adult Gravy Yetişkin Köpek Konservesi 10 Adet 140 Gr</v>
      </c>
      <c r="D226" s="17"/>
      <c r="E226" s="17" t="str">
        <f>IFERROR(__xludf.DUMMYFUNCTION("""COMPUTED_VALUE"""),"Köpek Konserve Maması")</f>
        <v>Köpek Konserve Maması</v>
      </c>
      <c r="F226" s="17">
        <f>IFERROR(__xludf.DUMMYFUNCTION("""COMPUTED_VALUE"""),999.0)</f>
        <v>999</v>
      </c>
      <c r="G226" s="17">
        <f>IFERROR(__xludf.DUMMYFUNCTION("""COMPUTED_VALUE"""),465.0)</f>
        <v>465</v>
      </c>
      <c r="H226" s="17">
        <f>IFERROR(__xludf.DUMMYFUNCTION("""COMPUTED_VALUE"""),5.0)</f>
        <v>5</v>
      </c>
      <c r="I226" s="17" t="str">
        <f>IFERROR(__xludf.DUMMYFUNCTION("""COMPUTED_VALUE"""),"Onayli")</f>
        <v>Onayli</v>
      </c>
      <c r="J226" s="40">
        <f>IF($A226="","",IFERROR(VLOOKUP($A226,'Maliyet Giris'!$A$2:$G$550,6,0),""))</f>
        <v>536.76</v>
      </c>
      <c r="K226" s="40">
        <f>IF($A226="","",IFERROR(VLOOKUP($A226,'Maliyet Giris'!$A$2:$G$550,7,0),""))</f>
        <v>2</v>
      </c>
    </row>
    <row r="227">
      <c r="A227" s="17">
        <f>IFERROR(__xludf.DUMMYFUNCTION("""COMPUTED_VALUE"""),9.003579008331E12)</f>
        <v>9003579008331</v>
      </c>
      <c r="B227" s="17" t="str">
        <f>IFERROR(__xludf.DUMMYFUNCTION("""COMPUTED_VALUE"""),"Royal Canin")</f>
        <v>Royal Canin</v>
      </c>
      <c r="C227" s="17" t="str">
        <f>IFERROR(__xludf.DUMMYFUNCTION("""COMPUTED_VALUE"""),"Medium Puppy Gravy Yavru Konserve Köpek Maması 140 Gr - 109801400 - Petshopundan")</f>
        <v>Medium Puppy Gravy Yavru Konserve Köpek Maması 140 Gr - 109801400 - Petshopundan</v>
      </c>
      <c r="D227" s="17"/>
      <c r="E227" s="17" t="str">
        <f>IFERROR(__xludf.DUMMYFUNCTION("""COMPUTED_VALUE"""),"Köpek Konserve Maması")</f>
        <v>Köpek Konserve Maması</v>
      </c>
      <c r="F227" s="17">
        <f>IFERROR(__xludf.DUMMYFUNCTION("""COMPUTED_VALUE"""),250.0)</f>
        <v>250</v>
      </c>
      <c r="G227" s="17">
        <f>IFERROR(__xludf.DUMMYFUNCTION("""COMPUTED_VALUE"""),105.0)</f>
        <v>105</v>
      </c>
      <c r="H227" s="17">
        <f>IFERROR(__xludf.DUMMYFUNCTION("""COMPUTED_VALUE"""),5.0)</f>
        <v>5</v>
      </c>
      <c r="I227" s="17" t="str">
        <f>IFERROR(__xludf.DUMMYFUNCTION("""COMPUTED_VALUE"""),"Onayli")</f>
        <v>Onayli</v>
      </c>
      <c r="J227" s="40">
        <f>IF($A227="","",IFERROR(VLOOKUP($A227,'Maliyet Giris'!$A$2:$G$550,6,0),""))</f>
        <v>1</v>
      </c>
      <c r="K227" s="40">
        <f>IF($A227="","",IFERROR(VLOOKUP($A227,'Maliyet Giris'!$A$2:$G$550,7,0),""))</f>
        <v>2</v>
      </c>
    </row>
    <row r="228">
      <c r="A228" s="17" t="str">
        <f>IFERROR(__xludf.DUMMYFUNCTION("""COMPUTED_VALUE"""),"TX89D7B71549005")</f>
        <v>TX89D7B71549005</v>
      </c>
      <c r="B228" s="17" t="str">
        <f>IFERROR(__xludf.DUMMYFUNCTION("""COMPUTED_VALUE"""),"Royal Canin")</f>
        <v>Royal Canin</v>
      </c>
      <c r="C228" s="17" t="str">
        <f>IFERROR(__xludf.DUMMYFUNCTION("""COMPUTED_VALUE"""),"Sensory Taste Etli Soslu Kedi Konservesi 85 Gr")</f>
        <v>Sensory Taste Etli Soslu Kedi Konservesi 85 Gr</v>
      </c>
      <c r="D228" s="17"/>
      <c r="E228" s="17" t="str">
        <f>IFERROR(__xludf.DUMMYFUNCTION("""COMPUTED_VALUE"""),"Kedi Konserve Maması")</f>
        <v>Kedi Konserve Maması</v>
      </c>
      <c r="F228" s="17">
        <f>IFERROR(__xludf.DUMMYFUNCTION("""COMPUTED_VALUE"""),0.0)</f>
        <v>0</v>
      </c>
      <c r="G228" s="17"/>
      <c r="H228" s="17">
        <f>IFERROR(__xludf.DUMMYFUNCTION("""COMPUTED_VALUE"""),5.0)</f>
        <v>5</v>
      </c>
      <c r="I228" s="17" t="str">
        <f>IFERROR(__xludf.DUMMYFUNCTION("""COMPUTED_VALUE"""),"Onayli - Satista degil")</f>
        <v>Onayli - Satista degil</v>
      </c>
      <c r="J228" s="40" t="str">
        <f>IF($A228="","",IFERROR(VLOOKUP($A228,'Maliyet Giris'!$A$2:$G$550,6,0),""))</f>
        <v/>
      </c>
      <c r="K228" s="40" t="str">
        <f>IF($A228="","",IFERROR(VLOOKUP($A228,'Maliyet Giris'!$A$2:$G$550,7,0),""))</f>
        <v/>
      </c>
    </row>
    <row r="229">
      <c r="A229" s="17">
        <f>IFERROR(__xludf.DUMMYFUNCTION("""COMPUTED_VALUE"""),9.003579018941E12)</f>
        <v>9003579018941</v>
      </c>
      <c r="B229" s="17" t="str">
        <f>IFERROR(__xludf.DUMMYFUNCTION("""COMPUTED_VALUE"""),"Royal Canin")</f>
        <v>Royal Canin</v>
      </c>
      <c r="C229" s="17" t="str">
        <f>IFERROR(__xludf.DUMMYFUNCTION("""COMPUTED_VALUE"""),"Sensory Feel in Gravy Adult Yetişkin Kedi Konservesi 85 Gr")</f>
        <v>Sensory Feel in Gravy Adult Yetişkin Kedi Konservesi 85 Gr</v>
      </c>
      <c r="D229" s="17"/>
      <c r="E229" s="17" t="str">
        <f>IFERROR(__xludf.DUMMYFUNCTION("""COMPUTED_VALUE"""),"Kedi Konserve Maması")</f>
        <v>Kedi Konserve Maması</v>
      </c>
      <c r="F229" s="17">
        <f>IFERROR(__xludf.DUMMYFUNCTION("""COMPUTED_VALUE"""),0.0)</f>
        <v>0</v>
      </c>
      <c r="G229" s="17"/>
      <c r="H229" s="17">
        <f>IFERROR(__xludf.DUMMYFUNCTION("""COMPUTED_VALUE"""),5.0)</f>
        <v>5</v>
      </c>
      <c r="I229" s="17" t="str">
        <f>IFERROR(__xludf.DUMMYFUNCTION("""COMPUTED_VALUE"""),"Onayli - Satista degil")</f>
        <v>Onayli - Satista degil</v>
      </c>
      <c r="J229" s="40" t="str">
        <f>IF($A229="","",IFERROR(VLOOKUP($A229,'Maliyet Giris'!$A$2:$G$550,6,0),""))</f>
        <v/>
      </c>
      <c r="K229" s="40" t="str">
        <f>IF($A229="","",IFERROR(VLOOKUP($A229,'Maliyet Giris'!$A$2:$G$550,7,0),""))</f>
        <v/>
      </c>
    </row>
    <row r="230">
      <c r="A230" s="17" t="str">
        <f>IFERROR(__xludf.DUMMYFUNCTION("""COMPUTED_VALUE"""),"TYB4UMVNPMYZ5M4L47")</f>
        <v>TYB4UMVNPMYZ5M4L47</v>
      </c>
      <c r="B230" s="17" t="str">
        <f>IFERROR(__xludf.DUMMYFUNCTION("""COMPUTED_VALUE"""),"FELIX")</f>
        <v>FELIX</v>
      </c>
      <c r="C230" s="17" t="str">
        <f>IFERROR(__xludf.DUMMYFUNCTION("""COMPUTED_VALUE"""),"Karışık Yetişkin Yaş Kedi Maması 85 Gr X 26 Adet")</f>
        <v>Karışık Yetişkin Yaş Kedi Maması 85 Gr X 26 Adet</v>
      </c>
      <c r="D230" s="17"/>
      <c r="E230" s="17" t="str">
        <f>IFERROR(__xludf.DUMMYFUNCTION("""COMPUTED_VALUE"""),"Kedi Konserve Maması")</f>
        <v>Kedi Konserve Maması</v>
      </c>
      <c r="F230" s="17">
        <f>IFERROR(__xludf.DUMMYFUNCTION("""COMPUTED_VALUE"""),669.0)</f>
        <v>669</v>
      </c>
      <c r="G230" s="17">
        <f>IFERROR(__xludf.DUMMYFUNCTION("""COMPUTED_VALUE"""),649.9)</f>
        <v>649.9</v>
      </c>
      <c r="H230" s="17">
        <f>IFERROR(__xludf.DUMMYFUNCTION("""COMPUTED_VALUE"""),390.0)</f>
        <v>390</v>
      </c>
      <c r="I230" s="17" t="str">
        <f>IFERROR(__xludf.DUMMYFUNCTION("""COMPUTED_VALUE"""),"Onayli")</f>
        <v>Onayli</v>
      </c>
      <c r="J230" s="40">
        <f>IF($A230="","",IFERROR(VLOOKUP($A230,'Maliyet Giris'!$A$2:$G$550,6,0),""))</f>
        <v>390</v>
      </c>
      <c r="K230" s="40">
        <f>IF($A230="","",IFERROR(VLOOKUP($A230,'Maliyet Giris'!$A$2:$G$550,7,0),""))</f>
        <v>2</v>
      </c>
    </row>
    <row r="231">
      <c r="A231" s="17" t="str">
        <f>IFERROR(__xludf.DUMMYFUNCTION("""COMPUTED_VALUE"""),"86811374628K36")</f>
        <v>86811374628K36</v>
      </c>
      <c r="B231" s="17" t="str">
        <f>IFERROR(__xludf.DUMMYFUNCTION("""COMPUTED_VALUE"""),"Gourmet")</f>
        <v>Gourmet</v>
      </c>
      <c r="C231" s="17" t="str">
        <f>IFERROR(__xludf.DUMMYFUNCTION("""COMPUTED_VALUE"""),"Purina Gold Sığır Etli Yetişkin Kıyılmış Kedi Konserve 36 x 85 G")</f>
        <v>Purina Gold Sığır Etli Yetişkin Kıyılmış Kedi Konserve 36 x 85 G</v>
      </c>
      <c r="D231" s="17"/>
      <c r="E231" s="17" t="str">
        <f>IFERROR(__xludf.DUMMYFUNCTION("""COMPUTED_VALUE"""),"Kedi Konserve Maması")</f>
        <v>Kedi Konserve Maması</v>
      </c>
      <c r="F231" s="17">
        <f>IFERROR(__xludf.DUMMYFUNCTION("""COMPUTED_VALUE"""),1186.0)</f>
        <v>1186</v>
      </c>
      <c r="G231" s="17"/>
      <c r="H231" s="17">
        <f>IFERROR(__xludf.DUMMYFUNCTION("""COMPUTED_VALUE"""),0.0)</f>
        <v>0</v>
      </c>
      <c r="I231" s="17" t="str">
        <f>IFERROR(__xludf.DUMMYFUNCTION("""COMPUTED_VALUE"""),"Onayli - Satista degil")</f>
        <v>Onayli - Satista degil</v>
      </c>
      <c r="J231" s="40">
        <f>IF($A231="","",IFERROR(VLOOKUP($A231,'Maliyet Giris'!$A$2:$G$550,6,0),""))</f>
        <v>850</v>
      </c>
      <c r="K231" s="40">
        <f>IF($A231="","",IFERROR(VLOOKUP($A231,'Maliyet Giris'!$A$2:$G$550,7,0),""))</f>
        <v>3</v>
      </c>
    </row>
    <row r="232">
      <c r="A232" s="17">
        <f>IFERROR(__xludf.DUMMYFUNCTION("""COMPUTED_VALUE"""),8.694867251321E12)</f>
        <v>8694867251321</v>
      </c>
      <c r="B232" s="17" t="str">
        <f>IFERROR(__xludf.DUMMYFUNCTION("""COMPUTED_VALUE"""),"FELIX")</f>
        <v>FELIX</v>
      </c>
      <c r="C232" s="17" t="str">
        <f>IFERROR(__xludf.DUMMYFUNCTION("""COMPUTED_VALUE"""),"20 Adet Karışık Kedi Yaş Maması")</f>
        <v>20 Adet Karışık Kedi Yaş Maması</v>
      </c>
      <c r="D232" s="17"/>
      <c r="E232" s="17" t="str">
        <f>IFERROR(__xludf.DUMMYFUNCTION("""COMPUTED_VALUE"""),"Kedi Konserve Maması")</f>
        <v>Kedi Konserve Maması</v>
      </c>
      <c r="F232" s="17">
        <f>IFERROR(__xludf.DUMMYFUNCTION("""COMPUTED_VALUE"""),659.0)</f>
        <v>659</v>
      </c>
      <c r="G232" s="17">
        <f>IFERROR(__xludf.DUMMYFUNCTION("""COMPUTED_VALUE"""),658.0)</f>
        <v>658</v>
      </c>
      <c r="H232" s="17">
        <f>IFERROR(__xludf.DUMMYFUNCTION("""COMPUTED_VALUE"""),200.0)</f>
        <v>200</v>
      </c>
      <c r="I232" s="17" t="str">
        <f>IFERROR(__xludf.DUMMYFUNCTION("""COMPUTED_VALUE"""),"Onayli")</f>
        <v>Onayli</v>
      </c>
      <c r="J232" s="40">
        <f>IF($A232="","",IFERROR(VLOOKUP($A232,'Maliyet Giris'!$A$2:$G$550,6,0),""))</f>
        <v>300</v>
      </c>
      <c r="K232" s="40">
        <f>IF($A232="","",IFERROR(VLOOKUP($A232,'Maliyet Giris'!$A$2:$G$550,7,0),""))</f>
        <v>1</v>
      </c>
    </row>
    <row r="233">
      <c r="A233" s="17">
        <f>IFERROR(__xludf.DUMMYFUNCTION("""COMPUTED_VALUE"""),2.06441287E9)</f>
        <v>2064412870</v>
      </c>
      <c r="B233" s="17" t="str">
        <f>IFERROR(__xludf.DUMMYFUNCTION("""COMPUTED_VALUE"""),"FELIX")</f>
        <v>FELIX</v>
      </c>
      <c r="C233" s="17" t="str">
        <f>IFERROR(__xludf.DUMMYFUNCTION("""COMPUTED_VALUE"""),"Purina Karışık Kedi Yaş Maması 100 Adet")</f>
        <v>Purina Karışık Kedi Yaş Maması 100 Adet</v>
      </c>
      <c r="D233" s="17"/>
      <c r="E233" s="17" t="str">
        <f>IFERROR(__xludf.DUMMYFUNCTION("""COMPUTED_VALUE"""),"Kedi Kuru Maması")</f>
        <v>Kedi Kuru Maması</v>
      </c>
      <c r="F233" s="17">
        <f>IFERROR(__xludf.DUMMYFUNCTION("""COMPUTED_VALUE"""),2249.0)</f>
        <v>2249</v>
      </c>
      <c r="G233" s="17">
        <f>IFERROR(__xludf.DUMMYFUNCTION("""COMPUTED_VALUE"""),2245.0)</f>
        <v>2245</v>
      </c>
      <c r="H233" s="17">
        <f>IFERROR(__xludf.DUMMYFUNCTION("""COMPUTED_VALUE"""),195.0)</f>
        <v>195</v>
      </c>
      <c r="I233" s="17" t="str">
        <f>IFERROR(__xludf.DUMMYFUNCTION("""COMPUTED_VALUE"""),"Onayli")</f>
        <v>Onayli</v>
      </c>
      <c r="J233" s="40">
        <f>IF($A233="","",IFERROR(VLOOKUP($A233,'Maliyet Giris'!$A$2:$G$550,6,0),""))</f>
        <v>1500</v>
      </c>
      <c r="K233" s="40">
        <f>IF($A233="","",IFERROR(VLOOKUP($A233,'Maliyet Giris'!$A$2:$G$550,7,0),""))</f>
        <v>8</v>
      </c>
    </row>
    <row r="234">
      <c r="A234" s="17">
        <f>IFERROR(__xludf.DUMMYFUNCTION("""COMPUTED_VALUE"""),4.000487598894E12)</f>
        <v>4000487598894</v>
      </c>
      <c r="B234" s="17" t="str">
        <f>IFERROR(__xludf.DUMMYFUNCTION("""COMPUTED_VALUE"""),"FELIX")</f>
        <v>FELIX</v>
      </c>
      <c r="C234" s="17" t="str">
        <f>IFERROR(__xludf.DUMMYFUNCTION("""COMPUTED_VALUE"""),"Purina Karışık Kedi Yaş Maması 100 Adet")</f>
        <v>Purina Karışık Kedi Yaş Maması 100 Adet</v>
      </c>
      <c r="D234" s="17"/>
      <c r="E234" s="17" t="str">
        <f>IFERROR(__xludf.DUMMYFUNCTION("""COMPUTED_VALUE"""),"Kedi Kuru Maması")</f>
        <v>Kedi Kuru Maması</v>
      </c>
      <c r="F234" s="17">
        <f>IFERROR(__xludf.DUMMYFUNCTION("""COMPUTED_VALUE"""),0.0)</f>
        <v>0</v>
      </c>
      <c r="G234" s="17"/>
      <c r="H234" s="17">
        <f>IFERROR(__xludf.DUMMYFUNCTION("""COMPUTED_VALUE"""),0.0)</f>
        <v>0</v>
      </c>
      <c r="I234" s="17" t="str">
        <f>IFERROR(__xludf.DUMMYFUNCTION("""COMPUTED_VALUE"""),"Onayli - Satista degil")</f>
        <v>Onayli - Satista degil</v>
      </c>
      <c r="J234" s="40">
        <f>IF($A234="","",IFERROR(VLOOKUP($A234,'Maliyet Giris'!$A$2:$G$550,6,0),""))</f>
        <v>1500</v>
      </c>
      <c r="K234" s="40">
        <f>IF($A234="","",IFERROR(VLOOKUP($A234,'Maliyet Giris'!$A$2:$G$550,7,0),""))</f>
        <v>8</v>
      </c>
    </row>
    <row r="235">
      <c r="A235" s="17">
        <f>IFERROR(__xludf.DUMMYFUNCTION("""COMPUTED_VALUE"""),8.46799273637E11)</f>
        <v>846799273637</v>
      </c>
      <c r="B235" s="17" t="str">
        <f>IFERROR(__xludf.DUMMYFUNCTION("""COMPUTED_VALUE"""),"FELIX")</f>
        <v>FELIX</v>
      </c>
      <c r="C235" s="17" t="str">
        <f>IFERROR(__xludf.DUMMYFUNCTION("""COMPUTED_VALUE"""),"Karışık Kedi Yaş Mama 28 Paket")</f>
        <v>Karışık Kedi Yaş Mama 28 Paket</v>
      </c>
      <c r="D235" s="17"/>
      <c r="E235" s="17" t="str">
        <f>IFERROR(__xludf.DUMMYFUNCTION("""COMPUTED_VALUE"""),"Kedi Kuru Maması")</f>
        <v>Kedi Kuru Maması</v>
      </c>
      <c r="F235" s="17">
        <f>IFERROR(__xludf.DUMMYFUNCTION("""COMPUTED_VALUE"""),648.0)</f>
        <v>648</v>
      </c>
      <c r="G235" s="17">
        <f>IFERROR(__xludf.DUMMYFUNCTION("""COMPUTED_VALUE"""),645.0)</f>
        <v>645</v>
      </c>
      <c r="H235" s="17">
        <f>IFERROR(__xludf.DUMMYFUNCTION("""COMPUTED_VALUE"""),183.0)</f>
        <v>183</v>
      </c>
      <c r="I235" s="17" t="str">
        <f>IFERROR(__xludf.DUMMYFUNCTION("""COMPUTED_VALUE"""),"Onayli")</f>
        <v>Onayli</v>
      </c>
      <c r="J235" s="40">
        <f>IF($A235="","",IFERROR(VLOOKUP($A235,'Maliyet Giris'!$A$2:$G$550,6,0),""))</f>
        <v>420</v>
      </c>
      <c r="K235" s="40">
        <f>IF($A235="","",IFERROR(VLOOKUP($A235,'Maliyet Giris'!$A$2:$G$550,7,0),""))</f>
        <v>1</v>
      </c>
    </row>
    <row r="236">
      <c r="A236" s="17" t="str">
        <f>IFERROR(__xludf.DUMMYFUNCTION("""COMPUTED_VALUE"""),"TYBJ6BLX4VD87YGF30")</f>
        <v>TYBJ6BLX4VD87YGF30</v>
      </c>
      <c r="B236" s="17" t="str">
        <f>IFERROR(__xludf.DUMMYFUNCTION("""COMPUTED_VALUE"""),"FELIX")</f>
        <v>FELIX</v>
      </c>
      <c r="C236" s="17" t="str">
        <f>IFERROR(__xludf.DUMMYFUNCTION("""COMPUTED_VALUE"""),"Felix Sığır Etli Kedi Avantajlı Paket (4x85) Gr")</f>
        <v>Felix Sığır Etli Kedi Avantajlı Paket (4x85) Gr</v>
      </c>
      <c r="D236" s="17"/>
      <c r="E236" s="17" t="str">
        <f>IFERROR(__xludf.DUMMYFUNCTION("""COMPUTED_VALUE"""),"Kedi Konserve Maması")</f>
        <v>Kedi Konserve Maması</v>
      </c>
      <c r="F236" s="17">
        <f>IFERROR(__xludf.DUMMYFUNCTION("""COMPUTED_VALUE"""),552.0)</f>
        <v>552</v>
      </c>
      <c r="G236" s="17">
        <f>IFERROR(__xludf.DUMMYFUNCTION("""COMPUTED_VALUE"""),550.0)</f>
        <v>550</v>
      </c>
      <c r="H236" s="17">
        <f>IFERROR(__xludf.DUMMYFUNCTION("""COMPUTED_VALUE"""),500.0)</f>
        <v>500</v>
      </c>
      <c r="I236" s="17" t="str">
        <f>IFERROR(__xludf.DUMMYFUNCTION("""COMPUTED_VALUE"""),"Onayli")</f>
        <v>Onayli</v>
      </c>
      <c r="J236" s="40">
        <f>IF($A236="","",IFERROR(VLOOKUP($A236,'Maliyet Giris'!$A$2:$G$550,6,0),""))</f>
        <v>360</v>
      </c>
      <c r="K236" s="40">
        <f>IF($A236="","",IFERROR(VLOOKUP($A236,'Maliyet Giris'!$A$2:$G$550,7,0),""))</f>
        <v>2</v>
      </c>
    </row>
    <row r="237">
      <c r="A237" s="17">
        <f>IFERROR(__xludf.DUMMYFUNCTION("""COMPUTED_VALUE"""),7.613287487728E12)</f>
        <v>7613287487728</v>
      </c>
      <c r="B237" s="17" t="str">
        <f>IFERROR(__xludf.DUMMYFUNCTION("""COMPUTED_VALUE"""),"FELIX")</f>
        <v>FELIX</v>
      </c>
      <c r="C237" s="17" t="str">
        <f>IFERROR(__xludf.DUMMYFUNCTION("""COMPUTED_VALUE"""),"Junior Tavuklu Ve Sığır Etli Yaş Kedi Maması 12 Adet")</f>
        <v>Junior Tavuklu Ve Sığır Etli Yaş Kedi Maması 12 Adet</v>
      </c>
      <c r="D237" s="17"/>
      <c r="E237" s="17" t="str">
        <f>IFERROR(__xludf.DUMMYFUNCTION("""COMPUTED_VALUE"""),"Kedi Konserve Maması")</f>
        <v>Kedi Konserve Maması</v>
      </c>
      <c r="F237" s="17">
        <f>IFERROR(__xludf.DUMMYFUNCTION("""COMPUTED_VALUE"""),1190.0)</f>
        <v>1190</v>
      </c>
      <c r="G237" s="17">
        <f>IFERROR(__xludf.DUMMYFUNCTION("""COMPUTED_VALUE"""),1029.9)</f>
        <v>1029.9</v>
      </c>
      <c r="H237" s="17">
        <f>IFERROR(__xludf.DUMMYFUNCTION("""COMPUTED_VALUE"""),4.0)</f>
        <v>4</v>
      </c>
      <c r="I237" s="17" t="str">
        <f>IFERROR(__xludf.DUMMYFUNCTION("""COMPUTED_VALUE"""),"Onayli")</f>
        <v>Onayli</v>
      </c>
      <c r="J237" s="40">
        <f>IF($A237="","",IFERROR(VLOOKUP($A237,'Maliyet Giris'!$A$2:$G$550,6,0),""))</f>
        <v>720</v>
      </c>
      <c r="K237" s="40">
        <f>IF($A237="","",IFERROR(VLOOKUP($A237,'Maliyet Giris'!$A$2:$G$550,7,0),""))</f>
        <v>3</v>
      </c>
    </row>
    <row r="238">
      <c r="A238" s="17">
        <f>IFERROR(__xludf.DUMMYFUNCTION("""COMPUTED_VALUE"""),7.613035613898E12)</f>
        <v>7613035613898</v>
      </c>
      <c r="B238" s="17" t="str">
        <f>IFERROR(__xludf.DUMMYFUNCTION("""COMPUTED_VALUE"""),"Purina One")</f>
        <v>Purina One</v>
      </c>
      <c r="C238" s="17" t="str">
        <f>IFERROR(__xludf.DUMMYFUNCTION("""COMPUTED_VALUE"""),"Sığır Etli Kısırlaştırılmış Kedi Maması 1,5 Kg")</f>
        <v>Sığır Etli Kısırlaştırılmış Kedi Maması 1,5 Kg</v>
      </c>
      <c r="D238" s="17"/>
      <c r="E238" s="17" t="str">
        <f>IFERROR(__xludf.DUMMYFUNCTION("""COMPUTED_VALUE"""),"Kedi Kuru Maması")</f>
        <v>Kedi Kuru Maması</v>
      </c>
      <c r="F238" s="17">
        <f>IFERROR(__xludf.DUMMYFUNCTION("""COMPUTED_VALUE"""),719.0)</f>
        <v>719</v>
      </c>
      <c r="G238" s="17"/>
      <c r="H238" s="17">
        <f>IFERROR(__xludf.DUMMYFUNCTION("""COMPUTED_VALUE"""),0.0)</f>
        <v>0</v>
      </c>
      <c r="I238" s="17" t="str">
        <f>IFERROR(__xludf.DUMMYFUNCTION("""COMPUTED_VALUE"""),"Onayli - Satista degil")</f>
        <v>Onayli - Satista degil</v>
      </c>
      <c r="J238" s="40">
        <f>IF($A238="","",IFERROR(VLOOKUP($A238,'Maliyet Giris'!$A$2:$G$550,6,0),""))</f>
        <v>377</v>
      </c>
      <c r="K238" s="40">
        <f>IF($A238="","",IFERROR(VLOOKUP($A238,'Maliyet Giris'!$A$2:$G$550,7,0),""))</f>
        <v>3</v>
      </c>
    </row>
    <row r="239">
      <c r="A239" s="17" t="str">
        <f>IFERROR(__xludf.DUMMYFUNCTION("""COMPUTED_VALUE"""),"TYB856DFX88QX8NH71")</f>
        <v>TYB856DFX88QX8NH71</v>
      </c>
      <c r="B239" s="17" t="str">
        <f>IFERROR(__xludf.DUMMYFUNCTION("""COMPUTED_VALUE"""),"Purina One")</f>
        <v>Purina One</v>
      </c>
      <c r="C239" s="17" t="str">
        <f>IFERROR(__xludf.DUMMYFUNCTION("""COMPUTED_VALUE"""),"Somonlu Kısırlaştırılmış Yetişkin Kedi Maması 1.6 Kg (800 GR X 2 ADET)")</f>
        <v>Somonlu Kısırlaştırılmış Yetişkin Kedi Maması 1.6 Kg (800 GR X 2 ADET)</v>
      </c>
      <c r="D239" s="17"/>
      <c r="E239" s="17" t="str">
        <f>IFERROR(__xludf.DUMMYFUNCTION("""COMPUTED_VALUE"""),"Kedi Kuru Maması")</f>
        <v>Kedi Kuru Maması</v>
      </c>
      <c r="F239" s="17">
        <f>IFERROR(__xludf.DUMMYFUNCTION("""COMPUTED_VALUE"""),859.0)</f>
        <v>859</v>
      </c>
      <c r="G239" s="17"/>
      <c r="H239" s="17">
        <f>IFERROR(__xludf.DUMMYFUNCTION("""COMPUTED_VALUE"""),0.0)</f>
        <v>0</v>
      </c>
      <c r="I239" s="17" t="str">
        <f>IFERROR(__xludf.DUMMYFUNCTION("""COMPUTED_VALUE"""),"Onayli - Satista degil")</f>
        <v>Onayli - Satista degil</v>
      </c>
      <c r="J239" s="40">
        <f>IF($A239="","",IFERROR(VLOOKUP($A239,'Maliyet Giris'!$A$2:$G$550,6,0),""))</f>
        <v>460</v>
      </c>
      <c r="K239" s="40">
        <f>IF($A239="","",IFERROR(VLOOKUP($A239,'Maliyet Giris'!$A$2:$G$550,7,0),""))</f>
        <v>3</v>
      </c>
    </row>
    <row r="240">
      <c r="A240" s="17">
        <f>IFERROR(__xludf.DUMMYFUNCTION("""COMPUTED_VALUE"""),7.613033635574E12)</f>
        <v>7613033635574</v>
      </c>
      <c r="B240" s="17" t="str">
        <f>IFERROR(__xludf.DUMMYFUNCTION("""COMPUTED_VALUE"""),"Purina One")</f>
        <v>Purina One</v>
      </c>
      <c r="C240" s="17" t="str">
        <f>IFERROR(__xludf.DUMMYFUNCTION("""COMPUTED_VALUE"""),"Somonlu Kısırlaştırılmış Kedi Maması 1,5 Kg")</f>
        <v>Somonlu Kısırlaştırılmış Kedi Maması 1,5 Kg</v>
      </c>
      <c r="D240" s="17"/>
      <c r="E240" s="17" t="str">
        <f>IFERROR(__xludf.DUMMYFUNCTION("""COMPUTED_VALUE"""),"Kedi Kuru Maması")</f>
        <v>Kedi Kuru Maması</v>
      </c>
      <c r="F240" s="17">
        <f>IFERROR(__xludf.DUMMYFUNCTION("""COMPUTED_VALUE"""),800.0)</f>
        <v>800</v>
      </c>
      <c r="G240" s="17"/>
      <c r="H240" s="17">
        <f>IFERROR(__xludf.DUMMYFUNCTION("""COMPUTED_VALUE"""),0.0)</f>
        <v>0</v>
      </c>
      <c r="I240" s="17" t="str">
        <f>IFERROR(__xludf.DUMMYFUNCTION("""COMPUTED_VALUE"""),"Onayli - Satista degil")</f>
        <v>Onayli - Satista degil</v>
      </c>
      <c r="J240" s="40">
        <f>IF($A240="","",IFERROR(VLOOKUP($A240,'Maliyet Giris'!$A$2:$G$550,6,0),""))</f>
        <v>580</v>
      </c>
      <c r="K240" s="40">
        <f>IF($A240="","",IFERROR(VLOOKUP($A240,'Maliyet Giris'!$A$2:$G$550,7,0),""))</f>
        <v>2</v>
      </c>
    </row>
    <row r="241">
      <c r="A241" s="17">
        <f>IFERROR(__xludf.DUMMYFUNCTION("""COMPUTED_VALUE"""),8.445290099426E12)</f>
        <v>8445290099426</v>
      </c>
      <c r="B241" s="17" t="str">
        <f>IFERROR(__xludf.DUMMYFUNCTION("""COMPUTED_VALUE"""),"Purina One")</f>
        <v>Purina One</v>
      </c>
      <c r="C241" s="17" t="str">
        <f>IFERROR(__xludf.DUMMYFUNCTION("""COMPUTED_VALUE"""),"Steril Sığır Etli Kısırlaştırılmış Kedi Maması 800gr")</f>
        <v>Steril Sığır Etli Kısırlaştırılmış Kedi Maması 800gr</v>
      </c>
      <c r="D241" s="17"/>
      <c r="E241" s="17" t="str">
        <f>IFERROR(__xludf.DUMMYFUNCTION("""COMPUTED_VALUE"""),"Kedi Kuru Maması")</f>
        <v>Kedi Kuru Maması</v>
      </c>
      <c r="F241" s="17">
        <f>IFERROR(__xludf.DUMMYFUNCTION("""COMPUTED_VALUE"""),745.0)</f>
        <v>745</v>
      </c>
      <c r="G241" s="17"/>
      <c r="H241" s="17">
        <f>IFERROR(__xludf.DUMMYFUNCTION("""COMPUTED_VALUE"""),0.0)</f>
        <v>0</v>
      </c>
      <c r="I241" s="17" t="str">
        <f>IFERROR(__xludf.DUMMYFUNCTION("""COMPUTED_VALUE"""),"Onayli - Satista degil")</f>
        <v>Onayli - Satista degil</v>
      </c>
      <c r="J241" s="40">
        <f>IF($A241="","",IFERROR(VLOOKUP($A241,'Maliyet Giris'!$A$2:$G$550,6,0),""))</f>
        <v>255</v>
      </c>
      <c r="K241" s="40">
        <f>IF($A241="","",IFERROR(VLOOKUP($A241,'Maliyet Giris'!$A$2:$G$550,7,0),""))</f>
        <v>3</v>
      </c>
    </row>
    <row r="242">
      <c r="A242" s="17" t="str">
        <f>IFERROR(__xludf.DUMMYFUNCTION("""COMPUTED_VALUE"""),"PKTSGRKSR1500X4")</f>
        <v>PKTSGRKSR1500X4</v>
      </c>
      <c r="B242" s="17" t="str">
        <f>IFERROR(__xludf.DUMMYFUNCTION("""COMPUTED_VALUE"""),"Purina One")</f>
        <v>Purina One</v>
      </c>
      <c r="C242" s="17" t="str">
        <f>IFERROR(__xludf.DUMMYFUNCTION("""COMPUTED_VALUE"""),"Sterilised Sığır Etli Kısırlaştırılmış Kedi Maması 1,5 kgX4")</f>
        <v>Sterilised Sığır Etli Kısırlaştırılmış Kedi Maması 1,5 kgX4</v>
      </c>
      <c r="D242" s="17"/>
      <c r="E242" s="17" t="str">
        <f>IFERROR(__xludf.DUMMYFUNCTION("""COMPUTED_VALUE"""),"Kedi Kuru Maması")</f>
        <v>Kedi Kuru Maması</v>
      </c>
      <c r="F242" s="17">
        <f>IFERROR(__xludf.DUMMYFUNCTION("""COMPUTED_VALUE"""),2999.0)</f>
        <v>2999</v>
      </c>
      <c r="G242" s="17"/>
      <c r="H242" s="17">
        <f>IFERROR(__xludf.DUMMYFUNCTION("""COMPUTED_VALUE"""),0.0)</f>
        <v>0</v>
      </c>
      <c r="I242" s="17" t="str">
        <f>IFERROR(__xludf.DUMMYFUNCTION("""COMPUTED_VALUE"""),"Onayli - Satista degil")</f>
        <v>Onayli - Satista degil</v>
      </c>
      <c r="J242" s="40">
        <f>IF($A242="","",IFERROR(VLOOKUP($A242,'Maliyet Giris'!$A$2:$G$550,6,0),""))</f>
        <v>1508</v>
      </c>
      <c r="K242" s="40">
        <f>IF($A242="","",IFERROR(VLOOKUP($A242,'Maliyet Giris'!$A$2:$G$550,7,0),""))</f>
        <v>3</v>
      </c>
    </row>
    <row r="243">
      <c r="A243" s="17">
        <f>IFERROR(__xludf.DUMMYFUNCTION("""COMPUTED_VALUE"""),4.0004872260361E15)</f>
        <v>4.00049E+15</v>
      </c>
      <c r="B243" s="17" t="str">
        <f>IFERROR(__xludf.DUMMYFUNCTION("""COMPUTED_VALUE"""),"FELIX")</f>
        <v>FELIX</v>
      </c>
      <c r="C243" s="17" t="str">
        <f>IFERROR(__xludf.DUMMYFUNCTION("""COMPUTED_VALUE"""),"Kedi Konservesi Karışık (poşet) X 100 Adet X 85 Gr")</f>
        <v>Kedi Konservesi Karışık (poşet) X 100 Adet X 85 Gr</v>
      </c>
      <c r="D243" s="17"/>
      <c r="E243" s="17" t="str">
        <f>IFERROR(__xludf.DUMMYFUNCTION("""COMPUTED_VALUE"""),"Kedi Kuru Maması")</f>
        <v>Kedi Kuru Maması</v>
      </c>
      <c r="F243" s="17">
        <f>IFERROR(__xludf.DUMMYFUNCTION("""COMPUTED_VALUE"""),2249.0)</f>
        <v>2249</v>
      </c>
      <c r="G243" s="17">
        <f>IFERROR(__xludf.DUMMYFUNCTION("""COMPUTED_VALUE"""),2249.0)</f>
        <v>2249</v>
      </c>
      <c r="H243" s="17">
        <f>IFERROR(__xludf.DUMMYFUNCTION("""COMPUTED_VALUE"""),185.0)</f>
        <v>185</v>
      </c>
      <c r="I243" s="17" t="str">
        <f>IFERROR(__xludf.DUMMYFUNCTION("""COMPUTED_VALUE"""),"Onayli")</f>
        <v>Onayli</v>
      </c>
      <c r="J243" s="40">
        <f>IF($A243="","",IFERROR(VLOOKUP($A243,'Maliyet Giris'!$A$2:$G$550,6,0),""))</f>
        <v>1500</v>
      </c>
      <c r="K243" s="40">
        <f>IF($A243="","",IFERROR(VLOOKUP($A243,'Maliyet Giris'!$A$2:$G$550,7,0),""))</f>
        <v>6</v>
      </c>
    </row>
    <row r="244">
      <c r="A244" s="17" t="str">
        <f>IFERROR(__xludf.DUMMYFUNCTION("""COMPUTED_VALUE"""),"TYB6FA70RSFMWDH330")</f>
        <v>TYB6FA70RSFMWDH330</v>
      </c>
      <c r="B244" s="17" t="str">
        <f>IFERROR(__xludf.DUMMYFUNCTION("""COMPUTED_VALUE"""),"FELIX")</f>
        <v>FELIX</v>
      </c>
      <c r="C244" s="17" t="str">
        <f>IFERROR(__xludf.DUMMYFUNCTION("""COMPUTED_VALUE"""),"Karışık Yaş Kedi Maması 85 gr X 52 Adet")</f>
        <v>Karışık Yaş Kedi Maması 85 gr X 52 Adet</v>
      </c>
      <c r="D244" s="17"/>
      <c r="E244" s="17" t="str">
        <f>IFERROR(__xludf.DUMMYFUNCTION("""COMPUTED_VALUE"""),"Kedi Konserve Maması")</f>
        <v>Kedi Konserve Maması</v>
      </c>
      <c r="F244" s="17">
        <f>IFERROR(__xludf.DUMMYFUNCTION("""COMPUTED_VALUE"""),1187.0)</f>
        <v>1187</v>
      </c>
      <c r="G244" s="17">
        <f>IFERROR(__xludf.DUMMYFUNCTION("""COMPUTED_VALUE"""),1187.0)</f>
        <v>1187</v>
      </c>
      <c r="H244" s="17">
        <f>IFERROR(__xludf.DUMMYFUNCTION("""COMPUTED_VALUE"""),498.0)</f>
        <v>498</v>
      </c>
      <c r="I244" s="17" t="str">
        <f>IFERROR(__xludf.DUMMYFUNCTION("""COMPUTED_VALUE"""),"Onayli")</f>
        <v>Onayli</v>
      </c>
      <c r="J244" s="40">
        <f>IF($A244="","",IFERROR(VLOOKUP($A244,'Maliyet Giris'!$A$2:$G$550,6,0),""))</f>
        <v>780</v>
      </c>
      <c r="K244" s="40">
        <f>IF($A244="","",IFERROR(VLOOKUP($A244,'Maliyet Giris'!$A$2:$G$550,7,0),""))</f>
        <v>4</v>
      </c>
    </row>
    <row r="245">
      <c r="A245" s="17" t="str">
        <f>IFERROR(__xludf.DUMMYFUNCTION("""COMPUTED_VALUE"""),"TYB63LE63X4TX1PQ37")</f>
        <v>TYB63LE63X4TX1PQ37</v>
      </c>
      <c r="B245" s="17" t="str">
        <f>IFERROR(__xludf.DUMMYFUNCTION("""COMPUTED_VALUE"""),"Gourmet")</f>
        <v>Gourmet</v>
      </c>
      <c r="C245" s="17" t="str">
        <f>IFERROR(__xludf.DUMMYFUNCTION("""COMPUTED_VALUE"""),"Hindili Kıyılmış 85 G X 24 Adet")</f>
        <v>Hindili Kıyılmış 85 G X 24 Adet</v>
      </c>
      <c r="D245" s="17"/>
      <c r="E245" s="17" t="str">
        <f>IFERROR(__xludf.DUMMYFUNCTION("""COMPUTED_VALUE"""),"Kedi Konserve Maması")</f>
        <v>Kedi Konserve Maması</v>
      </c>
      <c r="F245" s="17">
        <f>IFERROR(__xludf.DUMMYFUNCTION("""COMPUTED_VALUE"""),781.0)</f>
        <v>781</v>
      </c>
      <c r="G245" s="17">
        <f>IFERROR(__xludf.DUMMYFUNCTION("""COMPUTED_VALUE"""),742.85)</f>
        <v>742.85</v>
      </c>
      <c r="H245" s="17">
        <f>IFERROR(__xludf.DUMMYFUNCTION("""COMPUTED_VALUE"""),58.0)</f>
        <v>58</v>
      </c>
      <c r="I245" s="17" t="str">
        <f>IFERROR(__xludf.DUMMYFUNCTION("""COMPUTED_VALUE"""),"Onayli")</f>
        <v>Onayli</v>
      </c>
      <c r="J245" s="40">
        <f>IF($A245="","",IFERROR(VLOOKUP($A245,'Maliyet Giris'!$A$2:$G$550,6,0),""))</f>
        <v>580</v>
      </c>
      <c r="K245" s="40">
        <f>IF($A245="","",IFERROR(VLOOKUP($A245,'Maliyet Giris'!$A$2:$G$550,7,0),""))</f>
        <v>2</v>
      </c>
    </row>
    <row r="246">
      <c r="A246" s="17" t="str">
        <f>IFERROR(__xludf.DUMMYFUNCTION("""COMPUTED_VALUE"""),"TYB1Q7CNXWNPS6MI83")</f>
        <v>TYB1Q7CNXWNPS6MI83</v>
      </c>
      <c r="B246" s="17" t="str">
        <f>IFERROR(__xludf.DUMMYFUNCTION("""COMPUTED_VALUE"""),"FELIX")</f>
        <v>FELIX</v>
      </c>
      <c r="C246" s="17" t="str">
        <f>IFERROR(__xludf.DUMMYFUNCTION("""COMPUTED_VALUE"""),"Karışık Yetişkin Yaş Kedi Maması 104 X 85 gr")</f>
        <v>Karışık Yetişkin Yaş Kedi Maması 104 X 85 gr</v>
      </c>
      <c r="D246" s="17"/>
      <c r="E246" s="17" t="str">
        <f>IFERROR(__xludf.DUMMYFUNCTION("""COMPUTED_VALUE"""),"Kedi Konserve Maması")</f>
        <v>Kedi Konserve Maması</v>
      </c>
      <c r="F246" s="17">
        <f>IFERROR(__xludf.DUMMYFUNCTION("""COMPUTED_VALUE"""),2179.0)</f>
        <v>2179</v>
      </c>
      <c r="G246" s="17">
        <f>IFERROR(__xludf.DUMMYFUNCTION("""COMPUTED_VALUE"""),2179.0)</f>
        <v>2179</v>
      </c>
      <c r="H246" s="17">
        <f>IFERROR(__xludf.DUMMYFUNCTION("""COMPUTED_VALUE"""),468.0)</f>
        <v>468</v>
      </c>
      <c r="I246" s="17" t="str">
        <f>IFERROR(__xludf.DUMMYFUNCTION("""COMPUTED_VALUE"""),"Onayli")</f>
        <v>Onayli</v>
      </c>
      <c r="J246" s="40">
        <f>IF($A246="","",IFERROR(VLOOKUP($A246,'Maliyet Giris'!$A$2:$G$550,6,0),""))</f>
        <v>1560</v>
      </c>
      <c r="K246" s="40">
        <f>IF($A246="","",IFERROR(VLOOKUP($A246,'Maliyet Giris'!$A$2:$G$550,7,0),""))</f>
        <v>7</v>
      </c>
    </row>
    <row r="247">
      <c r="A247" s="17" t="str">
        <f>IFERROR(__xludf.DUMMYFUNCTION("""COMPUTED_VALUE"""),"SHOPSBURG0109")</f>
        <v>SHOPSBURG0109</v>
      </c>
      <c r="B247" s="17" t="str">
        <f>IFERROR(__xludf.DUMMYFUNCTION("""COMPUTED_VALUE"""),"FELIX")</f>
        <v>FELIX</v>
      </c>
      <c r="C247" s="17" t="str">
        <f>IFERROR(__xludf.DUMMYFUNCTION("""COMPUTED_VALUE"""),"Karışık Yavru Kedi Yaş Maması 12 x 85 gr (6 Adet Tavuklu ve 6 Adet Sığır Etli)")</f>
        <v>Karışık Yavru Kedi Yaş Maması 12 x 85 gr (6 Adet Tavuklu ve 6 Adet Sığır Etli)</v>
      </c>
      <c r="D247" s="17"/>
      <c r="E247" s="17" t="str">
        <f>IFERROR(__xludf.DUMMYFUNCTION("""COMPUTED_VALUE"""),"Kedi Konserve Maması")</f>
        <v>Kedi Konserve Maması</v>
      </c>
      <c r="F247" s="17">
        <f>IFERROR(__xludf.DUMMYFUNCTION("""COMPUTED_VALUE"""),349.0)</f>
        <v>349</v>
      </c>
      <c r="G247" s="17">
        <f>IFERROR(__xludf.DUMMYFUNCTION("""COMPUTED_VALUE"""),310.9)</f>
        <v>310.9</v>
      </c>
      <c r="H247" s="17">
        <f>IFERROR(__xludf.DUMMYFUNCTION("""COMPUTED_VALUE"""),17.0)</f>
        <v>17</v>
      </c>
      <c r="I247" s="17" t="str">
        <f>IFERROR(__xludf.DUMMYFUNCTION("""COMPUTED_VALUE"""),"Onayli")</f>
        <v>Onayli</v>
      </c>
      <c r="J247" s="40">
        <f>IF($A247="","",IFERROR(VLOOKUP($A247,'Maliyet Giris'!$A$2:$G$550,6,0),""))</f>
        <v>180</v>
      </c>
      <c r="K247" s="40">
        <f>IF($A247="","",IFERROR(VLOOKUP($A247,'Maliyet Giris'!$A$2:$G$550,7,0),""))</f>
        <v>3</v>
      </c>
    </row>
    <row r="248">
      <c r="A248" s="17">
        <f>IFERROR(__xludf.DUMMYFUNCTION("""COMPUTED_VALUE"""),4.54654654354534E14)</f>
        <v>454654654354534</v>
      </c>
      <c r="B248" s="17" t="str">
        <f>IFERROR(__xludf.DUMMYFUNCTION("""COMPUTED_VALUE"""),"FELIX")</f>
        <v>FELIX</v>
      </c>
      <c r="C248" s="17" t="str">
        <f>IFERROR(__xludf.DUMMYFUNCTION("""COMPUTED_VALUE"""),"Karışık Paket Pouch Kedi Konservesi 26 x 85 gr")</f>
        <v>Karışık Paket Pouch Kedi Konservesi 26 x 85 gr</v>
      </c>
      <c r="D248" s="17"/>
      <c r="E248" s="17" t="str">
        <f>IFERROR(__xludf.DUMMYFUNCTION("""COMPUTED_VALUE"""),"Kedi Konserve Maması")</f>
        <v>Kedi Konserve Maması</v>
      </c>
      <c r="F248" s="17">
        <f>IFERROR(__xludf.DUMMYFUNCTION("""COMPUTED_VALUE"""),637.0)</f>
        <v>637</v>
      </c>
      <c r="G248" s="17">
        <f>IFERROR(__xludf.DUMMYFUNCTION("""COMPUTED_VALUE"""),634.9)</f>
        <v>634.9</v>
      </c>
      <c r="H248" s="17">
        <f>IFERROR(__xludf.DUMMYFUNCTION("""COMPUTED_VALUE"""),488.0)</f>
        <v>488</v>
      </c>
      <c r="I248" s="17" t="str">
        <f>IFERROR(__xludf.DUMMYFUNCTION("""COMPUTED_VALUE"""),"Onayli")</f>
        <v>Onayli</v>
      </c>
      <c r="J248" s="40">
        <f>IF($A248="","",IFERROR(VLOOKUP($A248,'Maliyet Giris'!$A$2:$G$550,6,0),""))</f>
        <v>390</v>
      </c>
      <c r="K248" s="40">
        <f>IF($A248="","",IFERROR(VLOOKUP($A248,'Maliyet Giris'!$A$2:$G$550,7,0),""))</f>
        <v>1</v>
      </c>
    </row>
    <row r="249">
      <c r="A249" s="17" t="str">
        <f>IFERROR(__xludf.DUMMYFUNCTION("""COMPUTED_VALUE"""),"TYBVYCTB5P95JXTS98")</f>
        <v>TYBVYCTB5P95JXTS98</v>
      </c>
      <c r="B249" s="17" t="str">
        <f>IFERROR(__xludf.DUMMYFUNCTION("""COMPUTED_VALUE"""),"FELIX")</f>
        <v>FELIX</v>
      </c>
      <c r="C249" s="17" t="str">
        <f>IFERROR(__xludf.DUMMYFUNCTION("""COMPUTED_VALUE"""),"Yavru Sığıretli Yaş Kedi Maması 26 Adet X 85 Gr. ( Yeni Paket)")</f>
        <v>Yavru Sığıretli Yaş Kedi Maması 26 Adet X 85 Gr. ( Yeni Paket)</v>
      </c>
      <c r="D249" s="17"/>
      <c r="E249" s="17" t="str">
        <f>IFERROR(__xludf.DUMMYFUNCTION("""COMPUTED_VALUE"""),"Kedi Konserve Maması")</f>
        <v>Kedi Konserve Maması</v>
      </c>
      <c r="F249" s="17">
        <f>IFERROR(__xludf.DUMMYFUNCTION("""COMPUTED_VALUE"""),699.0)</f>
        <v>699</v>
      </c>
      <c r="G249" s="17">
        <f>IFERROR(__xludf.DUMMYFUNCTION("""COMPUTED_VALUE"""),578.99)</f>
        <v>578.99</v>
      </c>
      <c r="H249" s="17">
        <f>IFERROR(__xludf.DUMMYFUNCTION("""COMPUTED_VALUE"""),10.0)</f>
        <v>10</v>
      </c>
      <c r="I249" s="17" t="str">
        <f>IFERROR(__xludf.DUMMYFUNCTION("""COMPUTED_VALUE"""),"Onayli")</f>
        <v>Onayli</v>
      </c>
      <c r="J249" s="40">
        <f>IF($A249="","",IFERROR(VLOOKUP($A249,'Maliyet Giris'!$A$2:$G$550,6,0),""))</f>
        <v>390</v>
      </c>
      <c r="K249" s="40">
        <f>IF($A249="","",IFERROR(VLOOKUP($A249,'Maliyet Giris'!$A$2:$G$550,7,0),""))</f>
        <v>3</v>
      </c>
    </row>
    <row r="250">
      <c r="A250" s="17" t="str">
        <f>IFERROR(__xludf.DUMMYFUNCTION("""COMPUTED_VALUE"""),"TYB7N6DXGDPRZMR507")</f>
        <v>TYB7N6DXGDPRZMR507</v>
      </c>
      <c r="B250" s="17" t="str">
        <f>IFERROR(__xludf.DUMMYFUNCTION("""COMPUTED_VALUE"""),"FELIX")</f>
        <v>FELIX</v>
      </c>
      <c r="C250" s="17" t="str">
        <f>IFERROR(__xludf.DUMMYFUNCTION("""COMPUTED_VALUE"""),"Tavuklu Yetişkin Yaş Kedi Maması 85 gr X 26 Adet")</f>
        <v>Tavuklu Yetişkin Yaş Kedi Maması 85 gr X 26 Adet</v>
      </c>
      <c r="D250" s="17"/>
      <c r="E250" s="17" t="str">
        <f>IFERROR(__xludf.DUMMYFUNCTION("""COMPUTED_VALUE"""),"Kedi Konserve Maması")</f>
        <v>Kedi Konserve Maması</v>
      </c>
      <c r="F250" s="17">
        <f>IFERROR(__xludf.DUMMYFUNCTION("""COMPUTED_VALUE"""),699.0)</f>
        <v>699</v>
      </c>
      <c r="G250" s="17">
        <f>IFERROR(__xludf.DUMMYFUNCTION("""COMPUTED_VALUE"""),507.27)</f>
        <v>507.27</v>
      </c>
      <c r="H250" s="17">
        <f>IFERROR(__xludf.DUMMYFUNCTION("""COMPUTED_VALUE"""),5.0)</f>
        <v>5</v>
      </c>
      <c r="I250" s="17" t="str">
        <f>IFERROR(__xludf.DUMMYFUNCTION("""COMPUTED_VALUE"""),"Onayli")</f>
        <v>Onayli</v>
      </c>
      <c r="J250" s="40">
        <f>IF($A250="","",IFERROR(VLOOKUP($A250,'Maliyet Giris'!$A$2:$G$550,6,0),""))</f>
        <v>390</v>
      </c>
      <c r="K250" s="40">
        <f>IF($A250="","",IFERROR(VLOOKUP($A250,'Maliyet Giris'!$A$2:$G$550,7,0),""))</f>
        <v>3</v>
      </c>
    </row>
    <row r="251">
      <c r="A251" s="17">
        <f>IFERROR(__xludf.DUMMYFUNCTION("""COMPUTED_VALUE"""),6.38929373773889E14)</f>
        <v>638929373773889</v>
      </c>
      <c r="B251" s="17" t="str">
        <f>IFERROR(__xludf.DUMMYFUNCTION("""COMPUTED_VALUE"""),"FELIX")</f>
        <v>FELIX</v>
      </c>
      <c r="C251" s="17" t="str">
        <f>IFERROR(__xludf.DUMMYFUNCTION("""COMPUTED_VALUE"""),"Yenilenmiş Paketi Ile 32 Adet Karışık Yaş Kedi Maması")</f>
        <v>Yenilenmiş Paketi Ile 32 Adet Karışık Yaş Kedi Maması</v>
      </c>
      <c r="D251" s="17"/>
      <c r="E251" s="17" t="str">
        <f>IFERROR(__xludf.DUMMYFUNCTION("""COMPUTED_VALUE"""),"Kedi Konserve Maması")</f>
        <v>Kedi Konserve Maması</v>
      </c>
      <c r="F251" s="17">
        <f>IFERROR(__xludf.DUMMYFUNCTION("""COMPUTED_VALUE"""),759.0)</f>
        <v>759</v>
      </c>
      <c r="G251" s="17">
        <f>IFERROR(__xludf.DUMMYFUNCTION("""COMPUTED_VALUE"""),759.0)</f>
        <v>759</v>
      </c>
      <c r="H251" s="17">
        <f>IFERROR(__xludf.DUMMYFUNCTION("""COMPUTED_VALUE"""),481.0)</f>
        <v>481</v>
      </c>
      <c r="I251" s="17" t="str">
        <f>IFERROR(__xludf.DUMMYFUNCTION("""COMPUTED_VALUE"""),"Onayli")</f>
        <v>Onayli</v>
      </c>
      <c r="J251" s="40">
        <f>IF($A251="","",IFERROR(VLOOKUP($A251,'Maliyet Giris'!$A$2:$G$550,6,0),""))</f>
        <v>480</v>
      </c>
      <c r="K251" s="40">
        <f>IF($A251="","",IFERROR(VLOOKUP($A251,'Maliyet Giris'!$A$2:$G$550,7,0),""))</f>
        <v>1</v>
      </c>
    </row>
    <row r="252">
      <c r="A252" s="17">
        <f>IFERROR(__xludf.DUMMYFUNCTION("""COMPUTED_VALUE"""),7.613031680992E12)</f>
        <v>7613031680992</v>
      </c>
      <c r="B252" s="17" t="str">
        <f>IFERROR(__xludf.DUMMYFUNCTION("""COMPUTED_VALUE"""),"Gourmet")</f>
        <v>Gourmet</v>
      </c>
      <c r="C252" s="17" t="str">
        <f>IFERROR(__xludf.DUMMYFUNCTION("""COMPUTED_VALUE"""),"Purina Gold Kıyılmış Hindi Etli Konserve Yetişkin Kedi Maması 24 x 85 G")</f>
        <v>Purina Gold Kıyılmış Hindi Etli Konserve Yetişkin Kedi Maması 24 x 85 G</v>
      </c>
      <c r="D252" s="17"/>
      <c r="E252" s="17" t="str">
        <f>IFERROR(__xludf.DUMMYFUNCTION("""COMPUTED_VALUE"""),"Kedi Konserve Maması")</f>
        <v>Kedi Konserve Maması</v>
      </c>
      <c r="F252" s="17">
        <f>IFERROR(__xludf.DUMMYFUNCTION("""COMPUTED_VALUE"""),796.0)</f>
        <v>796</v>
      </c>
      <c r="G252" s="17">
        <f>IFERROR(__xludf.DUMMYFUNCTION("""COMPUTED_VALUE"""),806.44)</f>
        <v>806.44</v>
      </c>
      <c r="H252" s="17">
        <f>IFERROR(__xludf.DUMMYFUNCTION("""COMPUTED_VALUE"""),65.0)</f>
        <v>65</v>
      </c>
      <c r="I252" s="17" t="str">
        <f>IFERROR(__xludf.DUMMYFUNCTION("""COMPUTED_VALUE"""),"Onayli")</f>
        <v>Onayli</v>
      </c>
      <c r="J252" s="40">
        <f>IF($A252="","",IFERROR(VLOOKUP($A252,'Maliyet Giris'!$A$2:$G$550,6,0),""))</f>
        <v>580</v>
      </c>
      <c r="K252" s="40">
        <f>IF($A252="","",IFERROR(VLOOKUP($A252,'Maliyet Giris'!$A$2:$G$550,7,0),""))</f>
        <v>1</v>
      </c>
    </row>
    <row r="253">
      <c r="A253" s="17">
        <f>IFERROR(__xludf.DUMMYFUNCTION("""COMPUTED_VALUE"""),9.225108931116E12)</f>
        <v>9225108931116</v>
      </c>
      <c r="B253" s="17" t="str">
        <f>IFERROR(__xludf.DUMMYFUNCTION("""COMPUTED_VALUE"""),"Gourmet")</f>
        <v>Gourmet</v>
      </c>
      <c r="C253" s="17" t="str">
        <f>IFERROR(__xludf.DUMMYFUNCTION("""COMPUTED_VALUE"""),"Purina Gold Kıyılmış Sığır Etli Konserve Yetişkin Kedi Maması 24 x 85 G")</f>
        <v>Purina Gold Kıyılmış Sığır Etli Konserve Yetişkin Kedi Maması 24 x 85 G</v>
      </c>
      <c r="D253" s="17"/>
      <c r="E253" s="17" t="str">
        <f>IFERROR(__xludf.DUMMYFUNCTION("""COMPUTED_VALUE"""),"Kedi Konserve Maması")</f>
        <v>Kedi Konserve Maması</v>
      </c>
      <c r="F253" s="17">
        <f>IFERROR(__xludf.DUMMYFUNCTION("""COMPUTED_VALUE"""),1050.0)</f>
        <v>1050</v>
      </c>
      <c r="G253" s="17"/>
      <c r="H253" s="17">
        <f>IFERROR(__xludf.DUMMYFUNCTION("""COMPUTED_VALUE"""),0.0)</f>
        <v>0</v>
      </c>
      <c r="I253" s="17" t="str">
        <f>IFERROR(__xludf.DUMMYFUNCTION("""COMPUTED_VALUE"""),"Onayli - Satista degil")</f>
        <v>Onayli - Satista degil</v>
      </c>
      <c r="J253" s="40">
        <f>IF($A253="","",IFERROR(VLOOKUP($A253,'Maliyet Giris'!$A$2:$G$550,6,0),""))</f>
        <v>580</v>
      </c>
      <c r="K253" s="40">
        <f>IF($A253="","",IFERROR(VLOOKUP($A253,'Maliyet Giris'!$A$2:$G$550,7,0),""))</f>
        <v>2</v>
      </c>
    </row>
    <row r="254">
      <c r="A254" s="17">
        <f>IFERROR(__xludf.DUMMYFUNCTION("""COMPUTED_VALUE"""),7.613031384494E12)</f>
        <v>7613031384494</v>
      </c>
      <c r="B254" s="17" t="str">
        <f>IFERROR(__xludf.DUMMYFUNCTION("""COMPUTED_VALUE"""),"Gourmet")</f>
        <v>Gourmet</v>
      </c>
      <c r="C254" s="17" t="str">
        <f>IFERROR(__xludf.DUMMYFUNCTION("""COMPUTED_VALUE"""),"Gold Kıyılmış Tavuklu Kedi Konservesi 85 gr X 24 Adet")</f>
        <v>Gold Kıyılmış Tavuklu Kedi Konservesi 85 gr X 24 Adet</v>
      </c>
      <c r="D254" s="17"/>
      <c r="E254" s="17" t="str">
        <f>IFERROR(__xludf.DUMMYFUNCTION("""COMPUTED_VALUE"""),"Kedi Konserve Maması")</f>
        <v>Kedi Konserve Maması</v>
      </c>
      <c r="F254" s="17">
        <f>IFERROR(__xludf.DUMMYFUNCTION("""COMPUTED_VALUE"""),948.0)</f>
        <v>948</v>
      </c>
      <c r="G254" s="17">
        <f>IFERROR(__xludf.DUMMYFUNCTION("""COMPUTED_VALUE"""),799.0)</f>
        <v>799</v>
      </c>
      <c r="H254" s="17">
        <f>IFERROR(__xludf.DUMMYFUNCTION("""COMPUTED_VALUE"""),19.0)</f>
        <v>19</v>
      </c>
      <c r="I254" s="17" t="str">
        <f>IFERROR(__xludf.DUMMYFUNCTION("""COMPUTED_VALUE"""),"Onayli")</f>
        <v>Onayli</v>
      </c>
      <c r="J254" s="40">
        <f>IF($A254="","",IFERROR(VLOOKUP($A254,'Maliyet Giris'!$A$2:$G$550,6,0),""))</f>
        <v>580</v>
      </c>
      <c r="K254" s="40">
        <f>IF($A254="","",IFERROR(VLOOKUP($A254,'Maliyet Giris'!$A$2:$G$550,7,0),""))</f>
        <v>3</v>
      </c>
    </row>
    <row r="255">
      <c r="A255" s="17">
        <f>IFERROR(__xludf.DUMMYFUNCTION("""COMPUTED_VALUE"""),7.8541239E7)</f>
        <v>78541239</v>
      </c>
      <c r="B255" s="17" t="str">
        <f>IFERROR(__xludf.DUMMYFUNCTION("""COMPUTED_VALUE"""),"Royal Canin")</f>
        <v>Royal Canin</v>
      </c>
      <c r="C255" s="17" t="str">
        <f>IFERROR(__xludf.DUMMYFUNCTION("""COMPUTED_VALUE"""),"Mother And Babycat 195 Gr Konserve 6 Adet")</f>
        <v>Mother And Babycat 195 Gr Konserve 6 Adet</v>
      </c>
      <c r="D255" s="17"/>
      <c r="E255" s="17" t="str">
        <f>IFERROR(__xludf.DUMMYFUNCTION("""COMPUTED_VALUE"""),"Kedi Kuru Maması")</f>
        <v>Kedi Kuru Maması</v>
      </c>
      <c r="F255" s="17">
        <f>IFERROR(__xludf.DUMMYFUNCTION("""COMPUTED_VALUE"""),0.0)</f>
        <v>0</v>
      </c>
      <c r="G255" s="17"/>
      <c r="H255" s="17">
        <f>IFERROR(__xludf.DUMMYFUNCTION("""COMPUTED_VALUE"""),0.0)</f>
        <v>0</v>
      </c>
      <c r="I255" s="17" t="str">
        <f>IFERROR(__xludf.DUMMYFUNCTION("""COMPUTED_VALUE"""),"Onayli - Satista degil")</f>
        <v>Onayli - Satista degil</v>
      </c>
      <c r="J255" s="40">
        <f>IF($A255="","",IFERROR(VLOOKUP($A255,'Maliyet Giris'!$A$2:$G$550,6,0),""))</f>
        <v>696</v>
      </c>
      <c r="K255" s="40">
        <f>IF($A255="","",IFERROR(VLOOKUP($A255,'Maliyet Giris'!$A$2:$G$550,7,0),""))</f>
        <v>1</v>
      </c>
    </row>
    <row r="256">
      <c r="A256" s="17">
        <f>IFERROR(__xludf.DUMMYFUNCTION("""COMPUTED_VALUE"""),3.182550816311E12)</f>
        <v>3182550816311</v>
      </c>
      <c r="B256" s="17" t="str">
        <f>IFERROR(__xludf.DUMMYFUNCTION("""COMPUTED_VALUE"""),"Royal Canin")</f>
        <v>Royal Canin</v>
      </c>
      <c r="C256" s="17" t="str">
        <f>IFERROR(__xludf.DUMMYFUNCTION("""COMPUTED_VALUE"""),"Babycat 34 Yavru Kuru Kedi Maması 400 400 gr")</f>
        <v>Babycat 34 Yavru Kuru Kedi Maması 400 400 gr</v>
      </c>
      <c r="D256" s="17"/>
      <c r="E256" s="17" t="str">
        <f>IFERROR(__xludf.DUMMYFUNCTION("""COMPUTED_VALUE"""),"Kedi Kuru Maması")</f>
        <v>Kedi Kuru Maması</v>
      </c>
      <c r="F256" s="17">
        <f>IFERROR(__xludf.DUMMYFUNCTION("""COMPUTED_VALUE"""),0.0)</f>
        <v>0</v>
      </c>
      <c r="G256" s="17"/>
      <c r="H256" s="17">
        <f>IFERROR(__xludf.DUMMYFUNCTION("""COMPUTED_VALUE"""),0.0)</f>
        <v>0</v>
      </c>
      <c r="I256" s="17" t="str">
        <f>IFERROR(__xludf.DUMMYFUNCTION("""COMPUTED_VALUE"""),"Onayli - Satista degil")</f>
        <v>Onayli - Satista degil</v>
      </c>
      <c r="J256" s="40">
        <f>IF($A256="","",IFERROR(VLOOKUP($A256,'Maliyet Giris'!$A$2:$G$550,6,0),""))</f>
        <v>1</v>
      </c>
      <c r="K256" s="40">
        <f>IF($A256="","",IFERROR(VLOOKUP($A256,'Maliyet Giris'!$A$2:$G$550,7,0),""))</f>
        <v>3</v>
      </c>
    </row>
    <row r="257">
      <c r="A257" s="17" t="str">
        <f>IFERROR(__xludf.DUMMYFUNCTION("""COMPUTED_VALUE"""),"TYBBL117UNTJIWDS99")</f>
        <v>TYBBL117UNTJIWDS99</v>
      </c>
      <c r="B257" s="17" t="str">
        <f>IFERROR(__xludf.DUMMYFUNCTION("""COMPUTED_VALUE"""),"Pro Plan")</f>
        <v>Pro Plan</v>
      </c>
      <c r="C257" s="17" t="str">
        <f>IFERROR(__xludf.DUMMYFUNCTION("""COMPUTED_VALUE"""),"Proplan kısır somonlu 4 kg (400gr x10 ).")</f>
        <v>Proplan kısır somonlu 4 kg (400gr x10 ).</v>
      </c>
      <c r="D257" s="17"/>
      <c r="E257" s="17" t="str">
        <f>IFERROR(__xludf.DUMMYFUNCTION("""COMPUTED_VALUE"""),"Kedi Kuru Maması")</f>
        <v>Kedi Kuru Maması</v>
      </c>
      <c r="F257" s="17">
        <f>IFERROR(__xludf.DUMMYFUNCTION("""COMPUTED_VALUE"""),2799.0)</f>
        <v>2799</v>
      </c>
      <c r="G257" s="17">
        <f>IFERROR(__xludf.DUMMYFUNCTION("""COMPUTED_VALUE"""),1750.0)</f>
        <v>1750</v>
      </c>
      <c r="H257" s="17">
        <f>IFERROR(__xludf.DUMMYFUNCTION("""COMPUTED_VALUE"""),2.0)</f>
        <v>2</v>
      </c>
      <c r="I257" s="17" t="str">
        <f>IFERROR(__xludf.DUMMYFUNCTION("""COMPUTED_VALUE"""),"Onayli")</f>
        <v>Onayli</v>
      </c>
      <c r="J257" s="40">
        <f>IF($A257="","",IFERROR(VLOOKUP($A257,'Maliyet Giris'!$A$2:$G$550,6,0),""))</f>
        <v>1500</v>
      </c>
      <c r="K257" s="40">
        <f>IF($A257="","",IFERROR(VLOOKUP($A257,'Maliyet Giris'!$A$2:$G$550,7,0),""))</f>
        <v>3</v>
      </c>
    </row>
    <row r="258">
      <c r="A258" s="17" t="str">
        <f>IFERROR(__xludf.DUMMYFUNCTION("""COMPUTED_VALUE"""),"TYBM7WNP05FYPO2N47")</f>
        <v>TYBM7WNP05FYPO2N47</v>
      </c>
      <c r="B258" s="17" t="str">
        <f>IFERROR(__xludf.DUMMYFUNCTION("""COMPUTED_VALUE"""),"Pro Plan")</f>
        <v>Pro Plan</v>
      </c>
      <c r="C258" s="17" t="str">
        <f>IFERROR(__xludf.DUMMYFUNCTION("""COMPUTED_VALUE"""),"Proplan sterilised kısırlaştırılmış somonlu kedi maması 2 kg (5 adet 400 gr )")</f>
        <v>Proplan sterilised kısırlaştırılmış somonlu kedi maması 2 kg (5 adet 400 gr )</v>
      </c>
      <c r="D258" s="17"/>
      <c r="E258" s="17" t="str">
        <f>IFERROR(__xludf.DUMMYFUNCTION("""COMPUTED_VALUE"""),"Kedi Kuru Maması")</f>
        <v>Kedi Kuru Maması</v>
      </c>
      <c r="F258" s="17">
        <f>IFERROR(__xludf.DUMMYFUNCTION("""COMPUTED_VALUE"""),1699.0)</f>
        <v>1699</v>
      </c>
      <c r="G258" s="17">
        <f>IFERROR(__xludf.DUMMYFUNCTION("""COMPUTED_VALUE"""),899.0)</f>
        <v>899</v>
      </c>
      <c r="H258" s="17">
        <f>IFERROR(__xludf.DUMMYFUNCTION("""COMPUTED_VALUE"""),1.0)</f>
        <v>1</v>
      </c>
      <c r="I258" s="17" t="str">
        <f>IFERROR(__xludf.DUMMYFUNCTION("""COMPUTED_VALUE"""),"Onayli")</f>
        <v>Onayli</v>
      </c>
      <c r="J258" s="40">
        <f>IF($A258="","",IFERROR(VLOOKUP($A258,'Maliyet Giris'!$A$2:$G$550,6,0),""))</f>
        <v>750</v>
      </c>
      <c r="K258" s="40">
        <f>IF($A258="","",IFERROR(VLOOKUP($A258,'Maliyet Giris'!$A$2:$G$550,7,0),""))</f>
        <v>3</v>
      </c>
    </row>
    <row r="259">
      <c r="A259" s="17">
        <f>IFERROR(__xludf.DUMMYFUNCTION("""COMPUTED_VALUE"""),7.613035846708E12)</f>
        <v>7613035846708</v>
      </c>
      <c r="B259" s="17" t="str">
        <f>IFERROR(__xludf.DUMMYFUNCTION("""COMPUTED_VALUE"""),"Pro Plan")</f>
        <v>Pro Plan</v>
      </c>
      <c r="C259" s="17" t="str">
        <f>IFERROR(__xludf.DUMMYFUNCTION("""COMPUTED_VALUE"""),"Pro Plan Delicate Kuzu Etli Kedi Maması 3 Kg")</f>
        <v>Pro Plan Delicate Kuzu Etli Kedi Maması 3 Kg</v>
      </c>
      <c r="D259" s="17"/>
      <c r="E259" s="17" t="str">
        <f>IFERROR(__xludf.DUMMYFUNCTION("""COMPUTED_VALUE"""),"Kedi Kuru Maması")</f>
        <v>Kedi Kuru Maması</v>
      </c>
      <c r="F259" s="17">
        <f>IFERROR(__xludf.DUMMYFUNCTION("""COMPUTED_VALUE"""),1387.0)</f>
        <v>1387</v>
      </c>
      <c r="G259" s="17">
        <f>IFERROR(__xludf.DUMMYFUNCTION("""COMPUTED_VALUE"""),1388.0)</f>
        <v>1388</v>
      </c>
      <c r="H259" s="17">
        <f>IFERROR(__xludf.DUMMYFUNCTION("""COMPUTED_VALUE"""),3.0)</f>
        <v>3</v>
      </c>
      <c r="I259" s="17" t="str">
        <f>IFERROR(__xludf.DUMMYFUNCTION("""COMPUTED_VALUE"""),"Onayli")</f>
        <v>Onayli</v>
      </c>
      <c r="J259" s="40">
        <f>IF($A259="","",IFERROR(VLOOKUP($A259,'Maliyet Giris'!$A$2:$G$550,6,0),""))</f>
        <v>1160</v>
      </c>
      <c r="K259" s="40">
        <f>IF($A259="","",IFERROR(VLOOKUP($A259,'Maliyet Giris'!$A$2:$G$550,7,0),""))</f>
        <v>3</v>
      </c>
    </row>
    <row r="260">
      <c r="A260" s="17">
        <f>IFERROR(__xludf.DUMMYFUNCTION("""COMPUTED_VALUE"""),7.301407035156E12)</f>
        <v>7301407035156</v>
      </c>
      <c r="B260" s="17" t="str">
        <f>IFERROR(__xludf.DUMMYFUNCTION("""COMPUTED_VALUE"""),"Royal Canin")</f>
        <v>Royal Canin</v>
      </c>
      <c r="C260" s="17" t="str">
        <f>IFERROR(__xludf.DUMMYFUNCTION("""COMPUTED_VALUE"""),"Sterilised 37 Kısırlaştırılmış Kedi Maması 2 x 400 gr")</f>
        <v>Sterilised 37 Kısırlaştırılmış Kedi Maması 2 x 400 gr</v>
      </c>
      <c r="D260" s="17"/>
      <c r="E260" s="17" t="str">
        <f>IFERROR(__xludf.DUMMYFUNCTION("""COMPUTED_VALUE"""),"Kedi Kuru Maması")</f>
        <v>Kedi Kuru Maması</v>
      </c>
      <c r="F260" s="17">
        <f>IFERROR(__xludf.DUMMYFUNCTION("""COMPUTED_VALUE"""),0.0)</f>
        <v>0</v>
      </c>
      <c r="G260" s="17"/>
      <c r="H260" s="17">
        <f>IFERROR(__xludf.DUMMYFUNCTION("""COMPUTED_VALUE"""),0.0)</f>
        <v>0</v>
      </c>
      <c r="I260" s="17" t="str">
        <f>IFERROR(__xludf.DUMMYFUNCTION("""COMPUTED_VALUE"""),"Onayli - Satista degil")</f>
        <v>Onayli - Satista degil</v>
      </c>
      <c r="J260" s="40">
        <f>IF($A260="","",IFERROR(VLOOKUP($A260,'Maliyet Giris'!$A$2:$G$550,6,0),""))</f>
        <v>173</v>
      </c>
      <c r="K260" s="40">
        <f>IF($A260="","",IFERROR(VLOOKUP($A260,'Maliyet Giris'!$A$2:$G$550,7,0),""))</f>
        <v>3</v>
      </c>
    </row>
    <row r="261">
      <c r="A261" s="17" t="str">
        <f>IFERROR(__xludf.DUMMYFUNCTION("""COMPUTED_VALUE"""),"TYBU1I428E06CX8C61")</f>
        <v>TYBU1I428E06CX8C61</v>
      </c>
      <c r="B261" s="17" t="str">
        <f>IFERROR(__xludf.DUMMYFUNCTION("""COMPUTED_VALUE"""),"Royal Canin")</f>
        <v>Royal Canin</v>
      </c>
      <c r="C261" s="17" t="str">
        <f>IFERROR(__xludf.DUMMYFUNCTION("""COMPUTED_VALUE"""),"Steril Kısırlaştırılmış Kedi Maması 400 Gr + 400 Gr")</f>
        <v>Steril Kısırlaştırılmış Kedi Maması 400 Gr + 400 Gr</v>
      </c>
      <c r="D261" s="17"/>
      <c r="E261" s="17" t="str">
        <f>IFERROR(__xludf.DUMMYFUNCTION("""COMPUTED_VALUE"""),"Kedi Kuru Maması")</f>
        <v>Kedi Kuru Maması</v>
      </c>
      <c r="F261" s="17">
        <f>IFERROR(__xludf.DUMMYFUNCTION("""COMPUTED_VALUE"""),0.0)</f>
        <v>0</v>
      </c>
      <c r="G261" s="17"/>
      <c r="H261" s="17">
        <f>IFERROR(__xludf.DUMMYFUNCTION("""COMPUTED_VALUE"""),0.0)</f>
        <v>0</v>
      </c>
      <c r="I261" s="17" t="str">
        <f>IFERROR(__xludf.DUMMYFUNCTION("""COMPUTED_VALUE"""),"Onayli - Satista degil")</f>
        <v>Onayli - Satista degil</v>
      </c>
      <c r="J261" s="40">
        <f>IF($A261="","",IFERROR(VLOOKUP($A261,'Maliyet Giris'!$A$2:$G$550,6,0),""))</f>
        <v>340</v>
      </c>
      <c r="K261" s="40">
        <f>IF($A261="","",IFERROR(VLOOKUP($A261,'Maliyet Giris'!$A$2:$G$550,7,0),""))</f>
        <v>3</v>
      </c>
    </row>
    <row r="262">
      <c r="A262" s="17">
        <f>IFERROR(__xludf.DUMMYFUNCTION("""COMPUTED_VALUE"""),3.182550756402E12)</f>
        <v>3182550756402</v>
      </c>
      <c r="B262" s="17" t="str">
        <f>IFERROR(__xludf.DUMMYFUNCTION("""COMPUTED_VALUE"""),"Royal Canin")</f>
        <v>Royal Canin</v>
      </c>
      <c r="C262" s="17" t="str">
        <f>IFERROR(__xludf.DUMMYFUNCTION("""COMPUTED_VALUE"""),"British Shorthair Adult Yetişkin Kedi Maması 400 Gr")</f>
        <v>British Shorthair Adult Yetişkin Kedi Maması 400 Gr</v>
      </c>
      <c r="D262" s="17"/>
      <c r="E262" s="17" t="str">
        <f>IFERROR(__xludf.DUMMYFUNCTION("""COMPUTED_VALUE"""),"Kedi Kuru Maması")</f>
        <v>Kedi Kuru Maması</v>
      </c>
      <c r="F262" s="17">
        <f>IFERROR(__xludf.DUMMYFUNCTION("""COMPUTED_VALUE"""),0.0)</f>
        <v>0</v>
      </c>
      <c r="G262" s="17"/>
      <c r="H262" s="17">
        <f>IFERROR(__xludf.DUMMYFUNCTION("""COMPUTED_VALUE"""),0.0)</f>
        <v>0</v>
      </c>
      <c r="I262" s="17" t="str">
        <f>IFERROR(__xludf.DUMMYFUNCTION("""COMPUTED_VALUE"""),"Onayli - Satista degil")</f>
        <v>Onayli - Satista degil</v>
      </c>
      <c r="J262" s="40">
        <f>IF($A262="","",IFERROR(VLOOKUP($A262,'Maliyet Giris'!$A$2:$G$550,6,0),""))</f>
        <v>215.88</v>
      </c>
      <c r="K262" s="40">
        <f>IF($A262="","",IFERROR(VLOOKUP($A262,'Maliyet Giris'!$A$2:$G$550,7,0),""))</f>
        <v>1</v>
      </c>
    </row>
    <row r="263">
      <c r="A263" s="17">
        <f>IFERROR(__xludf.DUMMYFUNCTION("""COMPUTED_VALUE"""),3.182550737555E12)</f>
        <v>3182550737555</v>
      </c>
      <c r="B263" s="17" t="str">
        <f>IFERROR(__xludf.DUMMYFUNCTION("""COMPUTED_VALUE"""),"Royal Canin")</f>
        <v>Royal Canin</v>
      </c>
      <c r="C263" s="17" t="str">
        <f>IFERROR(__xludf.DUMMYFUNCTION("""COMPUTED_VALUE"""),"Sterilised37 Kısırlaştırılmış Kediler Için Kuru Kedi Maması 400g")</f>
        <v>Sterilised37 Kısırlaştırılmış Kediler Için Kuru Kedi Maması 400g</v>
      </c>
      <c r="D263" s="17"/>
      <c r="E263" s="17" t="str">
        <f>IFERROR(__xludf.DUMMYFUNCTION("""COMPUTED_VALUE"""),"Kedi Kuru Maması")</f>
        <v>Kedi Kuru Maması</v>
      </c>
      <c r="F263" s="17">
        <f>IFERROR(__xludf.DUMMYFUNCTION("""COMPUTED_VALUE"""),0.0)</f>
        <v>0</v>
      </c>
      <c r="G263" s="17"/>
      <c r="H263" s="17">
        <f>IFERROR(__xludf.DUMMYFUNCTION("""COMPUTED_VALUE"""),0.0)</f>
        <v>0</v>
      </c>
      <c r="I263" s="17" t="str">
        <f>IFERROR(__xludf.DUMMYFUNCTION("""COMPUTED_VALUE"""),"Onayli - Satista degil")</f>
        <v>Onayli - Satista degil</v>
      </c>
      <c r="J263" s="40">
        <f>IF($A263="","",IFERROR(VLOOKUP($A263,'Maliyet Giris'!$A$2:$G$550,6,0),""))</f>
        <v>170</v>
      </c>
      <c r="K263" s="40">
        <f>IF($A263="","",IFERROR(VLOOKUP($A263,'Maliyet Giris'!$A$2:$G$550,7,0),""))</f>
        <v>3</v>
      </c>
    </row>
    <row r="264">
      <c r="A264" s="17">
        <f>IFERROR(__xludf.DUMMYFUNCTION("""COMPUTED_VALUE"""),2.584503166745E12)</f>
        <v>2584503166745</v>
      </c>
      <c r="B264" s="17" t="str">
        <f>IFERROR(__xludf.DUMMYFUNCTION("""COMPUTED_VALUE"""),"Pro Plan")</f>
        <v>Pro Plan</v>
      </c>
      <c r="C264" s="17" t="str">
        <f>IFERROR(__xludf.DUMMYFUNCTION("""COMPUTED_VALUE"""),"Proplan Somonlu Kısırlaştırılmış Kedi Maması 10 Kg")</f>
        <v>Proplan Somonlu Kısırlaştırılmış Kedi Maması 10 Kg</v>
      </c>
      <c r="D264" s="17"/>
      <c r="E264" s="17" t="str">
        <f>IFERROR(__xludf.DUMMYFUNCTION("""COMPUTED_VALUE"""),"Kedi Kuru Maması")</f>
        <v>Kedi Kuru Maması</v>
      </c>
      <c r="F264" s="17">
        <f>IFERROR(__xludf.DUMMYFUNCTION("""COMPUTED_VALUE"""),4609.03)</f>
        <v>4609.03</v>
      </c>
      <c r="G264" s="17">
        <f>IFERROR(__xludf.DUMMYFUNCTION("""COMPUTED_VALUE"""),4080.0)</f>
        <v>4080</v>
      </c>
      <c r="H264" s="17">
        <f>IFERROR(__xludf.DUMMYFUNCTION("""COMPUTED_VALUE"""),97.0)</f>
        <v>97</v>
      </c>
      <c r="I264" s="17" t="str">
        <f>IFERROR(__xludf.DUMMYFUNCTION("""COMPUTED_VALUE"""),"Onayli")</f>
        <v>Onayli</v>
      </c>
      <c r="J264" s="40">
        <f>IF($A264="","",IFERROR(VLOOKUP($A264,'Maliyet Giris'!$A$2:$G$550,6,0),""))</f>
        <v>3475</v>
      </c>
      <c r="K264" s="40">
        <f>IF($A264="","",IFERROR(VLOOKUP($A264,'Maliyet Giris'!$A$2:$G$550,7,0),""))</f>
        <v>3</v>
      </c>
    </row>
    <row r="265">
      <c r="A265" s="17" t="str">
        <f>IFERROR(__xludf.DUMMYFUNCTION("""COMPUTED_VALUE"""),"TYBEARUP9DCL4GKP78")</f>
        <v>TYBEARUP9DCL4GKP78</v>
      </c>
      <c r="B265" s="17" t="str">
        <f>IFERROR(__xludf.DUMMYFUNCTION("""COMPUTED_VALUE"""),"Royal Canin")</f>
        <v>Royal Canin</v>
      </c>
      <c r="C265" s="17" t="str">
        <f>IFERROR(__xludf.DUMMYFUNCTION("""COMPUTED_VALUE"""),"Kitten Yavru Kediler için Kuru Kedi Maması 2kg")</f>
        <v>Kitten Yavru Kediler için Kuru Kedi Maması 2kg</v>
      </c>
      <c r="D265" s="17"/>
      <c r="E265" s="17" t="str">
        <f>IFERROR(__xludf.DUMMYFUNCTION("""COMPUTED_VALUE"""),"Kedi Kuru Maması")</f>
        <v>Kedi Kuru Maması</v>
      </c>
      <c r="F265" s="17">
        <f>IFERROR(__xludf.DUMMYFUNCTION("""COMPUTED_VALUE"""),0.0)</f>
        <v>0</v>
      </c>
      <c r="G265" s="17"/>
      <c r="H265" s="17">
        <f>IFERROR(__xludf.DUMMYFUNCTION("""COMPUTED_VALUE"""),0.0)</f>
        <v>0</v>
      </c>
      <c r="I265" s="17" t="str">
        <f>IFERROR(__xludf.DUMMYFUNCTION("""COMPUTED_VALUE"""),"Onayli - Satista degil")</f>
        <v>Onayli - Satista degil</v>
      </c>
      <c r="J265" s="40">
        <f>IF($A265="","",IFERROR(VLOOKUP($A265,'Maliyet Giris'!$A$2:$G$550,6,0),""))</f>
        <v>796</v>
      </c>
      <c r="K265" s="40">
        <f>IF($A265="","",IFERROR(VLOOKUP($A265,'Maliyet Giris'!$A$2:$G$550,7,0),""))</f>
        <v>3</v>
      </c>
    </row>
    <row r="266">
      <c r="A266" s="17" t="str">
        <f>IFERROR(__xludf.DUMMYFUNCTION("""COMPUTED_VALUE"""),"TYBN0I2N7ZYCJ6AA73")</f>
        <v>TYBN0I2N7ZYCJ6AA73</v>
      </c>
      <c r="B266" s="17" t="str">
        <f>IFERROR(__xludf.DUMMYFUNCTION("""COMPUTED_VALUE"""),"FELIX")</f>
        <v>FELIX</v>
      </c>
      <c r="C266" s="17" t="str">
        <f>IFERROR(__xludf.DUMMYFUNCTION("""COMPUTED_VALUE"""),"Karışık Yaş Kedi Maması 52 x 85 G")</f>
        <v>Karışık Yaş Kedi Maması 52 x 85 G</v>
      </c>
      <c r="D266" s="17"/>
      <c r="E266" s="17" t="str">
        <f>IFERROR(__xludf.DUMMYFUNCTION("""COMPUTED_VALUE"""),"Kedi Konserve Maması")</f>
        <v>Kedi Konserve Maması</v>
      </c>
      <c r="F266" s="17">
        <f>IFERROR(__xludf.DUMMYFUNCTION("""COMPUTED_VALUE"""),1103.0)</f>
        <v>1103</v>
      </c>
      <c r="G266" s="17">
        <f>IFERROR(__xludf.DUMMYFUNCTION("""COMPUTED_VALUE"""),929.36)</f>
        <v>929.36</v>
      </c>
      <c r="H266" s="17">
        <f>IFERROR(__xludf.DUMMYFUNCTION("""COMPUTED_VALUE"""),447.0)</f>
        <v>447</v>
      </c>
      <c r="I266" s="17" t="str">
        <f>IFERROR(__xludf.DUMMYFUNCTION("""COMPUTED_VALUE"""),"Onayli")</f>
        <v>Onayli</v>
      </c>
      <c r="J266" s="40">
        <f>IF($A266="","",IFERROR(VLOOKUP($A266,'Maliyet Giris'!$A$2:$G$550,6,0),""))</f>
        <v>780</v>
      </c>
      <c r="K266" s="40">
        <f>IF($A266="","",IFERROR(VLOOKUP($A266,'Maliyet Giris'!$A$2:$G$550,7,0),""))</f>
        <v>4</v>
      </c>
    </row>
    <row r="267">
      <c r="A267" s="17">
        <f>IFERROR(__xludf.DUMMYFUNCTION("""COMPUTED_VALUE"""),6.13033566523E11)</f>
        <v>613033566523</v>
      </c>
      <c r="B267" s="17" t="str">
        <f>IFERROR(__xludf.DUMMYFUNCTION("""COMPUTED_VALUE"""),"Pro Plan")</f>
        <v>Pro Plan</v>
      </c>
      <c r="C267" s="17" t="str">
        <f>IFERROR(__xludf.DUMMYFUNCTION("""COMPUTED_VALUE"""),"Kısırlaştırılmış Somonlu Kedi Maması 10 Kg")</f>
        <v>Kısırlaştırılmış Somonlu Kedi Maması 10 Kg</v>
      </c>
      <c r="D267" s="17"/>
      <c r="E267" s="17" t="str">
        <f>IFERROR(__xludf.DUMMYFUNCTION("""COMPUTED_VALUE"""),"Kedi Kuru Maması")</f>
        <v>Kedi Kuru Maması</v>
      </c>
      <c r="F267" s="17">
        <f>IFERROR(__xludf.DUMMYFUNCTION("""COMPUTED_VALUE"""),4499.0)</f>
        <v>4499</v>
      </c>
      <c r="G267" s="17">
        <f>IFERROR(__xludf.DUMMYFUNCTION("""COMPUTED_VALUE"""),3998.0)</f>
        <v>3998</v>
      </c>
      <c r="H267" s="17">
        <f>IFERROR(__xludf.DUMMYFUNCTION("""COMPUTED_VALUE"""),99.0)</f>
        <v>99</v>
      </c>
      <c r="I267" s="17" t="str">
        <f>IFERROR(__xludf.DUMMYFUNCTION("""COMPUTED_VALUE"""),"Onayli")</f>
        <v>Onayli</v>
      </c>
      <c r="J267" s="40">
        <f>IF($A267="","",IFERROR(VLOOKUP($A267,'Maliyet Giris'!$A$2:$G$550,6,0),""))</f>
        <v>3475</v>
      </c>
      <c r="K267" s="40">
        <f>IF($A267="","",IFERROR(VLOOKUP($A267,'Maliyet Giris'!$A$2:$G$550,7,0),""))</f>
        <v>10</v>
      </c>
    </row>
    <row r="268">
      <c r="A268" s="17">
        <f>IFERROR(__xludf.DUMMYFUNCTION("""COMPUTED_VALUE"""),8.6989950312022E13)</f>
        <v>86989950312022</v>
      </c>
      <c r="B268" s="17" t="str">
        <f>IFERROR(__xludf.DUMMYFUNCTION("""COMPUTED_VALUE"""),"Proline")</f>
        <v>Proline</v>
      </c>
      <c r="C268" s="17" t="str">
        <f>IFERROR(__xludf.DUMMYFUNCTION("""COMPUTED_VALUE"""),"Proline Aktif Karbonlu Topaklanan Kedi Kumu 10 Lt X 2 Adet")</f>
        <v>Proline Aktif Karbonlu Topaklanan Kedi Kumu 10 Lt X 2 Adet</v>
      </c>
      <c r="D268" s="17"/>
      <c r="E268" s="17" t="str">
        <f>IFERROR(__xludf.DUMMYFUNCTION("""COMPUTED_VALUE"""),"Kedi Kumu")</f>
        <v>Kedi Kumu</v>
      </c>
      <c r="F268" s="17">
        <f>IFERROR(__xludf.DUMMYFUNCTION("""COMPUTED_VALUE"""),0.0)</f>
        <v>0</v>
      </c>
      <c r="G268" s="17"/>
      <c r="H268" s="17">
        <f>IFERROR(__xludf.DUMMYFUNCTION("""COMPUTED_VALUE"""),0.0)</f>
        <v>0</v>
      </c>
      <c r="I268" s="17" t="str">
        <f>IFERROR(__xludf.DUMMYFUNCTION("""COMPUTED_VALUE"""),"Onayli - Satista degil")</f>
        <v>Onayli - Satista degil</v>
      </c>
      <c r="J268" s="40" t="str">
        <f>IF($A268="","",IFERROR(VLOOKUP($A268,'Maliyet Giris'!$A$2:$G$550,6,0),""))</f>
        <v/>
      </c>
      <c r="K268" s="40" t="str">
        <f>IF($A268="","",IFERROR(VLOOKUP($A268,'Maliyet Giris'!$A$2:$G$550,7,0),""))</f>
        <v/>
      </c>
    </row>
    <row r="269">
      <c r="A269" s="17">
        <f>IFERROR(__xludf.DUMMYFUNCTION("""COMPUTED_VALUE"""),3.182550721738E12)</f>
        <v>3182550721738</v>
      </c>
      <c r="B269" s="17" t="str">
        <f>IFERROR(__xludf.DUMMYFUNCTION("""COMPUTED_VALUE"""),"Royal Canin")</f>
        <v>Royal Canin</v>
      </c>
      <c r="C269" s="17" t="str">
        <f>IFERROR(__xludf.DUMMYFUNCTION("""COMPUTED_VALUE"""),"Hair&amp;skin Tüy Ve Deri Sağlığı Için Kuru Kedi Maması 2kg")</f>
        <v>Hair&amp;skin Tüy Ve Deri Sağlığı Için Kuru Kedi Maması 2kg</v>
      </c>
      <c r="D269" s="17"/>
      <c r="E269" s="17" t="str">
        <f>IFERROR(__xludf.DUMMYFUNCTION("""COMPUTED_VALUE"""),"Kedi Kuru Maması")</f>
        <v>Kedi Kuru Maması</v>
      </c>
      <c r="F269" s="17">
        <f>IFERROR(__xludf.DUMMYFUNCTION("""COMPUTED_VALUE"""),0.0)</f>
        <v>0</v>
      </c>
      <c r="G269" s="17"/>
      <c r="H269" s="17">
        <f>IFERROR(__xludf.DUMMYFUNCTION("""COMPUTED_VALUE"""),0.0)</f>
        <v>0</v>
      </c>
      <c r="I269" s="17" t="str">
        <f>IFERROR(__xludf.DUMMYFUNCTION("""COMPUTED_VALUE"""),"Onayli - Satista degil")</f>
        <v>Onayli - Satista degil</v>
      </c>
      <c r="J269" s="40">
        <f>IF($A269="","",IFERROR(VLOOKUP($A269,'Maliyet Giris'!$A$2:$G$550,6,0),""))</f>
        <v>1210</v>
      </c>
      <c r="K269" s="40">
        <f>IF($A269="","",IFERROR(VLOOKUP($A269,'Maliyet Giris'!$A$2:$G$550,7,0),""))</f>
        <v>2</v>
      </c>
    </row>
    <row r="270">
      <c r="A270" s="17">
        <f>IFERROR(__xludf.DUMMYFUNCTION("""COMPUTED_VALUE"""),8.652147545641E12)</f>
        <v>8652147545641</v>
      </c>
      <c r="B270" s="17" t="str">
        <f>IFERROR(__xludf.DUMMYFUNCTION("""COMPUTED_VALUE"""),"PetFix")</f>
        <v>PetFix</v>
      </c>
      <c r="C270" s="17" t="str">
        <f>IFERROR(__xludf.DUMMYFUNCTION("""COMPUTED_VALUE"""),"Catnip'li &amp; Zilli Yeşil Kaplumbağa Kedi Oyuncağı")</f>
        <v>Catnip'li &amp; Zilli Yeşil Kaplumbağa Kedi Oyuncağı</v>
      </c>
      <c r="D270" s="17" t="str">
        <f>IFERROR(__xludf.DUMMYFUNCTION("""COMPUTED_VALUE"""),"PTFXPLB")</f>
        <v>PTFXPLB</v>
      </c>
      <c r="E270" s="17" t="str">
        <f>IFERROR(__xludf.DUMMYFUNCTION("""COMPUTED_VALUE"""),"Kedi Oyuncağı")</f>
        <v>Kedi Oyuncağı</v>
      </c>
      <c r="F270" s="17">
        <f>IFERROR(__xludf.DUMMYFUNCTION("""COMPUTED_VALUE"""),249.99)</f>
        <v>249.99</v>
      </c>
      <c r="G270" s="17">
        <f>IFERROR(__xludf.DUMMYFUNCTION("""COMPUTED_VALUE"""),249.99)</f>
        <v>249.99</v>
      </c>
      <c r="H270" s="17">
        <f>IFERROR(__xludf.DUMMYFUNCTION("""COMPUTED_VALUE"""),845.0)</f>
        <v>845</v>
      </c>
      <c r="I270" s="17" t="str">
        <f>IFERROR(__xludf.DUMMYFUNCTION("""COMPUTED_VALUE"""),"Onayli")</f>
        <v>Onayli</v>
      </c>
      <c r="J270" s="40">
        <f>IF($A270="","",IFERROR(VLOOKUP($A270,'Maliyet Giris'!$A$2:$G$550,6,0),""))</f>
        <v>50</v>
      </c>
      <c r="K270" s="40">
        <f>IF($A270="","",IFERROR(VLOOKUP($A270,'Maliyet Giris'!$A$2:$G$550,7,0),""))</f>
        <v>1</v>
      </c>
    </row>
    <row r="271">
      <c r="A271" s="17">
        <f>IFERROR(__xludf.DUMMYFUNCTION("""COMPUTED_VALUE"""),8.010276045027E12)</f>
        <v>8010276045027</v>
      </c>
      <c r="B271" s="17" t="str">
        <f>IFERROR(__xludf.DUMMYFUNCTION("""COMPUTED_VALUE"""),"N&amp;D")</f>
        <v>N&amp;D</v>
      </c>
      <c r="C271" s="17" t="str">
        <f>IFERROR(__xludf.DUMMYFUNCTION("""COMPUTED_VALUE"""),"TROPİCAL SELECTİON KİTTEN (YAVRU) LAMB KUZU 1,5 KG")</f>
        <v>TROPİCAL SELECTİON KİTTEN (YAVRU) LAMB KUZU 1,5 KG</v>
      </c>
      <c r="D271" s="17"/>
      <c r="E271" s="17" t="str">
        <f>IFERROR(__xludf.DUMMYFUNCTION("""COMPUTED_VALUE"""),"Kedi Kuru Maması")</f>
        <v>Kedi Kuru Maması</v>
      </c>
      <c r="F271" s="17">
        <f>IFERROR(__xludf.DUMMYFUNCTION("""COMPUTED_VALUE"""),0.0)</f>
        <v>0</v>
      </c>
      <c r="G271" s="17"/>
      <c r="H271" s="17">
        <f>IFERROR(__xludf.DUMMYFUNCTION("""COMPUTED_VALUE"""),0.0)</f>
        <v>0</v>
      </c>
      <c r="I271" s="17" t="str">
        <f>IFERROR(__xludf.DUMMYFUNCTION("""COMPUTED_VALUE"""),"Onayli - Satista degil")</f>
        <v>Onayli - Satista degil</v>
      </c>
      <c r="J271" s="40">
        <f>IF($A271="","",IFERROR(VLOOKUP($A271,'Maliyet Giris'!$A$2:$G$550,6,0),""))</f>
        <v>823</v>
      </c>
      <c r="K271" s="40">
        <f>IF($A271="","",IFERROR(VLOOKUP($A271,'Maliyet Giris'!$A$2:$G$550,7,0),""))</f>
        <v>3</v>
      </c>
    </row>
    <row r="272">
      <c r="A272" s="17">
        <f>IFERROR(__xludf.DUMMYFUNCTION("""COMPUTED_VALUE"""),7.17627291911626E14)</f>
        <v>717627291911626</v>
      </c>
      <c r="B272" s="17" t="str">
        <f>IFERROR(__xludf.DUMMYFUNCTION("""COMPUTED_VALUE"""),"Other")</f>
        <v>Other</v>
      </c>
      <c r="C272" s="17" t="str">
        <f>IFERROR(__xludf.DUMMYFUNCTION("""COMPUTED_VALUE"""),"Virbac Cat Dermatology Support 3kg Kedi Maması")</f>
        <v>Virbac Cat Dermatology Support 3kg Kedi Maması</v>
      </c>
      <c r="D272" s="17"/>
      <c r="E272" s="17" t="str">
        <f>IFERROR(__xludf.DUMMYFUNCTION("""COMPUTED_VALUE"""),"Kedi Kuru Maması")</f>
        <v>Kedi Kuru Maması</v>
      </c>
      <c r="F272" s="17">
        <f>IFERROR(__xludf.DUMMYFUNCTION("""COMPUTED_VALUE"""),2715.0)</f>
        <v>2715</v>
      </c>
      <c r="G272" s="17"/>
      <c r="H272" s="17">
        <f>IFERROR(__xludf.DUMMYFUNCTION("""COMPUTED_VALUE"""),0.0)</f>
        <v>0</v>
      </c>
      <c r="I272" s="17" t="str">
        <f>IFERROR(__xludf.DUMMYFUNCTION("""COMPUTED_VALUE"""),"Onayli - Satista degil")</f>
        <v>Onayli - Satista degil</v>
      </c>
      <c r="J272" s="40">
        <f>IF($A272="","",IFERROR(VLOOKUP($A272,'Maliyet Giris'!$A$2:$G$550,6,0),""))</f>
        <v>10</v>
      </c>
      <c r="K272" s="40">
        <f>IF($A272="","",IFERROR(VLOOKUP($A272,'Maliyet Giris'!$A$2:$G$550,7,0),""))</f>
        <v>3</v>
      </c>
    </row>
    <row r="273">
      <c r="A273" s="17" t="str">
        <f>IFERROR(__xludf.DUMMYFUNCTION("""COMPUTED_VALUE"""),"TYBK5EN736FAN2SC21")</f>
        <v>TYBK5EN736FAN2SC21</v>
      </c>
      <c r="B273" s="17" t="str">
        <f>IFERROR(__xludf.DUMMYFUNCTION("""COMPUTED_VALUE"""),"HPM")</f>
        <v>HPM</v>
      </c>
      <c r="C273" s="17" t="str">
        <f>IFERROR(__xludf.DUMMYFUNCTION("""COMPUTED_VALUE"""),"Virbac Gastro (Digestive &amp; Support) Kedi Maması 3 KG")</f>
        <v>Virbac Gastro (Digestive &amp; Support) Kedi Maması 3 KG</v>
      </c>
      <c r="D273" s="17"/>
      <c r="E273" s="17" t="str">
        <f>IFERROR(__xludf.DUMMYFUNCTION("""COMPUTED_VALUE"""),"Kedi Kuru Maması")</f>
        <v>Kedi Kuru Maması</v>
      </c>
      <c r="F273" s="17">
        <f>IFERROR(__xludf.DUMMYFUNCTION("""COMPUTED_VALUE"""),2799.0)</f>
        <v>2799</v>
      </c>
      <c r="G273" s="17">
        <f>IFERROR(__xludf.DUMMYFUNCTION("""COMPUTED_VALUE"""),2740.0)</f>
        <v>2740</v>
      </c>
      <c r="H273" s="17">
        <f>IFERROR(__xludf.DUMMYFUNCTION("""COMPUTED_VALUE"""),1.0)</f>
        <v>1</v>
      </c>
      <c r="I273" s="17" t="str">
        <f>IFERROR(__xludf.DUMMYFUNCTION("""COMPUTED_VALUE"""),"Onayli")</f>
        <v>Onayli</v>
      </c>
      <c r="J273" s="40">
        <f>IF($A273="","",IFERROR(VLOOKUP($A273,'Maliyet Giris'!$A$2:$G$550,6,0),""))</f>
        <v>1500</v>
      </c>
      <c r="K273" s="40">
        <f>IF($A273="","",IFERROR(VLOOKUP($A273,'Maliyet Giris'!$A$2:$G$550,7,0),""))</f>
        <v>3</v>
      </c>
    </row>
    <row r="274">
      <c r="A274" s="17" t="str">
        <f>IFERROR(__xludf.DUMMYFUNCTION("""COMPUTED_VALUE"""),"8564256985143-1")</f>
        <v>8564256985143-1</v>
      </c>
      <c r="B274" s="17" t="str">
        <f>IFERROR(__xludf.DUMMYFUNCTION("""COMPUTED_VALUE"""),"PetFix")</f>
        <v>PetFix</v>
      </c>
      <c r="C274" s="17" t="str">
        <f>IFERROR(__xludf.DUMMYFUNCTION("""COMPUTED_VALUE"""),"Zilli Peluş Kedi Oyun Eldiveni - Kedi Oyuncağı")</f>
        <v>Zilli Peluş Kedi Oyun Eldiveni - Kedi Oyuncağı</v>
      </c>
      <c r="D274" s="17" t="str">
        <f>IFERROR(__xludf.DUMMYFUNCTION("""COMPUTED_VALUE"""),"PTFXELKRM")</f>
        <v>PTFXELKRM</v>
      </c>
      <c r="E274" s="17" t="str">
        <f>IFERROR(__xludf.DUMMYFUNCTION("""COMPUTED_VALUE"""),"Kedi Oyuncağı")</f>
        <v>Kedi Oyuncağı</v>
      </c>
      <c r="F274" s="17">
        <f>IFERROR(__xludf.DUMMYFUNCTION("""COMPUTED_VALUE"""),249.99)</f>
        <v>249.99</v>
      </c>
      <c r="G274" s="17"/>
      <c r="H274" s="17">
        <f>IFERROR(__xludf.DUMMYFUNCTION("""COMPUTED_VALUE"""),0.0)</f>
        <v>0</v>
      </c>
      <c r="I274" s="17" t="str">
        <f>IFERROR(__xludf.DUMMYFUNCTION("""COMPUTED_VALUE"""),"Onayli - Satista degil")</f>
        <v>Onayli - Satista degil</v>
      </c>
      <c r="J274" s="40">
        <f>IF($A274="","",IFERROR(VLOOKUP($A274,'Maliyet Giris'!$A$2:$G$550,6,0),""))</f>
        <v>60</v>
      </c>
      <c r="K274" s="40">
        <f>IF($A274="","",IFERROR(VLOOKUP($A274,'Maliyet Giris'!$A$2:$G$550,7,0),""))</f>
        <v>1</v>
      </c>
    </row>
    <row r="275">
      <c r="A275" s="17" t="str">
        <f>IFERROR(__xludf.DUMMYFUNCTION("""COMPUTED_VALUE"""),"8564256985143-2")</f>
        <v>8564256985143-2</v>
      </c>
      <c r="B275" s="17" t="str">
        <f>IFERROR(__xludf.DUMMYFUNCTION("""COMPUTED_VALUE"""),"PetFix")</f>
        <v>PetFix</v>
      </c>
      <c r="C275" s="17" t="str">
        <f>IFERROR(__xludf.DUMMYFUNCTION("""COMPUTED_VALUE"""),"Zilli Peluş Kedi Oyun Eldiveni - Kedi Oyuncağı")</f>
        <v>Zilli Peluş Kedi Oyun Eldiveni - Kedi Oyuncağı</v>
      </c>
      <c r="D275" s="17" t="str">
        <f>IFERROR(__xludf.DUMMYFUNCTION("""COMPUTED_VALUE"""),"PTFXELMAV")</f>
        <v>PTFXELMAV</v>
      </c>
      <c r="E275" s="17" t="str">
        <f>IFERROR(__xludf.DUMMYFUNCTION("""COMPUTED_VALUE"""),"Kedi Oyuncağı")</f>
        <v>Kedi Oyuncağı</v>
      </c>
      <c r="F275" s="17">
        <f>IFERROR(__xludf.DUMMYFUNCTION("""COMPUTED_VALUE"""),249.99)</f>
        <v>249.99</v>
      </c>
      <c r="G275" s="17">
        <f>IFERROR(__xludf.DUMMYFUNCTION("""COMPUTED_VALUE"""),249.99)</f>
        <v>249.99</v>
      </c>
      <c r="H275" s="17">
        <f>IFERROR(__xludf.DUMMYFUNCTION("""COMPUTED_VALUE"""),987.0)</f>
        <v>987</v>
      </c>
      <c r="I275" s="17" t="str">
        <f>IFERROR(__xludf.DUMMYFUNCTION("""COMPUTED_VALUE"""),"Onayli")</f>
        <v>Onayli</v>
      </c>
      <c r="J275" s="40">
        <f>IF($A275="","",IFERROR(VLOOKUP($A275,'Maliyet Giris'!$A$2:$G$550,6,0),""))</f>
        <v>60</v>
      </c>
      <c r="K275" s="40">
        <f>IF($A275="","",IFERROR(VLOOKUP($A275,'Maliyet Giris'!$A$2:$G$550,7,0),""))</f>
        <v>1</v>
      </c>
    </row>
    <row r="276">
      <c r="A276" s="17" t="str">
        <f>IFERROR(__xludf.DUMMYFUNCTION("""COMPUTED_VALUE"""),"TYBDGW8SUMC70X2C14")</f>
        <v>TYBDGW8SUMC70X2C14</v>
      </c>
      <c r="B276" s="17" t="str">
        <f>IFERROR(__xludf.DUMMYFUNCTION("""COMPUTED_VALUE"""),"Gourmet Gold")</f>
        <v>Gourmet Gold</v>
      </c>
      <c r="C276" s="17" t="str">
        <f>IFERROR(__xludf.DUMMYFUNCTION("""COMPUTED_VALUE"""),"Kıyılmış Ton Balıklı Kedi Konservesi 24x85gr")</f>
        <v>Kıyılmış Ton Balıklı Kedi Konservesi 24x85gr</v>
      </c>
      <c r="D276" s="17"/>
      <c r="E276" s="17" t="str">
        <f>IFERROR(__xludf.DUMMYFUNCTION("""COMPUTED_VALUE"""),"Kedi Konserve Maması")</f>
        <v>Kedi Konserve Maması</v>
      </c>
      <c r="F276" s="17">
        <f>IFERROR(__xludf.DUMMYFUNCTION("""COMPUTED_VALUE"""),1100.0)</f>
        <v>1100</v>
      </c>
      <c r="G276" s="17">
        <f>IFERROR(__xludf.DUMMYFUNCTION("""COMPUTED_VALUE"""),1025.95)</f>
        <v>1025.95</v>
      </c>
      <c r="H276" s="17">
        <f>IFERROR(__xludf.DUMMYFUNCTION("""COMPUTED_VALUE"""),71.0)</f>
        <v>71</v>
      </c>
      <c r="I276" s="17" t="str">
        <f>IFERROR(__xludf.DUMMYFUNCTION("""COMPUTED_VALUE"""),"Onayli")</f>
        <v>Onayli</v>
      </c>
      <c r="J276" s="40">
        <f>IF($A276="","",IFERROR(VLOOKUP($A276,'Maliyet Giris'!$A$2:$G$550,6,0),""))</f>
        <v>580</v>
      </c>
      <c r="K276" s="40">
        <f>IF($A276="","",IFERROR(VLOOKUP($A276,'Maliyet Giris'!$A$2:$G$550,7,0),""))</f>
        <v>3</v>
      </c>
    </row>
    <row r="277">
      <c r="A277" s="17">
        <f>IFERROR(__xludf.DUMMYFUNCTION("""COMPUTED_VALUE"""),1.12201912E8)</f>
        <v>112201912</v>
      </c>
      <c r="B277" s="17" t="str">
        <f>IFERROR(__xludf.DUMMYFUNCTION("""COMPUTED_VALUE"""),"Royal Canin")</f>
        <v>Royal Canin</v>
      </c>
      <c r="C277" s="17" t="str">
        <f>IFERROR(__xludf.DUMMYFUNCTION("""COMPUTED_VALUE"""),"Royal Canın Pug Puppy Yavru Köpek Maması 1,5 Kg")</f>
        <v>Royal Canın Pug Puppy Yavru Köpek Maması 1,5 Kg</v>
      </c>
      <c r="D277" s="17"/>
      <c r="E277" s="17" t="str">
        <f>IFERROR(__xludf.DUMMYFUNCTION("""COMPUTED_VALUE"""),"Köpek Kuru Maması")</f>
        <v>Köpek Kuru Maması</v>
      </c>
      <c r="F277" s="17">
        <f>IFERROR(__xludf.DUMMYFUNCTION("""COMPUTED_VALUE"""),0.0)</f>
        <v>0</v>
      </c>
      <c r="G277" s="17"/>
      <c r="H277" s="17">
        <f>IFERROR(__xludf.DUMMYFUNCTION("""COMPUTED_VALUE"""),0.0)</f>
        <v>0</v>
      </c>
      <c r="I277" s="17" t="str">
        <f>IFERROR(__xludf.DUMMYFUNCTION("""COMPUTED_VALUE"""),"Onayli - Satista degil")</f>
        <v>Onayli - Satista degil</v>
      </c>
      <c r="J277" s="40">
        <f>IF($A277="","",IFERROR(VLOOKUP($A277,'Maliyet Giris'!$A$2:$G$550,6,0),""))</f>
        <v>1</v>
      </c>
      <c r="K277" s="40">
        <f>IF($A277="","",IFERROR(VLOOKUP($A277,'Maliyet Giris'!$A$2:$G$550,7,0),""))</f>
        <v>3</v>
      </c>
    </row>
    <row r="278">
      <c r="A278" s="17" t="str">
        <f>IFERROR(__xludf.DUMMYFUNCTION("""COMPUTED_VALUE"""),"TYBG3A06UBQ4T83Q25")</f>
        <v>TYBG3A06UBQ4T83Q25</v>
      </c>
      <c r="B278" s="17" t="str">
        <f>IFERROR(__xludf.DUMMYFUNCTION("""COMPUTED_VALUE"""),"Royal Canin")</f>
        <v>Royal Canin</v>
      </c>
      <c r="C278" s="17" t="str">
        <f>IFERROR(__xludf.DUMMYFUNCTION("""COMPUTED_VALUE"""),"Persian Iran Kedi Maması 2 kg (V2)")</f>
        <v>Persian Iran Kedi Maması 2 kg (V2)</v>
      </c>
      <c r="D278" s="17"/>
      <c r="E278" s="17" t="str">
        <f>IFERROR(__xludf.DUMMYFUNCTION("""COMPUTED_VALUE"""),"Kedi Kuru Maması")</f>
        <v>Kedi Kuru Maması</v>
      </c>
      <c r="F278" s="17">
        <f>IFERROR(__xludf.DUMMYFUNCTION("""COMPUTED_VALUE"""),0.0)</f>
        <v>0</v>
      </c>
      <c r="G278" s="17"/>
      <c r="H278" s="17">
        <f>IFERROR(__xludf.DUMMYFUNCTION("""COMPUTED_VALUE"""),0.0)</f>
        <v>0</v>
      </c>
      <c r="I278" s="17" t="str">
        <f>IFERROR(__xludf.DUMMYFUNCTION("""COMPUTED_VALUE"""),"Onayli - Satista degil")</f>
        <v>Onayli - Satista degil</v>
      </c>
      <c r="J278" s="40">
        <f>IF($A278="","",IFERROR(VLOOKUP($A278,'Maliyet Giris'!$A$2:$G$550,6,0),""))</f>
        <v>1000</v>
      </c>
      <c r="K278" s="40">
        <f>IF($A278="","",IFERROR(VLOOKUP($A278,'Maliyet Giris'!$A$2:$G$550,7,0),""))</f>
        <v>3</v>
      </c>
    </row>
    <row r="279">
      <c r="A279" s="17">
        <f>IFERROR(__xludf.DUMMYFUNCTION("""COMPUTED_VALUE"""),702614.0)</f>
        <v>702614</v>
      </c>
      <c r="B279" s="17" t="str">
        <f>IFERROR(__xludf.DUMMYFUNCTION("""COMPUTED_VALUE"""),"Royal Canin")</f>
        <v>Royal Canin</v>
      </c>
      <c r="C279" s="17" t="str">
        <f>IFERROR(__xludf.DUMMYFUNCTION("""COMPUTED_VALUE"""),"Persian Iran Kedi Maması 2 kg (V2)")</f>
        <v>Persian Iran Kedi Maması 2 kg (V2)</v>
      </c>
      <c r="D279" s="17"/>
      <c r="E279" s="17" t="str">
        <f>IFERROR(__xludf.DUMMYFUNCTION("""COMPUTED_VALUE"""),"Kedi Kuru Maması")</f>
        <v>Kedi Kuru Maması</v>
      </c>
      <c r="F279" s="17">
        <f>IFERROR(__xludf.DUMMYFUNCTION("""COMPUTED_VALUE"""),0.0)</f>
        <v>0</v>
      </c>
      <c r="G279" s="17"/>
      <c r="H279" s="17">
        <f>IFERROR(__xludf.DUMMYFUNCTION("""COMPUTED_VALUE"""),0.0)</f>
        <v>0</v>
      </c>
      <c r="I279" s="17" t="str">
        <f>IFERROR(__xludf.DUMMYFUNCTION("""COMPUTED_VALUE"""),"Onayli - Satista degil")</f>
        <v>Onayli - Satista degil</v>
      </c>
      <c r="J279" s="40">
        <f>IF($A279="","",IFERROR(VLOOKUP($A279,'Maliyet Giris'!$A$2:$G$550,6,0),""))</f>
        <v>1000</v>
      </c>
      <c r="K279" s="40">
        <f>IF($A279="","",IFERROR(VLOOKUP($A279,'Maliyet Giris'!$A$2:$G$550,7,0),""))</f>
        <v>3</v>
      </c>
    </row>
    <row r="280">
      <c r="A280" s="17">
        <f>IFERROR(__xludf.DUMMYFUNCTION("""COMPUTED_VALUE"""),4.53481343543E11)</f>
        <v>453481343543</v>
      </c>
      <c r="B280" s="17" t="str">
        <f>IFERROR(__xludf.DUMMYFUNCTION("""COMPUTED_VALUE"""),"Mito")</f>
        <v>Mito</v>
      </c>
      <c r="C280" s="17" t="str">
        <f>IFERROR(__xludf.DUMMYFUNCTION("""COMPUTED_VALUE"""),"La Adult Cat Tavuklu Yetişkin Kedi Maması 15 Kg")</f>
        <v>La Adult Cat Tavuklu Yetişkin Kedi Maması 15 Kg</v>
      </c>
      <c r="D280" s="17"/>
      <c r="E280" s="17" t="str">
        <f>IFERROR(__xludf.DUMMYFUNCTION("""COMPUTED_VALUE"""),"Kedi Kuru Maması")</f>
        <v>Kedi Kuru Maması</v>
      </c>
      <c r="F280" s="17">
        <f>IFERROR(__xludf.DUMMYFUNCTION("""COMPUTED_VALUE"""),1999.0)</f>
        <v>1999</v>
      </c>
      <c r="G280" s="17">
        <f>IFERROR(__xludf.DUMMYFUNCTION("""COMPUTED_VALUE"""),1700.0)</f>
        <v>1700</v>
      </c>
      <c r="H280" s="17">
        <f>IFERROR(__xludf.DUMMYFUNCTION("""COMPUTED_VALUE"""),2.0)</f>
        <v>2</v>
      </c>
      <c r="I280" s="17" t="str">
        <f>IFERROR(__xludf.DUMMYFUNCTION("""COMPUTED_VALUE"""),"Onayli")</f>
        <v>Onayli</v>
      </c>
      <c r="J280" s="40" t="str">
        <f>IF($A280="","",IFERROR(VLOOKUP($A280,'Maliyet Giris'!$A$2:$G$550,6,0),""))</f>
        <v/>
      </c>
      <c r="K280" s="40" t="str">
        <f>IF($A280="","",IFERROR(VLOOKUP($A280,'Maliyet Giris'!$A$2:$G$550,7,0),""))</f>
        <v/>
      </c>
    </row>
    <row r="281">
      <c r="A281" s="17" t="str">
        <f>IFERROR(__xludf.DUMMYFUNCTION("""COMPUTED_VALUE"""),"TYBI5XAS7CC4FGRH07")</f>
        <v>TYBI5XAS7CC4FGRH07</v>
      </c>
      <c r="B281" s="17" t="str">
        <f>IFERROR(__xludf.DUMMYFUNCTION("""COMPUTED_VALUE"""),"Royal Canin")</f>
        <v>Royal Canin</v>
      </c>
      <c r="C281" s="17" t="str">
        <f>IFERROR(__xludf.DUMMYFUNCTION("""COMPUTED_VALUE"""),"Veterinary Expert Neutered Satiety Balance Kedi Kuru Maması 1,5 kg (SKT:27.11.2026)")</f>
        <v>Veterinary Expert Neutered Satiety Balance Kedi Kuru Maması 1,5 kg (SKT:27.11.2026)</v>
      </c>
      <c r="D281" s="17"/>
      <c r="E281" s="17" t="str">
        <f>IFERROR(__xludf.DUMMYFUNCTION("""COMPUTED_VALUE"""),"Kedi Kuru Maması")</f>
        <v>Kedi Kuru Maması</v>
      </c>
      <c r="F281" s="17">
        <f>IFERROR(__xludf.DUMMYFUNCTION("""COMPUTED_VALUE"""),0.0)</f>
        <v>0</v>
      </c>
      <c r="G281" s="17"/>
      <c r="H281" s="17">
        <f>IFERROR(__xludf.DUMMYFUNCTION("""COMPUTED_VALUE"""),0.0)</f>
        <v>0</v>
      </c>
      <c r="I281" s="17" t="str">
        <f>IFERROR(__xludf.DUMMYFUNCTION("""COMPUTED_VALUE"""),"Onayli - Satista degil")</f>
        <v>Onayli - Satista degil</v>
      </c>
      <c r="J281" s="40">
        <f>IF($A281="","",IFERROR(VLOOKUP($A281,'Maliyet Giris'!$A$2:$G$550,6,0),""))</f>
        <v>1</v>
      </c>
      <c r="K281" s="40">
        <f>IF($A281="","",IFERROR(VLOOKUP($A281,'Maliyet Giris'!$A$2:$G$550,7,0),""))</f>
        <v>3</v>
      </c>
    </row>
    <row r="282">
      <c r="A282" s="17">
        <f>IFERROR(__xludf.DUMMYFUNCTION("""COMPUTED_VALUE"""),8.010276042163E12)</f>
        <v>8010276042163</v>
      </c>
      <c r="B282" s="17" t="str">
        <f>IFERROR(__xludf.DUMMYFUNCTION("""COMPUTED_VALUE"""),"N&amp;D")</f>
        <v>N&amp;D</v>
      </c>
      <c r="C282" s="17" t="str">
        <f>IFERROR(__xludf.DUMMYFUNCTION("""COMPUTED_VALUE"""),"Tropical Tavuklu Yetişkin Kedi Maması 1.5 kg")</f>
        <v>Tropical Tavuklu Yetişkin Kedi Maması 1.5 kg</v>
      </c>
      <c r="D282" s="17"/>
      <c r="E282" s="17" t="str">
        <f>IFERROR(__xludf.DUMMYFUNCTION("""COMPUTED_VALUE"""),"Kedi Kuru Maması")</f>
        <v>Kedi Kuru Maması</v>
      </c>
      <c r="F282" s="17">
        <f>IFERROR(__xludf.DUMMYFUNCTION("""COMPUTED_VALUE"""),1037.0)</f>
        <v>1037</v>
      </c>
      <c r="G282" s="17">
        <f>IFERROR(__xludf.DUMMYFUNCTION("""COMPUTED_VALUE"""),1037.0)</f>
        <v>1037</v>
      </c>
      <c r="H282" s="17">
        <f>IFERROR(__xludf.DUMMYFUNCTION("""COMPUTED_VALUE"""),5.0)</f>
        <v>5</v>
      </c>
      <c r="I282" s="17" t="str">
        <f>IFERROR(__xludf.DUMMYFUNCTION("""COMPUTED_VALUE"""),"Onayli")</f>
        <v>Onayli</v>
      </c>
      <c r="J282" s="40">
        <f>IF($A282="","",IFERROR(VLOOKUP($A282,'Maliyet Giris'!$A$2:$G$550,6,0),""))</f>
        <v>713</v>
      </c>
      <c r="K282" s="40">
        <f>IF($A282="","",IFERROR(VLOOKUP($A282,'Maliyet Giris'!$A$2:$G$550,7,0),""))</f>
        <v>3</v>
      </c>
    </row>
    <row r="283">
      <c r="A283" s="17">
        <f>IFERROR(__xludf.DUMMYFUNCTION("""COMPUTED_VALUE"""),8.010276020208E12)</f>
        <v>8010276020208</v>
      </c>
      <c r="B283" s="17" t="str">
        <f>IFERROR(__xludf.DUMMYFUNCTION("""COMPUTED_VALUE"""),"N&amp;D")</f>
        <v>N&amp;D</v>
      </c>
      <c r="C283" s="17" t="str">
        <f>IFERROR(__xludf.DUMMYFUNCTION("""COMPUTED_VALUE"""),"Kuzu Ve Yaban Mersinli Yetişkin Kedi Maması 1,5 Kg")</f>
        <v>Kuzu Ve Yaban Mersinli Yetişkin Kedi Maması 1,5 Kg</v>
      </c>
      <c r="D283" s="17"/>
      <c r="E283" s="17" t="str">
        <f>IFERROR(__xludf.DUMMYFUNCTION("""COMPUTED_VALUE"""),"Kedi Kuru Maması")</f>
        <v>Kedi Kuru Maması</v>
      </c>
      <c r="F283" s="17">
        <f>IFERROR(__xludf.DUMMYFUNCTION("""COMPUTED_VALUE"""),0.0)</f>
        <v>0</v>
      </c>
      <c r="G283" s="17"/>
      <c r="H283" s="17">
        <f>IFERROR(__xludf.DUMMYFUNCTION("""COMPUTED_VALUE"""),0.0)</f>
        <v>0</v>
      </c>
      <c r="I283" s="17" t="str">
        <f>IFERROR(__xludf.DUMMYFUNCTION("""COMPUTED_VALUE"""),"Onayli - Satista degil")</f>
        <v>Onayli - Satista degil</v>
      </c>
      <c r="J283" s="40">
        <f>IF($A283="","",IFERROR(VLOOKUP($A283,'Maliyet Giris'!$A$2:$G$550,6,0),""))</f>
        <v>1024</v>
      </c>
      <c r="K283" s="40">
        <f>IF($A283="","",IFERROR(VLOOKUP($A283,'Maliyet Giris'!$A$2:$G$550,7,0),""))</f>
        <v>3</v>
      </c>
    </row>
    <row r="284">
      <c r="A284" s="17">
        <f>IFERROR(__xludf.DUMMYFUNCTION("""COMPUTED_VALUE"""),8.0102760422E12)</f>
        <v>8010276042200</v>
      </c>
      <c r="B284" s="17" t="str">
        <f>IFERROR(__xludf.DUMMYFUNCTION("""COMPUTED_VALUE"""),"N&amp;D")</f>
        <v>N&amp;D</v>
      </c>
      <c r="C284" s="17" t="str">
        <f>IFERROR(__xludf.DUMMYFUNCTION("""COMPUTED_VALUE"""),"Tropikal Selection Tavuklu Kısırlaştırılmış Yetişkin Kedi Maması 1,5 Kg")</f>
        <v>Tropikal Selection Tavuklu Kısırlaştırılmış Yetişkin Kedi Maması 1,5 Kg</v>
      </c>
      <c r="D284" s="17"/>
      <c r="E284" s="17" t="str">
        <f>IFERROR(__xludf.DUMMYFUNCTION("""COMPUTED_VALUE"""),"Kedi Kuru Maması")</f>
        <v>Kedi Kuru Maması</v>
      </c>
      <c r="F284" s="17">
        <f>IFERROR(__xludf.DUMMYFUNCTION("""COMPUTED_VALUE"""),1079.0)</f>
        <v>1079</v>
      </c>
      <c r="G284" s="17">
        <f>IFERROR(__xludf.DUMMYFUNCTION("""COMPUTED_VALUE"""),1085.0)</f>
        <v>1085</v>
      </c>
      <c r="H284" s="17">
        <f>IFERROR(__xludf.DUMMYFUNCTION("""COMPUTED_VALUE"""),5.0)</f>
        <v>5</v>
      </c>
      <c r="I284" s="17" t="str">
        <f>IFERROR(__xludf.DUMMYFUNCTION("""COMPUTED_VALUE"""),"Onayli")</f>
        <v>Onayli</v>
      </c>
      <c r="J284" s="40">
        <f>IF($A284="","",IFERROR(VLOOKUP($A284,'Maliyet Giris'!$A$2:$G$550,6,0),""))</f>
        <v>713</v>
      </c>
      <c r="K284" s="40">
        <f>IF($A284="","",IFERROR(VLOOKUP($A284,'Maliyet Giris'!$A$2:$G$550,7,0),""))</f>
        <v>3</v>
      </c>
    </row>
    <row r="285">
      <c r="A285" s="17">
        <f>IFERROR(__xludf.DUMMYFUNCTION("""COMPUTED_VALUE"""),8.010276042125E12)</f>
        <v>8010276042125</v>
      </c>
      <c r="B285" s="17" t="str">
        <f>IFERROR(__xludf.DUMMYFUNCTION("""COMPUTED_VALUE"""),"N&amp;D")</f>
        <v>N&amp;D</v>
      </c>
      <c r="C285" s="17" t="str">
        <f>IFERROR(__xludf.DUMMYFUNCTION("""COMPUTED_VALUE"""),"Tropical Kuzulu Kısır Kedi Maması 1.5 Kg")</f>
        <v>Tropical Kuzulu Kısır Kedi Maması 1.5 Kg</v>
      </c>
      <c r="D285" s="17"/>
      <c r="E285" s="17" t="str">
        <f>IFERROR(__xludf.DUMMYFUNCTION("""COMPUTED_VALUE"""),"Kedi Kuru Maması")</f>
        <v>Kedi Kuru Maması</v>
      </c>
      <c r="F285" s="17">
        <f>IFERROR(__xludf.DUMMYFUNCTION("""COMPUTED_VALUE"""),1041.0)</f>
        <v>1041</v>
      </c>
      <c r="G285" s="17">
        <f>IFERROR(__xludf.DUMMYFUNCTION("""COMPUTED_VALUE"""),1041.0)</f>
        <v>1041</v>
      </c>
      <c r="H285" s="17">
        <f>IFERROR(__xludf.DUMMYFUNCTION("""COMPUTED_VALUE"""),20.0)</f>
        <v>20</v>
      </c>
      <c r="I285" s="17" t="str">
        <f>IFERROR(__xludf.DUMMYFUNCTION("""COMPUTED_VALUE"""),"Onayli")</f>
        <v>Onayli</v>
      </c>
      <c r="J285" s="40">
        <f>IF($A285="","",IFERROR(VLOOKUP($A285,'Maliyet Giris'!$A$2:$G$550,6,0),""))</f>
        <v>713</v>
      </c>
      <c r="K285" s="40">
        <f>IF($A285="","",IFERROR(VLOOKUP($A285,'Maliyet Giris'!$A$2:$G$550,7,0),""))</f>
        <v>3</v>
      </c>
    </row>
    <row r="286">
      <c r="A286" s="17">
        <f>IFERROR(__xludf.DUMMYFUNCTION("""COMPUTED_VALUE"""),6.0598078545E10)</f>
        <v>60598078545</v>
      </c>
      <c r="B286" s="17" t="str">
        <f>IFERROR(__xludf.DUMMYFUNCTION("""COMPUTED_VALUE"""),"Hill's")</f>
        <v>Hill's</v>
      </c>
      <c r="C286" s="17" t="str">
        <f>IFERROR(__xludf.DUMMYFUNCTION("""COMPUTED_VALUE"""),"Prescription Diet Urinary Care C/d Multicare Stress Tavuklu Kedi Kuru Maması 1.5 kg")</f>
        <v>Prescription Diet Urinary Care C/d Multicare Stress Tavuklu Kedi Kuru Maması 1.5 kg</v>
      </c>
      <c r="D286" s="17"/>
      <c r="E286" s="17" t="str">
        <f>IFERROR(__xludf.DUMMYFUNCTION("""COMPUTED_VALUE"""),"Kedi Kuru Maması")</f>
        <v>Kedi Kuru Maması</v>
      </c>
      <c r="F286" s="17">
        <f>IFERROR(__xludf.DUMMYFUNCTION("""COMPUTED_VALUE"""),1320.0)</f>
        <v>1320</v>
      </c>
      <c r="G286" s="17"/>
      <c r="H286" s="17">
        <f>IFERROR(__xludf.DUMMYFUNCTION("""COMPUTED_VALUE"""),0.0)</f>
        <v>0</v>
      </c>
      <c r="I286" s="17" t="str">
        <f>IFERROR(__xludf.DUMMYFUNCTION("""COMPUTED_VALUE"""),"Onayli - Satista degil")</f>
        <v>Onayli - Satista degil</v>
      </c>
      <c r="J286" s="40">
        <f>IF($A286="","",IFERROR(VLOOKUP($A286,'Maliyet Giris'!$A$2:$G$550,6,0),""))</f>
        <v>10</v>
      </c>
      <c r="K286" s="40">
        <f>IF($A286="","",IFERROR(VLOOKUP($A286,'Maliyet Giris'!$A$2:$G$550,7,0),""))</f>
        <v>3</v>
      </c>
    </row>
    <row r="287">
      <c r="A287" s="17">
        <f>IFERROR(__xludf.DUMMYFUNCTION("""COMPUTED_VALUE"""),4.290919942723E12)</f>
        <v>4290919942723</v>
      </c>
      <c r="B287" s="17" t="str">
        <f>IFERROR(__xludf.DUMMYFUNCTION("""COMPUTED_VALUE"""),"Hill's")</f>
        <v>Hill's</v>
      </c>
      <c r="C287" s="17" t="str">
        <f>IFERROR(__xludf.DUMMYFUNCTION("""COMPUTED_VALUE"""),"Prescription Diet Gastrointestinal Biome Tavuklu Kedi Kuru Maması 3 Kg")</f>
        <v>Prescription Diet Gastrointestinal Biome Tavuklu Kedi Kuru Maması 3 Kg</v>
      </c>
      <c r="D287" s="17"/>
      <c r="E287" s="17" t="str">
        <f>IFERROR(__xludf.DUMMYFUNCTION("""COMPUTED_VALUE"""),"Kedi Kuru Maması")</f>
        <v>Kedi Kuru Maması</v>
      </c>
      <c r="F287" s="17">
        <f>IFERROR(__xludf.DUMMYFUNCTION("""COMPUTED_VALUE"""),2329.0)</f>
        <v>2329</v>
      </c>
      <c r="G287" s="17"/>
      <c r="H287" s="17">
        <f>IFERROR(__xludf.DUMMYFUNCTION("""COMPUTED_VALUE"""),0.0)</f>
        <v>0</v>
      </c>
      <c r="I287" s="17" t="str">
        <f>IFERROR(__xludf.DUMMYFUNCTION("""COMPUTED_VALUE"""),"Onayli - Satista degil")</f>
        <v>Onayli - Satista degil</v>
      </c>
      <c r="J287" s="40" t="str">
        <f>IF($A287="","",IFERROR(VLOOKUP($A287,'Maliyet Giris'!$A$2:$G$550,6,0),""))</f>
        <v/>
      </c>
      <c r="K287" s="40" t="str">
        <f>IF($A287="","",IFERROR(VLOOKUP($A287,'Maliyet Giris'!$A$2:$G$550,7,0),""))</f>
        <v/>
      </c>
    </row>
    <row r="288">
      <c r="A288" s="17">
        <f>IFERROR(__xludf.DUMMYFUNCTION("""COMPUTED_VALUE"""),1.245896784512E12)</f>
        <v>1245896784512</v>
      </c>
      <c r="B288" s="17" t="str">
        <f>IFERROR(__xludf.DUMMYFUNCTION("""COMPUTED_VALUE"""),"Hill's")</f>
        <v>Hill's</v>
      </c>
      <c r="C288" s="17" t="str">
        <f>IFERROR(__xludf.DUMMYFUNCTION("""COMPUTED_VALUE"""),"Hills Vet Essentials kedi maması adult weight 1,5kg Tuna Balıklı")</f>
        <v>Hills Vet Essentials kedi maması adult weight 1,5kg Tuna Balıklı</v>
      </c>
      <c r="D288" s="17"/>
      <c r="E288" s="17" t="str">
        <f>IFERROR(__xludf.DUMMYFUNCTION("""COMPUTED_VALUE"""),"Kedi Kuru Maması")</f>
        <v>Kedi Kuru Maması</v>
      </c>
      <c r="F288" s="17">
        <f>IFERROR(__xludf.DUMMYFUNCTION("""COMPUTED_VALUE"""),1398.0)</f>
        <v>1398</v>
      </c>
      <c r="G288" s="17"/>
      <c r="H288" s="17">
        <f>IFERROR(__xludf.DUMMYFUNCTION("""COMPUTED_VALUE"""),0.0)</f>
        <v>0</v>
      </c>
      <c r="I288" s="17" t="str">
        <f>IFERROR(__xludf.DUMMYFUNCTION("""COMPUTED_VALUE"""),"Onayli - Satista degil")</f>
        <v>Onayli - Satista degil</v>
      </c>
      <c r="J288" s="40">
        <f>IF($A288="","",IFERROR(VLOOKUP($A288,'Maliyet Giris'!$A$2:$G$550,6,0),""))</f>
        <v>750</v>
      </c>
      <c r="K288" s="40">
        <f>IF($A288="","",IFERROR(VLOOKUP($A288,'Maliyet Giris'!$A$2:$G$550,7,0),""))</f>
        <v>3</v>
      </c>
    </row>
    <row r="289">
      <c r="A289" s="17" t="str">
        <f>IFERROR(__xludf.DUMMYFUNCTION("""COMPUTED_VALUE"""),"TYBZ7FB5W4WT441F11")</f>
        <v>TYBZ7FB5W4WT441F11</v>
      </c>
      <c r="B289" s="17" t="str">
        <f>IFERROR(__xludf.DUMMYFUNCTION("""COMPUTED_VALUE"""),"HPM")</f>
        <v>HPM</v>
      </c>
      <c r="C289" s="17" t="str">
        <f>IFERROR(__xludf.DUMMYFUNCTION("""COMPUTED_VALUE"""),"Virbac Adult Cat Salmon Neutered Entire 12kg Yeni")</f>
        <v>Virbac Adult Cat Salmon Neutered Entire 12kg Yeni</v>
      </c>
      <c r="D289" s="17"/>
      <c r="E289" s="17" t="str">
        <f>IFERROR(__xludf.DUMMYFUNCTION("""COMPUTED_VALUE"""),"Kedi Kuru Maması")</f>
        <v>Kedi Kuru Maması</v>
      </c>
      <c r="F289" s="17">
        <f>IFERROR(__xludf.DUMMYFUNCTION("""COMPUTED_VALUE"""),5950.0)</f>
        <v>5950</v>
      </c>
      <c r="G289" s="17"/>
      <c r="H289" s="17">
        <f>IFERROR(__xludf.DUMMYFUNCTION("""COMPUTED_VALUE"""),0.0)</f>
        <v>0</v>
      </c>
      <c r="I289" s="17" t="str">
        <f>IFERROR(__xludf.DUMMYFUNCTION("""COMPUTED_VALUE"""),"Onayli - Satista degil")</f>
        <v>Onayli - Satista degil</v>
      </c>
      <c r="J289" s="40">
        <f>IF($A289="","",IFERROR(VLOOKUP($A289,'Maliyet Giris'!$A$2:$G$550,6,0),""))</f>
        <v>10</v>
      </c>
      <c r="K289" s="40">
        <f>IF($A289="","",IFERROR(VLOOKUP($A289,'Maliyet Giris'!$A$2:$G$550,7,0),""))</f>
        <v>3</v>
      </c>
    </row>
    <row r="290">
      <c r="A290" s="17" t="str">
        <f>IFERROR(__xludf.DUMMYFUNCTION("""COMPUTED_VALUE"""),"TYBRLT0D4EIBAYNV66")</f>
        <v>TYBRLT0D4EIBAYNV66</v>
      </c>
      <c r="B290" s="17" t="str">
        <f>IFERROR(__xludf.DUMMYFUNCTION("""COMPUTED_VALUE"""),"Other")</f>
        <v>Other</v>
      </c>
      <c r="C290" s="17" t="str">
        <f>IFERROR(__xludf.DUMMYFUNCTION("""COMPUTED_VALUE"""),"Virbac Adult Dog Small Toy Köpek Maması 3 kg")</f>
        <v>Virbac Adult Dog Small Toy Köpek Maması 3 kg</v>
      </c>
      <c r="D290" s="17"/>
      <c r="E290" s="17" t="str">
        <f>IFERROR(__xludf.DUMMYFUNCTION("""COMPUTED_VALUE"""),"Köpek Kuru Maması")</f>
        <v>Köpek Kuru Maması</v>
      </c>
      <c r="F290" s="17">
        <f>IFERROR(__xludf.DUMMYFUNCTION("""COMPUTED_VALUE"""),1840.0)</f>
        <v>1840</v>
      </c>
      <c r="G290" s="17"/>
      <c r="H290" s="17">
        <f>IFERROR(__xludf.DUMMYFUNCTION("""COMPUTED_VALUE"""),0.0)</f>
        <v>0</v>
      </c>
      <c r="I290" s="17" t="str">
        <f>IFERROR(__xludf.DUMMYFUNCTION("""COMPUTED_VALUE"""),"Onayli - Satista degil")</f>
        <v>Onayli - Satista degil</v>
      </c>
      <c r="J290" s="40">
        <f>IF($A290="","",IFERROR(VLOOKUP($A290,'Maliyet Giris'!$A$2:$G$550,6,0),""))</f>
        <v>1080</v>
      </c>
      <c r="K290" s="40">
        <f>IF($A290="","",IFERROR(VLOOKUP($A290,'Maliyet Giris'!$A$2:$G$550,7,0),""))</f>
        <v>3</v>
      </c>
    </row>
    <row r="291">
      <c r="A291" s="17">
        <f>IFERROR(__xludf.DUMMYFUNCTION("""COMPUTED_VALUE"""),4.290919942719E12)</f>
        <v>4290919942719</v>
      </c>
      <c r="B291" s="17" t="str">
        <f>IFERROR(__xludf.DUMMYFUNCTION("""COMPUTED_VALUE"""),"Hill's")</f>
        <v>Hill's</v>
      </c>
      <c r="C291" s="17" t="str">
        <f>IFERROR(__xludf.DUMMYFUNCTION("""COMPUTED_VALUE"""),"Prescription Diet Digestive Care I/d Tavuklu Kedi Kuru Maması 3 Kg (:2027)")</f>
        <v>Prescription Diet Digestive Care I/d Tavuklu Kedi Kuru Maması 3 Kg (:2027)</v>
      </c>
      <c r="D291" s="17"/>
      <c r="E291" s="17" t="str">
        <f>IFERROR(__xludf.DUMMYFUNCTION("""COMPUTED_VALUE"""),"Kedi Kuru Maması")</f>
        <v>Kedi Kuru Maması</v>
      </c>
      <c r="F291" s="17">
        <f>IFERROR(__xludf.DUMMYFUNCTION("""COMPUTED_VALUE"""),2499.0)</f>
        <v>2499</v>
      </c>
      <c r="G291" s="17"/>
      <c r="H291" s="17">
        <f>IFERROR(__xludf.DUMMYFUNCTION("""COMPUTED_VALUE"""),0.0)</f>
        <v>0</v>
      </c>
      <c r="I291" s="17" t="str">
        <f>IFERROR(__xludf.DUMMYFUNCTION("""COMPUTED_VALUE"""),"Onayli - Satista degil")</f>
        <v>Onayli - Satista degil</v>
      </c>
      <c r="J291" s="40" t="str">
        <f>IF($A291="","",IFERROR(VLOOKUP($A291,'Maliyet Giris'!$A$2:$G$550,6,0),""))</f>
        <v/>
      </c>
      <c r="K291" s="40" t="str">
        <f>IF($A291="","",IFERROR(VLOOKUP($A291,'Maliyet Giris'!$A$2:$G$550,7,0),""))</f>
        <v/>
      </c>
    </row>
    <row r="292">
      <c r="A292" s="17" t="str">
        <f>IFERROR(__xludf.DUMMYFUNCTION("""COMPUTED_VALUE"""),"TYBFYARTWVCLVH6U02")</f>
        <v>TYBFYARTWVCLVH6U02</v>
      </c>
      <c r="B292" s="17" t="str">
        <f>IFERROR(__xludf.DUMMYFUNCTION("""COMPUTED_VALUE"""),"Hill's")</f>
        <v>Hill's</v>
      </c>
      <c r="C292" s="17" t="str">
        <f>IFERROR(__xludf.DUMMYFUNCTION("""COMPUTED_VALUE"""),"Prescrıptıon Dıet C/d Multicare Kedi Maması 1.5 kg")</f>
        <v>Prescrıptıon Dıet C/d Multicare Kedi Maması 1.5 kg</v>
      </c>
      <c r="D292" s="17"/>
      <c r="E292" s="17" t="str">
        <f>IFERROR(__xludf.DUMMYFUNCTION("""COMPUTED_VALUE"""),"Kedi Kuru Maması")</f>
        <v>Kedi Kuru Maması</v>
      </c>
      <c r="F292" s="17">
        <f>IFERROR(__xludf.DUMMYFUNCTION("""COMPUTED_VALUE"""),1249.0)</f>
        <v>1249</v>
      </c>
      <c r="G292" s="17"/>
      <c r="H292" s="17">
        <f>IFERROR(__xludf.DUMMYFUNCTION("""COMPUTED_VALUE"""),0.0)</f>
        <v>0</v>
      </c>
      <c r="I292" s="17" t="str">
        <f>IFERROR(__xludf.DUMMYFUNCTION("""COMPUTED_VALUE"""),"Onayli - Satista degil")</f>
        <v>Onayli - Satista degil</v>
      </c>
      <c r="J292" s="40">
        <f>IF($A292="","",IFERROR(VLOOKUP($A292,'Maliyet Giris'!$A$2:$G$550,6,0),""))</f>
        <v>100</v>
      </c>
      <c r="K292" s="40">
        <f>IF($A292="","",IFERROR(VLOOKUP($A292,'Maliyet Giris'!$A$2:$G$550,7,0),""))</f>
        <v>3</v>
      </c>
    </row>
    <row r="293">
      <c r="A293" s="17">
        <f>IFERROR(__xludf.DUMMYFUNCTION("""COMPUTED_VALUE"""),5.2742043814E10)</f>
        <v>52742043814</v>
      </c>
      <c r="B293" s="17" t="str">
        <f>IFERROR(__xludf.DUMMYFUNCTION("""COMPUTED_VALUE"""),"Hill's")</f>
        <v>Hill's</v>
      </c>
      <c r="C293" s="17" t="str">
        <f>IFERROR(__xludf.DUMMYFUNCTION("""COMPUTED_VALUE"""),"Prescription Diet Urinary, Stress, Metabolic C/d Tavuklu Kedi Kuru Maması 3 Kg")</f>
        <v>Prescription Diet Urinary, Stress, Metabolic C/d Tavuklu Kedi Kuru Maması 3 Kg</v>
      </c>
      <c r="D293" s="17"/>
      <c r="E293" s="17" t="str">
        <f>IFERROR(__xludf.DUMMYFUNCTION("""COMPUTED_VALUE"""),"Kedi Kuru Maması")</f>
        <v>Kedi Kuru Maması</v>
      </c>
      <c r="F293" s="17">
        <f>IFERROR(__xludf.DUMMYFUNCTION("""COMPUTED_VALUE"""),2299.0)</f>
        <v>2299</v>
      </c>
      <c r="G293" s="17"/>
      <c r="H293" s="17">
        <f>IFERROR(__xludf.DUMMYFUNCTION("""COMPUTED_VALUE"""),0.0)</f>
        <v>0</v>
      </c>
      <c r="I293" s="17" t="str">
        <f>IFERROR(__xludf.DUMMYFUNCTION("""COMPUTED_VALUE"""),"Onayli - Satista degil")</f>
        <v>Onayli - Satista degil</v>
      </c>
      <c r="J293" s="40">
        <f>IF($A293="","",IFERROR(VLOOKUP($A293,'Maliyet Giris'!$A$2:$G$550,6,0),""))</f>
        <v>1579</v>
      </c>
      <c r="K293" s="40">
        <f>IF($A293="","",IFERROR(VLOOKUP($A293,'Maliyet Giris'!$A$2:$G$550,7,0),""))</f>
        <v>3</v>
      </c>
    </row>
    <row r="294">
      <c r="A294" s="17">
        <f>IFERROR(__xludf.DUMMYFUNCTION("""COMPUTED_VALUE"""),8.010276040046E12)</f>
        <v>8010276040046</v>
      </c>
      <c r="B294" s="17" t="str">
        <f>IFERROR(__xludf.DUMMYFUNCTION("""COMPUTED_VALUE"""),"N&amp;D")</f>
        <v>N&amp;D</v>
      </c>
      <c r="C294" s="17" t="str">
        <f>IFERROR(__xludf.DUMMYFUNCTION("""COMPUTED_VALUE"""),"Düşük Tahıllı Somonlu Kısırlaştırılmış Kedi Maması 10 kg")</f>
        <v>Düşük Tahıllı Somonlu Kısırlaştırılmış Kedi Maması 10 kg</v>
      </c>
      <c r="D294" s="17"/>
      <c r="E294" s="17" t="str">
        <f>IFERROR(__xludf.DUMMYFUNCTION("""COMPUTED_VALUE"""),"Kedi Kuru Maması")</f>
        <v>Kedi Kuru Maması</v>
      </c>
      <c r="F294" s="17">
        <f>IFERROR(__xludf.DUMMYFUNCTION("""COMPUTED_VALUE"""),4848.0)</f>
        <v>4848</v>
      </c>
      <c r="G294" s="17">
        <f>IFERROR(__xludf.DUMMYFUNCTION("""COMPUTED_VALUE"""),4841.0)</f>
        <v>4841</v>
      </c>
      <c r="H294" s="17">
        <f>IFERROR(__xludf.DUMMYFUNCTION("""COMPUTED_VALUE"""),29.0)</f>
        <v>29</v>
      </c>
      <c r="I294" s="17" t="str">
        <f>IFERROR(__xludf.DUMMYFUNCTION("""COMPUTED_VALUE"""),"Onayli")</f>
        <v>Onayli</v>
      </c>
      <c r="J294" s="40">
        <f>IF($A294="","",IFERROR(VLOOKUP($A294,'Maliyet Giris'!$A$2:$G$550,6,0),""))</f>
        <v>3663</v>
      </c>
      <c r="K294" s="40">
        <f>IF($A294="","",IFERROR(VLOOKUP($A294,'Maliyet Giris'!$A$2:$G$550,7,0),""))</f>
        <v>10</v>
      </c>
    </row>
    <row r="295">
      <c r="A295" s="17">
        <f>IFERROR(__xludf.DUMMYFUNCTION("""COMPUTED_VALUE"""),6.11932100128E11)</f>
        <v>611932100128</v>
      </c>
      <c r="B295" s="17" t="str">
        <f>IFERROR(__xludf.DUMMYFUNCTION("""COMPUTED_VALUE"""),"Kong")</f>
        <v>Kong</v>
      </c>
      <c r="C295" s="17" t="str">
        <f>IFERROR(__xludf.DUMMYFUNCTION("""COMPUTED_VALUE"""),"EXTREMEGOODİE BONEKEMİK ŞEKLİNDEÇOK AMAÇLIKÖPEKOYUNCAĞI ULTRASERT M")</f>
        <v>EXTREMEGOODİE BONEKEMİK ŞEKLİNDEÇOK AMAÇLIKÖPEKOYUNCAĞI ULTRASERT M</v>
      </c>
      <c r="D295" s="17"/>
      <c r="E295" s="17" t="str">
        <f>IFERROR(__xludf.DUMMYFUNCTION("""COMPUTED_VALUE"""),"Köpek Oyuncağı")</f>
        <v>Köpek Oyuncağı</v>
      </c>
      <c r="F295" s="17">
        <f>IFERROR(__xludf.DUMMYFUNCTION("""COMPUTED_VALUE"""),1015.0)</f>
        <v>1015</v>
      </c>
      <c r="G295" s="17"/>
      <c r="H295" s="17">
        <f>IFERROR(__xludf.DUMMYFUNCTION("""COMPUTED_VALUE"""),0.0)</f>
        <v>0</v>
      </c>
      <c r="I295" s="17" t="str">
        <f>IFERROR(__xludf.DUMMYFUNCTION("""COMPUTED_VALUE"""),"Onayli - Satista degil")</f>
        <v>Onayli - Satista degil</v>
      </c>
      <c r="J295" s="40">
        <f>IF($A295="","",IFERROR(VLOOKUP($A295,'Maliyet Giris'!$A$2:$G$550,6,0),""))</f>
        <v>500</v>
      </c>
      <c r="K295" s="40">
        <f>IF($A295="","",IFERROR(VLOOKUP($A295,'Maliyet Giris'!$A$2:$G$550,7,0),""))</f>
        <v>1</v>
      </c>
    </row>
    <row r="296">
      <c r="A296" s="17">
        <f>IFERROR(__xludf.DUMMYFUNCTION("""COMPUTED_VALUE"""),3.5585356389E10)</f>
        <v>35585356389</v>
      </c>
      <c r="B296" s="17" t="str">
        <f>IFERROR(__xludf.DUMMYFUNCTION("""COMPUTED_VALUE"""),"Kong")</f>
        <v>Kong</v>
      </c>
      <c r="C296" s="17" t="str">
        <f>IFERROR(__xludf.DUMMYFUNCTION("""COMPUTED_VALUE"""),"EXTREMEÇOKLU TOPŞEKLİNDE KÖPEKOYUNCAĞI ULTRASERT L")</f>
        <v>EXTREMEÇOKLU TOPŞEKLİNDE KÖPEKOYUNCAĞI ULTRASERT L</v>
      </c>
      <c r="D296" s="17"/>
      <c r="E296" s="17" t="str">
        <f>IFERROR(__xludf.DUMMYFUNCTION("""COMPUTED_VALUE"""),"Köpek Oyuncağı")</f>
        <v>Köpek Oyuncağı</v>
      </c>
      <c r="F296" s="17">
        <f>IFERROR(__xludf.DUMMYFUNCTION("""COMPUTED_VALUE"""),2340.0)</f>
        <v>2340</v>
      </c>
      <c r="G296" s="17">
        <f>IFERROR(__xludf.DUMMYFUNCTION("""COMPUTED_VALUE"""),2340.0)</f>
        <v>2340</v>
      </c>
      <c r="H296" s="17">
        <f>IFERROR(__xludf.DUMMYFUNCTION("""COMPUTED_VALUE"""),2.0)</f>
        <v>2</v>
      </c>
      <c r="I296" s="17" t="str">
        <f>IFERROR(__xludf.DUMMYFUNCTION("""COMPUTED_VALUE"""),"Onayli")</f>
        <v>Onayli</v>
      </c>
      <c r="J296" s="40">
        <f>IF($A296="","",IFERROR(VLOOKUP($A296,'Maliyet Giris'!$A$2:$G$550,6,0),""))</f>
        <v>925.2</v>
      </c>
      <c r="K296" s="40">
        <f>IF($A296="","",IFERROR(VLOOKUP($A296,'Maliyet Giris'!$A$2:$G$550,7,0),""))</f>
        <v>1</v>
      </c>
    </row>
    <row r="297">
      <c r="A297" s="17">
        <f>IFERROR(__xludf.DUMMYFUNCTION("""COMPUTED_VALUE"""),3.558549504E10)</f>
        <v>35585495040</v>
      </c>
      <c r="B297" s="17" t="str">
        <f>IFERROR(__xludf.DUMMYFUNCTION("""COMPUTED_VALUE"""),"Kong")</f>
        <v>Kong</v>
      </c>
      <c r="C297" s="17" t="str">
        <f>IFERROR(__xludf.DUMMYFUNCTION("""COMPUTED_VALUE"""),"LOWSTUFF GÜLENSURAT DETAYLIPELUŞ KÖPEKOYUNCAĞI L")</f>
        <v>LOWSTUFF GÜLENSURAT DETAYLIPELUŞ KÖPEKOYUNCAĞI L</v>
      </c>
      <c r="D297" s="17"/>
      <c r="E297" s="17" t="str">
        <f>IFERROR(__xludf.DUMMYFUNCTION("""COMPUTED_VALUE"""),"Köpek Oyuncağı")</f>
        <v>Köpek Oyuncağı</v>
      </c>
      <c r="F297" s="17">
        <f>IFERROR(__xludf.DUMMYFUNCTION("""COMPUTED_VALUE"""),1259.0)</f>
        <v>1259</v>
      </c>
      <c r="G297" s="17"/>
      <c r="H297" s="17">
        <f>IFERROR(__xludf.DUMMYFUNCTION("""COMPUTED_VALUE"""),0.0)</f>
        <v>0</v>
      </c>
      <c r="I297" s="17" t="str">
        <f>IFERROR(__xludf.DUMMYFUNCTION("""COMPUTED_VALUE"""),"Onayli - Satista degil")</f>
        <v>Onayli - Satista degil</v>
      </c>
      <c r="J297" s="40">
        <f>IF($A297="","",IFERROR(VLOOKUP($A297,'Maliyet Giris'!$A$2:$G$550,6,0),""))</f>
        <v>497.52</v>
      </c>
      <c r="K297" s="40">
        <f>IF($A297="","",IFERROR(VLOOKUP($A297,'Maliyet Giris'!$A$2:$G$550,7,0),""))</f>
        <v>1</v>
      </c>
    </row>
    <row r="298">
      <c r="A298" s="17">
        <f>IFERROR(__xludf.DUMMYFUNCTION("""COMPUTED_VALUE"""),3.5585181226E10)</f>
        <v>35585181226</v>
      </c>
      <c r="B298" s="17" t="str">
        <f>IFERROR(__xludf.DUMMYFUNCTION("""COMPUTED_VALUE"""),"Kong")</f>
        <v>Kong</v>
      </c>
      <c r="C298" s="17" t="str">
        <f>IFERROR(__xludf.DUMMYFUNCTION("""COMPUTED_VALUE"""),"DELİKLİTOP ŞEKLİNDEÇOK AMAÇLIKÖPEKOYUNCAĞI S")</f>
        <v>DELİKLİTOP ŞEKLİNDEÇOK AMAÇLIKÖPEKOYUNCAĞI S</v>
      </c>
      <c r="D298" s="17"/>
      <c r="E298" s="17" t="str">
        <f>IFERROR(__xludf.DUMMYFUNCTION("""COMPUTED_VALUE"""),"Köpek Oyuncağı")</f>
        <v>Köpek Oyuncağı</v>
      </c>
      <c r="F298" s="17">
        <f>IFERROR(__xludf.DUMMYFUNCTION("""COMPUTED_VALUE"""),840.0)</f>
        <v>840</v>
      </c>
      <c r="G298" s="17">
        <f>IFERROR(__xludf.DUMMYFUNCTION("""COMPUTED_VALUE"""),820.0)</f>
        <v>820</v>
      </c>
      <c r="H298" s="17">
        <f>IFERROR(__xludf.DUMMYFUNCTION("""COMPUTED_VALUE"""),3.0)</f>
        <v>3</v>
      </c>
      <c r="I298" s="17" t="str">
        <f>IFERROR(__xludf.DUMMYFUNCTION("""COMPUTED_VALUE"""),"Onayli")</f>
        <v>Onayli</v>
      </c>
      <c r="J298" s="40">
        <f>IF($A298="","",IFERROR(VLOOKUP($A298,'Maliyet Giris'!$A$2:$G$550,6,0),""))</f>
        <v>332.64</v>
      </c>
      <c r="K298" s="40">
        <f>IF($A298="","",IFERROR(VLOOKUP($A298,'Maliyet Giris'!$A$2:$G$550,7,0),""))</f>
        <v>1</v>
      </c>
    </row>
    <row r="299">
      <c r="A299" s="17">
        <f>IFERROR(__xludf.DUMMYFUNCTION("""COMPUTED_VALUE"""),3.5585495347E10)</f>
        <v>35585495347</v>
      </c>
      <c r="B299" s="17" t="str">
        <f>IFERROR(__xludf.DUMMYFUNCTION("""COMPUTED_VALUE"""),"Kong")</f>
        <v>Kong</v>
      </c>
      <c r="C299" s="17" t="str">
        <f>IFERROR(__xludf.DUMMYFUNCTION("""COMPUTED_VALUE"""),"JAXXBRİGHTS SANDVİÇŞEKLİNDE KÖPEKOYUNCAĞI M")</f>
        <v>JAXXBRİGHTS SANDVİÇŞEKLİNDE KÖPEKOYUNCAĞI M</v>
      </c>
      <c r="D299" s="17"/>
      <c r="E299" s="17" t="str">
        <f>IFERROR(__xludf.DUMMYFUNCTION("""COMPUTED_VALUE"""),"Köpek Oyuncağı")</f>
        <v>Köpek Oyuncağı</v>
      </c>
      <c r="F299" s="17">
        <f>IFERROR(__xludf.DUMMYFUNCTION("""COMPUTED_VALUE"""),725.0)</f>
        <v>725</v>
      </c>
      <c r="G299" s="17">
        <f>IFERROR(__xludf.DUMMYFUNCTION("""COMPUTED_VALUE"""),725.0)</f>
        <v>725</v>
      </c>
      <c r="H299" s="17">
        <f>IFERROR(__xludf.DUMMYFUNCTION("""COMPUTED_VALUE"""),3.0)</f>
        <v>3</v>
      </c>
      <c r="I299" s="17" t="str">
        <f>IFERROR(__xludf.DUMMYFUNCTION("""COMPUTED_VALUE"""),"Onayli")</f>
        <v>Onayli</v>
      </c>
      <c r="J299" s="40">
        <f>IF($A299="","",IFERROR(VLOOKUP($A299,'Maliyet Giris'!$A$2:$G$550,6,0),""))</f>
        <v>285.84</v>
      </c>
      <c r="K299" s="40">
        <f>IF($A299="","",IFERROR(VLOOKUP($A299,'Maliyet Giris'!$A$2:$G$550,7,0),""))</f>
        <v>1</v>
      </c>
    </row>
    <row r="300">
      <c r="A300" s="17">
        <f>IFERROR(__xludf.DUMMYFUNCTION("""COMPUTED_VALUE"""),3.5585502205E10)</f>
        <v>35585502205</v>
      </c>
      <c r="B300" s="17" t="str">
        <f>IFERROR(__xludf.DUMMYFUNCTION("""COMPUTED_VALUE"""),"Kong")</f>
        <v>Kong</v>
      </c>
      <c r="C300" s="17" t="str">
        <f>IFERROR(__xludf.DUMMYFUNCTION("""COMPUTED_VALUE"""),"AİRDOGYUVARLAKŞEKİLDE SESLİKÖPEKOYUNCAĞI M/L")</f>
        <v>AİRDOGYUVARLAKŞEKİLDE SESLİKÖPEKOYUNCAĞI M/L</v>
      </c>
      <c r="D300" s="17"/>
      <c r="E300" s="17" t="str">
        <f>IFERROR(__xludf.DUMMYFUNCTION("""COMPUTED_VALUE"""),"Köpek Oyuncağı")</f>
        <v>Köpek Oyuncağı</v>
      </c>
      <c r="F300" s="17">
        <f>IFERROR(__xludf.DUMMYFUNCTION("""COMPUTED_VALUE"""),1144.0)</f>
        <v>1144</v>
      </c>
      <c r="G300" s="17">
        <f>IFERROR(__xludf.DUMMYFUNCTION("""COMPUTED_VALUE"""),1130.0)</f>
        <v>1130</v>
      </c>
      <c r="H300" s="17">
        <f>IFERROR(__xludf.DUMMYFUNCTION("""COMPUTED_VALUE"""),3.0)</f>
        <v>3</v>
      </c>
      <c r="I300" s="17" t="str">
        <f>IFERROR(__xludf.DUMMYFUNCTION("""COMPUTED_VALUE"""),"Onayli")</f>
        <v>Onayli</v>
      </c>
      <c r="J300" s="40">
        <f>IF($A300="","",IFERROR(VLOOKUP($A300,'Maliyet Giris'!$A$2:$G$550,6,0),""))</f>
        <v>453.6</v>
      </c>
      <c r="K300" s="40">
        <f>IF($A300="","",IFERROR(VLOOKUP($A300,'Maliyet Giris'!$A$2:$G$550,7,0),""))</f>
        <v>1</v>
      </c>
    </row>
    <row r="301">
      <c r="A301" s="17">
        <f>IFERROR(__xludf.DUMMYFUNCTION("""COMPUTED_VALUE"""),3.5585356266E10)</f>
        <v>35585356266</v>
      </c>
      <c r="B301" s="17" t="str">
        <f>IFERROR(__xludf.DUMMYFUNCTION("""COMPUTED_VALUE"""),"Kong")</f>
        <v>Kong</v>
      </c>
      <c r="C301" s="17" t="str">
        <f>IFERROR(__xludf.DUMMYFUNCTION("""COMPUTED_VALUE"""),"GOODİERİBBON ÇOKLUTOP ŞEKLİNDEKÖPEKOYUNCAĞI S")</f>
        <v>GOODİERİBBON ÇOKLUTOP ŞEKLİNDEKÖPEKOYUNCAĞI S</v>
      </c>
      <c r="D301" s="17"/>
      <c r="E301" s="17" t="str">
        <f>IFERROR(__xludf.DUMMYFUNCTION("""COMPUTED_VALUE"""),"Köpek Oyuncağı")</f>
        <v>Köpek Oyuncağı</v>
      </c>
      <c r="F301" s="17">
        <f>IFERROR(__xludf.DUMMYFUNCTION("""COMPUTED_VALUE"""),949.0)</f>
        <v>949</v>
      </c>
      <c r="G301" s="17">
        <f>IFERROR(__xludf.DUMMYFUNCTION("""COMPUTED_VALUE"""),949.0)</f>
        <v>949</v>
      </c>
      <c r="H301" s="17">
        <f>IFERROR(__xludf.DUMMYFUNCTION("""COMPUTED_VALUE"""),3.0)</f>
        <v>3</v>
      </c>
      <c r="I301" s="17" t="str">
        <f>IFERROR(__xludf.DUMMYFUNCTION("""COMPUTED_VALUE"""),"Onayli")</f>
        <v>Onayli</v>
      </c>
      <c r="J301" s="40">
        <f>IF($A301="","",IFERROR(VLOOKUP($A301,'Maliyet Giris'!$A$2:$G$550,6,0),""))</f>
        <v>375.12</v>
      </c>
      <c r="K301" s="40">
        <f>IF($A301="","",IFERROR(VLOOKUP($A301,'Maliyet Giris'!$A$2:$G$550,7,0),""))</f>
        <v>1</v>
      </c>
    </row>
    <row r="302">
      <c r="A302" s="17">
        <f>IFERROR(__xludf.DUMMYFUNCTION("""COMPUTED_VALUE"""),3.5585780009E10)</f>
        <v>35585780009</v>
      </c>
      <c r="B302" s="17" t="str">
        <f>IFERROR(__xludf.DUMMYFUNCTION("""COMPUTED_VALUE"""),"Kong")</f>
        <v>Kong</v>
      </c>
      <c r="C302" s="17" t="str">
        <f>IFERROR(__xludf.DUMMYFUNCTION("""COMPUTED_VALUE"""),"GOODİEBONE KEMİKŞEKLİNDE ÇOKAMAÇLI İPSALLANTILI KÖPEKOYUNCAĞI M")</f>
        <v>GOODİEBONE KEMİKŞEKLİNDE ÇOKAMAÇLI İPSALLANTILI KÖPEKOYUNCAĞI M</v>
      </c>
      <c r="D302" s="17"/>
      <c r="E302" s="17" t="str">
        <f>IFERROR(__xludf.DUMMYFUNCTION("""COMPUTED_VALUE"""),"Köpek Oyuncağı")</f>
        <v>Köpek Oyuncağı</v>
      </c>
      <c r="F302" s="17">
        <f>IFERROR(__xludf.DUMMYFUNCTION("""COMPUTED_VALUE"""),1242.0)</f>
        <v>1242</v>
      </c>
      <c r="G302" s="17">
        <f>IFERROR(__xludf.DUMMYFUNCTION("""COMPUTED_VALUE"""),1242.0)</f>
        <v>1242</v>
      </c>
      <c r="H302" s="17">
        <f>IFERROR(__xludf.DUMMYFUNCTION("""COMPUTED_VALUE"""),3.0)</f>
        <v>3</v>
      </c>
      <c r="I302" s="17" t="str">
        <f>IFERROR(__xludf.DUMMYFUNCTION("""COMPUTED_VALUE"""),"Onayli")</f>
        <v>Onayli</v>
      </c>
      <c r="J302" s="40">
        <f>IF($A302="","",IFERROR(VLOOKUP($A302,'Maliyet Giris'!$A$2:$G$550,6,0),""))</f>
        <v>490.32</v>
      </c>
      <c r="K302" s="40">
        <f>IF($A302="","",IFERROR(VLOOKUP($A302,'Maliyet Giris'!$A$2:$G$550,7,0),""))</f>
        <v>1</v>
      </c>
    </row>
    <row r="303">
      <c r="A303" s="17">
        <f>IFERROR(__xludf.DUMMYFUNCTION("""COMPUTED_VALUE"""),3.5585509006E10)</f>
        <v>35585509006</v>
      </c>
      <c r="B303" s="17" t="str">
        <f>IFERROR(__xludf.DUMMYFUNCTION("""COMPUTED_VALUE"""),"Kong")</f>
        <v>Kong</v>
      </c>
      <c r="C303" s="17" t="str">
        <f>IFERROR(__xludf.DUMMYFUNCTION("""COMPUTED_VALUE"""),"REWARDSTİNKER KÖPEKLERİÇİN ÖDÜLMAMASIDAĞITMAOYUNCAĞI M/L")</f>
        <v>REWARDSTİNKER KÖPEKLERİÇİN ÖDÜLMAMASIDAĞITMAOYUNCAĞI M/L</v>
      </c>
      <c r="D303" s="17"/>
      <c r="E303" s="17" t="str">
        <f>IFERROR(__xludf.DUMMYFUNCTION("""COMPUTED_VALUE"""),"Köpek Oyuncağı")</f>
        <v>Köpek Oyuncağı</v>
      </c>
      <c r="F303" s="17">
        <f>IFERROR(__xludf.DUMMYFUNCTION("""COMPUTED_VALUE"""),2197.0)</f>
        <v>2197</v>
      </c>
      <c r="G303" s="17">
        <f>IFERROR(__xludf.DUMMYFUNCTION("""COMPUTED_VALUE"""),2197.0)</f>
        <v>2197</v>
      </c>
      <c r="H303" s="17">
        <f>IFERROR(__xludf.DUMMYFUNCTION("""COMPUTED_VALUE"""),3.0)</f>
        <v>3</v>
      </c>
      <c r="I303" s="17" t="str">
        <f>IFERROR(__xludf.DUMMYFUNCTION("""COMPUTED_VALUE"""),"Onayli")</f>
        <v>Onayli</v>
      </c>
      <c r="J303" s="40">
        <f>IF($A303="","",IFERROR(VLOOKUP($A303,'Maliyet Giris'!$A$2:$G$550,6,0),""))</f>
        <v>868.32</v>
      </c>
      <c r="K303" s="40">
        <f>IF($A303="","",IFERROR(VLOOKUP($A303,'Maliyet Giris'!$A$2:$G$550,7,0),""))</f>
        <v>1</v>
      </c>
    </row>
    <row r="304">
      <c r="A304" s="17">
        <f>IFERROR(__xludf.DUMMYFUNCTION("""COMPUTED_VALUE"""),3.5585363172E10)</f>
        <v>35585363172</v>
      </c>
      <c r="B304" s="17" t="str">
        <f>IFERROR(__xludf.DUMMYFUNCTION("""COMPUTED_VALUE"""),"Kong")</f>
        <v>Kong</v>
      </c>
      <c r="C304" s="17" t="str">
        <f>IFERROR(__xludf.DUMMYFUNCTION("""COMPUTED_VALUE"""),"KONGDURAMAX TOPŞEKLİNDE SESLİKÖPEKOYUNCAĞI M")</f>
        <v>KONGDURAMAX TOPŞEKLİNDE SESLİKÖPEKOYUNCAĞI M</v>
      </c>
      <c r="D304" s="17"/>
      <c r="E304" s="17" t="str">
        <f>IFERROR(__xludf.DUMMYFUNCTION("""COMPUTED_VALUE"""),"Köpek Oyuncağı")</f>
        <v>Köpek Oyuncağı</v>
      </c>
      <c r="F304" s="17">
        <f>IFERROR(__xludf.DUMMYFUNCTION("""COMPUTED_VALUE"""),656.0)</f>
        <v>656</v>
      </c>
      <c r="G304" s="17">
        <f>IFERROR(__xludf.DUMMYFUNCTION("""COMPUTED_VALUE"""),656.0)</f>
        <v>656</v>
      </c>
      <c r="H304" s="17">
        <f>IFERROR(__xludf.DUMMYFUNCTION("""COMPUTED_VALUE"""),2.0)</f>
        <v>2</v>
      </c>
      <c r="I304" s="17" t="str">
        <f>IFERROR(__xludf.DUMMYFUNCTION("""COMPUTED_VALUE"""),"Onayli")</f>
        <v>Onayli</v>
      </c>
      <c r="J304" s="40">
        <f>IF($A304="","",IFERROR(VLOOKUP($A304,'Maliyet Giris'!$A$2:$G$550,6,0),""))</f>
        <v>257.76</v>
      </c>
      <c r="K304" s="40">
        <f>IF($A304="","",IFERROR(VLOOKUP($A304,'Maliyet Giris'!$A$2:$G$550,7,0),""))</f>
        <v>1</v>
      </c>
    </row>
    <row r="305">
      <c r="A305" s="17">
        <f>IFERROR(__xludf.DUMMYFUNCTION("""COMPUTED_VALUE"""),3.5585356259E10)</f>
        <v>35585356259</v>
      </c>
      <c r="B305" s="17" t="str">
        <f>IFERROR(__xludf.DUMMYFUNCTION("""COMPUTED_VALUE"""),"Kong")</f>
        <v>Kong</v>
      </c>
      <c r="C305" s="17" t="str">
        <f>IFERROR(__xludf.DUMMYFUNCTION("""COMPUTED_VALUE"""),"GOODİERİBBON ÇOKLUTOP ŞEKLİNDEKÖPEKOYUNCAĞI M")</f>
        <v>GOODİERİBBON ÇOKLUTOP ŞEKLİNDEKÖPEKOYUNCAĞI M</v>
      </c>
      <c r="D305" s="17"/>
      <c r="E305" s="17" t="str">
        <f>IFERROR(__xludf.DUMMYFUNCTION("""COMPUTED_VALUE"""),"Köpek Oyuncağı")</f>
        <v>Köpek Oyuncağı</v>
      </c>
      <c r="F305" s="17">
        <f>IFERROR(__xludf.DUMMYFUNCTION("""COMPUTED_VALUE"""),1300.0)</f>
        <v>1300</v>
      </c>
      <c r="G305" s="17">
        <f>IFERROR(__xludf.DUMMYFUNCTION("""COMPUTED_VALUE"""),1300.0)</f>
        <v>1300</v>
      </c>
      <c r="H305" s="17">
        <f>IFERROR(__xludf.DUMMYFUNCTION("""COMPUTED_VALUE"""),3.0)</f>
        <v>3</v>
      </c>
      <c r="I305" s="17" t="str">
        <f>IFERROR(__xludf.DUMMYFUNCTION("""COMPUTED_VALUE"""),"Onayli")</f>
        <v>Onayli</v>
      </c>
      <c r="J305" s="40">
        <f>IF($A305="","",IFERROR(VLOOKUP($A305,'Maliyet Giris'!$A$2:$G$550,6,0),""))</f>
        <v>513.36</v>
      </c>
      <c r="K305" s="40">
        <f>IF($A305="","",IFERROR(VLOOKUP($A305,'Maliyet Giris'!$A$2:$G$550,7,0),""))</f>
        <v>1</v>
      </c>
    </row>
    <row r="306">
      <c r="A306" s="17">
        <f>IFERROR(__xludf.DUMMYFUNCTION("""COMPUTED_VALUE"""),3.5585494043E10)</f>
        <v>35585494043</v>
      </c>
      <c r="B306" s="17" t="str">
        <f>IFERROR(__xludf.DUMMYFUNCTION("""COMPUTED_VALUE"""),"Kong")</f>
        <v>Kong</v>
      </c>
      <c r="C306" s="17" t="str">
        <f>IFERROR(__xludf.DUMMYFUNCTION("""COMPUTED_VALUE"""),"KONGSİGNATURE STİCKÇUBUK ŞEKLİNDEKÖPEKOYUNCAĞI L")</f>
        <v>KONGSİGNATURE STİCKÇUBUK ŞEKLİNDEKÖPEKOYUNCAĞI L</v>
      </c>
      <c r="D306" s="17"/>
      <c r="E306" s="17" t="str">
        <f>IFERROR(__xludf.DUMMYFUNCTION("""COMPUTED_VALUE"""),"Köpek Oyuncağı")</f>
        <v>Köpek Oyuncağı</v>
      </c>
      <c r="F306" s="17">
        <f>IFERROR(__xludf.DUMMYFUNCTION("""COMPUTED_VALUE"""),1173.0)</f>
        <v>1173</v>
      </c>
      <c r="G306" s="17"/>
      <c r="H306" s="17">
        <f>IFERROR(__xludf.DUMMYFUNCTION("""COMPUTED_VALUE"""),0.0)</f>
        <v>0</v>
      </c>
      <c r="I306" s="17" t="str">
        <f>IFERROR(__xludf.DUMMYFUNCTION("""COMPUTED_VALUE"""),"Onayli - Satista degil")</f>
        <v>Onayli - Satista degil</v>
      </c>
      <c r="J306" s="40">
        <f>IF($A306="","",IFERROR(VLOOKUP($A306,'Maliyet Giris'!$A$2:$G$550,6,0),""))</f>
        <v>464.4</v>
      </c>
      <c r="K306" s="40">
        <f>IF($A306="","",IFERROR(VLOOKUP($A306,'Maliyet Giris'!$A$2:$G$550,7,0),""))</f>
        <v>1</v>
      </c>
    </row>
    <row r="307">
      <c r="A307" s="17">
        <f>IFERROR(__xludf.DUMMYFUNCTION("""COMPUTED_VALUE"""),3.5585356242E10)</f>
        <v>35585356242</v>
      </c>
      <c r="B307" s="17" t="str">
        <f>IFERROR(__xludf.DUMMYFUNCTION("""COMPUTED_VALUE"""),"Kong")</f>
        <v>Kong</v>
      </c>
      <c r="C307" s="17" t="str">
        <f>IFERROR(__xludf.DUMMYFUNCTION("""COMPUTED_VALUE"""),"GOODİERİBBON ÇOKLUTOP ŞEKLİNDEKÖPEKOYUNCAĞI L")</f>
        <v>GOODİERİBBON ÇOKLUTOP ŞEKLİNDEKÖPEKOYUNCAĞI L</v>
      </c>
      <c r="D307" s="17"/>
      <c r="E307" s="17" t="str">
        <f>IFERROR(__xludf.DUMMYFUNCTION("""COMPUTED_VALUE"""),"Köpek Oyuncağı")</f>
        <v>Köpek Oyuncağı</v>
      </c>
      <c r="F307" s="17">
        <f>IFERROR(__xludf.DUMMYFUNCTION("""COMPUTED_VALUE"""),2329.0)</f>
        <v>2329</v>
      </c>
      <c r="G307" s="17">
        <f>IFERROR(__xludf.DUMMYFUNCTION("""COMPUTED_VALUE"""),2329.0)</f>
        <v>2329</v>
      </c>
      <c r="H307" s="17">
        <f>IFERROR(__xludf.DUMMYFUNCTION("""COMPUTED_VALUE"""),3.0)</f>
        <v>3</v>
      </c>
      <c r="I307" s="17" t="str">
        <f>IFERROR(__xludf.DUMMYFUNCTION("""COMPUTED_VALUE"""),"Onayli")</f>
        <v>Onayli</v>
      </c>
      <c r="J307" s="40">
        <f>IF($A307="","",IFERROR(VLOOKUP($A307,'Maliyet Giris'!$A$2:$G$550,6,0),""))</f>
        <v>919.44</v>
      </c>
      <c r="K307" s="40">
        <f>IF($A307="","",IFERROR(VLOOKUP($A307,'Maliyet Giris'!$A$2:$G$550,7,0),""))</f>
        <v>1</v>
      </c>
    </row>
    <row r="308">
      <c r="A308" s="17">
        <f>IFERROR(__xludf.DUMMYFUNCTION("""COMPUTED_VALUE"""),3.5585509112E10)</f>
        <v>35585509112</v>
      </c>
      <c r="B308" s="17" t="str">
        <f>IFERROR(__xludf.DUMMYFUNCTION("""COMPUTED_VALUE"""),"Kong")</f>
        <v>Kong</v>
      </c>
      <c r="C308" s="17" t="str">
        <f>IFERROR(__xludf.DUMMYFUNCTION("""COMPUTED_VALUE"""),"COMFORTJUMBO BİRDFLAMİNGOŞEKLİNDE PELUŞKÖPEKOYUNCAĞI XL")</f>
        <v>COMFORTJUMBO BİRDFLAMİNGOŞEKLİNDE PELUŞKÖPEKOYUNCAĞI XL</v>
      </c>
      <c r="D308" s="17"/>
      <c r="E308" s="17" t="str">
        <f>IFERROR(__xludf.DUMMYFUNCTION("""COMPUTED_VALUE"""),"Köpek Oyuncağı")</f>
        <v>Köpek Oyuncağı</v>
      </c>
      <c r="F308" s="17">
        <f>IFERROR(__xludf.DUMMYFUNCTION("""COMPUTED_VALUE"""),1576.0)</f>
        <v>1576</v>
      </c>
      <c r="G308" s="17">
        <f>IFERROR(__xludf.DUMMYFUNCTION("""COMPUTED_VALUE"""),1207.8)</f>
        <v>1207.8</v>
      </c>
      <c r="H308" s="17">
        <f>IFERROR(__xludf.DUMMYFUNCTION("""COMPUTED_VALUE"""),2.0)</f>
        <v>2</v>
      </c>
      <c r="I308" s="17" t="str">
        <f>IFERROR(__xludf.DUMMYFUNCTION("""COMPUTED_VALUE"""),"Onayli")</f>
        <v>Onayli</v>
      </c>
      <c r="J308" s="40">
        <f>IF($A308="","",IFERROR(VLOOKUP($A308,'Maliyet Giris'!$A$2:$G$550,6,0),""))</f>
        <v>622.08</v>
      </c>
      <c r="K308" s="40">
        <f>IF($A308="","",IFERROR(VLOOKUP($A308,'Maliyet Giris'!$A$2:$G$550,7,0),""))</f>
        <v>1</v>
      </c>
    </row>
    <row r="309">
      <c r="A309" s="17">
        <f>IFERROR(__xludf.DUMMYFUNCTION("""COMPUTED_VALUE"""),3.5585277066E10)</f>
        <v>35585277066</v>
      </c>
      <c r="B309" s="17" t="str">
        <f>IFERROR(__xludf.DUMMYFUNCTION("""COMPUTED_VALUE"""),"Kong")</f>
        <v>Kong</v>
      </c>
      <c r="C309" s="17" t="str">
        <f>IFERROR(__xludf.DUMMYFUNCTION("""COMPUTED_VALUE"""),"QUESTSTAR ÇİÇEKŞEKLİNDE KÖPEKOYUNCAĞI S")</f>
        <v>QUESTSTAR ÇİÇEKŞEKLİNDE KÖPEKOYUNCAĞI S</v>
      </c>
      <c r="D309" s="17"/>
      <c r="E309" s="17" t="str">
        <f>IFERROR(__xludf.DUMMYFUNCTION("""COMPUTED_VALUE"""),"Köpek Oyuncağı")</f>
        <v>Köpek Oyuncağı</v>
      </c>
      <c r="F309" s="17">
        <f>IFERROR(__xludf.DUMMYFUNCTION("""COMPUTED_VALUE"""),615.0)</f>
        <v>615</v>
      </c>
      <c r="G309" s="17">
        <f>IFERROR(__xludf.DUMMYFUNCTION("""COMPUTED_VALUE"""),600.0)</f>
        <v>600</v>
      </c>
      <c r="H309" s="17">
        <f>IFERROR(__xludf.DUMMYFUNCTION("""COMPUTED_VALUE"""),1.0)</f>
        <v>1</v>
      </c>
      <c r="I309" s="17" t="str">
        <f>IFERROR(__xludf.DUMMYFUNCTION("""COMPUTED_VALUE"""),"Onayli")</f>
        <v>Onayli</v>
      </c>
      <c r="J309" s="40">
        <f>IF($A309="","",IFERROR(VLOOKUP($A309,'Maliyet Giris'!$A$2:$G$550,6,0),""))</f>
        <v>241.92</v>
      </c>
      <c r="K309" s="40">
        <f>IF($A309="","",IFERROR(VLOOKUP($A309,'Maliyet Giris'!$A$2:$G$550,7,0),""))</f>
        <v>1</v>
      </c>
    </row>
    <row r="310">
      <c r="A310" s="17">
        <f>IFERROR(__xludf.DUMMYFUNCTION("""COMPUTED_VALUE"""),3.5585356419E10)</f>
        <v>35585356419</v>
      </c>
      <c r="B310" s="17" t="str">
        <f>IFERROR(__xludf.DUMMYFUNCTION("""COMPUTED_VALUE"""),"Kong")</f>
        <v>Kong</v>
      </c>
      <c r="C310" s="17" t="str">
        <f>IFERROR(__xludf.DUMMYFUNCTION("""COMPUTED_VALUE"""),"EXTREMEDENTAL DİŞTEMİZLİĞİSAĞLAYAN İPSALLANTILI KÖPEKOYUNCAĞI ULTRASERT M")</f>
        <v>EXTREMEDENTAL DİŞTEMİZLİĞİSAĞLAYAN İPSALLANTILI KÖPEKOYUNCAĞI ULTRASERT M</v>
      </c>
      <c r="D310" s="17"/>
      <c r="E310" s="17" t="str">
        <f>IFERROR(__xludf.DUMMYFUNCTION("""COMPUTED_VALUE"""),"Köpek Oyuncağı")</f>
        <v>Köpek Oyuncağı</v>
      </c>
      <c r="F310" s="17">
        <f>IFERROR(__xludf.DUMMYFUNCTION("""COMPUTED_VALUE"""),1921.0)</f>
        <v>1921</v>
      </c>
      <c r="G310" s="17">
        <f>IFERROR(__xludf.DUMMYFUNCTION("""COMPUTED_VALUE"""),1900.0)</f>
        <v>1900</v>
      </c>
      <c r="H310" s="17">
        <f>IFERROR(__xludf.DUMMYFUNCTION("""COMPUTED_VALUE"""),3.0)</f>
        <v>3</v>
      </c>
      <c r="I310" s="17" t="str">
        <f>IFERROR(__xludf.DUMMYFUNCTION("""COMPUTED_VALUE"""),"Onayli")</f>
        <v>Onayli</v>
      </c>
      <c r="J310" s="40">
        <f>IF($A310="","",IFERROR(VLOOKUP($A310,'Maliyet Giris'!$A$2:$G$550,6,0),""))</f>
        <v>762.48</v>
      </c>
      <c r="K310" s="40">
        <f>IF($A310="","",IFERROR(VLOOKUP($A310,'Maliyet Giris'!$A$2:$G$550,7,0),""))</f>
        <v>1</v>
      </c>
    </row>
    <row r="311">
      <c r="A311" s="17">
        <f>IFERROR(__xludf.DUMMYFUNCTION("""COMPUTED_VALUE"""),3.5585495354E10)</f>
        <v>35585495354</v>
      </c>
      <c r="B311" s="17" t="str">
        <f>IFERROR(__xludf.DUMMYFUNCTION("""COMPUTED_VALUE"""),"Kong")</f>
        <v>Kong</v>
      </c>
      <c r="C311" s="17" t="str">
        <f>IFERROR(__xludf.DUMMYFUNCTION("""COMPUTED_VALUE"""),"JAXXBRİGHTS SANDVİÇŞEKLİNDE İPUZANTILI KÖPEKOYUNCAĞI M")</f>
        <v>JAXXBRİGHTS SANDVİÇŞEKLİNDE İPUZANTILI KÖPEKOYUNCAĞI M</v>
      </c>
      <c r="D311" s="17"/>
      <c r="E311" s="17" t="str">
        <f>IFERROR(__xludf.DUMMYFUNCTION("""COMPUTED_VALUE"""),"Köpek Oyuncağı")</f>
        <v>Köpek Oyuncağı</v>
      </c>
      <c r="F311" s="17">
        <f>IFERROR(__xludf.DUMMYFUNCTION("""COMPUTED_VALUE"""),886.0)</f>
        <v>886</v>
      </c>
      <c r="G311" s="17">
        <f>IFERROR(__xludf.DUMMYFUNCTION("""COMPUTED_VALUE"""),886.0)</f>
        <v>886</v>
      </c>
      <c r="H311" s="17">
        <f>IFERROR(__xludf.DUMMYFUNCTION("""COMPUTED_VALUE"""),2.0)</f>
        <v>2</v>
      </c>
      <c r="I311" s="17" t="str">
        <f>IFERROR(__xludf.DUMMYFUNCTION("""COMPUTED_VALUE"""),"Onayli")</f>
        <v>Onayli</v>
      </c>
      <c r="J311" s="40">
        <f>IF($A311="","",IFERROR(VLOOKUP($A311,'Maliyet Giris'!$A$2:$G$550,6,0),""))</f>
        <v>350.64</v>
      </c>
      <c r="K311" s="40">
        <f>IF($A311="","",IFERROR(VLOOKUP($A311,'Maliyet Giris'!$A$2:$G$550,7,0),""))</f>
        <v>1</v>
      </c>
    </row>
    <row r="312">
      <c r="A312" s="17">
        <f>IFERROR(__xludf.DUMMYFUNCTION("""COMPUTED_VALUE"""),3.5585356426E10)</f>
        <v>35585356426</v>
      </c>
      <c r="B312" s="17" t="str">
        <f>IFERROR(__xludf.DUMMYFUNCTION("""COMPUTED_VALUE"""),"Kong")</f>
        <v>Kong</v>
      </c>
      <c r="C312" s="17" t="str">
        <f>IFERROR(__xludf.DUMMYFUNCTION("""COMPUTED_VALUE"""),"EXTREMETOP ŞEKLİNDESESLİ VE İPSALLANTILI KÖPEKOYUNCAĞI ULTRASERT L")</f>
        <v>EXTREMETOP ŞEKLİNDESESLİ VE İPSALLANTILI KÖPEKOYUNCAĞI ULTRASERT L</v>
      </c>
      <c r="D312" s="17"/>
      <c r="E312" s="17" t="str">
        <f>IFERROR(__xludf.DUMMYFUNCTION("""COMPUTED_VALUE"""),"Köpek Oyuncağı")</f>
        <v>Köpek Oyuncağı</v>
      </c>
      <c r="F312" s="17">
        <f>IFERROR(__xludf.DUMMYFUNCTION("""COMPUTED_VALUE"""),2179.0)</f>
        <v>2179</v>
      </c>
      <c r="G312" s="17">
        <f>IFERROR(__xludf.DUMMYFUNCTION("""COMPUTED_VALUE"""),2179.0)</f>
        <v>2179</v>
      </c>
      <c r="H312" s="17">
        <f>IFERROR(__xludf.DUMMYFUNCTION("""COMPUTED_VALUE"""),3.0)</f>
        <v>3</v>
      </c>
      <c r="I312" s="17" t="str">
        <f>IFERROR(__xludf.DUMMYFUNCTION("""COMPUTED_VALUE"""),"Onayli")</f>
        <v>Onayli</v>
      </c>
      <c r="J312" s="40">
        <f>IF($A312="","",IFERROR(VLOOKUP($A312,'Maliyet Giris'!$A$2:$G$550,6,0),""))</f>
        <v>347.76</v>
      </c>
      <c r="K312" s="40">
        <f>IF($A312="","",IFERROR(VLOOKUP($A312,'Maliyet Giris'!$A$2:$G$550,7,0),""))</f>
        <v>1</v>
      </c>
    </row>
    <row r="313">
      <c r="A313" s="17">
        <f>IFERROR(__xludf.DUMMYFUNCTION("""COMPUTED_VALUE"""),3.5585494029E10)</f>
        <v>35585494029</v>
      </c>
      <c r="B313" s="17" t="str">
        <f>IFERROR(__xludf.DUMMYFUNCTION("""COMPUTED_VALUE"""),"Kong")</f>
        <v>Kong</v>
      </c>
      <c r="C313" s="17" t="str">
        <f>IFERROR(__xludf.DUMMYFUNCTION("""COMPUTED_VALUE"""),"KONGSİGNATURE STİCKÇUBUK ŞEKLİNDEKÖPEKOYUNCAĞI M")</f>
        <v>KONGSİGNATURE STİCKÇUBUK ŞEKLİNDEKÖPEKOYUNCAĞI M</v>
      </c>
      <c r="D313" s="17"/>
      <c r="E313" s="17" t="str">
        <f>IFERROR(__xludf.DUMMYFUNCTION("""COMPUTED_VALUE"""),"Köpek Oyuncağı")</f>
        <v>Köpek Oyuncağı</v>
      </c>
      <c r="F313" s="17">
        <f>IFERROR(__xludf.DUMMYFUNCTION("""COMPUTED_VALUE"""),880.0)</f>
        <v>880</v>
      </c>
      <c r="G313" s="17">
        <f>IFERROR(__xludf.DUMMYFUNCTION("""COMPUTED_VALUE"""),880.0)</f>
        <v>880</v>
      </c>
      <c r="H313" s="17">
        <f>IFERROR(__xludf.DUMMYFUNCTION("""COMPUTED_VALUE"""),1.0)</f>
        <v>1</v>
      </c>
      <c r="I313" s="17" t="str">
        <f>IFERROR(__xludf.DUMMYFUNCTION("""COMPUTED_VALUE"""),"Onayli")</f>
        <v>Onayli</v>
      </c>
      <c r="J313" s="40">
        <f>IF($A313="","",IFERROR(VLOOKUP($A313,'Maliyet Giris'!$A$2:$G$550,6,0),""))</f>
        <v>860.4</v>
      </c>
      <c r="K313" s="40">
        <f>IF($A313="","",IFERROR(VLOOKUP($A313,'Maliyet Giris'!$A$2:$G$550,7,0),""))</f>
        <v>1</v>
      </c>
    </row>
    <row r="314">
      <c r="A314" s="17">
        <f>IFERROR(__xludf.DUMMYFUNCTION("""COMPUTED_VALUE"""),3.5585401058E10)</f>
        <v>35585401058</v>
      </c>
      <c r="B314" s="17" t="str">
        <f>IFERROR(__xludf.DUMMYFUNCTION("""COMPUTED_VALUE"""),"Kong")</f>
        <v>Kong</v>
      </c>
      <c r="C314" s="17" t="str">
        <f>IFERROR(__xludf.DUMMYFUNCTION("""COMPUTED_VALUE"""),"DOTZTRİANGLE ÜÇGENŞEKLİNDE KÖPEKOYUNCAĞI L")</f>
        <v>DOTZTRİANGLE ÜÇGENŞEKLİNDE KÖPEKOYUNCAĞI L</v>
      </c>
      <c r="D314" s="17"/>
      <c r="E314" s="17" t="str">
        <f>IFERROR(__xludf.DUMMYFUNCTION("""COMPUTED_VALUE"""),"Köpek Oyuncağı")</f>
        <v>Köpek Oyuncağı</v>
      </c>
      <c r="F314" s="17">
        <f>IFERROR(__xludf.DUMMYFUNCTION("""COMPUTED_VALUE"""),1300.0)</f>
        <v>1300</v>
      </c>
      <c r="G314" s="17">
        <f>IFERROR(__xludf.DUMMYFUNCTION("""COMPUTED_VALUE"""),1300.0)</f>
        <v>1300</v>
      </c>
      <c r="H314" s="17">
        <f>IFERROR(__xludf.DUMMYFUNCTION("""COMPUTED_VALUE"""),3.0)</f>
        <v>3</v>
      </c>
      <c r="I314" s="17" t="str">
        <f>IFERROR(__xludf.DUMMYFUNCTION("""COMPUTED_VALUE"""),"Onayli")</f>
        <v>Onayli</v>
      </c>
      <c r="J314" s="40">
        <f>IF($A314="","",IFERROR(VLOOKUP($A314,'Maliyet Giris'!$A$2:$G$550,6,0),""))</f>
        <v>511.92</v>
      </c>
      <c r="K314" s="40">
        <f>IF($A314="","",IFERROR(VLOOKUP($A314,'Maliyet Giris'!$A$2:$G$550,7,0),""))</f>
        <v>1</v>
      </c>
    </row>
    <row r="315">
      <c r="A315" s="17">
        <f>IFERROR(__xludf.DUMMYFUNCTION("""COMPUTED_VALUE"""),3.5585356433E10)</f>
        <v>35585356433</v>
      </c>
      <c r="B315" s="17" t="str">
        <f>IFERROR(__xludf.DUMMYFUNCTION("""COMPUTED_VALUE"""),"Kong")</f>
        <v>Kong</v>
      </c>
      <c r="C315" s="17" t="str">
        <f>IFERROR(__xludf.DUMMYFUNCTION("""COMPUTED_VALUE"""),"EXTREMEDENTAL DİŞTEMİZLİĞİSAĞLAYANKÖPEKOYUNCAĞI ULTRASERT L")</f>
        <v>EXTREMEDENTAL DİŞTEMİZLİĞİSAĞLAYANKÖPEKOYUNCAĞI ULTRASERT L</v>
      </c>
      <c r="D315" s="17"/>
      <c r="E315" s="17" t="str">
        <f>IFERROR(__xludf.DUMMYFUNCTION("""COMPUTED_VALUE"""),"Köpek Oyuncağı")</f>
        <v>Köpek Oyuncağı</v>
      </c>
      <c r="F315" s="17">
        <f>IFERROR(__xludf.DUMMYFUNCTION("""COMPUTED_VALUE"""),2179.0)</f>
        <v>2179</v>
      </c>
      <c r="G315" s="17">
        <f>IFERROR(__xludf.DUMMYFUNCTION("""COMPUTED_VALUE"""),2179.0)</f>
        <v>2179</v>
      </c>
      <c r="H315" s="17">
        <f>IFERROR(__xludf.DUMMYFUNCTION("""COMPUTED_VALUE"""),3.0)</f>
        <v>3</v>
      </c>
      <c r="I315" s="17" t="str">
        <f>IFERROR(__xludf.DUMMYFUNCTION("""COMPUTED_VALUE"""),"Onayli")</f>
        <v>Onayli</v>
      </c>
      <c r="J315" s="40">
        <f>IF($A315="","",IFERROR(VLOOKUP($A315,'Maliyet Giris'!$A$2:$G$550,6,0),""))</f>
        <v>860.4</v>
      </c>
      <c r="K315" s="40">
        <f>IF($A315="","",IFERROR(VLOOKUP($A315,'Maliyet Giris'!$A$2:$G$550,7,0),""))</f>
        <v>1</v>
      </c>
    </row>
    <row r="316">
      <c r="A316" s="17">
        <f>IFERROR(__xludf.DUMMYFUNCTION("""COMPUTED_VALUE"""),3.5585181202E10)</f>
        <v>35585181202</v>
      </c>
      <c r="B316" s="17" t="str">
        <f>IFERROR(__xludf.DUMMYFUNCTION("""COMPUTED_VALUE"""),"Kong")</f>
        <v>Kong</v>
      </c>
      <c r="C316" s="17" t="str">
        <f>IFERROR(__xludf.DUMMYFUNCTION("""COMPUTED_VALUE"""),"Köpek İpli Oyun Topu S 6,5Cm")</f>
        <v>Köpek İpli Oyun Topu S 6,5Cm</v>
      </c>
      <c r="D316" s="17"/>
      <c r="E316" s="17" t="str">
        <f>IFERROR(__xludf.DUMMYFUNCTION("""COMPUTED_VALUE"""),"Köpek Ödülü")</f>
        <v>Köpek Ödülü</v>
      </c>
      <c r="F316" s="17">
        <f>IFERROR(__xludf.DUMMYFUNCTION("""COMPUTED_VALUE"""),1294.0)</f>
        <v>1294</v>
      </c>
      <c r="G316" s="17">
        <f>IFERROR(__xludf.DUMMYFUNCTION("""COMPUTED_VALUE"""),992.0)</f>
        <v>992</v>
      </c>
      <c r="H316" s="17">
        <f>IFERROR(__xludf.DUMMYFUNCTION("""COMPUTED_VALUE"""),3.0)</f>
        <v>3</v>
      </c>
      <c r="I316" s="17" t="str">
        <f>IFERROR(__xludf.DUMMYFUNCTION("""COMPUTED_VALUE"""),"Onayli")</f>
        <v>Onayli</v>
      </c>
      <c r="J316" s="40">
        <f>IF($A316="","",IFERROR(VLOOKUP($A316,'Maliyet Giris'!$A$2:$G$550,6,0),""))</f>
        <v>511.2</v>
      </c>
      <c r="K316" s="40">
        <f>IF($A316="","",IFERROR(VLOOKUP($A316,'Maliyet Giris'!$A$2:$G$550,7,0),""))</f>
        <v>0.5</v>
      </c>
    </row>
    <row r="317">
      <c r="A317" s="17">
        <f>IFERROR(__xludf.DUMMYFUNCTION("""COMPUTED_VALUE"""),6.4575697807E10)</f>
        <v>64575697807</v>
      </c>
      <c r="B317" s="17" t="str">
        <f>IFERROR(__xludf.DUMMYFUNCTION("""COMPUTED_VALUE"""),"Other")</f>
        <v>Other</v>
      </c>
      <c r="C317" s="17" t="str">
        <f>IFERROR(__xludf.DUMMYFUNCTION("""COMPUTED_VALUE"""),"Virbac Baby Pre Neutered Kuru Kedi Maması 3 kg")</f>
        <v>Virbac Baby Pre Neutered Kuru Kedi Maması 3 kg</v>
      </c>
      <c r="D317" s="17"/>
      <c r="E317" s="17" t="str">
        <f>IFERROR(__xludf.DUMMYFUNCTION("""COMPUTED_VALUE"""),"Kedi Kuru Maması")</f>
        <v>Kedi Kuru Maması</v>
      </c>
      <c r="F317" s="17">
        <f>IFERROR(__xludf.DUMMYFUNCTION("""COMPUTED_VALUE"""),2525.0)</f>
        <v>2525</v>
      </c>
      <c r="G317" s="17"/>
      <c r="H317" s="17">
        <f>IFERROR(__xludf.DUMMYFUNCTION("""COMPUTED_VALUE"""),0.0)</f>
        <v>0</v>
      </c>
      <c r="I317" s="17" t="str">
        <f>IFERROR(__xludf.DUMMYFUNCTION("""COMPUTED_VALUE"""),"Onayli - Satista degil")</f>
        <v>Onayli - Satista degil</v>
      </c>
      <c r="J317" s="40">
        <f>IF($A317="","",IFERROR(VLOOKUP($A317,'Maliyet Giris'!$A$2:$G$550,6,0),""))</f>
        <v>1250</v>
      </c>
      <c r="K317" s="40">
        <f>IF($A317="","",IFERROR(VLOOKUP($A317,'Maliyet Giris'!$A$2:$G$550,7,0),""))</f>
        <v>3</v>
      </c>
    </row>
    <row r="318">
      <c r="A318" s="17" t="str">
        <f>IFERROR(__xludf.DUMMYFUNCTION("""COMPUTED_VALUE"""),"TYB3I8IYNPC1Q2R874")</f>
        <v>TYB3I8IYNPC1Q2R874</v>
      </c>
      <c r="B318" s="17" t="str">
        <f>IFERROR(__xludf.DUMMYFUNCTION("""COMPUTED_VALUE"""),"Other")</f>
        <v>Other</v>
      </c>
      <c r="C318" s="17" t="str">
        <f>IFERROR(__xludf.DUMMYFUNCTION("""COMPUTED_VALUE"""),"Virbac Adult Dog Small Toy Köpek Maması 7 kg")</f>
        <v>Virbac Adult Dog Small Toy Köpek Maması 7 kg</v>
      </c>
      <c r="D318" s="17"/>
      <c r="E318" s="17" t="str">
        <f>IFERROR(__xludf.DUMMYFUNCTION("""COMPUTED_VALUE"""),"Köpek Kuru Maması")</f>
        <v>Köpek Kuru Maması</v>
      </c>
      <c r="F318" s="17">
        <f>IFERROR(__xludf.DUMMYFUNCTION("""COMPUTED_VALUE"""),0.0)</f>
        <v>0</v>
      </c>
      <c r="G318" s="17"/>
      <c r="H318" s="17">
        <f>IFERROR(__xludf.DUMMYFUNCTION("""COMPUTED_VALUE"""),0.0)</f>
        <v>0</v>
      </c>
      <c r="I318" s="17" t="str">
        <f>IFERROR(__xludf.DUMMYFUNCTION("""COMPUTED_VALUE"""),"Onayli - Satista degil")</f>
        <v>Onayli - Satista degil</v>
      </c>
      <c r="J318" s="40">
        <f>IF($A318="","",IFERROR(VLOOKUP($A318,'Maliyet Giris'!$A$2:$G$550,6,0),""))</f>
        <v>2187</v>
      </c>
      <c r="K318" s="40">
        <f>IF($A318="","",IFERROR(VLOOKUP($A318,'Maliyet Giris'!$A$2:$G$550,7,0),""))</f>
        <v>7</v>
      </c>
    </row>
    <row r="319">
      <c r="A319" s="17">
        <f>IFERROR(__xludf.DUMMYFUNCTION("""COMPUTED_VALUE"""),4.048422108733E12)</f>
        <v>4048422108733</v>
      </c>
      <c r="B319" s="17" t="str">
        <f>IFERROR(__xludf.DUMMYFUNCTION("""COMPUTED_VALUE"""),"8in1")</f>
        <v>8in1</v>
      </c>
      <c r="C319" s="17" t="str">
        <f>IFERROR(__xludf.DUMMYFUNCTION("""COMPUTED_VALUE"""),"Delights Sığır Etli Köpek Ödül Kemiği XS 84gr")</f>
        <v>Delights Sığır Etli Köpek Ödül Kemiği XS 84gr</v>
      </c>
      <c r="D319" s="17"/>
      <c r="E319" s="17" t="str">
        <f>IFERROR(__xludf.DUMMYFUNCTION("""COMPUTED_VALUE"""),"Köpek Ödülü")</f>
        <v>Köpek Ödülü</v>
      </c>
      <c r="F319" s="17">
        <f>IFERROR(__xludf.DUMMYFUNCTION("""COMPUTED_VALUE"""),399.0)</f>
        <v>399</v>
      </c>
      <c r="G319" s="17"/>
      <c r="H319" s="17">
        <f>IFERROR(__xludf.DUMMYFUNCTION("""COMPUTED_VALUE"""),0.0)</f>
        <v>0</v>
      </c>
      <c r="I319" s="17" t="str">
        <f>IFERROR(__xludf.DUMMYFUNCTION("""COMPUTED_VALUE"""),"Onayli - Satista degil")</f>
        <v>Onayli - Satista degil</v>
      </c>
      <c r="J319" s="40" t="str">
        <f>IF($A319="","",IFERROR(VLOOKUP($A319,'Maliyet Giris'!$A$2:$G$550,6,0),""))</f>
        <v/>
      </c>
      <c r="K319" s="40" t="str">
        <f>IF($A319="","",IFERROR(VLOOKUP($A319,'Maliyet Giris'!$A$2:$G$550,7,0),""))</f>
        <v/>
      </c>
    </row>
    <row r="320">
      <c r="A320" s="17">
        <f>IFERROR(__xludf.DUMMYFUNCTION("""COMPUTED_VALUE"""),4.048422102472E12)</f>
        <v>4048422102472</v>
      </c>
      <c r="B320" s="17" t="str">
        <f>IFERROR(__xludf.DUMMYFUNCTION("""COMPUTED_VALUE"""),"8in1")</f>
        <v>8in1</v>
      </c>
      <c r="C320" s="17" t="str">
        <f>IFERROR(__xludf.DUMMYFUNCTION("""COMPUTED_VALUE"""),"Delights Bones Köpekler İçin Ağız Bakım Kemiği Large")</f>
        <v>Delights Bones Köpekler İçin Ağız Bakım Kemiği Large</v>
      </c>
      <c r="D320" s="17"/>
      <c r="E320" s="17" t="str">
        <f>IFERROR(__xludf.DUMMYFUNCTION("""COMPUTED_VALUE"""),"Köpek Ödülü")</f>
        <v>Köpek Ödülü</v>
      </c>
      <c r="F320" s="17">
        <f>IFERROR(__xludf.DUMMYFUNCTION("""COMPUTED_VALUE"""),347.0)</f>
        <v>347</v>
      </c>
      <c r="G320" s="17"/>
      <c r="H320" s="17">
        <f>IFERROR(__xludf.DUMMYFUNCTION("""COMPUTED_VALUE"""),0.0)</f>
        <v>0</v>
      </c>
      <c r="I320" s="17" t="str">
        <f>IFERROR(__xludf.DUMMYFUNCTION("""COMPUTED_VALUE"""),"Onayli - Satista degil")</f>
        <v>Onayli - Satista degil</v>
      </c>
      <c r="J320" s="40">
        <f>IF($A320="","",IFERROR(VLOOKUP($A320,'Maliyet Giris'!$A$2:$G$550,6,0),""))</f>
        <v>152</v>
      </c>
      <c r="K320" s="40">
        <f>IF($A320="","",IFERROR(VLOOKUP($A320,'Maliyet Giris'!$A$2:$G$550,7,0),""))</f>
        <v>0.5</v>
      </c>
    </row>
    <row r="321">
      <c r="A321" s="17">
        <f>IFERROR(__xludf.DUMMYFUNCTION("""COMPUTED_VALUE"""),4.048422110842E12)</f>
        <v>4048422110842</v>
      </c>
      <c r="B321" s="17" t="str">
        <f>IFERROR(__xludf.DUMMYFUNCTION("""COMPUTED_VALUE"""),"8in1")</f>
        <v>8in1</v>
      </c>
      <c r="C321" s="17" t="str">
        <f>IFERROR(__xludf.DUMMYFUNCTION("""COMPUTED_VALUE"""),"Delights Bones Köpekler İçin Ağız Bakım Pres Kemiği Large")</f>
        <v>Delights Bones Köpekler İçin Ağız Bakım Pres Kemiği Large</v>
      </c>
      <c r="D321" s="17"/>
      <c r="E321" s="17" t="str">
        <f>IFERROR(__xludf.DUMMYFUNCTION("""COMPUTED_VALUE"""),"Köpek Ödülü")</f>
        <v>Köpek Ödülü</v>
      </c>
      <c r="F321" s="17">
        <f>IFERROR(__xludf.DUMMYFUNCTION("""COMPUTED_VALUE"""),440.0)</f>
        <v>440</v>
      </c>
      <c r="G321" s="17"/>
      <c r="H321" s="17">
        <f>IFERROR(__xludf.DUMMYFUNCTION("""COMPUTED_VALUE"""),0.0)</f>
        <v>0</v>
      </c>
      <c r="I321" s="17" t="str">
        <f>IFERROR(__xludf.DUMMYFUNCTION("""COMPUTED_VALUE"""),"Onayli - Satista degil")</f>
        <v>Onayli - Satista degil</v>
      </c>
      <c r="J321" s="40" t="str">
        <f>IF($A321="","",IFERROR(VLOOKUP($A321,'Maliyet Giris'!$A$2:$G$550,6,0),""))</f>
        <v/>
      </c>
      <c r="K321" s="40" t="str">
        <f>IF($A321="","",IFERROR(VLOOKUP($A321,'Maliyet Giris'!$A$2:$G$550,7,0),""))</f>
        <v/>
      </c>
    </row>
    <row r="322">
      <c r="A322" s="17">
        <f>IFERROR(__xludf.DUMMYFUNCTION("""COMPUTED_VALUE"""),4.048422108856E12)</f>
        <v>4048422108856</v>
      </c>
      <c r="B322" s="17" t="str">
        <f>IFERROR(__xludf.DUMMYFUNCTION("""COMPUTED_VALUE"""),"8in1")</f>
        <v>8in1</v>
      </c>
      <c r="C322" s="17" t="str">
        <f>IFERROR(__xludf.DUMMYFUNCTION("""COMPUTED_VALUE"""),"Delights Bones Biftekli Köpekler İçin Sticks")</f>
        <v>Delights Bones Biftekli Köpekler İçin Sticks</v>
      </c>
      <c r="D322" s="17"/>
      <c r="E322" s="17" t="str">
        <f>IFERROR(__xludf.DUMMYFUNCTION("""COMPUTED_VALUE"""),"Köpek Ödülü")</f>
        <v>Köpek Ödülü</v>
      </c>
      <c r="F322" s="17">
        <f>IFERROR(__xludf.DUMMYFUNCTION("""COMPUTED_VALUE"""),399.0)</f>
        <v>399</v>
      </c>
      <c r="G322" s="17"/>
      <c r="H322" s="17">
        <f>IFERROR(__xludf.DUMMYFUNCTION("""COMPUTED_VALUE"""),0.0)</f>
        <v>0</v>
      </c>
      <c r="I322" s="17" t="str">
        <f>IFERROR(__xludf.DUMMYFUNCTION("""COMPUTED_VALUE"""),"Onayli - Satista degil")</f>
        <v>Onayli - Satista degil</v>
      </c>
      <c r="J322" s="40" t="str">
        <f>IF($A322="","",IFERROR(VLOOKUP($A322,'Maliyet Giris'!$A$2:$G$550,6,0),""))</f>
        <v/>
      </c>
      <c r="K322" s="40" t="str">
        <f>IF($A322="","",IFERROR(VLOOKUP($A322,'Maliyet Giris'!$A$2:$G$550,7,0),""))</f>
        <v/>
      </c>
    </row>
    <row r="323">
      <c r="A323" s="17">
        <f>IFERROR(__xludf.DUMMYFUNCTION("""COMPUTED_VALUE"""),4.048422107798E12)</f>
        <v>4048422107798</v>
      </c>
      <c r="B323" s="17" t="str">
        <f>IFERROR(__xludf.DUMMYFUNCTION("""COMPUTED_VALUE"""),"8in1")</f>
        <v>8in1</v>
      </c>
      <c r="C323" s="17" t="str">
        <f>IFERROR(__xludf.DUMMYFUNCTION("""COMPUTED_VALUE"""),"Delights Köpekler için Tavuklu Çiğneme Topu (S) 4 Adet Luxury")</f>
        <v>Delights Köpekler için Tavuklu Çiğneme Topu (S) 4 Adet Luxury</v>
      </c>
      <c r="D323" s="17"/>
      <c r="E323" s="17" t="str">
        <f>IFERROR(__xludf.DUMMYFUNCTION("""COMPUTED_VALUE"""),"Köpek Ödülü")</f>
        <v>Köpek Ödülü</v>
      </c>
      <c r="F323" s="17">
        <f>IFERROR(__xludf.DUMMYFUNCTION("""COMPUTED_VALUE"""),349.0)</f>
        <v>349</v>
      </c>
      <c r="G323" s="17"/>
      <c r="H323" s="17">
        <f>IFERROR(__xludf.DUMMYFUNCTION("""COMPUTED_VALUE"""),0.0)</f>
        <v>0</v>
      </c>
      <c r="I323" s="17" t="str">
        <f>IFERROR(__xludf.DUMMYFUNCTION("""COMPUTED_VALUE"""),"Onayli - Satista degil")</f>
        <v>Onayli - Satista degil</v>
      </c>
      <c r="J323" s="40">
        <f>IF($A323="","",IFERROR(VLOOKUP($A323,'Maliyet Giris'!$A$2:$G$550,6,0),""))</f>
        <v>180</v>
      </c>
      <c r="K323" s="40">
        <f>IF($A323="","",IFERROR(VLOOKUP($A323,'Maliyet Giris'!$A$2:$G$550,7,0),""))</f>
        <v>0.5</v>
      </c>
    </row>
    <row r="324">
      <c r="A324" s="17">
        <f>IFERROR(__xludf.DUMMYFUNCTION("""COMPUTED_VALUE"""),4.048422102502E12)</f>
        <v>4048422102502</v>
      </c>
      <c r="B324" s="17" t="str">
        <f>IFERROR(__xludf.DUMMYFUNCTION("""COMPUTED_VALUE"""),"8in1")</f>
        <v>8in1</v>
      </c>
      <c r="C324" s="17" t="str">
        <f>IFERROR(__xludf.DUMMYFUNCTION("""COMPUTED_VALUE"""),"8 In 1 Delights Sticks Tavuklu Köpek Kemik Ödülü 1 Adet-Stick-3x75 Gr")</f>
        <v>8 In 1 Delights Sticks Tavuklu Köpek Kemik Ödülü 1 Adet-Stick-3x75 Gr</v>
      </c>
      <c r="D324" s="17"/>
      <c r="E324" s="17" t="str">
        <f>IFERROR(__xludf.DUMMYFUNCTION("""COMPUTED_VALUE"""),"Köpek Ödülü")</f>
        <v>Köpek Ödülü</v>
      </c>
      <c r="F324" s="17">
        <f>IFERROR(__xludf.DUMMYFUNCTION("""COMPUTED_VALUE"""),349.0)</f>
        <v>349</v>
      </c>
      <c r="G324" s="17"/>
      <c r="H324" s="17">
        <f>IFERROR(__xludf.DUMMYFUNCTION("""COMPUTED_VALUE"""),0.0)</f>
        <v>0</v>
      </c>
      <c r="I324" s="17" t="str">
        <f>IFERROR(__xludf.DUMMYFUNCTION("""COMPUTED_VALUE"""),"Onayli - Satista degil")</f>
        <v>Onayli - Satista degil</v>
      </c>
      <c r="J324" s="40" t="str">
        <f>IF($A324="","",IFERROR(VLOOKUP($A324,'Maliyet Giris'!$A$2:$G$550,6,0),""))</f>
        <v/>
      </c>
      <c r="K324" s="40" t="str">
        <f>IF($A324="","",IFERROR(VLOOKUP($A324,'Maliyet Giris'!$A$2:$G$550,7,0),""))</f>
        <v/>
      </c>
    </row>
    <row r="325">
      <c r="A325" s="17">
        <f>IFERROR(__xludf.DUMMYFUNCTION("""COMPUTED_VALUE"""),4.048422154822E12)</f>
        <v>4048422154822</v>
      </c>
      <c r="B325" s="17" t="str">
        <f>IFERROR(__xludf.DUMMYFUNCTION("""COMPUTED_VALUE"""),"8in1")</f>
        <v>8in1</v>
      </c>
      <c r="C325" s="17" t="str">
        <f>IFERROR(__xludf.DUMMYFUNCTION("""COMPUTED_VALUE"""),"Smart Delights Duck Spirals Ördekli Burgu Köpek Ödülü 6lı")</f>
        <v>Smart Delights Duck Spirals Ördekli Burgu Köpek Ödülü 6lı</v>
      </c>
      <c r="D325" s="17"/>
      <c r="E325" s="17" t="str">
        <f>IFERROR(__xludf.DUMMYFUNCTION("""COMPUTED_VALUE"""),"Köpek Kemiği")</f>
        <v>Köpek Kemiği</v>
      </c>
      <c r="F325" s="17">
        <f>IFERROR(__xludf.DUMMYFUNCTION("""COMPUTED_VALUE"""),249.0)</f>
        <v>249</v>
      </c>
      <c r="G325" s="17"/>
      <c r="H325" s="17">
        <f>IFERROR(__xludf.DUMMYFUNCTION("""COMPUTED_VALUE"""),0.0)</f>
        <v>0</v>
      </c>
      <c r="I325" s="17" t="str">
        <f>IFERROR(__xludf.DUMMYFUNCTION("""COMPUTED_VALUE"""),"Onayli - Satista degil")</f>
        <v>Onayli - Satista degil</v>
      </c>
      <c r="J325" s="40">
        <f>IF($A325="","",IFERROR(VLOOKUP($A325,'Maliyet Giris'!$A$2:$G$550,6,0),""))</f>
        <v>100</v>
      </c>
      <c r="K325" s="40">
        <f>IF($A325="","",IFERROR(VLOOKUP($A325,'Maliyet Giris'!$A$2:$G$550,7,0),""))</f>
        <v>0.5</v>
      </c>
    </row>
    <row r="326">
      <c r="A326" s="17">
        <f>IFERROR(__xludf.DUMMYFUNCTION("""COMPUTED_VALUE"""),4.048422102403E12)</f>
        <v>4048422102403</v>
      </c>
      <c r="B326" s="17" t="str">
        <f>IFERROR(__xludf.DUMMYFUNCTION("""COMPUTED_VALUE"""),"8in1")</f>
        <v>8in1</v>
      </c>
      <c r="C326" s="17" t="str">
        <f>IFERROR(__xludf.DUMMYFUNCTION("""COMPUTED_VALUE"""),"Delights Bones Köpekler İçin Ağız Bakım Kemiği Small")</f>
        <v>Delights Bones Köpekler İçin Ağız Bakım Kemiği Small</v>
      </c>
      <c r="D326" s="17"/>
      <c r="E326" s="17" t="str">
        <f>IFERROR(__xludf.DUMMYFUNCTION("""COMPUTED_VALUE"""),"Köpek Ödülü")</f>
        <v>Köpek Ödülü</v>
      </c>
      <c r="F326" s="17">
        <f>IFERROR(__xludf.DUMMYFUNCTION("""COMPUTED_VALUE"""),249.0)</f>
        <v>249</v>
      </c>
      <c r="G326" s="17"/>
      <c r="H326" s="17">
        <f>IFERROR(__xludf.DUMMYFUNCTION("""COMPUTED_VALUE"""),0.0)</f>
        <v>0</v>
      </c>
      <c r="I326" s="17" t="str">
        <f>IFERROR(__xludf.DUMMYFUNCTION("""COMPUTED_VALUE"""),"Onayli - Satista degil")</f>
        <v>Onayli - Satista degil</v>
      </c>
      <c r="J326" s="40" t="str">
        <f>IF($A326="","",IFERROR(VLOOKUP($A326,'Maliyet Giris'!$A$2:$G$550,6,0),""))</f>
        <v/>
      </c>
      <c r="K326" s="40" t="str">
        <f>IF($A326="","",IFERROR(VLOOKUP($A326,'Maliyet Giris'!$A$2:$G$550,7,0),""))</f>
        <v/>
      </c>
    </row>
    <row r="327">
      <c r="A327" s="17" t="str">
        <f>IFERROR(__xludf.DUMMYFUNCTION("""COMPUTED_VALUE"""),"B1285899881")</f>
        <v>B1285899881</v>
      </c>
      <c r="B327" s="17" t="str">
        <f>IFERROR(__xludf.DUMMYFUNCTION("""COMPUTED_VALUE"""),"8in1")</f>
        <v>8in1</v>
      </c>
      <c r="C327" s="17" t="str">
        <f>IFERROR(__xludf.DUMMYFUNCTION("""COMPUTED_VALUE"""),"8 in 1 Delights Beef Bone Biftekli Düğümlü Köpek Ödül Kemik S (35g)")</f>
        <v>8 in 1 Delights Beef Bone Biftekli Düğümlü Köpek Ödül Kemik S (35g)</v>
      </c>
      <c r="D327" s="17"/>
      <c r="E327" s="17" t="str">
        <f>IFERROR(__xludf.DUMMYFUNCTION("""COMPUTED_VALUE"""),"Köpek Ödülü")</f>
        <v>Köpek Ödülü</v>
      </c>
      <c r="F327" s="17">
        <f>IFERROR(__xludf.DUMMYFUNCTION("""COMPUTED_VALUE"""),245.0)</f>
        <v>245</v>
      </c>
      <c r="G327" s="17"/>
      <c r="H327" s="17">
        <f>IFERROR(__xludf.DUMMYFUNCTION("""COMPUTED_VALUE"""),0.0)</f>
        <v>0</v>
      </c>
      <c r="I327" s="17" t="str">
        <f>IFERROR(__xludf.DUMMYFUNCTION("""COMPUTED_VALUE"""),"Onayli - Satista degil")</f>
        <v>Onayli - Satista degil</v>
      </c>
      <c r="J327" s="40">
        <f>IF($A327="","",IFERROR(VLOOKUP($A327,'Maliyet Giris'!$A$2:$G$550,6,0),""))</f>
        <v>10</v>
      </c>
      <c r="K327" s="40">
        <f>IF($A327="","",IFERROR(VLOOKUP($A327,'Maliyet Giris'!$A$2:$G$550,7,0),""))</f>
        <v>0.5</v>
      </c>
    </row>
    <row r="328">
      <c r="A328" s="17" t="str">
        <f>IFERROR(__xludf.DUMMYFUNCTION("""COMPUTED_VALUE"""),"TYBFWI85NQYDTGR780")</f>
        <v>TYBFWI85NQYDTGR780</v>
      </c>
      <c r="B328" s="17" t="str">
        <f>IFERROR(__xludf.DUMMYFUNCTION("""COMPUTED_VALUE"""),"8in1")</f>
        <v>8in1</v>
      </c>
      <c r="C328" s="17" t="str">
        <f>IFERROR(__xludf.DUMMYFUNCTION("""COMPUTED_VALUE"""),"Delights Köpekler Için Biftekli Ödül Çubuğu 190 Gr X 2 Adet")</f>
        <v>Delights Köpekler Için Biftekli Ödül Çubuğu 190 Gr X 2 Adet</v>
      </c>
      <c r="D328" s="17"/>
      <c r="E328" s="17" t="str">
        <f>IFERROR(__xludf.DUMMYFUNCTION("""COMPUTED_VALUE"""),"Köpek Ödülü")</f>
        <v>Köpek Ödülü</v>
      </c>
      <c r="F328" s="17">
        <f>IFERROR(__xludf.DUMMYFUNCTION("""COMPUTED_VALUE"""),1699.0)</f>
        <v>1699</v>
      </c>
      <c r="G328" s="17"/>
      <c r="H328" s="17">
        <f>IFERROR(__xludf.DUMMYFUNCTION("""COMPUTED_VALUE"""),0.0)</f>
        <v>0</v>
      </c>
      <c r="I328" s="17" t="str">
        <f>IFERROR(__xludf.DUMMYFUNCTION("""COMPUTED_VALUE"""),"Onayli - Satista degil")</f>
        <v>Onayli - Satista degil</v>
      </c>
      <c r="J328" s="40">
        <f>IF($A328="","",IFERROR(VLOOKUP($A328,'Maliyet Giris'!$A$2:$G$550,6,0),""))</f>
        <v>100</v>
      </c>
      <c r="K328" s="40">
        <f>IF($A328="","",IFERROR(VLOOKUP($A328,'Maliyet Giris'!$A$2:$G$550,7,0),""))</f>
        <v>0.5</v>
      </c>
    </row>
    <row r="329">
      <c r="A329" s="17">
        <f>IFERROR(__xludf.DUMMYFUNCTION("""COMPUTED_VALUE"""),4.017721832025E12)</f>
        <v>4017721832025</v>
      </c>
      <c r="B329" s="17" t="str">
        <f>IFERROR(__xludf.DUMMYFUNCTION("""COMPUTED_VALUE"""),"Animonda")</f>
        <v>Animonda</v>
      </c>
      <c r="C329" s="17" t="str">
        <f>IFERROR(__xludf.DUMMYFUNCTION("""COMPUTED_VALUE"""),"Wom Feınsten Kedi Konservesi 100 Gr 12 Adet Karışık")</f>
        <v>Wom Feınsten Kedi Konservesi 100 Gr 12 Adet Karışık</v>
      </c>
      <c r="D329" s="17"/>
      <c r="E329" s="17" t="str">
        <f>IFERROR(__xludf.DUMMYFUNCTION("""COMPUTED_VALUE"""),"Kedi Kuru Maması")</f>
        <v>Kedi Kuru Maması</v>
      </c>
      <c r="F329" s="17">
        <f>IFERROR(__xludf.DUMMYFUNCTION("""COMPUTED_VALUE"""),879.0)</f>
        <v>879</v>
      </c>
      <c r="G329" s="17"/>
      <c r="H329" s="17">
        <f>IFERROR(__xludf.DUMMYFUNCTION("""COMPUTED_VALUE"""),0.0)</f>
        <v>0</v>
      </c>
      <c r="I329" s="17" t="str">
        <f>IFERROR(__xludf.DUMMYFUNCTION("""COMPUTED_VALUE"""),"Onayli - Satista degil")</f>
        <v>Onayli - Satista degil</v>
      </c>
      <c r="J329" s="40">
        <f>IF($A329="","",IFERROR(VLOOKUP($A329,'Maliyet Giris'!$A$2:$G$550,6,0),""))</f>
        <v>10</v>
      </c>
      <c r="K329" s="40">
        <f>IF($A329="","",IFERROR(VLOOKUP($A329,'Maliyet Giris'!$A$2:$G$550,7,0),""))</f>
        <v>3</v>
      </c>
    </row>
    <row r="330">
      <c r="A330" s="17" t="str">
        <f>IFERROR(__xludf.DUMMYFUNCTION("""COMPUTED_VALUE"""),"TYBBAP7AE4W8EI0838")</f>
        <v>TYBBAP7AE4W8EI0838</v>
      </c>
      <c r="B330" s="17" t="str">
        <f>IFERROR(__xludf.DUMMYFUNCTION("""COMPUTED_VALUE"""),"HPM")</f>
        <v>HPM</v>
      </c>
      <c r="C330" s="17" t="str">
        <f>IFERROR(__xludf.DUMMYFUNCTION("""COMPUTED_VALUE"""),"Virbac Adult Neutered&amp;Entire Salmon Somonlu Kısır Kedi Maması 3 kg")</f>
        <v>Virbac Adult Neutered&amp;Entire Salmon Somonlu Kısır Kedi Maması 3 kg</v>
      </c>
      <c r="D330" s="17"/>
      <c r="E330" s="17" t="str">
        <f>IFERROR(__xludf.DUMMYFUNCTION("""COMPUTED_VALUE"""),"Kedi Kuru Maması")</f>
        <v>Kedi Kuru Maması</v>
      </c>
      <c r="F330" s="17">
        <f>IFERROR(__xludf.DUMMYFUNCTION("""COMPUTED_VALUE"""),3400.0)</f>
        <v>3400</v>
      </c>
      <c r="G330" s="17">
        <f>IFERROR(__xludf.DUMMYFUNCTION("""COMPUTED_VALUE"""),2619.0)</f>
        <v>2619</v>
      </c>
      <c r="H330" s="17">
        <f>IFERROR(__xludf.DUMMYFUNCTION("""COMPUTED_VALUE"""),1.0)</f>
        <v>1</v>
      </c>
      <c r="I330" s="17" t="str">
        <f>IFERROR(__xludf.DUMMYFUNCTION("""COMPUTED_VALUE"""),"Onayli")</f>
        <v>Onayli</v>
      </c>
      <c r="J330" s="40">
        <f>IF($A330="","",IFERROR(VLOOKUP($A330,'Maliyet Giris'!$A$2:$G$550,6,0),""))</f>
        <v>1350</v>
      </c>
      <c r="K330" s="40">
        <f>IF($A330="","",IFERROR(VLOOKUP($A330,'Maliyet Giris'!$A$2:$G$550,7,0),""))</f>
        <v>3</v>
      </c>
    </row>
    <row r="331">
      <c r="A331" s="17" t="str">
        <f>IFERROR(__xludf.DUMMYFUNCTION("""COMPUTED_VALUE"""),"TYBQ6K8LH766VG2M78")</f>
        <v>TYBQ6K8LH766VG2M78</v>
      </c>
      <c r="B331" s="17" t="str">
        <f>IFERROR(__xludf.DUMMYFUNCTION("""COMPUTED_VALUE"""),"Other")</f>
        <v>Other</v>
      </c>
      <c r="C331" s="17" t="str">
        <f>IFERROR(__xludf.DUMMYFUNCTION("""COMPUTED_VALUE"""),"Virbac Adult Neutered Cat Kısır Kedi Maması 3 KG")</f>
        <v>Virbac Adult Neutered Cat Kısır Kedi Maması 3 KG</v>
      </c>
      <c r="D331" s="17"/>
      <c r="E331" s="17" t="str">
        <f>IFERROR(__xludf.DUMMYFUNCTION("""COMPUTED_VALUE"""),"Kedi Kuru Maması")</f>
        <v>Kedi Kuru Maması</v>
      </c>
      <c r="F331" s="17">
        <f>IFERROR(__xludf.DUMMYFUNCTION("""COMPUTED_VALUE"""),2590.0)</f>
        <v>2590</v>
      </c>
      <c r="G331" s="17"/>
      <c r="H331" s="17">
        <f>IFERROR(__xludf.DUMMYFUNCTION("""COMPUTED_VALUE"""),0.0)</f>
        <v>0</v>
      </c>
      <c r="I331" s="17" t="str">
        <f>IFERROR(__xludf.DUMMYFUNCTION("""COMPUTED_VALUE"""),"Onayli - Satista degil")</f>
        <v>Onayli - Satista degil</v>
      </c>
      <c r="J331" s="40">
        <f>IF($A331="","",IFERROR(VLOOKUP($A331,'Maliyet Giris'!$A$2:$G$550,6,0),""))</f>
        <v>1250</v>
      </c>
      <c r="K331" s="40">
        <f>IF($A331="","",IFERROR(VLOOKUP($A331,'Maliyet Giris'!$A$2:$G$550,7,0),""))</f>
        <v>3</v>
      </c>
    </row>
    <row r="332">
      <c r="A332" s="17" t="str">
        <f>IFERROR(__xludf.DUMMYFUNCTION("""COMPUTED_VALUE"""),"H22HBCV000075VENA")</f>
        <v>H22HBCV000075VENA</v>
      </c>
      <c r="B332" s="17" t="str">
        <f>IFERROR(__xludf.DUMMYFUNCTION("""COMPUTED_VALUE"""),"Orqinel")</f>
        <v>Orqinel</v>
      </c>
      <c r="C332" s="17" t="str">
        <f>IFERROR(__xludf.DUMMYFUNCTION("""COMPUTED_VALUE"""),"Virbac Adult Cat Salmon Neutered &amp; Entire 7 kg")</f>
        <v>Virbac Adult Cat Salmon Neutered &amp; Entire 7 kg</v>
      </c>
      <c r="D332" s="17"/>
      <c r="E332" s="17" t="str">
        <f>IFERROR(__xludf.DUMMYFUNCTION("""COMPUTED_VALUE"""),"Kedi Kuru Maması")</f>
        <v>Kedi Kuru Maması</v>
      </c>
      <c r="F332" s="17">
        <f>IFERROR(__xludf.DUMMYFUNCTION("""COMPUTED_VALUE"""),5150.0)</f>
        <v>5150</v>
      </c>
      <c r="G332" s="17">
        <f>IFERROR(__xludf.DUMMYFUNCTION("""COMPUTED_VALUE"""),4620.0)</f>
        <v>4620</v>
      </c>
      <c r="H332" s="17">
        <f>IFERROR(__xludf.DUMMYFUNCTION("""COMPUTED_VALUE"""),1.0)</f>
        <v>1</v>
      </c>
      <c r="I332" s="17" t="str">
        <f>IFERROR(__xludf.DUMMYFUNCTION("""COMPUTED_VALUE"""),"Onayli")</f>
        <v>Onayli</v>
      </c>
      <c r="J332" s="40">
        <f>IF($A332="","",IFERROR(VLOOKUP($A332,'Maliyet Giris'!$A$2:$G$550,6,0),""))</f>
        <v>10</v>
      </c>
      <c r="K332" s="40">
        <f>IF($A332="","",IFERROR(VLOOKUP($A332,'Maliyet Giris'!$A$2:$G$550,7,0),""))</f>
        <v>3</v>
      </c>
    </row>
    <row r="333">
      <c r="A333" s="17">
        <f>IFERROR(__xludf.DUMMYFUNCTION("""COMPUTED_VALUE"""),5.2742059372E10)</f>
        <v>52742059372</v>
      </c>
      <c r="B333" s="17" t="str">
        <f>IFERROR(__xludf.DUMMYFUNCTION("""COMPUTED_VALUE"""),"Hill's")</f>
        <v>Hill's</v>
      </c>
      <c r="C333" s="17" t="str">
        <f>IFERROR(__xludf.DUMMYFUNCTION("""COMPUTED_VALUE"""),"Prescription Diet Urinary Care C/d Multicare Tavuklu Kedi Kuru Maması 3 Kg")</f>
        <v>Prescription Diet Urinary Care C/d Multicare Tavuklu Kedi Kuru Maması 3 Kg</v>
      </c>
      <c r="D333" s="17"/>
      <c r="E333" s="17" t="str">
        <f>IFERROR(__xludf.DUMMYFUNCTION("""COMPUTED_VALUE"""),"Kedi Kuru Maması")</f>
        <v>Kedi Kuru Maması</v>
      </c>
      <c r="F333" s="17">
        <f>IFERROR(__xludf.DUMMYFUNCTION("""COMPUTED_VALUE"""),2275.0)</f>
        <v>2275</v>
      </c>
      <c r="G333" s="17"/>
      <c r="H333" s="17">
        <f>IFERROR(__xludf.DUMMYFUNCTION("""COMPUTED_VALUE"""),0.0)</f>
        <v>0</v>
      </c>
      <c r="I333" s="17" t="str">
        <f>IFERROR(__xludf.DUMMYFUNCTION("""COMPUTED_VALUE"""),"Onayli - Satista degil")</f>
        <v>Onayli - Satista degil</v>
      </c>
      <c r="J333" s="40" t="str">
        <f>IF($A333="","",IFERROR(VLOOKUP($A333,'Maliyet Giris'!$A$2:$G$550,6,0),""))</f>
        <v/>
      </c>
      <c r="K333" s="40" t="str">
        <f>IF($A333="","",IFERROR(VLOOKUP($A333,'Maliyet Giris'!$A$2:$G$550,7,0),""))</f>
        <v/>
      </c>
    </row>
    <row r="334">
      <c r="A334" s="17" t="str">
        <f>IFERROR(__xludf.DUMMYFUNCTION("""COMPUTED_VALUE"""),"TYB40O96UICAMJJL93")</f>
        <v>TYB40O96UICAMJJL93</v>
      </c>
      <c r="B334" s="17" t="str">
        <f>IFERROR(__xludf.DUMMYFUNCTION("""COMPUTED_VALUE"""),"Pro Plan")</f>
        <v>Pro Plan</v>
      </c>
      <c r="C334" s="17" t="str">
        <f>IFERROR(__xludf.DUMMYFUNCTION("""COMPUTED_VALUE"""),"Planpro Plan Sterilesed Kısır Kediler Için Tavuklu Ve Hindili Kedi Maması 3 Kg")</f>
        <v>Planpro Plan Sterilesed Kısır Kediler Için Tavuklu Ve Hindili Kedi Maması 3 Kg</v>
      </c>
      <c r="D334" s="17"/>
      <c r="E334" s="17" t="str">
        <f>IFERROR(__xludf.DUMMYFUNCTION("""COMPUTED_VALUE"""),"Kedi Kuru Maması")</f>
        <v>Kedi Kuru Maması</v>
      </c>
      <c r="F334" s="17">
        <f>IFERROR(__xludf.DUMMYFUNCTION("""COMPUTED_VALUE"""),1575.0)</f>
        <v>1575</v>
      </c>
      <c r="G334" s="17">
        <f>IFERROR(__xludf.DUMMYFUNCTION("""COMPUTED_VALUE"""),1581.0)</f>
        <v>1581</v>
      </c>
      <c r="H334" s="17">
        <f>IFERROR(__xludf.DUMMYFUNCTION("""COMPUTED_VALUE"""),49.0)</f>
        <v>49</v>
      </c>
      <c r="I334" s="17" t="str">
        <f>IFERROR(__xludf.DUMMYFUNCTION("""COMPUTED_VALUE"""),"Onayli")</f>
        <v>Onayli</v>
      </c>
      <c r="J334" s="40">
        <f>IF($A334="","",IFERROR(VLOOKUP($A334,'Maliyet Giris'!$A$2:$G$550,6,0),""))</f>
        <v>1185</v>
      </c>
      <c r="K334" s="40">
        <f>IF($A334="","",IFERROR(VLOOKUP($A334,'Maliyet Giris'!$A$2:$G$550,7,0),""))</f>
        <v>3</v>
      </c>
    </row>
    <row r="335">
      <c r="A335" s="17" t="str">
        <f>IFERROR(__xludf.DUMMYFUNCTION("""COMPUTED_VALUE"""),"TYBXN422TFQWIK3821")</f>
        <v>TYBXN422TFQWIK3821</v>
      </c>
      <c r="B335" s="17" t="str">
        <f>IFERROR(__xludf.DUMMYFUNCTION("""COMPUTED_VALUE"""),"Royal Canin")</f>
        <v>Royal Canin</v>
      </c>
      <c r="C335" s="17" t="str">
        <f>IFERROR(__xludf.DUMMYFUNCTION("""COMPUTED_VALUE"""),"Babycat Milk Yavru Kedi Süt Tozu Seti 300gr")</f>
        <v>Babycat Milk Yavru Kedi Süt Tozu Seti 300gr</v>
      </c>
      <c r="D335" s="17"/>
      <c r="E335" s="17" t="str">
        <f>IFERROR(__xludf.DUMMYFUNCTION("""COMPUTED_VALUE"""),"Yavru Kedi Bakım Ürünü")</f>
        <v>Yavru Kedi Bakım Ürünü</v>
      </c>
      <c r="F335" s="17">
        <f>IFERROR(__xludf.DUMMYFUNCTION("""COMPUTED_VALUE"""),1712.0)</f>
        <v>1712</v>
      </c>
      <c r="G335" s="17"/>
      <c r="H335" s="17">
        <f>IFERROR(__xludf.DUMMYFUNCTION("""COMPUTED_VALUE"""),0.0)</f>
        <v>0</v>
      </c>
      <c r="I335" s="17" t="str">
        <f>IFERROR(__xludf.DUMMYFUNCTION("""COMPUTED_VALUE"""),"Onayli - Satista degil")</f>
        <v>Onayli - Satista degil</v>
      </c>
      <c r="J335" s="40">
        <f>IF($A335="","",IFERROR(VLOOKUP($A335,'Maliyet Giris'!$A$2:$G$550,6,0),""))</f>
        <v>1053</v>
      </c>
      <c r="K335" s="40">
        <f>IF($A335="","",IFERROR(VLOOKUP($A335,'Maliyet Giris'!$A$2:$G$550,7,0),""))</f>
        <v>1</v>
      </c>
    </row>
    <row r="336">
      <c r="A336" s="17">
        <f>IFERROR(__xludf.DUMMYFUNCTION("""COMPUTED_VALUE"""),2.524015E8)</f>
        <v>252401500</v>
      </c>
      <c r="B336" s="17" t="str">
        <f>IFERROR(__xludf.DUMMYFUNCTION("""COMPUTED_VALUE"""),"Royal Canin")</f>
        <v>Royal Canin</v>
      </c>
      <c r="C336" s="17" t="str">
        <f>IFERROR(__xludf.DUMMYFUNCTION("""COMPUTED_VALUE"""),"Light Weight Care Diyet Kedi Maması 1,5 Kg")</f>
        <v>Light Weight Care Diyet Kedi Maması 1,5 Kg</v>
      </c>
      <c r="D336" s="17"/>
      <c r="E336" s="17" t="str">
        <f>IFERROR(__xludf.DUMMYFUNCTION("""COMPUTED_VALUE"""),"Kedi Konserve Maması")</f>
        <v>Kedi Konserve Maması</v>
      </c>
      <c r="F336" s="17">
        <f>IFERROR(__xludf.DUMMYFUNCTION("""COMPUTED_VALUE"""),1339.0)</f>
        <v>1339</v>
      </c>
      <c r="G336" s="17">
        <f>IFERROR(__xludf.DUMMYFUNCTION("""COMPUTED_VALUE"""),1345.0)</f>
        <v>1345</v>
      </c>
      <c r="H336" s="17">
        <f>IFERROR(__xludf.DUMMYFUNCTION("""COMPUTED_VALUE"""),15.0)</f>
        <v>15</v>
      </c>
      <c r="I336" s="17" t="str">
        <f>IFERROR(__xludf.DUMMYFUNCTION("""COMPUTED_VALUE"""),"Onayli")</f>
        <v>Onayli</v>
      </c>
      <c r="J336" s="40">
        <f>IF($A336="","",IFERROR(VLOOKUP($A336,'Maliyet Giris'!$A$2:$G$550,6,0),""))</f>
        <v>924</v>
      </c>
      <c r="K336" s="40">
        <f>IF($A336="","",IFERROR(VLOOKUP($A336,'Maliyet Giris'!$A$2:$G$550,7,0),""))</f>
        <v>2</v>
      </c>
    </row>
    <row r="337">
      <c r="A337" s="17">
        <f>IFERROR(__xludf.DUMMYFUNCTION("""COMPUTED_VALUE"""),9.00357931015112E14)</f>
        <v>900357931015112</v>
      </c>
      <c r="B337" s="17" t="str">
        <f>IFERROR(__xludf.DUMMYFUNCTION("""COMPUTED_VALUE"""),"Royal Canin")</f>
        <v>Royal Canin</v>
      </c>
      <c r="C337" s="17" t="str">
        <f>IFERROR(__xludf.DUMMYFUNCTION("""COMPUTED_VALUE"""),"Ageing +12 Gravy Yaşlı Kedi 85 Gr X 12 Adet")</f>
        <v>Ageing +12 Gravy Yaşlı Kedi 85 Gr X 12 Adet</v>
      </c>
      <c r="D337" s="17"/>
      <c r="E337" s="17" t="str">
        <f>IFERROR(__xludf.DUMMYFUNCTION("""COMPUTED_VALUE"""),"Kedi Konserve Maması")</f>
        <v>Kedi Konserve Maması</v>
      </c>
      <c r="F337" s="17">
        <f>IFERROR(__xludf.DUMMYFUNCTION("""COMPUTED_VALUE"""),958.0)</f>
        <v>958</v>
      </c>
      <c r="G337" s="17">
        <f>IFERROR(__xludf.DUMMYFUNCTION("""COMPUTED_VALUE"""),958.0)</f>
        <v>958</v>
      </c>
      <c r="H337" s="17">
        <f>IFERROR(__xludf.DUMMYFUNCTION("""COMPUTED_VALUE"""),3.0)</f>
        <v>3</v>
      </c>
      <c r="I337" s="17" t="str">
        <f>IFERROR(__xludf.DUMMYFUNCTION("""COMPUTED_VALUE"""),"Onayli")</f>
        <v>Onayli</v>
      </c>
      <c r="J337" s="40">
        <f>IF($A337="","",IFERROR(VLOOKUP($A337,'Maliyet Giris'!$A$2:$G$550,6,0),""))</f>
        <v>1</v>
      </c>
      <c r="K337" s="40">
        <f>IF($A337="","",IFERROR(VLOOKUP($A337,'Maliyet Giris'!$A$2:$G$550,7,0),""))</f>
        <v>3</v>
      </c>
    </row>
    <row r="338">
      <c r="A338" s="17" t="str">
        <f>IFERROR(__xludf.DUMMYFUNCTION("""COMPUTED_VALUE"""),"09003579311660X6")</f>
        <v>09003579311660X6</v>
      </c>
      <c r="B338" s="17" t="str">
        <f>IFERROR(__xludf.DUMMYFUNCTION("""COMPUTED_VALUE"""),"Royal Canin")</f>
        <v>Royal Canin</v>
      </c>
      <c r="C338" s="17" t="str">
        <f>IFERROR(__xludf.DUMMYFUNCTION("""COMPUTED_VALUE"""),"Mother &amp; Babycat Anne Hamile Ve Yavru Kediler Için Konserve Kıyılmış Pate Yaş Mama 195 G")</f>
        <v>Mother &amp; Babycat Anne Hamile Ve Yavru Kediler Için Konserve Kıyılmış Pate Yaş Mama 195 G</v>
      </c>
      <c r="D338" s="17"/>
      <c r="E338" s="17" t="str">
        <f>IFERROR(__xludf.DUMMYFUNCTION("""COMPUTED_VALUE"""),"Kedi Konserve Maması")</f>
        <v>Kedi Konserve Maması</v>
      </c>
      <c r="F338" s="17">
        <f>IFERROR(__xludf.DUMMYFUNCTION("""COMPUTED_VALUE"""),0.0)</f>
        <v>0</v>
      </c>
      <c r="G338" s="17"/>
      <c r="H338" s="17">
        <f>IFERROR(__xludf.DUMMYFUNCTION("""COMPUTED_VALUE"""),50.0)</f>
        <v>50</v>
      </c>
      <c r="I338" s="17" t="str">
        <f>IFERROR(__xludf.DUMMYFUNCTION("""COMPUTED_VALUE"""),"Onayli - Satista degil")</f>
        <v>Onayli - Satista degil</v>
      </c>
      <c r="J338" s="40">
        <f>IF($A338="","",IFERROR(VLOOKUP($A338,'Maliyet Giris'!$A$2:$G$550,6,0),""))</f>
        <v>1</v>
      </c>
      <c r="K338" s="40">
        <f>IF($A338="","",IFERROR(VLOOKUP($A338,'Maliyet Giris'!$A$2:$G$550,7,0),""))</f>
        <v>3</v>
      </c>
    </row>
    <row r="339">
      <c r="A339" s="17">
        <f>IFERROR(__xludf.DUMMYFUNCTION("""COMPUTED_VALUE"""),4.49531020003577E14)</f>
        <v>449531020003577</v>
      </c>
      <c r="B339" s="17" t="str">
        <f>IFERROR(__xludf.DUMMYFUNCTION("""COMPUTED_VALUE"""),"Royal Canin")</f>
        <v>Royal Canin</v>
      </c>
      <c r="C339" s="17" t="str">
        <f>IFERROR(__xludf.DUMMYFUNCTION("""COMPUTED_VALUE"""),"Gravy Ageing +12 Kedi Yaş Mama 85 Gr. X 24 Adet")</f>
        <v>Gravy Ageing +12 Kedi Yaş Mama 85 Gr. X 24 Adet</v>
      </c>
      <c r="D339" s="17"/>
      <c r="E339" s="17" t="str">
        <f>IFERROR(__xludf.DUMMYFUNCTION("""COMPUTED_VALUE"""),"Kedi Konserve Maması")</f>
        <v>Kedi Konserve Maması</v>
      </c>
      <c r="F339" s="17">
        <f>IFERROR(__xludf.DUMMYFUNCTION("""COMPUTED_VALUE"""),1799.0)</f>
        <v>1799</v>
      </c>
      <c r="G339" s="17">
        <f>IFERROR(__xludf.DUMMYFUNCTION("""COMPUTED_VALUE"""),1799.0)</f>
        <v>1799</v>
      </c>
      <c r="H339" s="17">
        <f>IFERROR(__xludf.DUMMYFUNCTION("""COMPUTED_VALUE"""),15.0)</f>
        <v>15</v>
      </c>
      <c r="I339" s="17" t="str">
        <f>IFERROR(__xludf.DUMMYFUNCTION("""COMPUTED_VALUE"""),"Onayli")</f>
        <v>Onayli</v>
      </c>
      <c r="J339" s="40">
        <f>IF($A339="","",IFERROR(VLOOKUP($A339,'Maliyet Giris'!$A$2:$G$550,6,0),""))</f>
        <v>465</v>
      </c>
      <c r="K339" s="40">
        <f>IF($A339="","",IFERROR(VLOOKUP($A339,'Maliyet Giris'!$A$2:$G$550,7,0),""))</f>
        <v>3</v>
      </c>
    </row>
    <row r="340">
      <c r="A340" s="17">
        <f>IFERROR(__xludf.DUMMYFUNCTION("""COMPUTED_VALUE"""),3.569702998444E12)</f>
        <v>3569702998444</v>
      </c>
      <c r="B340" s="17" t="str">
        <f>IFERROR(__xludf.DUMMYFUNCTION("""COMPUTED_VALUE"""),"Royal Canin")</f>
        <v>Royal Canin</v>
      </c>
      <c r="C340" s="17" t="str">
        <f>IFERROR(__xludf.DUMMYFUNCTION("""COMPUTED_VALUE"""),"Sterilised Soslu Yaş Kedi Maması 85 Gr X 6 Adet")</f>
        <v>Sterilised Soslu Yaş Kedi Maması 85 Gr X 6 Adet</v>
      </c>
      <c r="D340" s="17"/>
      <c r="E340" s="17" t="str">
        <f>IFERROR(__xludf.DUMMYFUNCTION("""COMPUTED_VALUE"""),"Kedi Konserve Maması")</f>
        <v>Kedi Konserve Maması</v>
      </c>
      <c r="F340" s="17">
        <f>IFERROR(__xludf.DUMMYFUNCTION("""COMPUTED_VALUE"""),414.0)</f>
        <v>414</v>
      </c>
      <c r="G340" s="17">
        <f>IFERROR(__xludf.DUMMYFUNCTION("""COMPUTED_VALUE"""),349.0)</f>
        <v>349</v>
      </c>
      <c r="H340" s="17">
        <f>IFERROR(__xludf.DUMMYFUNCTION("""COMPUTED_VALUE"""),21.0)</f>
        <v>21</v>
      </c>
      <c r="I340" s="17" t="str">
        <f>IFERROR(__xludf.DUMMYFUNCTION("""COMPUTED_VALUE"""),"Onayli")</f>
        <v>Onayli</v>
      </c>
      <c r="J340" s="40">
        <f>IF($A340="","",IFERROR(VLOOKUP($A340,'Maliyet Giris'!$A$2:$G$550,6,0),""))</f>
        <v>1</v>
      </c>
      <c r="K340" s="40">
        <f>IF($A340="","",IFERROR(VLOOKUP($A340,'Maliyet Giris'!$A$2:$G$550,7,0),""))</f>
        <v>3</v>
      </c>
    </row>
    <row r="341">
      <c r="A341" s="17">
        <f>IFERROR(__xludf.DUMMYFUNCTION("""COMPUTED_VALUE"""),8.684207638772E12)</f>
        <v>8684207638772</v>
      </c>
      <c r="B341" s="17" t="str">
        <f>IFERROR(__xludf.DUMMYFUNCTION("""COMPUTED_VALUE"""),"Supreme Cat")</f>
        <v>Supreme Cat</v>
      </c>
      <c r="C341" s="17" t="str">
        <f>IFERROR(__xludf.DUMMYFUNCTION("""COMPUTED_VALUE"""),"Ördek &amp; Somon Kıyılmış Konserve Kedi Yaş Maması 85 gr")</f>
        <v>Ördek &amp; Somon Kıyılmış Konserve Kedi Yaş Maması 85 gr</v>
      </c>
      <c r="D341" s="17"/>
      <c r="E341" s="17" t="str">
        <f>IFERROR(__xludf.DUMMYFUNCTION("""COMPUTED_VALUE"""),"Kedi Konserve Maması")</f>
        <v>Kedi Konserve Maması</v>
      </c>
      <c r="F341" s="17">
        <f>IFERROR(__xludf.DUMMYFUNCTION("""COMPUTED_VALUE"""),849.0)</f>
        <v>849</v>
      </c>
      <c r="G341" s="17">
        <f>IFERROR(__xludf.DUMMYFUNCTION("""COMPUTED_VALUE"""),594.0)</f>
        <v>594</v>
      </c>
      <c r="H341" s="17">
        <f>IFERROR(__xludf.DUMMYFUNCTION("""COMPUTED_VALUE"""),100.0)</f>
        <v>100</v>
      </c>
      <c r="I341" s="17" t="str">
        <f>IFERROR(__xludf.DUMMYFUNCTION("""COMPUTED_VALUE"""),"Onayli")</f>
        <v>Onayli</v>
      </c>
      <c r="J341" s="40">
        <f>IF($A341="","",IFERROR(VLOOKUP($A341,'Maliyet Giris'!$A$2:$G$550,6,0),""))</f>
        <v>500</v>
      </c>
      <c r="K341" s="40">
        <f>IF($A341="","",IFERROR(VLOOKUP($A341,'Maliyet Giris'!$A$2:$G$550,7,0),""))</f>
        <v>3</v>
      </c>
    </row>
    <row r="342">
      <c r="A342" s="17" t="str">
        <f>IFERROR(__xludf.DUMMYFUNCTION("""COMPUTED_VALUE"""),"TYBR84FW8PZN0VMT75")</f>
        <v>TYBR84FW8PZN0VMT75</v>
      </c>
      <c r="B342" s="17" t="str">
        <f>IFERROR(__xludf.DUMMYFUNCTION("""COMPUTED_VALUE"""),"Supreme Cat")</f>
        <v>Supreme Cat</v>
      </c>
      <c r="C342" s="17" t="str">
        <f>IFERROR(__xludf.DUMMYFUNCTION("""COMPUTED_VALUE"""),"Ton Balığı Parça Etli Konserve Kedi Yaş Maması 85 gr")</f>
        <v>Ton Balığı Parça Etli Konserve Kedi Yaş Maması 85 gr</v>
      </c>
      <c r="D342" s="17"/>
      <c r="E342" s="17" t="str">
        <f>IFERROR(__xludf.DUMMYFUNCTION("""COMPUTED_VALUE"""),"Kedi Konserve Maması")</f>
        <v>Kedi Konserve Maması</v>
      </c>
      <c r="F342" s="17">
        <f>IFERROR(__xludf.DUMMYFUNCTION("""COMPUTED_VALUE"""),825.0)</f>
        <v>825</v>
      </c>
      <c r="G342" s="17">
        <f>IFERROR(__xludf.DUMMYFUNCTION("""COMPUTED_VALUE"""),657.0)</f>
        <v>657</v>
      </c>
      <c r="H342" s="17">
        <f>IFERROR(__xludf.DUMMYFUNCTION("""COMPUTED_VALUE"""),97.0)</f>
        <v>97</v>
      </c>
      <c r="I342" s="17" t="str">
        <f>IFERROR(__xludf.DUMMYFUNCTION("""COMPUTED_VALUE"""),"Onayli")</f>
        <v>Onayli</v>
      </c>
      <c r="J342" s="40">
        <f>IF($A342="","",IFERROR(VLOOKUP($A342,'Maliyet Giris'!$A$2:$G$550,6,0),""))</f>
        <v>1</v>
      </c>
      <c r="K342" s="40">
        <f>IF($A342="","",IFERROR(VLOOKUP($A342,'Maliyet Giris'!$A$2:$G$550,7,0),""))</f>
        <v>3</v>
      </c>
    </row>
    <row r="343">
      <c r="A343" s="17">
        <f>IFERROR(__xludf.DUMMYFUNCTION("""COMPUTED_VALUE"""),8.684207631578E12)</f>
        <v>8684207631578</v>
      </c>
      <c r="B343" s="17" t="str">
        <f>IFERROR(__xludf.DUMMYFUNCTION("""COMPUTED_VALUE"""),"Supreme Cat")</f>
        <v>Supreme Cat</v>
      </c>
      <c r="C343" s="17" t="str">
        <f>IFERROR(__xludf.DUMMYFUNCTION("""COMPUTED_VALUE"""),"Karışık Parça Etli Konserve Kedi Yaş Maması 85 gr")</f>
        <v>Karışık Parça Etli Konserve Kedi Yaş Maması 85 gr</v>
      </c>
      <c r="D343" s="17"/>
      <c r="E343" s="17" t="str">
        <f>IFERROR(__xludf.DUMMYFUNCTION("""COMPUTED_VALUE"""),"Kedi Konserve Maması")</f>
        <v>Kedi Konserve Maması</v>
      </c>
      <c r="F343" s="17">
        <f>IFERROR(__xludf.DUMMYFUNCTION("""COMPUTED_VALUE"""),829.0)</f>
        <v>829</v>
      </c>
      <c r="G343" s="17">
        <f>IFERROR(__xludf.DUMMYFUNCTION("""COMPUTED_VALUE"""),746.1)</f>
        <v>746.1</v>
      </c>
      <c r="H343" s="17">
        <f>IFERROR(__xludf.DUMMYFUNCTION("""COMPUTED_VALUE"""),100.0)</f>
        <v>100</v>
      </c>
      <c r="I343" s="17" t="str">
        <f>IFERROR(__xludf.DUMMYFUNCTION("""COMPUTED_VALUE"""),"Onayli")</f>
        <v>Onayli</v>
      </c>
      <c r="J343" s="40">
        <f>IF($A343="","",IFERROR(VLOOKUP($A343,'Maliyet Giris'!$A$2:$G$550,6,0),""))</f>
        <v>1</v>
      </c>
      <c r="K343" s="40">
        <f>IF($A343="","",IFERROR(VLOOKUP($A343,'Maliyet Giris'!$A$2:$G$550,7,0),""))</f>
        <v>3</v>
      </c>
    </row>
    <row r="344">
      <c r="A344" s="17" t="str">
        <f>IFERROR(__xludf.DUMMYFUNCTION("""COMPUTED_VALUE"""),"TYB0E7Z1V7YN95FX85")</f>
        <v>TYB0E7Z1V7YN95FX85</v>
      </c>
      <c r="B344" s="17" t="str">
        <f>IFERROR(__xludf.DUMMYFUNCTION("""COMPUTED_VALUE"""),"Supreme Cat")</f>
        <v>Supreme Cat</v>
      </c>
      <c r="C344" s="17" t="str">
        <f>IFERROR(__xludf.DUMMYFUNCTION("""COMPUTED_VALUE"""),"Ton Balığı &amp; Karides Parça Etli Konserve Kedi Yaş Maması 85 gr")</f>
        <v>Ton Balığı &amp; Karides Parça Etli Konserve Kedi Yaş Maması 85 gr</v>
      </c>
      <c r="D344" s="17"/>
      <c r="E344" s="17" t="str">
        <f>IFERROR(__xludf.DUMMYFUNCTION("""COMPUTED_VALUE"""),"Kedi Konserve Maması")</f>
        <v>Kedi Konserve Maması</v>
      </c>
      <c r="F344" s="17">
        <f>IFERROR(__xludf.DUMMYFUNCTION("""COMPUTED_VALUE"""),825.0)</f>
        <v>825</v>
      </c>
      <c r="G344" s="17">
        <f>IFERROR(__xludf.DUMMYFUNCTION("""COMPUTED_VALUE"""),490.5)</f>
        <v>490.5</v>
      </c>
      <c r="H344" s="17">
        <f>IFERROR(__xludf.DUMMYFUNCTION("""COMPUTED_VALUE"""),100.0)</f>
        <v>100</v>
      </c>
      <c r="I344" s="17" t="str">
        <f>IFERROR(__xludf.DUMMYFUNCTION("""COMPUTED_VALUE"""),"Onayli")</f>
        <v>Onayli</v>
      </c>
      <c r="J344" s="40">
        <f>IF($A344="","",IFERROR(VLOOKUP($A344,'Maliyet Giris'!$A$2:$G$550,6,0),""))</f>
        <v>1</v>
      </c>
      <c r="K344" s="40">
        <f>IF($A344="","",IFERROR(VLOOKUP($A344,'Maliyet Giris'!$A$2:$G$550,7,0),""))</f>
        <v>3</v>
      </c>
    </row>
    <row r="345">
      <c r="A345" s="17">
        <f>IFERROR(__xludf.DUMMYFUNCTION("""COMPUTED_VALUE"""),8.684207638288E12)</f>
        <v>8684207638288</v>
      </c>
      <c r="B345" s="17" t="str">
        <f>IFERROR(__xludf.DUMMYFUNCTION("""COMPUTED_VALUE"""),"Supreme Cat")</f>
        <v>Supreme Cat</v>
      </c>
      <c r="C345" s="17" t="str">
        <f>IFERROR(__xludf.DUMMYFUNCTION("""COMPUTED_VALUE"""),"Karışık Kıyılmış Konserve Kedi Yaş Maması 85gr")</f>
        <v>Karışık Kıyılmış Konserve Kedi Yaş Maması 85gr</v>
      </c>
      <c r="D345" s="17"/>
      <c r="E345" s="17" t="str">
        <f>IFERROR(__xludf.DUMMYFUNCTION("""COMPUTED_VALUE"""),"Kedi Konserve Maması")</f>
        <v>Kedi Konserve Maması</v>
      </c>
      <c r="F345" s="17">
        <f>IFERROR(__xludf.DUMMYFUNCTION("""COMPUTED_VALUE"""),829.0)</f>
        <v>829</v>
      </c>
      <c r="G345" s="17">
        <f>IFERROR(__xludf.DUMMYFUNCTION("""COMPUTED_VALUE"""),585.0)</f>
        <v>585</v>
      </c>
      <c r="H345" s="17">
        <f>IFERROR(__xludf.DUMMYFUNCTION("""COMPUTED_VALUE"""),100.0)</f>
        <v>100</v>
      </c>
      <c r="I345" s="17" t="str">
        <f>IFERROR(__xludf.DUMMYFUNCTION("""COMPUTED_VALUE"""),"Onayli")</f>
        <v>Onayli</v>
      </c>
      <c r="J345" s="40">
        <f>IF($A345="","",IFERROR(VLOOKUP($A345,'Maliyet Giris'!$A$2:$G$550,6,0),""))</f>
        <v>1</v>
      </c>
      <c r="K345" s="40">
        <f>IF($A345="","",IFERROR(VLOOKUP($A345,'Maliyet Giris'!$A$2:$G$550,7,0),""))</f>
        <v>3</v>
      </c>
    </row>
    <row r="346">
      <c r="A346" s="17" t="str">
        <f>IFERROR(__xludf.DUMMYFUNCTION("""COMPUTED_VALUE"""),"6923632570212-1")</f>
        <v>6923632570212-1</v>
      </c>
      <c r="B346" s="17" t="str">
        <f>IFERROR(__xludf.DUMMYFUNCTION("""COMPUTED_VALUE"""),"PetFix")</f>
        <v>PetFix</v>
      </c>
      <c r="C346" s="17" t="str">
        <f>IFERROR(__xludf.DUMMYFUNCTION("""COMPUTED_VALUE"""),"2si 1 arada Yeni Nesil Mama ve Su Kabı")</f>
        <v>2si 1 arada Yeni Nesil Mama ve Su Kabı</v>
      </c>
      <c r="D346" s="17"/>
      <c r="E346" s="17" t="str">
        <f>IFERROR(__xludf.DUMMYFUNCTION("""COMPUTED_VALUE"""),"Kedi ve Köpek Mama Su Kabı")</f>
        <v>Kedi ve Köpek Mama Su Kabı</v>
      </c>
      <c r="F346" s="17">
        <f>IFERROR(__xludf.DUMMYFUNCTION("""COMPUTED_VALUE"""),793.0)</f>
        <v>793</v>
      </c>
      <c r="G346" s="17"/>
      <c r="H346" s="17">
        <f>IFERROR(__xludf.DUMMYFUNCTION("""COMPUTED_VALUE"""),0.0)</f>
        <v>0</v>
      </c>
      <c r="I346" s="17" t="str">
        <f>IFERROR(__xludf.DUMMYFUNCTION("""COMPUTED_VALUE"""),"Onayli - Satista degil")</f>
        <v>Onayli - Satista degil</v>
      </c>
      <c r="J346" s="40">
        <f>IF($A346="","",IFERROR(VLOOKUP($A346,'Maliyet Giris'!$A$2:$G$550,6,0),""))</f>
        <v>100</v>
      </c>
      <c r="K346" s="40">
        <f>IF($A346="","",IFERROR(VLOOKUP($A346,'Maliyet Giris'!$A$2:$G$550,7,0),""))</f>
        <v>1</v>
      </c>
    </row>
    <row r="347">
      <c r="A347" s="17">
        <f>IFERROR(__xludf.DUMMYFUNCTION("""COMPUTED_VALUE"""),6.923632570212E12)</f>
        <v>6923632570212</v>
      </c>
      <c r="B347" s="17" t="str">
        <f>IFERROR(__xludf.DUMMYFUNCTION("""COMPUTED_VALUE"""),"PetFix")</f>
        <v>PetFix</v>
      </c>
      <c r="C347" s="17" t="str">
        <f>IFERROR(__xludf.DUMMYFUNCTION("""COMPUTED_VALUE"""),"2si 1 arada Yeni Nesil Mama ve Su Kabı")</f>
        <v>2si 1 arada Yeni Nesil Mama ve Su Kabı</v>
      </c>
      <c r="D347" s="17"/>
      <c r="E347" s="17" t="str">
        <f>IFERROR(__xludf.DUMMYFUNCTION("""COMPUTED_VALUE"""),"Kedi ve Köpek Mama Su Kabı")</f>
        <v>Kedi ve Köpek Mama Su Kabı</v>
      </c>
      <c r="F347" s="17">
        <f>IFERROR(__xludf.DUMMYFUNCTION("""COMPUTED_VALUE"""),0.0)</f>
        <v>0</v>
      </c>
      <c r="G347" s="17"/>
      <c r="H347" s="17">
        <f>IFERROR(__xludf.DUMMYFUNCTION("""COMPUTED_VALUE"""),0.0)</f>
        <v>0</v>
      </c>
      <c r="I347" s="17" t="str">
        <f>IFERROR(__xludf.DUMMYFUNCTION("""COMPUTED_VALUE"""),"Onayli - Satista degil")</f>
        <v>Onayli - Satista degil</v>
      </c>
      <c r="J347" s="40">
        <f>IF($A347="","",IFERROR(VLOOKUP($A347,'Maliyet Giris'!$A$2:$G$550,6,0),""))</f>
        <v>100</v>
      </c>
      <c r="K347" s="40">
        <f>IF($A347="","",IFERROR(VLOOKUP($A347,'Maliyet Giris'!$A$2:$G$550,7,0),""))</f>
        <v>1</v>
      </c>
    </row>
    <row r="348">
      <c r="A348" s="17">
        <f>IFERROR(__xludf.DUMMYFUNCTION("""COMPUTED_VALUE"""),6.923632570003E12)</f>
        <v>6923632570003</v>
      </c>
      <c r="B348" s="17" t="str">
        <f>IFERROR(__xludf.DUMMYFUNCTION("""COMPUTED_VALUE"""),"PetFix")</f>
        <v>PetFix</v>
      </c>
      <c r="C348" s="17" t="str">
        <f>IFERROR(__xludf.DUMMYFUNCTION("""COMPUTED_VALUE"""),"Anti-Servikal 4 Ayaklı Kedi ve Köpek Mama &amp; Su Kabı")</f>
        <v>Anti-Servikal 4 Ayaklı Kedi ve Köpek Mama &amp; Su Kabı</v>
      </c>
      <c r="D348" s="17"/>
      <c r="E348" s="17" t="str">
        <f>IFERROR(__xludf.DUMMYFUNCTION("""COMPUTED_VALUE"""),"Kedi ve Köpek Mama Su Kabı")</f>
        <v>Kedi ve Köpek Mama Su Kabı</v>
      </c>
      <c r="F348" s="17">
        <f>IFERROR(__xludf.DUMMYFUNCTION("""COMPUTED_VALUE"""),489.0)</f>
        <v>489</v>
      </c>
      <c r="G348" s="17">
        <f>IFERROR(__xludf.DUMMYFUNCTION("""COMPUTED_VALUE"""),489.0)</f>
        <v>489</v>
      </c>
      <c r="H348" s="17">
        <f>IFERROR(__xludf.DUMMYFUNCTION("""COMPUTED_VALUE"""),12.0)</f>
        <v>12</v>
      </c>
      <c r="I348" s="17" t="str">
        <f>IFERROR(__xludf.DUMMYFUNCTION("""COMPUTED_VALUE"""),"Onayli")</f>
        <v>Onayli</v>
      </c>
      <c r="J348" s="40">
        <f>IF($A348="","",IFERROR(VLOOKUP($A348,'Maliyet Giris'!$A$2:$G$550,6,0),""))</f>
        <v>130</v>
      </c>
      <c r="K348" s="40">
        <f>IF($A348="","",IFERROR(VLOOKUP($A348,'Maliyet Giris'!$A$2:$G$550,7,0),""))</f>
        <v>1</v>
      </c>
    </row>
    <row r="349">
      <c r="A349" s="17">
        <f>IFERROR(__xludf.DUMMYFUNCTION("""COMPUTED_VALUE"""),6.923632570001E12)</f>
        <v>6923632570001</v>
      </c>
      <c r="B349" s="17" t="str">
        <f>IFERROR(__xludf.DUMMYFUNCTION("""COMPUTED_VALUE"""),"PetFix")</f>
        <v>PetFix</v>
      </c>
      <c r="C349" s="17" t="str">
        <f>IFERROR(__xludf.DUMMYFUNCTION("""COMPUTED_VALUE"""),"Anti-Servikal 4 Ayaklı Kedi ve Köpek Mama &amp; Su Kabı")</f>
        <v>Anti-Servikal 4 Ayaklı Kedi ve Köpek Mama &amp; Su Kabı</v>
      </c>
      <c r="D349" s="17"/>
      <c r="E349" s="17" t="str">
        <f>IFERROR(__xludf.DUMMYFUNCTION("""COMPUTED_VALUE"""),"Kedi ve Köpek Mama Su Kabı")</f>
        <v>Kedi ve Köpek Mama Su Kabı</v>
      </c>
      <c r="F349" s="17">
        <f>IFERROR(__xludf.DUMMYFUNCTION("""COMPUTED_VALUE"""),474.47)</f>
        <v>474.47</v>
      </c>
      <c r="G349" s="17">
        <f>IFERROR(__xludf.DUMMYFUNCTION("""COMPUTED_VALUE"""),474.47)</f>
        <v>474.47</v>
      </c>
      <c r="H349" s="17">
        <f>IFERROR(__xludf.DUMMYFUNCTION("""COMPUTED_VALUE"""),43.0)</f>
        <v>43</v>
      </c>
      <c r="I349" s="17" t="str">
        <f>IFERROR(__xludf.DUMMYFUNCTION("""COMPUTED_VALUE"""),"Onayli")</f>
        <v>Onayli</v>
      </c>
      <c r="J349" s="40">
        <f>IF($A349="","",IFERROR(VLOOKUP($A349,'Maliyet Giris'!$A$2:$G$550,6,0),""))</f>
        <v>130</v>
      </c>
      <c r="K349" s="40">
        <f>IF($A349="","",IFERROR(VLOOKUP($A349,'Maliyet Giris'!$A$2:$G$550,7,0),""))</f>
        <v>1</v>
      </c>
    </row>
    <row r="350">
      <c r="A350" s="17">
        <f>IFERROR(__xludf.DUMMYFUNCTION("""COMPUTED_VALUE"""),6.923632570002E12)</f>
        <v>6923632570002</v>
      </c>
      <c r="B350" s="17" t="str">
        <f>IFERROR(__xludf.DUMMYFUNCTION("""COMPUTED_VALUE"""),"PetFix")</f>
        <v>PetFix</v>
      </c>
      <c r="C350" s="17" t="str">
        <f>IFERROR(__xludf.DUMMYFUNCTION("""COMPUTED_VALUE"""),"Anti-Servikal 4 Ayaklı Kedi ve Köpek Mama &amp; Su Kabı")</f>
        <v>Anti-Servikal 4 Ayaklı Kedi ve Köpek Mama &amp; Su Kabı</v>
      </c>
      <c r="D350" s="17"/>
      <c r="E350" s="17" t="str">
        <f>IFERROR(__xludf.DUMMYFUNCTION("""COMPUTED_VALUE"""),"Kedi ve Köpek Mama Su Kabı")</f>
        <v>Kedi ve Köpek Mama Su Kabı</v>
      </c>
      <c r="F350" s="17">
        <f>IFERROR(__xludf.DUMMYFUNCTION("""COMPUTED_VALUE"""),489.0)</f>
        <v>489</v>
      </c>
      <c r="G350" s="17"/>
      <c r="H350" s="17">
        <f>IFERROR(__xludf.DUMMYFUNCTION("""COMPUTED_VALUE"""),0.0)</f>
        <v>0</v>
      </c>
      <c r="I350" s="17" t="str">
        <f>IFERROR(__xludf.DUMMYFUNCTION("""COMPUTED_VALUE"""),"Onayli - Satista degil")</f>
        <v>Onayli - Satista degil</v>
      </c>
      <c r="J350" s="40">
        <f>IF($A350="","",IFERROR(VLOOKUP($A350,'Maliyet Giris'!$A$2:$G$550,6,0),""))</f>
        <v>130</v>
      </c>
      <c r="K350" s="40">
        <f>IF($A350="","",IFERROR(VLOOKUP($A350,'Maliyet Giris'!$A$2:$G$550,7,0),""))</f>
        <v>1</v>
      </c>
    </row>
    <row r="351">
      <c r="A351" s="17">
        <f>IFERROR(__xludf.DUMMYFUNCTION("""COMPUTED_VALUE"""),1.5226829252E10)</f>
        <v>15226829252</v>
      </c>
      <c r="B351" s="17" t="str">
        <f>IFERROR(__xludf.DUMMYFUNCTION("""COMPUTED_VALUE"""),"Royal Canin")</f>
        <v>Royal Canin</v>
      </c>
      <c r="C351" s="17" t="str">
        <f>IFERROR(__xludf.DUMMYFUNCTION("""COMPUTED_VALUE"""),"Persian Kedi Kuru Maması 10 kg")</f>
        <v>Persian Kedi Kuru Maması 10 kg</v>
      </c>
      <c r="D351" s="17"/>
      <c r="E351" s="17" t="str">
        <f>IFERROR(__xludf.DUMMYFUNCTION("""COMPUTED_VALUE"""),"Kedi Oyuncağı")</f>
        <v>Kedi Oyuncağı</v>
      </c>
      <c r="F351" s="17">
        <f>IFERROR(__xludf.DUMMYFUNCTION("""COMPUTED_VALUE"""),4650.0)</f>
        <v>4650</v>
      </c>
      <c r="G351" s="17"/>
      <c r="H351" s="17">
        <f>IFERROR(__xludf.DUMMYFUNCTION("""COMPUTED_VALUE"""),0.0)</f>
        <v>0</v>
      </c>
      <c r="I351" s="17" t="str">
        <f>IFERROR(__xludf.DUMMYFUNCTION("""COMPUTED_VALUE"""),"Onayli - Satista degil")</f>
        <v>Onayli - Satista degil</v>
      </c>
      <c r="J351" s="40">
        <f>IF($A351="","",IFERROR(VLOOKUP($A351,'Maliyet Giris'!$A$2:$G$550,6,0),""))</f>
        <v>4800</v>
      </c>
      <c r="K351" s="40">
        <f>IF($A351="","",IFERROR(VLOOKUP($A351,'Maliyet Giris'!$A$2:$G$550,7,0),""))</f>
        <v>1</v>
      </c>
    </row>
    <row r="352">
      <c r="A352" s="17">
        <f>IFERROR(__xludf.DUMMYFUNCTION("""COMPUTED_VALUE"""),6.92363257012E12)</f>
        <v>6923632570120</v>
      </c>
      <c r="B352" s="17" t="str">
        <f>IFERROR(__xludf.DUMMYFUNCTION("""COMPUTED_VALUE"""),"PetFix")</f>
        <v>PetFix</v>
      </c>
      <c r="C352" s="17" t="str">
        <f>IFERROR(__xludf.DUMMYFUNCTION("""COMPUTED_VALUE"""),"2'li Pabuçlu , Kedi ve Köpek Mama ve Su Kabı")</f>
        <v>2'li Pabuçlu , Kedi ve Köpek Mama ve Su Kabı</v>
      </c>
      <c r="D352" s="17" t="str">
        <f>IFERROR(__xludf.DUMMYFUNCTION("""COMPUTED_VALUE"""),"YB-012")</f>
        <v>YB-012</v>
      </c>
      <c r="E352" s="17" t="str">
        <f>IFERROR(__xludf.DUMMYFUNCTION("""COMPUTED_VALUE"""),"Kedi ve Köpek Mama Su Kabı")</f>
        <v>Kedi ve Köpek Mama Su Kabı</v>
      </c>
      <c r="F352" s="17">
        <f>IFERROR(__xludf.DUMMYFUNCTION("""COMPUTED_VALUE"""),897.45)</f>
        <v>897.45</v>
      </c>
      <c r="G352" s="17"/>
      <c r="H352" s="17">
        <f>IFERROR(__xludf.DUMMYFUNCTION("""COMPUTED_VALUE"""),0.0)</f>
        <v>0</v>
      </c>
      <c r="I352" s="17" t="str">
        <f>IFERROR(__xludf.DUMMYFUNCTION("""COMPUTED_VALUE"""),"Onayli - Satista degil")</f>
        <v>Onayli - Satista degil</v>
      </c>
      <c r="J352" s="40">
        <f>IF($A352="","",IFERROR(VLOOKUP($A352,'Maliyet Giris'!$A$2:$G$550,6,0),""))</f>
        <v>300</v>
      </c>
      <c r="K352" s="40">
        <f>IF($A352="","",IFERROR(VLOOKUP($A352,'Maliyet Giris'!$A$2:$G$550,7,0),""))</f>
        <v>1</v>
      </c>
    </row>
    <row r="353">
      <c r="A353" s="17" t="str">
        <f>IFERROR(__xludf.DUMMYFUNCTION("""COMPUTED_VALUE"""),"6923632570229-1")</f>
        <v>6923632570229-1</v>
      </c>
      <c r="B353" s="17" t="str">
        <f>IFERROR(__xludf.DUMMYFUNCTION("""COMPUTED_VALUE"""),"PetFix")</f>
        <v>PetFix</v>
      </c>
      <c r="C353" s="17" t="str">
        <f>IFERROR(__xludf.DUMMYFUNCTION("""COMPUTED_VALUE"""),"2si 1 arada Yeni Nesil Mama ve Su Kabı")</f>
        <v>2si 1 arada Yeni Nesil Mama ve Su Kabı</v>
      </c>
      <c r="D353" s="17" t="str">
        <f>IFERROR(__xludf.DUMMYFUNCTION("""COMPUTED_VALUE"""),"YB-020-1")</f>
        <v>YB-020-1</v>
      </c>
      <c r="E353" s="17" t="str">
        <f>IFERROR(__xludf.DUMMYFUNCTION("""COMPUTED_VALUE"""),"Kedi ve Köpek Mama Su Kabı")</f>
        <v>Kedi ve Köpek Mama Su Kabı</v>
      </c>
      <c r="F353" s="17">
        <f>IFERROR(__xludf.DUMMYFUNCTION("""COMPUTED_VALUE"""),987.0)</f>
        <v>987</v>
      </c>
      <c r="G353" s="17"/>
      <c r="H353" s="17">
        <f>IFERROR(__xludf.DUMMYFUNCTION("""COMPUTED_VALUE"""),0.0)</f>
        <v>0</v>
      </c>
      <c r="I353" s="17" t="str">
        <f>IFERROR(__xludf.DUMMYFUNCTION("""COMPUTED_VALUE"""),"Onayli - Satista degil")</f>
        <v>Onayli - Satista degil</v>
      </c>
      <c r="J353" s="40">
        <f>IF($A353="","",IFERROR(VLOOKUP($A353,'Maliyet Giris'!$A$2:$G$550,6,0),""))</f>
        <v>100</v>
      </c>
      <c r="K353" s="40">
        <f>IF($A353="","",IFERROR(VLOOKUP($A353,'Maliyet Giris'!$A$2:$G$550,7,0),""))</f>
        <v>1</v>
      </c>
    </row>
    <row r="354">
      <c r="A354" s="17" t="str">
        <f>IFERROR(__xludf.DUMMYFUNCTION("""COMPUTED_VALUE"""),"6923632570229-2")</f>
        <v>6923632570229-2</v>
      </c>
      <c r="B354" s="17" t="str">
        <f>IFERROR(__xludf.DUMMYFUNCTION("""COMPUTED_VALUE"""),"PetFix")</f>
        <v>PetFix</v>
      </c>
      <c r="C354" s="17" t="str">
        <f>IFERROR(__xludf.DUMMYFUNCTION("""COMPUTED_VALUE"""),"2si 1 arada Yeni Nesil Mama ve Su Kabı")</f>
        <v>2si 1 arada Yeni Nesil Mama ve Su Kabı</v>
      </c>
      <c r="D354" s="17" t="str">
        <f>IFERROR(__xludf.DUMMYFUNCTION("""COMPUTED_VALUE"""),"YB-020-2")</f>
        <v>YB-020-2</v>
      </c>
      <c r="E354" s="17" t="str">
        <f>IFERROR(__xludf.DUMMYFUNCTION("""COMPUTED_VALUE"""),"Kedi ve Köpek Mama Su Kabı")</f>
        <v>Kedi ve Köpek Mama Su Kabı</v>
      </c>
      <c r="F354" s="17">
        <f>IFERROR(__xludf.DUMMYFUNCTION("""COMPUTED_VALUE"""),987.0)</f>
        <v>987</v>
      </c>
      <c r="G354" s="17"/>
      <c r="H354" s="17">
        <f>IFERROR(__xludf.DUMMYFUNCTION("""COMPUTED_VALUE"""),0.0)</f>
        <v>0</v>
      </c>
      <c r="I354" s="17" t="str">
        <f>IFERROR(__xludf.DUMMYFUNCTION("""COMPUTED_VALUE"""),"Onayli - Satista degil")</f>
        <v>Onayli - Satista degil</v>
      </c>
      <c r="J354" s="40">
        <f>IF($A354="","",IFERROR(VLOOKUP($A354,'Maliyet Giris'!$A$2:$G$550,6,0),""))</f>
        <v>100</v>
      </c>
      <c r="K354" s="40">
        <f>IF($A354="","",IFERROR(VLOOKUP($A354,'Maliyet Giris'!$A$2:$G$550,7,0),""))</f>
        <v>1</v>
      </c>
    </row>
    <row r="355">
      <c r="A355" s="17">
        <f>IFERROR(__xludf.DUMMYFUNCTION("""COMPUTED_VALUE"""),6.923632570229E12)</f>
        <v>6923632570229</v>
      </c>
      <c r="B355" s="17" t="str">
        <f>IFERROR(__xludf.DUMMYFUNCTION("""COMPUTED_VALUE"""),"PetFix")</f>
        <v>PetFix</v>
      </c>
      <c r="C355" s="17" t="str">
        <f>IFERROR(__xludf.DUMMYFUNCTION("""COMPUTED_VALUE"""),"2si 1 arada Yeni Nesil Mama ve Su Kabı")</f>
        <v>2si 1 arada Yeni Nesil Mama ve Su Kabı</v>
      </c>
      <c r="D355" s="17" t="str">
        <f>IFERROR(__xludf.DUMMYFUNCTION("""COMPUTED_VALUE"""),"YB-020")</f>
        <v>YB-020</v>
      </c>
      <c r="E355" s="17" t="str">
        <f>IFERROR(__xludf.DUMMYFUNCTION("""COMPUTED_VALUE"""),"Kedi ve Köpek Mama Su Kabı")</f>
        <v>Kedi ve Köpek Mama Su Kabı</v>
      </c>
      <c r="F355" s="17">
        <f>IFERROR(__xludf.DUMMYFUNCTION("""COMPUTED_VALUE"""),987.0)</f>
        <v>987</v>
      </c>
      <c r="G355" s="17"/>
      <c r="H355" s="17">
        <f>IFERROR(__xludf.DUMMYFUNCTION("""COMPUTED_VALUE"""),0.0)</f>
        <v>0</v>
      </c>
      <c r="I355" s="17" t="str">
        <f>IFERROR(__xludf.DUMMYFUNCTION("""COMPUTED_VALUE"""),"Onayli - Satista degil")</f>
        <v>Onayli - Satista degil</v>
      </c>
      <c r="J355" s="40">
        <f>IF($A355="","",IFERROR(VLOOKUP($A355,'Maliyet Giris'!$A$2:$G$550,6,0),""))</f>
        <v>100</v>
      </c>
      <c r="K355" s="40">
        <f>IF($A355="","",IFERROR(VLOOKUP($A355,'Maliyet Giris'!$A$2:$G$550,7,0),""))</f>
        <v>1</v>
      </c>
    </row>
    <row r="356">
      <c r="A356" s="17">
        <f>IFERROR(__xludf.DUMMYFUNCTION("""COMPUTED_VALUE"""),3.182550726948E12)</f>
        <v>3182550726948</v>
      </c>
      <c r="B356" s="17" t="str">
        <f>IFERROR(__xludf.DUMMYFUNCTION("""COMPUTED_VALUE"""),"Royal Canin")</f>
        <v>Royal Canin</v>
      </c>
      <c r="C356" s="17" t="str">
        <f>IFERROR(__xludf.DUMMYFUNCTION("""COMPUTED_VALUE"""),"Kitten Yavru Kedi Maması 400 400 gr")</f>
        <v>Kitten Yavru Kedi Maması 400 400 gr</v>
      </c>
      <c r="D356" s="17"/>
      <c r="E356" s="17" t="str">
        <f>IFERROR(__xludf.DUMMYFUNCTION("""COMPUTED_VALUE"""),"Kedi Kuru Maması")</f>
        <v>Kedi Kuru Maması</v>
      </c>
      <c r="F356" s="17">
        <f>IFERROR(__xludf.DUMMYFUNCTION("""COMPUTED_VALUE"""),0.0)</f>
        <v>0</v>
      </c>
      <c r="G356" s="17"/>
      <c r="H356" s="17">
        <f>IFERROR(__xludf.DUMMYFUNCTION("""COMPUTED_VALUE"""),0.0)</f>
        <v>0</v>
      </c>
      <c r="I356" s="17" t="str">
        <f>IFERROR(__xludf.DUMMYFUNCTION("""COMPUTED_VALUE"""),"Onayli - Satista degil")</f>
        <v>Onayli - Satista degil</v>
      </c>
      <c r="J356" s="40">
        <f>IF($A356="","",IFERROR(VLOOKUP($A356,'Maliyet Giris'!$A$2:$G$550,6,0),""))</f>
        <v>1</v>
      </c>
      <c r="K356" s="40">
        <f>IF($A356="","",IFERROR(VLOOKUP($A356,'Maliyet Giris'!$A$2:$G$550,7,0),""))</f>
        <v>3</v>
      </c>
    </row>
    <row r="357">
      <c r="A357" s="17" t="str">
        <f>IFERROR(__xludf.DUMMYFUNCTION("""COMPUTED_VALUE"""),"K973TEWG6YHWS")</f>
        <v>K973TEWG6YHWS</v>
      </c>
      <c r="B357" s="17" t="str">
        <f>IFERROR(__xludf.DUMMYFUNCTION("""COMPUTED_VALUE"""),"CMT")</f>
        <v>CMT</v>
      </c>
      <c r="C357" s="17" t="str">
        <f>IFERROR(__xludf.DUMMYFUNCTION("""COMPUTED_VALUE"""),"Köpek Diş Fırçası Isırma Aparatı Diş Kaşıma Oyuncağı Küçük Boy")</f>
        <v>Köpek Diş Fırçası Isırma Aparatı Diş Kaşıma Oyuncağı Küçük Boy</v>
      </c>
      <c r="D357" s="17"/>
      <c r="E357" s="17" t="str">
        <f>IFERROR(__xludf.DUMMYFUNCTION("""COMPUTED_VALUE"""),"Köpek Oyuncağı")</f>
        <v>Köpek Oyuncağı</v>
      </c>
      <c r="F357" s="17">
        <f>IFERROR(__xludf.DUMMYFUNCTION("""COMPUTED_VALUE"""),155.0)</f>
        <v>155</v>
      </c>
      <c r="G357" s="17"/>
      <c r="H357" s="17">
        <f>IFERROR(__xludf.DUMMYFUNCTION("""COMPUTED_VALUE"""),0.0)</f>
        <v>0</v>
      </c>
      <c r="I357" s="17" t="str">
        <f>IFERROR(__xludf.DUMMYFUNCTION("""COMPUTED_VALUE"""),"Onayli - Satista degil")</f>
        <v>Onayli - Satista degil</v>
      </c>
      <c r="J357" s="40">
        <f>IF($A357="","",IFERROR(VLOOKUP($A357,'Maliyet Giris'!$A$2:$G$550,6,0),""))</f>
        <v>10</v>
      </c>
      <c r="K357" s="40">
        <f>IF($A357="","",IFERROR(VLOOKUP($A357,'Maliyet Giris'!$A$2:$G$550,7,0),""))</f>
        <v>1</v>
      </c>
    </row>
    <row r="358">
      <c r="A358" s="17">
        <f>IFERROR(__xludf.DUMMYFUNCTION("""COMPUTED_VALUE"""),-2.291811331E9)</f>
        <v>-2291811331</v>
      </c>
      <c r="B358" s="17" t="str">
        <f>IFERROR(__xludf.DUMMYFUNCTION("""COMPUTED_VALUE"""),"Royal Canin")</f>
        <v>Royal Canin</v>
      </c>
      <c r="C358" s="17" t="str">
        <f>IFERROR(__xludf.DUMMYFUNCTION("""COMPUTED_VALUE"""),"Urinary S/O Kedi Maması 7 Kg")</f>
        <v>Urinary S/O Kedi Maması 7 Kg</v>
      </c>
      <c r="D358" s="17"/>
      <c r="E358" s="17" t="str">
        <f>IFERROR(__xludf.DUMMYFUNCTION("""COMPUTED_VALUE"""),"Kedi Oyuncağı")</f>
        <v>Kedi Oyuncağı</v>
      </c>
      <c r="F358" s="17">
        <f>IFERROR(__xludf.DUMMYFUNCTION("""COMPUTED_VALUE"""),0.0)</f>
        <v>0</v>
      </c>
      <c r="G358" s="17"/>
      <c r="H358" s="17">
        <f>IFERROR(__xludf.DUMMYFUNCTION("""COMPUTED_VALUE"""),0.0)</f>
        <v>0</v>
      </c>
      <c r="I358" s="17" t="str">
        <f>IFERROR(__xludf.DUMMYFUNCTION("""COMPUTED_VALUE"""),"Onayli - Satista degil")</f>
        <v>Onayli - Satista degil</v>
      </c>
      <c r="J358" s="40">
        <f>IF($A358="","",IFERROR(VLOOKUP($A358,'Maliyet Giris'!$A$2:$G$550,6,0),""))</f>
        <v>2600</v>
      </c>
      <c r="K358" s="40">
        <f>IF($A358="","",IFERROR(VLOOKUP($A358,'Maliyet Giris'!$A$2:$G$550,7,0),""))</f>
        <v>1</v>
      </c>
    </row>
    <row r="359">
      <c r="A359" s="17">
        <f>IFERROR(__xludf.DUMMYFUNCTION("""COMPUTED_VALUE"""),6.923632570205E12)</f>
        <v>6923632570205</v>
      </c>
      <c r="B359" s="17" t="str">
        <f>IFERROR(__xludf.DUMMYFUNCTION("""COMPUTED_VALUE"""),"PetFix")</f>
        <v>PetFix</v>
      </c>
      <c r="C359" s="17" t="str">
        <f>IFERROR(__xludf.DUMMYFUNCTION("""COMPUTED_VALUE"""),"2in1 Otomatik Kedi &amp; Köpek Mama ve Su Kabı")</f>
        <v>2in1 Otomatik Kedi &amp; Köpek Mama ve Su Kabı</v>
      </c>
      <c r="D359" s="17" t="str">
        <f>IFERROR(__xludf.DUMMYFUNCTION("""COMPUTED_VALUE"""),"YB-020")</f>
        <v>YB-020</v>
      </c>
      <c r="E359" s="17" t="str">
        <f>IFERROR(__xludf.DUMMYFUNCTION("""COMPUTED_VALUE"""),"Kedi ve Köpek Mama Su Kabı")</f>
        <v>Kedi ve Köpek Mama Su Kabı</v>
      </c>
      <c r="F359" s="17">
        <f>IFERROR(__xludf.DUMMYFUNCTION("""COMPUTED_VALUE"""),775.0)</f>
        <v>775</v>
      </c>
      <c r="G359" s="17"/>
      <c r="H359" s="17">
        <f>IFERROR(__xludf.DUMMYFUNCTION("""COMPUTED_VALUE"""),0.0)</f>
        <v>0</v>
      </c>
      <c r="I359" s="17" t="str">
        <f>IFERROR(__xludf.DUMMYFUNCTION("""COMPUTED_VALUE"""),"Onayli - Satista degil")</f>
        <v>Onayli - Satista degil</v>
      </c>
      <c r="J359" s="40">
        <f>IF($A359="","",IFERROR(VLOOKUP($A359,'Maliyet Giris'!$A$2:$G$550,6,0),""))</f>
        <v>100</v>
      </c>
      <c r="K359" s="40">
        <f>IF($A359="","",IFERROR(VLOOKUP($A359,'Maliyet Giris'!$A$2:$G$550,7,0),""))</f>
        <v>1</v>
      </c>
    </row>
    <row r="360">
      <c r="A360" s="17" t="str">
        <f>IFERROR(__xludf.DUMMYFUNCTION("""COMPUTED_VALUE"""),"6923632570205-2")</f>
        <v>6923632570205-2</v>
      </c>
      <c r="B360" s="17" t="str">
        <f>IFERROR(__xludf.DUMMYFUNCTION("""COMPUTED_VALUE"""),"PetFix")</f>
        <v>PetFix</v>
      </c>
      <c r="C360" s="17" t="str">
        <f>IFERROR(__xludf.DUMMYFUNCTION("""COMPUTED_VALUE"""),"2in1 Otomatik Kedi &amp; Köpek Mama ve Su Kabı")</f>
        <v>2in1 Otomatik Kedi &amp; Köpek Mama ve Su Kabı</v>
      </c>
      <c r="D360" s="17" t="str">
        <f>IFERROR(__xludf.DUMMYFUNCTION("""COMPUTED_VALUE"""),"YB-020")</f>
        <v>YB-020</v>
      </c>
      <c r="E360" s="17" t="str">
        <f>IFERROR(__xludf.DUMMYFUNCTION("""COMPUTED_VALUE"""),"Kedi ve Köpek Mama Su Kabı")</f>
        <v>Kedi ve Köpek Mama Su Kabı</v>
      </c>
      <c r="F360" s="17">
        <f>IFERROR(__xludf.DUMMYFUNCTION("""COMPUTED_VALUE"""),775.0)</f>
        <v>775</v>
      </c>
      <c r="G360" s="17"/>
      <c r="H360" s="17">
        <f>IFERROR(__xludf.DUMMYFUNCTION("""COMPUTED_VALUE"""),0.0)</f>
        <v>0</v>
      </c>
      <c r="I360" s="17" t="str">
        <f>IFERROR(__xludf.DUMMYFUNCTION("""COMPUTED_VALUE"""),"Onayli - Satista degil")</f>
        <v>Onayli - Satista degil</v>
      </c>
      <c r="J360" s="40">
        <f>IF($A360="","",IFERROR(VLOOKUP($A360,'Maliyet Giris'!$A$2:$G$550,6,0),""))</f>
        <v>100</v>
      </c>
      <c r="K360" s="40">
        <f>IF($A360="","",IFERROR(VLOOKUP($A360,'Maliyet Giris'!$A$2:$G$550,7,0),""))</f>
        <v>1</v>
      </c>
    </row>
    <row r="361">
      <c r="A361" s="17" t="str">
        <f>IFERROR(__xludf.DUMMYFUNCTION("""COMPUTED_VALUE"""),"6923632570205-1")</f>
        <v>6923632570205-1</v>
      </c>
      <c r="B361" s="17" t="str">
        <f>IFERROR(__xludf.DUMMYFUNCTION("""COMPUTED_VALUE"""),"PetFix")</f>
        <v>PetFix</v>
      </c>
      <c r="C361" s="17" t="str">
        <f>IFERROR(__xludf.DUMMYFUNCTION("""COMPUTED_VALUE"""),"2in1 Otomatik Kedi &amp; Köpek Mama ve Su Kabı")</f>
        <v>2in1 Otomatik Kedi &amp; Köpek Mama ve Su Kabı</v>
      </c>
      <c r="D361" s="17" t="str">
        <f>IFERROR(__xludf.DUMMYFUNCTION("""COMPUTED_VALUE"""),"YB-020")</f>
        <v>YB-020</v>
      </c>
      <c r="E361" s="17" t="str">
        <f>IFERROR(__xludf.DUMMYFUNCTION("""COMPUTED_VALUE"""),"Kedi ve Köpek Mama Su Kabı")</f>
        <v>Kedi ve Köpek Mama Su Kabı</v>
      </c>
      <c r="F361" s="17">
        <f>IFERROR(__xludf.DUMMYFUNCTION("""COMPUTED_VALUE"""),775.0)</f>
        <v>775</v>
      </c>
      <c r="G361" s="17"/>
      <c r="H361" s="17">
        <f>IFERROR(__xludf.DUMMYFUNCTION("""COMPUTED_VALUE"""),0.0)</f>
        <v>0</v>
      </c>
      <c r="I361" s="17" t="str">
        <f>IFERROR(__xludf.DUMMYFUNCTION("""COMPUTED_VALUE"""),"Onayli - Satista degil")</f>
        <v>Onayli - Satista degil</v>
      </c>
      <c r="J361" s="40">
        <f>IF($A361="","",IFERROR(VLOOKUP($A361,'Maliyet Giris'!$A$2:$G$550,6,0),""))</f>
        <v>100</v>
      </c>
      <c r="K361" s="40">
        <f>IF($A361="","",IFERROR(VLOOKUP($A361,'Maliyet Giris'!$A$2:$G$550,7,0),""))</f>
        <v>1</v>
      </c>
    </row>
    <row r="362">
      <c r="A362" s="17" t="str">
        <f>IFERROR(__xludf.DUMMYFUNCTION("""COMPUTED_VALUE"""),"6923632570250-2")</f>
        <v>6923632570250-2</v>
      </c>
      <c r="B362" s="17" t="str">
        <f>IFERROR(__xludf.DUMMYFUNCTION("""COMPUTED_VALUE"""),"PetFix")</f>
        <v>PetFix</v>
      </c>
      <c r="C362" s="17" t="str">
        <f>IFERROR(__xludf.DUMMYFUNCTION("""COMPUTED_VALUE"""),"4 Litre Yarı-Otomatik Kedi ve Köpek Mama Kabı")</f>
        <v>4 Litre Yarı-Otomatik Kedi ve Köpek Mama Kabı</v>
      </c>
      <c r="D362" s="17" t="str">
        <f>IFERROR(__xludf.DUMMYFUNCTION("""COMPUTED_VALUE"""),"YB-025")</f>
        <v>YB-025</v>
      </c>
      <c r="E362" s="17" t="str">
        <f>IFERROR(__xludf.DUMMYFUNCTION("""COMPUTED_VALUE"""),"Kedi ve Köpek Mama Su Kabı")</f>
        <v>Kedi ve Köpek Mama Su Kabı</v>
      </c>
      <c r="F362" s="17">
        <f>IFERROR(__xludf.DUMMYFUNCTION("""COMPUTED_VALUE"""),487.5)</f>
        <v>487.5</v>
      </c>
      <c r="G362" s="17"/>
      <c r="H362" s="17">
        <f>IFERROR(__xludf.DUMMYFUNCTION("""COMPUTED_VALUE"""),0.0)</f>
        <v>0</v>
      </c>
      <c r="I362" s="17" t="str">
        <f>IFERROR(__xludf.DUMMYFUNCTION("""COMPUTED_VALUE"""),"Onayli - Satista degil")</f>
        <v>Onayli - Satista degil</v>
      </c>
      <c r="J362" s="40">
        <f>IF($A362="","",IFERROR(VLOOKUP($A362,'Maliyet Giris'!$A$2:$G$550,6,0),""))</f>
        <v>100</v>
      </c>
      <c r="K362" s="40">
        <f>IF($A362="","",IFERROR(VLOOKUP($A362,'Maliyet Giris'!$A$2:$G$550,7,0),""))</f>
        <v>1</v>
      </c>
    </row>
    <row r="363">
      <c r="A363" s="17" t="str">
        <f>IFERROR(__xludf.DUMMYFUNCTION("""COMPUTED_VALUE"""),"6923632570250-3")</f>
        <v>6923632570250-3</v>
      </c>
      <c r="B363" s="17" t="str">
        <f>IFERROR(__xludf.DUMMYFUNCTION("""COMPUTED_VALUE"""),"PetFix")</f>
        <v>PetFix</v>
      </c>
      <c r="C363" s="17" t="str">
        <f>IFERROR(__xludf.DUMMYFUNCTION("""COMPUTED_VALUE"""),"4 Litre Yarı-Otomatik Kedi ve Köpek Mama Kabı")</f>
        <v>4 Litre Yarı-Otomatik Kedi ve Köpek Mama Kabı</v>
      </c>
      <c r="D363" s="17" t="str">
        <f>IFERROR(__xludf.DUMMYFUNCTION("""COMPUTED_VALUE"""),"YB-025")</f>
        <v>YB-025</v>
      </c>
      <c r="E363" s="17" t="str">
        <f>IFERROR(__xludf.DUMMYFUNCTION("""COMPUTED_VALUE"""),"Kedi ve Köpek Mama Su Kabı")</f>
        <v>Kedi ve Köpek Mama Su Kabı</v>
      </c>
      <c r="F363" s="17">
        <f>IFERROR(__xludf.DUMMYFUNCTION("""COMPUTED_VALUE"""),487.5)</f>
        <v>487.5</v>
      </c>
      <c r="G363" s="17"/>
      <c r="H363" s="17">
        <f>IFERROR(__xludf.DUMMYFUNCTION("""COMPUTED_VALUE"""),0.0)</f>
        <v>0</v>
      </c>
      <c r="I363" s="17" t="str">
        <f>IFERROR(__xludf.DUMMYFUNCTION("""COMPUTED_VALUE"""),"Onayli - Satista degil")</f>
        <v>Onayli - Satista degil</v>
      </c>
      <c r="J363" s="40">
        <f>IF($A363="","",IFERROR(VLOOKUP($A363,'Maliyet Giris'!$A$2:$G$550,6,0),""))</f>
        <v>100</v>
      </c>
      <c r="K363" s="40">
        <f>IF($A363="","",IFERROR(VLOOKUP($A363,'Maliyet Giris'!$A$2:$G$550,7,0),""))</f>
        <v>1</v>
      </c>
    </row>
    <row r="364">
      <c r="A364" s="17">
        <f>IFERROR(__xludf.DUMMYFUNCTION("""COMPUTED_VALUE"""),6.92363257025E12)</f>
        <v>6923632570250</v>
      </c>
      <c r="B364" s="17" t="str">
        <f>IFERROR(__xludf.DUMMYFUNCTION("""COMPUTED_VALUE"""),"PetFix")</f>
        <v>PetFix</v>
      </c>
      <c r="C364" s="17" t="str">
        <f>IFERROR(__xludf.DUMMYFUNCTION("""COMPUTED_VALUE"""),"4 Litre Yarı-Otomatik Kedi ve Köpek Mama Kabı")</f>
        <v>4 Litre Yarı-Otomatik Kedi ve Köpek Mama Kabı</v>
      </c>
      <c r="D364" s="17" t="str">
        <f>IFERROR(__xludf.DUMMYFUNCTION("""COMPUTED_VALUE"""),"YB-025")</f>
        <v>YB-025</v>
      </c>
      <c r="E364" s="17" t="str">
        <f>IFERROR(__xludf.DUMMYFUNCTION("""COMPUTED_VALUE"""),"Kedi ve Köpek Mama Su Kabı")</f>
        <v>Kedi ve Köpek Mama Su Kabı</v>
      </c>
      <c r="F364" s="17">
        <f>IFERROR(__xludf.DUMMYFUNCTION("""COMPUTED_VALUE"""),487.5)</f>
        <v>487.5</v>
      </c>
      <c r="G364" s="17"/>
      <c r="H364" s="17">
        <f>IFERROR(__xludf.DUMMYFUNCTION("""COMPUTED_VALUE"""),0.0)</f>
        <v>0</v>
      </c>
      <c r="I364" s="17" t="str">
        <f>IFERROR(__xludf.DUMMYFUNCTION("""COMPUTED_VALUE"""),"Onayli - Satista degil")</f>
        <v>Onayli - Satista degil</v>
      </c>
      <c r="J364" s="40">
        <f>IF($A364="","",IFERROR(VLOOKUP($A364,'Maliyet Giris'!$A$2:$G$550,6,0),""))</f>
        <v>100</v>
      </c>
      <c r="K364" s="40">
        <f>IF($A364="","",IFERROR(VLOOKUP($A364,'Maliyet Giris'!$A$2:$G$550,7,0),""))</f>
        <v>1</v>
      </c>
    </row>
    <row r="365">
      <c r="A365" s="17">
        <f>IFERROR(__xludf.DUMMYFUNCTION("""COMPUTED_VALUE"""),6.923632570267E12)</f>
        <v>6923632570267</v>
      </c>
      <c r="B365" s="17" t="str">
        <f>IFERROR(__xludf.DUMMYFUNCTION("""COMPUTED_VALUE"""),"PetFix")</f>
        <v>PetFix</v>
      </c>
      <c r="C365" s="17" t="str">
        <f>IFERROR(__xludf.DUMMYFUNCTION("""COMPUTED_VALUE"""),"4 Litre Yarı-Otomatik Kedi ve Köpek Su Kabı")</f>
        <v>4 Litre Yarı-Otomatik Kedi ve Köpek Su Kabı</v>
      </c>
      <c r="D365" s="17" t="str">
        <f>IFERROR(__xludf.DUMMYFUNCTION("""COMPUTED_VALUE"""),"YB-026")</f>
        <v>YB-026</v>
      </c>
      <c r="E365" s="17" t="str">
        <f>IFERROR(__xludf.DUMMYFUNCTION("""COMPUTED_VALUE"""),"Kedi ve Köpek Mama Su Kabı")</f>
        <v>Kedi ve Köpek Mama Su Kabı</v>
      </c>
      <c r="F365" s="17">
        <f>IFERROR(__xludf.DUMMYFUNCTION("""COMPUTED_VALUE"""),474.99)</f>
        <v>474.99</v>
      </c>
      <c r="G365" s="17"/>
      <c r="H365" s="17">
        <f>IFERROR(__xludf.DUMMYFUNCTION("""COMPUTED_VALUE"""),0.0)</f>
        <v>0</v>
      </c>
      <c r="I365" s="17" t="str">
        <f>IFERROR(__xludf.DUMMYFUNCTION("""COMPUTED_VALUE"""),"Onayli - Satista degil")</f>
        <v>Onayli - Satista degil</v>
      </c>
      <c r="J365" s="40">
        <f>IF($A365="","",IFERROR(VLOOKUP($A365,'Maliyet Giris'!$A$2:$G$550,6,0),""))</f>
        <v>100</v>
      </c>
      <c r="K365" s="40">
        <f>IF($A365="","",IFERROR(VLOOKUP($A365,'Maliyet Giris'!$A$2:$G$550,7,0),""))</f>
        <v>1</v>
      </c>
    </row>
    <row r="366">
      <c r="A366" s="17" t="str">
        <f>IFERROR(__xludf.DUMMYFUNCTION("""COMPUTED_VALUE"""),"6923632570267-1")</f>
        <v>6923632570267-1</v>
      </c>
      <c r="B366" s="17" t="str">
        <f>IFERROR(__xludf.DUMMYFUNCTION("""COMPUTED_VALUE"""),"PetFix")</f>
        <v>PetFix</v>
      </c>
      <c r="C366" s="17" t="str">
        <f>IFERROR(__xludf.DUMMYFUNCTION("""COMPUTED_VALUE"""),"4 Litre Yarı-Otomatik Kedi ve Köpek Su Kabı")</f>
        <v>4 Litre Yarı-Otomatik Kedi ve Köpek Su Kabı</v>
      </c>
      <c r="D366" s="17" t="str">
        <f>IFERROR(__xludf.DUMMYFUNCTION("""COMPUTED_VALUE"""),"YB-026-1")</f>
        <v>YB-026-1</v>
      </c>
      <c r="E366" s="17" t="str">
        <f>IFERROR(__xludf.DUMMYFUNCTION("""COMPUTED_VALUE"""),"Kedi ve Köpek Mama Su Kabı")</f>
        <v>Kedi ve Köpek Mama Su Kabı</v>
      </c>
      <c r="F366" s="17">
        <f>IFERROR(__xludf.DUMMYFUNCTION("""COMPUTED_VALUE"""),474.99)</f>
        <v>474.99</v>
      </c>
      <c r="G366" s="17"/>
      <c r="H366" s="17">
        <f>IFERROR(__xludf.DUMMYFUNCTION("""COMPUTED_VALUE"""),0.0)</f>
        <v>0</v>
      </c>
      <c r="I366" s="17" t="str">
        <f>IFERROR(__xludf.DUMMYFUNCTION("""COMPUTED_VALUE"""),"Onayli - Satista degil")</f>
        <v>Onayli - Satista degil</v>
      </c>
      <c r="J366" s="40">
        <f>IF($A366="","",IFERROR(VLOOKUP($A366,'Maliyet Giris'!$A$2:$G$550,6,0),""))</f>
        <v>100</v>
      </c>
      <c r="K366" s="40">
        <f>IF($A366="","",IFERROR(VLOOKUP($A366,'Maliyet Giris'!$A$2:$G$550,7,0),""))</f>
        <v>1</v>
      </c>
    </row>
    <row r="367">
      <c r="A367" s="17" t="str">
        <f>IFERROR(__xludf.DUMMYFUNCTION("""COMPUTED_VALUE"""),"6923632570359-2")</f>
        <v>6923632570359-2</v>
      </c>
      <c r="B367" s="17" t="str">
        <f>IFERROR(__xludf.DUMMYFUNCTION("""COMPUTED_VALUE"""),"PetFix")</f>
        <v>PetFix</v>
      </c>
      <c r="C367" s="17" t="str">
        <f>IFERROR(__xludf.DUMMYFUNCTION("""COMPUTED_VALUE"""),"15° Eğimli Anti-Servikal Kedi ve Köpek Mama ve Su Kabı")</f>
        <v>15° Eğimli Anti-Servikal Kedi ve Köpek Mama ve Su Kabı</v>
      </c>
      <c r="D367" s="17" t="str">
        <f>IFERROR(__xludf.DUMMYFUNCTION("""COMPUTED_VALUE"""),"YB-035-3")</f>
        <v>YB-035-3</v>
      </c>
      <c r="E367" s="17" t="str">
        <f>IFERROR(__xludf.DUMMYFUNCTION("""COMPUTED_VALUE"""),"Kedi ve Köpek Mama Su Kabı")</f>
        <v>Kedi ve Köpek Mama Su Kabı</v>
      </c>
      <c r="F367" s="17">
        <f>IFERROR(__xludf.DUMMYFUNCTION("""COMPUTED_VALUE"""),478.85)</f>
        <v>478.85</v>
      </c>
      <c r="G367" s="17"/>
      <c r="H367" s="17">
        <f>IFERROR(__xludf.DUMMYFUNCTION("""COMPUTED_VALUE"""),0.0)</f>
        <v>0</v>
      </c>
      <c r="I367" s="17" t="str">
        <f>IFERROR(__xludf.DUMMYFUNCTION("""COMPUTED_VALUE"""),"Onayli - Satista degil")</f>
        <v>Onayli - Satista degil</v>
      </c>
      <c r="J367" s="40">
        <f>IF($A367="","",IFERROR(VLOOKUP($A367,'Maliyet Giris'!$A$2:$G$550,6,0),""))</f>
        <v>100</v>
      </c>
      <c r="K367" s="40">
        <f>IF($A367="","",IFERROR(VLOOKUP($A367,'Maliyet Giris'!$A$2:$G$550,7,0),""))</f>
        <v>1</v>
      </c>
    </row>
    <row r="368">
      <c r="A368" s="17">
        <f>IFERROR(__xludf.DUMMYFUNCTION("""COMPUTED_VALUE"""),6.923632570359E12)</f>
        <v>6923632570359</v>
      </c>
      <c r="B368" s="17" t="str">
        <f>IFERROR(__xludf.DUMMYFUNCTION("""COMPUTED_VALUE"""),"PetFix")</f>
        <v>PetFix</v>
      </c>
      <c r="C368" s="17" t="str">
        <f>IFERROR(__xludf.DUMMYFUNCTION("""COMPUTED_VALUE"""),"15° Eğimli Anti-Servikal Kedi ve Köpek Mama ve Su Kabı")</f>
        <v>15° Eğimli Anti-Servikal Kedi ve Köpek Mama ve Su Kabı</v>
      </c>
      <c r="D368" s="17" t="str">
        <f>IFERROR(__xludf.DUMMYFUNCTION("""COMPUTED_VALUE"""),"YB-035")</f>
        <v>YB-035</v>
      </c>
      <c r="E368" s="17" t="str">
        <f>IFERROR(__xludf.DUMMYFUNCTION("""COMPUTED_VALUE"""),"Kedi ve Köpek Mama Su Kabı")</f>
        <v>Kedi ve Köpek Mama Su Kabı</v>
      </c>
      <c r="F368" s="17">
        <f>IFERROR(__xludf.DUMMYFUNCTION("""COMPUTED_VALUE"""),478.85)</f>
        <v>478.85</v>
      </c>
      <c r="G368" s="17"/>
      <c r="H368" s="17">
        <f>IFERROR(__xludf.DUMMYFUNCTION("""COMPUTED_VALUE"""),0.0)</f>
        <v>0</v>
      </c>
      <c r="I368" s="17" t="str">
        <f>IFERROR(__xludf.DUMMYFUNCTION("""COMPUTED_VALUE"""),"Onayli - Satista degil")</f>
        <v>Onayli - Satista degil</v>
      </c>
      <c r="J368" s="40">
        <f>IF($A368="","",IFERROR(VLOOKUP($A368,'Maliyet Giris'!$A$2:$G$550,6,0),""))</f>
        <v>100</v>
      </c>
      <c r="K368" s="40">
        <f>IF($A368="","",IFERROR(VLOOKUP($A368,'Maliyet Giris'!$A$2:$G$550,7,0),""))</f>
        <v>1</v>
      </c>
    </row>
    <row r="369">
      <c r="A369" s="17" t="str">
        <f>IFERROR(__xludf.DUMMYFUNCTION("""COMPUTED_VALUE"""),"6923632570359-1")</f>
        <v>6923632570359-1</v>
      </c>
      <c r="B369" s="17" t="str">
        <f>IFERROR(__xludf.DUMMYFUNCTION("""COMPUTED_VALUE"""),"PetFix")</f>
        <v>PetFix</v>
      </c>
      <c r="C369" s="17" t="str">
        <f>IFERROR(__xludf.DUMMYFUNCTION("""COMPUTED_VALUE"""),"15° Eğimli Anti-Servikal Kedi ve Köpek Mama ve Su Kabı")</f>
        <v>15° Eğimli Anti-Servikal Kedi ve Köpek Mama ve Su Kabı</v>
      </c>
      <c r="D369" s="17" t="str">
        <f>IFERROR(__xludf.DUMMYFUNCTION("""COMPUTED_VALUE"""),"YB-035-2")</f>
        <v>YB-035-2</v>
      </c>
      <c r="E369" s="17" t="str">
        <f>IFERROR(__xludf.DUMMYFUNCTION("""COMPUTED_VALUE"""),"Kedi ve Köpek Mama Su Kabı")</f>
        <v>Kedi ve Köpek Mama Su Kabı</v>
      </c>
      <c r="F369" s="17">
        <f>IFERROR(__xludf.DUMMYFUNCTION("""COMPUTED_VALUE"""),478.85)</f>
        <v>478.85</v>
      </c>
      <c r="G369" s="17"/>
      <c r="H369" s="17">
        <f>IFERROR(__xludf.DUMMYFUNCTION("""COMPUTED_VALUE"""),0.0)</f>
        <v>0</v>
      </c>
      <c r="I369" s="17" t="str">
        <f>IFERROR(__xludf.DUMMYFUNCTION("""COMPUTED_VALUE"""),"Onayli - Satista degil")</f>
        <v>Onayli - Satista degil</v>
      </c>
      <c r="J369" s="40">
        <f>IF($A369="","",IFERROR(VLOOKUP($A369,'Maliyet Giris'!$A$2:$G$550,6,0),""))</f>
        <v>100</v>
      </c>
      <c r="K369" s="40">
        <f>IF($A369="","",IFERROR(VLOOKUP($A369,'Maliyet Giris'!$A$2:$G$550,7,0),""))</f>
        <v>1</v>
      </c>
    </row>
    <row r="370">
      <c r="A370" s="17" t="str">
        <f>IFERROR(__xludf.DUMMYFUNCTION("""COMPUTED_VALUE"""),"TYB11GXMISIZ4T9D70")</f>
        <v>TYB11GXMISIZ4T9D70</v>
      </c>
      <c r="B370" s="17" t="str">
        <f>IFERROR(__xludf.DUMMYFUNCTION("""COMPUTED_VALUE"""),"Elioure")</f>
        <v>Elioure</v>
      </c>
      <c r="C370" s="17" t="str">
        <f>IFERROR(__xludf.DUMMYFUNCTION("""COMPUTED_VALUE"""),"Gastrointestinal Kedi Pouch- 5 Li")</f>
        <v>Gastrointestinal Kedi Pouch- 5 Li</v>
      </c>
      <c r="D370" s="17"/>
      <c r="E370" s="17" t="str">
        <f>IFERROR(__xludf.DUMMYFUNCTION("""COMPUTED_VALUE"""),"Kedi Kuru Maması")</f>
        <v>Kedi Kuru Maması</v>
      </c>
      <c r="F370" s="17">
        <f>IFERROR(__xludf.DUMMYFUNCTION("""COMPUTED_VALUE"""),879.0)</f>
        <v>879</v>
      </c>
      <c r="G370" s="17"/>
      <c r="H370" s="17">
        <f>IFERROR(__xludf.DUMMYFUNCTION("""COMPUTED_VALUE"""),0.0)</f>
        <v>0</v>
      </c>
      <c r="I370" s="17" t="str">
        <f>IFERROR(__xludf.DUMMYFUNCTION("""COMPUTED_VALUE"""),"Onayli - Satista degil")</f>
        <v>Onayli - Satista degil</v>
      </c>
      <c r="J370" s="40">
        <f>IF($A370="","",IFERROR(VLOOKUP($A370,'Maliyet Giris'!$A$2:$G$550,6,0),""))</f>
        <v>450</v>
      </c>
      <c r="K370" s="40">
        <f>IF($A370="","",IFERROR(VLOOKUP($A370,'Maliyet Giris'!$A$2:$G$550,7,0),""))</f>
        <v>3</v>
      </c>
    </row>
    <row r="371">
      <c r="A371" s="17" t="str">
        <f>IFERROR(__xludf.DUMMYFUNCTION("""COMPUTED_VALUE"""),"MAMAKABI001")</f>
        <v>MAMAKABI001</v>
      </c>
      <c r="B371" s="17" t="str">
        <f>IFERROR(__xludf.DUMMYFUNCTION("""COMPUTED_VALUE"""),"PetFix")</f>
        <v>PetFix</v>
      </c>
      <c r="C371" s="17" t="str">
        <f>IFERROR(__xludf.DUMMYFUNCTION("""COMPUTED_VALUE"""),"Güler Yüzlü Tekli Paslanmaz Çelik Kedi ve Köpek Mama Kabı")</f>
        <v>Güler Yüzlü Tekli Paslanmaz Çelik Kedi ve Köpek Mama Kabı</v>
      </c>
      <c r="D371" s="17" t="str">
        <f>IFERROR(__xludf.DUMMYFUNCTION("""COMPUTED_VALUE"""),"MAMAKABI001")</f>
        <v>MAMAKABI001</v>
      </c>
      <c r="E371" s="17" t="str">
        <f>IFERROR(__xludf.DUMMYFUNCTION("""COMPUTED_VALUE"""),"Kedi ve Köpek Mama Su Kabı")</f>
        <v>Kedi ve Köpek Mama Su Kabı</v>
      </c>
      <c r="F371" s="17">
        <f>IFERROR(__xludf.DUMMYFUNCTION("""COMPUTED_VALUE"""),475.99)</f>
        <v>475.99</v>
      </c>
      <c r="G371" s="17"/>
      <c r="H371" s="17">
        <f>IFERROR(__xludf.DUMMYFUNCTION("""COMPUTED_VALUE"""),0.0)</f>
        <v>0</v>
      </c>
      <c r="I371" s="17" t="str">
        <f>IFERROR(__xludf.DUMMYFUNCTION("""COMPUTED_VALUE"""),"Onayli - Satista degil")</f>
        <v>Onayli - Satista degil</v>
      </c>
      <c r="J371" s="40">
        <f>IF($A371="","",IFERROR(VLOOKUP($A371,'Maliyet Giris'!$A$2:$G$550,6,0),""))</f>
        <v>100</v>
      </c>
      <c r="K371" s="40">
        <f>IF($A371="","",IFERROR(VLOOKUP($A371,'Maliyet Giris'!$A$2:$G$550,7,0),""))</f>
        <v>1</v>
      </c>
    </row>
    <row r="372">
      <c r="A372" s="17" t="str">
        <f>IFERROR(__xludf.DUMMYFUNCTION("""COMPUTED_VALUE"""),"TYB2K1WENWNXXA9X56")</f>
        <v>TYB2K1WENWNXXA9X56</v>
      </c>
      <c r="B372" s="17" t="str">
        <f>IFERROR(__xludf.DUMMYFUNCTION("""COMPUTED_VALUE"""),"justie pet")</f>
        <v>justie pet</v>
      </c>
      <c r="C372" s="17" t="str">
        <f>IFERROR(__xludf.DUMMYFUNCTION("""COMPUTED_VALUE"""),"4'Ü 1 Arada Pencere Ekran Temizleyici Fırça Pencere Sileceği Tüy Toplama Kedi Tüy Toplama")</f>
        <v>4'Ü 1 Arada Pencere Ekran Temizleyici Fırça Pencere Sileceği Tüy Toplama Kedi Tüy Toplama</v>
      </c>
      <c r="D372" s="17"/>
      <c r="E372" s="17" t="str">
        <f>IFERROR(__xludf.DUMMYFUNCTION("""COMPUTED_VALUE"""),"Temizlik Fırçası ve Süpürge")</f>
        <v>Temizlik Fırçası ve Süpürge</v>
      </c>
      <c r="F372" s="17">
        <f>IFERROR(__xludf.DUMMYFUNCTION("""COMPUTED_VALUE"""),99.0)</f>
        <v>99</v>
      </c>
      <c r="G372" s="17"/>
      <c r="H372" s="17">
        <f>IFERROR(__xludf.DUMMYFUNCTION("""COMPUTED_VALUE"""),0.0)</f>
        <v>0</v>
      </c>
      <c r="I372" s="17" t="str">
        <f>IFERROR(__xludf.DUMMYFUNCTION("""COMPUTED_VALUE"""),"Onayli - Satista degil")</f>
        <v>Onayli - Satista degil</v>
      </c>
      <c r="J372" s="40" t="str">
        <f>IF($A372="","",IFERROR(VLOOKUP($A372,'Maliyet Giris'!$A$2:$G$550,6,0),""))</f>
        <v/>
      </c>
      <c r="K372" s="40" t="str">
        <f>IF($A372="","",IFERROR(VLOOKUP($A372,'Maliyet Giris'!$A$2:$G$550,7,0),""))</f>
        <v/>
      </c>
    </row>
    <row r="373">
      <c r="A373" s="17">
        <f>IFERROR(__xludf.DUMMYFUNCTION("""COMPUTED_VALUE"""),5.2742043142E10)</f>
        <v>52742043142</v>
      </c>
      <c r="B373" s="17" t="str">
        <f>IFERROR(__xludf.DUMMYFUNCTION("""COMPUTED_VALUE"""),"Hill's")</f>
        <v>Hill's</v>
      </c>
      <c r="C373" s="17" t="str">
        <f>IFERROR(__xludf.DUMMYFUNCTION("""COMPUTED_VALUE"""),"Hills Digestive Care I/d Kedi Maması")</f>
        <v>Hills Digestive Care I/d Kedi Maması</v>
      </c>
      <c r="D373" s="17"/>
      <c r="E373" s="17" t="str">
        <f>IFERROR(__xludf.DUMMYFUNCTION("""COMPUTED_VALUE"""),"Kedi Kuru Maması")</f>
        <v>Kedi Kuru Maması</v>
      </c>
      <c r="F373" s="17">
        <f>IFERROR(__xludf.DUMMYFUNCTION("""COMPUTED_VALUE"""),2350.0)</f>
        <v>2350</v>
      </c>
      <c r="G373" s="17"/>
      <c r="H373" s="17">
        <f>IFERROR(__xludf.DUMMYFUNCTION("""COMPUTED_VALUE"""),0.0)</f>
        <v>0</v>
      </c>
      <c r="I373" s="17" t="str">
        <f>IFERROR(__xludf.DUMMYFUNCTION("""COMPUTED_VALUE"""),"Onayli - Satista degil")</f>
        <v>Onayli - Satista degil</v>
      </c>
      <c r="J373" s="40">
        <f>IF($A373="","",IFERROR(VLOOKUP($A373,'Maliyet Giris'!$A$2:$G$550,6,0),""))</f>
        <v>10</v>
      </c>
      <c r="K373" s="40">
        <f>IF($A373="","",IFERROR(VLOOKUP($A373,'Maliyet Giris'!$A$2:$G$550,7,0),""))</f>
        <v>3</v>
      </c>
    </row>
    <row r="374">
      <c r="A374" s="17" t="str">
        <f>IFERROR(__xludf.DUMMYFUNCTION("""COMPUTED_VALUE"""),"H90052742042084")</f>
        <v>H90052742042084</v>
      </c>
      <c r="B374" s="17" t="str">
        <f>IFERROR(__xludf.DUMMYFUNCTION("""COMPUTED_VALUE"""),"Hill's")</f>
        <v>Hill's</v>
      </c>
      <c r="C374" s="17" t="str">
        <f>IFERROR(__xludf.DUMMYFUNCTION("""COMPUTED_VALUE"""),"Prescription Diet Gastrointestinal Biome Digestive/fibre Care Tavuklu Kedi Kuru Maması 3 Kg")</f>
        <v>Prescription Diet Gastrointestinal Biome Digestive/fibre Care Tavuklu Kedi Kuru Maması 3 Kg</v>
      </c>
      <c r="D374" s="17"/>
      <c r="E374" s="17" t="str">
        <f>IFERROR(__xludf.DUMMYFUNCTION("""COMPUTED_VALUE"""),"Kedi Kuru Maması")</f>
        <v>Kedi Kuru Maması</v>
      </c>
      <c r="F374" s="17">
        <f>IFERROR(__xludf.DUMMYFUNCTION("""COMPUTED_VALUE"""),2199.0)</f>
        <v>2199</v>
      </c>
      <c r="G374" s="17"/>
      <c r="H374" s="17">
        <f>IFERROR(__xludf.DUMMYFUNCTION("""COMPUTED_VALUE"""),0.0)</f>
        <v>0</v>
      </c>
      <c r="I374" s="17" t="str">
        <f>IFERROR(__xludf.DUMMYFUNCTION("""COMPUTED_VALUE"""),"Onayli - Satista degil")</f>
        <v>Onayli - Satista degil</v>
      </c>
      <c r="J374" s="40">
        <f>IF($A374="","",IFERROR(VLOOKUP($A374,'Maliyet Giris'!$A$2:$G$550,6,0),""))</f>
        <v>1528</v>
      </c>
      <c r="K374" s="40">
        <f>IF($A374="","",IFERROR(VLOOKUP($A374,'Maliyet Giris'!$A$2:$G$550,7,0),""))</f>
        <v>3</v>
      </c>
    </row>
    <row r="375">
      <c r="A375" s="17">
        <f>IFERROR(__xludf.DUMMYFUNCTION("""COMPUTED_VALUE"""),5.2742055664E10)</f>
        <v>52742055664</v>
      </c>
      <c r="B375" s="17" t="str">
        <f>IFERROR(__xludf.DUMMYFUNCTION("""COMPUTED_VALUE"""),"Hill's")</f>
        <v>Hill's</v>
      </c>
      <c r="C375" s="17" t="str">
        <f>IFERROR(__xludf.DUMMYFUNCTION("""COMPUTED_VALUE"""),"Vet Essentials Adult Weight Cat Food 3 kg")</f>
        <v>Vet Essentials Adult Weight Cat Food 3 kg</v>
      </c>
      <c r="D375" s="17"/>
      <c r="E375" s="17" t="str">
        <f>IFERROR(__xludf.DUMMYFUNCTION("""COMPUTED_VALUE"""),"Kedi Kuru Maması")</f>
        <v>Kedi Kuru Maması</v>
      </c>
      <c r="F375" s="17">
        <f>IFERROR(__xludf.DUMMYFUNCTION("""COMPUTED_VALUE"""),2274.0)</f>
        <v>2274</v>
      </c>
      <c r="G375" s="17"/>
      <c r="H375" s="17">
        <f>IFERROR(__xludf.DUMMYFUNCTION("""COMPUTED_VALUE"""),0.0)</f>
        <v>0</v>
      </c>
      <c r="I375" s="17" t="str">
        <f>IFERROR(__xludf.DUMMYFUNCTION("""COMPUTED_VALUE"""),"Onayli - Satista degil")</f>
        <v>Onayli - Satista degil</v>
      </c>
      <c r="J375" s="40">
        <f>IF($A375="","",IFERROR(VLOOKUP($A375,'Maliyet Giris'!$A$2:$G$550,6,0),""))</f>
        <v>1673</v>
      </c>
      <c r="K375" s="40">
        <f>IF($A375="","",IFERROR(VLOOKUP($A375,'Maliyet Giris'!$A$2:$G$550,7,0),""))</f>
        <v>3</v>
      </c>
    </row>
    <row r="376">
      <c r="A376" s="17">
        <f>IFERROR(__xludf.DUMMYFUNCTION("""COMPUTED_VALUE"""),4.185796352148E12)</f>
        <v>4185796352148</v>
      </c>
      <c r="B376" s="17" t="str">
        <f>IFERROR(__xludf.DUMMYFUNCTION("""COMPUTED_VALUE"""),"Royal Canin")</f>
        <v>Royal Canin</v>
      </c>
      <c r="C376" s="17" t="str">
        <f>IFERROR(__xludf.DUMMYFUNCTION("""COMPUTED_VALUE"""),"Veterinary Urinary S/O Uriner Kedi Kuru Maması 7 kg (SKT: 21.11.2026)")</f>
        <v>Veterinary Urinary S/O Uriner Kedi Kuru Maması 7 kg (SKT: 21.11.2026)</v>
      </c>
      <c r="D376" s="17"/>
      <c r="E376" s="17" t="str">
        <f>IFERROR(__xludf.DUMMYFUNCTION("""COMPUTED_VALUE"""),"Kedi Kuru Maması")</f>
        <v>Kedi Kuru Maması</v>
      </c>
      <c r="F376" s="17">
        <f>IFERROR(__xludf.DUMMYFUNCTION("""COMPUTED_VALUE"""),0.0)</f>
        <v>0</v>
      </c>
      <c r="G376" s="17"/>
      <c r="H376" s="17">
        <f>IFERROR(__xludf.DUMMYFUNCTION("""COMPUTED_VALUE"""),0.0)</f>
        <v>0</v>
      </c>
      <c r="I376" s="17" t="str">
        <f>IFERROR(__xludf.DUMMYFUNCTION("""COMPUTED_VALUE"""),"Onayli - Satista degil")</f>
        <v>Onayli - Satista degil</v>
      </c>
      <c r="J376" s="40">
        <f>IF($A376="","",IFERROR(VLOOKUP($A376,'Maliyet Giris'!$A$2:$G$550,6,0),""))</f>
        <v>1</v>
      </c>
      <c r="K376" s="40">
        <f>IF($A376="","",IFERROR(VLOOKUP($A376,'Maliyet Giris'!$A$2:$G$550,7,0),""))</f>
        <v>3</v>
      </c>
    </row>
    <row r="377">
      <c r="A377" s="17" t="str">
        <f>IFERROR(__xludf.DUMMYFUNCTION("""COMPUTED_VALUE"""),"KR898474911")</f>
        <v>KR898474911</v>
      </c>
      <c r="B377" s="17" t="str">
        <f>IFERROR(__xludf.DUMMYFUNCTION("""COMPUTED_VALUE"""),"Royal Canin")</f>
        <v>Royal Canin</v>
      </c>
      <c r="C377" s="17" t="str">
        <f>IFERROR(__xludf.DUMMYFUNCTION("""COMPUTED_VALUE"""),"Neutered Satiety Balance 3.5kg")</f>
        <v>Neutered Satiety Balance 3.5kg</v>
      </c>
      <c r="D377" s="17"/>
      <c r="E377" s="17" t="str">
        <f>IFERROR(__xludf.DUMMYFUNCTION("""COMPUTED_VALUE"""),"Kedi Kuru Maması")</f>
        <v>Kedi Kuru Maması</v>
      </c>
      <c r="F377" s="17">
        <f>IFERROR(__xludf.DUMMYFUNCTION("""COMPUTED_VALUE"""),0.0)</f>
        <v>0</v>
      </c>
      <c r="G377" s="17"/>
      <c r="H377" s="17">
        <f>IFERROR(__xludf.DUMMYFUNCTION("""COMPUTED_VALUE"""),0.0)</f>
        <v>0</v>
      </c>
      <c r="I377" s="17" t="str">
        <f>IFERROR(__xludf.DUMMYFUNCTION("""COMPUTED_VALUE"""),"Onayli - Satista degil")</f>
        <v>Onayli - Satista degil</v>
      </c>
      <c r="J377" s="40">
        <f>IF($A377="","",IFERROR(VLOOKUP($A377,'Maliyet Giris'!$A$2:$G$550,6,0),""))</f>
        <v>1</v>
      </c>
      <c r="K377" s="40">
        <f>IF($A377="","",IFERROR(VLOOKUP($A377,'Maliyet Giris'!$A$2:$G$550,7,0),""))</f>
        <v>3</v>
      </c>
    </row>
    <row r="378">
      <c r="A378" s="17">
        <f>IFERROR(__xludf.DUMMYFUNCTION("""COMPUTED_VALUE"""),9.998002117233E12)</f>
        <v>9998002117233</v>
      </c>
      <c r="B378" s="17" t="str">
        <f>IFERROR(__xludf.DUMMYFUNCTION("""COMPUTED_VALUE"""),"Royal Canin")</f>
        <v>Royal Canin</v>
      </c>
      <c r="C378" s="17" t="str">
        <f>IFERROR(__xludf.DUMMYFUNCTION("""COMPUTED_VALUE"""),"Neutered Satiety Balance 3.5kg")</f>
        <v>Neutered Satiety Balance 3.5kg</v>
      </c>
      <c r="D378" s="17"/>
      <c r="E378" s="17" t="str">
        <f>IFERROR(__xludf.DUMMYFUNCTION("""COMPUTED_VALUE"""),"Kedi Kuru Maması")</f>
        <v>Kedi Kuru Maması</v>
      </c>
      <c r="F378" s="17">
        <f>IFERROR(__xludf.DUMMYFUNCTION("""COMPUTED_VALUE"""),0.0)</f>
        <v>0</v>
      </c>
      <c r="G378" s="17"/>
      <c r="H378" s="17">
        <f>IFERROR(__xludf.DUMMYFUNCTION("""COMPUTED_VALUE"""),0.0)</f>
        <v>0</v>
      </c>
      <c r="I378" s="17" t="str">
        <f>IFERROR(__xludf.DUMMYFUNCTION("""COMPUTED_VALUE"""),"Onayli - Satista degil")</f>
        <v>Onayli - Satista degil</v>
      </c>
      <c r="J378" s="40">
        <f>IF($A378="","",IFERROR(VLOOKUP($A378,'Maliyet Giris'!$A$2:$G$550,6,0),""))</f>
        <v>1</v>
      </c>
      <c r="K378" s="40">
        <f>IF($A378="","",IFERROR(VLOOKUP($A378,'Maliyet Giris'!$A$2:$G$550,7,0),""))</f>
        <v>3</v>
      </c>
    </row>
    <row r="379">
      <c r="A379" s="17" t="str">
        <f>IFERROR(__xludf.DUMMYFUNCTION("""COMPUTED_VALUE"""),"TYBGJMJZNYV022LQ14")</f>
        <v>TYBGJMJZNYV022LQ14</v>
      </c>
      <c r="B379" s="17" t="str">
        <f>IFERROR(__xludf.DUMMYFUNCTION("""COMPUTED_VALUE"""),"Royal Canin")</f>
        <v>Royal Canin</v>
      </c>
      <c r="C379" s="17" t="str">
        <f>IFERROR(__xludf.DUMMYFUNCTION("""COMPUTED_VALUE"""),"Mother&amp;Babycat Yaş Yavru Ve Gebe Anne Kedi Maması 195 Gr. 12 Adet CB12696")</f>
        <v>Mother&amp;Babycat Yaş Yavru Ve Gebe Anne Kedi Maması 195 Gr. 12 Adet CB12696</v>
      </c>
      <c r="D379" s="17"/>
      <c r="E379" s="17" t="str">
        <f>IFERROR(__xludf.DUMMYFUNCTION("""COMPUTED_VALUE"""),"Kedi Kuru Maması")</f>
        <v>Kedi Kuru Maması</v>
      </c>
      <c r="F379" s="17">
        <f>IFERROR(__xludf.DUMMYFUNCTION("""COMPUTED_VALUE"""),0.0)</f>
        <v>0</v>
      </c>
      <c r="G379" s="17"/>
      <c r="H379" s="17">
        <f>IFERROR(__xludf.DUMMYFUNCTION("""COMPUTED_VALUE"""),0.0)</f>
        <v>0</v>
      </c>
      <c r="I379" s="17" t="str">
        <f>IFERROR(__xludf.DUMMYFUNCTION("""COMPUTED_VALUE"""),"Onayli - Satista degil")</f>
        <v>Onayli - Satista degil</v>
      </c>
      <c r="J379" s="40">
        <f>IF($A379="","",IFERROR(VLOOKUP($A379,'Maliyet Giris'!$A$2:$G$550,6,0),""))</f>
        <v>1</v>
      </c>
      <c r="K379" s="40">
        <f>IF($A379="","",IFERROR(VLOOKUP($A379,'Maliyet Giris'!$A$2:$G$550,7,0),""))</f>
        <v>3</v>
      </c>
    </row>
    <row r="380">
      <c r="A380" s="17" t="str">
        <f>IFERROR(__xludf.DUMMYFUNCTION("""COMPUTED_VALUE"""),"25023046RCA")</f>
        <v>25023046RCA</v>
      </c>
      <c r="B380" s="17" t="str">
        <f>IFERROR(__xludf.DUMMYFUNCTION("""COMPUTED_VALUE"""),"Royal Canin")</f>
        <v>Royal Canin</v>
      </c>
      <c r="C380" s="17" t="str">
        <f>IFERROR(__xludf.DUMMYFUNCTION("""COMPUTED_VALUE"""),"Hypoallergenic royal canin kedi 2.5kg")</f>
        <v>Hypoallergenic royal canin kedi 2.5kg</v>
      </c>
      <c r="D380" s="17"/>
      <c r="E380" s="17" t="str">
        <f>IFERROR(__xludf.DUMMYFUNCTION("""COMPUTED_VALUE"""),"Kedi Kuru Maması")</f>
        <v>Kedi Kuru Maması</v>
      </c>
      <c r="F380" s="17">
        <f>IFERROR(__xludf.DUMMYFUNCTION("""COMPUTED_VALUE"""),0.0)</f>
        <v>0</v>
      </c>
      <c r="G380" s="17"/>
      <c r="H380" s="17">
        <f>IFERROR(__xludf.DUMMYFUNCTION("""COMPUTED_VALUE"""),0.0)</f>
        <v>0</v>
      </c>
      <c r="I380" s="17" t="str">
        <f>IFERROR(__xludf.DUMMYFUNCTION("""COMPUTED_VALUE"""),"Onayli - Satista degil")</f>
        <v>Onayli - Satista degil</v>
      </c>
      <c r="J380" s="40">
        <f>IF($A380="","",IFERROR(VLOOKUP($A380,'Maliyet Giris'!$A$2:$G$550,6,0),""))</f>
        <v>1</v>
      </c>
      <c r="K380" s="40">
        <f>IF($A380="","",IFERROR(VLOOKUP($A380,'Maliyet Giris'!$A$2:$G$550,7,0),""))</f>
        <v>3</v>
      </c>
    </row>
    <row r="381">
      <c r="A381" s="17" t="str">
        <f>IFERROR(__xludf.DUMMYFUNCTION("""COMPUTED_VALUE"""),"KR898474870")</f>
        <v>KR898474870</v>
      </c>
      <c r="B381" s="17" t="str">
        <f>IFERROR(__xludf.DUMMYFUNCTION("""COMPUTED_VALUE"""),"Royal Canin")</f>
        <v>Royal Canin</v>
      </c>
      <c r="C381" s="17" t="str">
        <f>IFERROR(__xludf.DUMMYFUNCTION("""COMPUTED_VALUE"""),"Royal Canın Gastrointestinal Kedi Maması 2 Kg")</f>
        <v>Royal Canın Gastrointestinal Kedi Maması 2 Kg</v>
      </c>
      <c r="D381" s="17"/>
      <c r="E381" s="17" t="str">
        <f>IFERROR(__xludf.DUMMYFUNCTION("""COMPUTED_VALUE"""),"Kedi Kuru Maması")</f>
        <v>Kedi Kuru Maması</v>
      </c>
      <c r="F381" s="17">
        <f>IFERROR(__xludf.DUMMYFUNCTION("""COMPUTED_VALUE"""),0.0)</f>
        <v>0</v>
      </c>
      <c r="G381" s="17"/>
      <c r="H381" s="17">
        <f>IFERROR(__xludf.DUMMYFUNCTION("""COMPUTED_VALUE"""),0.0)</f>
        <v>0</v>
      </c>
      <c r="I381" s="17" t="str">
        <f>IFERROR(__xludf.DUMMYFUNCTION("""COMPUTED_VALUE"""),"Onayli - Satista degil")</f>
        <v>Onayli - Satista degil</v>
      </c>
      <c r="J381" s="40">
        <f>IF($A381="","",IFERROR(VLOOKUP($A381,'Maliyet Giris'!$A$2:$G$550,6,0),""))</f>
        <v>1</v>
      </c>
      <c r="K381" s="40">
        <f>IF($A381="","",IFERROR(VLOOKUP($A381,'Maliyet Giris'!$A$2:$G$550,7,0),""))</f>
        <v>3</v>
      </c>
    </row>
    <row r="382">
      <c r="A382" s="17" t="str">
        <f>IFERROR(__xludf.DUMMYFUNCTION("""COMPUTED_VALUE"""),"TYBXUH70SS7NUO1L44")</f>
        <v>TYBXUH70SS7NUO1L44</v>
      </c>
      <c r="B382" s="17" t="str">
        <f>IFERROR(__xludf.DUMMYFUNCTION("""COMPUTED_VALUE"""),"Royal Canin")</f>
        <v>Royal Canin</v>
      </c>
      <c r="C382" s="17" t="str">
        <f>IFERROR(__xludf.DUMMYFUNCTION("""COMPUTED_VALUE"""),"Veterinary Urinary S/O Kedi Kuru Maması 1,5 KG")</f>
        <v>Veterinary Urinary S/O Kedi Kuru Maması 1,5 KG</v>
      </c>
      <c r="D382" s="17"/>
      <c r="E382" s="17" t="str">
        <f>IFERROR(__xludf.DUMMYFUNCTION("""COMPUTED_VALUE"""),"Kedi Kuru Maması")</f>
        <v>Kedi Kuru Maması</v>
      </c>
      <c r="F382" s="17">
        <f>IFERROR(__xludf.DUMMYFUNCTION("""COMPUTED_VALUE"""),0.0)</f>
        <v>0</v>
      </c>
      <c r="G382" s="17"/>
      <c r="H382" s="17">
        <f>IFERROR(__xludf.DUMMYFUNCTION("""COMPUTED_VALUE"""),0.0)</f>
        <v>0</v>
      </c>
      <c r="I382" s="17" t="str">
        <f>IFERROR(__xludf.DUMMYFUNCTION("""COMPUTED_VALUE"""),"Onayli - Satista degil")</f>
        <v>Onayli - Satista degil</v>
      </c>
      <c r="J382" s="40">
        <f>IF($A382="","",IFERROR(VLOOKUP($A382,'Maliyet Giris'!$A$2:$G$550,6,0),""))</f>
        <v>949</v>
      </c>
      <c r="K382" s="40">
        <f>IF($A382="","",IFERROR(VLOOKUP($A382,'Maliyet Giris'!$A$2:$G$550,7,0),""))</f>
        <v>3</v>
      </c>
    </row>
    <row r="383">
      <c r="A383" s="17" t="str">
        <f>IFERROR(__xludf.DUMMYFUNCTION("""COMPUTED_VALUE"""),"KR898475008")</f>
        <v>KR898475008</v>
      </c>
      <c r="B383" s="17" t="str">
        <f>IFERROR(__xludf.DUMMYFUNCTION("""COMPUTED_VALUE"""),"Royal Canin")</f>
        <v>Royal Canin</v>
      </c>
      <c r="C383" s="17" t="str">
        <f>IFERROR(__xludf.DUMMYFUNCTION("""COMPUTED_VALUE"""),"Neutered Satiety Balance Kısırlaştırılmış Kedi Maması 12 Kg")</f>
        <v>Neutered Satiety Balance Kısırlaştırılmış Kedi Maması 12 Kg</v>
      </c>
      <c r="D383" s="17"/>
      <c r="E383" s="17" t="str">
        <f>IFERROR(__xludf.DUMMYFUNCTION("""COMPUTED_VALUE"""),"Kedi Oyuncağı")</f>
        <v>Kedi Oyuncağı</v>
      </c>
      <c r="F383" s="17">
        <f>IFERROR(__xludf.DUMMYFUNCTION("""COMPUTED_VALUE"""),0.0)</f>
        <v>0</v>
      </c>
      <c r="G383" s="17"/>
      <c r="H383" s="17">
        <f>IFERROR(__xludf.DUMMYFUNCTION("""COMPUTED_VALUE"""),0.0)</f>
        <v>0</v>
      </c>
      <c r="I383" s="17" t="str">
        <f>IFERROR(__xludf.DUMMYFUNCTION("""COMPUTED_VALUE"""),"Onayli - Satista degil")</f>
        <v>Onayli - Satista degil</v>
      </c>
      <c r="J383" s="40">
        <f>IF($A383="","",IFERROR(VLOOKUP($A383,'Maliyet Giris'!$A$2:$G$550,6,0),""))</f>
        <v>3956</v>
      </c>
      <c r="K383" s="40">
        <f>IF($A383="","",IFERROR(VLOOKUP($A383,'Maliyet Giris'!$A$2:$G$550,7,0),""))</f>
        <v>12</v>
      </c>
    </row>
    <row r="384">
      <c r="A384" s="17" t="str">
        <f>IFERROR(__xludf.DUMMYFUNCTION("""COMPUTED_VALUE"""),"SHZI001")</f>
        <v>SHZI001</v>
      </c>
      <c r="B384" s="17" t="str">
        <f>IFERROR(__xludf.DUMMYFUNCTION("""COMPUTED_VALUE"""),"Shzi")</f>
        <v>Shzi</v>
      </c>
      <c r="C384" s="17" t="str">
        <f>IFERROR(__xludf.DUMMYFUNCTION("""COMPUTED_VALUE"""),"Krema Kedi Ödül Maması 16gr (45 Adet) (3 Lezzetli)")</f>
        <v>Krema Kedi Ödül Maması 16gr (45 Adet) (3 Lezzetli)</v>
      </c>
      <c r="D384" s="17" t="str">
        <f>IFERROR(__xludf.DUMMYFUNCTION("""COMPUTED_VALUE"""),"SHZI001")</f>
        <v>SHZI001</v>
      </c>
      <c r="E384" s="17" t="str">
        <f>IFERROR(__xludf.DUMMYFUNCTION("""COMPUTED_VALUE"""),"Kedi Ödülü")</f>
        <v>Kedi Ödülü</v>
      </c>
      <c r="F384" s="17">
        <f>IFERROR(__xludf.DUMMYFUNCTION("""COMPUTED_VALUE"""),575.0)</f>
        <v>575</v>
      </c>
      <c r="G384" s="17">
        <f>IFERROR(__xludf.DUMMYFUNCTION("""COMPUTED_VALUE"""),575.0)</f>
        <v>575</v>
      </c>
      <c r="H384" s="17">
        <f>IFERROR(__xludf.DUMMYFUNCTION("""COMPUTED_VALUE"""),82.0)</f>
        <v>82</v>
      </c>
      <c r="I384" s="17" t="str">
        <f>IFERROR(__xludf.DUMMYFUNCTION("""COMPUTED_VALUE"""),"Onayli")</f>
        <v>Onayli</v>
      </c>
      <c r="J384" s="40">
        <f>IF($A384="","",IFERROR(VLOOKUP($A384,'Maliyet Giris'!$A$2:$G$550,6,0),""))</f>
        <v>240</v>
      </c>
      <c r="K384" s="40">
        <f>IF($A384="","",IFERROR(VLOOKUP($A384,'Maliyet Giris'!$A$2:$G$550,7,0),""))</f>
        <v>0.5</v>
      </c>
    </row>
    <row r="385">
      <c r="A385" s="17">
        <f>IFERROR(__xludf.DUMMYFUNCTION("""COMPUTED_VALUE"""),3.182550702621E12)</f>
        <v>3182550702621</v>
      </c>
      <c r="B385" s="17" t="str">
        <f>IFERROR(__xludf.DUMMYFUNCTION("""COMPUTED_VALUE"""),"Royal Canin")</f>
        <v>Royal Canin</v>
      </c>
      <c r="C385" s="17" t="str">
        <f>IFERROR(__xludf.DUMMYFUNCTION("""COMPUTED_VALUE"""),"Persian Adult İran Yetişkin Kedi Maması 10 Kg")</f>
        <v>Persian Adult İran Yetişkin Kedi Maması 10 Kg</v>
      </c>
      <c r="D385" s="17"/>
      <c r="E385" s="17" t="str">
        <f>IFERROR(__xludf.DUMMYFUNCTION("""COMPUTED_VALUE"""),"Kedi Kuru Maması")</f>
        <v>Kedi Kuru Maması</v>
      </c>
      <c r="F385" s="17">
        <f>IFERROR(__xludf.DUMMYFUNCTION("""COMPUTED_VALUE"""),0.0)</f>
        <v>0</v>
      </c>
      <c r="G385" s="17"/>
      <c r="H385" s="17">
        <f>IFERROR(__xludf.DUMMYFUNCTION("""COMPUTED_VALUE"""),0.0)</f>
        <v>0</v>
      </c>
      <c r="I385" s="17" t="str">
        <f>IFERROR(__xludf.DUMMYFUNCTION("""COMPUTED_VALUE"""),"Onayli - Satista degil")</f>
        <v>Onayli - Satista degil</v>
      </c>
      <c r="J385" s="40">
        <f>IF($A385="","",IFERROR(VLOOKUP($A385,'Maliyet Giris'!$A$2:$G$550,6,0),""))</f>
        <v>4800</v>
      </c>
      <c r="K385" s="40">
        <f>IF($A385="","",IFERROR(VLOOKUP($A385,'Maliyet Giris'!$A$2:$G$550,7,0),""))</f>
        <v>3</v>
      </c>
    </row>
    <row r="386">
      <c r="A386" s="17">
        <f>IFERROR(__xludf.DUMMYFUNCTION("""COMPUTED_VALUE"""),3.182550805186E12)</f>
        <v>3182550805186</v>
      </c>
      <c r="B386" s="17" t="str">
        <f>IFERROR(__xludf.DUMMYFUNCTION("""COMPUTED_VALUE"""),"Royal Canin")</f>
        <v>Royal Canin</v>
      </c>
      <c r="C386" s="17" t="str">
        <f>IFERROR(__xludf.DUMMYFUNCTION("""COMPUTED_VALUE"""),"Sterilised Kısırlaştırılmış Yavru Kediler Için Kuru Kedi Maması 2kg")</f>
        <v>Sterilised Kısırlaştırılmış Yavru Kediler Için Kuru Kedi Maması 2kg</v>
      </c>
      <c r="D386" s="17"/>
      <c r="E386" s="17" t="str">
        <f>IFERROR(__xludf.DUMMYFUNCTION("""COMPUTED_VALUE"""),"Kedi Kuru Maması")</f>
        <v>Kedi Kuru Maması</v>
      </c>
      <c r="F386" s="17">
        <f>IFERROR(__xludf.DUMMYFUNCTION("""COMPUTED_VALUE"""),0.0)</f>
        <v>0</v>
      </c>
      <c r="G386" s="17"/>
      <c r="H386" s="17">
        <f>IFERROR(__xludf.DUMMYFUNCTION("""COMPUTED_VALUE"""),0.0)</f>
        <v>0</v>
      </c>
      <c r="I386" s="17" t="str">
        <f>IFERROR(__xludf.DUMMYFUNCTION("""COMPUTED_VALUE"""),"Onayli - Satista degil")</f>
        <v>Onayli - Satista degil</v>
      </c>
      <c r="J386" s="40">
        <f>IF($A386="","",IFERROR(VLOOKUP($A386,'Maliyet Giris'!$A$2:$G$550,6,0),""))</f>
        <v>1</v>
      </c>
      <c r="K386" s="40">
        <f>IF($A386="","",IFERROR(VLOOKUP($A386,'Maliyet Giris'!$A$2:$G$550,7,0),""))</f>
        <v>3</v>
      </c>
    </row>
    <row r="387">
      <c r="A387" s="17">
        <f>IFERROR(__xludf.DUMMYFUNCTION("""COMPUTED_VALUE"""),3.182550717144E12)</f>
        <v>3182550717144</v>
      </c>
      <c r="B387" s="17" t="str">
        <f>IFERROR(__xludf.DUMMYFUNCTION("""COMPUTED_VALUE"""),"Royal Canin")</f>
        <v>Royal Canin</v>
      </c>
      <c r="C387" s="17" t="str">
        <f>IFERROR(__xludf.DUMMYFUNCTION("""COMPUTED_VALUE"""),"Fussy Exigent Seçici Kediler Için Kuru Kedi Maması 4kg")</f>
        <v>Fussy Exigent Seçici Kediler Için Kuru Kedi Maması 4kg</v>
      </c>
      <c r="D387" s="17"/>
      <c r="E387" s="17" t="str">
        <f>IFERROR(__xludf.DUMMYFUNCTION("""COMPUTED_VALUE"""),"Kedi Kuru Maması")</f>
        <v>Kedi Kuru Maması</v>
      </c>
      <c r="F387" s="17">
        <f>IFERROR(__xludf.DUMMYFUNCTION("""COMPUTED_VALUE"""),0.0)</f>
        <v>0</v>
      </c>
      <c r="G387" s="17"/>
      <c r="H387" s="17">
        <f>IFERROR(__xludf.DUMMYFUNCTION("""COMPUTED_VALUE"""),0.0)</f>
        <v>0</v>
      </c>
      <c r="I387" s="17" t="str">
        <f>IFERROR(__xludf.DUMMYFUNCTION("""COMPUTED_VALUE"""),"Onayli - Satista degil")</f>
        <v>Onayli - Satista degil</v>
      </c>
      <c r="J387" s="40" t="str">
        <f>IF($A387="","",IFERROR(VLOOKUP($A387,'Maliyet Giris'!$A$2:$G$550,6,0),""))</f>
        <v/>
      </c>
      <c r="K387" s="40" t="str">
        <f>IF($A387="","",IFERROR(VLOOKUP($A387,'Maliyet Giris'!$A$2:$G$550,7,0),""))</f>
        <v/>
      </c>
    </row>
    <row r="388">
      <c r="A388" s="17">
        <f>IFERROR(__xludf.DUMMYFUNCTION("""COMPUTED_VALUE"""),3.182550732055E12)</f>
        <v>3182550732055</v>
      </c>
      <c r="B388" s="17" t="str">
        <f>IFERROR(__xludf.DUMMYFUNCTION("""COMPUTED_VALUE"""),"Royal Canin")</f>
        <v>Royal Canin</v>
      </c>
      <c r="C388" s="17" t="str">
        <f>IFERROR(__xludf.DUMMYFUNCTION("""COMPUTED_VALUE"""),"Büyük Irklar Için Yavru Kuru Köpek Maması 15kg")</f>
        <v>Büyük Irklar Için Yavru Kuru Köpek Maması 15kg</v>
      </c>
      <c r="D388" s="17"/>
      <c r="E388" s="17" t="str">
        <f>IFERROR(__xludf.DUMMYFUNCTION("""COMPUTED_VALUE"""),"Köpek Kuru Maması")</f>
        <v>Köpek Kuru Maması</v>
      </c>
      <c r="F388" s="17">
        <f>IFERROR(__xludf.DUMMYFUNCTION("""COMPUTED_VALUE"""),0.0)</f>
        <v>0</v>
      </c>
      <c r="G388" s="17"/>
      <c r="H388" s="17">
        <f>IFERROR(__xludf.DUMMYFUNCTION("""COMPUTED_VALUE"""),0.0)</f>
        <v>0</v>
      </c>
      <c r="I388" s="17" t="str">
        <f>IFERROR(__xludf.DUMMYFUNCTION("""COMPUTED_VALUE"""),"Onayli - Satista degil")</f>
        <v>Onayli - Satista degil</v>
      </c>
      <c r="J388" s="40" t="str">
        <f>IF($A388="","",IFERROR(VLOOKUP($A388,'Maliyet Giris'!$A$2:$G$550,6,0),""))</f>
        <v/>
      </c>
      <c r="K388" s="40" t="str">
        <f>IF($A388="","",IFERROR(VLOOKUP($A388,'Maliyet Giris'!$A$2:$G$550,7,0),""))</f>
        <v/>
      </c>
    </row>
    <row r="389">
      <c r="A389" s="17">
        <f>IFERROR(__xludf.DUMMYFUNCTION("""COMPUTED_VALUE"""),3.18255072166E12)</f>
        <v>3182550721660</v>
      </c>
      <c r="B389" s="17" t="str">
        <f>IFERROR(__xludf.DUMMYFUNCTION("""COMPUTED_VALUE"""),"Royal Canin")</f>
        <v>Royal Canin</v>
      </c>
      <c r="C389" s="17" t="str">
        <f>IFERROR(__xludf.DUMMYFUNCTION("""COMPUTED_VALUE"""),"Fussy Exigent Seçici Kediler Için Kuru Kedi Maması 10kg")</f>
        <v>Fussy Exigent Seçici Kediler Için Kuru Kedi Maması 10kg</v>
      </c>
      <c r="D389" s="17"/>
      <c r="E389" s="17" t="str">
        <f>IFERROR(__xludf.DUMMYFUNCTION("""COMPUTED_VALUE"""),"Kedi Kuru Maması")</f>
        <v>Kedi Kuru Maması</v>
      </c>
      <c r="F389" s="17">
        <f>IFERROR(__xludf.DUMMYFUNCTION("""COMPUTED_VALUE"""),0.0)</f>
        <v>0</v>
      </c>
      <c r="G389" s="17"/>
      <c r="H389" s="17">
        <f>IFERROR(__xludf.DUMMYFUNCTION("""COMPUTED_VALUE"""),0.0)</f>
        <v>0</v>
      </c>
      <c r="I389" s="17" t="str">
        <f>IFERROR(__xludf.DUMMYFUNCTION("""COMPUTED_VALUE"""),"Onayli - Satista degil")</f>
        <v>Onayli - Satista degil</v>
      </c>
      <c r="J389" s="40">
        <f>IF($A389="","",IFERROR(VLOOKUP($A389,'Maliyet Giris'!$A$2:$G$550,6,0),""))</f>
        <v>3109.54</v>
      </c>
      <c r="K389" s="40">
        <f>IF($A389="","",IFERROR(VLOOKUP($A389,'Maliyet Giris'!$A$2:$G$550,7,0),""))</f>
        <v>10</v>
      </c>
    </row>
    <row r="390">
      <c r="A390" s="17">
        <f>IFERROR(__xludf.DUMMYFUNCTION("""COMPUTED_VALUE"""),3.182550743471E12)</f>
        <v>3182550743471</v>
      </c>
      <c r="B390" s="17" t="str">
        <f>IFERROR(__xludf.DUMMYFUNCTION("""COMPUTED_VALUE"""),"Royal Canin")</f>
        <v>Royal Canin</v>
      </c>
      <c r="C390" s="17" t="str">
        <f>IFERROR(__xludf.DUMMYFUNCTION("""COMPUTED_VALUE"""),"Yorkshire Terrier Junior Yavru Köpek Maması 1.5 Kg")</f>
        <v>Yorkshire Terrier Junior Yavru Köpek Maması 1.5 Kg</v>
      </c>
      <c r="D390" s="17"/>
      <c r="E390" s="17" t="str">
        <f>IFERROR(__xludf.DUMMYFUNCTION("""COMPUTED_VALUE"""),"Köpek Kuru Maması")</f>
        <v>Köpek Kuru Maması</v>
      </c>
      <c r="F390" s="17">
        <f>IFERROR(__xludf.DUMMYFUNCTION("""COMPUTED_VALUE"""),0.0)</f>
        <v>0</v>
      </c>
      <c r="G390" s="17"/>
      <c r="H390" s="17">
        <f>IFERROR(__xludf.DUMMYFUNCTION("""COMPUTED_VALUE"""),0.0)</f>
        <v>0</v>
      </c>
      <c r="I390" s="17" t="str">
        <f>IFERROR(__xludf.DUMMYFUNCTION("""COMPUTED_VALUE"""),"Onayli - Satista degil")</f>
        <v>Onayli - Satista degil</v>
      </c>
      <c r="J390" s="40" t="str">
        <f>IF($A390="","",IFERROR(VLOOKUP($A390,'Maliyet Giris'!$A$2:$G$550,6,0),""))</f>
        <v/>
      </c>
      <c r="K390" s="40" t="str">
        <f>IF($A390="","",IFERROR(VLOOKUP($A390,'Maliyet Giris'!$A$2:$G$550,7,0),""))</f>
        <v/>
      </c>
    </row>
    <row r="391">
      <c r="A391" s="17">
        <f>IFERROR(__xludf.DUMMYFUNCTION("""COMPUTED_VALUE"""),3.182550710688E12)</f>
        <v>3182550710688</v>
      </c>
      <c r="B391" s="17" t="str">
        <f>IFERROR(__xludf.DUMMYFUNCTION("""COMPUTED_VALUE"""),"Royal Canin")</f>
        <v>Royal Canin</v>
      </c>
      <c r="C391" s="17" t="str">
        <f>IFERROR(__xludf.DUMMYFUNCTION("""COMPUTED_VALUE"""),"Siamese Adult Yetişkin Siyam Kedisi Maması 2 Kg")</f>
        <v>Siamese Adult Yetişkin Siyam Kedisi Maması 2 Kg</v>
      </c>
      <c r="D391" s="17"/>
      <c r="E391" s="17" t="str">
        <f>IFERROR(__xludf.DUMMYFUNCTION("""COMPUTED_VALUE"""),"Kedi Kuru Maması")</f>
        <v>Kedi Kuru Maması</v>
      </c>
      <c r="F391" s="17">
        <f>IFERROR(__xludf.DUMMYFUNCTION("""COMPUTED_VALUE"""),0.0)</f>
        <v>0</v>
      </c>
      <c r="G391" s="17"/>
      <c r="H391" s="17">
        <f>IFERROR(__xludf.DUMMYFUNCTION("""COMPUTED_VALUE"""),0.0)</f>
        <v>0</v>
      </c>
      <c r="I391" s="17" t="str">
        <f>IFERROR(__xludf.DUMMYFUNCTION("""COMPUTED_VALUE"""),"Onayli - Satista degil")</f>
        <v>Onayli - Satista degil</v>
      </c>
      <c r="J391" s="40">
        <f>IF($A391="","",IFERROR(VLOOKUP($A391,'Maliyet Giris'!$A$2:$G$550,6,0),""))</f>
        <v>1028.16</v>
      </c>
      <c r="K391" s="40">
        <f>IF($A391="","",IFERROR(VLOOKUP($A391,'Maliyet Giris'!$A$2:$G$550,7,0),""))</f>
        <v>2</v>
      </c>
    </row>
    <row r="392">
      <c r="A392" s="17">
        <f>IFERROR(__xludf.DUMMYFUNCTION("""COMPUTED_VALUE"""),3.182550722605E12)</f>
        <v>3182550722605</v>
      </c>
      <c r="B392" s="17" t="str">
        <f>IFERROR(__xludf.DUMMYFUNCTION("""COMPUTED_VALUE"""),"Royal Canin")</f>
        <v>Royal Canin</v>
      </c>
      <c r="C392" s="17" t="str">
        <f>IFERROR(__xludf.DUMMYFUNCTION("""COMPUTED_VALUE"""),"Shih Tzu Puppy Özel Irk Yavru Köpek Maması 1,5 kg (:03/2025) - Petshopundan")</f>
        <v>Shih Tzu Puppy Özel Irk Yavru Köpek Maması 1,5 kg (:03/2025) - Petshopundan</v>
      </c>
      <c r="D392" s="17"/>
      <c r="E392" s="17" t="str">
        <f>IFERROR(__xludf.DUMMYFUNCTION("""COMPUTED_VALUE"""),"Köpek Kuru Maması")</f>
        <v>Köpek Kuru Maması</v>
      </c>
      <c r="F392" s="17">
        <f>IFERROR(__xludf.DUMMYFUNCTION("""COMPUTED_VALUE"""),0.0)</f>
        <v>0</v>
      </c>
      <c r="G392" s="17"/>
      <c r="H392" s="17">
        <f>IFERROR(__xludf.DUMMYFUNCTION("""COMPUTED_VALUE"""),0.0)</f>
        <v>0</v>
      </c>
      <c r="I392" s="17" t="str">
        <f>IFERROR(__xludf.DUMMYFUNCTION("""COMPUTED_VALUE"""),"Onayli - Satista degil")</f>
        <v>Onayli - Satista degil</v>
      </c>
      <c r="J392" s="40">
        <f>IF($A392="","",IFERROR(VLOOKUP($A392,'Maliyet Giris'!$A$2:$G$550,6,0),""))</f>
        <v>1</v>
      </c>
      <c r="K392" s="40">
        <f>IF($A392="","",IFERROR(VLOOKUP($A392,'Maliyet Giris'!$A$2:$G$550,7,0),""))</f>
        <v>3</v>
      </c>
    </row>
    <row r="393">
      <c r="A393" s="17">
        <f>IFERROR(__xludf.DUMMYFUNCTION("""COMPUTED_VALUE"""),3.182550813051E12)</f>
        <v>3182550813051</v>
      </c>
      <c r="B393" s="17" t="str">
        <f>IFERROR(__xludf.DUMMYFUNCTION("""COMPUTED_VALUE"""),"Royal Canin")</f>
        <v>Royal Canin</v>
      </c>
      <c r="C393" s="17" t="str">
        <f>IFERROR(__xludf.DUMMYFUNCTION("""COMPUTED_VALUE"""),"Cavalier King Charles Puppy Yavru Köpek Kuru Maması 1,5 Kg")</f>
        <v>Cavalier King Charles Puppy Yavru Köpek Kuru Maması 1,5 Kg</v>
      </c>
      <c r="D393" s="17"/>
      <c r="E393" s="17" t="str">
        <f>IFERROR(__xludf.DUMMYFUNCTION("""COMPUTED_VALUE"""),"Köpek Kuru Maması")</f>
        <v>Köpek Kuru Maması</v>
      </c>
      <c r="F393" s="17">
        <f>IFERROR(__xludf.DUMMYFUNCTION("""COMPUTED_VALUE"""),0.0)</f>
        <v>0</v>
      </c>
      <c r="G393" s="17"/>
      <c r="H393" s="17">
        <f>IFERROR(__xludf.DUMMYFUNCTION("""COMPUTED_VALUE"""),0.0)</f>
        <v>0</v>
      </c>
      <c r="I393" s="17" t="str">
        <f>IFERROR(__xludf.DUMMYFUNCTION("""COMPUTED_VALUE"""),"Onayli - Satista degil")</f>
        <v>Onayli - Satista degil</v>
      </c>
      <c r="J393" s="40" t="str">
        <f>IF($A393="","",IFERROR(VLOOKUP($A393,'Maliyet Giris'!$A$2:$G$550,6,0),""))</f>
        <v/>
      </c>
      <c r="K393" s="40" t="str">
        <f>IF($A393="","",IFERROR(VLOOKUP($A393,'Maliyet Giris'!$A$2:$G$550,7,0),""))</f>
        <v/>
      </c>
    </row>
    <row r="394">
      <c r="A394" s="17" t="str">
        <f>IFERROR(__xludf.DUMMYFUNCTION("""COMPUTED_VALUE"""),"PX-RMBGRI")</f>
        <v>PX-RMBGRI</v>
      </c>
      <c r="B394" s="17" t="str">
        <f>IFERROR(__xludf.DUMMYFUNCTION("""COMPUTED_VALUE"""),"PetFix")</f>
        <v>PetFix</v>
      </c>
      <c r="C394" s="17" t="str">
        <f>IFERROR(__xludf.DUMMYFUNCTION("""COMPUTED_VALUE"""),"SupCool Kedi Ve Köpek Plastik Taşıma Çantası")</f>
        <v>SupCool Kedi Ve Köpek Plastik Taşıma Çantası</v>
      </c>
      <c r="D394" s="17" t="str">
        <f>IFERROR(__xludf.DUMMYFUNCTION("""COMPUTED_VALUE"""),"PX-RMBGRI")</f>
        <v>PX-RMBGRI</v>
      </c>
      <c r="E394" s="17" t="str">
        <f>IFERROR(__xludf.DUMMYFUNCTION("""COMPUTED_VALUE"""),"Kedi ve Köpek Taşıma Çantası")</f>
        <v>Kedi ve Köpek Taşıma Çantası</v>
      </c>
      <c r="F394" s="17">
        <f>IFERROR(__xludf.DUMMYFUNCTION("""COMPUTED_VALUE"""),999.0)</f>
        <v>999</v>
      </c>
      <c r="G394" s="17"/>
      <c r="H394" s="17">
        <f>IFERROR(__xludf.DUMMYFUNCTION("""COMPUTED_VALUE"""),0.0)</f>
        <v>0</v>
      </c>
      <c r="I394" s="17" t="str">
        <f>IFERROR(__xludf.DUMMYFUNCTION("""COMPUTED_VALUE"""),"Onayli - Satista degil")</f>
        <v>Onayli - Satista degil</v>
      </c>
      <c r="J394" s="40">
        <f>IF($A394="","",IFERROR(VLOOKUP($A394,'Maliyet Giris'!$A$2:$G$550,6,0),""))</f>
        <v>252</v>
      </c>
      <c r="K394" s="40">
        <f>IF($A394="","",IFERROR(VLOOKUP($A394,'Maliyet Giris'!$A$2:$G$550,7,0),""))</f>
        <v>18</v>
      </c>
    </row>
    <row r="395">
      <c r="A395" s="17" t="str">
        <f>IFERROR(__xludf.DUMMYFUNCTION("""COMPUTED_VALUE"""),"PX-RMBLAC")</f>
        <v>PX-RMBLAC</v>
      </c>
      <c r="B395" s="17" t="str">
        <f>IFERROR(__xludf.DUMMYFUNCTION("""COMPUTED_VALUE"""),"PetFix")</f>
        <v>PetFix</v>
      </c>
      <c r="C395" s="17" t="str">
        <f>IFERROR(__xludf.DUMMYFUNCTION("""COMPUTED_VALUE"""),"SupCool Kedi Ve Köpek Plastik Taşıma Çantası")</f>
        <v>SupCool Kedi Ve Köpek Plastik Taşıma Çantası</v>
      </c>
      <c r="D395" s="17" t="str">
        <f>IFERROR(__xludf.DUMMYFUNCTION("""COMPUTED_VALUE"""),"PX-RMBLAC")</f>
        <v>PX-RMBLAC</v>
      </c>
      <c r="E395" s="17" t="str">
        <f>IFERROR(__xludf.DUMMYFUNCTION("""COMPUTED_VALUE"""),"Kedi ve Köpek Taşıma Çantası")</f>
        <v>Kedi ve Köpek Taşıma Çantası</v>
      </c>
      <c r="F395" s="17">
        <f>IFERROR(__xludf.DUMMYFUNCTION("""COMPUTED_VALUE"""),999.0)</f>
        <v>999</v>
      </c>
      <c r="G395" s="17"/>
      <c r="H395" s="17">
        <f>IFERROR(__xludf.DUMMYFUNCTION("""COMPUTED_VALUE"""),0.0)</f>
        <v>0</v>
      </c>
      <c r="I395" s="17" t="str">
        <f>IFERROR(__xludf.DUMMYFUNCTION("""COMPUTED_VALUE"""),"Onayli - Satista degil")</f>
        <v>Onayli - Satista degil</v>
      </c>
      <c r="J395" s="40">
        <f>IF($A395="","",IFERROR(VLOOKUP($A395,'Maliyet Giris'!$A$2:$G$550,6,0),""))</f>
        <v>252</v>
      </c>
      <c r="K395" s="40">
        <f>IF($A395="","",IFERROR(VLOOKUP($A395,'Maliyet Giris'!$A$2:$G$550,7,0),""))</f>
        <v>18</v>
      </c>
    </row>
    <row r="396">
      <c r="A396" s="17" t="str">
        <f>IFERROR(__xludf.DUMMYFUNCTION("""COMPUTED_VALUE"""),"PX-RMBPEM")</f>
        <v>PX-RMBPEM</v>
      </c>
      <c r="B396" s="17" t="str">
        <f>IFERROR(__xludf.DUMMYFUNCTION("""COMPUTED_VALUE"""),"PetFix")</f>
        <v>PetFix</v>
      </c>
      <c r="C396" s="17" t="str">
        <f>IFERROR(__xludf.DUMMYFUNCTION("""COMPUTED_VALUE"""),"SupCool Kedi Ve Köpek Plastik Taşıma Çantası")</f>
        <v>SupCool Kedi Ve Köpek Plastik Taşıma Çantası</v>
      </c>
      <c r="D396" s="17" t="str">
        <f>IFERROR(__xludf.DUMMYFUNCTION("""COMPUTED_VALUE"""),"PX-RMBPEM")</f>
        <v>PX-RMBPEM</v>
      </c>
      <c r="E396" s="17" t="str">
        <f>IFERROR(__xludf.DUMMYFUNCTION("""COMPUTED_VALUE"""),"Kedi ve Köpek Taşıma Çantası")</f>
        <v>Kedi ve Köpek Taşıma Çantası</v>
      </c>
      <c r="F396" s="17">
        <f>IFERROR(__xludf.DUMMYFUNCTION("""COMPUTED_VALUE"""),999.0)</f>
        <v>999</v>
      </c>
      <c r="G396" s="17"/>
      <c r="H396" s="17">
        <f>IFERROR(__xludf.DUMMYFUNCTION("""COMPUTED_VALUE"""),0.0)</f>
        <v>0</v>
      </c>
      <c r="I396" s="17" t="str">
        <f>IFERROR(__xludf.DUMMYFUNCTION("""COMPUTED_VALUE"""),"Onayli - Satista degil")</f>
        <v>Onayli - Satista degil</v>
      </c>
      <c r="J396" s="40">
        <f>IF($A396="","",IFERROR(VLOOKUP($A396,'Maliyet Giris'!$A$2:$G$550,6,0),""))</f>
        <v>252</v>
      </c>
      <c r="K396" s="40">
        <f>IF($A396="","",IFERROR(VLOOKUP($A396,'Maliyet Giris'!$A$2:$G$550,7,0),""))</f>
        <v>18</v>
      </c>
    </row>
    <row r="397">
      <c r="A397" s="17" t="str">
        <f>IFERROR(__xludf.DUMMYFUNCTION("""COMPUTED_VALUE"""),"PX-RMBYES")</f>
        <v>PX-RMBYES</v>
      </c>
      <c r="B397" s="17" t="str">
        <f>IFERROR(__xludf.DUMMYFUNCTION("""COMPUTED_VALUE"""),"PetFix")</f>
        <v>PetFix</v>
      </c>
      <c r="C397" s="17" t="str">
        <f>IFERROR(__xludf.DUMMYFUNCTION("""COMPUTED_VALUE"""),"SupCool Kedi Ve Köpek Plastik Taşıma Çantası")</f>
        <v>SupCool Kedi Ve Köpek Plastik Taşıma Çantası</v>
      </c>
      <c r="D397" s="17" t="str">
        <f>IFERROR(__xludf.DUMMYFUNCTION("""COMPUTED_VALUE"""),"PX-RMBYES")</f>
        <v>PX-RMBYES</v>
      </c>
      <c r="E397" s="17" t="str">
        <f>IFERROR(__xludf.DUMMYFUNCTION("""COMPUTED_VALUE"""),"Kedi ve Köpek Taşıma Çantası")</f>
        <v>Kedi ve Köpek Taşıma Çantası</v>
      </c>
      <c r="F397" s="17">
        <f>IFERROR(__xludf.DUMMYFUNCTION("""COMPUTED_VALUE"""),999.0)</f>
        <v>999</v>
      </c>
      <c r="G397" s="17"/>
      <c r="H397" s="17">
        <f>IFERROR(__xludf.DUMMYFUNCTION("""COMPUTED_VALUE"""),0.0)</f>
        <v>0</v>
      </c>
      <c r="I397" s="17" t="str">
        <f>IFERROR(__xludf.DUMMYFUNCTION("""COMPUTED_VALUE"""),"Onayli - Satista degil")</f>
        <v>Onayli - Satista degil</v>
      </c>
      <c r="J397" s="40">
        <f>IF($A397="","",IFERROR(VLOOKUP($A397,'Maliyet Giris'!$A$2:$G$550,6,0),""))</f>
        <v>252</v>
      </c>
      <c r="K397" s="40">
        <f>IF($A397="","",IFERROR(VLOOKUP($A397,'Maliyet Giris'!$A$2:$G$550,7,0),""))</f>
        <v>18</v>
      </c>
    </row>
    <row r="398">
      <c r="A398" s="17" t="str">
        <f>IFERROR(__xludf.DUMMYFUNCTION("""COMPUTED_VALUE"""),"PX-RMBTUR")</f>
        <v>PX-RMBTUR</v>
      </c>
      <c r="B398" s="17" t="str">
        <f>IFERROR(__xludf.DUMMYFUNCTION("""COMPUTED_VALUE"""),"PetFix")</f>
        <v>PetFix</v>
      </c>
      <c r="C398" s="17" t="str">
        <f>IFERROR(__xludf.DUMMYFUNCTION("""COMPUTED_VALUE"""),"SupCool Kedi Ve Köpek Plastik Taşıma Çantası")</f>
        <v>SupCool Kedi Ve Köpek Plastik Taşıma Çantası</v>
      </c>
      <c r="D398" s="17" t="str">
        <f>IFERROR(__xludf.DUMMYFUNCTION("""COMPUTED_VALUE"""),"PX-RMBTUR")</f>
        <v>PX-RMBTUR</v>
      </c>
      <c r="E398" s="17" t="str">
        <f>IFERROR(__xludf.DUMMYFUNCTION("""COMPUTED_VALUE"""),"Kedi ve Köpek Taşıma Çantası")</f>
        <v>Kedi ve Köpek Taşıma Çantası</v>
      </c>
      <c r="F398" s="17">
        <f>IFERROR(__xludf.DUMMYFUNCTION("""COMPUTED_VALUE"""),999.0)</f>
        <v>999</v>
      </c>
      <c r="G398" s="17"/>
      <c r="H398" s="17">
        <f>IFERROR(__xludf.DUMMYFUNCTION("""COMPUTED_VALUE"""),0.0)</f>
        <v>0</v>
      </c>
      <c r="I398" s="17" t="str">
        <f>IFERROR(__xludf.DUMMYFUNCTION("""COMPUTED_VALUE"""),"Onayli - Satista degil")</f>
        <v>Onayli - Satista degil</v>
      </c>
      <c r="J398" s="40">
        <f>IF($A398="","",IFERROR(VLOOKUP($A398,'Maliyet Giris'!$A$2:$G$550,6,0),""))</f>
        <v>252</v>
      </c>
      <c r="K398" s="40">
        <f>IF($A398="","",IFERROR(VLOOKUP($A398,'Maliyet Giris'!$A$2:$G$550,7,0),""))</f>
        <v>18</v>
      </c>
    </row>
    <row r="399">
      <c r="A399" s="17" t="str">
        <f>IFERROR(__xludf.DUMMYFUNCTION("""COMPUTED_VALUE"""),"PX-RMBSIY")</f>
        <v>PX-RMBSIY</v>
      </c>
      <c r="B399" s="17" t="str">
        <f>IFERROR(__xludf.DUMMYFUNCTION("""COMPUTED_VALUE"""),"PetFix")</f>
        <v>PetFix</v>
      </c>
      <c r="C399" s="17" t="str">
        <f>IFERROR(__xludf.DUMMYFUNCTION("""COMPUTED_VALUE"""),"SupCool Kedi Ve Köpek Plastik Taşıma Çantası")</f>
        <v>SupCool Kedi Ve Köpek Plastik Taşıma Çantası</v>
      </c>
      <c r="D399" s="17" t="str">
        <f>IFERROR(__xludf.DUMMYFUNCTION("""COMPUTED_VALUE"""),"PX-RMBSIY")</f>
        <v>PX-RMBSIY</v>
      </c>
      <c r="E399" s="17" t="str">
        <f>IFERROR(__xludf.DUMMYFUNCTION("""COMPUTED_VALUE"""),"Kedi ve Köpek Taşıma Çantası")</f>
        <v>Kedi ve Köpek Taşıma Çantası</v>
      </c>
      <c r="F399" s="17">
        <f>IFERROR(__xludf.DUMMYFUNCTION("""COMPUTED_VALUE"""),999.0)</f>
        <v>999</v>
      </c>
      <c r="G399" s="17"/>
      <c r="H399" s="17">
        <f>IFERROR(__xludf.DUMMYFUNCTION("""COMPUTED_VALUE"""),0.0)</f>
        <v>0</v>
      </c>
      <c r="I399" s="17" t="str">
        <f>IFERROR(__xludf.DUMMYFUNCTION("""COMPUTED_VALUE"""),"Onayli - Satista degil")</f>
        <v>Onayli - Satista degil</v>
      </c>
      <c r="J399" s="40">
        <f>IF($A399="","",IFERROR(VLOOKUP($A399,'Maliyet Giris'!$A$2:$G$550,6,0),""))</f>
        <v>252</v>
      </c>
      <c r="K399" s="40">
        <f>IF($A399="","",IFERROR(VLOOKUP($A399,'Maliyet Giris'!$A$2:$G$550,7,0),""))</f>
        <v>18</v>
      </c>
    </row>
    <row r="400">
      <c r="A400" s="17">
        <f>IFERROR(__xludf.DUMMYFUNCTION("""COMPUTED_VALUE"""),7.95258613316E11)</f>
        <v>795258613316</v>
      </c>
      <c r="B400" s="17" t="str">
        <f>IFERROR(__xludf.DUMMYFUNCTION("""COMPUTED_VALUE"""),"Pro Plan")</f>
        <v>Pro Plan</v>
      </c>
      <c r="C400" s="17" t="str">
        <f>IFERROR(__xludf.DUMMYFUNCTION("""COMPUTED_VALUE"""),"Proplan Delicate Hassas Sindirim Sistemi Kedi Konserve 85gr 12'li")</f>
        <v>Proplan Delicate Hassas Sindirim Sistemi Kedi Konserve 85gr 12'li</v>
      </c>
      <c r="D400" s="17"/>
      <c r="E400" s="17" t="str">
        <f>IFERROR(__xludf.DUMMYFUNCTION("""COMPUTED_VALUE"""),"Kedi Konserve Maması")</f>
        <v>Kedi Konserve Maması</v>
      </c>
      <c r="F400" s="17">
        <f>IFERROR(__xludf.DUMMYFUNCTION("""COMPUTED_VALUE"""),678.0)</f>
        <v>678</v>
      </c>
      <c r="G400" s="17"/>
      <c r="H400" s="17">
        <f>IFERROR(__xludf.DUMMYFUNCTION("""COMPUTED_VALUE"""),0.0)</f>
        <v>0</v>
      </c>
      <c r="I400" s="17" t="str">
        <f>IFERROR(__xludf.DUMMYFUNCTION("""COMPUTED_VALUE"""),"Onayli - Satista degil")</f>
        <v>Onayli - Satista degil</v>
      </c>
      <c r="J400" s="40">
        <f>IF($A400="","",IFERROR(VLOOKUP($A400,'Maliyet Giris'!$A$2:$G$550,6,0),""))</f>
        <v>570</v>
      </c>
      <c r="K400" s="40">
        <f>IF($A400="","",IFERROR(VLOOKUP($A400,'Maliyet Giris'!$A$2:$G$550,7,0),""))</f>
        <v>3</v>
      </c>
    </row>
    <row r="401">
      <c r="A401" s="17">
        <f>IFERROR(__xludf.DUMMYFUNCTION("""COMPUTED_VALUE"""),5.5822100929714E13)</f>
        <v>55822100929714</v>
      </c>
      <c r="B401" s="17" t="str">
        <f>IFERROR(__xludf.DUMMYFUNCTION("""COMPUTED_VALUE"""),"Miamor")</f>
        <v>Miamor</v>
      </c>
      <c r="C401" s="17" t="str">
        <f>IFERROR(__xludf.DUMMYFUNCTION("""COMPUTED_VALUE"""),"Cream 4 Çeşit Kedi Kreaması 6 x 15 Gr. 4 Lü Paket")</f>
        <v>Cream 4 Çeşit Kedi Kreaması 6 x 15 Gr. 4 Lü Paket</v>
      </c>
      <c r="D401" s="17"/>
      <c r="E401" s="17" t="str">
        <f>IFERROR(__xludf.DUMMYFUNCTION("""COMPUTED_VALUE"""),"Kedi Ödülü")</f>
        <v>Kedi Ödülü</v>
      </c>
      <c r="F401" s="17">
        <f>IFERROR(__xludf.DUMMYFUNCTION("""COMPUTED_VALUE"""),1050.0)</f>
        <v>1050</v>
      </c>
      <c r="G401" s="17">
        <f>IFERROR(__xludf.DUMMYFUNCTION("""COMPUTED_VALUE"""),965.0)</f>
        <v>965</v>
      </c>
      <c r="H401" s="17">
        <f>IFERROR(__xludf.DUMMYFUNCTION("""COMPUTED_VALUE"""),4.0)</f>
        <v>4</v>
      </c>
      <c r="I401" s="17" t="str">
        <f>IFERROR(__xludf.DUMMYFUNCTION("""COMPUTED_VALUE"""),"Onayli")</f>
        <v>Onayli</v>
      </c>
      <c r="J401" s="40">
        <f>IF($A401="","",IFERROR(VLOOKUP($A401,'Maliyet Giris'!$A$2:$G$550,6,0),""))</f>
        <v>696</v>
      </c>
      <c r="K401" s="40">
        <f>IF($A401="","",IFERROR(VLOOKUP($A401,'Maliyet Giris'!$A$2:$G$550,7,0),""))</f>
        <v>0.5</v>
      </c>
    </row>
    <row r="402">
      <c r="A402" s="17" t="str">
        <f>IFERROR(__xludf.DUMMYFUNCTION("""COMPUTED_VALUE"""),"TYBNWLSBYFQNY4SV00")</f>
        <v>TYBNWLSBYFQNY4SV00</v>
      </c>
      <c r="B402" s="17" t="str">
        <f>IFERROR(__xludf.DUMMYFUNCTION("""COMPUTED_VALUE"""),"Royal Canin")</f>
        <v>Royal Canin</v>
      </c>
      <c r="C402" s="17" t="str">
        <f>IFERROR(__xludf.DUMMYFUNCTION("""COMPUTED_VALUE"""),"Medium Puppy 15kg Puppy Junior Orta Irk Yavru Köpek Maması")</f>
        <v>Medium Puppy 15kg Puppy Junior Orta Irk Yavru Köpek Maması</v>
      </c>
      <c r="D402" s="17"/>
      <c r="E402" s="17" t="str">
        <f>IFERROR(__xludf.DUMMYFUNCTION("""COMPUTED_VALUE"""),"Köpek Kuru Maması")</f>
        <v>Köpek Kuru Maması</v>
      </c>
      <c r="F402" s="17">
        <f>IFERROR(__xludf.DUMMYFUNCTION("""COMPUTED_VALUE"""),0.0)</f>
        <v>0</v>
      </c>
      <c r="G402" s="17"/>
      <c r="H402" s="17">
        <f>IFERROR(__xludf.DUMMYFUNCTION("""COMPUTED_VALUE"""),0.0)</f>
        <v>0</v>
      </c>
      <c r="I402" s="17" t="str">
        <f>IFERROR(__xludf.DUMMYFUNCTION("""COMPUTED_VALUE"""),"Onayli - Satista degil")</f>
        <v>Onayli - Satista degil</v>
      </c>
      <c r="J402" s="40">
        <f>IF($A402="","",IFERROR(VLOOKUP($A402,'Maliyet Giris'!$A$2:$G$550,6,0),""))</f>
        <v>4065</v>
      </c>
      <c r="K402" s="40">
        <f>IF($A402="","",IFERROR(VLOOKUP($A402,'Maliyet Giris'!$A$2:$G$550,7,0),""))</f>
        <v>15</v>
      </c>
    </row>
    <row r="403">
      <c r="A403" s="17">
        <f>IFERROR(__xludf.DUMMYFUNCTION("""COMPUTED_VALUE"""),3.182550402217E12)</f>
        <v>3182550402217</v>
      </c>
      <c r="B403" s="17" t="str">
        <f>IFERROR(__xludf.DUMMYFUNCTION("""COMPUTED_VALUE"""),"Royal Canin")</f>
        <v>Royal Canin</v>
      </c>
      <c r="C403" s="17" t="str">
        <f>IFERROR(__xludf.DUMMYFUNCTION("""COMPUTED_VALUE"""),"Medıum Adult Orta Irklar Için Yetişkin Kuru Köpek Maması 15 Kg")</f>
        <v>Medıum Adult Orta Irklar Için Yetişkin Kuru Köpek Maması 15 Kg</v>
      </c>
      <c r="D403" s="17"/>
      <c r="E403" s="17" t="str">
        <f>IFERROR(__xludf.DUMMYFUNCTION("""COMPUTED_VALUE"""),"Köpek Kuru Maması")</f>
        <v>Köpek Kuru Maması</v>
      </c>
      <c r="F403" s="17">
        <f>IFERROR(__xludf.DUMMYFUNCTION("""COMPUTED_VALUE"""),0.0)</f>
        <v>0</v>
      </c>
      <c r="G403" s="17"/>
      <c r="H403" s="17">
        <f>IFERROR(__xludf.DUMMYFUNCTION("""COMPUTED_VALUE"""),0.0)</f>
        <v>0</v>
      </c>
      <c r="I403" s="17" t="str">
        <f>IFERROR(__xludf.DUMMYFUNCTION("""COMPUTED_VALUE"""),"Onayli - Satista degil")</f>
        <v>Onayli - Satista degil</v>
      </c>
      <c r="J403" s="40">
        <f>IF($A403="","",IFERROR(VLOOKUP($A403,'Maliyet Giris'!$A$2:$G$550,6,0),""))</f>
        <v>1</v>
      </c>
      <c r="K403" s="40">
        <f>IF($A403="","",IFERROR(VLOOKUP($A403,'Maliyet Giris'!$A$2:$G$550,7,0),""))</f>
        <v>3</v>
      </c>
    </row>
    <row r="404">
      <c r="A404" s="17" t="str">
        <f>IFERROR(__xludf.DUMMYFUNCTION("""COMPUTED_VALUE"""),"ACB0300615000")</f>
        <v>ACB0300615000</v>
      </c>
      <c r="B404" s="17" t="str">
        <f>IFERROR(__xludf.DUMMYFUNCTION("""COMPUTED_VALUE"""),"Royal Canin")</f>
        <v>Royal Canin</v>
      </c>
      <c r="C404" s="17" t="str">
        <f>IFERROR(__xludf.DUMMYFUNCTION("""COMPUTED_VALUE"""),"Maxi Puppy Büyük Irk Yavru Köpek Maması 15 Kg")</f>
        <v>Maxi Puppy Büyük Irk Yavru Köpek Maması 15 Kg</v>
      </c>
      <c r="D404" s="17"/>
      <c r="E404" s="17" t="str">
        <f>IFERROR(__xludf.DUMMYFUNCTION("""COMPUTED_VALUE"""),"Köpek Kuru Maması")</f>
        <v>Köpek Kuru Maması</v>
      </c>
      <c r="F404" s="17">
        <f>IFERROR(__xludf.DUMMYFUNCTION("""COMPUTED_VALUE"""),0.0)</f>
        <v>0</v>
      </c>
      <c r="G404" s="17"/>
      <c r="H404" s="17">
        <f>IFERROR(__xludf.DUMMYFUNCTION("""COMPUTED_VALUE"""),0.0)</f>
        <v>0</v>
      </c>
      <c r="I404" s="17" t="str">
        <f>IFERROR(__xludf.DUMMYFUNCTION("""COMPUTED_VALUE"""),"Onayli - Satista degil")</f>
        <v>Onayli - Satista degil</v>
      </c>
      <c r="J404" s="40">
        <f>IF($A404="","",IFERROR(VLOOKUP($A404,'Maliyet Giris'!$A$2:$G$550,6,0),""))</f>
        <v>3638</v>
      </c>
      <c r="K404" s="40">
        <f>IF($A404="","",IFERROR(VLOOKUP($A404,'Maliyet Giris'!$A$2:$G$550,7,0),""))</f>
        <v>3</v>
      </c>
    </row>
    <row r="405">
      <c r="A405" s="17" t="str">
        <f>IFERROR(__xludf.DUMMYFUNCTION("""COMPUTED_VALUE"""),"TYBNRZPYIF62SXCQ43")</f>
        <v>TYBNRZPYIF62SXCQ43</v>
      </c>
      <c r="B405" s="17" t="str">
        <f>IFERROR(__xludf.DUMMYFUNCTION("""COMPUTED_VALUE"""),"Royal Canin")</f>
        <v>Royal Canin</v>
      </c>
      <c r="C405" s="17" t="str">
        <f>IFERROR(__xludf.DUMMYFUNCTION("""COMPUTED_VALUE"""),"Maxi Adult 15 kg")</f>
        <v>Maxi Adult 15 kg</v>
      </c>
      <c r="D405" s="17"/>
      <c r="E405" s="17" t="str">
        <f>IFERROR(__xludf.DUMMYFUNCTION("""COMPUTED_VALUE"""),"Köpek Kuru Maması")</f>
        <v>Köpek Kuru Maması</v>
      </c>
      <c r="F405" s="17">
        <f>IFERROR(__xludf.DUMMYFUNCTION("""COMPUTED_VALUE"""),0.0)</f>
        <v>0</v>
      </c>
      <c r="G405" s="17"/>
      <c r="H405" s="17">
        <f>IFERROR(__xludf.DUMMYFUNCTION("""COMPUTED_VALUE"""),0.0)</f>
        <v>0</v>
      </c>
      <c r="I405" s="17" t="str">
        <f>IFERROR(__xludf.DUMMYFUNCTION("""COMPUTED_VALUE"""),"Onayli - Satista degil")</f>
        <v>Onayli - Satista degil</v>
      </c>
      <c r="J405" s="40">
        <f>IF($A405="","",IFERROR(VLOOKUP($A405,'Maliyet Giris'!$A$2:$G$550,6,0),""))</f>
        <v>17</v>
      </c>
      <c r="K405" s="40">
        <f>IF($A405="","",IFERROR(VLOOKUP($A405,'Maliyet Giris'!$A$2:$G$550,7,0),""))</f>
        <v>3</v>
      </c>
    </row>
    <row r="406">
      <c r="A406" s="17">
        <f>IFERROR(__xludf.DUMMYFUNCTION("""COMPUTED_VALUE"""),3.182550732154E12)</f>
        <v>3182550732154</v>
      </c>
      <c r="B406" s="17" t="str">
        <f>IFERROR(__xludf.DUMMYFUNCTION("""COMPUTED_VALUE"""),"Royal Canin")</f>
        <v>Royal Canin</v>
      </c>
      <c r="C406" s="17" t="str">
        <f>IFERROR(__xludf.DUMMYFUNCTION("""COMPUTED_VALUE"""),"Maxi Adult Büyük Irklar Için Yetişkin Kuru Köpek Maması 15 Kg")</f>
        <v>Maxi Adult Büyük Irklar Için Yetişkin Kuru Köpek Maması 15 Kg</v>
      </c>
      <c r="D406" s="17"/>
      <c r="E406" s="17" t="str">
        <f>IFERROR(__xludf.DUMMYFUNCTION("""COMPUTED_VALUE"""),"Köpek Kuru Maması")</f>
        <v>Köpek Kuru Maması</v>
      </c>
      <c r="F406" s="17">
        <f>IFERROR(__xludf.DUMMYFUNCTION("""COMPUTED_VALUE"""),0.0)</f>
        <v>0</v>
      </c>
      <c r="G406" s="17"/>
      <c r="H406" s="17">
        <f>IFERROR(__xludf.DUMMYFUNCTION("""COMPUTED_VALUE"""),0.0)</f>
        <v>0</v>
      </c>
      <c r="I406" s="17" t="str">
        <f>IFERROR(__xludf.DUMMYFUNCTION("""COMPUTED_VALUE"""),"Onayli - Satista degil")</f>
        <v>Onayli - Satista degil</v>
      </c>
      <c r="J406" s="40">
        <f>IF($A406="","",IFERROR(VLOOKUP($A406,'Maliyet Giris'!$A$2:$G$550,6,0),""))</f>
        <v>1</v>
      </c>
      <c r="K406" s="40">
        <f>IF($A406="","",IFERROR(VLOOKUP($A406,'Maliyet Giris'!$A$2:$G$550,7,0),""))</f>
        <v>3</v>
      </c>
    </row>
    <row r="407">
      <c r="A407" s="17" t="str">
        <f>IFERROR(__xludf.DUMMYFUNCTION("""COMPUTED_VALUE"""),"TYB2K1SGFGO301J268")</f>
        <v>TYB2K1SGFGO301J268</v>
      </c>
      <c r="B407" s="17" t="str">
        <f>IFERROR(__xludf.DUMMYFUNCTION("""COMPUTED_VALUE"""),"Pro Plan")</f>
        <v>Pro Plan</v>
      </c>
      <c r="C407" s="17" t="str">
        <f>IFERROR(__xludf.DUMMYFUNCTION("""COMPUTED_VALUE"""),"Junior Tavuklu Yavru Kedi Konservesi 85gr X 24adet")</f>
        <v>Junior Tavuklu Yavru Kedi Konservesi 85gr X 24adet</v>
      </c>
      <c r="D407" s="17"/>
      <c r="E407" s="17" t="str">
        <f>IFERROR(__xludf.DUMMYFUNCTION("""COMPUTED_VALUE"""),"Kedi Konserve Maması")</f>
        <v>Kedi Konserve Maması</v>
      </c>
      <c r="F407" s="17">
        <f>IFERROR(__xludf.DUMMYFUNCTION("""COMPUTED_VALUE"""),1250.0)</f>
        <v>1250</v>
      </c>
      <c r="G407" s="17">
        <f>IFERROR(__xludf.DUMMYFUNCTION("""COMPUTED_VALUE"""),795.0)</f>
        <v>795</v>
      </c>
      <c r="H407" s="17">
        <f>IFERROR(__xludf.DUMMYFUNCTION("""COMPUTED_VALUE"""),10.0)</f>
        <v>10</v>
      </c>
      <c r="I407" s="17" t="str">
        <f>IFERROR(__xludf.DUMMYFUNCTION("""COMPUTED_VALUE"""),"Onayli")</f>
        <v>Onayli</v>
      </c>
      <c r="J407" s="40">
        <f>IF($A407="","",IFERROR(VLOOKUP($A407,'Maliyet Giris'!$A$2:$G$550,6,0),""))</f>
        <v>570</v>
      </c>
      <c r="K407" s="40">
        <f>IF($A407="","",IFERROR(VLOOKUP($A407,'Maliyet Giris'!$A$2:$G$550,7,0),""))</f>
        <v>3</v>
      </c>
    </row>
    <row r="408">
      <c r="A408" s="17">
        <f>IFERROR(__xludf.DUMMYFUNCTION("""COMPUTED_VALUE"""),985474.0)</f>
        <v>985474</v>
      </c>
      <c r="B408" s="17" t="str">
        <f>IFERROR(__xludf.DUMMYFUNCTION("""COMPUTED_VALUE"""),"Pro Plan")</f>
        <v>Pro Plan</v>
      </c>
      <c r="C408" s="17" t="str">
        <f>IFERROR(__xludf.DUMMYFUNCTION("""COMPUTED_VALUE"""),"Proplan Sterilised Somon Kısır Kedi Konservesi 85 Gr X 12 Adet Yaş Mama")</f>
        <v>Proplan Sterilised Somon Kısır Kedi Konservesi 85 Gr X 12 Adet Yaş Mama</v>
      </c>
      <c r="D408" s="17"/>
      <c r="E408" s="17" t="str">
        <f>IFERROR(__xludf.DUMMYFUNCTION("""COMPUTED_VALUE"""),"Kedi Kuru Maması")</f>
        <v>Kedi Kuru Maması</v>
      </c>
      <c r="F408" s="17">
        <f>IFERROR(__xludf.DUMMYFUNCTION("""COMPUTED_VALUE"""),625.0)</f>
        <v>625</v>
      </c>
      <c r="G408" s="17">
        <f>IFERROR(__xludf.DUMMYFUNCTION("""COMPUTED_VALUE"""),520.0)</f>
        <v>520</v>
      </c>
      <c r="H408" s="17">
        <f>IFERROR(__xludf.DUMMYFUNCTION("""COMPUTED_VALUE"""),6.0)</f>
        <v>6</v>
      </c>
      <c r="I408" s="17" t="str">
        <f>IFERROR(__xludf.DUMMYFUNCTION("""COMPUTED_VALUE"""),"Onayli")</f>
        <v>Onayli</v>
      </c>
      <c r="J408" s="40">
        <f>IF($A408="","",IFERROR(VLOOKUP($A408,'Maliyet Giris'!$A$2:$G$550,6,0),""))</f>
        <v>350</v>
      </c>
      <c r="K408" s="40">
        <f>IF($A408="","",IFERROR(VLOOKUP($A408,'Maliyet Giris'!$A$2:$G$550,7,0),""))</f>
        <v>3</v>
      </c>
    </row>
    <row r="409">
      <c r="A409" s="17">
        <f>IFERROR(__xludf.DUMMYFUNCTION("""COMPUTED_VALUE"""),7.613038944593E12)</f>
        <v>7613038944593</v>
      </c>
      <c r="B409" s="17" t="str">
        <f>IFERROR(__xludf.DUMMYFUNCTION("""COMPUTED_VALUE"""),"Pro Plan")</f>
        <v>Pro Plan</v>
      </c>
      <c r="C409" s="17" t="str">
        <f>IFERROR(__xludf.DUMMYFUNCTION("""COMPUTED_VALUE"""),"Hydra Care Kediler İçin Su Alımını Destekleyici Besin Takviyesi 10x85gr")</f>
        <v>Hydra Care Kediler İçin Su Alımını Destekleyici Besin Takviyesi 10x85gr</v>
      </c>
      <c r="D409" s="17"/>
      <c r="E409" s="17" t="str">
        <f>IFERROR(__xludf.DUMMYFUNCTION("""COMPUTED_VALUE"""),"Kedi Konserve Maması")</f>
        <v>Kedi Konserve Maması</v>
      </c>
      <c r="F409" s="17">
        <f>IFERROR(__xludf.DUMMYFUNCTION("""COMPUTED_VALUE"""),400.0)</f>
        <v>400</v>
      </c>
      <c r="G409" s="17"/>
      <c r="H409" s="17">
        <f>IFERROR(__xludf.DUMMYFUNCTION("""COMPUTED_VALUE"""),0.0)</f>
        <v>0</v>
      </c>
      <c r="I409" s="17" t="str">
        <f>IFERROR(__xludf.DUMMYFUNCTION("""COMPUTED_VALUE"""),"Onayli - Satista degil")</f>
        <v>Onayli - Satista degil</v>
      </c>
      <c r="J409" s="40" t="str">
        <f>IF($A409="","",IFERROR(VLOOKUP($A409,'Maliyet Giris'!$A$2:$G$550,6,0),""))</f>
        <v/>
      </c>
      <c r="K409" s="40" t="str">
        <f>IF($A409="","",IFERROR(VLOOKUP($A409,'Maliyet Giris'!$A$2:$G$550,7,0),""))</f>
        <v/>
      </c>
    </row>
    <row r="410">
      <c r="A410" s="17">
        <f>IFERROR(__xludf.DUMMYFUNCTION("""COMPUTED_VALUE"""),8.6974221000021E13)</f>
        <v>86974221000021</v>
      </c>
      <c r="B410" s="17" t="str">
        <f>IFERROR(__xludf.DUMMYFUNCTION("""COMPUTED_VALUE"""),"Pro Plan")</f>
        <v>Pro Plan</v>
      </c>
      <c r="C410" s="17" t="str">
        <f>IFERROR(__xludf.DUMMYFUNCTION("""COMPUTED_VALUE"""),"Junior Tavuklu Yavru Kedi Konservesi 85 Gr X 12 Adet")</f>
        <v>Junior Tavuklu Yavru Kedi Konservesi 85 Gr X 12 Adet</v>
      </c>
      <c r="D410" s="17"/>
      <c r="E410" s="17" t="str">
        <f>IFERROR(__xludf.DUMMYFUNCTION("""COMPUTED_VALUE"""),"Kedi Konserve Maması")</f>
        <v>Kedi Konserve Maması</v>
      </c>
      <c r="F410" s="17">
        <f>IFERROR(__xludf.DUMMYFUNCTION("""COMPUTED_VALUE"""),599.0)</f>
        <v>599</v>
      </c>
      <c r="G410" s="17">
        <f>IFERROR(__xludf.DUMMYFUNCTION("""COMPUTED_VALUE"""),462.06)</f>
        <v>462.06</v>
      </c>
      <c r="H410" s="17">
        <f>IFERROR(__xludf.DUMMYFUNCTION("""COMPUTED_VALUE"""),4.0)</f>
        <v>4</v>
      </c>
      <c r="I410" s="17" t="str">
        <f>IFERROR(__xludf.DUMMYFUNCTION("""COMPUTED_VALUE"""),"Onayli")</f>
        <v>Onayli</v>
      </c>
      <c r="J410" s="40">
        <f>IF($A410="","",IFERROR(VLOOKUP($A410,'Maliyet Giris'!$A$2:$G$550,6,0),""))</f>
        <v>320</v>
      </c>
      <c r="K410" s="40">
        <f>IF($A410="","",IFERROR(VLOOKUP($A410,'Maliyet Giris'!$A$2:$G$550,7,0),""))</f>
        <v>3</v>
      </c>
    </row>
    <row r="411">
      <c r="A411" s="17">
        <f>IFERROR(__xludf.DUMMYFUNCTION("""COMPUTED_VALUE"""),7.7548176924615E13)</f>
        <v>77548176924615</v>
      </c>
      <c r="B411" s="17" t="str">
        <f>IFERROR(__xludf.DUMMYFUNCTION("""COMPUTED_VALUE"""),"Pro Plan")</f>
        <v>Pro Plan</v>
      </c>
      <c r="C411" s="17" t="str">
        <f>IFERROR(__xludf.DUMMYFUNCTION("""COMPUTED_VALUE"""),"Baby Kitten Yavru Kedi Ve Emziren Anne Yaş Kedi Maması 85 Gr. X 24 Adet")</f>
        <v>Baby Kitten Yavru Kedi Ve Emziren Anne Yaş Kedi Maması 85 Gr. X 24 Adet</v>
      </c>
      <c r="D411" s="17"/>
      <c r="E411" s="17" t="str">
        <f>IFERROR(__xludf.DUMMYFUNCTION("""COMPUTED_VALUE"""),"Kedi Konserve Maması")</f>
        <v>Kedi Konserve Maması</v>
      </c>
      <c r="F411" s="17">
        <f>IFERROR(__xludf.DUMMYFUNCTION("""COMPUTED_VALUE"""),1215.0)</f>
        <v>1215</v>
      </c>
      <c r="G411" s="17">
        <f>IFERROR(__xludf.DUMMYFUNCTION("""COMPUTED_VALUE"""),1191.94)</f>
        <v>1191.94</v>
      </c>
      <c r="H411" s="17">
        <f>IFERROR(__xludf.DUMMYFUNCTION("""COMPUTED_VALUE"""),9.0)</f>
        <v>9</v>
      </c>
      <c r="I411" s="17" t="str">
        <f>IFERROR(__xludf.DUMMYFUNCTION("""COMPUTED_VALUE"""),"Onayli")</f>
        <v>Onayli</v>
      </c>
      <c r="J411" s="40">
        <f>IF($A411="","",IFERROR(VLOOKUP($A411,'Maliyet Giris'!$A$2:$G$550,6,0),""))</f>
        <v>570</v>
      </c>
      <c r="K411" s="40">
        <f>IF($A411="","",IFERROR(VLOOKUP($A411,'Maliyet Giris'!$A$2:$G$550,7,0),""))</f>
        <v>3</v>
      </c>
    </row>
    <row r="412">
      <c r="A412" s="17" t="str">
        <f>IFERROR(__xludf.DUMMYFUNCTION("""COMPUTED_VALUE"""),"TYB3VN9XX65LIUL871")</f>
        <v>TYB3VN9XX65LIUL871</v>
      </c>
      <c r="B412" s="17" t="str">
        <f>IFERROR(__xludf.DUMMYFUNCTION("""COMPUTED_VALUE"""),"Pro Plan")</f>
        <v>Pro Plan</v>
      </c>
      <c r="C412" s="17" t="str">
        <f>IFERROR(__xludf.DUMMYFUNCTION("""COMPUTED_VALUE"""),"Sterilised Somonlu Kısırlaştırılmış Kedi Konservesi 85 Gr X 24 Adet")</f>
        <v>Sterilised Somonlu Kısırlaştırılmış Kedi Konservesi 85 Gr X 24 Adet</v>
      </c>
      <c r="D412" s="17"/>
      <c r="E412" s="17" t="str">
        <f>IFERROR(__xludf.DUMMYFUNCTION("""COMPUTED_VALUE"""),"Kedi Konserve Maması")</f>
        <v>Kedi Konserve Maması</v>
      </c>
      <c r="F412" s="17">
        <f>IFERROR(__xludf.DUMMYFUNCTION("""COMPUTED_VALUE"""),1250.0)</f>
        <v>1250</v>
      </c>
      <c r="G412" s="17">
        <f>IFERROR(__xludf.DUMMYFUNCTION("""COMPUTED_VALUE"""),932.84)</f>
        <v>932.84</v>
      </c>
      <c r="H412" s="17">
        <f>IFERROR(__xludf.DUMMYFUNCTION("""COMPUTED_VALUE"""),3.0)</f>
        <v>3</v>
      </c>
      <c r="I412" s="17" t="str">
        <f>IFERROR(__xludf.DUMMYFUNCTION("""COMPUTED_VALUE"""),"Onayli")</f>
        <v>Onayli</v>
      </c>
      <c r="J412" s="40">
        <f>IF($A412="","",IFERROR(VLOOKUP($A412,'Maliyet Giris'!$A$2:$G$550,6,0),""))</f>
        <v>576</v>
      </c>
      <c r="K412" s="40">
        <f>IF($A412="","",IFERROR(VLOOKUP($A412,'Maliyet Giris'!$A$2:$G$550,7,0),""))</f>
        <v>3</v>
      </c>
    </row>
    <row r="413">
      <c r="A413" s="17" t="str">
        <f>IFERROR(__xludf.DUMMYFUNCTION("""COMPUTED_VALUE"""),"TRD220318011")</f>
        <v>TRD220318011</v>
      </c>
      <c r="B413" s="17" t="str">
        <f>IFERROR(__xludf.DUMMYFUNCTION("""COMPUTED_VALUE"""),"Gourmet")</f>
        <v>Gourmet</v>
      </c>
      <c r="C413" s="17" t="str">
        <f>IFERROR(__xludf.DUMMYFUNCTION("""COMPUTED_VALUE"""),"REVELATIONS Karışık Yaş Kedi Maması 114 g X 8 Adet")</f>
        <v>REVELATIONS Karışık Yaş Kedi Maması 114 g X 8 Adet</v>
      </c>
      <c r="D413" s="17"/>
      <c r="E413" s="17" t="str">
        <f>IFERROR(__xludf.DUMMYFUNCTION("""COMPUTED_VALUE"""),"Kedi Konserve Maması")</f>
        <v>Kedi Konserve Maması</v>
      </c>
      <c r="F413" s="17">
        <f>IFERROR(__xludf.DUMMYFUNCTION("""COMPUTED_VALUE"""),850.0)</f>
        <v>850</v>
      </c>
      <c r="G413" s="17"/>
      <c r="H413" s="17">
        <f>IFERROR(__xludf.DUMMYFUNCTION("""COMPUTED_VALUE"""),0.0)</f>
        <v>0</v>
      </c>
      <c r="I413" s="17" t="str">
        <f>IFERROR(__xludf.DUMMYFUNCTION("""COMPUTED_VALUE"""),"Onayli - Satista degil")</f>
        <v>Onayli - Satista degil</v>
      </c>
      <c r="J413" s="40">
        <f>IF($A413="","",IFERROR(VLOOKUP($A413,'Maliyet Giris'!$A$2:$G$550,6,0),""))</f>
        <v>100</v>
      </c>
      <c r="K413" s="40">
        <f>IF($A413="","",IFERROR(VLOOKUP($A413,'Maliyet Giris'!$A$2:$G$550,7,0),""))</f>
        <v>3</v>
      </c>
    </row>
    <row r="414">
      <c r="A414" s="17" t="str">
        <f>IFERROR(__xludf.DUMMYFUNCTION("""COMPUTED_VALUE"""),"TYBM82Z5G9IUUW2U93")</f>
        <v>TYBM82Z5G9IUUW2U93</v>
      </c>
      <c r="B414" s="17" t="str">
        <f>IFERROR(__xludf.DUMMYFUNCTION("""COMPUTED_VALUE"""),"Gourmet")</f>
        <v>Gourmet</v>
      </c>
      <c r="C414" s="17" t="str">
        <f>IFERROR(__xludf.DUMMYFUNCTION("""COMPUTED_VALUE"""),"Gold Kıyılmış Ton Balıklı Kedi Konservesi 24x85gr")</f>
        <v>Gold Kıyılmış Ton Balıklı Kedi Konservesi 24x85gr</v>
      </c>
      <c r="D414" s="17"/>
      <c r="E414" s="17" t="str">
        <f>IFERROR(__xludf.DUMMYFUNCTION("""COMPUTED_VALUE"""),"Kedi Konserve Maması")</f>
        <v>Kedi Konserve Maması</v>
      </c>
      <c r="F414" s="17">
        <f>IFERROR(__xludf.DUMMYFUNCTION("""COMPUTED_VALUE"""),970.0)</f>
        <v>970</v>
      </c>
      <c r="G414" s="17">
        <f>IFERROR(__xludf.DUMMYFUNCTION("""COMPUTED_VALUE"""),820.51)</f>
        <v>820.51</v>
      </c>
      <c r="H414" s="17">
        <f>IFERROR(__xludf.DUMMYFUNCTION("""COMPUTED_VALUE"""),30.0)</f>
        <v>30</v>
      </c>
      <c r="I414" s="17" t="str">
        <f>IFERROR(__xludf.DUMMYFUNCTION("""COMPUTED_VALUE"""),"Onayli")</f>
        <v>Onayli</v>
      </c>
      <c r="J414" s="40">
        <f>IF($A414="","",IFERROR(VLOOKUP($A414,'Maliyet Giris'!$A$2:$G$550,6,0),""))</f>
        <v>580</v>
      </c>
      <c r="K414" s="40">
        <f>IF($A414="","",IFERROR(VLOOKUP($A414,'Maliyet Giris'!$A$2:$G$550,7,0),""))</f>
        <v>1</v>
      </c>
    </row>
    <row r="415">
      <c r="A415" s="17">
        <f>IFERROR(__xludf.DUMMYFUNCTION("""COMPUTED_VALUE"""),9.003579311295E12)</f>
        <v>9003579311295</v>
      </c>
      <c r="B415" s="17" t="str">
        <f>IFERROR(__xludf.DUMMYFUNCTION("""COMPUTED_VALUE"""),"Royal Canin")</f>
        <v>Royal Canin</v>
      </c>
      <c r="C415" s="17" t="str">
        <f>IFERROR(__xludf.DUMMYFUNCTION("""COMPUTED_VALUE"""),"Sterilised Gravy Kısırlaştırılmış Yetişkin Kedi Yaş Maması 85 Gr x 12")</f>
        <v>Sterilised Gravy Kısırlaştırılmış Yetişkin Kedi Yaş Maması 85 Gr x 12</v>
      </c>
      <c r="D415" s="17"/>
      <c r="E415" s="17" t="str">
        <f>IFERROR(__xludf.DUMMYFUNCTION("""COMPUTED_VALUE"""),"Kedi Konserve Maması")</f>
        <v>Kedi Konserve Maması</v>
      </c>
      <c r="F415" s="17">
        <f>IFERROR(__xludf.DUMMYFUNCTION("""COMPUTED_VALUE"""),750.0)</f>
        <v>750</v>
      </c>
      <c r="G415" s="17">
        <f>IFERROR(__xludf.DUMMYFUNCTION("""COMPUTED_VALUE"""),600.0)</f>
        <v>600</v>
      </c>
      <c r="H415" s="17">
        <f>IFERROR(__xludf.DUMMYFUNCTION("""COMPUTED_VALUE"""),24.0)</f>
        <v>24</v>
      </c>
      <c r="I415" s="17" t="str">
        <f>IFERROR(__xludf.DUMMYFUNCTION("""COMPUTED_VALUE"""),"Onayli")</f>
        <v>Onayli</v>
      </c>
      <c r="J415" s="40">
        <f>IF($A415="","",IFERROR(VLOOKUP($A415,'Maliyet Giris'!$A$2:$G$550,6,0),""))</f>
        <v>485.36</v>
      </c>
      <c r="K415" s="40">
        <f>IF($A415="","",IFERROR(VLOOKUP($A415,'Maliyet Giris'!$A$2:$G$550,7,0),""))</f>
        <v>2</v>
      </c>
    </row>
    <row r="416">
      <c r="A416" s="17">
        <f>IFERROR(__xludf.DUMMYFUNCTION("""COMPUTED_VALUE"""),9.00357931166E12)</f>
        <v>9003579311660</v>
      </c>
      <c r="B416" s="17" t="str">
        <f>IFERROR(__xludf.DUMMYFUNCTION("""COMPUTED_VALUE"""),"Royal Canin")</f>
        <v>Royal Canin</v>
      </c>
      <c r="C416" s="17" t="str">
        <f>IFERROR(__xludf.DUMMYFUNCTION("""COMPUTED_VALUE"""),"Mother&amp;babycat Gebe/laktasyondaki Anne Ve Yavru Kedi Için Kedi Konservesi 195g")</f>
        <v>Mother&amp;babycat Gebe/laktasyondaki Anne Ve Yavru Kedi Için Kedi Konservesi 195g</v>
      </c>
      <c r="D416" s="17"/>
      <c r="E416" s="17" t="str">
        <f>IFERROR(__xludf.DUMMYFUNCTION("""COMPUTED_VALUE"""),"Kedi Konserve Maması")</f>
        <v>Kedi Konserve Maması</v>
      </c>
      <c r="F416" s="17">
        <f>IFERROR(__xludf.DUMMYFUNCTION("""COMPUTED_VALUE"""),200.0)</f>
        <v>200</v>
      </c>
      <c r="G416" s="17">
        <f>IFERROR(__xludf.DUMMYFUNCTION("""COMPUTED_VALUE"""),199.0)</f>
        <v>199</v>
      </c>
      <c r="H416" s="17">
        <f>IFERROR(__xludf.DUMMYFUNCTION("""COMPUTED_VALUE"""),24.0)</f>
        <v>24</v>
      </c>
      <c r="I416" s="17" t="str">
        <f>IFERROR(__xludf.DUMMYFUNCTION("""COMPUTED_VALUE"""),"Onayli")</f>
        <v>Onayli</v>
      </c>
      <c r="J416" s="40">
        <f>IF($A416="","",IFERROR(VLOOKUP($A416,'Maliyet Giris'!$A$2:$G$550,6,0),""))</f>
        <v>112</v>
      </c>
      <c r="K416" s="40">
        <f>IF($A416="","",IFERROR(VLOOKUP($A416,'Maliyet Giris'!$A$2:$G$550,7,0),""))</f>
        <v>1</v>
      </c>
    </row>
    <row r="417">
      <c r="A417" s="17" t="str">
        <f>IFERROR(__xludf.DUMMYFUNCTION("""COMPUTED_VALUE"""),"TYBYQ5T2ZP29CAXH20")</f>
        <v>TYBYQ5T2ZP29CAXH20</v>
      </c>
      <c r="B417" s="17" t="str">
        <f>IFERROR(__xludf.DUMMYFUNCTION("""COMPUTED_VALUE"""),"Schesir")</f>
        <v>Schesir</v>
      </c>
      <c r="C417" s="17" t="str">
        <f>IFERROR(__xludf.DUMMYFUNCTION("""COMPUTED_VALUE"""),"Konserve Yetişkin Kedi Maması 24 Adet Karma Paket")</f>
        <v>Konserve Yetişkin Kedi Maması 24 Adet Karma Paket</v>
      </c>
      <c r="D417" s="17"/>
      <c r="E417" s="17" t="str">
        <f>IFERROR(__xludf.DUMMYFUNCTION("""COMPUTED_VALUE"""),"Kedi Kuru Maması")</f>
        <v>Kedi Kuru Maması</v>
      </c>
      <c r="F417" s="17">
        <f>IFERROR(__xludf.DUMMYFUNCTION("""COMPUTED_VALUE"""),2723.0)</f>
        <v>2723</v>
      </c>
      <c r="G417" s="17"/>
      <c r="H417" s="17">
        <f>IFERROR(__xludf.DUMMYFUNCTION("""COMPUTED_VALUE"""),0.0)</f>
        <v>0</v>
      </c>
      <c r="I417" s="17" t="str">
        <f>IFERROR(__xludf.DUMMYFUNCTION("""COMPUTED_VALUE"""),"Onayli - Satista degil")</f>
        <v>Onayli - Satista degil</v>
      </c>
      <c r="J417" s="40">
        <f>IF($A417="","",IFERROR(VLOOKUP($A417,'Maliyet Giris'!$A$2:$G$550,6,0),""))</f>
        <v>2080</v>
      </c>
      <c r="K417" s="40">
        <f>IF($A417="","",IFERROR(VLOOKUP($A417,'Maliyet Giris'!$A$2:$G$550,7,0),""))</f>
        <v>3</v>
      </c>
    </row>
    <row r="418">
      <c r="A418" s="17">
        <f>IFERROR(__xludf.DUMMYFUNCTION("""COMPUTED_VALUE"""),3.7622100929963E13)</f>
        <v>37622100929963</v>
      </c>
      <c r="B418" s="17" t="str">
        <f>IFERROR(__xludf.DUMMYFUNCTION("""COMPUTED_VALUE"""),"Schesir")</f>
        <v>Schesir</v>
      </c>
      <c r="C418" s="17" t="str">
        <f>IFERROR(__xludf.DUMMYFUNCTION("""COMPUTED_VALUE"""),"Variety Karma Yetişkin Kedi Konserve Paketi 6 al 5 ÖDE Mix 85gr x 6 Adet")</f>
        <v>Variety Karma Yetişkin Kedi Konserve Paketi 6 al 5 ÖDE Mix 85gr x 6 Adet</v>
      </c>
      <c r="D418" s="17"/>
      <c r="E418" s="17" t="str">
        <f>IFERROR(__xludf.DUMMYFUNCTION("""COMPUTED_VALUE"""),"Kedi Konserve Maması")</f>
        <v>Kedi Konserve Maması</v>
      </c>
      <c r="F418" s="17">
        <f>IFERROR(__xludf.DUMMYFUNCTION("""COMPUTED_VALUE"""),886.0)</f>
        <v>886</v>
      </c>
      <c r="G418" s="17"/>
      <c r="H418" s="17">
        <f>IFERROR(__xludf.DUMMYFUNCTION("""COMPUTED_VALUE"""),0.0)</f>
        <v>0</v>
      </c>
      <c r="I418" s="17" t="str">
        <f>IFERROR(__xludf.DUMMYFUNCTION("""COMPUTED_VALUE"""),"Onayli - Satista degil")</f>
        <v>Onayli - Satista degil</v>
      </c>
      <c r="J418" s="40">
        <f>IF($A418="","",IFERROR(VLOOKUP($A418,'Maliyet Giris'!$A$2:$G$550,6,0),""))</f>
        <v>520</v>
      </c>
      <c r="K418" s="40">
        <f>IF($A418="","",IFERROR(VLOOKUP($A418,'Maliyet Giris'!$A$2:$G$550,7,0),""))</f>
        <v>3</v>
      </c>
    </row>
    <row r="419">
      <c r="A419" s="17">
        <f>IFERROR(__xludf.DUMMYFUNCTION("""COMPUTED_VALUE"""),2.7622100929963E13)</f>
        <v>27622100929963</v>
      </c>
      <c r="B419" s="17" t="str">
        <f>IFERROR(__xludf.DUMMYFUNCTION("""COMPUTED_VALUE"""),"Schesir")</f>
        <v>Schesir</v>
      </c>
      <c r="C419" s="17" t="str">
        <f>IFERROR(__xludf.DUMMYFUNCTION("""COMPUTED_VALUE"""),"Karışık Konserve Yetişkin Kedi Maması 12 X 85 G")</f>
        <v>Karışık Konserve Yetişkin Kedi Maması 12 X 85 G</v>
      </c>
      <c r="D419" s="17"/>
      <c r="E419" s="17" t="str">
        <f>IFERROR(__xludf.DUMMYFUNCTION("""COMPUTED_VALUE"""),"Kedi Konserve Maması")</f>
        <v>Kedi Konserve Maması</v>
      </c>
      <c r="F419" s="17">
        <f>IFERROR(__xludf.DUMMYFUNCTION("""COMPUTED_VALUE"""),1598.0)</f>
        <v>1598</v>
      </c>
      <c r="G419" s="17"/>
      <c r="H419" s="17">
        <f>IFERROR(__xludf.DUMMYFUNCTION("""COMPUTED_VALUE"""),0.0)</f>
        <v>0</v>
      </c>
      <c r="I419" s="17" t="str">
        <f>IFERROR(__xludf.DUMMYFUNCTION("""COMPUTED_VALUE"""),"Onayli - Satista degil")</f>
        <v>Onayli - Satista degil</v>
      </c>
      <c r="J419" s="40">
        <f>IF($A419="","",IFERROR(VLOOKUP($A419,'Maliyet Giris'!$A$2:$G$550,6,0),""))</f>
        <v>1040</v>
      </c>
      <c r="K419" s="40">
        <f>IF($A419="","",IFERROR(VLOOKUP($A419,'Maliyet Giris'!$A$2:$G$550,7,0),""))</f>
        <v>3</v>
      </c>
    </row>
    <row r="420">
      <c r="A420" s="17">
        <f>IFERROR(__xludf.DUMMYFUNCTION("""COMPUTED_VALUE"""),5.412087019298E12)</f>
        <v>5412087019298</v>
      </c>
      <c r="B420" s="17" t="str">
        <f>IFERROR(__xludf.DUMMYFUNCTION("""COMPUTED_VALUE"""),"Moderna")</f>
        <v>Moderna</v>
      </c>
      <c r="C420" s="17" t="str">
        <f>IFERROR(__xludf.DUMMYFUNCTION("""COMPUTED_VALUE"""),"Eden Trendy Kapalı Tuvalet 50 Cm U 50 x G 39,1 x Y 38,9 cm")</f>
        <v>Eden Trendy Kapalı Tuvalet 50 Cm U 50 x G 39,1 x Y 38,9 cm</v>
      </c>
      <c r="D420" s="17"/>
      <c r="E420" s="17" t="str">
        <f>IFERROR(__xludf.DUMMYFUNCTION("""COMPUTED_VALUE"""),"Kedi Tuvaleti")</f>
        <v>Kedi Tuvaleti</v>
      </c>
      <c r="F420" s="17">
        <f>IFERROR(__xludf.DUMMYFUNCTION("""COMPUTED_VALUE"""),2300.0)</f>
        <v>2300</v>
      </c>
      <c r="G420" s="17"/>
      <c r="H420" s="17">
        <f>IFERROR(__xludf.DUMMYFUNCTION("""COMPUTED_VALUE"""),0.0)</f>
        <v>0</v>
      </c>
      <c r="I420" s="17" t="str">
        <f>IFERROR(__xludf.DUMMYFUNCTION("""COMPUTED_VALUE"""),"Onayli - Satista degil")</f>
        <v>Onayli - Satista degil</v>
      </c>
      <c r="J420" s="40" t="str">
        <f>IF($A420="","",IFERROR(VLOOKUP($A420,'Maliyet Giris'!$A$2:$G$550,6,0),""))</f>
        <v/>
      </c>
      <c r="K420" s="40" t="str">
        <f>IF($A420="","",IFERROR(VLOOKUP($A420,'Maliyet Giris'!$A$2:$G$550,7,0),""))</f>
        <v/>
      </c>
    </row>
    <row r="421">
      <c r="A421" s="17">
        <f>IFERROR(__xludf.DUMMYFUNCTION("""COMPUTED_VALUE"""),5.2742060903E10)</f>
        <v>52742060903</v>
      </c>
      <c r="B421" s="17" t="str">
        <f>IFERROR(__xludf.DUMMYFUNCTION("""COMPUTED_VALUE"""),"Hill's")</f>
        <v>Hill's</v>
      </c>
      <c r="C421" s="17" t="str">
        <f>IFERROR(__xludf.DUMMYFUNCTION("""COMPUTED_VALUE"""),"Hipoalerjenik Küçük Irk Somonlu Yetişkin Köpek Maması 1,5Kg")</f>
        <v>Hipoalerjenik Küçük Irk Somonlu Yetişkin Köpek Maması 1,5Kg</v>
      </c>
      <c r="D421" s="17"/>
      <c r="E421" s="17" t="str">
        <f>IFERROR(__xludf.DUMMYFUNCTION("""COMPUTED_VALUE"""),"Köpek Kuru Maması")</f>
        <v>Köpek Kuru Maması</v>
      </c>
      <c r="F421" s="17">
        <f>IFERROR(__xludf.DUMMYFUNCTION("""COMPUTED_VALUE"""),1275.0)</f>
        <v>1275</v>
      </c>
      <c r="G421" s="17">
        <f>IFERROR(__xludf.DUMMYFUNCTION("""COMPUTED_VALUE"""),1177.36)</f>
        <v>1177.36</v>
      </c>
      <c r="H421" s="17">
        <f>IFERROR(__xludf.DUMMYFUNCTION("""COMPUTED_VALUE"""),3.0)</f>
        <v>3</v>
      </c>
      <c r="I421" s="17" t="str">
        <f>IFERROR(__xludf.DUMMYFUNCTION("""COMPUTED_VALUE"""),"Onayli")</f>
        <v>Onayli</v>
      </c>
      <c r="J421" s="40">
        <f>IF($A421="","",IFERROR(VLOOKUP($A421,'Maliyet Giris'!$A$2:$G$550,6,0),""))</f>
        <v>938</v>
      </c>
      <c r="K421" s="40">
        <f>IF($A421="","",IFERROR(VLOOKUP($A421,'Maliyet Giris'!$A$2:$G$550,7,0),""))</f>
        <v>2</v>
      </c>
    </row>
    <row r="422">
      <c r="A422" s="17">
        <f>IFERROR(__xludf.DUMMYFUNCTION("""COMPUTED_VALUE"""),8.681612752819E12)</f>
        <v>8681612752819</v>
      </c>
      <c r="B422" s="17" t="str">
        <f>IFERROR(__xludf.DUMMYFUNCTION("""COMPUTED_VALUE"""),"Moderna")</f>
        <v>Moderna</v>
      </c>
      <c r="C422" s="17" t="str">
        <f>IFERROR(__xludf.DUMMYFUNCTION("""COMPUTED_VALUE"""),"Trendy Trendy Kedi Tuvaleti - 57CM")</f>
        <v>Trendy Trendy Kedi Tuvaleti - 57CM</v>
      </c>
      <c r="D422" s="17"/>
      <c r="E422" s="17" t="str">
        <f>IFERROR(__xludf.DUMMYFUNCTION("""COMPUTED_VALUE"""),"Kedi Tuvaleti")</f>
        <v>Kedi Tuvaleti</v>
      </c>
      <c r="F422" s="17">
        <f>IFERROR(__xludf.DUMMYFUNCTION("""COMPUTED_VALUE"""),2300.0)</f>
        <v>2300</v>
      </c>
      <c r="G422" s="17"/>
      <c r="H422" s="17">
        <f>IFERROR(__xludf.DUMMYFUNCTION("""COMPUTED_VALUE"""),0.0)</f>
        <v>0</v>
      </c>
      <c r="I422" s="17" t="str">
        <f>IFERROR(__xludf.DUMMYFUNCTION("""COMPUTED_VALUE"""),"Onayli - Satista degil")</f>
        <v>Onayli - Satista degil</v>
      </c>
      <c r="J422" s="40" t="str">
        <f>IF($A422="","",IFERROR(VLOOKUP($A422,'Maliyet Giris'!$A$2:$G$550,6,0),""))</f>
        <v/>
      </c>
      <c r="K422" s="40" t="str">
        <f>IF($A422="","",IFERROR(VLOOKUP($A422,'Maliyet Giris'!$A$2:$G$550,7,0),""))</f>
        <v/>
      </c>
    </row>
    <row r="423">
      <c r="A423" s="17">
        <f>IFERROR(__xludf.DUMMYFUNCTION("""COMPUTED_VALUE"""),8.681612752802E12)</f>
        <v>8681612752802</v>
      </c>
      <c r="B423" s="17" t="str">
        <f>IFERROR(__xludf.DUMMYFUNCTION("""COMPUTED_VALUE"""),"Moderna")</f>
        <v>Moderna</v>
      </c>
      <c r="C423" s="17" t="str">
        <f>IFERROR(__xludf.DUMMYFUNCTION("""COMPUTED_VALUE"""),"Trendy Midye Desenli Kapalı Kedi Tuvaleti Beyaz/Lacivert 57 Cm")</f>
        <v>Trendy Midye Desenli Kapalı Kedi Tuvaleti Beyaz/Lacivert 57 Cm</v>
      </c>
      <c r="D423" s="17"/>
      <c r="E423" s="17" t="str">
        <f>IFERROR(__xludf.DUMMYFUNCTION("""COMPUTED_VALUE"""),"Kedi Tuvaleti")</f>
        <v>Kedi Tuvaleti</v>
      </c>
      <c r="F423" s="17">
        <f>IFERROR(__xludf.DUMMYFUNCTION("""COMPUTED_VALUE"""),2300.0)</f>
        <v>2300</v>
      </c>
      <c r="G423" s="17"/>
      <c r="H423" s="17">
        <f>IFERROR(__xludf.DUMMYFUNCTION("""COMPUTED_VALUE"""),0.0)</f>
        <v>0</v>
      </c>
      <c r="I423" s="17" t="str">
        <f>IFERROR(__xludf.DUMMYFUNCTION("""COMPUTED_VALUE"""),"Onayli - Satista degil")</f>
        <v>Onayli - Satista degil</v>
      </c>
      <c r="J423" s="40" t="str">
        <f>IF($A423="","",IFERROR(VLOOKUP($A423,'Maliyet Giris'!$A$2:$G$550,6,0),""))</f>
        <v/>
      </c>
      <c r="K423" s="40" t="str">
        <f>IF($A423="","",IFERROR(VLOOKUP($A423,'Maliyet Giris'!$A$2:$G$550,7,0),""))</f>
        <v/>
      </c>
    </row>
    <row r="424">
      <c r="A424" s="17">
        <f>IFERROR(__xludf.DUMMYFUNCTION("""COMPUTED_VALUE"""),5.412087000395E12)</f>
        <v>5412087000395</v>
      </c>
      <c r="B424" s="17" t="str">
        <f>IFERROR(__xludf.DUMMYFUNCTION("""COMPUTED_VALUE"""),"Moderna")</f>
        <v>Moderna</v>
      </c>
      <c r="C424" s="17" t="str">
        <f>IFERROR(__xludf.DUMMYFUNCTION("""COMPUTED_VALUE"""),"Smart Su Kabı 1.5 lt Sarı")</f>
        <v>Smart Su Kabı 1.5 lt Sarı</v>
      </c>
      <c r="D424" s="17"/>
      <c r="E424" s="17" t="str">
        <f>IFERROR(__xludf.DUMMYFUNCTION("""COMPUTED_VALUE"""),"Kedi ve Köpek Mama Su Kabı")</f>
        <v>Kedi ve Köpek Mama Su Kabı</v>
      </c>
      <c r="F424" s="17">
        <f>IFERROR(__xludf.DUMMYFUNCTION("""COMPUTED_VALUE"""),450.0)</f>
        <v>450</v>
      </c>
      <c r="G424" s="17">
        <f>IFERROR(__xludf.DUMMYFUNCTION("""COMPUTED_VALUE"""),450.0)</f>
        <v>450</v>
      </c>
      <c r="H424" s="17">
        <f>IFERROR(__xludf.DUMMYFUNCTION("""COMPUTED_VALUE"""),2.0)</f>
        <v>2</v>
      </c>
      <c r="I424" s="17" t="str">
        <f>IFERROR(__xludf.DUMMYFUNCTION("""COMPUTED_VALUE"""),"Onayli")</f>
        <v>Onayli</v>
      </c>
      <c r="J424" s="40">
        <f>IF($A424="","",IFERROR(VLOOKUP($A424,'Maliyet Giris'!$A$2:$G$550,6,0),""))</f>
        <v>250.72</v>
      </c>
      <c r="K424" s="40">
        <f>IF($A424="","",IFERROR(VLOOKUP($A424,'Maliyet Giris'!$A$2:$G$550,7,0),""))</f>
        <v>1</v>
      </c>
    </row>
    <row r="425">
      <c r="A425" s="17" t="str">
        <f>IFERROR(__xludf.DUMMYFUNCTION("""COMPUTED_VALUE"""),"TYBZCSQ5787DOWDV35")</f>
        <v>TYBZCSQ5787DOWDV35</v>
      </c>
      <c r="B425" s="17" t="str">
        <f>IFERROR(__xludf.DUMMYFUNCTION("""COMPUTED_VALUE"""),"Moderna")</f>
        <v>Moderna</v>
      </c>
      <c r="C425" s="17" t="str">
        <f>IFERROR(__xludf.DUMMYFUNCTION("""COMPUTED_VALUE"""),"Smart Saklamalı Mama Kabı 1.5 lt Sarı")</f>
        <v>Smart Saklamalı Mama Kabı 1.5 lt Sarı</v>
      </c>
      <c r="D425" s="17"/>
      <c r="E425" s="17" t="str">
        <f>IFERROR(__xludf.DUMMYFUNCTION("""COMPUTED_VALUE"""),"Kedi ve Köpek Mama Su Kabı")</f>
        <v>Kedi ve Köpek Mama Su Kabı</v>
      </c>
      <c r="F425" s="17">
        <f>IFERROR(__xludf.DUMMYFUNCTION("""COMPUTED_VALUE"""),525.0)</f>
        <v>525</v>
      </c>
      <c r="G425" s="17">
        <f>IFERROR(__xludf.DUMMYFUNCTION("""COMPUTED_VALUE"""),525.0)</f>
        <v>525</v>
      </c>
      <c r="H425" s="17">
        <f>IFERROR(__xludf.DUMMYFUNCTION("""COMPUTED_VALUE"""),19.0)</f>
        <v>19</v>
      </c>
      <c r="I425" s="17" t="str">
        <f>IFERROR(__xludf.DUMMYFUNCTION("""COMPUTED_VALUE"""),"Onayli")</f>
        <v>Onayli</v>
      </c>
      <c r="J425" s="40">
        <f>IF($A425="","",IFERROR(VLOOKUP($A425,'Maliyet Giris'!$A$2:$G$550,6,0),""))</f>
        <v>250</v>
      </c>
      <c r="K425" s="40">
        <f>IF($A425="","",IFERROR(VLOOKUP($A425,'Maliyet Giris'!$A$2:$G$550,7,0),""))</f>
        <v>1</v>
      </c>
    </row>
    <row r="426">
      <c r="A426" s="17">
        <f>IFERROR(__xludf.DUMMYFUNCTION("""COMPUTED_VALUE"""),4.000498043417E12)</f>
        <v>4000498043417</v>
      </c>
      <c r="B426" s="17" t="str">
        <f>IFERROR(__xludf.DUMMYFUNCTION("""COMPUTED_VALUE"""),"Flexi")</f>
        <v>Flexi</v>
      </c>
      <c r="C426" s="17" t="str">
        <f>IFERROR(__xludf.DUMMYFUNCTION("""COMPUTED_VALUE"""),"New Comfort Açık Mavi Otomatik Kedi Köpek Gezdirme Tasması")</f>
        <v>New Comfort Açık Mavi Otomatik Kedi Köpek Gezdirme Tasması</v>
      </c>
      <c r="D426" s="17"/>
      <c r="E426" s="17" t="str">
        <f>IFERROR(__xludf.DUMMYFUNCTION("""COMPUTED_VALUE"""),"Köpek Tasması")</f>
        <v>Köpek Tasması</v>
      </c>
      <c r="F426" s="17">
        <f>IFERROR(__xludf.DUMMYFUNCTION("""COMPUTED_VALUE"""),920.0)</f>
        <v>920</v>
      </c>
      <c r="G426" s="17">
        <f>IFERROR(__xludf.DUMMYFUNCTION("""COMPUTED_VALUE"""),920.0)</f>
        <v>920</v>
      </c>
      <c r="H426" s="17">
        <f>IFERROR(__xludf.DUMMYFUNCTION("""COMPUTED_VALUE"""),1.0)</f>
        <v>1</v>
      </c>
      <c r="I426" s="17" t="str">
        <f>IFERROR(__xludf.DUMMYFUNCTION("""COMPUTED_VALUE"""),"Onayli")</f>
        <v>Onayli</v>
      </c>
      <c r="J426" s="40">
        <f>IF($A426="","",IFERROR(VLOOKUP($A426,'Maliyet Giris'!$A$2:$G$550,6,0),""))</f>
        <v>638.67</v>
      </c>
      <c r="K426" s="40">
        <f>IF($A426="","",IFERROR(VLOOKUP($A426,'Maliyet Giris'!$A$2:$G$550,7,0),""))</f>
        <v>0.5</v>
      </c>
    </row>
    <row r="427">
      <c r="A427" s="17">
        <f>IFERROR(__xludf.DUMMYFUNCTION("""COMPUTED_VALUE"""),4.00049803251E12)</f>
        <v>4000498032510</v>
      </c>
      <c r="B427" s="17" t="str">
        <f>IFERROR(__xludf.DUMMYFUNCTION("""COMPUTED_VALUE"""),"Flexi")</f>
        <v>Flexi</v>
      </c>
      <c r="C427" s="17" t="str">
        <f>IFERROR(__xludf.DUMMYFUNCTION("""COMPUTED_VALUE"""),"Style Rose Şerit 5 Metre Medium Gezdirme Tasması")</f>
        <v>Style Rose Şerit 5 Metre Medium Gezdirme Tasması</v>
      </c>
      <c r="D427" s="17"/>
      <c r="E427" s="17" t="str">
        <f>IFERROR(__xludf.DUMMYFUNCTION("""COMPUTED_VALUE"""),"Köpek Tasması")</f>
        <v>Köpek Tasması</v>
      </c>
      <c r="F427" s="17">
        <f>IFERROR(__xludf.DUMMYFUNCTION("""COMPUTED_VALUE"""),1740.0)</f>
        <v>1740</v>
      </c>
      <c r="G427" s="17">
        <f>IFERROR(__xludf.DUMMYFUNCTION("""COMPUTED_VALUE"""),1740.0)</f>
        <v>1740</v>
      </c>
      <c r="H427" s="17">
        <f>IFERROR(__xludf.DUMMYFUNCTION("""COMPUTED_VALUE"""),4.0)</f>
        <v>4</v>
      </c>
      <c r="I427" s="17" t="str">
        <f>IFERROR(__xludf.DUMMYFUNCTION("""COMPUTED_VALUE"""),"Onayli")</f>
        <v>Onayli</v>
      </c>
      <c r="J427" s="40">
        <f>IF($A427="","",IFERROR(VLOOKUP($A427,'Maliyet Giris'!$A$2:$G$550,6,0),""))</f>
        <v>985.57</v>
      </c>
      <c r="K427" s="40">
        <f>IF($A427="","",IFERROR(VLOOKUP($A427,'Maliyet Giris'!$A$2:$G$550,7,0),""))</f>
        <v>0.5</v>
      </c>
    </row>
    <row r="428">
      <c r="A428" s="17">
        <f>IFERROR(__xludf.DUMMYFUNCTION("""COMPUTED_VALUE"""),2.9695470912E10)</f>
        <v>29695470912</v>
      </c>
      <c r="B428" s="17" t="str">
        <f>IFERROR(__xludf.DUMMYFUNCTION("""COMPUTED_VALUE"""),"Chuckit")</f>
        <v>Chuckit</v>
      </c>
      <c r="C428" s="17" t="str">
        <f>IFERROR(__xludf.DUMMYFUNCTION("""COMPUTED_VALUE"""),"! Ultra Squeaker Sesli Köpek Oyun Halkası")</f>
        <v>! Ultra Squeaker Sesli Köpek Oyun Halkası</v>
      </c>
      <c r="D428" s="17"/>
      <c r="E428" s="17" t="str">
        <f>IFERROR(__xludf.DUMMYFUNCTION("""COMPUTED_VALUE"""),"Köpek Oyuncağı")</f>
        <v>Köpek Oyuncağı</v>
      </c>
      <c r="F428" s="17">
        <f>IFERROR(__xludf.DUMMYFUNCTION("""COMPUTED_VALUE"""),428.0)</f>
        <v>428</v>
      </c>
      <c r="G428" s="17">
        <f>IFERROR(__xludf.DUMMYFUNCTION("""COMPUTED_VALUE"""),428.0)</f>
        <v>428</v>
      </c>
      <c r="H428" s="17">
        <f>IFERROR(__xludf.DUMMYFUNCTION("""COMPUTED_VALUE"""),1.0)</f>
        <v>1</v>
      </c>
      <c r="I428" s="17" t="str">
        <f>IFERROR(__xludf.DUMMYFUNCTION("""COMPUTED_VALUE"""),"Onayli")</f>
        <v>Onayli</v>
      </c>
      <c r="J428" s="40">
        <f>IF($A428="","",IFERROR(VLOOKUP($A428,'Maliyet Giris'!$A$2:$G$550,6,0),""))</f>
        <v>234</v>
      </c>
      <c r="K428" s="40">
        <f>IF($A428="","",IFERROR(VLOOKUP($A428,'Maliyet Giris'!$A$2:$G$550,7,0),""))</f>
        <v>1</v>
      </c>
    </row>
    <row r="429">
      <c r="A429" s="17">
        <f>IFERROR(__xludf.DUMMYFUNCTION("""COMPUTED_VALUE"""),2.9695321917E10)</f>
        <v>29695321917</v>
      </c>
      <c r="B429" s="17" t="str">
        <f>IFERROR(__xludf.DUMMYFUNCTION("""COMPUTED_VALUE"""),"Chuckit")</f>
        <v>Chuckit</v>
      </c>
      <c r="C429" s="17" t="str">
        <f>IFERROR(__xludf.DUMMYFUNCTION("""COMPUTED_VALUE"""),"! Ultra Bumper Tug Köpek Çekiştirme Oyuncağı")</f>
        <v>! Ultra Bumper Tug Köpek Çekiştirme Oyuncağı</v>
      </c>
      <c r="D429" s="17"/>
      <c r="E429" s="17" t="str">
        <f>IFERROR(__xludf.DUMMYFUNCTION("""COMPUTED_VALUE"""),"Köpek Oyuncağı")</f>
        <v>Köpek Oyuncağı</v>
      </c>
      <c r="F429" s="17">
        <f>IFERROR(__xludf.DUMMYFUNCTION("""COMPUTED_VALUE"""),550.0)</f>
        <v>550</v>
      </c>
      <c r="G429" s="17"/>
      <c r="H429" s="17">
        <f>IFERROR(__xludf.DUMMYFUNCTION("""COMPUTED_VALUE"""),0.0)</f>
        <v>0</v>
      </c>
      <c r="I429" s="17" t="str">
        <f>IFERROR(__xludf.DUMMYFUNCTION("""COMPUTED_VALUE"""),"Onayli - Satista degil")</f>
        <v>Onayli - Satista degil</v>
      </c>
      <c r="J429" s="40">
        <f>IF($A429="","",IFERROR(VLOOKUP($A429,'Maliyet Giris'!$A$2:$G$550,6,0),""))</f>
        <v>308.88</v>
      </c>
      <c r="K429" s="40">
        <f>IF($A429="","",IFERROR(VLOOKUP($A429,'Maliyet Giris'!$A$2:$G$550,7,0),""))</f>
        <v>1</v>
      </c>
    </row>
    <row r="430">
      <c r="A430" s="17">
        <f>IFERROR(__xludf.DUMMYFUNCTION("""COMPUTED_VALUE"""),2.9695470899E10)</f>
        <v>29695470899</v>
      </c>
      <c r="B430" s="17" t="str">
        <f>IFERROR(__xludf.DUMMYFUNCTION("""COMPUTED_VALUE"""),"Chuckit")</f>
        <v>Chuckit</v>
      </c>
      <c r="C430" s="17" t="str">
        <f>IFERROR(__xludf.DUMMYFUNCTION("""COMPUTED_VALUE"""),"! Fetch Medley 3'lü Köpek Oyun Topu Seti")</f>
        <v>! Fetch Medley 3'lü Köpek Oyun Topu Seti</v>
      </c>
      <c r="D430" s="17"/>
      <c r="E430" s="17" t="str">
        <f>IFERROR(__xludf.DUMMYFUNCTION("""COMPUTED_VALUE"""),"Köpek Oyuncağı")</f>
        <v>Köpek Oyuncağı</v>
      </c>
      <c r="F430" s="17">
        <f>IFERROR(__xludf.DUMMYFUNCTION("""COMPUTED_VALUE"""),830.0)</f>
        <v>830</v>
      </c>
      <c r="G430" s="17"/>
      <c r="H430" s="17">
        <f>IFERROR(__xludf.DUMMYFUNCTION("""COMPUTED_VALUE"""),0.0)</f>
        <v>0</v>
      </c>
      <c r="I430" s="17" t="str">
        <f>IFERROR(__xludf.DUMMYFUNCTION("""COMPUTED_VALUE"""),"Onayli - Satista degil")</f>
        <v>Onayli - Satista degil</v>
      </c>
      <c r="J430" s="40">
        <f>IF($A430="","",IFERROR(VLOOKUP($A430,'Maliyet Giris'!$A$2:$G$550,6,0),""))</f>
        <v>100</v>
      </c>
      <c r="K430" s="40">
        <f>IF($A430="","",IFERROR(VLOOKUP($A430,'Maliyet Giris'!$A$2:$G$550,7,0),""))</f>
        <v>1</v>
      </c>
    </row>
    <row r="431">
      <c r="A431" s="17">
        <f>IFERROR(__xludf.DUMMYFUNCTION("""COMPUTED_VALUE"""),6.60048067009E11)</f>
        <v>660048067009</v>
      </c>
      <c r="B431" s="17" t="str">
        <f>IFERROR(__xludf.DUMMYFUNCTION("""COMPUTED_VALUE"""),"Chuckit")</f>
        <v>Chuckit</v>
      </c>
      <c r="C431" s="17" t="str">
        <f>IFERROR(__xludf.DUMMYFUNCTION("""COMPUTED_VALUE"""),"Sport Ball 26l Fırlatmalı Köpek Oyuncağı 66 Cm")</f>
        <v>Sport Ball 26l Fırlatmalı Köpek Oyuncağı 66 Cm</v>
      </c>
      <c r="D431" s="17"/>
      <c r="E431" s="17" t="str">
        <f>IFERROR(__xludf.DUMMYFUNCTION("""COMPUTED_VALUE"""),"Köpek Oyuncağı")</f>
        <v>Köpek Oyuncağı</v>
      </c>
      <c r="F431" s="17">
        <f>IFERROR(__xludf.DUMMYFUNCTION("""COMPUTED_VALUE"""),975.0)</f>
        <v>975</v>
      </c>
      <c r="G431" s="17">
        <f>IFERROR(__xludf.DUMMYFUNCTION("""COMPUTED_VALUE"""),997.5)</f>
        <v>997.5</v>
      </c>
      <c r="H431" s="17">
        <f>IFERROR(__xludf.DUMMYFUNCTION("""COMPUTED_VALUE"""),2.0)</f>
        <v>2</v>
      </c>
      <c r="I431" s="17" t="str">
        <f>IFERROR(__xludf.DUMMYFUNCTION("""COMPUTED_VALUE"""),"Onayli")</f>
        <v>Onayli</v>
      </c>
      <c r="J431" s="40">
        <f>IF($A431="","",IFERROR(VLOOKUP($A431,'Maliyet Giris'!$A$2:$G$550,6,0),""))</f>
        <v>542.88</v>
      </c>
      <c r="K431" s="40">
        <f>IF($A431="","",IFERROR(VLOOKUP($A431,'Maliyet Giris'!$A$2:$G$550,7,0),""))</f>
        <v>1</v>
      </c>
    </row>
    <row r="432">
      <c r="A432" s="17">
        <f>IFERROR(__xludf.DUMMYFUNCTION("""COMPUTED_VALUE"""),6.60048201304E11)</f>
        <v>660048201304</v>
      </c>
      <c r="B432" s="17" t="str">
        <f>IFERROR(__xludf.DUMMYFUNCTION("""COMPUTED_VALUE"""),"Chuckit")</f>
        <v>Chuckit</v>
      </c>
      <c r="C432" s="17" t="str">
        <f>IFERROR(__xludf.DUMMYFUNCTION("""COMPUTED_VALUE"""),"! Erratic Ball Köpek Oyun Topu Büyük Boy")</f>
        <v>! Erratic Ball Köpek Oyun Topu Büyük Boy</v>
      </c>
      <c r="D432" s="17"/>
      <c r="E432" s="17" t="str">
        <f>IFERROR(__xludf.DUMMYFUNCTION("""COMPUTED_VALUE"""),"Köpek Oyuncağı")</f>
        <v>Köpek Oyuncağı</v>
      </c>
      <c r="F432" s="17">
        <f>IFERROR(__xludf.DUMMYFUNCTION("""COMPUTED_VALUE"""),550.0)</f>
        <v>550</v>
      </c>
      <c r="G432" s="17"/>
      <c r="H432" s="17">
        <f>IFERROR(__xludf.DUMMYFUNCTION("""COMPUTED_VALUE"""),0.0)</f>
        <v>0</v>
      </c>
      <c r="I432" s="17" t="str">
        <f>IFERROR(__xludf.DUMMYFUNCTION("""COMPUTED_VALUE"""),"Onayli - Satista degil")</f>
        <v>Onayli - Satista degil</v>
      </c>
      <c r="J432" s="40">
        <f>IF($A432="","",IFERROR(VLOOKUP($A432,'Maliyet Giris'!$A$2:$G$550,6,0),""))</f>
        <v>100</v>
      </c>
      <c r="K432" s="40">
        <f>IF($A432="","",IFERROR(VLOOKUP($A432,'Maliyet Giris'!$A$2:$G$550,7,0),""))</f>
        <v>1</v>
      </c>
    </row>
    <row r="433">
      <c r="A433" s="17">
        <f>IFERROR(__xludf.DUMMYFUNCTION("""COMPUTED_VALUE"""),6.60048202202E11)</f>
        <v>660048202202</v>
      </c>
      <c r="B433" s="17" t="str">
        <f>IFERROR(__xludf.DUMMYFUNCTION("""COMPUTED_VALUE"""),"Chuckit")</f>
        <v>Chuckit</v>
      </c>
      <c r="C433" s="17" t="str">
        <f>IFERROR(__xludf.DUMMYFUNCTION("""COMPUTED_VALUE"""),"! The Whistler 2'li Köpek Oyun Topu Orta Boy")</f>
        <v>! The Whistler 2'li Köpek Oyun Topu Orta Boy</v>
      </c>
      <c r="D433" s="17"/>
      <c r="E433" s="17" t="str">
        <f>IFERROR(__xludf.DUMMYFUNCTION("""COMPUTED_VALUE"""),"Köpek Oyuncağı")</f>
        <v>Köpek Oyuncağı</v>
      </c>
      <c r="F433" s="17">
        <f>IFERROR(__xludf.DUMMYFUNCTION("""COMPUTED_VALUE"""),480.0)</f>
        <v>480</v>
      </c>
      <c r="G433" s="17"/>
      <c r="H433" s="17">
        <f>IFERROR(__xludf.DUMMYFUNCTION("""COMPUTED_VALUE"""),0.0)</f>
        <v>0</v>
      </c>
      <c r="I433" s="17" t="str">
        <f>IFERROR(__xludf.DUMMYFUNCTION("""COMPUTED_VALUE"""),"Onayli - Satista degil")</f>
        <v>Onayli - Satista degil</v>
      </c>
      <c r="J433" s="40" t="str">
        <f>IF($A433="","",IFERROR(VLOOKUP($A433,'Maliyet Giris'!$A$2:$G$550,6,0),""))</f>
        <v/>
      </c>
      <c r="K433" s="40" t="str">
        <f>IF($A433="","",IFERROR(VLOOKUP($A433,'Maliyet Giris'!$A$2:$G$550,7,0),""))</f>
        <v/>
      </c>
    </row>
    <row r="434">
      <c r="A434" s="17">
        <f>IFERROR(__xludf.DUMMYFUNCTION("""COMPUTED_VALUE"""),2.9695322174E10)</f>
        <v>29695322174</v>
      </c>
      <c r="B434" s="17" t="str">
        <f>IFERROR(__xludf.DUMMYFUNCTION("""COMPUTED_VALUE"""),"Chuckit")</f>
        <v>Chuckit</v>
      </c>
      <c r="C434" s="17" t="str">
        <f>IFERROR(__xludf.DUMMYFUNCTION("""COMPUTED_VALUE"""),"! Air Fetch Football Köpek Oyun Topu")</f>
        <v>! Air Fetch Football Köpek Oyun Topu</v>
      </c>
      <c r="D434" s="17"/>
      <c r="E434" s="17" t="str">
        <f>IFERROR(__xludf.DUMMYFUNCTION("""COMPUTED_VALUE"""),"Köpek Oyuncağı")</f>
        <v>Köpek Oyuncağı</v>
      </c>
      <c r="F434" s="17">
        <f>IFERROR(__xludf.DUMMYFUNCTION("""COMPUTED_VALUE"""),575.0)</f>
        <v>575</v>
      </c>
      <c r="G434" s="17"/>
      <c r="H434" s="17">
        <f>IFERROR(__xludf.DUMMYFUNCTION("""COMPUTED_VALUE"""),0.0)</f>
        <v>0</v>
      </c>
      <c r="I434" s="17" t="str">
        <f>IFERROR(__xludf.DUMMYFUNCTION("""COMPUTED_VALUE"""),"Onayli - Satista degil")</f>
        <v>Onayli - Satista degil</v>
      </c>
      <c r="J434" s="40">
        <f>IF($A434="","",IFERROR(VLOOKUP($A434,'Maliyet Giris'!$A$2:$G$550,6,0),""))</f>
        <v>299.52</v>
      </c>
      <c r="K434" s="40">
        <f>IF($A434="","",IFERROR(VLOOKUP($A434,'Maliyet Giris'!$A$2:$G$550,7,0),""))</f>
        <v>1</v>
      </c>
    </row>
    <row r="435">
      <c r="A435" s="17">
        <f>IFERROR(__xludf.DUMMYFUNCTION("""COMPUTED_VALUE"""),9.003579008201E12)</f>
        <v>9003579008201</v>
      </c>
      <c r="B435" s="17" t="str">
        <f>IFERROR(__xludf.DUMMYFUNCTION("""COMPUTED_VALUE"""),"Royal Canin")</f>
        <v>Royal Canin</v>
      </c>
      <c r="C435" s="17" t="str">
        <f>IFERROR(__xludf.DUMMYFUNCTION("""COMPUTED_VALUE"""),"Küçük Irklar için Yavru Yaş Köpek Maması 12 x 85g")</f>
        <v>Küçük Irklar için Yavru Yaş Köpek Maması 12 x 85g</v>
      </c>
      <c r="D435" s="17"/>
      <c r="E435" s="17" t="str">
        <f>IFERROR(__xludf.DUMMYFUNCTION("""COMPUTED_VALUE"""),"Köpek Konserve Maması")</f>
        <v>Köpek Konserve Maması</v>
      </c>
      <c r="F435" s="17">
        <f>IFERROR(__xludf.DUMMYFUNCTION("""COMPUTED_VALUE"""),750.0)</f>
        <v>750</v>
      </c>
      <c r="G435" s="17">
        <f>IFERROR(__xludf.DUMMYFUNCTION("""COMPUTED_VALUE"""),517.0)</f>
        <v>517</v>
      </c>
      <c r="H435" s="17">
        <f>IFERROR(__xludf.DUMMYFUNCTION("""COMPUTED_VALUE"""),25.0)</f>
        <v>25</v>
      </c>
      <c r="I435" s="17" t="str">
        <f>IFERROR(__xludf.DUMMYFUNCTION("""COMPUTED_VALUE"""),"Onayli")</f>
        <v>Onayli</v>
      </c>
      <c r="J435" s="40">
        <f>IF($A435="","",IFERROR(VLOOKUP($A435,'Maliyet Giris'!$A$2:$G$550,6,0),""))</f>
        <v>452.4</v>
      </c>
      <c r="K435" s="40">
        <f>IF($A435="","",IFERROR(VLOOKUP($A435,'Maliyet Giris'!$A$2:$G$550,7,0),""))</f>
        <v>1</v>
      </c>
    </row>
    <row r="436">
      <c r="A436" s="17">
        <f>IFERROR(__xludf.DUMMYFUNCTION("""COMPUTED_VALUE"""),9.003579001646E12)</f>
        <v>9003579001646</v>
      </c>
      <c r="B436" s="17" t="str">
        <f>IFERROR(__xludf.DUMMYFUNCTION("""COMPUTED_VALUE"""),"Royal Canin")</f>
        <v>Royal Canin</v>
      </c>
      <c r="C436" s="17" t="str">
        <f>IFERROR(__xludf.DUMMYFUNCTION("""COMPUTED_VALUE"""),"Poodle Yaş Köpek Maması 12 x 85g")</f>
        <v>Poodle Yaş Köpek Maması 12 x 85g</v>
      </c>
      <c r="D436" s="17"/>
      <c r="E436" s="17" t="str">
        <f>IFERROR(__xludf.DUMMYFUNCTION("""COMPUTED_VALUE"""),"Köpek Konserve Maması")</f>
        <v>Köpek Konserve Maması</v>
      </c>
      <c r="F436" s="17">
        <f>IFERROR(__xludf.DUMMYFUNCTION("""COMPUTED_VALUE"""),750.0)</f>
        <v>750</v>
      </c>
      <c r="G436" s="17">
        <f>IFERROR(__xludf.DUMMYFUNCTION("""COMPUTED_VALUE"""),658.0)</f>
        <v>658</v>
      </c>
      <c r="H436" s="17">
        <f>IFERROR(__xludf.DUMMYFUNCTION("""COMPUTED_VALUE"""),4.0)</f>
        <v>4</v>
      </c>
      <c r="I436" s="17" t="str">
        <f>IFERROR(__xludf.DUMMYFUNCTION("""COMPUTED_VALUE"""),"Onayli")</f>
        <v>Onayli</v>
      </c>
      <c r="J436" s="40">
        <f>IF($A436="","",IFERROR(VLOOKUP($A436,'Maliyet Giris'!$A$2:$G$550,6,0),""))</f>
        <v>452.4</v>
      </c>
      <c r="K436" s="40">
        <f>IF($A436="","",IFERROR(VLOOKUP($A436,'Maliyet Giris'!$A$2:$G$550,7,0),""))</f>
        <v>2</v>
      </c>
    </row>
    <row r="437">
      <c r="A437" s="17">
        <f>IFERROR(__xludf.DUMMYFUNCTION("""COMPUTED_VALUE"""),3.182550782203E12)</f>
        <v>3182550782203</v>
      </c>
      <c r="B437" s="17" t="str">
        <f>IFERROR(__xludf.DUMMYFUNCTION("""COMPUTED_VALUE"""),"Royal Canin")</f>
        <v>Royal Canin</v>
      </c>
      <c r="C437" s="17" t="str">
        <f>IFERROR(__xludf.DUMMYFUNCTION("""COMPUTED_VALUE"""),"Maltese Bichon Maltais Köpek Maması 1.5 kg")</f>
        <v>Maltese Bichon Maltais Köpek Maması 1.5 kg</v>
      </c>
      <c r="D437" s="17"/>
      <c r="E437" s="17" t="str">
        <f>IFERROR(__xludf.DUMMYFUNCTION("""COMPUTED_VALUE"""),"Köpek Kuru Maması")</f>
        <v>Köpek Kuru Maması</v>
      </c>
      <c r="F437" s="17">
        <f>IFERROR(__xludf.DUMMYFUNCTION("""COMPUTED_VALUE"""),0.0)</f>
        <v>0</v>
      </c>
      <c r="G437" s="17"/>
      <c r="H437" s="17">
        <f>IFERROR(__xludf.DUMMYFUNCTION("""COMPUTED_VALUE"""),0.0)</f>
        <v>0</v>
      </c>
      <c r="I437" s="17" t="str">
        <f>IFERROR(__xludf.DUMMYFUNCTION("""COMPUTED_VALUE"""),"Onayli - Satista degil")</f>
        <v>Onayli - Satista degil</v>
      </c>
      <c r="J437" s="40">
        <f>IF($A437="","",IFERROR(VLOOKUP($A437,'Maliyet Giris'!$A$2:$G$550,6,0),""))</f>
        <v>639.36</v>
      </c>
      <c r="K437" s="40">
        <f>IF($A437="","",IFERROR(VLOOKUP($A437,'Maliyet Giris'!$A$2:$G$550,7,0),""))</f>
        <v>3</v>
      </c>
    </row>
    <row r="438">
      <c r="A438" s="17">
        <f>IFERROR(__xludf.DUMMYFUNCTION("""COMPUTED_VALUE"""),3.182550894128E12)</f>
        <v>3182550894128</v>
      </c>
      <c r="B438" s="17" t="str">
        <f>IFERROR(__xludf.DUMMYFUNCTION("""COMPUTED_VALUE"""),"Royal Canin")</f>
        <v>Royal Canin</v>
      </c>
      <c r="C438" s="17" t="str">
        <f>IFERROR(__xludf.DUMMYFUNCTION("""COMPUTED_VALUE"""),"Mini Sterilised Yetişkin Kısırlaştırılmış Köpek Maması 3 Kg")</f>
        <v>Mini Sterilised Yetişkin Kısırlaştırılmış Köpek Maması 3 Kg</v>
      </c>
      <c r="D438" s="17"/>
      <c r="E438" s="17" t="str">
        <f>IFERROR(__xludf.DUMMYFUNCTION("""COMPUTED_VALUE"""),"Köpek Kuru Maması")</f>
        <v>Köpek Kuru Maması</v>
      </c>
      <c r="F438" s="17">
        <f>IFERROR(__xludf.DUMMYFUNCTION("""COMPUTED_VALUE"""),1799.0)</f>
        <v>1799</v>
      </c>
      <c r="G438" s="17">
        <f>IFERROR(__xludf.DUMMYFUNCTION("""COMPUTED_VALUE"""),1623.0)</f>
        <v>1623</v>
      </c>
      <c r="H438" s="17">
        <f>IFERROR(__xludf.DUMMYFUNCTION("""COMPUTED_VALUE"""),50.0)</f>
        <v>50</v>
      </c>
      <c r="I438" s="17" t="str">
        <f>IFERROR(__xludf.DUMMYFUNCTION("""COMPUTED_VALUE"""),"Onayli")</f>
        <v>Onayli</v>
      </c>
      <c r="J438" s="40">
        <f>IF($A438="","",IFERROR(VLOOKUP($A438,'Maliyet Giris'!$A$2:$G$550,6,0),""))</f>
        <v>1394.04</v>
      </c>
      <c r="K438" s="40">
        <f>IF($A438="","",IFERROR(VLOOKUP($A438,'Maliyet Giris'!$A$2:$G$550,7,0),""))</f>
        <v>3</v>
      </c>
    </row>
    <row r="439">
      <c r="A439" s="17">
        <f>IFERROR(__xludf.DUMMYFUNCTION("""COMPUTED_VALUE"""),3.182550727822E12)</f>
        <v>3182550727822</v>
      </c>
      <c r="B439" s="17" t="str">
        <f>IFERROR(__xludf.DUMMYFUNCTION("""COMPUTED_VALUE"""),"Royal Canin")</f>
        <v>Royal Canin</v>
      </c>
      <c r="C439" s="17" t="str">
        <f>IFERROR(__xludf.DUMMYFUNCTION("""COMPUTED_VALUE"""),"Mini Adult Küçük Irklar Için Yetişkin Kuru Köpek Maması 4kg")</f>
        <v>Mini Adult Küçük Irklar Için Yetişkin Kuru Köpek Maması 4kg</v>
      </c>
      <c r="D439" s="17"/>
      <c r="E439" s="17" t="str">
        <f>IFERROR(__xludf.DUMMYFUNCTION("""COMPUTED_VALUE"""),"Köpek Kuru Maması")</f>
        <v>Köpek Kuru Maması</v>
      </c>
      <c r="F439" s="17">
        <f>IFERROR(__xludf.DUMMYFUNCTION("""COMPUTED_VALUE"""),0.0)</f>
        <v>0</v>
      </c>
      <c r="G439" s="17"/>
      <c r="H439" s="17">
        <f>IFERROR(__xludf.DUMMYFUNCTION("""COMPUTED_VALUE"""),0.0)</f>
        <v>0</v>
      </c>
      <c r="I439" s="17" t="str">
        <f>IFERROR(__xludf.DUMMYFUNCTION("""COMPUTED_VALUE"""),"Onayli - Satista degil")</f>
        <v>Onayli - Satista degil</v>
      </c>
      <c r="J439" s="40">
        <f>IF($A439="","",IFERROR(VLOOKUP($A439,'Maliyet Giris'!$A$2:$G$550,6,0),""))</f>
        <v>1260</v>
      </c>
      <c r="K439" s="40">
        <f>IF($A439="","",IFERROR(VLOOKUP($A439,'Maliyet Giris'!$A$2:$G$550,7,0),""))</f>
        <v>3</v>
      </c>
    </row>
    <row r="440">
      <c r="A440" s="17">
        <f>IFERROR(__xludf.DUMMYFUNCTION("""COMPUTED_VALUE"""),3.182550793032E12)</f>
        <v>3182550793032</v>
      </c>
      <c r="B440" s="17" t="str">
        <f>IFERROR(__xludf.DUMMYFUNCTION("""COMPUTED_VALUE"""),"Royal Canin")</f>
        <v>Royal Canin</v>
      </c>
      <c r="C440" s="17" t="str">
        <f>IFERROR(__xludf.DUMMYFUNCTION("""COMPUTED_VALUE"""),"Mını Puppy Küçük Irklar Için Yavru Kuru Köpek Maması 4kg")</f>
        <v>Mını Puppy Küçük Irklar Için Yavru Kuru Köpek Maması 4kg</v>
      </c>
      <c r="D440" s="17"/>
      <c r="E440" s="17" t="str">
        <f>IFERROR(__xludf.DUMMYFUNCTION("""COMPUTED_VALUE"""),"Köpek Kuru Maması")</f>
        <v>Köpek Kuru Maması</v>
      </c>
      <c r="F440" s="17">
        <f>IFERROR(__xludf.DUMMYFUNCTION("""COMPUTED_VALUE"""),0.0)</f>
        <v>0</v>
      </c>
      <c r="G440" s="17"/>
      <c r="H440" s="17">
        <f>IFERROR(__xludf.DUMMYFUNCTION("""COMPUTED_VALUE"""),0.0)</f>
        <v>0</v>
      </c>
      <c r="I440" s="17" t="str">
        <f>IFERROR(__xludf.DUMMYFUNCTION("""COMPUTED_VALUE"""),"Onayli - Satista degil")</f>
        <v>Onayli - Satista degil</v>
      </c>
      <c r="J440" s="40">
        <f>IF($A440="","",IFERROR(VLOOKUP($A440,'Maliyet Giris'!$A$2:$G$550,6,0),""))</f>
        <v>1260</v>
      </c>
      <c r="K440" s="40">
        <f>IF($A440="","",IFERROR(VLOOKUP($A440,'Maliyet Giris'!$A$2:$G$550,7,0),""))</f>
        <v>4</v>
      </c>
    </row>
    <row r="441">
      <c r="A441" s="17">
        <f>IFERROR(__xludf.DUMMYFUNCTION("""COMPUTED_VALUE"""),3.182550716888E12)</f>
        <v>3182550716888</v>
      </c>
      <c r="B441" s="17" t="str">
        <f>IFERROR(__xludf.DUMMYFUNCTION("""COMPUTED_VALUE"""),"Royal Canin")</f>
        <v>Royal Canin</v>
      </c>
      <c r="C441" s="17" t="str">
        <f>IFERROR(__xludf.DUMMYFUNCTION("""COMPUTED_VALUE"""),"Mini Adult Köpek Maması 8kg CB12321")</f>
        <v>Mini Adult Köpek Maması 8kg CB12321</v>
      </c>
      <c r="D441" s="17"/>
      <c r="E441" s="17" t="str">
        <f>IFERROR(__xludf.DUMMYFUNCTION("""COMPUTED_VALUE"""),"Köpek Kuru Maması")</f>
        <v>Köpek Kuru Maması</v>
      </c>
      <c r="F441" s="17">
        <f>IFERROR(__xludf.DUMMYFUNCTION("""COMPUTED_VALUE"""),3100.0)</f>
        <v>3100</v>
      </c>
      <c r="G441" s="17">
        <f>IFERROR(__xludf.DUMMYFUNCTION("""COMPUTED_VALUE"""),2650.0)</f>
        <v>2650</v>
      </c>
      <c r="H441" s="17">
        <f>IFERROR(__xludf.DUMMYFUNCTION("""COMPUTED_VALUE"""),10.0)</f>
        <v>10</v>
      </c>
      <c r="I441" s="17" t="str">
        <f>IFERROR(__xludf.DUMMYFUNCTION("""COMPUTED_VALUE"""),"Onayli")</f>
        <v>Onayli</v>
      </c>
      <c r="J441" s="40">
        <f>IF($A441="","",IFERROR(VLOOKUP($A441,'Maliyet Giris'!$A$2:$G$550,6,0),""))</f>
        <v>2294.04</v>
      </c>
      <c r="K441" s="40">
        <f>IF($A441="","",IFERROR(VLOOKUP($A441,'Maliyet Giris'!$A$2:$G$550,7,0),""))</f>
        <v>8</v>
      </c>
    </row>
    <row r="442">
      <c r="A442" s="17">
        <f>IFERROR(__xludf.DUMMYFUNCTION("""COMPUTED_VALUE"""),3.18255090845E12)</f>
        <v>3182550908450</v>
      </c>
      <c r="B442" s="17" t="str">
        <f>IFERROR(__xludf.DUMMYFUNCTION("""COMPUTED_VALUE"""),"Royal Canin")</f>
        <v>Royal Canin</v>
      </c>
      <c r="C442" s="17" t="str">
        <f>IFERROR(__xludf.DUMMYFUNCTION("""COMPUTED_VALUE"""),"Pomeranian Kuru Köpek Maması 3kg")</f>
        <v>Pomeranian Kuru Köpek Maması 3kg</v>
      </c>
      <c r="D442" s="17"/>
      <c r="E442" s="17" t="str">
        <f>IFERROR(__xludf.DUMMYFUNCTION("""COMPUTED_VALUE"""),"Köpek Kuru Maması")</f>
        <v>Köpek Kuru Maması</v>
      </c>
      <c r="F442" s="17">
        <f>IFERROR(__xludf.DUMMYFUNCTION("""COMPUTED_VALUE"""),0.0)</f>
        <v>0</v>
      </c>
      <c r="G442" s="17"/>
      <c r="H442" s="17">
        <f>IFERROR(__xludf.DUMMYFUNCTION("""COMPUTED_VALUE"""),0.0)</f>
        <v>0</v>
      </c>
      <c r="I442" s="17" t="str">
        <f>IFERROR(__xludf.DUMMYFUNCTION("""COMPUTED_VALUE"""),"Onayli - Satista degil")</f>
        <v>Onayli - Satista degil</v>
      </c>
      <c r="J442" s="40">
        <f>IF($A442="","",IFERROR(VLOOKUP($A442,'Maliyet Giris'!$A$2:$G$550,6,0),""))</f>
        <v>1137.36</v>
      </c>
      <c r="K442" s="40">
        <f>IF($A442="","",IFERROR(VLOOKUP($A442,'Maliyet Giris'!$A$2:$G$550,7,0),""))</f>
        <v>3</v>
      </c>
    </row>
    <row r="443">
      <c r="A443" s="17">
        <f>IFERROR(__xludf.DUMMYFUNCTION("""COMPUTED_VALUE"""),9.874745679541E12)</f>
        <v>9874745679541</v>
      </c>
      <c r="B443" s="17" t="str">
        <f>IFERROR(__xludf.DUMMYFUNCTION("""COMPUTED_VALUE"""),"Royal Canin")</f>
        <v>Royal Canin</v>
      </c>
      <c r="C443" s="17" t="str">
        <f>IFERROR(__xludf.DUMMYFUNCTION("""COMPUTED_VALUE"""),"Urinary Kuru Kedi Maması 3.5 kg")</f>
        <v>Urinary Kuru Kedi Maması 3.5 kg</v>
      </c>
      <c r="D443" s="17"/>
      <c r="E443" s="17" t="str">
        <f>IFERROR(__xludf.DUMMYFUNCTION("""COMPUTED_VALUE"""),"Kedi Kuru Maması")</f>
        <v>Kedi Kuru Maması</v>
      </c>
      <c r="F443" s="17">
        <f>IFERROR(__xludf.DUMMYFUNCTION("""COMPUTED_VALUE"""),0.0)</f>
        <v>0</v>
      </c>
      <c r="G443" s="17"/>
      <c r="H443" s="17">
        <f>IFERROR(__xludf.DUMMYFUNCTION("""COMPUTED_VALUE"""),0.0)</f>
        <v>0</v>
      </c>
      <c r="I443" s="17" t="str">
        <f>IFERROR(__xludf.DUMMYFUNCTION("""COMPUTED_VALUE"""),"Onayli - Satista degil")</f>
        <v>Onayli - Satista degil</v>
      </c>
      <c r="J443" s="40">
        <f>IF($A443="","",IFERROR(VLOOKUP($A443,'Maliyet Giris'!$A$2:$G$550,6,0),""))</f>
        <v>1</v>
      </c>
      <c r="K443" s="40">
        <f>IF($A443="","",IFERROR(VLOOKUP($A443,'Maliyet Giris'!$A$2:$G$550,7,0),""))</f>
        <v>3</v>
      </c>
    </row>
    <row r="444">
      <c r="A444" s="17">
        <f>IFERROR(__xludf.DUMMYFUNCTION("""COMPUTED_VALUE"""),3.182550737616E12)</f>
        <v>3182550737616</v>
      </c>
      <c r="B444" s="17" t="str">
        <f>IFERROR(__xludf.DUMMYFUNCTION("""COMPUTED_VALUE"""),"Royal Canin")</f>
        <v>Royal Canin</v>
      </c>
      <c r="C444" s="17" t="str">
        <f>IFERROR(__xludf.DUMMYFUNCTION("""COMPUTED_VALUE"""),"Sterilised37 Kısırlaştırılmış Yetişkin Kedi Maması 4 Kg")</f>
        <v>Sterilised37 Kısırlaştırılmış Yetişkin Kedi Maması 4 Kg</v>
      </c>
      <c r="D444" s="17"/>
      <c r="E444" s="17" t="str">
        <f>IFERROR(__xludf.DUMMYFUNCTION("""COMPUTED_VALUE"""),"Kedi Kuru Maması")</f>
        <v>Kedi Kuru Maması</v>
      </c>
      <c r="F444" s="17">
        <f>IFERROR(__xludf.DUMMYFUNCTION("""COMPUTED_VALUE"""),0.0)</f>
        <v>0</v>
      </c>
      <c r="G444" s="17"/>
      <c r="H444" s="17">
        <f>IFERROR(__xludf.DUMMYFUNCTION("""COMPUTED_VALUE"""),0.0)</f>
        <v>0</v>
      </c>
      <c r="I444" s="17" t="str">
        <f>IFERROR(__xludf.DUMMYFUNCTION("""COMPUTED_VALUE"""),"Onayli - Satista degil")</f>
        <v>Onayli - Satista degil</v>
      </c>
      <c r="J444" s="40">
        <f>IF($A444="","",IFERROR(VLOOKUP($A444,'Maliyet Giris'!$A$2:$G$550,6,0),""))</f>
        <v>1535.52</v>
      </c>
      <c r="K444" s="40">
        <f>IF($A444="","",IFERROR(VLOOKUP($A444,'Maliyet Giris'!$A$2:$G$550,7,0),""))</f>
        <v>4</v>
      </c>
    </row>
    <row r="445">
      <c r="A445" s="17">
        <f>IFERROR(__xludf.DUMMYFUNCTION("""COMPUTED_VALUE"""),3.182550702447E12)</f>
        <v>3182550702447</v>
      </c>
      <c r="B445" s="17" t="str">
        <f>IFERROR(__xludf.DUMMYFUNCTION("""COMPUTED_VALUE"""),"Royal Canin")</f>
        <v>Royal Canin</v>
      </c>
      <c r="C445" s="17" t="str">
        <f>IFERROR(__xludf.DUMMYFUNCTION("""COMPUTED_VALUE"""),"Kıttenyavru Kediler Için Kuru Kedi Maması 4kg")</f>
        <v>Kıttenyavru Kediler Için Kuru Kedi Maması 4kg</v>
      </c>
      <c r="D445" s="17"/>
      <c r="E445" s="17" t="str">
        <f>IFERROR(__xludf.DUMMYFUNCTION("""COMPUTED_VALUE"""),"Kedi Kuru Maması")</f>
        <v>Kedi Kuru Maması</v>
      </c>
      <c r="F445" s="17">
        <f>IFERROR(__xludf.DUMMYFUNCTION("""COMPUTED_VALUE"""),0.0)</f>
        <v>0</v>
      </c>
      <c r="G445" s="17"/>
      <c r="H445" s="17">
        <f>IFERROR(__xludf.DUMMYFUNCTION("""COMPUTED_VALUE"""),0.0)</f>
        <v>0</v>
      </c>
      <c r="I445" s="17" t="str">
        <f>IFERROR(__xludf.DUMMYFUNCTION("""COMPUTED_VALUE"""),"Onayli - Satista degil")</f>
        <v>Onayli - Satista degil</v>
      </c>
      <c r="J445" s="40">
        <f>IF($A445="","",IFERROR(VLOOKUP($A445,'Maliyet Giris'!$A$2:$G$550,6,0),""))</f>
        <v>1459.08</v>
      </c>
      <c r="K445" s="40">
        <f>IF($A445="","",IFERROR(VLOOKUP($A445,'Maliyet Giris'!$A$2:$G$550,7,0),""))</f>
        <v>4</v>
      </c>
    </row>
    <row r="446">
      <c r="A446" s="17">
        <f>IFERROR(__xludf.DUMMYFUNCTION("""COMPUTED_VALUE"""),3.182550702423E12)</f>
        <v>3182550702423</v>
      </c>
      <c r="B446" s="17" t="str">
        <f>IFERROR(__xludf.DUMMYFUNCTION("""COMPUTED_VALUE"""),"Royal Canin")</f>
        <v>Royal Canin</v>
      </c>
      <c r="C446" s="17" t="str">
        <f>IFERROR(__xludf.DUMMYFUNCTION("""COMPUTED_VALUE"""),"Kitten Yavru Kediler Için Kuru Kedi Maması 2kg")</f>
        <v>Kitten Yavru Kediler Için Kuru Kedi Maması 2kg</v>
      </c>
      <c r="D446" s="17"/>
      <c r="E446" s="17" t="str">
        <f>IFERROR(__xludf.DUMMYFUNCTION("""COMPUTED_VALUE"""),"Kedi Kuru Maması")</f>
        <v>Kedi Kuru Maması</v>
      </c>
      <c r="F446" s="17">
        <f>IFERROR(__xludf.DUMMYFUNCTION("""COMPUTED_VALUE"""),0.0)</f>
        <v>0</v>
      </c>
      <c r="G446" s="17"/>
      <c r="H446" s="17">
        <f>IFERROR(__xludf.DUMMYFUNCTION("""COMPUTED_VALUE"""),0.0)</f>
        <v>0</v>
      </c>
      <c r="I446" s="17" t="str">
        <f>IFERROR(__xludf.DUMMYFUNCTION("""COMPUTED_VALUE"""),"Onayli - Satista degil")</f>
        <v>Onayli - Satista degil</v>
      </c>
      <c r="J446" s="40">
        <f>IF($A446="","",IFERROR(VLOOKUP($A446,'Maliyet Giris'!$A$2:$G$550,6,0),""))</f>
        <v>796.32</v>
      </c>
      <c r="K446" s="40">
        <f>IF($A446="","",IFERROR(VLOOKUP($A446,'Maliyet Giris'!$A$2:$G$550,7,0),""))</f>
        <v>2</v>
      </c>
    </row>
    <row r="447">
      <c r="A447" s="17">
        <f>IFERROR(__xludf.DUMMYFUNCTION("""COMPUTED_VALUE"""),3.182550707329E12)</f>
        <v>3182550707329</v>
      </c>
      <c r="B447" s="17" t="str">
        <f>IFERROR(__xludf.DUMMYFUNCTION("""COMPUTED_VALUE"""),"Royal Canin")</f>
        <v>Royal Canin</v>
      </c>
      <c r="C447" s="17" t="str">
        <f>IFERROR(__xludf.DUMMYFUNCTION("""COMPUTED_VALUE"""),"Mother&amp;babycat Gebe/laktasyondaki Anne Ve Yavru Kedi Için Kuru Kedi Maması 4kg")</f>
        <v>Mother&amp;babycat Gebe/laktasyondaki Anne Ve Yavru Kedi Için Kuru Kedi Maması 4kg</v>
      </c>
      <c r="D447" s="17"/>
      <c r="E447" s="17" t="str">
        <f>IFERROR(__xludf.DUMMYFUNCTION("""COMPUTED_VALUE"""),"Kedi Kuru Maması")</f>
        <v>Kedi Kuru Maması</v>
      </c>
      <c r="F447" s="17">
        <f>IFERROR(__xludf.DUMMYFUNCTION("""COMPUTED_VALUE"""),0.0)</f>
        <v>0</v>
      </c>
      <c r="G447" s="17"/>
      <c r="H447" s="17">
        <f>IFERROR(__xludf.DUMMYFUNCTION("""COMPUTED_VALUE"""),0.0)</f>
        <v>0</v>
      </c>
      <c r="I447" s="17" t="str">
        <f>IFERROR(__xludf.DUMMYFUNCTION("""COMPUTED_VALUE"""),"Onayli - Satista degil")</f>
        <v>Onayli - Satista degil</v>
      </c>
      <c r="J447" s="40">
        <f>IF($A447="","",IFERROR(VLOOKUP($A447,'Maliyet Giris'!$A$2:$G$550,6,0),""))</f>
        <v>1598.52</v>
      </c>
      <c r="K447" s="40">
        <f>IF($A447="","",IFERROR(VLOOKUP($A447,'Maliyet Giris'!$A$2:$G$550,7,0),""))</f>
        <v>4</v>
      </c>
    </row>
    <row r="448">
      <c r="A448" s="17">
        <f>IFERROR(__xludf.DUMMYFUNCTION("""COMPUTED_VALUE"""),3.182550737593E12)</f>
        <v>3182550737593</v>
      </c>
      <c r="B448" s="17" t="str">
        <f>IFERROR(__xludf.DUMMYFUNCTION("""COMPUTED_VALUE"""),"Royal Canin")</f>
        <v>Royal Canin</v>
      </c>
      <c r="C448" s="17" t="str">
        <f>IFERROR(__xludf.DUMMYFUNCTION("""COMPUTED_VALUE"""),"Sterilised37 Kısırlaştırılmış Kediler için Kuru Kedi Maması 2 Kg")</f>
        <v>Sterilised37 Kısırlaştırılmış Kediler için Kuru Kedi Maması 2 Kg</v>
      </c>
      <c r="D448" s="17"/>
      <c r="E448" s="17" t="str">
        <f>IFERROR(__xludf.DUMMYFUNCTION("""COMPUTED_VALUE"""),"Kedi Kuru Maması")</f>
        <v>Kedi Kuru Maması</v>
      </c>
      <c r="F448" s="17">
        <f>IFERROR(__xludf.DUMMYFUNCTION("""COMPUTED_VALUE"""),0.0)</f>
        <v>0</v>
      </c>
      <c r="G448" s="17"/>
      <c r="H448" s="17">
        <f>IFERROR(__xludf.DUMMYFUNCTION("""COMPUTED_VALUE"""),0.0)</f>
        <v>0</v>
      </c>
      <c r="I448" s="17" t="str">
        <f>IFERROR(__xludf.DUMMYFUNCTION("""COMPUTED_VALUE"""),"Onayli - Satista degil")</f>
        <v>Onayli - Satista degil</v>
      </c>
      <c r="J448" s="40">
        <f>IF($A448="","",IFERROR(VLOOKUP($A448,'Maliyet Giris'!$A$2:$G$550,6,0),""))</f>
        <v>832.44</v>
      </c>
      <c r="K448" s="40">
        <f>IF($A448="","",IFERROR(VLOOKUP($A448,'Maliyet Giris'!$A$2:$G$550,7,0),""))</f>
        <v>2</v>
      </c>
    </row>
    <row r="449">
      <c r="A449" s="17">
        <f>IFERROR(__xludf.DUMMYFUNCTION("""COMPUTED_VALUE"""),3.182550737591E12)</f>
        <v>3182550737591</v>
      </c>
      <c r="B449" s="17" t="str">
        <f>IFERROR(__xludf.DUMMYFUNCTION("""COMPUTED_VALUE"""),"Royal Canin")</f>
        <v>Royal Canin</v>
      </c>
      <c r="C449" s="17" t="str">
        <f>IFERROR(__xludf.DUMMYFUNCTION("""COMPUTED_VALUE"""),"Sterilised37 Kısırlaştırılmış Kediler için Kuru Kedi Maması 2 Kg")</f>
        <v>Sterilised37 Kısırlaştırılmış Kediler için Kuru Kedi Maması 2 Kg</v>
      </c>
      <c r="D449" s="17"/>
      <c r="E449" s="17" t="str">
        <f>IFERROR(__xludf.DUMMYFUNCTION("""COMPUTED_VALUE"""),"Kedi Kuru Maması")</f>
        <v>Kedi Kuru Maması</v>
      </c>
      <c r="F449" s="17">
        <f>IFERROR(__xludf.DUMMYFUNCTION("""COMPUTED_VALUE"""),0.0)</f>
        <v>0</v>
      </c>
      <c r="G449" s="17"/>
      <c r="H449" s="17">
        <f>IFERROR(__xludf.DUMMYFUNCTION("""COMPUTED_VALUE"""),0.0)</f>
        <v>0</v>
      </c>
      <c r="I449" s="17" t="str">
        <f>IFERROR(__xludf.DUMMYFUNCTION("""COMPUTED_VALUE"""),"Onayli - Satista degil")</f>
        <v>Onayli - Satista degil</v>
      </c>
      <c r="J449" s="40">
        <f>IF($A449="","",IFERROR(VLOOKUP($A449,'Maliyet Giris'!$A$2:$G$550,6,0),""))</f>
        <v>832.44</v>
      </c>
      <c r="K449" s="40">
        <f>IF($A449="","",IFERROR(VLOOKUP($A449,'Maliyet Giris'!$A$2:$G$550,7,0),""))</f>
        <v>2</v>
      </c>
    </row>
    <row r="450">
      <c r="A450" s="17">
        <f>IFERROR(__xludf.DUMMYFUNCTION("""COMPUTED_VALUE"""),3.182550702331E12)</f>
        <v>3182550702331</v>
      </c>
      <c r="B450" s="17" t="str">
        <f>IFERROR(__xludf.DUMMYFUNCTION("""COMPUTED_VALUE"""),"Royal Canin")</f>
        <v>Royal Canin</v>
      </c>
      <c r="C450" s="17" t="str">
        <f>IFERROR(__xludf.DUMMYFUNCTION("""COMPUTED_VALUE"""),"Sensible 33 Hassas Sindirim Sistemi Destekleyici Kedi Maması 4kg")</f>
        <v>Sensible 33 Hassas Sindirim Sistemi Destekleyici Kedi Maması 4kg</v>
      </c>
      <c r="D450" s="17"/>
      <c r="E450" s="17" t="str">
        <f>IFERROR(__xludf.DUMMYFUNCTION("""COMPUTED_VALUE"""),"Kedi Kuru Maması")</f>
        <v>Kedi Kuru Maması</v>
      </c>
      <c r="F450" s="17">
        <f>IFERROR(__xludf.DUMMYFUNCTION("""COMPUTED_VALUE"""),0.0)</f>
        <v>0</v>
      </c>
      <c r="G450" s="17"/>
      <c r="H450" s="17">
        <f>IFERROR(__xludf.DUMMYFUNCTION("""COMPUTED_VALUE"""),0.0)</f>
        <v>0</v>
      </c>
      <c r="I450" s="17" t="str">
        <f>IFERROR(__xludf.DUMMYFUNCTION("""COMPUTED_VALUE"""),"Onayli - Satista degil")</f>
        <v>Onayli - Satista degil</v>
      </c>
      <c r="J450" s="40">
        <f>IF($A450="","",IFERROR(VLOOKUP($A450,'Maliyet Giris'!$A$2:$G$550,6,0),""))</f>
        <v>1535.52</v>
      </c>
      <c r="K450" s="40">
        <f>IF($A450="","",IFERROR(VLOOKUP($A450,'Maliyet Giris'!$A$2:$G$550,7,0),""))</f>
        <v>4</v>
      </c>
    </row>
    <row r="451">
      <c r="A451" s="17">
        <f>IFERROR(__xludf.DUMMYFUNCTION("""COMPUTED_VALUE"""),3.182550777308E12)</f>
        <v>3182550777308</v>
      </c>
      <c r="B451" s="17" t="str">
        <f>IFERROR(__xludf.DUMMYFUNCTION("""COMPUTED_VALUE"""),"Royal Canin")</f>
        <v>Royal Canin</v>
      </c>
      <c r="C451" s="17" t="str">
        <f>IFERROR(__xludf.DUMMYFUNCTION("""COMPUTED_VALUE"""),"Sterilised37 Kısırlaştırılmış Kediler için Kuru Kedi Maması 15 Kg")</f>
        <v>Sterilised37 Kısırlaştırılmış Kediler için Kuru Kedi Maması 15 Kg</v>
      </c>
      <c r="D451" s="17"/>
      <c r="E451" s="17" t="str">
        <f>IFERROR(__xludf.DUMMYFUNCTION("""COMPUTED_VALUE"""),"Kedi Kuru Maması")</f>
        <v>Kedi Kuru Maması</v>
      </c>
      <c r="F451" s="17">
        <f>IFERROR(__xludf.DUMMYFUNCTION("""COMPUTED_VALUE"""),0.0)</f>
        <v>0</v>
      </c>
      <c r="G451" s="17"/>
      <c r="H451" s="17">
        <f>IFERROR(__xludf.DUMMYFUNCTION("""COMPUTED_VALUE"""),0.0)</f>
        <v>0</v>
      </c>
      <c r="I451" s="17" t="str">
        <f>IFERROR(__xludf.DUMMYFUNCTION("""COMPUTED_VALUE"""),"Onayli - Satista degil")</f>
        <v>Onayli - Satista degil</v>
      </c>
      <c r="J451" s="40">
        <f>IF($A451="","",IFERROR(VLOOKUP($A451,'Maliyet Giris'!$A$2:$G$550,6,0),""))</f>
        <v>4756.08</v>
      </c>
      <c r="K451" s="40">
        <f>IF($A451="","",IFERROR(VLOOKUP($A451,'Maliyet Giris'!$A$2:$G$550,7,0),""))</f>
        <v>15</v>
      </c>
    </row>
    <row r="452">
      <c r="A452" s="17">
        <f>IFERROR(__xludf.DUMMYFUNCTION("""COMPUTED_VALUE"""),3.182550702317E12)</f>
        <v>3182550702317</v>
      </c>
      <c r="B452" s="17" t="str">
        <f>IFERROR(__xludf.DUMMYFUNCTION("""COMPUTED_VALUE"""),"Royal Canin")</f>
        <v>Royal Canin</v>
      </c>
      <c r="C452" s="17" t="str">
        <f>IFERROR(__xludf.DUMMYFUNCTION("""COMPUTED_VALUE"""),"Sensible33 Sindirim Hassasiyeti Olan Kediler Için Yetişkin Kuru Kedi Maması 2kg")</f>
        <v>Sensible33 Sindirim Hassasiyeti Olan Kediler Için Yetişkin Kuru Kedi Maması 2kg</v>
      </c>
      <c r="D452" s="17"/>
      <c r="E452" s="17" t="str">
        <f>IFERROR(__xludf.DUMMYFUNCTION("""COMPUTED_VALUE"""),"Kedi Kuru Maması")</f>
        <v>Kedi Kuru Maması</v>
      </c>
      <c r="F452" s="17">
        <f>IFERROR(__xludf.DUMMYFUNCTION("""COMPUTED_VALUE"""),0.0)</f>
        <v>0</v>
      </c>
      <c r="G452" s="17"/>
      <c r="H452" s="17">
        <f>IFERROR(__xludf.DUMMYFUNCTION("""COMPUTED_VALUE"""),0.0)</f>
        <v>0</v>
      </c>
      <c r="I452" s="17" t="str">
        <f>IFERROR(__xludf.DUMMYFUNCTION("""COMPUTED_VALUE"""),"Onayli - Satista degil")</f>
        <v>Onayli - Satista degil</v>
      </c>
      <c r="J452" s="40">
        <f>IF($A452="","",IFERROR(VLOOKUP($A452,'Maliyet Giris'!$A$2:$G$550,6,0),""))</f>
        <v>832.44</v>
      </c>
      <c r="K452" s="40">
        <f>IF($A452="","",IFERROR(VLOOKUP($A452,'Maliyet Giris'!$A$2:$G$550,7,0),""))</f>
        <v>2</v>
      </c>
    </row>
    <row r="453">
      <c r="A453" s="17">
        <f>IFERROR(__xludf.DUMMYFUNCTION("""COMPUTED_VALUE"""),3.182550702973E12)</f>
        <v>3182550702973</v>
      </c>
      <c r="B453" s="17" t="str">
        <f>IFERROR(__xludf.DUMMYFUNCTION("""COMPUTED_VALUE"""),"Royal Canin")</f>
        <v>Royal Canin</v>
      </c>
      <c r="C453" s="17" t="str">
        <f>IFERROR(__xludf.DUMMYFUNCTION("""COMPUTED_VALUE"""),"Yavru Kediler Için Kuru Kedi Maması 10kg")</f>
        <v>Yavru Kediler Için Kuru Kedi Maması 10kg</v>
      </c>
      <c r="D453" s="17"/>
      <c r="E453" s="17" t="str">
        <f>IFERROR(__xludf.DUMMYFUNCTION("""COMPUTED_VALUE"""),"Kedi Kuru Maması")</f>
        <v>Kedi Kuru Maması</v>
      </c>
      <c r="F453" s="17">
        <f>IFERROR(__xludf.DUMMYFUNCTION("""COMPUTED_VALUE"""),0.0)</f>
        <v>0</v>
      </c>
      <c r="G453" s="17"/>
      <c r="H453" s="17">
        <f>IFERROR(__xludf.DUMMYFUNCTION("""COMPUTED_VALUE"""),0.0)</f>
        <v>0</v>
      </c>
      <c r="I453" s="17" t="str">
        <f>IFERROR(__xludf.DUMMYFUNCTION("""COMPUTED_VALUE"""),"Onayli - Satista degil")</f>
        <v>Onayli - Satista degil</v>
      </c>
      <c r="J453" s="40">
        <f>IF($A453="","",IFERROR(VLOOKUP($A453,'Maliyet Giris'!$A$2:$G$550,6,0),""))</f>
        <v>3323.04</v>
      </c>
      <c r="K453" s="40">
        <f>IF($A453="","",IFERROR(VLOOKUP($A453,'Maliyet Giris'!$A$2:$G$550,7,0),""))</f>
        <v>10</v>
      </c>
    </row>
    <row r="454">
      <c r="A454" s="17">
        <f>IFERROR(__xludf.DUMMYFUNCTION("""COMPUTED_VALUE"""),3.182550702201E12)</f>
        <v>3182550702201</v>
      </c>
      <c r="B454" s="17" t="str">
        <f>IFERROR(__xludf.DUMMYFUNCTION("""COMPUTED_VALUE"""),"Royal Canin")</f>
        <v>Royal Canin</v>
      </c>
      <c r="C454" s="17" t="str">
        <f>IFERROR(__xludf.DUMMYFUNCTION("""COMPUTED_VALUE"""),"Fit 32 Yetişkin Kuru Kedi Maması 2kg")</f>
        <v>Fit 32 Yetişkin Kuru Kedi Maması 2kg</v>
      </c>
      <c r="D454" s="17"/>
      <c r="E454" s="17" t="str">
        <f>IFERROR(__xludf.DUMMYFUNCTION("""COMPUTED_VALUE"""),"Kedi Kuru Maması")</f>
        <v>Kedi Kuru Maması</v>
      </c>
      <c r="F454" s="17">
        <f>IFERROR(__xludf.DUMMYFUNCTION("""COMPUTED_VALUE"""),0.0)</f>
        <v>0</v>
      </c>
      <c r="G454" s="17"/>
      <c r="H454" s="17">
        <f>IFERROR(__xludf.DUMMYFUNCTION("""COMPUTED_VALUE"""),0.0)</f>
        <v>0</v>
      </c>
      <c r="I454" s="17" t="str">
        <f>IFERROR(__xludf.DUMMYFUNCTION("""COMPUTED_VALUE"""),"Onayli - Satista degil")</f>
        <v>Onayli - Satista degil</v>
      </c>
      <c r="J454" s="40">
        <f>IF($A454="","",IFERROR(VLOOKUP($A454,'Maliyet Giris'!$A$2:$G$550,6,0),""))</f>
        <v>796.32</v>
      </c>
      <c r="K454" s="40">
        <f>IF($A454="","",IFERROR(VLOOKUP($A454,'Maliyet Giris'!$A$2:$G$550,7,0),""))</f>
        <v>2</v>
      </c>
    </row>
    <row r="455">
      <c r="A455" s="17">
        <f>IFERROR(__xludf.DUMMYFUNCTION("""COMPUTED_VALUE"""),3.18255075644E12)</f>
        <v>3182550756440</v>
      </c>
      <c r="B455" s="17" t="str">
        <f>IFERROR(__xludf.DUMMYFUNCTION("""COMPUTED_VALUE"""),"Royal Canin")</f>
        <v>Royal Canin</v>
      </c>
      <c r="C455" s="17" t="str">
        <f>IFERROR(__xludf.DUMMYFUNCTION("""COMPUTED_VALUE"""),"British Shorthair Için Kuru Kedi Maması 4kg")</f>
        <v>British Shorthair Için Kuru Kedi Maması 4kg</v>
      </c>
      <c r="D455" s="17"/>
      <c r="E455" s="17" t="str">
        <f>IFERROR(__xludf.DUMMYFUNCTION("""COMPUTED_VALUE"""),"Kedi Kuru Maması")</f>
        <v>Kedi Kuru Maması</v>
      </c>
      <c r="F455" s="17">
        <f>IFERROR(__xludf.DUMMYFUNCTION("""COMPUTED_VALUE"""),0.0)</f>
        <v>0</v>
      </c>
      <c r="G455" s="17"/>
      <c r="H455" s="17">
        <f>IFERROR(__xludf.DUMMYFUNCTION("""COMPUTED_VALUE"""),0.0)</f>
        <v>0</v>
      </c>
      <c r="I455" s="17" t="str">
        <f>IFERROR(__xludf.DUMMYFUNCTION("""COMPUTED_VALUE"""),"Onayli - Satista degil")</f>
        <v>Onayli - Satista degil</v>
      </c>
      <c r="J455" s="40">
        <f>IF($A455="","",IFERROR(VLOOKUP($A455,'Maliyet Giris'!$A$2:$G$550,6,0),""))</f>
        <v>1837.92</v>
      </c>
      <c r="K455" s="40">
        <f>IF($A455="","",IFERROR(VLOOKUP($A455,'Maliyet Giris'!$A$2:$G$550,7,0),""))</f>
        <v>4</v>
      </c>
    </row>
    <row r="456">
      <c r="A456" s="17">
        <f>IFERROR(__xludf.DUMMYFUNCTION("""COMPUTED_VALUE"""),3.182550816533E12)</f>
        <v>3182550816533</v>
      </c>
      <c r="B456" s="17" t="str">
        <f>IFERROR(__xludf.DUMMYFUNCTION("""COMPUTED_VALUE"""),"Royal Canin")</f>
        <v>Royal Canin</v>
      </c>
      <c r="C456" s="17" t="str">
        <f>IFERROR(__xludf.DUMMYFUNCTION("""COMPUTED_VALUE"""),"British Shorthair Kitten 2kg Yavru Kedi Kuru Maması")</f>
        <v>British Shorthair Kitten 2kg Yavru Kedi Kuru Maması</v>
      </c>
      <c r="D456" s="17"/>
      <c r="E456" s="17" t="str">
        <f>IFERROR(__xludf.DUMMYFUNCTION("""COMPUTED_VALUE"""),"Kedi Kuru Maması")</f>
        <v>Kedi Kuru Maması</v>
      </c>
      <c r="F456" s="17">
        <f>IFERROR(__xludf.DUMMYFUNCTION("""COMPUTED_VALUE"""),0.0)</f>
        <v>0</v>
      </c>
      <c r="G456" s="17"/>
      <c r="H456" s="17">
        <f>IFERROR(__xludf.DUMMYFUNCTION("""COMPUTED_VALUE"""),0.0)</f>
        <v>0</v>
      </c>
      <c r="I456" s="17" t="str">
        <f>IFERROR(__xludf.DUMMYFUNCTION("""COMPUTED_VALUE"""),"Onayli - Satista degil")</f>
        <v>Onayli - Satista degil</v>
      </c>
      <c r="J456" s="40">
        <f>IF($A456="","",IFERROR(VLOOKUP($A456,'Maliyet Giris'!$A$2:$G$550,6,0),""))</f>
        <v>1108.8</v>
      </c>
      <c r="K456" s="40">
        <f>IF($A456="","",IFERROR(VLOOKUP($A456,'Maliyet Giris'!$A$2:$G$550,7,0),""))</f>
        <v>2</v>
      </c>
    </row>
    <row r="457">
      <c r="A457" s="17">
        <f>IFERROR(__xludf.DUMMYFUNCTION("""COMPUTED_VALUE"""),3.182550702379E12)</f>
        <v>3182550702379</v>
      </c>
      <c r="B457" s="17" t="str">
        <f>IFERROR(__xludf.DUMMYFUNCTION("""COMPUTED_VALUE"""),"Royal Canin")</f>
        <v>Royal Canin</v>
      </c>
      <c r="C457" s="17" t="str">
        <f>IFERROR(__xludf.DUMMYFUNCTION("""COMPUTED_VALUE"""),"Kitten Yavru Kediler Için Kuru Kedi Maması 400g")</f>
        <v>Kitten Yavru Kediler Için Kuru Kedi Maması 400g</v>
      </c>
      <c r="D457" s="17"/>
      <c r="E457" s="17" t="str">
        <f>IFERROR(__xludf.DUMMYFUNCTION("""COMPUTED_VALUE"""),"Kedi Kuru Maması")</f>
        <v>Kedi Kuru Maması</v>
      </c>
      <c r="F457" s="17">
        <f>IFERROR(__xludf.DUMMYFUNCTION("""COMPUTED_VALUE"""),0.0)</f>
        <v>0</v>
      </c>
      <c r="G457" s="17"/>
      <c r="H457" s="17">
        <f>IFERROR(__xludf.DUMMYFUNCTION("""COMPUTED_VALUE"""),0.0)</f>
        <v>0</v>
      </c>
      <c r="I457" s="17" t="str">
        <f>IFERROR(__xludf.DUMMYFUNCTION("""COMPUTED_VALUE"""),"Onayli - Satista degil")</f>
        <v>Onayli - Satista degil</v>
      </c>
      <c r="J457" s="40">
        <f>IF($A457="","",IFERROR(VLOOKUP($A457,'Maliyet Giris'!$A$2:$G$550,6,0),""))</f>
        <v>796</v>
      </c>
      <c r="K457" s="40">
        <f>IF($A457="","",IFERROR(VLOOKUP($A457,'Maliyet Giris'!$A$2:$G$550,7,0),""))</f>
        <v>3</v>
      </c>
    </row>
    <row r="458">
      <c r="A458" s="17">
        <f>IFERROR(__xludf.DUMMYFUNCTION("""COMPUTED_VALUE"""),3.182550702225E12)</f>
        <v>3182550702225</v>
      </c>
      <c r="B458" s="17" t="str">
        <f>IFERROR(__xludf.DUMMYFUNCTION("""COMPUTED_VALUE"""),"Royal Canin")</f>
        <v>Royal Canin</v>
      </c>
      <c r="C458" s="17" t="str">
        <f>IFERROR(__xludf.DUMMYFUNCTION("""COMPUTED_VALUE"""),"Fit 32 Kedi Maması 4 kg")</f>
        <v>Fit 32 Kedi Maması 4 kg</v>
      </c>
      <c r="D458" s="17"/>
      <c r="E458" s="17" t="str">
        <f>IFERROR(__xludf.DUMMYFUNCTION("""COMPUTED_VALUE"""),"Kedi Kuru Maması")</f>
        <v>Kedi Kuru Maması</v>
      </c>
      <c r="F458" s="17">
        <f>IFERROR(__xludf.DUMMYFUNCTION("""COMPUTED_VALUE"""),0.0)</f>
        <v>0</v>
      </c>
      <c r="G458" s="17"/>
      <c r="H458" s="17">
        <f>IFERROR(__xludf.DUMMYFUNCTION("""COMPUTED_VALUE"""),0.0)</f>
        <v>0</v>
      </c>
      <c r="I458" s="17" t="str">
        <f>IFERROR(__xludf.DUMMYFUNCTION("""COMPUTED_VALUE"""),"Onayli - Satista degil")</f>
        <v>Onayli - Satista degil</v>
      </c>
      <c r="J458" s="40">
        <f>IF($A458="","",IFERROR(VLOOKUP($A458,'Maliyet Giris'!$A$2:$G$550,6,0),""))</f>
        <v>1464.12</v>
      </c>
      <c r="K458" s="40">
        <f>IF($A458="","",IFERROR(VLOOKUP($A458,'Maliyet Giris'!$A$2:$G$550,7,0),""))</f>
        <v>4</v>
      </c>
    </row>
    <row r="459">
      <c r="A459" s="17">
        <f>IFERROR(__xludf.DUMMYFUNCTION("""COMPUTED_VALUE"""),3.182550702157E12)</f>
        <v>3182550702157</v>
      </c>
      <c r="B459" s="17" t="str">
        <f>IFERROR(__xludf.DUMMYFUNCTION("""COMPUTED_VALUE"""),"Royal Canin")</f>
        <v>Royal Canin</v>
      </c>
      <c r="C459" s="17" t="str">
        <f>IFERROR(__xludf.DUMMYFUNCTION("""COMPUTED_VALUE"""),"Fit32 Yetişkin Kuru Kedi Maması 400g")</f>
        <v>Fit32 Yetişkin Kuru Kedi Maması 400g</v>
      </c>
      <c r="D459" s="17"/>
      <c r="E459" s="17" t="str">
        <f>IFERROR(__xludf.DUMMYFUNCTION("""COMPUTED_VALUE"""),"Kedi Kuru Maması")</f>
        <v>Kedi Kuru Maması</v>
      </c>
      <c r="F459" s="17">
        <f>IFERROR(__xludf.DUMMYFUNCTION("""COMPUTED_VALUE"""),0.0)</f>
        <v>0</v>
      </c>
      <c r="G459" s="17"/>
      <c r="H459" s="17">
        <f>IFERROR(__xludf.DUMMYFUNCTION("""COMPUTED_VALUE"""),0.0)</f>
        <v>0</v>
      </c>
      <c r="I459" s="17" t="str">
        <f>IFERROR(__xludf.DUMMYFUNCTION("""COMPUTED_VALUE"""),"Onayli - Satista degil")</f>
        <v>Onayli - Satista degil</v>
      </c>
      <c r="J459" s="40">
        <f>IF($A459="","",IFERROR(VLOOKUP($A459,'Maliyet Giris'!$A$2:$G$550,6,0),""))</f>
        <v>170</v>
      </c>
      <c r="K459" s="40">
        <f>IF($A459="","",IFERROR(VLOOKUP($A459,'Maliyet Giris'!$A$2:$G$550,7,0),""))</f>
        <v>3</v>
      </c>
    </row>
    <row r="460">
      <c r="A460" s="17">
        <f>IFERROR(__xludf.DUMMYFUNCTION("""COMPUTED_VALUE"""),3.182550702263E12)</f>
        <v>3182550702263</v>
      </c>
      <c r="B460" s="17" t="str">
        <f>IFERROR(__xludf.DUMMYFUNCTION("""COMPUTED_VALUE"""),"Royal Canin")</f>
        <v>Royal Canin</v>
      </c>
      <c r="C460" s="17" t="str">
        <f>IFERROR(__xludf.DUMMYFUNCTION("""COMPUTED_VALUE"""),"Sensible 33 Hassas Sindirim Sistemi Destekleyici Yetişkin Kedi Maması 400 Gr")</f>
        <v>Sensible 33 Hassas Sindirim Sistemi Destekleyici Yetişkin Kedi Maması 400 Gr</v>
      </c>
      <c r="D460" s="17"/>
      <c r="E460" s="17" t="str">
        <f>IFERROR(__xludf.DUMMYFUNCTION("""COMPUTED_VALUE"""),"Kedi Kuru Maması")</f>
        <v>Kedi Kuru Maması</v>
      </c>
      <c r="F460" s="17">
        <f>IFERROR(__xludf.DUMMYFUNCTION("""COMPUTED_VALUE"""),0.0)</f>
        <v>0</v>
      </c>
      <c r="G460" s="17"/>
      <c r="H460" s="17">
        <f>IFERROR(__xludf.DUMMYFUNCTION("""COMPUTED_VALUE"""),0.0)</f>
        <v>0</v>
      </c>
      <c r="I460" s="17" t="str">
        <f>IFERROR(__xludf.DUMMYFUNCTION("""COMPUTED_VALUE"""),"Onayli - Satista degil")</f>
        <v>Onayli - Satista degil</v>
      </c>
      <c r="J460" s="40">
        <f>IF($A460="","",IFERROR(VLOOKUP($A460,'Maliyet Giris'!$A$2:$G$550,6,0),""))</f>
        <v>173.88</v>
      </c>
      <c r="K460" s="40">
        <f>IF($A460="","",IFERROR(VLOOKUP($A460,'Maliyet Giris'!$A$2:$G$550,7,0),""))</f>
        <v>1</v>
      </c>
    </row>
    <row r="461">
      <c r="A461" s="17">
        <f>IFERROR(__xludf.DUMMYFUNCTION("""COMPUTED_VALUE"""),5.6372941258E10)</f>
        <v>56372941258</v>
      </c>
      <c r="B461" s="17" t="str">
        <f>IFERROR(__xludf.DUMMYFUNCTION("""COMPUTED_VALUE"""),"Royal Canin")</f>
        <v>Royal Canin</v>
      </c>
      <c r="C461" s="17" t="str">
        <f>IFERROR(__xludf.DUMMYFUNCTION("""COMPUTED_VALUE"""),"Kitten Yavru Kedi Maması 2 Kg Orijinal Paket Orijinal Lezzet")</f>
        <v>Kitten Yavru Kedi Maması 2 Kg Orijinal Paket Orijinal Lezzet</v>
      </c>
      <c r="D461" s="17"/>
      <c r="E461" s="17" t="str">
        <f>IFERROR(__xludf.DUMMYFUNCTION("""COMPUTED_VALUE"""),"Kedi Kuru Maması")</f>
        <v>Kedi Kuru Maması</v>
      </c>
      <c r="F461" s="17">
        <f>IFERROR(__xludf.DUMMYFUNCTION("""COMPUTED_VALUE"""),0.0)</f>
        <v>0</v>
      </c>
      <c r="G461" s="17"/>
      <c r="H461" s="17">
        <f>IFERROR(__xludf.DUMMYFUNCTION("""COMPUTED_VALUE"""),0.0)</f>
        <v>0</v>
      </c>
      <c r="I461" s="17" t="str">
        <f>IFERROR(__xludf.DUMMYFUNCTION("""COMPUTED_VALUE"""),"Onayli - Satista degil")</f>
        <v>Onayli - Satista degil</v>
      </c>
      <c r="J461" s="40">
        <f>IF($A461="","",IFERROR(VLOOKUP($A461,'Maliyet Giris'!$A$2:$G$550,6,0),""))</f>
        <v>796.32</v>
      </c>
      <c r="K461" s="40">
        <f>IF($A461="","",IFERROR(VLOOKUP($A461,'Maliyet Giris'!$A$2:$G$550,7,0),""))</f>
        <v>2</v>
      </c>
    </row>
    <row r="462">
      <c r="A462" s="17">
        <f>IFERROR(__xludf.DUMMYFUNCTION("""COMPUTED_VALUE"""),8.698524521457E12)</f>
        <v>8698524521457</v>
      </c>
      <c r="B462" s="17" t="str">
        <f>IFERROR(__xludf.DUMMYFUNCTION("""COMPUTED_VALUE"""),"Royal Canin")</f>
        <v>Royal Canin</v>
      </c>
      <c r="C462" s="17" t="str">
        <f>IFERROR(__xludf.DUMMYFUNCTION("""COMPUTED_VALUE"""),"Sterilised 37 Kısırlaştırılmış Yetişkin Kedi Maması 15 Kg")</f>
        <v>Sterilised 37 Kısırlaştırılmış Yetişkin Kedi Maması 15 Kg</v>
      </c>
      <c r="D462" s="17"/>
      <c r="E462" s="17" t="str">
        <f>IFERROR(__xludf.DUMMYFUNCTION("""COMPUTED_VALUE"""),"Kedi Kuru Maması")</f>
        <v>Kedi Kuru Maması</v>
      </c>
      <c r="F462" s="17">
        <f>IFERROR(__xludf.DUMMYFUNCTION("""COMPUTED_VALUE"""),0.0)</f>
        <v>0</v>
      </c>
      <c r="G462" s="17"/>
      <c r="H462" s="17">
        <f>IFERROR(__xludf.DUMMYFUNCTION("""COMPUTED_VALUE"""),0.0)</f>
        <v>0</v>
      </c>
      <c r="I462" s="17" t="str">
        <f>IFERROR(__xludf.DUMMYFUNCTION("""COMPUTED_VALUE"""),"Onayli - Satista degil")</f>
        <v>Onayli - Satista degil</v>
      </c>
      <c r="J462" s="40">
        <f>IF($A462="","",IFERROR(VLOOKUP($A462,'Maliyet Giris'!$A$2:$G$550,6,0),""))</f>
        <v>4756.08</v>
      </c>
      <c r="K462" s="40">
        <f>IF($A462="","",IFERROR(VLOOKUP($A462,'Maliyet Giris'!$A$2:$G$550,7,0),""))</f>
        <v>15</v>
      </c>
    </row>
    <row r="463">
      <c r="A463" s="17">
        <f>IFERROR(__xludf.DUMMYFUNCTION("""COMPUTED_VALUE"""),7.613032816536E12)</f>
        <v>7613032816536</v>
      </c>
      <c r="B463" s="17" t="str">
        <f>IFERROR(__xludf.DUMMYFUNCTION("""COMPUTED_VALUE"""),"Gourmet")</f>
        <v>Gourmet</v>
      </c>
      <c r="C463" s="17" t="str">
        <f>IFERROR(__xludf.DUMMYFUNCTION("""COMPUTED_VALUE"""),"Purina Gourmet Gold Karışık Kedi Konservesi 85 gr X 24 Adet")</f>
        <v>Purina Gourmet Gold Karışık Kedi Konservesi 85 gr X 24 Adet</v>
      </c>
      <c r="D463" s="17"/>
      <c r="E463" s="17" t="str">
        <f>IFERROR(__xludf.DUMMYFUNCTION("""COMPUTED_VALUE"""),"Kedi Konserve Maması")</f>
        <v>Kedi Konserve Maması</v>
      </c>
      <c r="F463" s="17">
        <f>IFERROR(__xludf.DUMMYFUNCTION("""COMPUTED_VALUE"""),738.0)</f>
        <v>738</v>
      </c>
      <c r="G463" s="17">
        <f>IFERROR(__xludf.DUMMYFUNCTION("""COMPUTED_VALUE"""),746.27)</f>
        <v>746.27</v>
      </c>
      <c r="H463" s="17">
        <f>IFERROR(__xludf.DUMMYFUNCTION("""COMPUTED_VALUE"""),595.0)</f>
        <v>595</v>
      </c>
      <c r="I463" s="17" t="str">
        <f>IFERROR(__xludf.DUMMYFUNCTION("""COMPUTED_VALUE"""),"Onayli")</f>
        <v>Onayli</v>
      </c>
      <c r="J463" s="40">
        <f>IF($A463="","",IFERROR(VLOOKUP($A463,'Maliyet Giris'!$A$2:$G$550,6,0),""))</f>
        <v>580</v>
      </c>
      <c r="K463" s="40">
        <f>IF($A463="","",IFERROR(VLOOKUP($A463,'Maliyet Giris'!$A$2:$G$550,7,0),""))</f>
        <v>2</v>
      </c>
    </row>
    <row r="464">
      <c r="A464" s="17">
        <f>IFERROR(__xludf.DUMMYFUNCTION("""COMPUTED_VALUE"""),7.613033566523E12)</f>
        <v>7613033566523</v>
      </c>
      <c r="B464" s="17" t="str">
        <f>IFERROR(__xludf.DUMMYFUNCTION("""COMPUTED_VALUE"""),"Pro Plan")</f>
        <v>Pro Plan</v>
      </c>
      <c r="C464" s="17" t="str">
        <f>IFERROR(__xludf.DUMMYFUNCTION("""COMPUTED_VALUE"""),"Sterilised Kısırlaştırılmış Somonlu Kedi Maması 10 KG")</f>
        <v>Sterilised Kısırlaştırılmış Somonlu Kedi Maması 10 KG</v>
      </c>
      <c r="D464" s="17"/>
      <c r="E464" s="17" t="str">
        <f>IFERROR(__xludf.DUMMYFUNCTION("""COMPUTED_VALUE"""),"Kedi Kuru Maması")</f>
        <v>Kedi Kuru Maması</v>
      </c>
      <c r="F464" s="17">
        <f>IFERROR(__xludf.DUMMYFUNCTION("""COMPUTED_VALUE"""),4499.0)</f>
        <v>4499</v>
      </c>
      <c r="G464" s="17">
        <f>IFERROR(__xludf.DUMMYFUNCTION("""COMPUTED_VALUE"""),4000.0)</f>
        <v>4000</v>
      </c>
      <c r="H464" s="17">
        <f>IFERROR(__xludf.DUMMYFUNCTION("""COMPUTED_VALUE"""),995.0)</f>
        <v>995</v>
      </c>
      <c r="I464" s="17" t="str">
        <f>IFERROR(__xludf.DUMMYFUNCTION("""COMPUTED_VALUE"""),"Onayli")</f>
        <v>Onayli</v>
      </c>
      <c r="J464" s="40">
        <f>IF($A464="","",IFERROR(VLOOKUP($A464,'Maliyet Giris'!$A$2:$G$550,6,0),""))</f>
        <v>3474.24</v>
      </c>
      <c r="K464" s="40">
        <f>IF($A464="","",IFERROR(VLOOKUP($A464,'Maliyet Giris'!$A$2:$G$550,7,0),""))</f>
        <v>10</v>
      </c>
    </row>
    <row r="465">
      <c r="A465" s="17">
        <f>IFERROR(__xludf.DUMMYFUNCTION("""COMPUTED_VALUE"""),7.613033560064E12)</f>
        <v>7613033560064</v>
      </c>
      <c r="B465" s="17" t="str">
        <f>IFERROR(__xludf.DUMMYFUNCTION("""COMPUTED_VALUE"""),"Pro Plan")</f>
        <v>Pro Plan</v>
      </c>
      <c r="C465" s="17" t="str">
        <f>IFERROR(__xludf.DUMMYFUNCTION("""COMPUTED_VALUE"""),"Kısırlaştırılmış Somonlu Kuru Kedi Maması 3 Kg")</f>
        <v>Kısırlaştırılmış Somonlu Kuru Kedi Maması 3 Kg</v>
      </c>
      <c r="D465" s="17"/>
      <c r="E465" s="17" t="str">
        <f>IFERROR(__xludf.DUMMYFUNCTION("""COMPUTED_VALUE"""),"Kedi Kuru Maması")</f>
        <v>Kedi Kuru Maması</v>
      </c>
      <c r="F465" s="17">
        <f>IFERROR(__xludf.DUMMYFUNCTION("""COMPUTED_VALUE"""),1530.0)</f>
        <v>1530</v>
      </c>
      <c r="G465" s="17">
        <f>IFERROR(__xludf.DUMMYFUNCTION("""COMPUTED_VALUE"""),1428.0)</f>
        <v>1428</v>
      </c>
      <c r="H465" s="17">
        <f>IFERROR(__xludf.DUMMYFUNCTION("""COMPUTED_VALUE"""),227.0)</f>
        <v>227</v>
      </c>
      <c r="I465" s="17" t="str">
        <f>IFERROR(__xludf.DUMMYFUNCTION("""COMPUTED_VALUE"""),"Onayli")</f>
        <v>Onayli</v>
      </c>
      <c r="J465" s="40">
        <f>IF($A465="","",IFERROR(VLOOKUP($A465,'Maliyet Giris'!$A$2:$G$550,6,0),""))</f>
        <v>1190</v>
      </c>
      <c r="K465" s="40">
        <f>IF($A465="","",IFERROR(VLOOKUP($A465,'Maliyet Giris'!$A$2:$G$550,7,0),""))</f>
        <v>3</v>
      </c>
    </row>
    <row r="466">
      <c r="J466" s="40" t="str">
        <f>IF($A466="","",IFERROR(VLOOKUP($A466,'Maliyet Giris'!$A$2:$G$550,6,0),""))</f>
        <v/>
      </c>
      <c r="K466" s="40" t="str">
        <f>IF($A466="","",IFERROR(VLOOKUP($A466,'Maliyet Giris'!$A$2:$G$550,7,0),""))</f>
        <v/>
      </c>
    </row>
    <row r="467">
      <c r="J467" s="40" t="str">
        <f>IF($A467="","",IFERROR(VLOOKUP($A467,'Maliyet Giris'!$A$2:$G$550,6,0),""))</f>
        <v/>
      </c>
      <c r="K467" s="40" t="str">
        <f>IF($A467="","",IFERROR(VLOOKUP($A467,'Maliyet Giris'!$A$2:$G$550,7,0),""))</f>
        <v/>
      </c>
    </row>
    <row r="468">
      <c r="J468" s="40" t="str">
        <f>IF($A468="","",IFERROR(VLOOKUP($A468,'Maliyet Giris'!$A$2:$G$550,6,0),""))</f>
        <v/>
      </c>
      <c r="K468" s="40" t="str">
        <f>IF($A468="","",IFERROR(VLOOKUP($A468,'Maliyet Giris'!$A$2:$G$550,7,0),""))</f>
        <v/>
      </c>
    </row>
    <row r="469">
      <c r="J469" s="40" t="str">
        <f>IF($A469="","",IFERROR(VLOOKUP($A469,'Maliyet Giris'!$A$2:$G$550,6,0),""))</f>
        <v/>
      </c>
      <c r="K469" s="40" t="str">
        <f>IF($A469="","",IFERROR(VLOOKUP($A469,'Maliyet Giris'!$A$2:$G$550,7,0),""))</f>
        <v/>
      </c>
    </row>
    <row r="470">
      <c r="J470" s="40" t="str">
        <f>IF($A470="","",IFERROR(VLOOKUP($A470,'Maliyet Giris'!$A$2:$G$550,6,0),""))</f>
        <v/>
      </c>
      <c r="K470" s="40" t="str">
        <f>IF($A470="","",IFERROR(VLOOKUP($A470,'Maliyet Giris'!$A$2:$G$550,7,0),""))</f>
        <v/>
      </c>
    </row>
    <row r="471">
      <c r="J471" s="40" t="str">
        <f>IF($A471="","",IFERROR(VLOOKUP($A471,'Maliyet Giris'!$A$2:$G$550,6,0),""))</f>
        <v/>
      </c>
      <c r="K471" s="40" t="str">
        <f>IF($A471="","",IFERROR(VLOOKUP($A471,'Maliyet Giris'!$A$2:$G$550,7,0),""))</f>
        <v/>
      </c>
    </row>
    <row r="472">
      <c r="J472" s="40" t="str">
        <f>IF($A472="","",IFERROR(VLOOKUP($A472,'Maliyet Giris'!$A$2:$G$550,6,0),""))</f>
        <v/>
      </c>
      <c r="K472" s="40" t="str">
        <f>IF($A472="","",IFERROR(VLOOKUP($A472,'Maliyet Giris'!$A$2:$G$550,7,0),""))</f>
        <v/>
      </c>
    </row>
    <row r="473">
      <c r="J473" s="40" t="str">
        <f>IF($A473="","",IFERROR(VLOOKUP($A473,'Maliyet Giris'!$A$2:$G$550,6,0),""))</f>
        <v/>
      </c>
      <c r="K473" s="40" t="str">
        <f>IF($A473="","",IFERROR(VLOOKUP($A473,'Maliyet Giris'!$A$2:$G$550,7,0),""))</f>
        <v/>
      </c>
    </row>
    <row r="474">
      <c r="J474" s="40" t="str">
        <f>IF($A474="","",IFERROR(VLOOKUP($A474,'Maliyet Giris'!$A$2:$G$550,6,0),""))</f>
        <v/>
      </c>
      <c r="K474" s="40" t="str">
        <f>IF($A474="","",IFERROR(VLOOKUP($A474,'Maliyet Giris'!$A$2:$G$550,7,0),""))</f>
        <v/>
      </c>
    </row>
    <row r="475">
      <c r="J475" s="40" t="str">
        <f>IF($A475="","",IFERROR(VLOOKUP($A475,'Maliyet Giris'!$A$2:$G$550,6,0),""))</f>
        <v/>
      </c>
      <c r="K475" s="40" t="str">
        <f>IF($A475="","",IFERROR(VLOOKUP($A475,'Maliyet Giris'!$A$2:$G$550,7,0),""))</f>
        <v/>
      </c>
    </row>
    <row r="476">
      <c r="J476" s="40" t="str">
        <f>IF($A476="","",IFERROR(VLOOKUP($A476,'Maliyet Giris'!$A$2:$G$550,6,0),""))</f>
        <v/>
      </c>
      <c r="K476" s="40" t="str">
        <f>IF($A476="","",IFERROR(VLOOKUP($A476,'Maliyet Giris'!$A$2:$G$550,7,0),""))</f>
        <v/>
      </c>
    </row>
    <row r="477">
      <c r="J477" s="40" t="str">
        <f>IF($A477="","",IFERROR(VLOOKUP($A477,'Maliyet Giris'!$A$2:$G$550,6,0),""))</f>
        <v/>
      </c>
      <c r="K477" s="40" t="str">
        <f>IF($A477="","",IFERROR(VLOOKUP($A477,'Maliyet Giris'!$A$2:$G$550,7,0),""))</f>
        <v/>
      </c>
    </row>
    <row r="478">
      <c r="J478" s="40" t="str">
        <f>IF($A478="","",IFERROR(VLOOKUP($A478,'Maliyet Giris'!$A$2:$G$550,6,0),""))</f>
        <v/>
      </c>
      <c r="K478" s="40" t="str">
        <f>IF($A478="","",IFERROR(VLOOKUP($A478,'Maliyet Giris'!$A$2:$G$550,7,0),""))</f>
        <v/>
      </c>
    </row>
    <row r="479">
      <c r="J479" s="40" t="str">
        <f>IF($A479="","",IFERROR(VLOOKUP($A479,'Maliyet Giris'!$A$2:$G$550,6,0),""))</f>
        <v/>
      </c>
      <c r="K479" s="40" t="str">
        <f>IF($A479="","",IFERROR(VLOOKUP($A479,'Maliyet Giris'!$A$2:$G$550,7,0),""))</f>
        <v/>
      </c>
    </row>
    <row r="480">
      <c r="J480" s="40" t="str">
        <f>IF($A480="","",IFERROR(VLOOKUP($A480,'Maliyet Giris'!$A$2:$G$550,6,0),""))</f>
        <v/>
      </c>
      <c r="K480" s="40" t="str">
        <f>IF($A480="","",IFERROR(VLOOKUP($A480,'Maliyet Giris'!$A$2:$G$550,7,0),""))</f>
        <v/>
      </c>
    </row>
    <row r="481">
      <c r="J481" s="40" t="str">
        <f>IF($A481="","",IFERROR(VLOOKUP($A481,'Maliyet Giris'!$A$2:$G$550,6,0),""))</f>
        <v/>
      </c>
      <c r="K481" s="40" t="str">
        <f>IF($A481="","",IFERROR(VLOOKUP($A481,'Maliyet Giris'!$A$2:$G$550,7,0),""))</f>
        <v/>
      </c>
    </row>
    <row r="482">
      <c r="J482" s="40" t="str">
        <f>IF($A482="","",IFERROR(VLOOKUP($A482,'Maliyet Giris'!$A$2:$G$550,6,0),""))</f>
        <v/>
      </c>
      <c r="K482" s="40" t="str">
        <f>IF($A482="","",IFERROR(VLOOKUP($A482,'Maliyet Giris'!$A$2:$G$550,7,0),""))</f>
        <v/>
      </c>
    </row>
    <row r="483">
      <c r="J483" s="40" t="str">
        <f>IF($A483="","",IFERROR(VLOOKUP($A483,'Maliyet Giris'!$A$2:$G$550,6,0),""))</f>
        <v/>
      </c>
      <c r="K483" s="40" t="str">
        <f>IF($A483="","",IFERROR(VLOOKUP($A483,'Maliyet Giris'!$A$2:$G$550,7,0),""))</f>
        <v/>
      </c>
    </row>
    <row r="484">
      <c r="J484" s="40" t="str">
        <f>IF($A484="","",IFERROR(VLOOKUP($A484,'Maliyet Giris'!$A$2:$G$550,6,0),""))</f>
        <v/>
      </c>
      <c r="K484" s="40" t="str">
        <f>IF($A484="","",IFERROR(VLOOKUP($A484,'Maliyet Giris'!$A$2:$G$550,7,0),""))</f>
        <v/>
      </c>
    </row>
    <row r="485">
      <c r="J485" s="40" t="str">
        <f>IF($A485="","",IFERROR(VLOOKUP($A485,'Maliyet Giris'!$A$2:$G$550,6,0),""))</f>
        <v/>
      </c>
      <c r="K485" s="40" t="str">
        <f>IF($A485="","",IFERROR(VLOOKUP($A485,'Maliyet Giris'!$A$2:$G$550,7,0),""))</f>
        <v/>
      </c>
    </row>
    <row r="486">
      <c r="J486" s="40" t="str">
        <f>IF($A486="","",IFERROR(VLOOKUP($A486,'Maliyet Giris'!$A$2:$G$550,6,0),""))</f>
        <v/>
      </c>
      <c r="K486" s="40" t="str">
        <f>IF($A486="","",IFERROR(VLOOKUP($A486,'Maliyet Giris'!$A$2:$G$550,7,0),""))</f>
        <v/>
      </c>
    </row>
    <row r="487">
      <c r="J487" s="40" t="str">
        <f>IF($A487="","",IFERROR(VLOOKUP($A487,'Maliyet Giris'!$A$2:$G$550,6,0),""))</f>
        <v/>
      </c>
      <c r="K487" s="40" t="str">
        <f>IF($A487="","",IFERROR(VLOOKUP($A487,'Maliyet Giris'!$A$2:$G$550,7,0),""))</f>
        <v/>
      </c>
    </row>
    <row r="488">
      <c r="J488" s="40" t="str">
        <f>IF($A488="","",IFERROR(VLOOKUP($A488,'Maliyet Giris'!$A$2:$G$550,6,0),""))</f>
        <v/>
      </c>
      <c r="K488" s="40" t="str">
        <f>IF($A488="","",IFERROR(VLOOKUP($A488,'Maliyet Giris'!$A$2:$G$550,7,0),""))</f>
        <v/>
      </c>
    </row>
    <row r="489">
      <c r="J489" s="40" t="str">
        <f>IF($A489="","",IFERROR(VLOOKUP($A489,'Maliyet Giris'!$A$2:$G$550,6,0),""))</f>
        <v/>
      </c>
      <c r="K489" s="40" t="str">
        <f>IF($A489="","",IFERROR(VLOOKUP($A489,'Maliyet Giris'!$A$2:$G$550,7,0),""))</f>
        <v/>
      </c>
    </row>
    <row r="490">
      <c r="J490" s="40" t="str">
        <f>IF($A490="","",IFERROR(VLOOKUP($A490,'Maliyet Giris'!$A$2:$G$550,6,0),""))</f>
        <v/>
      </c>
      <c r="K490" s="40" t="str">
        <f>IF($A490="","",IFERROR(VLOOKUP($A490,'Maliyet Giris'!$A$2:$G$550,7,0),""))</f>
        <v/>
      </c>
    </row>
    <row r="491">
      <c r="J491" s="40" t="str">
        <f>IF($A491="","",IFERROR(VLOOKUP($A491,'Maliyet Giris'!$A$2:$G$550,6,0),""))</f>
        <v/>
      </c>
      <c r="K491" s="40" t="str">
        <f>IF($A491="","",IFERROR(VLOOKUP($A491,'Maliyet Giris'!$A$2:$G$550,7,0),""))</f>
        <v/>
      </c>
    </row>
    <row r="492">
      <c r="J492" s="40" t="str">
        <f>IF($A492="","",IFERROR(VLOOKUP($A492,'Maliyet Giris'!$A$2:$G$550,6,0),""))</f>
        <v/>
      </c>
      <c r="K492" s="40" t="str">
        <f>IF($A492="","",IFERROR(VLOOKUP($A492,'Maliyet Giris'!$A$2:$G$550,7,0),""))</f>
        <v/>
      </c>
    </row>
    <row r="493">
      <c r="J493" s="40" t="str">
        <f>IF($A493="","",IFERROR(VLOOKUP($A493,'Maliyet Giris'!$A$2:$G$550,6,0),""))</f>
        <v/>
      </c>
      <c r="K493" s="40" t="str">
        <f>IF($A493="","",IFERROR(VLOOKUP($A493,'Maliyet Giris'!$A$2:$G$550,7,0),""))</f>
        <v/>
      </c>
    </row>
    <row r="494">
      <c r="J494" s="40" t="str">
        <f>IF($A494="","",IFERROR(VLOOKUP($A494,'Maliyet Giris'!$A$2:$G$550,6,0),""))</f>
        <v/>
      </c>
      <c r="K494" s="40" t="str">
        <f>IF($A494="","",IFERROR(VLOOKUP($A494,'Maliyet Giris'!$A$2:$G$550,7,0),""))</f>
        <v/>
      </c>
    </row>
    <row r="495">
      <c r="J495" s="40" t="str">
        <f>IF($A495="","",IFERROR(VLOOKUP($A495,'Maliyet Giris'!$A$2:$G$550,6,0),""))</f>
        <v/>
      </c>
      <c r="K495" s="40" t="str">
        <f>IF($A495="","",IFERROR(VLOOKUP($A495,'Maliyet Giris'!$A$2:$G$550,7,0),""))</f>
        <v/>
      </c>
    </row>
    <row r="496">
      <c r="J496" s="40" t="str">
        <f>IF($A496="","",IFERROR(VLOOKUP($A496,'Maliyet Giris'!$A$2:$G$550,6,0),""))</f>
        <v/>
      </c>
      <c r="K496" s="40" t="str">
        <f>IF($A496="","",IFERROR(VLOOKUP($A496,'Maliyet Giris'!$A$2:$G$550,7,0),""))</f>
        <v/>
      </c>
    </row>
    <row r="497">
      <c r="J497" s="40" t="str">
        <f>IF($A497="","",IFERROR(VLOOKUP($A497,'Maliyet Giris'!$A$2:$G$550,6,0),""))</f>
        <v/>
      </c>
      <c r="K497" s="40" t="str">
        <f>IF($A497="","",IFERROR(VLOOKUP($A497,'Maliyet Giris'!$A$2:$G$550,7,0),""))</f>
        <v/>
      </c>
    </row>
    <row r="498">
      <c r="J498" s="40" t="str">
        <f>IF($A498="","",IFERROR(VLOOKUP($A498,'Maliyet Giris'!$A$2:$G$550,6,0),""))</f>
        <v/>
      </c>
      <c r="K498" s="40" t="str">
        <f>IF($A498="","",IFERROR(VLOOKUP($A498,'Maliyet Giris'!$A$2:$G$550,7,0),""))</f>
        <v/>
      </c>
    </row>
    <row r="499">
      <c r="J499" s="40" t="str">
        <f>IF($A499="","",IFERROR(VLOOKUP($A499,'Maliyet Giris'!$A$2:$G$550,6,0),""))</f>
        <v/>
      </c>
      <c r="K499" s="40" t="str">
        <f>IF($A499="","",IFERROR(VLOOKUP($A499,'Maliyet Giris'!$A$2:$G$550,7,0),""))</f>
        <v/>
      </c>
    </row>
    <row r="500">
      <c r="J500" s="40" t="str">
        <f>IF($A500="","",IFERROR(VLOOKUP($A500,'Maliyet Giris'!$A$2:$G$550,6,0),""))</f>
        <v/>
      </c>
      <c r="K500" s="40" t="str">
        <f>IF($A500="","",IFERROR(VLOOKUP($A500,'Maliyet Giris'!$A$2:$G$550,7,0),""))</f>
        <v/>
      </c>
    </row>
    <row r="501">
      <c r="J501" s="40" t="str">
        <f>IF($A501="","",IFERROR(VLOOKUP($A501,'Maliyet Giris'!$A$2:$G$550,6,0),""))</f>
        <v/>
      </c>
      <c r="K501" s="40" t="str">
        <f>IF($A501="","",IFERROR(VLOOKUP($A501,'Maliyet Giris'!$A$2:$G$550,7,0),""))</f>
        <v/>
      </c>
    </row>
    <row r="502">
      <c r="J502" s="40" t="str">
        <f>IF($A502="","",IFERROR(VLOOKUP($A502,'Maliyet Giris'!$A$2:$G$550,6,0),""))</f>
        <v/>
      </c>
      <c r="K502" s="40" t="str">
        <f>IF($A502="","",IFERROR(VLOOKUP($A502,'Maliyet Giris'!$A$2:$G$550,7,0),""))</f>
        <v/>
      </c>
    </row>
    <row r="503">
      <c r="J503" s="40" t="str">
        <f>IF($A503="","",IFERROR(VLOOKUP($A503,'Maliyet Giris'!$A$2:$G$550,6,0),""))</f>
        <v/>
      </c>
      <c r="K503" s="40" t="str">
        <f>IF($A503="","",IFERROR(VLOOKUP($A503,'Maliyet Giris'!$A$2:$G$550,7,0),""))</f>
        <v/>
      </c>
    </row>
    <row r="504">
      <c r="J504" s="40" t="str">
        <f>IF($A504="","",IFERROR(VLOOKUP($A504,'Maliyet Giris'!$A$2:$G$550,6,0),""))</f>
        <v/>
      </c>
      <c r="K504" s="40" t="str">
        <f>IF($A504="","",IFERROR(VLOOKUP($A504,'Maliyet Giris'!$A$2:$G$550,7,0),""))</f>
        <v/>
      </c>
    </row>
    <row r="505">
      <c r="J505" s="40" t="str">
        <f>IF($A505="","",IFERROR(VLOOKUP($A505,'Maliyet Giris'!$A$2:$G$550,6,0),""))</f>
        <v/>
      </c>
      <c r="K505" s="40" t="str">
        <f>IF($A505="","",IFERROR(VLOOKUP($A505,'Maliyet Giris'!$A$2:$G$550,7,0),""))</f>
        <v/>
      </c>
    </row>
    <row r="506">
      <c r="J506" s="40" t="str">
        <f>IF($A506="","",IFERROR(VLOOKUP($A506,'Maliyet Giris'!$A$2:$G$550,6,0),""))</f>
        <v/>
      </c>
      <c r="K506" s="40" t="str">
        <f>IF($A506="","",IFERROR(VLOOKUP($A506,'Maliyet Giris'!$A$2:$G$550,7,0),""))</f>
        <v/>
      </c>
    </row>
    <row r="507">
      <c r="J507" s="40" t="str">
        <f>IF($A507="","",IFERROR(VLOOKUP($A507,'Maliyet Giris'!$A$2:$G$550,6,0),""))</f>
        <v/>
      </c>
      <c r="K507" s="40" t="str">
        <f>IF($A507="","",IFERROR(VLOOKUP($A507,'Maliyet Giris'!$A$2:$G$550,7,0),""))</f>
        <v/>
      </c>
    </row>
    <row r="508">
      <c r="J508" s="40" t="str">
        <f>IF($A508="","",IFERROR(VLOOKUP($A508,'Maliyet Giris'!$A$2:$G$550,6,0),""))</f>
        <v/>
      </c>
      <c r="K508" s="40" t="str">
        <f>IF($A508="","",IFERROR(VLOOKUP($A508,'Maliyet Giris'!$A$2:$G$550,7,0),""))</f>
        <v/>
      </c>
    </row>
    <row r="509">
      <c r="J509" s="40" t="str">
        <f>IF($A509="","",IFERROR(VLOOKUP($A509,'Maliyet Giris'!$A$2:$G$550,6,0),""))</f>
        <v/>
      </c>
      <c r="K509" s="40" t="str">
        <f>IF($A509="","",IFERROR(VLOOKUP($A509,'Maliyet Giris'!$A$2:$G$550,7,0),""))</f>
        <v/>
      </c>
    </row>
    <row r="510">
      <c r="J510" s="40" t="str">
        <f>IF($A510="","",IFERROR(VLOOKUP($A510,'Maliyet Giris'!$A$2:$G$550,6,0),""))</f>
        <v/>
      </c>
      <c r="K510" s="40" t="str">
        <f>IF($A510="","",IFERROR(VLOOKUP($A510,'Maliyet Giris'!$A$2:$G$550,7,0),""))</f>
        <v/>
      </c>
    </row>
    <row r="511">
      <c r="J511" s="40" t="str">
        <f>IF($A511="","",IFERROR(VLOOKUP($A511,'Maliyet Giris'!$A$2:$G$550,6,0),""))</f>
        <v/>
      </c>
      <c r="K511" s="40" t="str">
        <f>IF($A511="","",IFERROR(VLOOKUP($A511,'Maliyet Giris'!$A$2:$G$550,7,0),""))</f>
        <v/>
      </c>
    </row>
    <row r="512">
      <c r="J512" s="40" t="str">
        <f>IF($A512="","",IFERROR(VLOOKUP($A512,'Maliyet Giris'!$A$2:$G$550,6,0),""))</f>
        <v/>
      </c>
      <c r="K512" s="40" t="str">
        <f>IF($A512="","",IFERROR(VLOOKUP($A512,'Maliyet Giris'!$A$2:$G$550,7,0),""))</f>
        <v/>
      </c>
    </row>
    <row r="513">
      <c r="J513" s="40" t="str">
        <f>IF($A513="","",IFERROR(VLOOKUP($A513,'Maliyet Giris'!$A$2:$G$550,6,0),""))</f>
        <v/>
      </c>
      <c r="K513" s="40" t="str">
        <f>IF($A513="","",IFERROR(VLOOKUP($A513,'Maliyet Giris'!$A$2:$G$550,7,0),""))</f>
        <v/>
      </c>
    </row>
    <row r="514">
      <c r="J514" s="40" t="str">
        <f>IF($A514="","",IFERROR(VLOOKUP($A514,'Maliyet Giris'!$A$2:$G$550,6,0),""))</f>
        <v/>
      </c>
      <c r="K514" s="40" t="str">
        <f>IF($A514="","",IFERROR(VLOOKUP($A514,'Maliyet Giris'!$A$2:$G$550,7,0),""))</f>
        <v/>
      </c>
    </row>
    <row r="515">
      <c r="J515" s="40" t="str">
        <f>IF($A515="","",IFERROR(VLOOKUP($A515,'Maliyet Giris'!$A$2:$G$550,6,0),""))</f>
        <v/>
      </c>
      <c r="K515" s="40" t="str">
        <f>IF($A515="","",IFERROR(VLOOKUP($A515,'Maliyet Giris'!$A$2:$G$550,7,0),""))</f>
        <v/>
      </c>
    </row>
    <row r="516">
      <c r="J516" s="40" t="str">
        <f>IF($A516="","",IFERROR(VLOOKUP($A516,'Maliyet Giris'!$A$2:$G$550,6,0),""))</f>
        <v/>
      </c>
      <c r="K516" s="40" t="str">
        <f>IF($A516="","",IFERROR(VLOOKUP($A516,'Maliyet Giris'!$A$2:$G$550,7,0),""))</f>
        <v/>
      </c>
    </row>
    <row r="517">
      <c r="J517" s="40" t="str">
        <f>IF($A517="","",IFERROR(VLOOKUP($A517,'Maliyet Giris'!$A$2:$G$550,6,0),""))</f>
        <v/>
      </c>
      <c r="K517" s="40" t="str">
        <f>IF($A517="","",IFERROR(VLOOKUP($A517,'Maliyet Giris'!$A$2:$G$550,7,0),""))</f>
        <v/>
      </c>
    </row>
    <row r="518">
      <c r="J518" s="40" t="str">
        <f>IF($A518="","",IFERROR(VLOOKUP($A518,'Maliyet Giris'!$A$2:$G$550,6,0),""))</f>
        <v/>
      </c>
      <c r="K518" s="40" t="str">
        <f>IF($A518="","",IFERROR(VLOOKUP($A518,'Maliyet Giris'!$A$2:$G$550,7,0),""))</f>
        <v/>
      </c>
    </row>
    <row r="519">
      <c r="J519" s="40" t="str">
        <f>IF($A519="","",IFERROR(VLOOKUP($A519,'Maliyet Giris'!$A$2:$G$550,6,0),""))</f>
        <v/>
      </c>
      <c r="K519" s="40" t="str">
        <f>IF($A519="","",IFERROR(VLOOKUP($A519,'Maliyet Giris'!$A$2:$G$550,7,0),""))</f>
        <v/>
      </c>
    </row>
    <row r="520">
      <c r="J520" s="40" t="str">
        <f>IF($A520="","",IFERROR(VLOOKUP($A520,'Maliyet Giris'!$A$2:$G$550,6,0),""))</f>
        <v/>
      </c>
      <c r="K520" s="40" t="str">
        <f>IF($A520="","",IFERROR(VLOOKUP($A520,'Maliyet Giris'!$A$2:$G$550,7,0),""))</f>
        <v/>
      </c>
    </row>
    <row r="521">
      <c r="J521" s="40" t="str">
        <f>IF($A521="","",IFERROR(VLOOKUP($A521,'Maliyet Giris'!$A$2:$G$550,6,0),""))</f>
        <v/>
      </c>
      <c r="K521" s="40" t="str">
        <f>IF($A521="","",IFERROR(VLOOKUP($A521,'Maliyet Giris'!$A$2:$G$550,7,0),""))</f>
        <v/>
      </c>
    </row>
    <row r="522">
      <c r="J522" s="40" t="str">
        <f>IF($A522="","",IFERROR(VLOOKUP($A522,'Maliyet Giris'!$A$2:$G$550,6,0),""))</f>
        <v/>
      </c>
      <c r="K522" s="40" t="str">
        <f>IF($A522="","",IFERROR(VLOOKUP($A522,'Maliyet Giris'!$A$2:$G$550,7,0),""))</f>
        <v/>
      </c>
    </row>
    <row r="523">
      <c r="J523" s="40" t="str">
        <f>IF($A523="","",IFERROR(VLOOKUP($A523,'Maliyet Giris'!$A$2:$G$550,6,0),""))</f>
        <v/>
      </c>
      <c r="K523" s="40" t="str">
        <f>IF($A523="","",IFERROR(VLOOKUP($A523,'Maliyet Giris'!$A$2:$G$550,7,0),""))</f>
        <v/>
      </c>
    </row>
    <row r="524">
      <c r="J524" s="40" t="str">
        <f>IF($A524="","",IFERROR(VLOOKUP($A524,'Maliyet Giris'!$A$2:$G$550,6,0),""))</f>
        <v/>
      </c>
      <c r="K524" s="40" t="str">
        <f>IF($A524="","",IFERROR(VLOOKUP($A524,'Maliyet Giris'!$A$2:$G$550,7,0),""))</f>
        <v/>
      </c>
    </row>
    <row r="525">
      <c r="J525" s="40" t="str">
        <f>IF($A525="","",IFERROR(VLOOKUP($A525,'Maliyet Giris'!$A$2:$G$550,6,0),""))</f>
        <v/>
      </c>
      <c r="K525" s="40" t="str">
        <f>IF($A525="","",IFERROR(VLOOKUP($A525,'Maliyet Giris'!$A$2:$G$550,7,0),""))</f>
        <v/>
      </c>
    </row>
    <row r="526">
      <c r="J526" s="40" t="str">
        <f>IF($A526="","",IFERROR(VLOOKUP($A526,'Maliyet Giris'!$A$2:$G$550,6,0),""))</f>
        <v/>
      </c>
      <c r="K526" s="40" t="str">
        <f>IF($A526="","",IFERROR(VLOOKUP($A526,'Maliyet Giris'!$A$2:$G$550,7,0),""))</f>
        <v/>
      </c>
    </row>
    <row r="527">
      <c r="J527" s="40" t="str">
        <f>IF($A527="","",IFERROR(VLOOKUP($A527,'Maliyet Giris'!$A$2:$G$550,6,0),""))</f>
        <v/>
      </c>
      <c r="K527" s="40" t="str">
        <f>IF($A527="","",IFERROR(VLOOKUP($A527,'Maliyet Giris'!$A$2:$G$550,7,0),""))</f>
        <v/>
      </c>
    </row>
    <row r="528">
      <c r="J528" s="40" t="str">
        <f>IF($A528="","",IFERROR(VLOOKUP($A528,'Maliyet Giris'!$A$2:$G$550,6,0),""))</f>
        <v/>
      </c>
      <c r="K528" s="40" t="str">
        <f>IF($A528="","",IFERROR(VLOOKUP($A528,'Maliyet Giris'!$A$2:$G$550,7,0),""))</f>
        <v/>
      </c>
    </row>
    <row r="529">
      <c r="J529" s="40" t="str">
        <f>IF($A529="","",IFERROR(VLOOKUP($A529,'Maliyet Giris'!$A$2:$G$550,6,0),""))</f>
        <v/>
      </c>
      <c r="K529" s="40" t="str">
        <f>IF($A529="","",IFERROR(VLOOKUP($A529,'Maliyet Giris'!$A$2:$G$550,7,0),""))</f>
        <v/>
      </c>
    </row>
    <row r="530">
      <c r="J530" s="40" t="str">
        <f>IF($A530="","",IFERROR(VLOOKUP($A530,'Maliyet Giris'!$A$2:$G$550,6,0),""))</f>
        <v/>
      </c>
      <c r="K530" s="40" t="str">
        <f>IF($A530="","",IFERROR(VLOOKUP($A530,'Maliyet Giris'!$A$2:$G$550,7,0),""))</f>
        <v/>
      </c>
    </row>
    <row r="531">
      <c r="J531" s="40" t="str">
        <f>IF($A531="","",IFERROR(VLOOKUP($A531,'Maliyet Giris'!$A$2:$G$550,6,0),""))</f>
        <v/>
      </c>
      <c r="K531" s="40" t="str">
        <f>IF($A531="","",IFERROR(VLOOKUP($A531,'Maliyet Giris'!$A$2:$G$550,7,0),""))</f>
        <v/>
      </c>
    </row>
    <row r="532">
      <c r="J532" s="40" t="str">
        <f>IF($A532="","",IFERROR(VLOOKUP($A532,'Maliyet Giris'!$A$2:$G$550,6,0),""))</f>
        <v/>
      </c>
      <c r="K532" s="40" t="str">
        <f>IF($A532="","",IFERROR(VLOOKUP($A532,'Maliyet Giris'!$A$2:$G$550,7,0),""))</f>
        <v/>
      </c>
    </row>
    <row r="533">
      <c r="J533" s="40" t="str">
        <f>IF($A533="","",IFERROR(VLOOKUP($A533,'Maliyet Giris'!$A$2:$G$550,6,0),""))</f>
        <v/>
      </c>
      <c r="K533" s="40" t="str">
        <f>IF($A533="","",IFERROR(VLOOKUP($A533,'Maliyet Giris'!$A$2:$G$550,7,0),""))</f>
        <v/>
      </c>
    </row>
    <row r="534">
      <c r="J534" s="40" t="str">
        <f>IF($A534="","",IFERROR(VLOOKUP($A534,'Maliyet Giris'!$A$2:$G$550,6,0),""))</f>
        <v/>
      </c>
      <c r="K534" s="40" t="str">
        <f>IF($A534="","",IFERROR(VLOOKUP($A534,'Maliyet Giris'!$A$2:$G$550,7,0),""))</f>
        <v/>
      </c>
    </row>
    <row r="535">
      <c r="J535" s="40" t="str">
        <f>IF($A535="","",IFERROR(VLOOKUP($A535,'Maliyet Giris'!$A$2:$G$550,6,0),""))</f>
        <v/>
      </c>
      <c r="K535" s="40" t="str">
        <f>IF($A535="","",IFERROR(VLOOKUP($A535,'Maliyet Giris'!$A$2:$G$550,7,0),""))</f>
        <v/>
      </c>
    </row>
    <row r="536">
      <c r="J536" s="40" t="str">
        <f>IF($A536="","",IFERROR(VLOOKUP($A536,'Maliyet Giris'!$A$2:$G$550,6,0),""))</f>
        <v/>
      </c>
      <c r="K536" s="40" t="str">
        <f>IF($A536="","",IFERROR(VLOOKUP($A536,'Maliyet Giris'!$A$2:$G$550,7,0),""))</f>
        <v/>
      </c>
    </row>
    <row r="537">
      <c r="J537" s="40" t="str">
        <f>IF($A537="","",IFERROR(VLOOKUP($A537,'Maliyet Giris'!$A$2:$G$550,6,0),""))</f>
        <v/>
      </c>
      <c r="K537" s="40" t="str">
        <f>IF($A537="","",IFERROR(VLOOKUP($A537,'Maliyet Giris'!$A$2:$G$550,7,0),""))</f>
        <v/>
      </c>
    </row>
    <row r="538">
      <c r="J538" s="40" t="str">
        <f>IF($A538="","",IFERROR(VLOOKUP($A538,'Maliyet Giris'!$A$2:$G$550,6,0),""))</f>
        <v/>
      </c>
      <c r="K538" s="40" t="str">
        <f>IF($A538="","",IFERROR(VLOOKUP($A538,'Maliyet Giris'!$A$2:$G$550,7,0),""))</f>
        <v/>
      </c>
    </row>
    <row r="539">
      <c r="J539" s="40" t="str">
        <f>IF($A539="","",IFERROR(VLOOKUP($A539,'Maliyet Giris'!$A$2:$G$550,6,0),""))</f>
        <v/>
      </c>
      <c r="K539" s="40" t="str">
        <f>IF($A539="","",IFERROR(VLOOKUP($A539,'Maliyet Giris'!$A$2:$G$550,7,0),""))</f>
        <v/>
      </c>
    </row>
    <row r="540">
      <c r="J540" s="40" t="str">
        <f>IF($A540="","",IFERROR(VLOOKUP($A540,'Maliyet Giris'!$A$2:$G$550,6,0),""))</f>
        <v/>
      </c>
      <c r="K540" s="40" t="str">
        <f>IF($A540="","",IFERROR(VLOOKUP($A540,'Maliyet Giris'!$A$2:$G$550,7,0),""))</f>
        <v/>
      </c>
    </row>
    <row r="541">
      <c r="J541" s="40" t="str">
        <f>IF($A541="","",IFERROR(VLOOKUP($A541,'Maliyet Giris'!$A$2:$G$550,6,0),""))</f>
        <v/>
      </c>
      <c r="K541" s="40" t="str">
        <f>IF($A541="","",IFERROR(VLOOKUP($A541,'Maliyet Giris'!$A$2:$G$550,7,0),""))</f>
        <v/>
      </c>
    </row>
    <row r="542">
      <c r="J542" s="40" t="str">
        <f>IF($A542="","",IFERROR(VLOOKUP($A542,'Maliyet Giris'!$A$2:$G$550,6,0),""))</f>
        <v/>
      </c>
      <c r="K542" s="40" t="str">
        <f>IF($A542="","",IFERROR(VLOOKUP($A542,'Maliyet Giris'!$A$2:$G$550,7,0),""))</f>
        <v/>
      </c>
    </row>
    <row r="543">
      <c r="J543" s="40" t="str">
        <f>IF($A543="","",IFERROR(VLOOKUP($A543,'Maliyet Giris'!$A$2:$G$550,6,0),""))</f>
        <v/>
      </c>
      <c r="K543" s="40" t="str">
        <f>IF($A543="","",IFERROR(VLOOKUP($A543,'Maliyet Giris'!$A$2:$G$550,7,0),""))</f>
        <v/>
      </c>
    </row>
    <row r="544">
      <c r="J544" s="40" t="str">
        <f>IF($A544="","",IFERROR(VLOOKUP($A544,'Maliyet Giris'!$A$2:$G$550,6,0),""))</f>
        <v/>
      </c>
      <c r="K544" s="40" t="str">
        <f>IF($A544="","",IFERROR(VLOOKUP($A544,'Maliyet Giris'!$A$2:$G$550,7,0),""))</f>
        <v/>
      </c>
    </row>
    <row r="545">
      <c r="J545" s="40" t="str">
        <f>IF($A545="","",IFERROR(VLOOKUP($A545,'Maliyet Giris'!$A$2:$G$550,6,0),""))</f>
        <v/>
      </c>
      <c r="K545" s="40" t="str">
        <f>IF($A545="","",IFERROR(VLOOKUP($A545,'Maliyet Giris'!$A$2:$G$550,7,0),""))</f>
        <v/>
      </c>
    </row>
    <row r="546">
      <c r="J546" s="40" t="str">
        <f>IF($A546="","",IFERROR(VLOOKUP($A546,'Maliyet Giris'!$A$2:$G$550,6,0),""))</f>
        <v/>
      </c>
      <c r="K546" s="40" t="str">
        <f>IF($A546="","",IFERROR(VLOOKUP($A546,'Maliyet Giris'!$A$2:$G$550,7,0),""))</f>
        <v/>
      </c>
    </row>
    <row r="547">
      <c r="J547" s="40" t="str">
        <f>IF($A547="","",IFERROR(VLOOKUP($A547,'Maliyet Giris'!$A$2:$G$550,6,0),""))</f>
        <v/>
      </c>
      <c r="K547" s="40" t="str">
        <f>IF($A547="","",IFERROR(VLOOKUP($A547,'Maliyet Giris'!$A$2:$G$550,7,0),""))</f>
        <v/>
      </c>
    </row>
    <row r="548">
      <c r="J548" s="40" t="str">
        <f>IF($A548="","",IFERROR(VLOOKUP($A548,'Maliyet Giris'!$A$2:$G$550,6,0),""))</f>
        <v/>
      </c>
      <c r="K548" s="40" t="str">
        <f>IF($A548="","",IFERROR(VLOOKUP($A548,'Maliyet Giris'!$A$2:$G$550,7,0),""))</f>
        <v/>
      </c>
    </row>
    <row r="549">
      <c r="J549" s="40" t="str">
        <f>IF($A549="","",IFERROR(VLOOKUP($A549,'Maliyet Giris'!$A$2:$G$550,6,0),""))</f>
        <v/>
      </c>
      <c r="K549" s="40" t="str">
        <f>IF($A549="","",IFERROR(VLOOKUP($A549,'Maliyet Giris'!$A$2:$G$550,7,0),""))</f>
        <v/>
      </c>
    </row>
    <row r="550">
      <c r="J550" s="40" t="str">
        <f>IF($A550="","",IFERROR(VLOOKUP($A550,'Maliyet Giris'!$A$2:$G$550,6,0),""))</f>
        <v/>
      </c>
      <c r="K550" s="40" t="str">
        <f>IF($A550="","",IFERROR(VLOOKUP($A550,'Maliyet Giris'!$A$2:$G$550,7,0),""))</f>
        <v/>
      </c>
    </row>
  </sheetData>
  <autoFilter ref="$A$1:$K$55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18.13"/>
  </cols>
  <sheetData>
    <row r="1">
      <c r="A1" s="41" t="s">
        <v>714</v>
      </c>
      <c r="B1" s="41" t="s">
        <v>715</v>
      </c>
      <c r="C1" s="41" t="s">
        <v>716</v>
      </c>
      <c r="D1" s="41" t="s">
        <v>717</v>
      </c>
      <c r="E1" s="41" t="s">
        <v>718</v>
      </c>
      <c r="F1" s="41" t="s">
        <v>719</v>
      </c>
      <c r="G1" s="41" t="s">
        <v>720</v>
      </c>
      <c r="H1" s="41" t="s">
        <v>721</v>
      </c>
      <c r="I1" s="42" t="s">
        <v>722</v>
      </c>
      <c r="J1" s="42" t="s">
        <v>723</v>
      </c>
      <c r="K1" s="42" t="s">
        <v>724</v>
      </c>
      <c r="L1" s="42" t="s">
        <v>725</v>
      </c>
      <c r="M1" s="42" t="s">
        <v>726</v>
      </c>
      <c r="N1" s="42" t="s">
        <v>727</v>
      </c>
      <c r="O1" s="42" t="s">
        <v>728</v>
      </c>
      <c r="P1" s="42" t="s">
        <v>729</v>
      </c>
      <c r="Q1" s="42" t="s">
        <v>730</v>
      </c>
      <c r="R1" s="42" t="s">
        <v>731</v>
      </c>
      <c r="S1" s="41" t="s">
        <v>732</v>
      </c>
      <c r="T1" s="41" t="s">
        <v>733</v>
      </c>
      <c r="U1" s="41" t="s">
        <v>734</v>
      </c>
      <c r="V1" s="43" t="s">
        <v>735</v>
      </c>
      <c r="W1" s="43" t="s">
        <v>736</v>
      </c>
      <c r="X1" s="42" t="s">
        <v>737</v>
      </c>
    </row>
    <row r="2">
      <c r="A2" s="44" t="s">
        <v>224</v>
      </c>
      <c r="B2" s="44">
        <v>7.613033566387E12</v>
      </c>
      <c r="C2" s="45"/>
      <c r="D2" s="45"/>
      <c r="E2" s="44">
        <v>7.613033566387E12</v>
      </c>
      <c r="F2" s="44" t="s">
        <v>72</v>
      </c>
      <c r="G2" s="44" t="s">
        <v>50</v>
      </c>
      <c r="H2" s="44">
        <v>45.0</v>
      </c>
      <c r="I2" s="44">
        <v>781.34</v>
      </c>
      <c r="J2" s="44">
        <v>781.33</v>
      </c>
      <c r="K2" s="44">
        <v>741.74</v>
      </c>
      <c r="L2" s="44">
        <v>741.73</v>
      </c>
      <c r="M2" s="44">
        <v>693.8</v>
      </c>
      <c r="N2" s="44">
        <v>693.79</v>
      </c>
      <c r="O2" s="44">
        <v>12.5</v>
      </c>
      <c r="P2" s="44">
        <v>8.8</v>
      </c>
      <c r="Q2" s="44">
        <v>7.2</v>
      </c>
      <c r="R2" s="44">
        <v>4.9</v>
      </c>
      <c r="S2" s="44">
        <v>938.0</v>
      </c>
      <c r="T2" s="44">
        <v>12.5</v>
      </c>
      <c r="U2" s="44">
        <v>938.0</v>
      </c>
      <c r="V2" s="46">
        <f>IFERROR(VLOOKUP(B2,Products!$A$2:$W$1000,16,0),"")</f>
        <v>781.3</v>
      </c>
      <c r="W2" s="46">
        <f t="shared" ref="W2:W1000" si="1">IF(V2="","-",IF(V2&lt;=N2,R2,IF(V2&lt;K2,Q2,IF(V2&lt;I2,P2,O2))))</f>
        <v>8.8</v>
      </c>
      <c r="X2" s="44" t="s">
        <v>738</v>
      </c>
    </row>
    <row r="3">
      <c r="A3" s="44" t="s">
        <v>431</v>
      </c>
      <c r="B3" s="44">
        <v>7.613035846708E12</v>
      </c>
      <c r="C3" s="45"/>
      <c r="D3" s="45"/>
      <c r="E3" s="44">
        <v>1.2370531E7</v>
      </c>
      <c r="F3" s="44" t="s">
        <v>72</v>
      </c>
      <c r="G3" s="44" t="s">
        <v>50</v>
      </c>
      <c r="H3" s="44">
        <v>3.0</v>
      </c>
      <c r="I3" s="44">
        <v>1274.62</v>
      </c>
      <c r="J3" s="44">
        <v>1274.61</v>
      </c>
      <c r="K3" s="44">
        <v>1197.56</v>
      </c>
      <c r="L3" s="44">
        <v>1197.55</v>
      </c>
      <c r="M3" s="44">
        <v>1104.05</v>
      </c>
      <c r="N3" s="44">
        <v>1104.04</v>
      </c>
      <c r="O3" s="44">
        <v>12.5</v>
      </c>
      <c r="P3" s="44">
        <v>8.5</v>
      </c>
      <c r="Q3" s="44">
        <v>6.5</v>
      </c>
      <c r="R3" s="44">
        <v>3.7</v>
      </c>
      <c r="S3" s="44">
        <v>1387.0</v>
      </c>
      <c r="T3" s="44">
        <v>12.5</v>
      </c>
      <c r="U3" s="44">
        <v>1387.0</v>
      </c>
      <c r="V3" s="46">
        <f>IFERROR(VLOOKUP(B3,Products!$A$2:$W$1000,16,0),"")</f>
        <v>1388</v>
      </c>
      <c r="W3" s="46">
        <f t="shared" si="1"/>
        <v>12.5</v>
      </c>
      <c r="X3" s="44" t="s">
        <v>738</v>
      </c>
    </row>
    <row r="4">
      <c r="A4" s="44" t="s">
        <v>171</v>
      </c>
      <c r="B4" s="44" t="s">
        <v>170</v>
      </c>
      <c r="C4" s="45"/>
      <c r="D4" s="45"/>
      <c r="E4" s="44">
        <v>8.68263120684E12</v>
      </c>
      <c r="F4" s="44" t="s">
        <v>72</v>
      </c>
      <c r="G4" s="44" t="s">
        <v>153</v>
      </c>
      <c r="H4" s="44">
        <v>0.0</v>
      </c>
      <c r="I4" s="44">
        <v>530.26</v>
      </c>
      <c r="J4" s="44">
        <v>530.25</v>
      </c>
      <c r="K4" s="44">
        <v>506.39</v>
      </c>
      <c r="L4" s="44">
        <v>506.38</v>
      </c>
      <c r="M4" s="44">
        <v>476.99</v>
      </c>
      <c r="N4" s="44">
        <v>476.98</v>
      </c>
      <c r="O4" s="44">
        <v>16.5</v>
      </c>
      <c r="P4" s="44">
        <v>15.2</v>
      </c>
      <c r="Q4" s="44">
        <v>14.0</v>
      </c>
      <c r="R4" s="44">
        <v>12.4</v>
      </c>
      <c r="S4" s="44">
        <v>599.0</v>
      </c>
      <c r="T4" s="44">
        <v>16.5</v>
      </c>
      <c r="U4" s="44">
        <v>599.0</v>
      </c>
      <c r="V4" s="46" t="str">
        <f>IFERROR(VLOOKUP(B4,Products!$A$2:$W$1000,16,0),"")</f>
        <v/>
      </c>
      <c r="W4" s="46" t="str">
        <f t="shared" si="1"/>
        <v>-</v>
      </c>
      <c r="X4" s="44" t="s">
        <v>738</v>
      </c>
    </row>
    <row r="5">
      <c r="A5" s="44" t="s">
        <v>534</v>
      </c>
      <c r="B5" s="44">
        <v>5.2742059372E10</v>
      </c>
      <c r="C5" s="45"/>
      <c r="D5" s="45"/>
      <c r="E5" s="44">
        <v>5.2742059372E10</v>
      </c>
      <c r="F5" s="44" t="s">
        <v>72</v>
      </c>
      <c r="G5" s="44" t="s">
        <v>229</v>
      </c>
      <c r="H5" s="44">
        <v>0.0</v>
      </c>
      <c r="I5" s="44">
        <v>2127.09</v>
      </c>
      <c r="J5" s="44">
        <v>2127.08</v>
      </c>
      <c r="K5" s="44">
        <v>2061.89</v>
      </c>
      <c r="L5" s="44">
        <v>2061.88</v>
      </c>
      <c r="M5" s="44">
        <v>1971.49</v>
      </c>
      <c r="N5" s="44">
        <v>1971.48</v>
      </c>
      <c r="O5" s="44">
        <v>12.5</v>
      </c>
      <c r="P5" s="44">
        <v>11.8</v>
      </c>
      <c r="Q5" s="44">
        <v>10.9</v>
      </c>
      <c r="R5" s="44">
        <v>9.6</v>
      </c>
      <c r="S5" s="44">
        <v>2275.0</v>
      </c>
      <c r="T5" s="44">
        <v>12.5</v>
      </c>
      <c r="U5" s="44">
        <v>2275.0</v>
      </c>
      <c r="V5" s="46" t="str">
        <f>IFERROR(VLOOKUP(B5,Products!$A$2:$W$1000,16,0),"")</f>
        <v/>
      </c>
      <c r="W5" s="46" t="str">
        <f t="shared" si="1"/>
        <v>-</v>
      </c>
      <c r="X5" s="44" t="s">
        <v>738</v>
      </c>
    </row>
    <row r="6">
      <c r="A6" s="44" t="s">
        <v>67</v>
      </c>
      <c r="B6" s="44">
        <v>7.61303511489E12</v>
      </c>
      <c r="C6" s="45"/>
      <c r="D6" s="45"/>
      <c r="E6" s="44">
        <v>7.61303511489E12</v>
      </c>
      <c r="F6" s="44" t="s">
        <v>59</v>
      </c>
      <c r="G6" s="44" t="s">
        <v>50</v>
      </c>
      <c r="H6" s="44">
        <v>0.0</v>
      </c>
      <c r="I6" s="44">
        <v>1067.35</v>
      </c>
      <c r="J6" s="44">
        <v>1067.34</v>
      </c>
      <c r="K6" s="44">
        <v>994.19</v>
      </c>
      <c r="L6" s="44">
        <v>994.18</v>
      </c>
      <c r="M6" s="44">
        <v>905.56</v>
      </c>
      <c r="N6" s="44">
        <v>905.55</v>
      </c>
      <c r="O6" s="44">
        <v>12.5</v>
      </c>
      <c r="P6" s="44">
        <v>8.4</v>
      </c>
      <c r="Q6" s="44">
        <v>6.0</v>
      </c>
      <c r="R6" s="44">
        <v>3.0</v>
      </c>
      <c r="S6" s="44">
        <v>1500.0</v>
      </c>
      <c r="T6" s="44">
        <v>12.5</v>
      </c>
      <c r="U6" s="44">
        <v>1500.0</v>
      </c>
      <c r="V6" s="46" t="str">
        <f>IFERROR(VLOOKUP(B6,Products!$A$2:$W$1000,16,0),"")</f>
        <v/>
      </c>
      <c r="W6" s="46" t="str">
        <f t="shared" si="1"/>
        <v>-</v>
      </c>
      <c r="X6" s="44" t="s">
        <v>738</v>
      </c>
    </row>
    <row r="7">
      <c r="A7" s="44" t="s">
        <v>260</v>
      </c>
      <c r="B7" s="44" t="s">
        <v>259</v>
      </c>
      <c r="C7" s="45"/>
      <c r="D7" s="45"/>
      <c r="E7" s="44" t="s">
        <v>739</v>
      </c>
      <c r="F7" s="44" t="s">
        <v>52</v>
      </c>
      <c r="G7" s="44" t="s">
        <v>137</v>
      </c>
      <c r="H7" s="44">
        <v>100.0</v>
      </c>
      <c r="I7" s="44">
        <v>509.1</v>
      </c>
      <c r="J7" s="44">
        <v>509.09</v>
      </c>
      <c r="K7" s="44">
        <v>470.71</v>
      </c>
      <c r="L7" s="44">
        <v>470.7</v>
      </c>
      <c r="M7" s="44">
        <v>424.26</v>
      </c>
      <c r="N7" s="44">
        <v>424.25</v>
      </c>
      <c r="O7" s="44">
        <v>13.5</v>
      </c>
      <c r="P7" s="44">
        <v>6.2</v>
      </c>
      <c r="Q7" s="44">
        <v>3.5</v>
      </c>
      <c r="R7" s="44">
        <v>2.7</v>
      </c>
      <c r="S7" s="44">
        <v>699.0</v>
      </c>
      <c r="T7" s="44">
        <v>13.5</v>
      </c>
      <c r="U7" s="44">
        <v>699.0</v>
      </c>
      <c r="V7" s="46">
        <f>IFERROR(VLOOKUP(B7,Products!$A$2:$W$1000,16,0),"")</f>
        <v>585.9</v>
      </c>
      <c r="W7" s="46">
        <f t="shared" si="1"/>
        <v>13.5</v>
      </c>
      <c r="X7" s="44" t="s">
        <v>738</v>
      </c>
    </row>
    <row r="8">
      <c r="A8" s="44" t="s">
        <v>419</v>
      </c>
      <c r="B8" s="44" t="s">
        <v>418</v>
      </c>
      <c r="C8" s="45"/>
      <c r="D8" s="45"/>
      <c r="E8" s="44" t="s">
        <v>740</v>
      </c>
      <c r="F8" s="44" t="s">
        <v>52</v>
      </c>
      <c r="G8" s="44" t="s">
        <v>137</v>
      </c>
      <c r="H8" s="44">
        <v>10.0</v>
      </c>
      <c r="I8" s="44">
        <v>529.76</v>
      </c>
      <c r="J8" s="44">
        <v>529.75</v>
      </c>
      <c r="K8" s="44">
        <v>488.37</v>
      </c>
      <c r="L8" s="44">
        <v>488.36</v>
      </c>
      <c r="M8" s="44">
        <v>437.98</v>
      </c>
      <c r="N8" s="44">
        <v>437.97</v>
      </c>
      <c r="O8" s="44">
        <v>13.5</v>
      </c>
      <c r="P8" s="44">
        <v>6.1</v>
      </c>
      <c r="Q8" s="44">
        <v>3.2</v>
      </c>
      <c r="R8" s="44">
        <v>2.7</v>
      </c>
      <c r="S8" s="44">
        <v>699.0</v>
      </c>
      <c r="T8" s="44">
        <v>13.5</v>
      </c>
      <c r="U8" s="44">
        <v>699.0</v>
      </c>
      <c r="V8" s="46">
        <f>IFERROR(VLOOKUP(B8,Products!$A$2:$W$1000,16,0),"")</f>
        <v>578.99</v>
      </c>
      <c r="W8" s="46">
        <f t="shared" si="1"/>
        <v>13.5</v>
      </c>
      <c r="X8" s="44" t="s">
        <v>738</v>
      </c>
    </row>
    <row r="9">
      <c r="A9" s="44" t="s">
        <v>374</v>
      </c>
      <c r="B9" s="44">
        <v>9.003579308745E12</v>
      </c>
      <c r="C9" s="45"/>
      <c r="D9" s="45"/>
      <c r="E9" s="44">
        <v>9.003579308745E12</v>
      </c>
      <c r="F9" s="44" t="s">
        <v>52</v>
      </c>
      <c r="G9" s="44" t="s">
        <v>53</v>
      </c>
      <c r="H9" s="44">
        <v>5.0</v>
      </c>
      <c r="I9" s="44">
        <v>565.65</v>
      </c>
      <c r="J9" s="44">
        <v>565.64</v>
      </c>
      <c r="K9" s="44">
        <v>510.84</v>
      </c>
      <c r="L9" s="44">
        <v>510.83</v>
      </c>
      <c r="M9" s="44">
        <v>443.96</v>
      </c>
      <c r="N9" s="44">
        <v>443.95</v>
      </c>
      <c r="O9" s="44">
        <v>12.5</v>
      </c>
      <c r="P9" s="44">
        <v>7.6</v>
      </c>
      <c r="Q9" s="44">
        <v>4.1</v>
      </c>
      <c r="R9" s="44">
        <v>3.0</v>
      </c>
      <c r="S9" s="44">
        <v>850.0</v>
      </c>
      <c r="T9" s="44">
        <v>12.5</v>
      </c>
      <c r="U9" s="44">
        <v>850.0</v>
      </c>
      <c r="V9" s="46">
        <f>IFERROR(VLOOKUP(B9,Products!$A$2:$W$1000,16,0),"")</f>
        <v>559</v>
      </c>
      <c r="W9" s="46">
        <f t="shared" si="1"/>
        <v>7.6</v>
      </c>
      <c r="X9" s="44" t="s">
        <v>738</v>
      </c>
    </row>
    <row r="10">
      <c r="A10" s="44" t="s">
        <v>304</v>
      </c>
      <c r="B10" s="44" t="s">
        <v>302</v>
      </c>
      <c r="C10" s="45"/>
      <c r="D10" s="45"/>
      <c r="E10" s="44" t="s">
        <v>741</v>
      </c>
      <c r="F10" s="44" t="s">
        <v>131</v>
      </c>
      <c r="G10" s="44" t="s">
        <v>303</v>
      </c>
      <c r="H10" s="44">
        <v>97.0</v>
      </c>
      <c r="I10" s="44">
        <v>450.57</v>
      </c>
      <c r="J10" s="44">
        <v>450.56</v>
      </c>
      <c r="K10" s="44">
        <v>423.2</v>
      </c>
      <c r="L10" s="44">
        <v>423.19</v>
      </c>
      <c r="M10" s="44">
        <v>390.0</v>
      </c>
      <c r="N10" s="44">
        <v>389.99</v>
      </c>
      <c r="O10" s="44">
        <v>12.5</v>
      </c>
      <c r="P10" s="44">
        <v>11.2</v>
      </c>
      <c r="Q10" s="44">
        <v>9.3</v>
      </c>
      <c r="R10" s="44">
        <v>6.7</v>
      </c>
      <c r="S10" s="44">
        <v>545.0</v>
      </c>
      <c r="T10" s="44">
        <v>12.5</v>
      </c>
      <c r="U10" s="44">
        <v>545.0</v>
      </c>
      <c r="V10" s="46">
        <f>IFERROR(VLOOKUP(B10,Products!$A$2:$W$1000,16,0),"")</f>
        <v>468</v>
      </c>
      <c r="W10" s="46">
        <f t="shared" si="1"/>
        <v>12.5</v>
      </c>
      <c r="X10" s="44" t="s">
        <v>738</v>
      </c>
    </row>
    <row r="11">
      <c r="A11" s="44" t="s">
        <v>400</v>
      </c>
      <c r="B11" s="44">
        <v>7.613287487728E12</v>
      </c>
      <c r="C11" s="45"/>
      <c r="D11" s="45"/>
      <c r="E11" s="44" t="s">
        <v>742</v>
      </c>
      <c r="F11" s="44" t="s">
        <v>52</v>
      </c>
      <c r="G11" s="44" t="s">
        <v>137</v>
      </c>
      <c r="H11" s="44">
        <v>4.0</v>
      </c>
      <c r="I11" s="44">
        <v>882.62</v>
      </c>
      <c r="J11" s="44">
        <v>882.61</v>
      </c>
      <c r="K11" s="44">
        <v>826.46</v>
      </c>
      <c r="L11" s="44">
        <v>826.45</v>
      </c>
      <c r="M11" s="44">
        <v>758.21</v>
      </c>
      <c r="N11" s="44">
        <v>758.2</v>
      </c>
      <c r="O11" s="44">
        <v>13.5</v>
      </c>
      <c r="P11" s="44">
        <v>5.9</v>
      </c>
      <c r="Q11" s="44">
        <v>3.0</v>
      </c>
      <c r="R11" s="44">
        <v>2.7</v>
      </c>
      <c r="S11" s="44">
        <v>1190.0</v>
      </c>
      <c r="T11" s="44">
        <v>13.5</v>
      </c>
      <c r="U11" s="44">
        <v>1190.0</v>
      </c>
      <c r="V11" s="46">
        <f>IFERROR(VLOOKUP(B11,Products!$A$2:$W$1000,16,0),"")</f>
        <v>1029.9</v>
      </c>
      <c r="W11" s="46">
        <f t="shared" si="1"/>
        <v>13.5</v>
      </c>
      <c r="X11" s="44" t="s">
        <v>738</v>
      </c>
    </row>
    <row r="12">
      <c r="A12" s="44" t="s">
        <v>154</v>
      </c>
      <c r="B12" s="44">
        <v>8.68447746204E12</v>
      </c>
      <c r="C12" s="45"/>
      <c r="D12" s="45"/>
      <c r="E12" s="44" t="s">
        <v>743</v>
      </c>
      <c r="F12" s="44" t="s">
        <v>72</v>
      </c>
      <c r="G12" s="44" t="s">
        <v>153</v>
      </c>
      <c r="H12" s="44">
        <v>0.0</v>
      </c>
      <c r="I12" s="44">
        <v>977.33</v>
      </c>
      <c r="J12" s="44">
        <v>977.32</v>
      </c>
      <c r="K12" s="44">
        <v>932.6</v>
      </c>
      <c r="L12" s="44">
        <v>932.59</v>
      </c>
      <c r="M12" s="44">
        <v>873.86</v>
      </c>
      <c r="N12" s="44">
        <v>873.85</v>
      </c>
      <c r="O12" s="44">
        <v>16.5</v>
      </c>
      <c r="P12" s="44">
        <v>15.1</v>
      </c>
      <c r="Q12" s="44">
        <v>13.9</v>
      </c>
      <c r="R12" s="44">
        <v>12.2</v>
      </c>
      <c r="S12" s="44">
        <v>1188.0</v>
      </c>
      <c r="T12" s="44">
        <v>16.5</v>
      </c>
      <c r="U12" s="44">
        <v>1188.0</v>
      </c>
      <c r="V12" s="46" t="str">
        <f>IFERROR(VLOOKUP(B12,Products!$A$2:$W$1000,16,0),"")</f>
        <v/>
      </c>
      <c r="W12" s="46" t="str">
        <f t="shared" si="1"/>
        <v>-</v>
      </c>
      <c r="X12" s="44" t="s">
        <v>738</v>
      </c>
    </row>
    <row r="13">
      <c r="A13" s="44" t="s">
        <v>87</v>
      </c>
      <c r="B13" s="44">
        <v>8.711231170357E12</v>
      </c>
      <c r="C13" s="45"/>
      <c r="D13" s="45"/>
      <c r="E13" s="44">
        <v>8.711231170357E12</v>
      </c>
      <c r="F13" s="44" t="s">
        <v>86</v>
      </c>
      <c r="G13" s="44" t="s">
        <v>84</v>
      </c>
      <c r="H13" s="44">
        <v>0.0</v>
      </c>
      <c r="I13" s="44">
        <v>150.42</v>
      </c>
      <c r="J13" s="44">
        <v>150.41</v>
      </c>
      <c r="K13" s="44">
        <v>132.9</v>
      </c>
      <c r="L13" s="44">
        <v>132.89</v>
      </c>
      <c r="M13" s="44">
        <v>116.56</v>
      </c>
      <c r="N13" s="44">
        <v>116.55</v>
      </c>
      <c r="O13" s="44">
        <v>20.0</v>
      </c>
      <c r="P13" s="44">
        <v>7.5</v>
      </c>
      <c r="Q13" s="44">
        <v>3.2</v>
      </c>
      <c r="R13" s="44">
        <v>3.0</v>
      </c>
      <c r="S13" s="44">
        <v>149.0</v>
      </c>
      <c r="T13" s="44">
        <v>7.5</v>
      </c>
      <c r="U13" s="44">
        <v>149.0</v>
      </c>
      <c r="V13" s="46" t="str">
        <f>IFERROR(VLOOKUP(B13,Products!$A$2:$W$1000,16,0),"")</f>
        <v/>
      </c>
      <c r="W13" s="46" t="str">
        <f t="shared" si="1"/>
        <v>-</v>
      </c>
      <c r="X13" s="44" t="s">
        <v>738</v>
      </c>
    </row>
    <row r="14">
      <c r="A14" s="44" t="s">
        <v>403</v>
      </c>
      <c r="B14" s="44" t="s">
        <v>402</v>
      </c>
      <c r="C14" s="45"/>
      <c r="D14" s="45"/>
      <c r="E14" s="44" t="s">
        <v>744</v>
      </c>
      <c r="F14" s="44" t="s">
        <v>72</v>
      </c>
      <c r="G14" s="44" t="s">
        <v>178</v>
      </c>
      <c r="H14" s="44">
        <v>0.0</v>
      </c>
      <c r="I14" s="44">
        <v>566.98</v>
      </c>
      <c r="J14" s="44">
        <v>566.97</v>
      </c>
      <c r="K14" s="44">
        <v>508.65</v>
      </c>
      <c r="L14" s="44">
        <v>508.64</v>
      </c>
      <c r="M14" s="44">
        <v>436.57</v>
      </c>
      <c r="N14" s="44">
        <v>436.56</v>
      </c>
      <c r="O14" s="44">
        <v>16.5</v>
      </c>
      <c r="P14" s="44">
        <v>5.6</v>
      </c>
      <c r="Q14" s="44">
        <v>2.7</v>
      </c>
      <c r="R14" s="44">
        <v>2.7</v>
      </c>
      <c r="S14" s="44">
        <v>859.0</v>
      </c>
      <c r="T14" s="44">
        <v>16.5</v>
      </c>
      <c r="U14" s="44">
        <v>859.0</v>
      </c>
      <c r="V14" s="46" t="str">
        <f>IFERROR(VLOOKUP(B14,Products!$A$2:$W$1000,16,0),"")</f>
        <v/>
      </c>
      <c r="W14" s="46" t="str">
        <f t="shared" si="1"/>
        <v>-</v>
      </c>
      <c r="X14" s="44" t="s">
        <v>738</v>
      </c>
    </row>
    <row r="15">
      <c r="A15" s="44" t="s">
        <v>312</v>
      </c>
      <c r="B15" s="44">
        <v>1.44586800733348E15</v>
      </c>
      <c r="C15" s="45"/>
      <c r="D15" s="45"/>
      <c r="E15" s="44" t="s">
        <v>745</v>
      </c>
      <c r="F15" s="44" t="s">
        <v>131</v>
      </c>
      <c r="G15" s="44" t="s">
        <v>303</v>
      </c>
      <c r="H15" s="44">
        <v>100.0</v>
      </c>
      <c r="I15" s="44">
        <v>1045.26</v>
      </c>
      <c r="J15" s="44">
        <v>1045.25</v>
      </c>
      <c r="K15" s="44">
        <v>1008.86</v>
      </c>
      <c r="L15" s="44">
        <v>1008.85</v>
      </c>
      <c r="M15" s="44">
        <v>958.67</v>
      </c>
      <c r="N15" s="44">
        <v>958.66</v>
      </c>
      <c r="O15" s="44">
        <v>12.5</v>
      </c>
      <c r="P15" s="44">
        <v>11.7</v>
      </c>
      <c r="Q15" s="44">
        <v>10.7</v>
      </c>
      <c r="R15" s="44">
        <v>9.1</v>
      </c>
      <c r="S15" s="44">
        <v>1350.0</v>
      </c>
      <c r="T15" s="44">
        <v>12.5</v>
      </c>
      <c r="U15" s="44">
        <v>1350.0</v>
      </c>
      <c r="V15" s="46">
        <f>IFERROR(VLOOKUP(B15,Products!$A$2:$W$1000,16,0),"")</f>
        <v>1032.9</v>
      </c>
      <c r="W15" s="46">
        <f t="shared" si="1"/>
        <v>11.7</v>
      </c>
      <c r="X15" s="44" t="s">
        <v>738</v>
      </c>
    </row>
    <row r="16">
      <c r="A16" s="44" t="s">
        <v>442</v>
      </c>
      <c r="B16" s="44">
        <v>6.13033566523E11</v>
      </c>
      <c r="C16" s="45"/>
      <c r="D16" s="45"/>
      <c r="E16" s="44" t="s">
        <v>746</v>
      </c>
      <c r="F16" s="44" t="s">
        <v>72</v>
      </c>
      <c r="G16" s="44" t="s">
        <v>50</v>
      </c>
      <c r="H16" s="44">
        <v>99.0</v>
      </c>
      <c r="I16" s="44">
        <v>3432.7</v>
      </c>
      <c r="J16" s="44">
        <v>3432.69</v>
      </c>
      <c r="K16" s="44">
        <v>3339.61</v>
      </c>
      <c r="L16" s="44">
        <v>3339.6</v>
      </c>
      <c r="M16" s="44">
        <v>3211.25</v>
      </c>
      <c r="N16" s="44">
        <v>3211.24</v>
      </c>
      <c r="O16" s="44">
        <v>12.5</v>
      </c>
      <c r="P16" s="44">
        <v>9.3</v>
      </c>
      <c r="Q16" s="44">
        <v>8.5</v>
      </c>
      <c r="R16" s="44">
        <v>7.2</v>
      </c>
      <c r="S16" s="44">
        <v>4499.0</v>
      </c>
      <c r="T16" s="44">
        <v>12.5</v>
      </c>
      <c r="U16" s="44">
        <v>4499.0</v>
      </c>
      <c r="V16" s="46">
        <f>IFERROR(VLOOKUP(B16,Products!$A$2:$W$1000,16,0),"")</f>
        <v>3998</v>
      </c>
      <c r="W16" s="46">
        <f t="shared" si="1"/>
        <v>12.5</v>
      </c>
      <c r="X16" s="44" t="s">
        <v>738</v>
      </c>
    </row>
    <row r="17">
      <c r="A17" s="44" t="s">
        <v>408</v>
      </c>
      <c r="B17" s="44">
        <v>4.0004872260361E15</v>
      </c>
      <c r="C17" s="45"/>
      <c r="D17" s="45"/>
      <c r="E17" s="44" t="s">
        <v>747</v>
      </c>
      <c r="F17" s="44" t="s">
        <v>72</v>
      </c>
      <c r="G17" s="44" t="s">
        <v>137</v>
      </c>
      <c r="H17" s="44">
        <v>185.0</v>
      </c>
      <c r="I17" s="44">
        <v>1930.69</v>
      </c>
      <c r="J17" s="44">
        <v>1930.68</v>
      </c>
      <c r="K17" s="44">
        <v>1818.9</v>
      </c>
      <c r="L17" s="44">
        <v>1818.89</v>
      </c>
      <c r="M17" s="44">
        <v>1684.64</v>
      </c>
      <c r="N17" s="44">
        <v>1684.63</v>
      </c>
      <c r="O17" s="44">
        <v>16.5</v>
      </c>
      <c r="P17" s="44">
        <v>8.7</v>
      </c>
      <c r="Q17" s="44">
        <v>6.7</v>
      </c>
      <c r="R17" s="44">
        <v>4.1</v>
      </c>
      <c r="S17" s="44">
        <v>2249.0</v>
      </c>
      <c r="T17" s="44">
        <v>16.5</v>
      </c>
      <c r="U17" s="44">
        <v>2249.0</v>
      </c>
      <c r="V17" s="46">
        <f>IFERROR(VLOOKUP(B17,Products!$A$2:$W$1000,16,0),"")</f>
        <v>2249</v>
      </c>
      <c r="W17" s="46">
        <f t="shared" si="1"/>
        <v>16.5</v>
      </c>
      <c r="X17" s="44" t="s">
        <v>738</v>
      </c>
    </row>
    <row r="18">
      <c r="A18" s="44" t="s">
        <v>63</v>
      </c>
      <c r="B18" s="44">
        <v>7.613035120464E12</v>
      </c>
      <c r="C18" s="45"/>
      <c r="D18" s="45"/>
      <c r="E18" s="44" t="s">
        <v>748</v>
      </c>
      <c r="F18" s="44" t="s">
        <v>59</v>
      </c>
      <c r="G18" s="44" t="s">
        <v>50</v>
      </c>
      <c r="H18" s="44">
        <v>0.0</v>
      </c>
      <c r="I18" s="44">
        <v>3494.27</v>
      </c>
      <c r="J18" s="44">
        <v>3494.26</v>
      </c>
      <c r="K18" s="44">
        <v>3291.13</v>
      </c>
      <c r="L18" s="44">
        <v>3291.12</v>
      </c>
      <c r="M18" s="44">
        <v>3046.8</v>
      </c>
      <c r="N18" s="44">
        <v>3046.79</v>
      </c>
      <c r="O18" s="44">
        <v>12.5</v>
      </c>
      <c r="P18" s="44">
        <v>10.8</v>
      </c>
      <c r="Q18" s="44">
        <v>8.4</v>
      </c>
      <c r="R18" s="44">
        <v>5.1</v>
      </c>
      <c r="S18" s="44">
        <v>4500.0</v>
      </c>
      <c r="T18" s="44">
        <v>12.5</v>
      </c>
      <c r="U18" s="44">
        <v>4500.0</v>
      </c>
      <c r="V18" s="46" t="str">
        <f>IFERROR(VLOOKUP(B18,Products!$A$2:$W$1000,16,0),"")</f>
        <v/>
      </c>
      <c r="W18" s="46" t="str">
        <f t="shared" si="1"/>
        <v>-</v>
      </c>
      <c r="X18" s="44" t="s">
        <v>738</v>
      </c>
    </row>
    <row r="19">
      <c r="A19" s="44" t="s">
        <v>646</v>
      </c>
      <c r="B19" s="44">
        <v>8.6974221000021E13</v>
      </c>
      <c r="C19" s="45"/>
      <c r="D19" s="45"/>
      <c r="E19" s="44" t="s">
        <v>749</v>
      </c>
      <c r="F19" s="44" t="s">
        <v>52</v>
      </c>
      <c r="G19" s="44" t="s">
        <v>50</v>
      </c>
      <c r="H19" s="44">
        <v>4.0</v>
      </c>
      <c r="I19" s="44">
        <v>462.07</v>
      </c>
      <c r="J19" s="44">
        <v>462.06</v>
      </c>
      <c r="K19" s="44">
        <v>445.08</v>
      </c>
      <c r="L19" s="44">
        <v>445.07</v>
      </c>
      <c r="M19" s="44">
        <v>421.94</v>
      </c>
      <c r="N19" s="44">
        <v>421.93</v>
      </c>
      <c r="O19" s="44">
        <v>12.5</v>
      </c>
      <c r="P19" s="44">
        <v>9.1</v>
      </c>
      <c r="Q19" s="44">
        <v>7.9</v>
      </c>
      <c r="R19" s="44">
        <v>6.1</v>
      </c>
      <c r="S19" s="44">
        <v>599.0</v>
      </c>
      <c r="T19" s="44">
        <v>12.5</v>
      </c>
      <c r="U19" s="44">
        <v>599.0</v>
      </c>
      <c r="V19" s="46">
        <f>IFERROR(VLOOKUP(B19,Products!$A$2:$W$1000,16,0),"")</f>
        <v>462.06</v>
      </c>
      <c r="W19" s="46">
        <f t="shared" si="1"/>
        <v>9.1</v>
      </c>
      <c r="X19" s="44" t="s">
        <v>738</v>
      </c>
    </row>
    <row r="20">
      <c r="A20" s="44" t="s">
        <v>68</v>
      </c>
      <c r="B20" s="44">
        <v>7.613035114838E12</v>
      </c>
      <c r="C20" s="45"/>
      <c r="D20" s="45"/>
      <c r="E20" s="44" t="s">
        <v>750</v>
      </c>
      <c r="F20" s="44" t="s">
        <v>59</v>
      </c>
      <c r="G20" s="44" t="s">
        <v>50</v>
      </c>
      <c r="H20" s="44">
        <v>0.0</v>
      </c>
      <c r="I20" s="44">
        <v>855.9</v>
      </c>
      <c r="J20" s="44">
        <v>855.89</v>
      </c>
      <c r="K20" s="44">
        <v>809.28</v>
      </c>
      <c r="L20" s="44">
        <v>809.27</v>
      </c>
      <c r="M20" s="44">
        <v>753.31</v>
      </c>
      <c r="N20" s="44">
        <v>753.3</v>
      </c>
      <c r="O20" s="44">
        <v>12.5</v>
      </c>
      <c r="P20" s="44">
        <v>8.8</v>
      </c>
      <c r="Q20" s="44">
        <v>7.0</v>
      </c>
      <c r="R20" s="44">
        <v>4.5</v>
      </c>
      <c r="S20" s="44">
        <v>1500.0</v>
      </c>
      <c r="T20" s="44">
        <v>12.5</v>
      </c>
      <c r="U20" s="44">
        <v>1500.0</v>
      </c>
      <c r="V20" s="46" t="str">
        <f>IFERROR(VLOOKUP(B20,Products!$A$2:$W$1000,16,0),"")</f>
        <v/>
      </c>
      <c r="W20" s="46" t="str">
        <f t="shared" si="1"/>
        <v>-</v>
      </c>
      <c r="X20" s="44" t="s">
        <v>738</v>
      </c>
    </row>
    <row r="21">
      <c r="A21" s="44" t="s">
        <v>710</v>
      </c>
      <c r="B21" s="44">
        <v>7.613033560064E12</v>
      </c>
      <c r="C21" s="45"/>
      <c r="D21" s="45"/>
      <c r="E21" s="44" t="s">
        <v>751</v>
      </c>
      <c r="F21" s="44" t="s">
        <v>72</v>
      </c>
      <c r="G21" s="44" t="s">
        <v>50</v>
      </c>
      <c r="H21" s="44">
        <v>227.0</v>
      </c>
      <c r="I21" s="44">
        <v>1310.39</v>
      </c>
      <c r="J21" s="44">
        <v>1310.38</v>
      </c>
      <c r="K21" s="44">
        <v>1229.05</v>
      </c>
      <c r="L21" s="44">
        <v>1229.04</v>
      </c>
      <c r="M21" s="44">
        <v>1130.29</v>
      </c>
      <c r="N21" s="44">
        <v>1130.28</v>
      </c>
      <c r="O21" s="44">
        <v>12.5</v>
      </c>
      <c r="P21" s="44">
        <v>8.5</v>
      </c>
      <c r="Q21" s="44">
        <v>6.4</v>
      </c>
      <c r="R21" s="44">
        <v>3.5</v>
      </c>
      <c r="S21" s="44">
        <v>1530.0</v>
      </c>
      <c r="T21" s="44">
        <v>12.5</v>
      </c>
      <c r="U21" s="44">
        <v>1530.0</v>
      </c>
      <c r="V21" s="46">
        <f>IFERROR(VLOOKUP(B21,Products!$A$2:$W$1000,16,0),"")</f>
        <v>1428</v>
      </c>
      <c r="W21" s="46">
        <f t="shared" si="1"/>
        <v>12.5</v>
      </c>
      <c r="X21" s="44" t="s">
        <v>738</v>
      </c>
    </row>
    <row r="22">
      <c r="A22" s="44" t="s">
        <v>430</v>
      </c>
      <c r="B22" s="44" t="s">
        <v>429</v>
      </c>
      <c r="C22" s="45"/>
      <c r="D22" s="45"/>
      <c r="E22" s="44" t="s">
        <v>752</v>
      </c>
      <c r="F22" s="44" t="s">
        <v>72</v>
      </c>
      <c r="G22" s="44" t="s">
        <v>50</v>
      </c>
      <c r="H22" s="44">
        <v>1.0</v>
      </c>
      <c r="I22" s="44">
        <v>907.2</v>
      </c>
      <c r="J22" s="44">
        <v>907.19</v>
      </c>
      <c r="K22" s="44">
        <v>836.89</v>
      </c>
      <c r="L22" s="44">
        <v>836.88</v>
      </c>
      <c r="M22" s="44">
        <v>751.29</v>
      </c>
      <c r="N22" s="44">
        <v>751.28</v>
      </c>
      <c r="O22" s="44">
        <v>12.5</v>
      </c>
      <c r="P22" s="44">
        <v>8.1</v>
      </c>
      <c r="Q22" s="44">
        <v>5.4</v>
      </c>
      <c r="R22" s="44">
        <v>3.0</v>
      </c>
      <c r="S22" s="44">
        <v>1699.0</v>
      </c>
      <c r="T22" s="44">
        <v>12.5</v>
      </c>
      <c r="U22" s="44">
        <v>1699.0</v>
      </c>
      <c r="V22" s="46">
        <f>IFERROR(VLOOKUP(B22,Products!$A$2:$W$1000,16,0),"")</f>
        <v>899</v>
      </c>
      <c r="W22" s="46">
        <f t="shared" si="1"/>
        <v>8.1</v>
      </c>
      <c r="X22" s="44" t="s">
        <v>738</v>
      </c>
    </row>
    <row r="23">
      <c r="A23" s="44" t="s">
        <v>319</v>
      </c>
      <c r="B23" s="44" t="s">
        <v>318</v>
      </c>
      <c r="C23" s="45"/>
      <c r="D23" s="45"/>
      <c r="E23" s="44" t="s">
        <v>753</v>
      </c>
      <c r="F23" s="44" t="s">
        <v>131</v>
      </c>
      <c r="G23" s="44" t="s">
        <v>303</v>
      </c>
      <c r="H23" s="44">
        <v>950.0</v>
      </c>
      <c r="I23" s="44">
        <v>143.72</v>
      </c>
      <c r="J23" s="44">
        <v>143.71</v>
      </c>
      <c r="K23" s="44">
        <v>126.44</v>
      </c>
      <c r="L23" s="44">
        <v>126.43</v>
      </c>
      <c r="M23" s="44">
        <v>112.04</v>
      </c>
      <c r="N23" s="44">
        <v>112.03</v>
      </c>
      <c r="O23" s="44">
        <v>12.5</v>
      </c>
      <c r="P23" s="44">
        <v>7.1</v>
      </c>
      <c r="Q23" s="44">
        <v>3.1</v>
      </c>
      <c r="R23" s="44">
        <v>3.0</v>
      </c>
      <c r="S23" s="44">
        <v>200.0</v>
      </c>
      <c r="T23" s="44">
        <v>12.5</v>
      </c>
      <c r="U23" s="44">
        <v>200.0</v>
      </c>
      <c r="V23" s="46">
        <f>IFERROR(VLOOKUP(B23,Products!$A$2:$W$1000,16,0),"")</f>
        <v>116.08</v>
      </c>
      <c r="W23" s="46">
        <f t="shared" si="1"/>
        <v>3.1</v>
      </c>
      <c r="X23" s="44" t="s">
        <v>738</v>
      </c>
    </row>
    <row r="24">
      <c r="A24" s="44" t="s">
        <v>709</v>
      </c>
      <c r="B24" s="44">
        <v>7.613033566523E12</v>
      </c>
      <c r="C24" s="45"/>
      <c r="D24" s="45"/>
      <c r="E24" s="44" t="s">
        <v>754</v>
      </c>
      <c r="F24" s="44" t="s">
        <v>72</v>
      </c>
      <c r="G24" s="44" t="s">
        <v>50</v>
      </c>
      <c r="H24" s="44">
        <v>995.0</v>
      </c>
      <c r="I24" s="44">
        <v>3585.31</v>
      </c>
      <c r="J24" s="44">
        <v>3585.3</v>
      </c>
      <c r="K24" s="44">
        <v>3411.76</v>
      </c>
      <c r="L24" s="44">
        <v>3411.75</v>
      </c>
      <c r="M24" s="44">
        <v>3201.38</v>
      </c>
      <c r="N24" s="44">
        <v>3201.37</v>
      </c>
      <c r="O24" s="44">
        <v>12.5</v>
      </c>
      <c r="P24" s="44">
        <v>8.9</v>
      </c>
      <c r="Q24" s="44">
        <v>7.3</v>
      </c>
      <c r="R24" s="44">
        <v>5.2</v>
      </c>
      <c r="S24" s="44">
        <v>4499.0</v>
      </c>
      <c r="T24" s="44">
        <v>12.5</v>
      </c>
      <c r="U24" s="44">
        <v>4499.0</v>
      </c>
      <c r="V24" s="46">
        <f>IFERROR(VLOOKUP(B24,Products!$A$2:$W$1000,16,0),"")</f>
        <v>4000</v>
      </c>
      <c r="W24" s="46">
        <f t="shared" si="1"/>
        <v>12.5</v>
      </c>
      <c r="X24" s="44" t="s">
        <v>738</v>
      </c>
    </row>
    <row r="25">
      <c r="A25" s="44" t="s">
        <v>317</v>
      </c>
      <c r="B25" s="44" t="s">
        <v>316</v>
      </c>
      <c r="C25" s="45"/>
      <c r="D25" s="45"/>
      <c r="E25" s="44" t="s">
        <v>755</v>
      </c>
      <c r="F25" s="44" t="s">
        <v>131</v>
      </c>
      <c r="G25" s="44" t="s">
        <v>303</v>
      </c>
      <c r="H25" s="44">
        <v>77.0</v>
      </c>
      <c r="I25" s="44">
        <v>494.51</v>
      </c>
      <c r="J25" s="44">
        <v>494.5</v>
      </c>
      <c r="K25" s="44">
        <v>453.86</v>
      </c>
      <c r="L25" s="44">
        <v>453.85</v>
      </c>
      <c r="M25" s="44">
        <v>404.45</v>
      </c>
      <c r="N25" s="44">
        <v>404.44</v>
      </c>
      <c r="O25" s="44">
        <v>12.5</v>
      </c>
      <c r="P25" s="44">
        <v>10.7</v>
      </c>
      <c r="Q25" s="44">
        <v>8.0</v>
      </c>
      <c r="R25" s="44">
        <v>4.1</v>
      </c>
      <c r="S25" s="44">
        <v>578.0</v>
      </c>
      <c r="T25" s="44">
        <v>12.5</v>
      </c>
      <c r="U25" s="44">
        <v>578.0</v>
      </c>
      <c r="V25" s="46">
        <f>IFERROR(VLOOKUP(B25,Products!$A$2:$W$1000,16,0),"")</f>
        <v>486.9</v>
      </c>
      <c r="W25" s="46">
        <f t="shared" si="1"/>
        <v>10.7</v>
      </c>
      <c r="X25" s="44" t="s">
        <v>738</v>
      </c>
    </row>
    <row r="26">
      <c r="A26" s="44" t="s">
        <v>708</v>
      </c>
      <c r="B26" s="44">
        <v>7.613032816536E12</v>
      </c>
      <c r="C26" s="45"/>
      <c r="D26" s="45"/>
      <c r="E26" s="44" t="s">
        <v>756</v>
      </c>
      <c r="F26" s="44" t="s">
        <v>52</v>
      </c>
      <c r="G26" s="44" t="s">
        <v>187</v>
      </c>
      <c r="H26" s="44">
        <v>595.0</v>
      </c>
      <c r="I26" s="44">
        <v>746.28</v>
      </c>
      <c r="J26" s="44">
        <v>746.27</v>
      </c>
      <c r="K26" s="44">
        <v>687.27</v>
      </c>
      <c r="L26" s="44">
        <v>687.26</v>
      </c>
      <c r="M26" s="44">
        <v>615.47</v>
      </c>
      <c r="N26" s="44">
        <v>615.46</v>
      </c>
      <c r="O26" s="44">
        <v>13.5</v>
      </c>
      <c r="P26" s="44">
        <v>6.0</v>
      </c>
      <c r="Q26" s="44">
        <v>3.1</v>
      </c>
      <c r="R26" s="44">
        <v>2.7</v>
      </c>
      <c r="S26" s="44">
        <v>738.0</v>
      </c>
      <c r="T26" s="44">
        <v>6.0</v>
      </c>
      <c r="U26" s="44">
        <v>738.0</v>
      </c>
      <c r="V26" s="46">
        <f>IFERROR(VLOOKUP(B26,Products!$A$2:$W$1000,16,0),"")</f>
        <v>746.27</v>
      </c>
      <c r="W26" s="46">
        <f t="shared" si="1"/>
        <v>6</v>
      </c>
      <c r="X26" s="44" t="s">
        <v>738</v>
      </c>
    </row>
    <row r="27">
      <c r="A27" s="44" t="s">
        <v>324</v>
      </c>
      <c r="B27" s="44">
        <v>5.2742071381E10</v>
      </c>
      <c r="C27" s="45"/>
      <c r="D27" s="45"/>
      <c r="E27" s="44" t="s">
        <v>757</v>
      </c>
      <c r="F27" s="44" t="s">
        <v>72</v>
      </c>
      <c r="G27" s="44" t="s">
        <v>229</v>
      </c>
      <c r="H27" s="44">
        <v>7.0</v>
      </c>
      <c r="I27" s="44">
        <v>1405.9</v>
      </c>
      <c r="J27" s="44">
        <v>1405.89</v>
      </c>
      <c r="K27" s="44">
        <v>1342.24</v>
      </c>
      <c r="L27" s="44">
        <v>1342.23</v>
      </c>
      <c r="M27" s="44">
        <v>1264.01</v>
      </c>
      <c r="N27" s="44">
        <v>1264.0</v>
      </c>
      <c r="O27" s="44">
        <v>12.5</v>
      </c>
      <c r="P27" s="44">
        <v>11.6</v>
      </c>
      <c r="Q27" s="44">
        <v>10.2</v>
      </c>
      <c r="R27" s="44">
        <v>8.4</v>
      </c>
      <c r="S27" s="44">
        <v>1600.0</v>
      </c>
      <c r="T27" s="44">
        <v>12.5</v>
      </c>
      <c r="U27" s="44">
        <v>1600.0</v>
      </c>
      <c r="V27" s="46">
        <f>IFERROR(VLOOKUP(B27,Products!$A$2:$W$1000,16,0),"")</f>
        <v>1557.06</v>
      </c>
      <c r="W27" s="46">
        <f t="shared" si="1"/>
        <v>12.5</v>
      </c>
      <c r="X27" s="44" t="s">
        <v>738</v>
      </c>
    </row>
    <row r="28">
      <c r="A28" s="44" t="s">
        <v>307</v>
      </c>
      <c r="B28" s="44">
        <v>6.927749871859E12</v>
      </c>
      <c r="C28" s="45"/>
      <c r="D28" s="45"/>
      <c r="E28" s="44">
        <v>6.927749871859E12</v>
      </c>
      <c r="F28" s="44" t="s">
        <v>131</v>
      </c>
      <c r="G28" s="44" t="s">
        <v>303</v>
      </c>
      <c r="H28" s="44">
        <v>99.0</v>
      </c>
      <c r="I28" s="44">
        <v>558.17</v>
      </c>
      <c r="J28" s="44">
        <v>558.16</v>
      </c>
      <c r="K28" s="44">
        <v>513.83</v>
      </c>
      <c r="L28" s="44">
        <v>513.82</v>
      </c>
      <c r="M28" s="44">
        <v>459.89</v>
      </c>
      <c r="N28" s="44">
        <v>459.88</v>
      </c>
      <c r="O28" s="44">
        <v>12.5</v>
      </c>
      <c r="P28" s="44">
        <v>10.7</v>
      </c>
      <c r="Q28" s="44">
        <v>8.2</v>
      </c>
      <c r="R28" s="44">
        <v>4.5</v>
      </c>
      <c r="S28" s="44">
        <v>720.0</v>
      </c>
      <c r="T28" s="44">
        <v>12.5</v>
      </c>
      <c r="U28" s="44">
        <v>720.0</v>
      </c>
      <c r="V28" s="46">
        <f>IFERROR(VLOOKUP(B28,Products!$A$2:$W$1000,16,0),"")</f>
        <v>549</v>
      </c>
      <c r="W28" s="46">
        <f t="shared" si="1"/>
        <v>10.7</v>
      </c>
      <c r="X28" s="44" t="s">
        <v>738</v>
      </c>
    </row>
    <row r="29">
      <c r="A29" s="44" t="s">
        <v>136</v>
      </c>
      <c r="B29" s="44" t="s">
        <v>135</v>
      </c>
      <c r="C29" s="45"/>
      <c r="D29" s="45"/>
      <c r="E29" s="44">
        <v>8.681003003568E12</v>
      </c>
      <c r="F29" s="44" t="s">
        <v>52</v>
      </c>
      <c r="G29" s="44" t="s">
        <v>121</v>
      </c>
      <c r="H29" s="44">
        <v>97.0</v>
      </c>
      <c r="I29" s="44">
        <v>610.0</v>
      </c>
      <c r="J29" s="44">
        <v>609.99</v>
      </c>
      <c r="K29" s="44">
        <v>565.22</v>
      </c>
      <c r="L29" s="44">
        <v>565.21</v>
      </c>
      <c r="M29" s="44">
        <v>511.17</v>
      </c>
      <c r="N29" s="44">
        <v>511.16</v>
      </c>
      <c r="O29" s="44">
        <v>13.5</v>
      </c>
      <c r="P29" s="44">
        <v>12.0</v>
      </c>
      <c r="Q29" s="44">
        <v>9.8</v>
      </c>
      <c r="R29" s="44">
        <v>6.6</v>
      </c>
      <c r="S29" s="44">
        <v>859.0</v>
      </c>
      <c r="T29" s="44">
        <v>13.5</v>
      </c>
      <c r="U29" s="44">
        <v>859.0</v>
      </c>
      <c r="V29" s="46">
        <f>IFERROR(VLOOKUP(B29,Products!$A$2:$W$1000,16,0),"")</f>
        <v>690</v>
      </c>
      <c r="W29" s="46">
        <f t="shared" si="1"/>
        <v>13.5</v>
      </c>
      <c r="X29" s="44" t="s">
        <v>738</v>
      </c>
    </row>
    <row r="30">
      <c r="A30" s="44" t="s">
        <v>119</v>
      </c>
      <c r="B30" s="44">
        <v>7.613033560033E12</v>
      </c>
      <c r="C30" s="44">
        <v>0.0</v>
      </c>
      <c r="D30" s="45"/>
      <c r="E30" s="44" t="s">
        <v>758</v>
      </c>
      <c r="F30" s="44" t="s">
        <v>72</v>
      </c>
      <c r="G30" s="44" t="s">
        <v>50</v>
      </c>
      <c r="H30" s="44">
        <v>48.0</v>
      </c>
      <c r="I30" s="44">
        <v>1415.46</v>
      </c>
      <c r="J30" s="44">
        <v>1415.45</v>
      </c>
      <c r="K30" s="44">
        <v>1323.39</v>
      </c>
      <c r="L30" s="44">
        <v>1323.38</v>
      </c>
      <c r="M30" s="44">
        <v>1211.41</v>
      </c>
      <c r="N30" s="44">
        <v>1211.4</v>
      </c>
      <c r="O30" s="44">
        <v>12.5</v>
      </c>
      <c r="P30" s="44">
        <v>11.1</v>
      </c>
      <c r="Q30" s="44">
        <v>9.0</v>
      </c>
      <c r="R30" s="44">
        <v>6.2</v>
      </c>
      <c r="S30" s="44">
        <v>1320.0</v>
      </c>
      <c r="T30" s="44">
        <v>9.0</v>
      </c>
      <c r="U30" s="44">
        <v>1320.0</v>
      </c>
      <c r="V30" s="46">
        <f>IFERROR(VLOOKUP(B30,Products!$A$2:$W$1000,16,0),"")</f>
        <v>1299</v>
      </c>
      <c r="W30" s="46">
        <f t="shared" si="1"/>
        <v>9</v>
      </c>
      <c r="X30" s="44" t="s">
        <v>738</v>
      </c>
    </row>
    <row r="31">
      <c r="A31" s="44" t="s">
        <v>105</v>
      </c>
      <c r="B31" s="44">
        <v>5.060255492192E12</v>
      </c>
      <c r="C31" s="45"/>
      <c r="D31" s="45"/>
      <c r="E31" s="44">
        <v>839002.0</v>
      </c>
      <c r="F31" s="44" t="s">
        <v>96</v>
      </c>
      <c r="G31" s="44" t="s">
        <v>94</v>
      </c>
      <c r="H31" s="44">
        <v>100.0</v>
      </c>
      <c r="I31" s="44">
        <v>1010.26</v>
      </c>
      <c r="J31" s="44">
        <v>1010.25</v>
      </c>
      <c r="K31" s="44">
        <v>949.9</v>
      </c>
      <c r="L31" s="44">
        <v>949.89</v>
      </c>
      <c r="M31" s="44">
        <v>876.76</v>
      </c>
      <c r="N31" s="44">
        <v>876.75</v>
      </c>
      <c r="O31" s="44">
        <v>14.5</v>
      </c>
      <c r="P31" s="44">
        <v>12.8</v>
      </c>
      <c r="Q31" s="44">
        <v>11.0</v>
      </c>
      <c r="R31" s="44">
        <v>8.6</v>
      </c>
      <c r="S31" s="44">
        <v>1200.0</v>
      </c>
      <c r="T31" s="44">
        <v>14.5</v>
      </c>
      <c r="U31" s="44">
        <v>1200.0</v>
      </c>
      <c r="V31" s="46">
        <f>IFERROR(VLOOKUP(B31,Products!$A$2:$W$1000,16,0),"")</f>
        <v>1000</v>
      </c>
      <c r="W31" s="46">
        <f t="shared" si="1"/>
        <v>12.8</v>
      </c>
      <c r="X31" s="44" t="s">
        <v>738</v>
      </c>
    </row>
    <row r="32">
      <c r="A32" s="44" t="s">
        <v>357</v>
      </c>
      <c r="B32" s="44" t="s">
        <v>356</v>
      </c>
      <c r="C32" s="45"/>
      <c r="D32" s="45"/>
      <c r="E32" s="44" t="s">
        <v>759</v>
      </c>
      <c r="F32" s="44" t="s">
        <v>52</v>
      </c>
      <c r="G32" s="44" t="s">
        <v>187</v>
      </c>
      <c r="H32" s="44">
        <v>684.0</v>
      </c>
      <c r="I32" s="44">
        <v>748.97</v>
      </c>
      <c r="J32" s="44">
        <v>748.96</v>
      </c>
      <c r="K32" s="44">
        <v>704.97</v>
      </c>
      <c r="L32" s="44">
        <v>704.96</v>
      </c>
      <c r="M32" s="44">
        <v>651.83</v>
      </c>
      <c r="N32" s="44">
        <v>651.82</v>
      </c>
      <c r="O32" s="44">
        <v>13.5</v>
      </c>
      <c r="P32" s="44">
        <v>6.6</v>
      </c>
      <c r="Q32" s="44">
        <v>4.6</v>
      </c>
      <c r="R32" s="44">
        <v>2.7</v>
      </c>
      <c r="S32" s="44">
        <v>736.0</v>
      </c>
      <c r="T32" s="44">
        <v>6.6</v>
      </c>
      <c r="U32" s="44">
        <v>736.0</v>
      </c>
      <c r="V32" s="46">
        <f>IFERROR(VLOOKUP(B32,Products!$A$2:$W$1000,16,0),"")</f>
        <v>736</v>
      </c>
      <c r="W32" s="46">
        <f t="shared" si="1"/>
        <v>6.6</v>
      </c>
      <c r="X32" s="44" t="s">
        <v>738</v>
      </c>
    </row>
    <row r="33">
      <c r="A33" s="44" t="s">
        <v>172</v>
      </c>
      <c r="B33" s="44">
        <v>7.451204125632E12</v>
      </c>
      <c r="C33" s="45"/>
      <c r="D33" s="45"/>
      <c r="E33" s="44">
        <v>1278.0</v>
      </c>
      <c r="F33" s="44" t="s">
        <v>72</v>
      </c>
      <c r="G33" s="44" t="s">
        <v>153</v>
      </c>
      <c r="H33" s="44">
        <v>0.0</v>
      </c>
      <c r="I33" s="44">
        <v>478.11</v>
      </c>
      <c r="J33" s="44">
        <v>478.1</v>
      </c>
      <c r="K33" s="44">
        <v>456.26</v>
      </c>
      <c r="L33" s="44">
        <v>456.25</v>
      </c>
      <c r="M33" s="44">
        <v>429.51</v>
      </c>
      <c r="N33" s="44">
        <v>429.5</v>
      </c>
      <c r="O33" s="44">
        <v>16.5</v>
      </c>
      <c r="P33" s="44">
        <v>9.0</v>
      </c>
      <c r="Q33" s="44">
        <v>7.5</v>
      </c>
      <c r="R33" s="44">
        <v>5.5</v>
      </c>
      <c r="S33" s="44">
        <v>649.0</v>
      </c>
      <c r="T33" s="44">
        <v>16.5</v>
      </c>
      <c r="U33" s="44">
        <v>649.0</v>
      </c>
      <c r="V33" s="46" t="str">
        <f>IFERROR(VLOOKUP(B33,Products!$A$2:$W$1000,16,0),"")</f>
        <v/>
      </c>
      <c r="W33" s="46" t="str">
        <f t="shared" si="1"/>
        <v>-</v>
      </c>
      <c r="X33" s="44" t="s">
        <v>738</v>
      </c>
    </row>
    <row r="34">
      <c r="A34" s="44" t="s">
        <v>308</v>
      </c>
      <c r="B34" s="44">
        <v>6.927749871187E12</v>
      </c>
      <c r="C34" s="45"/>
      <c r="D34" s="45"/>
      <c r="E34" s="44" t="s">
        <v>760</v>
      </c>
      <c r="F34" s="44" t="s">
        <v>131</v>
      </c>
      <c r="G34" s="44" t="s">
        <v>303</v>
      </c>
      <c r="H34" s="44">
        <v>92.0</v>
      </c>
      <c r="I34" s="44">
        <v>333.07</v>
      </c>
      <c r="J34" s="44">
        <v>333.06</v>
      </c>
      <c r="K34" s="44">
        <v>309.9</v>
      </c>
      <c r="L34" s="44">
        <v>309.89</v>
      </c>
      <c r="M34" s="44">
        <v>281.81</v>
      </c>
      <c r="N34" s="44">
        <v>281.8</v>
      </c>
      <c r="O34" s="44">
        <v>12.5</v>
      </c>
      <c r="P34" s="44">
        <v>8.3</v>
      </c>
      <c r="Q34" s="44">
        <v>6.0</v>
      </c>
      <c r="R34" s="44">
        <v>3.0</v>
      </c>
      <c r="S34" s="44">
        <v>425.0</v>
      </c>
      <c r="T34" s="44">
        <v>12.5</v>
      </c>
      <c r="U34" s="44">
        <v>425.0</v>
      </c>
      <c r="V34" s="46">
        <f>IFERROR(VLOOKUP(B34,Products!$A$2:$W$1000,16,0),"")</f>
        <v>324.9</v>
      </c>
      <c r="W34" s="46">
        <f t="shared" si="1"/>
        <v>8.3</v>
      </c>
      <c r="X34" s="44" t="s">
        <v>738</v>
      </c>
    </row>
    <row r="35">
      <c r="A35" s="44" t="s">
        <v>93</v>
      </c>
      <c r="B35" s="44">
        <v>8.010276042149E12</v>
      </c>
      <c r="C35" s="45"/>
      <c r="D35" s="45"/>
      <c r="E35" s="44" t="s">
        <v>761</v>
      </c>
      <c r="F35" s="44" t="s">
        <v>72</v>
      </c>
      <c r="G35" s="44" t="s">
        <v>91</v>
      </c>
      <c r="H35" s="44">
        <v>15.0</v>
      </c>
      <c r="I35" s="44">
        <v>3716.34</v>
      </c>
      <c r="J35" s="44">
        <v>3716.33</v>
      </c>
      <c r="K35" s="44">
        <v>3612.59</v>
      </c>
      <c r="L35" s="44">
        <v>3612.58</v>
      </c>
      <c r="M35" s="44">
        <v>3529.51</v>
      </c>
      <c r="N35" s="44">
        <v>3529.5</v>
      </c>
      <c r="O35" s="44">
        <v>16.5</v>
      </c>
      <c r="P35" s="44">
        <v>15.5</v>
      </c>
      <c r="Q35" s="44">
        <v>14.5</v>
      </c>
      <c r="R35" s="44">
        <v>13.7</v>
      </c>
      <c r="S35" s="44">
        <v>3900.0</v>
      </c>
      <c r="T35" s="44">
        <v>16.5</v>
      </c>
      <c r="U35" s="44">
        <v>3900.0</v>
      </c>
      <c r="V35" s="46">
        <f>IFERROR(VLOOKUP(B35,Products!$A$2:$W$1000,16,0),"")</f>
        <v>3872</v>
      </c>
      <c r="W35" s="46">
        <f t="shared" si="1"/>
        <v>16.5</v>
      </c>
      <c r="X35" s="44" t="s">
        <v>738</v>
      </c>
    </row>
    <row r="36">
      <c r="A36" s="44" t="s">
        <v>465</v>
      </c>
      <c r="B36" s="44">
        <v>4.53481343543E11</v>
      </c>
      <c r="C36" s="45"/>
      <c r="D36" s="45"/>
      <c r="E36" s="44" t="s">
        <v>762</v>
      </c>
      <c r="F36" s="44" t="s">
        <v>72</v>
      </c>
      <c r="G36" s="44" t="s">
        <v>464</v>
      </c>
      <c r="H36" s="44">
        <v>2.0</v>
      </c>
      <c r="I36" s="44">
        <v>1592.0</v>
      </c>
      <c r="J36" s="44">
        <v>1591.99</v>
      </c>
      <c r="K36" s="44">
        <v>1521.61</v>
      </c>
      <c r="L36" s="44">
        <v>1521.6</v>
      </c>
      <c r="M36" s="44">
        <v>1431.57</v>
      </c>
      <c r="N36" s="44">
        <v>1431.56</v>
      </c>
      <c r="O36" s="44">
        <v>16.5</v>
      </c>
      <c r="P36" s="44">
        <v>15.7</v>
      </c>
      <c r="Q36" s="44">
        <v>14.6</v>
      </c>
      <c r="R36" s="44">
        <v>13.0</v>
      </c>
      <c r="S36" s="44">
        <v>1999.0</v>
      </c>
      <c r="T36" s="44">
        <v>16.5</v>
      </c>
      <c r="U36" s="44">
        <v>1999.0</v>
      </c>
      <c r="V36" s="46">
        <f>IFERROR(VLOOKUP(B36,Products!$A$2:$W$1000,16,0),"")</f>
        <v>1700</v>
      </c>
      <c r="W36" s="46">
        <f t="shared" si="1"/>
        <v>16.5</v>
      </c>
      <c r="X36" s="44" t="s">
        <v>738</v>
      </c>
    </row>
    <row r="37">
      <c r="A37" s="44" t="s">
        <v>441</v>
      </c>
      <c r="B37" s="44" t="s">
        <v>440</v>
      </c>
      <c r="C37" s="45"/>
      <c r="D37" s="45"/>
      <c r="E37" s="44" t="s">
        <v>763</v>
      </c>
      <c r="F37" s="44" t="s">
        <v>52</v>
      </c>
      <c r="G37" s="44" t="s">
        <v>137</v>
      </c>
      <c r="H37" s="44">
        <v>448.0</v>
      </c>
      <c r="I37" s="44">
        <v>1004.51</v>
      </c>
      <c r="J37" s="44">
        <v>1004.5</v>
      </c>
      <c r="K37" s="44">
        <v>928.1</v>
      </c>
      <c r="L37" s="44">
        <v>928.09</v>
      </c>
      <c r="M37" s="44">
        <v>835.47</v>
      </c>
      <c r="N37" s="44">
        <v>835.46</v>
      </c>
      <c r="O37" s="44">
        <v>13.5</v>
      </c>
      <c r="P37" s="44">
        <v>5.6</v>
      </c>
      <c r="Q37" s="44">
        <v>2.7</v>
      </c>
      <c r="R37" s="44">
        <v>2.7</v>
      </c>
      <c r="S37" s="44">
        <v>1103.0</v>
      </c>
      <c r="T37" s="44">
        <v>13.5</v>
      </c>
      <c r="U37" s="44">
        <v>1103.0</v>
      </c>
      <c r="V37" s="46">
        <f>IFERROR(VLOOKUP(B37,Products!$A$2:$W$1000,16,0),"")</f>
        <v>929.36</v>
      </c>
      <c r="W37" s="46">
        <f t="shared" si="1"/>
        <v>5.6</v>
      </c>
      <c r="X37" s="44" t="s">
        <v>738</v>
      </c>
    </row>
    <row r="38">
      <c r="A38" s="44" t="s">
        <v>654</v>
      </c>
      <c r="B38" s="44">
        <v>9.003579311295E12</v>
      </c>
      <c r="C38" s="45"/>
      <c r="D38" s="45"/>
      <c r="E38" s="44" t="s">
        <v>764</v>
      </c>
      <c r="F38" s="44" t="s">
        <v>52</v>
      </c>
      <c r="G38" s="44" t="s">
        <v>53</v>
      </c>
      <c r="H38" s="44">
        <v>24.0</v>
      </c>
      <c r="I38" s="44">
        <v>538.17</v>
      </c>
      <c r="J38" s="44">
        <v>538.16</v>
      </c>
      <c r="K38" s="44">
        <v>487.52</v>
      </c>
      <c r="L38" s="44">
        <v>487.51</v>
      </c>
      <c r="M38" s="44">
        <v>425.84</v>
      </c>
      <c r="N38" s="44">
        <v>425.83</v>
      </c>
      <c r="O38" s="44">
        <v>12.5</v>
      </c>
      <c r="P38" s="44">
        <v>6.9</v>
      </c>
      <c r="Q38" s="44">
        <v>3.1</v>
      </c>
      <c r="R38" s="44">
        <v>3.0</v>
      </c>
      <c r="S38" s="44">
        <v>750.0</v>
      </c>
      <c r="T38" s="44">
        <v>12.5</v>
      </c>
      <c r="U38" s="44">
        <v>750.0</v>
      </c>
      <c r="V38" s="46">
        <f>IFERROR(VLOOKUP(B38,Products!$A$2:$W$1000,16,0),"")</f>
        <v>600</v>
      </c>
      <c r="W38" s="46">
        <f t="shared" si="1"/>
        <v>12.5</v>
      </c>
      <c r="X38" s="44" t="s">
        <v>738</v>
      </c>
    </row>
    <row r="39">
      <c r="A39" s="44" t="s">
        <v>428</v>
      </c>
      <c r="B39" s="44" t="s">
        <v>427</v>
      </c>
      <c r="C39" s="45"/>
      <c r="D39" s="45"/>
      <c r="E39" s="44" t="s">
        <v>765</v>
      </c>
      <c r="F39" s="44" t="s">
        <v>72</v>
      </c>
      <c r="G39" s="44" t="s">
        <v>50</v>
      </c>
      <c r="H39" s="44">
        <v>2.0</v>
      </c>
      <c r="I39" s="44">
        <v>1899.44</v>
      </c>
      <c r="J39" s="44">
        <v>1899.43</v>
      </c>
      <c r="K39" s="44">
        <v>1785.85</v>
      </c>
      <c r="L39" s="44">
        <v>1785.84</v>
      </c>
      <c r="M39" s="44">
        <v>1648.18</v>
      </c>
      <c r="N39" s="44">
        <v>1648.17</v>
      </c>
      <c r="O39" s="44">
        <v>12.5</v>
      </c>
      <c r="P39" s="44">
        <v>8.6</v>
      </c>
      <c r="Q39" s="44">
        <v>6.6</v>
      </c>
      <c r="R39" s="44">
        <v>3.8</v>
      </c>
      <c r="S39" s="44">
        <v>2799.0</v>
      </c>
      <c r="T39" s="44">
        <v>12.5</v>
      </c>
      <c r="U39" s="44">
        <v>2799.0</v>
      </c>
      <c r="V39" s="46">
        <f>IFERROR(VLOOKUP(B39,Products!$A$2:$W$1000,16,0),"")</f>
        <v>1750</v>
      </c>
      <c r="W39" s="46">
        <f t="shared" si="1"/>
        <v>6.6</v>
      </c>
      <c r="X39" s="44" t="s">
        <v>738</v>
      </c>
    </row>
    <row r="40">
      <c r="A40" s="44" t="s">
        <v>62</v>
      </c>
      <c r="B40" s="44">
        <v>7.613035123809E12</v>
      </c>
      <c r="C40" s="45"/>
      <c r="D40" s="45"/>
      <c r="E40" s="44">
        <v>7.613035123809E12</v>
      </c>
      <c r="F40" s="44" t="s">
        <v>59</v>
      </c>
      <c r="G40" s="44" t="s">
        <v>50</v>
      </c>
      <c r="H40" s="44">
        <v>0.0</v>
      </c>
      <c r="I40" s="44">
        <v>842.34</v>
      </c>
      <c r="J40" s="44">
        <v>842.33</v>
      </c>
      <c r="K40" s="44">
        <v>762.04</v>
      </c>
      <c r="L40" s="44">
        <v>762.03</v>
      </c>
      <c r="M40" s="44">
        <v>664.08</v>
      </c>
      <c r="N40" s="44">
        <v>664.07</v>
      </c>
      <c r="O40" s="44">
        <v>12.5</v>
      </c>
      <c r="P40" s="44">
        <v>7.6</v>
      </c>
      <c r="Q40" s="44">
        <v>4.2</v>
      </c>
      <c r="R40" s="44">
        <v>3.0</v>
      </c>
      <c r="S40" s="44">
        <v>1200.0</v>
      </c>
      <c r="T40" s="44">
        <v>12.5</v>
      </c>
      <c r="U40" s="44">
        <v>1200.0</v>
      </c>
      <c r="V40" s="46" t="str">
        <f>IFERROR(VLOOKUP(B40,Products!$A$2:$W$1000,16,0),"")</f>
        <v/>
      </c>
      <c r="W40" s="46" t="str">
        <f t="shared" si="1"/>
        <v>-</v>
      </c>
      <c r="X40" s="44" t="s">
        <v>738</v>
      </c>
    </row>
    <row r="41">
      <c r="A41" s="44" t="s">
        <v>169</v>
      </c>
      <c r="B41" s="44">
        <v>8.681299601301E12</v>
      </c>
      <c r="C41" s="45"/>
      <c r="D41" s="45"/>
      <c r="E41" s="44" t="s">
        <v>766</v>
      </c>
      <c r="F41" s="44" t="s">
        <v>72</v>
      </c>
      <c r="G41" s="44" t="s">
        <v>153</v>
      </c>
      <c r="H41" s="44">
        <v>0.0</v>
      </c>
      <c r="I41" s="44">
        <v>483.51</v>
      </c>
      <c r="J41" s="44">
        <v>483.5</v>
      </c>
      <c r="K41" s="44">
        <v>460.17</v>
      </c>
      <c r="L41" s="44">
        <v>460.16</v>
      </c>
      <c r="M41" s="44">
        <v>431.87</v>
      </c>
      <c r="N41" s="44">
        <v>431.86</v>
      </c>
      <c r="O41" s="44">
        <v>16.5</v>
      </c>
      <c r="P41" s="44">
        <v>8.9</v>
      </c>
      <c r="Q41" s="44">
        <v>7.3</v>
      </c>
      <c r="R41" s="44">
        <v>5.2</v>
      </c>
      <c r="S41" s="44">
        <v>599.0</v>
      </c>
      <c r="T41" s="44">
        <v>16.5</v>
      </c>
      <c r="U41" s="44">
        <v>599.0</v>
      </c>
      <c r="V41" s="46" t="str">
        <f>IFERROR(VLOOKUP(B41,Products!$A$2:$W$1000,16,0),"")</f>
        <v/>
      </c>
      <c r="W41" s="46" t="str">
        <f t="shared" si="1"/>
        <v>-</v>
      </c>
      <c r="X41" s="44" t="s">
        <v>738</v>
      </c>
    </row>
    <row r="42">
      <c r="A42" s="44" t="s">
        <v>381</v>
      </c>
      <c r="B42" s="44">
        <v>9.003579008249E12</v>
      </c>
      <c r="C42" s="45"/>
      <c r="D42" s="45"/>
      <c r="E42" s="44">
        <v>9.003579008249E12</v>
      </c>
      <c r="F42" s="44" t="s">
        <v>279</v>
      </c>
      <c r="G42" s="44" t="s">
        <v>53</v>
      </c>
      <c r="H42" s="44">
        <v>10.0</v>
      </c>
      <c r="I42" s="44">
        <v>530.21</v>
      </c>
      <c r="J42" s="44">
        <v>530.2</v>
      </c>
      <c r="K42" s="44">
        <v>491.02</v>
      </c>
      <c r="L42" s="44">
        <v>491.01</v>
      </c>
      <c r="M42" s="44">
        <v>443.77</v>
      </c>
      <c r="N42" s="44">
        <v>443.76</v>
      </c>
      <c r="O42" s="44">
        <v>12.5</v>
      </c>
      <c r="P42" s="44">
        <v>10.9</v>
      </c>
      <c r="Q42" s="44">
        <v>8.6</v>
      </c>
      <c r="R42" s="44">
        <v>5.3</v>
      </c>
      <c r="S42" s="44">
        <v>663.0</v>
      </c>
      <c r="T42" s="44">
        <v>12.5</v>
      </c>
      <c r="U42" s="44">
        <v>663.0</v>
      </c>
      <c r="V42" s="46">
        <f>IFERROR(VLOOKUP(B42,Products!$A$2:$W$1000,16,0),"")</f>
        <v>505</v>
      </c>
      <c r="W42" s="46">
        <f t="shared" si="1"/>
        <v>10.9</v>
      </c>
      <c r="X42" s="44" t="s">
        <v>738</v>
      </c>
    </row>
    <row r="43">
      <c r="A43" s="44" t="s">
        <v>355</v>
      </c>
      <c r="B43" s="44">
        <v>7.613036505277E12</v>
      </c>
      <c r="C43" s="45"/>
      <c r="D43" s="45"/>
      <c r="E43" s="44">
        <v>7.613036505277E12</v>
      </c>
      <c r="F43" s="44" t="s">
        <v>72</v>
      </c>
      <c r="G43" s="44" t="s">
        <v>50</v>
      </c>
      <c r="H43" s="44">
        <v>2.0</v>
      </c>
      <c r="I43" s="44">
        <v>1180.44</v>
      </c>
      <c r="J43" s="44">
        <v>1180.43</v>
      </c>
      <c r="K43" s="44">
        <v>1111.33</v>
      </c>
      <c r="L43" s="44">
        <v>1111.32</v>
      </c>
      <c r="M43" s="44">
        <v>1027.97</v>
      </c>
      <c r="N43" s="44">
        <v>1027.96</v>
      </c>
      <c r="O43" s="44">
        <v>12.5</v>
      </c>
      <c r="P43" s="44">
        <v>8.6</v>
      </c>
      <c r="Q43" s="44">
        <v>6.7</v>
      </c>
      <c r="R43" s="44">
        <v>4.0</v>
      </c>
      <c r="S43" s="44">
        <v>1535.0</v>
      </c>
      <c r="T43" s="44">
        <v>12.5</v>
      </c>
      <c r="U43" s="44">
        <v>1535.0</v>
      </c>
      <c r="V43" s="46">
        <f>IFERROR(VLOOKUP(B43,Products!$A$2:$W$1000,16,0),"")</f>
        <v>1243</v>
      </c>
      <c r="W43" s="46">
        <f t="shared" si="1"/>
        <v>12.5</v>
      </c>
      <c r="X43" s="44" t="s">
        <v>738</v>
      </c>
    </row>
    <row r="44">
      <c r="A44" s="44" t="s">
        <v>262</v>
      </c>
      <c r="B44" s="44" t="s">
        <v>261</v>
      </c>
      <c r="C44" s="45"/>
      <c r="D44" s="45"/>
      <c r="E44" s="44" t="s">
        <v>767</v>
      </c>
      <c r="F44" s="44" t="s">
        <v>52</v>
      </c>
      <c r="G44" s="44" t="s">
        <v>137</v>
      </c>
      <c r="H44" s="44">
        <v>2.0</v>
      </c>
      <c r="I44" s="44">
        <v>560.87</v>
      </c>
      <c r="J44" s="44">
        <v>560.86</v>
      </c>
      <c r="K44" s="44">
        <v>525.95</v>
      </c>
      <c r="L44" s="44">
        <v>525.94</v>
      </c>
      <c r="M44" s="44">
        <v>483.54</v>
      </c>
      <c r="N44" s="44">
        <v>483.53</v>
      </c>
      <c r="O44" s="44">
        <v>13.5</v>
      </c>
      <c r="P44" s="44">
        <v>8.5</v>
      </c>
      <c r="Q44" s="44">
        <v>6.4</v>
      </c>
      <c r="R44" s="44">
        <v>3.5</v>
      </c>
      <c r="S44" s="44">
        <v>699.0</v>
      </c>
      <c r="T44" s="44">
        <v>13.5</v>
      </c>
      <c r="U44" s="44">
        <v>699.0</v>
      </c>
      <c r="V44" s="46">
        <f>IFERROR(VLOOKUP(B44,Products!$A$2:$W$1000,16,0),"")</f>
        <v>597.9</v>
      </c>
      <c r="W44" s="46">
        <f t="shared" si="1"/>
        <v>13.5</v>
      </c>
      <c r="X44" s="44" t="s">
        <v>738</v>
      </c>
    </row>
    <row r="45">
      <c r="A45" s="44" t="s">
        <v>65</v>
      </c>
      <c r="B45" s="44">
        <v>7.613035119024E12</v>
      </c>
      <c r="C45" s="45"/>
      <c r="D45" s="45"/>
      <c r="E45" s="44" t="s">
        <v>768</v>
      </c>
      <c r="F45" s="44" t="s">
        <v>59</v>
      </c>
      <c r="G45" s="44" t="s">
        <v>50</v>
      </c>
      <c r="H45" s="44">
        <v>0.0</v>
      </c>
      <c r="I45" s="44">
        <v>3632.39</v>
      </c>
      <c r="J45" s="44">
        <v>3632.38</v>
      </c>
      <c r="K45" s="44">
        <v>3515.38</v>
      </c>
      <c r="L45" s="44">
        <v>3515.37</v>
      </c>
      <c r="M45" s="44">
        <v>3352.98</v>
      </c>
      <c r="N45" s="44">
        <v>3352.97</v>
      </c>
      <c r="O45" s="44">
        <v>12.5</v>
      </c>
      <c r="P45" s="44">
        <v>9.2</v>
      </c>
      <c r="Q45" s="44">
        <v>8.2</v>
      </c>
      <c r="R45" s="44">
        <v>6.6</v>
      </c>
      <c r="S45" s="44">
        <v>4200.0</v>
      </c>
      <c r="T45" s="44">
        <v>12.5</v>
      </c>
      <c r="U45" s="44">
        <v>4200.0</v>
      </c>
      <c r="V45" s="46" t="str">
        <f>IFERROR(VLOOKUP(B45,Products!$A$2:$W$1000,16,0),"")</f>
        <v/>
      </c>
      <c r="W45" s="46" t="str">
        <f t="shared" si="1"/>
        <v>-</v>
      </c>
      <c r="X45" s="44" t="s">
        <v>738</v>
      </c>
    </row>
    <row r="46">
      <c r="A46" s="44" t="s">
        <v>416</v>
      </c>
      <c r="B46" s="44" t="s">
        <v>415</v>
      </c>
      <c r="C46" s="45"/>
      <c r="D46" s="45"/>
      <c r="E46" s="44" t="s">
        <v>769</v>
      </c>
      <c r="F46" s="44" t="s">
        <v>52</v>
      </c>
      <c r="G46" s="44" t="s">
        <v>137</v>
      </c>
      <c r="H46" s="44">
        <v>17.0</v>
      </c>
      <c r="I46" s="44">
        <v>265.3</v>
      </c>
      <c r="J46" s="44">
        <v>265.29</v>
      </c>
      <c r="K46" s="44">
        <v>241.48</v>
      </c>
      <c r="L46" s="44">
        <v>241.47</v>
      </c>
      <c r="M46" s="44">
        <v>212.68</v>
      </c>
      <c r="N46" s="44">
        <v>212.67</v>
      </c>
      <c r="O46" s="44">
        <v>13.5</v>
      </c>
      <c r="P46" s="44">
        <v>5.8</v>
      </c>
      <c r="Q46" s="44">
        <v>2.7</v>
      </c>
      <c r="R46" s="44">
        <v>2.7</v>
      </c>
      <c r="S46" s="44">
        <v>349.0</v>
      </c>
      <c r="T46" s="44">
        <v>13.5</v>
      </c>
      <c r="U46" s="44">
        <v>349.0</v>
      </c>
      <c r="V46" s="46">
        <f>IFERROR(VLOOKUP(B46,Products!$A$2:$W$1000,16,0),"")</f>
        <v>310.9</v>
      </c>
      <c r="W46" s="46">
        <f t="shared" si="1"/>
        <v>13.5</v>
      </c>
      <c r="X46" s="44" t="s">
        <v>738</v>
      </c>
    </row>
    <row r="47">
      <c r="A47" s="44" t="s">
        <v>266</v>
      </c>
      <c r="B47" s="44">
        <v>7.613036505178E12</v>
      </c>
      <c r="C47" s="45"/>
      <c r="D47" s="45"/>
      <c r="E47" s="44">
        <v>7.613036505178E12</v>
      </c>
      <c r="F47" s="44" t="s">
        <v>72</v>
      </c>
      <c r="G47" s="44" t="s">
        <v>50</v>
      </c>
      <c r="H47" s="44">
        <v>28.0</v>
      </c>
      <c r="I47" s="44">
        <v>672.18</v>
      </c>
      <c r="J47" s="44">
        <v>672.17</v>
      </c>
      <c r="K47" s="44">
        <v>617.51</v>
      </c>
      <c r="L47" s="44">
        <v>617.5</v>
      </c>
      <c r="M47" s="44">
        <v>551.04</v>
      </c>
      <c r="N47" s="44">
        <v>551.03</v>
      </c>
      <c r="O47" s="44">
        <v>12.5</v>
      </c>
      <c r="P47" s="44">
        <v>8.0</v>
      </c>
      <c r="Q47" s="44">
        <v>5.2</v>
      </c>
      <c r="R47" s="44">
        <v>3.0</v>
      </c>
      <c r="S47" s="44">
        <v>815.0</v>
      </c>
      <c r="T47" s="44">
        <v>12.5</v>
      </c>
      <c r="U47" s="44">
        <v>815.0</v>
      </c>
      <c r="V47" s="46">
        <f>IFERROR(VLOOKUP(B47,Products!$A$2:$W$1000,16,0),"")</f>
        <v>665</v>
      </c>
      <c r="W47" s="46">
        <f t="shared" si="1"/>
        <v>8</v>
      </c>
      <c r="X47" s="44" t="s">
        <v>738</v>
      </c>
    </row>
    <row r="48">
      <c r="A48" s="44" t="s">
        <v>424</v>
      </c>
      <c r="B48" s="44">
        <v>7.613031384494E12</v>
      </c>
      <c r="C48" s="45"/>
      <c r="D48" s="45"/>
      <c r="E48" s="44">
        <v>7.613031384494E12</v>
      </c>
      <c r="F48" s="44" t="s">
        <v>52</v>
      </c>
      <c r="G48" s="44" t="s">
        <v>187</v>
      </c>
      <c r="H48" s="44">
        <v>19.0</v>
      </c>
      <c r="I48" s="44">
        <v>799.25</v>
      </c>
      <c r="J48" s="44">
        <v>799.24</v>
      </c>
      <c r="K48" s="44">
        <v>724.42</v>
      </c>
      <c r="L48" s="44">
        <v>724.41</v>
      </c>
      <c r="M48" s="44">
        <v>633.44</v>
      </c>
      <c r="N48" s="44">
        <v>633.43</v>
      </c>
      <c r="O48" s="44">
        <v>13.5</v>
      </c>
      <c r="P48" s="44">
        <v>5.7</v>
      </c>
      <c r="Q48" s="44">
        <v>2.7</v>
      </c>
      <c r="R48" s="44">
        <v>2.7</v>
      </c>
      <c r="S48" s="44">
        <v>948.0</v>
      </c>
      <c r="T48" s="44">
        <v>13.5</v>
      </c>
      <c r="U48" s="44">
        <v>948.0</v>
      </c>
      <c r="V48" s="46">
        <f>IFERROR(VLOOKUP(B48,Products!$A$2:$W$1000,16,0),"")</f>
        <v>799</v>
      </c>
      <c r="W48" s="46">
        <f t="shared" si="1"/>
        <v>5.7</v>
      </c>
      <c r="X48" s="44" t="s">
        <v>738</v>
      </c>
    </row>
    <row r="49">
      <c r="A49" s="44" t="s">
        <v>264</v>
      </c>
      <c r="B49" s="44" t="s">
        <v>263</v>
      </c>
      <c r="C49" s="45"/>
      <c r="D49" s="45"/>
      <c r="E49" s="44" t="s">
        <v>770</v>
      </c>
      <c r="F49" s="44" t="s">
        <v>52</v>
      </c>
      <c r="G49" s="44" t="s">
        <v>137</v>
      </c>
      <c r="H49" s="44">
        <v>100.0</v>
      </c>
      <c r="I49" s="44">
        <v>550.22</v>
      </c>
      <c r="J49" s="44">
        <v>550.21</v>
      </c>
      <c r="K49" s="44">
        <v>522.47</v>
      </c>
      <c r="L49" s="44">
        <v>522.46</v>
      </c>
      <c r="M49" s="44">
        <v>488.87</v>
      </c>
      <c r="N49" s="44">
        <v>488.86</v>
      </c>
      <c r="O49" s="44">
        <v>13.5</v>
      </c>
      <c r="P49" s="44">
        <v>6.9</v>
      </c>
      <c r="Q49" s="44">
        <v>5.1</v>
      </c>
      <c r="R49" s="44">
        <v>2.7</v>
      </c>
      <c r="S49" s="44">
        <v>699.0</v>
      </c>
      <c r="T49" s="44">
        <v>13.5</v>
      </c>
      <c r="U49" s="44">
        <v>699.0</v>
      </c>
      <c r="V49" s="46">
        <f>IFERROR(VLOOKUP(B49,Products!$A$2:$W$1000,16,0),"")</f>
        <v>680</v>
      </c>
      <c r="W49" s="46">
        <f t="shared" si="1"/>
        <v>13.5</v>
      </c>
      <c r="X49" s="44" t="s">
        <v>738</v>
      </c>
    </row>
    <row r="50">
      <c r="A50" s="44" t="s">
        <v>592</v>
      </c>
      <c r="B50" s="44" t="s">
        <v>590</v>
      </c>
      <c r="C50" s="45"/>
      <c r="D50" s="45"/>
      <c r="E50" s="44" t="s">
        <v>771</v>
      </c>
      <c r="F50" s="44" t="s">
        <v>593</v>
      </c>
      <c r="G50" s="44" t="s">
        <v>591</v>
      </c>
      <c r="H50" s="44">
        <v>0.0</v>
      </c>
      <c r="I50" s="44">
        <v>122.91</v>
      </c>
      <c r="J50" s="44">
        <v>122.9</v>
      </c>
      <c r="K50" s="44">
        <v>110.15</v>
      </c>
      <c r="L50" s="44">
        <v>110.14</v>
      </c>
      <c r="M50" s="44">
        <v>94.38</v>
      </c>
      <c r="N50" s="44">
        <v>94.37</v>
      </c>
      <c r="O50" s="44">
        <v>15.0</v>
      </c>
      <c r="P50" s="44">
        <v>10.7</v>
      </c>
      <c r="Q50" s="44">
        <v>7.3</v>
      </c>
      <c r="R50" s="44">
        <v>3.9</v>
      </c>
      <c r="S50" s="44">
        <v>99.0</v>
      </c>
      <c r="T50" s="44">
        <v>7.3</v>
      </c>
      <c r="U50" s="44">
        <v>99.0</v>
      </c>
      <c r="V50" s="46" t="str">
        <f>IFERROR(VLOOKUP(B50,Products!$A$2:$W$1000,16,0),"")</f>
        <v/>
      </c>
      <c r="W50" s="46" t="str">
        <f t="shared" si="1"/>
        <v>-</v>
      </c>
      <c r="X50" s="44" t="s">
        <v>738</v>
      </c>
    </row>
    <row r="51">
      <c r="A51" s="44" t="s">
        <v>130</v>
      </c>
      <c r="B51" s="44">
        <v>8.681002994201E12</v>
      </c>
      <c r="C51" s="45"/>
      <c r="D51" s="45"/>
      <c r="E51" s="44">
        <v>8.681002994201E12</v>
      </c>
      <c r="F51" s="44" t="s">
        <v>131</v>
      </c>
      <c r="G51" s="44" t="s">
        <v>129</v>
      </c>
      <c r="H51" s="44">
        <v>100.0</v>
      </c>
      <c r="I51" s="44">
        <v>402.13</v>
      </c>
      <c r="J51" s="44">
        <v>402.12</v>
      </c>
      <c r="K51" s="44">
        <v>366.34</v>
      </c>
      <c r="L51" s="44">
        <v>366.33</v>
      </c>
      <c r="M51" s="44">
        <v>323.05</v>
      </c>
      <c r="N51" s="44">
        <v>323.04</v>
      </c>
      <c r="O51" s="44">
        <v>20.0</v>
      </c>
      <c r="P51" s="44">
        <v>7.8</v>
      </c>
      <c r="Q51" s="44">
        <v>4.7</v>
      </c>
      <c r="R51" s="44">
        <v>3.0</v>
      </c>
      <c r="S51" s="44">
        <v>750.0</v>
      </c>
      <c r="T51" s="44">
        <v>20.0</v>
      </c>
      <c r="U51" s="44">
        <v>750.0</v>
      </c>
      <c r="V51" s="46">
        <f>IFERROR(VLOOKUP(B51,Products!$A$2:$W$1000,16,0),"")</f>
        <v>414.5</v>
      </c>
      <c r="W51" s="46">
        <f t="shared" si="1"/>
        <v>20</v>
      </c>
      <c r="X51" s="44" t="s">
        <v>738</v>
      </c>
    </row>
    <row r="52">
      <c r="A52" s="44" t="s">
        <v>222</v>
      </c>
      <c r="B52" s="44">
        <v>7.613038508528E12</v>
      </c>
      <c r="C52" s="45"/>
      <c r="D52" s="45"/>
      <c r="E52" s="44">
        <v>1.2430955E7</v>
      </c>
      <c r="F52" s="44" t="s">
        <v>72</v>
      </c>
      <c r="G52" s="44" t="s">
        <v>178</v>
      </c>
      <c r="H52" s="44">
        <v>0.0</v>
      </c>
      <c r="I52" s="44">
        <v>4081.26</v>
      </c>
      <c r="J52" s="44">
        <v>4081.25</v>
      </c>
      <c r="K52" s="44">
        <v>3947.46</v>
      </c>
      <c r="L52" s="44">
        <v>3947.45</v>
      </c>
      <c r="M52" s="44">
        <v>3761.61</v>
      </c>
      <c r="N52" s="44">
        <v>3761.6</v>
      </c>
      <c r="O52" s="44">
        <v>16.5</v>
      </c>
      <c r="P52" s="44">
        <v>15.3</v>
      </c>
      <c r="Q52" s="44">
        <v>14.5</v>
      </c>
      <c r="R52" s="44">
        <v>13.2</v>
      </c>
      <c r="S52" s="44">
        <v>4399.0</v>
      </c>
      <c r="T52" s="44">
        <v>16.5</v>
      </c>
      <c r="U52" s="44">
        <v>4399.0</v>
      </c>
      <c r="V52" s="46" t="str">
        <f>IFERROR(VLOOKUP(B52,Products!$A$2:$W$1000,16,0),"")</f>
        <v/>
      </c>
      <c r="W52" s="46" t="str">
        <f t="shared" si="1"/>
        <v>-</v>
      </c>
      <c r="X52" s="44" t="s">
        <v>738</v>
      </c>
    </row>
    <row r="53">
      <c r="A53" s="44" t="s">
        <v>483</v>
      </c>
      <c r="B53" s="44">
        <v>8.010276040046E12</v>
      </c>
      <c r="C53" s="45"/>
      <c r="D53" s="45"/>
      <c r="E53" s="44">
        <v>8.010276040046E12</v>
      </c>
      <c r="F53" s="44" t="s">
        <v>72</v>
      </c>
      <c r="G53" s="44" t="s">
        <v>91</v>
      </c>
      <c r="H53" s="44">
        <v>29.0</v>
      </c>
      <c r="I53" s="44">
        <v>4592.71</v>
      </c>
      <c r="J53" s="44">
        <v>4592.7</v>
      </c>
      <c r="K53" s="44">
        <v>4474.76</v>
      </c>
      <c r="L53" s="44">
        <v>4474.75</v>
      </c>
      <c r="M53" s="44">
        <v>4333.49</v>
      </c>
      <c r="N53" s="44">
        <v>4333.48</v>
      </c>
      <c r="O53" s="44">
        <v>16.5</v>
      </c>
      <c r="P53" s="44">
        <v>15.5</v>
      </c>
      <c r="Q53" s="44">
        <v>14.9</v>
      </c>
      <c r="R53" s="44">
        <v>14.1</v>
      </c>
      <c r="S53" s="44">
        <v>4848.0</v>
      </c>
      <c r="T53" s="44">
        <v>16.5</v>
      </c>
      <c r="U53" s="44">
        <v>4848.0</v>
      </c>
      <c r="V53" s="46">
        <f>IFERROR(VLOOKUP(B53,Products!$A$2:$W$1000,16,0),"")</f>
        <v>4841</v>
      </c>
      <c r="W53" s="46">
        <f t="shared" si="1"/>
        <v>16.5</v>
      </c>
      <c r="X53" s="44" t="s">
        <v>738</v>
      </c>
    </row>
    <row r="54">
      <c r="A54" s="44" t="s">
        <v>414</v>
      </c>
      <c r="B54" s="44" t="s">
        <v>413</v>
      </c>
      <c r="C54" s="45"/>
      <c r="D54" s="45"/>
      <c r="E54" s="44" t="s">
        <v>772</v>
      </c>
      <c r="F54" s="44" t="s">
        <v>52</v>
      </c>
      <c r="G54" s="44" t="s">
        <v>137</v>
      </c>
      <c r="H54" s="44">
        <v>469.0</v>
      </c>
      <c r="I54" s="44">
        <v>1949.03</v>
      </c>
      <c r="J54" s="44">
        <v>1949.02</v>
      </c>
      <c r="K54" s="44">
        <v>1832.82</v>
      </c>
      <c r="L54" s="44">
        <v>1832.81</v>
      </c>
      <c r="M54" s="44">
        <v>1692.05</v>
      </c>
      <c r="N54" s="44">
        <v>1692.04</v>
      </c>
      <c r="O54" s="44">
        <v>13.5</v>
      </c>
      <c r="P54" s="44">
        <v>12.3</v>
      </c>
      <c r="Q54" s="44">
        <v>10.5</v>
      </c>
      <c r="R54" s="44">
        <v>8.0</v>
      </c>
      <c r="S54" s="44">
        <v>2179.0</v>
      </c>
      <c r="T54" s="44">
        <v>13.5</v>
      </c>
      <c r="U54" s="44">
        <v>2179.0</v>
      </c>
      <c r="V54" s="46">
        <f>IFERROR(VLOOKUP(B54,Products!$A$2:$W$1000,16,0),"")</f>
        <v>2179</v>
      </c>
      <c r="W54" s="46">
        <f t="shared" si="1"/>
        <v>13.5</v>
      </c>
      <c r="X54" s="44" t="s">
        <v>738</v>
      </c>
    </row>
    <row r="55">
      <c r="A55" s="44" t="s">
        <v>311</v>
      </c>
      <c r="B55" s="44" t="s">
        <v>310</v>
      </c>
      <c r="C55" s="45"/>
      <c r="D55" s="45"/>
      <c r="E55" s="44" t="s">
        <v>773</v>
      </c>
      <c r="F55" s="44" t="s">
        <v>131</v>
      </c>
      <c r="G55" s="44" t="s">
        <v>303</v>
      </c>
      <c r="H55" s="44">
        <v>98.0</v>
      </c>
      <c r="I55" s="44">
        <v>357.82</v>
      </c>
      <c r="J55" s="44">
        <v>357.81</v>
      </c>
      <c r="K55" s="44">
        <v>333.11</v>
      </c>
      <c r="L55" s="44">
        <v>333.1</v>
      </c>
      <c r="M55" s="44">
        <v>303.16</v>
      </c>
      <c r="N55" s="44">
        <v>303.15</v>
      </c>
      <c r="O55" s="44">
        <v>12.5</v>
      </c>
      <c r="P55" s="44">
        <v>11.0</v>
      </c>
      <c r="Q55" s="44">
        <v>8.8</v>
      </c>
      <c r="R55" s="44">
        <v>5.8</v>
      </c>
      <c r="S55" s="44">
        <v>490.0</v>
      </c>
      <c r="T55" s="44">
        <v>12.5</v>
      </c>
      <c r="U55" s="44">
        <v>490.0</v>
      </c>
      <c r="V55" s="46">
        <f>IFERROR(VLOOKUP(B55,Products!$A$2:$W$1000,16,0),"")</f>
        <v>333.1</v>
      </c>
      <c r="W55" s="46">
        <f t="shared" si="1"/>
        <v>8.8</v>
      </c>
      <c r="X55" s="44" t="s">
        <v>738</v>
      </c>
    </row>
    <row r="56">
      <c r="A56" s="44" t="s">
        <v>360</v>
      </c>
      <c r="B56" s="44">
        <v>7.41245638741E11</v>
      </c>
      <c r="C56" s="45"/>
      <c r="D56" s="45"/>
      <c r="E56" s="44" t="s">
        <v>774</v>
      </c>
      <c r="F56" s="44" t="s">
        <v>52</v>
      </c>
      <c r="G56" s="44" t="s">
        <v>187</v>
      </c>
      <c r="H56" s="44">
        <v>86.0</v>
      </c>
      <c r="I56" s="44">
        <v>485.03</v>
      </c>
      <c r="J56" s="44">
        <v>485.02</v>
      </c>
      <c r="K56" s="44">
        <v>462.0</v>
      </c>
      <c r="L56" s="44">
        <v>461.99</v>
      </c>
      <c r="M56" s="44">
        <v>432.35</v>
      </c>
      <c r="N56" s="44">
        <v>432.34</v>
      </c>
      <c r="O56" s="44">
        <v>13.5</v>
      </c>
      <c r="P56" s="44">
        <v>8.9</v>
      </c>
      <c r="Q56" s="44">
        <v>7.3</v>
      </c>
      <c r="R56" s="44">
        <v>5.1</v>
      </c>
      <c r="S56" s="44">
        <v>545.0</v>
      </c>
      <c r="T56" s="44">
        <v>13.5</v>
      </c>
      <c r="U56" s="44">
        <v>545.0</v>
      </c>
      <c r="V56" s="46">
        <f>IFERROR(VLOOKUP(B56,Products!$A$2:$W$1000,16,0),"")</f>
        <v>426.25</v>
      </c>
      <c r="W56" s="46">
        <f t="shared" si="1"/>
        <v>5.1</v>
      </c>
      <c r="X56" s="44" t="s">
        <v>738</v>
      </c>
    </row>
    <row r="57">
      <c r="A57" s="44" t="s">
        <v>114</v>
      </c>
      <c r="B57" s="44">
        <v>8.410650167909E12</v>
      </c>
      <c r="C57" s="45"/>
      <c r="D57" s="45"/>
      <c r="E57" s="44" t="s">
        <v>775</v>
      </c>
      <c r="F57" s="44" t="s">
        <v>72</v>
      </c>
      <c r="G57" s="44" t="s">
        <v>108</v>
      </c>
      <c r="H57" s="44">
        <v>5.0</v>
      </c>
      <c r="I57" s="44">
        <v>1694.26</v>
      </c>
      <c r="J57" s="44">
        <v>1694.25</v>
      </c>
      <c r="K57" s="44">
        <v>1627.49</v>
      </c>
      <c r="L57" s="44">
        <v>1627.48</v>
      </c>
      <c r="M57" s="44">
        <v>1540.83</v>
      </c>
      <c r="N57" s="44">
        <v>1540.82</v>
      </c>
      <c r="O57" s="44">
        <v>16.5</v>
      </c>
      <c r="P57" s="44">
        <v>15.3</v>
      </c>
      <c r="Q57" s="44">
        <v>14.2</v>
      </c>
      <c r="R57" s="44">
        <v>12.8</v>
      </c>
      <c r="S57" s="44">
        <v>1800.0</v>
      </c>
      <c r="T57" s="44">
        <v>16.5</v>
      </c>
      <c r="U57" s="44">
        <v>1800.0</v>
      </c>
      <c r="V57" s="46">
        <f>IFERROR(VLOOKUP(B57,Products!$A$2:$W$1000,16,0),"")</f>
        <v>1799</v>
      </c>
      <c r="W57" s="46">
        <f t="shared" si="1"/>
        <v>16.5</v>
      </c>
      <c r="X57" s="44" t="s">
        <v>738</v>
      </c>
    </row>
    <row r="58">
      <c r="A58" s="44" t="s">
        <v>422</v>
      </c>
      <c r="B58" s="44">
        <v>6.38929373773889E14</v>
      </c>
      <c r="C58" s="45"/>
      <c r="D58" s="45"/>
      <c r="E58" s="44">
        <v>70.0</v>
      </c>
      <c r="F58" s="44" t="s">
        <v>52</v>
      </c>
      <c r="G58" s="44" t="s">
        <v>137</v>
      </c>
      <c r="H58" s="44">
        <v>481.0</v>
      </c>
      <c r="I58" s="44">
        <v>650.03</v>
      </c>
      <c r="J58" s="44">
        <v>650.02</v>
      </c>
      <c r="K58" s="44">
        <v>604.4</v>
      </c>
      <c r="L58" s="44">
        <v>604.39</v>
      </c>
      <c r="M58" s="44">
        <v>549.1</v>
      </c>
      <c r="N58" s="44">
        <v>549.09</v>
      </c>
      <c r="O58" s="44">
        <v>13.5</v>
      </c>
      <c r="P58" s="44">
        <v>6.3</v>
      </c>
      <c r="Q58" s="44">
        <v>3.8</v>
      </c>
      <c r="R58" s="44">
        <v>2.7</v>
      </c>
      <c r="S58" s="44">
        <v>759.0</v>
      </c>
      <c r="T58" s="44">
        <v>13.5</v>
      </c>
      <c r="U58" s="44">
        <v>759.0</v>
      </c>
      <c r="V58" s="46">
        <f>IFERROR(VLOOKUP(B58,Products!$A$2:$W$1000,16,0),"")</f>
        <v>759</v>
      </c>
      <c r="W58" s="46">
        <f t="shared" si="1"/>
        <v>13.5</v>
      </c>
      <c r="X58" s="44" t="s">
        <v>738</v>
      </c>
    </row>
    <row r="59">
      <c r="A59" s="44" t="s">
        <v>437</v>
      </c>
      <c r="B59" s="44">
        <v>2.584503166745E12</v>
      </c>
      <c r="C59" s="45"/>
      <c r="D59" s="45"/>
      <c r="E59" s="44" t="s">
        <v>776</v>
      </c>
      <c r="F59" s="44" t="s">
        <v>72</v>
      </c>
      <c r="G59" s="44" t="s">
        <v>50</v>
      </c>
      <c r="H59" s="44">
        <v>97.0</v>
      </c>
      <c r="I59" s="44">
        <v>3643.72</v>
      </c>
      <c r="J59" s="44">
        <v>3643.71</v>
      </c>
      <c r="K59" s="44">
        <v>3518.63</v>
      </c>
      <c r="L59" s="44">
        <v>3518.62</v>
      </c>
      <c r="M59" s="44">
        <v>3347.65</v>
      </c>
      <c r="N59" s="44">
        <v>3347.64</v>
      </c>
      <c r="O59" s="44">
        <v>12.5</v>
      </c>
      <c r="P59" s="44">
        <v>9.1</v>
      </c>
      <c r="Q59" s="44">
        <v>8.1</v>
      </c>
      <c r="R59" s="44">
        <v>6.4</v>
      </c>
      <c r="S59" s="44">
        <v>4609.03</v>
      </c>
      <c r="T59" s="44">
        <v>12.5</v>
      </c>
      <c r="U59" s="44">
        <v>4609.03</v>
      </c>
      <c r="V59" s="46">
        <f>IFERROR(VLOOKUP(B59,Products!$A$2:$W$1000,16,0),"")</f>
        <v>4080</v>
      </c>
      <c r="W59" s="46">
        <f t="shared" si="1"/>
        <v>12.5</v>
      </c>
      <c r="X59" s="44" t="s">
        <v>738</v>
      </c>
    </row>
    <row r="60">
      <c r="A60" s="44" t="s">
        <v>471</v>
      </c>
      <c r="B60" s="44">
        <v>8.010276042125E12</v>
      </c>
      <c r="C60" s="45"/>
      <c r="D60" s="45"/>
      <c r="E60" s="44">
        <v>8.010276042125E12</v>
      </c>
      <c r="F60" s="44" t="s">
        <v>72</v>
      </c>
      <c r="G60" s="44" t="s">
        <v>91</v>
      </c>
      <c r="H60" s="44">
        <v>20.0</v>
      </c>
      <c r="I60" s="44">
        <v>957.14</v>
      </c>
      <c r="J60" s="44">
        <v>957.13</v>
      </c>
      <c r="K60" s="44">
        <v>907.19</v>
      </c>
      <c r="L60" s="44">
        <v>907.18</v>
      </c>
      <c r="M60" s="44">
        <v>846.89</v>
      </c>
      <c r="N60" s="44">
        <v>846.88</v>
      </c>
      <c r="O60" s="44">
        <v>16.5</v>
      </c>
      <c r="P60" s="44">
        <v>15.0</v>
      </c>
      <c r="Q60" s="44">
        <v>13.7</v>
      </c>
      <c r="R60" s="44">
        <v>11.8</v>
      </c>
      <c r="S60" s="44">
        <v>1041.0</v>
      </c>
      <c r="T60" s="44">
        <v>16.5</v>
      </c>
      <c r="U60" s="44">
        <v>1041.0</v>
      </c>
      <c r="V60" s="46">
        <f>IFERROR(VLOOKUP(B60,Products!$A$2:$W$1000,16,0),"")</f>
        <v>1041</v>
      </c>
      <c r="W60" s="46">
        <f t="shared" si="1"/>
        <v>16.5</v>
      </c>
      <c r="X60" s="44" t="s">
        <v>738</v>
      </c>
    </row>
    <row r="61">
      <c r="A61" s="44" t="s">
        <v>265</v>
      </c>
      <c r="B61" s="44">
        <v>8.606014106732E12</v>
      </c>
      <c r="C61" s="45"/>
      <c r="D61" s="45"/>
      <c r="E61" s="44" t="s">
        <v>777</v>
      </c>
      <c r="F61" s="44" t="s">
        <v>52</v>
      </c>
      <c r="G61" s="44" t="s">
        <v>91</v>
      </c>
      <c r="H61" s="44">
        <v>1.0</v>
      </c>
      <c r="I61" s="44">
        <v>474.51</v>
      </c>
      <c r="J61" s="44">
        <v>474.5</v>
      </c>
      <c r="K61" s="44">
        <v>441.18</v>
      </c>
      <c r="L61" s="44">
        <v>441.17</v>
      </c>
      <c r="M61" s="44">
        <v>400.81</v>
      </c>
      <c r="N61" s="44">
        <v>400.8</v>
      </c>
      <c r="O61" s="44">
        <v>16.5</v>
      </c>
      <c r="P61" s="44">
        <v>14.7</v>
      </c>
      <c r="Q61" s="44">
        <v>12.8</v>
      </c>
      <c r="R61" s="44">
        <v>10.0</v>
      </c>
      <c r="S61" s="44">
        <v>749.0</v>
      </c>
      <c r="T61" s="44">
        <v>16.5</v>
      </c>
      <c r="U61" s="44">
        <v>749.0</v>
      </c>
      <c r="V61" s="46">
        <f>IFERROR(VLOOKUP(B61,Products!$A$2:$W$1000,16,0),"")</f>
        <v>470</v>
      </c>
      <c r="W61" s="46">
        <f t="shared" si="1"/>
        <v>14.7</v>
      </c>
      <c r="X61" s="44" t="s">
        <v>738</v>
      </c>
    </row>
    <row r="62">
      <c r="A62" s="44" t="s">
        <v>107</v>
      </c>
      <c r="B62" s="44">
        <v>5.060412214117E12</v>
      </c>
      <c r="C62" s="45"/>
      <c r="D62" s="45"/>
      <c r="E62" s="44">
        <v>839002.0</v>
      </c>
      <c r="F62" s="44" t="s">
        <v>96</v>
      </c>
      <c r="G62" s="44" t="s">
        <v>94</v>
      </c>
      <c r="H62" s="44">
        <v>100.0</v>
      </c>
      <c r="I62" s="44">
        <v>1037.67</v>
      </c>
      <c r="J62" s="44">
        <v>1037.66</v>
      </c>
      <c r="K62" s="44">
        <v>961.98</v>
      </c>
      <c r="L62" s="44">
        <v>961.97</v>
      </c>
      <c r="M62" s="44">
        <v>870.55</v>
      </c>
      <c r="N62" s="44">
        <v>870.54</v>
      </c>
      <c r="O62" s="44">
        <v>14.5</v>
      </c>
      <c r="P62" s="44">
        <v>12.5</v>
      </c>
      <c r="Q62" s="44">
        <v>10.4</v>
      </c>
      <c r="R62" s="44">
        <v>7.3</v>
      </c>
      <c r="S62" s="44">
        <v>1200.0</v>
      </c>
      <c r="T62" s="44">
        <v>14.5</v>
      </c>
      <c r="U62" s="44">
        <v>1200.0</v>
      </c>
      <c r="V62" s="46">
        <f>IFERROR(VLOOKUP(B62,Products!$A$2:$W$1000,16,0),"")</f>
        <v>1047.6</v>
      </c>
      <c r="W62" s="46">
        <f t="shared" si="1"/>
        <v>14.5</v>
      </c>
      <c r="X62" s="44" t="s">
        <v>738</v>
      </c>
    </row>
    <row r="63">
      <c r="A63" s="44" t="s">
        <v>341</v>
      </c>
      <c r="B63" s="44" t="s">
        <v>340</v>
      </c>
      <c r="C63" s="45"/>
      <c r="D63" s="45"/>
      <c r="E63" s="44" t="s">
        <v>778</v>
      </c>
      <c r="F63" s="44" t="s">
        <v>52</v>
      </c>
      <c r="G63" s="44" t="s">
        <v>187</v>
      </c>
      <c r="H63" s="44">
        <v>49.0</v>
      </c>
      <c r="I63" s="44">
        <v>786.5</v>
      </c>
      <c r="J63" s="44">
        <v>786.49</v>
      </c>
      <c r="K63" s="44">
        <v>761.73</v>
      </c>
      <c r="L63" s="44">
        <v>761.72</v>
      </c>
      <c r="M63" s="44">
        <v>727.96</v>
      </c>
      <c r="N63" s="44">
        <v>727.95</v>
      </c>
      <c r="O63" s="44">
        <v>13.5</v>
      </c>
      <c r="P63" s="44">
        <v>9.2</v>
      </c>
      <c r="Q63" s="44">
        <v>8.2</v>
      </c>
      <c r="R63" s="44">
        <v>6.7</v>
      </c>
      <c r="S63" s="44">
        <v>850.0</v>
      </c>
      <c r="T63" s="44">
        <v>13.5</v>
      </c>
      <c r="U63" s="44">
        <v>850.0</v>
      </c>
      <c r="V63" s="46">
        <f>IFERROR(VLOOKUP(B63,Products!$A$2:$W$1000,16,0),"")</f>
        <v>786.49</v>
      </c>
      <c r="W63" s="46">
        <f t="shared" si="1"/>
        <v>9.2</v>
      </c>
      <c r="X63" s="44" t="s">
        <v>738</v>
      </c>
    </row>
    <row r="64">
      <c r="A64" s="44" t="s">
        <v>684</v>
      </c>
      <c r="B64" s="44">
        <v>3.182550894128E12</v>
      </c>
      <c r="C64" s="45"/>
      <c r="D64" s="45"/>
      <c r="E64" s="44" t="s">
        <v>779</v>
      </c>
      <c r="F64" s="44" t="s">
        <v>59</v>
      </c>
      <c r="G64" s="44" t="s">
        <v>53</v>
      </c>
      <c r="H64" s="44">
        <v>50.0</v>
      </c>
      <c r="I64" s="44">
        <v>1624.58</v>
      </c>
      <c r="J64" s="44">
        <v>1624.57</v>
      </c>
      <c r="K64" s="44">
        <v>1544.16</v>
      </c>
      <c r="L64" s="44">
        <v>1544.15</v>
      </c>
      <c r="M64" s="44">
        <v>1446.76</v>
      </c>
      <c r="N64" s="44">
        <v>1446.75</v>
      </c>
      <c r="O64" s="44">
        <v>12.5</v>
      </c>
      <c r="P64" s="44">
        <v>11.1</v>
      </c>
      <c r="Q64" s="44">
        <v>9.1</v>
      </c>
      <c r="R64" s="44">
        <v>6.3</v>
      </c>
      <c r="S64" s="44">
        <v>1799.0</v>
      </c>
      <c r="T64" s="44">
        <v>12.5</v>
      </c>
      <c r="U64" s="44">
        <v>1799.0</v>
      </c>
      <c r="V64" s="46">
        <f>IFERROR(VLOOKUP(B64,Products!$A$2:$W$1000,16,0),"")</f>
        <v>1623</v>
      </c>
      <c r="W64" s="46">
        <f t="shared" si="1"/>
        <v>11.1</v>
      </c>
      <c r="X64" s="44" t="s">
        <v>738</v>
      </c>
    </row>
    <row r="65">
      <c r="A65" s="44" t="s">
        <v>60</v>
      </c>
      <c r="B65" s="44">
        <v>7.613035214774E12</v>
      </c>
      <c r="C65" s="45"/>
      <c r="D65" s="45"/>
      <c r="E65" s="44">
        <v>1.2280846E7</v>
      </c>
      <c r="F65" s="44" t="s">
        <v>59</v>
      </c>
      <c r="G65" s="44" t="s">
        <v>50</v>
      </c>
      <c r="H65" s="44">
        <v>0.0</v>
      </c>
      <c r="I65" s="44">
        <v>3576.9</v>
      </c>
      <c r="J65" s="44">
        <v>3576.89</v>
      </c>
      <c r="K65" s="44">
        <v>3451.37</v>
      </c>
      <c r="L65" s="44">
        <v>3451.36</v>
      </c>
      <c r="M65" s="44">
        <v>3281.17</v>
      </c>
      <c r="N65" s="44">
        <v>3281.16</v>
      </c>
      <c r="O65" s="44">
        <v>12.5</v>
      </c>
      <c r="P65" s="44">
        <v>9.1</v>
      </c>
      <c r="Q65" s="44">
        <v>8.0</v>
      </c>
      <c r="R65" s="44">
        <v>6.4</v>
      </c>
      <c r="S65" s="44">
        <v>4500.0</v>
      </c>
      <c r="T65" s="44">
        <v>12.5</v>
      </c>
      <c r="U65" s="44">
        <v>4500.0</v>
      </c>
      <c r="V65" s="46" t="str">
        <f>IFERROR(VLOOKUP(B65,Products!$A$2:$W$1000,16,0),"")</f>
        <v/>
      </c>
      <c r="W65" s="46" t="str">
        <f t="shared" si="1"/>
        <v>-</v>
      </c>
      <c r="X65" s="44" t="s">
        <v>738</v>
      </c>
    </row>
    <row r="66">
      <c r="A66" s="44" t="s">
        <v>653</v>
      </c>
      <c r="B66" s="44" t="s">
        <v>652</v>
      </c>
      <c r="C66" s="45"/>
      <c r="D66" s="45"/>
      <c r="E66" s="44" t="s">
        <v>780</v>
      </c>
      <c r="F66" s="44" t="s">
        <v>52</v>
      </c>
      <c r="G66" s="44" t="s">
        <v>187</v>
      </c>
      <c r="H66" s="44">
        <v>30.0</v>
      </c>
      <c r="I66" s="44">
        <v>820.52</v>
      </c>
      <c r="J66" s="44">
        <v>820.51</v>
      </c>
      <c r="K66" s="44">
        <v>761.98</v>
      </c>
      <c r="L66" s="44">
        <v>761.97</v>
      </c>
      <c r="M66" s="44">
        <v>691.09</v>
      </c>
      <c r="N66" s="44">
        <v>691.08</v>
      </c>
      <c r="O66" s="44">
        <v>13.5</v>
      </c>
      <c r="P66" s="44">
        <v>6.3</v>
      </c>
      <c r="Q66" s="44">
        <v>3.7</v>
      </c>
      <c r="R66" s="44">
        <v>2.7</v>
      </c>
      <c r="S66" s="44">
        <v>970.0</v>
      </c>
      <c r="T66" s="44">
        <v>13.5</v>
      </c>
      <c r="U66" s="44">
        <v>970.0</v>
      </c>
      <c r="V66" s="46">
        <f>IFERROR(VLOOKUP(B66,Products!$A$2:$W$1000,16,0),"")</f>
        <v>820.51</v>
      </c>
      <c r="W66" s="46">
        <f t="shared" si="1"/>
        <v>6.3</v>
      </c>
      <c r="X66" s="44" t="s">
        <v>738</v>
      </c>
    </row>
    <row r="67">
      <c r="A67" s="44" t="s">
        <v>104</v>
      </c>
      <c r="B67" s="44" t="s">
        <v>103</v>
      </c>
      <c r="C67" s="45"/>
      <c r="D67" s="45"/>
      <c r="E67" s="44" t="s">
        <v>781</v>
      </c>
      <c r="F67" s="44" t="s">
        <v>96</v>
      </c>
      <c r="G67" s="44" t="s">
        <v>94</v>
      </c>
      <c r="H67" s="44">
        <v>95.0</v>
      </c>
      <c r="I67" s="44">
        <v>1952.42</v>
      </c>
      <c r="J67" s="44">
        <v>1952.41</v>
      </c>
      <c r="K67" s="44">
        <v>1819.92</v>
      </c>
      <c r="L67" s="44">
        <v>1819.91</v>
      </c>
      <c r="M67" s="44">
        <v>1659.28</v>
      </c>
      <c r="N67" s="44">
        <v>1659.27</v>
      </c>
      <c r="O67" s="44">
        <v>14.5</v>
      </c>
      <c r="P67" s="44">
        <v>12.6</v>
      </c>
      <c r="Q67" s="44">
        <v>10.6</v>
      </c>
      <c r="R67" s="44">
        <v>7.7</v>
      </c>
      <c r="S67" s="44">
        <v>2500.0</v>
      </c>
      <c r="T67" s="44">
        <v>14.5</v>
      </c>
      <c r="U67" s="44">
        <v>2500.0</v>
      </c>
      <c r="V67" s="46">
        <f>IFERROR(VLOOKUP(B67,Products!$A$2:$W$1000,16,0),"")</f>
        <v>2016</v>
      </c>
      <c r="W67" s="46">
        <f t="shared" si="1"/>
        <v>14.5</v>
      </c>
      <c r="X67" s="44" t="s">
        <v>738</v>
      </c>
    </row>
    <row r="68">
      <c r="A68" s="44" t="s">
        <v>186</v>
      </c>
      <c r="B68" s="44" t="s">
        <v>185</v>
      </c>
      <c r="C68" s="45"/>
      <c r="D68" s="45"/>
      <c r="E68" s="44" t="s">
        <v>782</v>
      </c>
      <c r="F68" s="44" t="s">
        <v>59</v>
      </c>
      <c r="G68" s="44" t="s">
        <v>53</v>
      </c>
      <c r="H68" s="44">
        <v>15.0</v>
      </c>
      <c r="I68" s="44">
        <v>1606.85</v>
      </c>
      <c r="J68" s="44">
        <v>1606.84</v>
      </c>
      <c r="K68" s="44">
        <v>1498.79</v>
      </c>
      <c r="L68" s="44">
        <v>1498.78</v>
      </c>
      <c r="M68" s="44">
        <v>1367.69</v>
      </c>
      <c r="N68" s="44">
        <v>1367.68</v>
      </c>
      <c r="O68" s="44">
        <v>12.5</v>
      </c>
      <c r="P68" s="44">
        <v>8.4</v>
      </c>
      <c r="Q68" s="44">
        <v>6.1</v>
      </c>
      <c r="R68" s="44">
        <v>3.0</v>
      </c>
      <c r="S68" s="44">
        <v>1734.0</v>
      </c>
      <c r="T68" s="44">
        <v>12.5</v>
      </c>
      <c r="U68" s="44">
        <v>1734.0</v>
      </c>
      <c r="V68" s="46">
        <f>IFERROR(VLOOKUP(B68,Products!$A$2:$W$1000,16,0),"")</f>
        <v>1555.99</v>
      </c>
      <c r="W68" s="46">
        <f t="shared" si="1"/>
        <v>8.4</v>
      </c>
      <c r="X68" s="44" t="s">
        <v>738</v>
      </c>
    </row>
    <row r="69">
      <c r="A69" s="44" t="s">
        <v>417</v>
      </c>
      <c r="B69" s="44">
        <v>4.54654654354534E14</v>
      </c>
      <c r="C69" s="45"/>
      <c r="D69" s="45"/>
      <c r="E69" s="44" t="s">
        <v>783</v>
      </c>
      <c r="F69" s="44" t="s">
        <v>52</v>
      </c>
      <c r="G69" s="44" t="s">
        <v>137</v>
      </c>
      <c r="H69" s="44">
        <v>488.0</v>
      </c>
      <c r="I69" s="44">
        <v>547.6</v>
      </c>
      <c r="J69" s="44">
        <v>547.59</v>
      </c>
      <c r="K69" s="44">
        <v>512.05</v>
      </c>
      <c r="L69" s="44">
        <v>512.04</v>
      </c>
      <c r="M69" s="44">
        <v>468.8</v>
      </c>
      <c r="N69" s="44">
        <v>468.79</v>
      </c>
      <c r="O69" s="44">
        <v>13.5</v>
      </c>
      <c r="P69" s="44">
        <v>6.4</v>
      </c>
      <c r="Q69" s="44">
        <v>4.1</v>
      </c>
      <c r="R69" s="44">
        <v>2.7</v>
      </c>
      <c r="S69" s="44">
        <v>637.0</v>
      </c>
      <c r="T69" s="44">
        <v>13.5</v>
      </c>
      <c r="U69" s="44">
        <v>637.0</v>
      </c>
      <c r="V69" s="46">
        <f>IFERROR(VLOOKUP(B69,Products!$A$2:$W$1000,16,0),"")</f>
        <v>634.9</v>
      </c>
      <c r="W69" s="46">
        <f t="shared" si="1"/>
        <v>13.5</v>
      </c>
      <c r="X69" s="44" t="s">
        <v>738</v>
      </c>
    </row>
    <row r="70">
      <c r="A70" s="44" t="s">
        <v>188</v>
      </c>
      <c r="B70" s="44">
        <v>9.888569998999E12</v>
      </c>
      <c r="C70" s="45"/>
      <c r="D70" s="45"/>
      <c r="E70" s="44" t="s">
        <v>784</v>
      </c>
      <c r="F70" s="44" t="s">
        <v>52</v>
      </c>
      <c r="G70" s="44" t="s">
        <v>187</v>
      </c>
      <c r="H70" s="44">
        <v>7.0</v>
      </c>
      <c r="I70" s="44">
        <v>741.3</v>
      </c>
      <c r="J70" s="44">
        <v>741.29</v>
      </c>
      <c r="K70" s="44">
        <v>704.65</v>
      </c>
      <c r="L70" s="44">
        <v>704.64</v>
      </c>
      <c r="M70" s="44">
        <v>660.26</v>
      </c>
      <c r="N70" s="44">
        <v>660.25</v>
      </c>
      <c r="O70" s="44">
        <v>13.5</v>
      </c>
      <c r="P70" s="44">
        <v>6.9</v>
      </c>
      <c r="Q70" s="44">
        <v>5.2</v>
      </c>
      <c r="R70" s="44">
        <v>2.8</v>
      </c>
      <c r="S70" s="44">
        <v>870.0</v>
      </c>
      <c r="T70" s="44">
        <v>13.5</v>
      </c>
      <c r="U70" s="44">
        <v>870.0</v>
      </c>
      <c r="V70" s="46">
        <f>IFERROR(VLOOKUP(B70,Products!$A$2:$W$1000,16,0),"")</f>
        <v>790</v>
      </c>
      <c r="W70" s="46">
        <f t="shared" si="1"/>
        <v>13.5</v>
      </c>
      <c r="X70" s="44" t="s">
        <v>738</v>
      </c>
    </row>
    <row r="71">
      <c r="A71" s="44" t="s">
        <v>681</v>
      </c>
      <c r="B71" s="44">
        <v>9.003579008201E12</v>
      </c>
      <c r="C71" s="45"/>
      <c r="D71" s="45"/>
      <c r="E71" s="44">
        <v>9.003579008201E12</v>
      </c>
      <c r="F71" s="44" t="s">
        <v>279</v>
      </c>
      <c r="G71" s="44" t="s">
        <v>53</v>
      </c>
      <c r="H71" s="44">
        <v>25.0</v>
      </c>
      <c r="I71" s="44">
        <v>517.08</v>
      </c>
      <c r="J71" s="44">
        <v>517.07</v>
      </c>
      <c r="K71" s="44">
        <v>474.51</v>
      </c>
      <c r="L71" s="44">
        <v>474.5</v>
      </c>
      <c r="M71" s="44">
        <v>422.77</v>
      </c>
      <c r="N71" s="44">
        <v>422.76</v>
      </c>
      <c r="O71" s="44">
        <v>12.5</v>
      </c>
      <c r="P71" s="44">
        <v>8.0</v>
      </c>
      <c r="Q71" s="44">
        <v>5.1</v>
      </c>
      <c r="R71" s="44">
        <v>3.0</v>
      </c>
      <c r="S71" s="44">
        <v>750.0</v>
      </c>
      <c r="T71" s="44">
        <v>12.5</v>
      </c>
      <c r="U71" s="44">
        <v>750.0</v>
      </c>
      <c r="V71" s="46">
        <f>IFERROR(VLOOKUP(B71,Products!$A$2:$W$1000,16,0),"")</f>
        <v>517</v>
      </c>
      <c r="W71" s="46">
        <f t="shared" si="1"/>
        <v>8</v>
      </c>
      <c r="X71" s="44" t="s">
        <v>738</v>
      </c>
    </row>
    <row r="72">
      <c r="A72" s="44" t="s">
        <v>655</v>
      </c>
      <c r="B72" s="44">
        <v>9.00357931166E12</v>
      </c>
      <c r="C72" s="45"/>
      <c r="D72" s="45"/>
      <c r="E72" s="44">
        <v>390073.0</v>
      </c>
      <c r="F72" s="44" t="s">
        <v>52</v>
      </c>
      <c r="G72" s="44" t="s">
        <v>53</v>
      </c>
      <c r="H72" s="44">
        <v>24.0</v>
      </c>
      <c r="I72" s="44">
        <v>186.83</v>
      </c>
      <c r="J72" s="44">
        <v>186.82</v>
      </c>
      <c r="K72" s="44">
        <v>177.11</v>
      </c>
      <c r="L72" s="44">
        <v>177.1</v>
      </c>
      <c r="M72" s="44">
        <v>164.02</v>
      </c>
      <c r="N72" s="44">
        <v>164.01</v>
      </c>
      <c r="O72" s="44">
        <v>12.5</v>
      </c>
      <c r="P72" s="44">
        <v>10.9</v>
      </c>
      <c r="Q72" s="44">
        <v>8.7</v>
      </c>
      <c r="R72" s="44">
        <v>5.4</v>
      </c>
      <c r="S72" s="44">
        <v>200.0</v>
      </c>
      <c r="T72" s="44">
        <v>12.5</v>
      </c>
      <c r="U72" s="44">
        <v>200.0</v>
      </c>
      <c r="V72" s="46">
        <f>IFERROR(VLOOKUP(B72,Products!$A$2:$W$1000,16,0),"")</f>
        <v>199</v>
      </c>
      <c r="W72" s="46">
        <f t="shared" si="1"/>
        <v>12.5</v>
      </c>
      <c r="X72" s="44" t="s">
        <v>738</v>
      </c>
    </row>
    <row r="73">
      <c r="A73" s="44" t="s">
        <v>282</v>
      </c>
      <c r="B73" s="44">
        <v>7.6130335646424E13</v>
      </c>
      <c r="C73" s="45"/>
      <c r="D73" s="45"/>
      <c r="E73" s="44">
        <v>7.6130335646424E13</v>
      </c>
      <c r="F73" s="44" t="s">
        <v>72</v>
      </c>
      <c r="G73" s="44" t="s">
        <v>50</v>
      </c>
      <c r="H73" s="44">
        <v>1.0</v>
      </c>
      <c r="I73" s="44">
        <v>807.0</v>
      </c>
      <c r="J73" s="44">
        <v>806.99</v>
      </c>
      <c r="K73" s="44">
        <v>766.88</v>
      </c>
      <c r="L73" s="44">
        <v>766.87</v>
      </c>
      <c r="M73" s="44">
        <v>718.3</v>
      </c>
      <c r="N73" s="44">
        <v>718.29</v>
      </c>
      <c r="O73" s="44">
        <v>12.5</v>
      </c>
      <c r="P73" s="44">
        <v>8.5</v>
      </c>
      <c r="Q73" s="44">
        <v>6.3</v>
      </c>
      <c r="R73" s="44">
        <v>3.4</v>
      </c>
      <c r="S73" s="44">
        <v>1799.0</v>
      </c>
      <c r="T73" s="44">
        <v>12.5</v>
      </c>
      <c r="U73" s="44">
        <v>1799.0</v>
      </c>
      <c r="V73" s="46">
        <f>IFERROR(VLOOKUP(B73,Products!$A$2:$W$1000,16,0),"")</f>
        <v>802</v>
      </c>
      <c r="W73" s="46">
        <f t="shared" si="1"/>
        <v>8.5</v>
      </c>
      <c r="X73" s="44" t="s">
        <v>738</v>
      </c>
    </row>
    <row r="74">
      <c r="A74" s="44" t="s">
        <v>236</v>
      </c>
      <c r="B74" s="44">
        <v>8.010276035097E12</v>
      </c>
      <c r="C74" s="45"/>
      <c r="D74" s="45"/>
      <c r="E74" s="44">
        <v>8.010276035097E12</v>
      </c>
      <c r="F74" s="44" t="s">
        <v>59</v>
      </c>
      <c r="G74" s="44" t="s">
        <v>91</v>
      </c>
      <c r="H74" s="44">
        <v>11.0</v>
      </c>
      <c r="I74" s="44">
        <v>2596.45</v>
      </c>
      <c r="J74" s="44">
        <v>2596.44</v>
      </c>
      <c r="K74" s="44">
        <v>2523.96</v>
      </c>
      <c r="L74" s="44">
        <v>2523.95</v>
      </c>
      <c r="M74" s="44">
        <v>2469.09</v>
      </c>
      <c r="N74" s="44">
        <v>2469.08</v>
      </c>
      <c r="O74" s="44">
        <v>16.5</v>
      </c>
      <c r="P74" s="44">
        <v>15.5</v>
      </c>
      <c r="Q74" s="44">
        <v>14.5</v>
      </c>
      <c r="R74" s="44">
        <v>13.7</v>
      </c>
      <c r="S74" s="44">
        <v>2690.0</v>
      </c>
      <c r="T74" s="44">
        <v>16.5</v>
      </c>
      <c r="U74" s="44">
        <v>2690.0</v>
      </c>
      <c r="V74" s="46">
        <f>IFERROR(VLOOKUP(B74,Products!$A$2:$W$1000,16,0),"")</f>
        <v>2690</v>
      </c>
      <c r="W74" s="46">
        <f t="shared" si="1"/>
        <v>16.5</v>
      </c>
      <c r="X74" s="44" t="s">
        <v>738</v>
      </c>
    </row>
    <row r="75">
      <c r="A75" s="44" t="s">
        <v>92</v>
      </c>
      <c r="B75" s="44">
        <v>2.10420241807E11</v>
      </c>
      <c r="C75" s="45"/>
      <c r="D75" s="45"/>
      <c r="E75" s="44" t="s">
        <v>785</v>
      </c>
      <c r="F75" s="44" t="s">
        <v>72</v>
      </c>
      <c r="G75" s="44" t="s">
        <v>91</v>
      </c>
      <c r="H75" s="44">
        <v>5.0</v>
      </c>
      <c r="I75" s="44">
        <v>3824.52</v>
      </c>
      <c r="J75" s="44">
        <v>3824.51</v>
      </c>
      <c r="K75" s="44">
        <v>3717.74</v>
      </c>
      <c r="L75" s="44">
        <v>3717.73</v>
      </c>
      <c r="M75" s="44">
        <v>3633.92</v>
      </c>
      <c r="N75" s="44">
        <v>3633.91</v>
      </c>
      <c r="O75" s="44">
        <v>16.5</v>
      </c>
      <c r="P75" s="44">
        <v>15.5</v>
      </c>
      <c r="Q75" s="44">
        <v>14.5</v>
      </c>
      <c r="R75" s="44">
        <v>13.7</v>
      </c>
      <c r="S75" s="44">
        <v>3905.0</v>
      </c>
      <c r="T75" s="44">
        <v>16.5</v>
      </c>
      <c r="U75" s="44">
        <v>3905.0</v>
      </c>
      <c r="V75" s="46">
        <f>IFERROR(VLOOKUP(B75,Products!$A$2:$W$1000,16,0),"")</f>
        <v>3899</v>
      </c>
      <c r="W75" s="46">
        <f t="shared" si="1"/>
        <v>16.5</v>
      </c>
      <c r="X75" s="44" t="s">
        <v>738</v>
      </c>
    </row>
    <row r="76">
      <c r="A76" s="44" t="s">
        <v>372</v>
      </c>
      <c r="B76" s="44">
        <v>3.182550908443E12</v>
      </c>
      <c r="C76" s="45"/>
      <c r="D76" s="45"/>
      <c r="E76" s="44" t="s">
        <v>786</v>
      </c>
      <c r="F76" s="44" t="s">
        <v>59</v>
      </c>
      <c r="G76" s="44" t="s">
        <v>53</v>
      </c>
      <c r="H76" s="44">
        <v>25.0</v>
      </c>
      <c r="I76" s="44">
        <v>723.16</v>
      </c>
      <c r="J76" s="44">
        <v>723.15</v>
      </c>
      <c r="K76" s="44">
        <v>685.17</v>
      </c>
      <c r="L76" s="44">
        <v>685.16</v>
      </c>
      <c r="M76" s="44">
        <v>639.33</v>
      </c>
      <c r="N76" s="44">
        <v>639.32</v>
      </c>
      <c r="O76" s="44">
        <v>12.5</v>
      </c>
      <c r="P76" s="44">
        <v>8.8</v>
      </c>
      <c r="Q76" s="44">
        <v>7.1</v>
      </c>
      <c r="R76" s="44">
        <v>4.7</v>
      </c>
      <c r="S76" s="44">
        <v>888.0</v>
      </c>
      <c r="T76" s="44">
        <v>12.5</v>
      </c>
      <c r="U76" s="44">
        <v>888.0</v>
      </c>
      <c r="V76" s="46">
        <f>IFERROR(VLOOKUP(B76,Products!$A$2:$W$1000,16,0),"")</f>
        <v>769.99</v>
      </c>
      <c r="W76" s="46">
        <f t="shared" si="1"/>
        <v>12.5</v>
      </c>
      <c r="X76" s="44" t="s">
        <v>738</v>
      </c>
    </row>
    <row r="77">
      <c r="A77" s="44" t="s">
        <v>687</v>
      </c>
      <c r="B77" s="44">
        <v>3.182550716888E12</v>
      </c>
      <c r="C77" s="45"/>
      <c r="D77" s="45"/>
      <c r="E77" s="44" t="s">
        <v>787</v>
      </c>
      <c r="F77" s="44" t="s">
        <v>59</v>
      </c>
      <c r="G77" s="44" t="s">
        <v>53</v>
      </c>
      <c r="H77" s="44">
        <v>10.0</v>
      </c>
      <c r="I77" s="44">
        <v>2756.39</v>
      </c>
      <c r="J77" s="44">
        <v>2756.38</v>
      </c>
      <c r="K77" s="44">
        <v>2572.9</v>
      </c>
      <c r="L77" s="44">
        <v>2572.89</v>
      </c>
      <c r="M77" s="44">
        <v>2350.13</v>
      </c>
      <c r="N77" s="44">
        <v>2350.12</v>
      </c>
      <c r="O77" s="44">
        <v>12.5</v>
      </c>
      <c r="P77" s="44">
        <v>8.4</v>
      </c>
      <c r="Q77" s="44">
        <v>6.1</v>
      </c>
      <c r="R77" s="44">
        <v>3.0</v>
      </c>
      <c r="S77" s="44">
        <v>3100.0</v>
      </c>
      <c r="T77" s="44">
        <v>12.5</v>
      </c>
      <c r="U77" s="44">
        <v>3100.0</v>
      </c>
      <c r="V77" s="46">
        <f>IFERROR(VLOOKUP(B77,Products!$A$2:$W$1000,16,0),"")</f>
        <v>2650</v>
      </c>
      <c r="W77" s="46">
        <f t="shared" si="1"/>
        <v>8.4</v>
      </c>
      <c r="X77" s="44" t="s">
        <v>738</v>
      </c>
    </row>
    <row r="78">
      <c r="A78" s="44" t="s">
        <v>182</v>
      </c>
      <c r="B78" s="44" t="s">
        <v>181</v>
      </c>
      <c r="C78" s="45"/>
      <c r="D78" s="45"/>
      <c r="E78" s="44" t="s">
        <v>788</v>
      </c>
      <c r="F78" s="44" t="s">
        <v>72</v>
      </c>
      <c r="G78" s="44" t="s">
        <v>178</v>
      </c>
      <c r="H78" s="44">
        <v>0.0</v>
      </c>
      <c r="I78" s="44">
        <v>467.07</v>
      </c>
      <c r="J78" s="44">
        <v>467.06</v>
      </c>
      <c r="K78" s="44">
        <v>411.56</v>
      </c>
      <c r="L78" s="44">
        <v>411.55</v>
      </c>
      <c r="M78" s="44">
        <v>362.86</v>
      </c>
      <c r="N78" s="44">
        <v>362.85</v>
      </c>
      <c r="O78" s="44">
        <v>16.5</v>
      </c>
      <c r="P78" s="44">
        <v>5.4</v>
      </c>
      <c r="Q78" s="44">
        <v>2.7</v>
      </c>
      <c r="R78" s="44">
        <v>2.7</v>
      </c>
      <c r="S78" s="44">
        <v>785.0</v>
      </c>
      <c r="T78" s="44">
        <v>16.5</v>
      </c>
      <c r="U78" s="44">
        <v>785.0</v>
      </c>
      <c r="V78" s="46" t="str">
        <f>IFERROR(VLOOKUP(B78,Products!$A$2:$W$1000,16,0),"")</f>
        <v/>
      </c>
      <c r="W78" s="46" t="str">
        <f t="shared" si="1"/>
        <v>-</v>
      </c>
      <c r="X78" s="44" t="s">
        <v>738</v>
      </c>
    </row>
    <row r="79">
      <c r="A79" s="44" t="s">
        <v>179</v>
      </c>
      <c r="B79" s="44" t="s">
        <v>177</v>
      </c>
      <c r="C79" s="45"/>
      <c r="D79" s="45"/>
      <c r="E79" s="44" t="s">
        <v>789</v>
      </c>
      <c r="F79" s="44" t="s">
        <v>72</v>
      </c>
      <c r="G79" s="44" t="s">
        <v>178</v>
      </c>
      <c r="H79" s="44">
        <v>0.0</v>
      </c>
      <c r="I79" s="44">
        <v>613.25</v>
      </c>
      <c r="J79" s="44">
        <v>613.24</v>
      </c>
      <c r="K79" s="44">
        <v>579.68</v>
      </c>
      <c r="L79" s="44">
        <v>579.67</v>
      </c>
      <c r="M79" s="44">
        <v>539.43</v>
      </c>
      <c r="N79" s="44">
        <v>539.42</v>
      </c>
      <c r="O79" s="44">
        <v>16.5</v>
      </c>
      <c r="P79" s="44">
        <v>7.0</v>
      </c>
      <c r="Q79" s="44">
        <v>5.1</v>
      </c>
      <c r="R79" s="44">
        <v>2.7</v>
      </c>
      <c r="S79" s="44">
        <v>999.0</v>
      </c>
      <c r="T79" s="44">
        <v>16.5</v>
      </c>
      <c r="U79" s="44">
        <v>999.0</v>
      </c>
      <c r="V79" s="46" t="str">
        <f>IFERROR(VLOOKUP(B79,Products!$A$2:$W$1000,16,0),"")</f>
        <v/>
      </c>
      <c r="W79" s="46" t="str">
        <f t="shared" si="1"/>
        <v>-</v>
      </c>
      <c r="X79" s="44" t="s">
        <v>738</v>
      </c>
    </row>
    <row r="80">
      <c r="A80" s="44" t="s">
        <v>150</v>
      </c>
      <c r="B80" s="44">
        <v>5.998749129968E12</v>
      </c>
      <c r="C80" s="45"/>
      <c r="D80" s="45"/>
      <c r="E80" s="44">
        <v>80643.0</v>
      </c>
      <c r="F80" s="44" t="s">
        <v>72</v>
      </c>
      <c r="G80" s="44" t="s">
        <v>121</v>
      </c>
      <c r="H80" s="44">
        <v>0.0</v>
      </c>
      <c r="I80" s="44">
        <v>379.36</v>
      </c>
      <c r="J80" s="44">
        <v>379.35</v>
      </c>
      <c r="K80" s="44">
        <v>366.26</v>
      </c>
      <c r="L80" s="44">
        <v>366.25</v>
      </c>
      <c r="M80" s="44">
        <v>349.18</v>
      </c>
      <c r="N80" s="44">
        <v>349.17</v>
      </c>
      <c r="O80" s="44">
        <v>16.5</v>
      </c>
      <c r="P80" s="44">
        <v>9.2</v>
      </c>
      <c r="Q80" s="44">
        <v>8.1</v>
      </c>
      <c r="R80" s="44">
        <v>6.5</v>
      </c>
      <c r="S80" s="44">
        <v>600.0</v>
      </c>
      <c r="T80" s="44">
        <v>16.5</v>
      </c>
      <c r="U80" s="44">
        <v>600.0</v>
      </c>
      <c r="V80" s="46" t="str">
        <f>IFERROR(VLOOKUP(B80,Products!$A$2:$W$1000,16,0),"")</f>
        <v/>
      </c>
      <c r="W80" s="46" t="str">
        <f t="shared" si="1"/>
        <v>-</v>
      </c>
      <c r="X80" s="44" t="s">
        <v>738</v>
      </c>
    </row>
    <row r="81">
      <c r="A81" s="44" t="s">
        <v>174</v>
      </c>
      <c r="B81" s="44" t="s">
        <v>173</v>
      </c>
      <c r="C81" s="45"/>
      <c r="D81" s="45"/>
      <c r="E81" s="44" t="s">
        <v>790</v>
      </c>
      <c r="F81" s="44" t="s">
        <v>72</v>
      </c>
      <c r="G81" s="44" t="s">
        <v>153</v>
      </c>
      <c r="H81" s="44">
        <v>0.0</v>
      </c>
      <c r="I81" s="44">
        <v>2559.9</v>
      </c>
      <c r="J81" s="44">
        <v>2559.89</v>
      </c>
      <c r="K81" s="44">
        <v>2483.66</v>
      </c>
      <c r="L81" s="44">
        <v>2483.65</v>
      </c>
      <c r="M81" s="44">
        <v>2377.96</v>
      </c>
      <c r="N81" s="44">
        <v>2377.95</v>
      </c>
      <c r="O81" s="44">
        <v>16.5</v>
      </c>
      <c r="P81" s="44">
        <v>9.2</v>
      </c>
      <c r="Q81" s="44">
        <v>8.3</v>
      </c>
      <c r="R81" s="44">
        <v>6.9</v>
      </c>
      <c r="S81" s="44">
        <v>2999.0</v>
      </c>
      <c r="T81" s="44">
        <v>16.5</v>
      </c>
      <c r="U81" s="44">
        <v>2999.0</v>
      </c>
      <c r="V81" s="46" t="str">
        <f>IFERROR(VLOOKUP(B81,Products!$A$2:$W$1000,16,0),"")</f>
        <v/>
      </c>
      <c r="W81" s="46" t="str">
        <f t="shared" si="1"/>
        <v>-</v>
      </c>
      <c r="X81" s="44" t="s">
        <v>738</v>
      </c>
    </row>
    <row r="82">
      <c r="A82" s="44" t="s">
        <v>221</v>
      </c>
      <c r="B82" s="44" t="s">
        <v>220</v>
      </c>
      <c r="C82" s="45"/>
      <c r="D82" s="45"/>
      <c r="E82" s="44" t="s">
        <v>791</v>
      </c>
      <c r="F82" s="44" t="s">
        <v>217</v>
      </c>
      <c r="G82" s="44" t="s">
        <v>201</v>
      </c>
      <c r="H82" s="44">
        <v>0.0</v>
      </c>
      <c r="I82" s="44">
        <v>571.37</v>
      </c>
      <c r="J82" s="44">
        <v>571.36</v>
      </c>
      <c r="K82" s="44">
        <v>541.27</v>
      </c>
      <c r="L82" s="44">
        <v>541.26</v>
      </c>
      <c r="M82" s="44">
        <v>504.99</v>
      </c>
      <c r="N82" s="44">
        <v>504.98</v>
      </c>
      <c r="O82" s="44">
        <v>20.0</v>
      </c>
      <c r="P82" s="44">
        <v>19.2</v>
      </c>
      <c r="Q82" s="44">
        <v>18.0</v>
      </c>
      <c r="R82" s="44">
        <v>16.5</v>
      </c>
      <c r="S82" s="44">
        <v>999.0</v>
      </c>
      <c r="T82" s="44">
        <v>20.0</v>
      </c>
      <c r="U82" s="44">
        <v>999.0</v>
      </c>
      <c r="V82" s="46" t="str">
        <f>IFERROR(VLOOKUP(B82,Products!$A$2:$W$1000,16,0),"")</f>
        <v/>
      </c>
      <c r="W82" s="46" t="str">
        <f t="shared" si="1"/>
        <v>-</v>
      </c>
      <c r="X82" s="44" t="s">
        <v>738</v>
      </c>
    </row>
    <row r="83">
      <c r="A83" s="44" t="s">
        <v>314</v>
      </c>
      <c r="B83" s="44" t="s">
        <v>313</v>
      </c>
      <c r="C83" s="45"/>
      <c r="D83" s="45"/>
      <c r="E83" s="44" t="s">
        <v>792</v>
      </c>
      <c r="F83" s="44" t="s">
        <v>131</v>
      </c>
      <c r="G83" s="44" t="s">
        <v>303</v>
      </c>
      <c r="H83" s="44">
        <v>7.0</v>
      </c>
      <c r="I83" s="44">
        <v>234.96</v>
      </c>
      <c r="J83" s="44">
        <v>234.95</v>
      </c>
      <c r="K83" s="44">
        <v>208.69</v>
      </c>
      <c r="L83" s="44">
        <v>208.68</v>
      </c>
      <c r="M83" s="44">
        <v>174.99</v>
      </c>
      <c r="N83" s="44">
        <v>174.98</v>
      </c>
      <c r="O83" s="44">
        <v>12.5</v>
      </c>
      <c r="P83" s="44">
        <v>9.9</v>
      </c>
      <c r="Q83" s="44">
        <v>6.1</v>
      </c>
      <c r="R83" s="44">
        <v>3.7</v>
      </c>
      <c r="S83" s="44">
        <v>355.0</v>
      </c>
      <c r="T83" s="44">
        <v>12.5</v>
      </c>
      <c r="U83" s="44">
        <v>355.0</v>
      </c>
      <c r="V83" s="46">
        <f>IFERROR(VLOOKUP(B83,Products!$A$2:$W$1000,16,0),"")</f>
        <v>256.2</v>
      </c>
      <c r="W83" s="46">
        <f t="shared" si="1"/>
        <v>12.5</v>
      </c>
      <c r="X83" s="44" t="s">
        <v>738</v>
      </c>
    </row>
    <row r="84">
      <c r="A84" s="44" t="s">
        <v>367</v>
      </c>
      <c r="B84" s="44">
        <v>9.003579013748E12</v>
      </c>
      <c r="C84" s="45"/>
      <c r="D84" s="45"/>
      <c r="E84" s="44">
        <v>9.003579013748E12</v>
      </c>
      <c r="F84" s="44" t="s">
        <v>279</v>
      </c>
      <c r="G84" s="44" t="s">
        <v>53</v>
      </c>
      <c r="H84" s="44">
        <v>14.0</v>
      </c>
      <c r="I84" s="44">
        <v>496.66</v>
      </c>
      <c r="J84" s="44">
        <v>496.65</v>
      </c>
      <c r="K84" s="44">
        <v>461.49</v>
      </c>
      <c r="L84" s="44">
        <v>461.48</v>
      </c>
      <c r="M84" s="44">
        <v>418.87</v>
      </c>
      <c r="N84" s="44">
        <v>418.86</v>
      </c>
      <c r="O84" s="44">
        <v>12.5</v>
      </c>
      <c r="P84" s="44">
        <v>11.0</v>
      </c>
      <c r="Q84" s="44">
        <v>8.8</v>
      </c>
      <c r="R84" s="44">
        <v>5.6</v>
      </c>
      <c r="S84" s="44">
        <v>599.0</v>
      </c>
      <c r="T84" s="44">
        <v>12.5</v>
      </c>
      <c r="U84" s="44">
        <v>599.0</v>
      </c>
      <c r="V84" s="46">
        <f>IFERROR(VLOOKUP(B84,Products!$A$2:$W$1000,16,0),"")</f>
        <v>540</v>
      </c>
      <c r="W84" s="46">
        <f t="shared" si="1"/>
        <v>12.5</v>
      </c>
      <c r="X84" s="44" t="s">
        <v>738</v>
      </c>
    </row>
    <row r="85">
      <c r="A85" s="44" t="s">
        <v>423</v>
      </c>
      <c r="B85" s="44">
        <v>9.225108931116E12</v>
      </c>
      <c r="C85" s="45"/>
      <c r="D85" s="45"/>
      <c r="E85" s="44" t="s">
        <v>793</v>
      </c>
      <c r="F85" s="44" t="s">
        <v>52</v>
      </c>
      <c r="G85" s="44" t="s">
        <v>187</v>
      </c>
      <c r="H85" s="44">
        <v>0.0</v>
      </c>
      <c r="I85" s="44">
        <v>798.28</v>
      </c>
      <c r="J85" s="44">
        <v>798.27</v>
      </c>
      <c r="K85" s="44">
        <v>767.86</v>
      </c>
      <c r="L85" s="44">
        <v>767.85</v>
      </c>
      <c r="M85" s="44">
        <v>726.28</v>
      </c>
      <c r="N85" s="44">
        <v>726.27</v>
      </c>
      <c r="O85" s="44">
        <v>13.5</v>
      </c>
      <c r="P85" s="44">
        <v>7.1</v>
      </c>
      <c r="Q85" s="44">
        <v>5.8</v>
      </c>
      <c r="R85" s="44">
        <v>3.8</v>
      </c>
      <c r="S85" s="44">
        <v>1050.0</v>
      </c>
      <c r="T85" s="44">
        <v>13.5</v>
      </c>
      <c r="U85" s="44">
        <v>1050.0</v>
      </c>
      <c r="V85" s="46" t="str">
        <f>IFERROR(VLOOKUP(B85,Products!$A$2:$W$1000,16,0),"")</f>
        <v/>
      </c>
      <c r="W85" s="46" t="str">
        <f t="shared" si="1"/>
        <v>-</v>
      </c>
      <c r="X85" s="44" t="s">
        <v>738</v>
      </c>
    </row>
    <row r="86">
      <c r="A86" s="44" t="s">
        <v>682</v>
      </c>
      <c r="B86" s="44">
        <v>9.003579001646E12</v>
      </c>
      <c r="C86" s="45"/>
      <c r="D86" s="45"/>
      <c r="E86" s="44">
        <v>9.003579001646E12</v>
      </c>
      <c r="F86" s="44" t="s">
        <v>279</v>
      </c>
      <c r="G86" s="44" t="s">
        <v>53</v>
      </c>
      <c r="H86" s="44">
        <v>4.0</v>
      </c>
      <c r="I86" s="44">
        <v>551.52</v>
      </c>
      <c r="J86" s="44">
        <v>551.51</v>
      </c>
      <c r="K86" s="44">
        <v>513.55</v>
      </c>
      <c r="L86" s="44">
        <v>513.54</v>
      </c>
      <c r="M86" s="44">
        <v>467.54</v>
      </c>
      <c r="N86" s="44">
        <v>467.53</v>
      </c>
      <c r="O86" s="44">
        <v>12.5</v>
      </c>
      <c r="P86" s="44">
        <v>11.0</v>
      </c>
      <c r="Q86" s="44">
        <v>8.8</v>
      </c>
      <c r="R86" s="44">
        <v>5.8</v>
      </c>
      <c r="S86" s="44">
        <v>750.0</v>
      </c>
      <c r="T86" s="44">
        <v>12.5</v>
      </c>
      <c r="U86" s="44">
        <v>750.0</v>
      </c>
      <c r="V86" s="46">
        <f>IFERROR(VLOOKUP(B86,Products!$A$2:$W$1000,16,0),"")</f>
        <v>658</v>
      </c>
      <c r="W86" s="46">
        <f t="shared" si="1"/>
        <v>12.5</v>
      </c>
      <c r="X86" s="44" t="s">
        <v>738</v>
      </c>
    </row>
    <row r="87">
      <c r="A87" s="44" t="s">
        <v>149</v>
      </c>
      <c r="B87" s="44" t="s">
        <v>148</v>
      </c>
      <c r="C87" s="45"/>
      <c r="D87" s="45"/>
      <c r="E87" s="44" t="s">
        <v>794</v>
      </c>
      <c r="F87" s="44" t="s">
        <v>131</v>
      </c>
      <c r="G87" s="44" t="s">
        <v>129</v>
      </c>
      <c r="H87" s="44">
        <v>100.0</v>
      </c>
      <c r="I87" s="44">
        <v>326.65</v>
      </c>
      <c r="J87" s="44">
        <v>326.64</v>
      </c>
      <c r="K87" s="44">
        <v>310.12</v>
      </c>
      <c r="L87" s="44">
        <v>310.11</v>
      </c>
      <c r="M87" s="44">
        <v>289.09</v>
      </c>
      <c r="N87" s="44">
        <v>289.08</v>
      </c>
      <c r="O87" s="44">
        <v>20.0</v>
      </c>
      <c r="P87" s="44">
        <v>18.2</v>
      </c>
      <c r="Q87" s="44">
        <v>17.0</v>
      </c>
      <c r="R87" s="44">
        <v>15.3</v>
      </c>
      <c r="S87" s="44">
        <v>700.0</v>
      </c>
      <c r="T87" s="44">
        <v>20.0</v>
      </c>
      <c r="U87" s="44">
        <v>700.0</v>
      </c>
      <c r="V87" s="46">
        <f>IFERROR(VLOOKUP(B87,Products!$A$2:$W$1000,16,0),"")</f>
        <v>374</v>
      </c>
      <c r="W87" s="46">
        <f t="shared" si="1"/>
        <v>20</v>
      </c>
      <c r="X87" s="44" t="s">
        <v>738</v>
      </c>
    </row>
    <row r="88">
      <c r="A88" s="44" t="s">
        <v>168</v>
      </c>
      <c r="B88" s="44">
        <v>8.681299606665E12</v>
      </c>
      <c r="C88" s="45"/>
      <c r="D88" s="45"/>
      <c r="E88" s="44" t="s">
        <v>795</v>
      </c>
      <c r="F88" s="44" t="s">
        <v>72</v>
      </c>
      <c r="G88" s="44" t="s">
        <v>153</v>
      </c>
      <c r="H88" s="44">
        <v>0.0</v>
      </c>
      <c r="I88" s="44">
        <v>549.14</v>
      </c>
      <c r="J88" s="44">
        <v>549.13</v>
      </c>
      <c r="K88" s="44">
        <v>529.73</v>
      </c>
      <c r="L88" s="44">
        <v>529.72</v>
      </c>
      <c r="M88" s="44">
        <v>503.23</v>
      </c>
      <c r="N88" s="44">
        <v>503.22</v>
      </c>
      <c r="O88" s="44">
        <v>16.5</v>
      </c>
      <c r="P88" s="44">
        <v>9.1</v>
      </c>
      <c r="Q88" s="44">
        <v>8.0</v>
      </c>
      <c r="R88" s="44">
        <v>6.3</v>
      </c>
      <c r="S88" s="44">
        <v>599.0</v>
      </c>
      <c r="T88" s="44">
        <v>16.5</v>
      </c>
      <c r="U88" s="44">
        <v>599.0</v>
      </c>
      <c r="V88" s="46" t="str">
        <f>IFERROR(VLOOKUP(B88,Products!$A$2:$W$1000,16,0),"")</f>
        <v/>
      </c>
      <c r="W88" s="46" t="str">
        <f t="shared" si="1"/>
        <v>-</v>
      </c>
      <c r="X88" s="44" t="s">
        <v>738</v>
      </c>
    </row>
    <row r="89">
      <c r="A89" s="44" t="s">
        <v>292</v>
      </c>
      <c r="B89" s="44">
        <v>8.681002995109E12</v>
      </c>
      <c r="C89" s="45"/>
      <c r="D89" s="45"/>
      <c r="E89" s="44" t="s">
        <v>796</v>
      </c>
      <c r="F89" s="44" t="s">
        <v>52</v>
      </c>
      <c r="G89" s="44" t="s">
        <v>121</v>
      </c>
      <c r="H89" s="44">
        <v>999.0</v>
      </c>
      <c r="I89" s="44">
        <v>516.22</v>
      </c>
      <c r="J89" s="44">
        <v>516.21</v>
      </c>
      <c r="K89" s="44">
        <v>490.8</v>
      </c>
      <c r="L89" s="44">
        <v>490.79</v>
      </c>
      <c r="M89" s="44">
        <v>460.01</v>
      </c>
      <c r="N89" s="44">
        <v>460.0</v>
      </c>
      <c r="O89" s="44">
        <v>13.5</v>
      </c>
      <c r="P89" s="44">
        <v>8.9</v>
      </c>
      <c r="Q89" s="44">
        <v>7.3</v>
      </c>
      <c r="R89" s="44">
        <v>5.1</v>
      </c>
      <c r="S89" s="44">
        <v>999.0</v>
      </c>
      <c r="T89" s="44">
        <v>13.5</v>
      </c>
      <c r="U89" s="44">
        <v>999.0</v>
      </c>
      <c r="V89" s="46">
        <f>IFERROR(VLOOKUP(B89,Products!$A$2:$W$1000,16,0),"")</f>
        <v>579</v>
      </c>
      <c r="W89" s="46">
        <f t="shared" si="1"/>
        <v>13.5</v>
      </c>
      <c r="X89" s="44" t="s">
        <v>738</v>
      </c>
    </row>
    <row r="90">
      <c r="A90" s="44" t="s">
        <v>223</v>
      </c>
      <c r="B90" s="44">
        <v>2.0000041025165E13</v>
      </c>
      <c r="C90" s="45"/>
      <c r="D90" s="45"/>
      <c r="E90" s="44" t="s">
        <v>797</v>
      </c>
      <c r="F90" s="44" t="s">
        <v>72</v>
      </c>
      <c r="G90" s="44" t="s">
        <v>178</v>
      </c>
      <c r="H90" s="44">
        <v>0.0</v>
      </c>
      <c r="I90" s="44">
        <v>485.92</v>
      </c>
      <c r="J90" s="44">
        <v>485.91</v>
      </c>
      <c r="K90" s="44">
        <v>448.5</v>
      </c>
      <c r="L90" s="44">
        <v>448.49</v>
      </c>
      <c r="M90" s="44">
        <v>403.02</v>
      </c>
      <c r="N90" s="44">
        <v>403.01</v>
      </c>
      <c r="O90" s="44">
        <v>16.5</v>
      </c>
      <c r="P90" s="44">
        <v>6.3</v>
      </c>
      <c r="Q90" s="44">
        <v>3.5</v>
      </c>
      <c r="R90" s="44">
        <v>2.7</v>
      </c>
      <c r="S90" s="44">
        <v>719.0</v>
      </c>
      <c r="T90" s="44">
        <v>16.5</v>
      </c>
      <c r="U90" s="44">
        <v>719.0</v>
      </c>
      <c r="V90" s="46" t="str">
        <f>IFERROR(VLOOKUP(B90,Products!$A$2:$W$1000,16,0),"")</f>
        <v/>
      </c>
      <c r="W90" s="46" t="str">
        <f t="shared" si="1"/>
        <v>-</v>
      </c>
      <c r="X90" s="44" t="s">
        <v>738</v>
      </c>
    </row>
    <row r="91">
      <c r="A91" s="44" t="s">
        <v>98</v>
      </c>
      <c r="B91" s="44">
        <v>5.060255492291E12</v>
      </c>
      <c r="C91" s="45"/>
      <c r="D91" s="45"/>
      <c r="E91" s="44" t="s">
        <v>798</v>
      </c>
      <c r="F91" s="44" t="s">
        <v>96</v>
      </c>
      <c r="G91" s="44" t="s">
        <v>94</v>
      </c>
      <c r="H91" s="44">
        <v>99.0</v>
      </c>
      <c r="I91" s="44">
        <v>927.48</v>
      </c>
      <c r="J91" s="44">
        <v>927.47</v>
      </c>
      <c r="K91" s="44">
        <v>872.61</v>
      </c>
      <c r="L91" s="44">
        <v>872.6</v>
      </c>
      <c r="M91" s="44">
        <v>806.24</v>
      </c>
      <c r="N91" s="44">
        <v>806.23</v>
      </c>
      <c r="O91" s="44">
        <v>14.5</v>
      </c>
      <c r="P91" s="44">
        <v>12.8</v>
      </c>
      <c r="Q91" s="44">
        <v>11.1</v>
      </c>
      <c r="R91" s="44">
        <v>8.7</v>
      </c>
      <c r="S91" s="44">
        <v>1200.0</v>
      </c>
      <c r="T91" s="44">
        <v>14.5</v>
      </c>
      <c r="U91" s="44">
        <v>1200.0</v>
      </c>
      <c r="V91" s="46">
        <f>IFERROR(VLOOKUP(B91,Products!$A$2:$W$1000,16,0),"")</f>
        <v>1048.5</v>
      </c>
      <c r="W91" s="46">
        <f t="shared" si="1"/>
        <v>14.5</v>
      </c>
      <c r="X91" s="44" t="s">
        <v>738</v>
      </c>
    </row>
    <row r="92">
      <c r="A92" s="44" t="s">
        <v>113</v>
      </c>
      <c r="B92" s="44">
        <v>8.410650218663E12</v>
      </c>
      <c r="C92" s="45"/>
      <c r="D92" s="45"/>
      <c r="E92" s="44" t="s">
        <v>799</v>
      </c>
      <c r="F92" s="44" t="s">
        <v>72</v>
      </c>
      <c r="G92" s="44" t="s">
        <v>108</v>
      </c>
      <c r="H92" s="44">
        <v>0.0</v>
      </c>
      <c r="I92" s="44">
        <v>4515.74</v>
      </c>
      <c r="J92" s="44">
        <v>4515.73</v>
      </c>
      <c r="K92" s="44">
        <v>4387.83</v>
      </c>
      <c r="L92" s="44">
        <v>4387.82</v>
      </c>
      <c r="M92" s="44">
        <v>4210.66</v>
      </c>
      <c r="N92" s="44">
        <v>4210.65</v>
      </c>
      <c r="O92" s="44">
        <v>16.5</v>
      </c>
      <c r="P92" s="44">
        <v>15.4</v>
      </c>
      <c r="Q92" s="44">
        <v>14.7</v>
      </c>
      <c r="R92" s="44">
        <v>13.6</v>
      </c>
      <c r="S92" s="44">
        <v>4515.0</v>
      </c>
      <c r="T92" s="44">
        <v>15.4</v>
      </c>
      <c r="U92" s="44">
        <v>4515.0</v>
      </c>
      <c r="V92" s="46" t="str">
        <f>IFERROR(VLOOKUP(B92,Products!$A$2:$W$1000,16,0),"")</f>
        <v/>
      </c>
      <c r="W92" s="46" t="str">
        <f t="shared" si="1"/>
        <v>-</v>
      </c>
      <c r="X92" s="44" t="s">
        <v>738</v>
      </c>
    </row>
    <row r="93">
      <c r="A93" s="44" t="s">
        <v>163</v>
      </c>
      <c r="B93" s="44" t="s">
        <v>162</v>
      </c>
      <c r="C93" s="45"/>
      <c r="D93" s="45"/>
      <c r="E93" s="44" t="s">
        <v>800</v>
      </c>
      <c r="F93" s="44" t="s">
        <v>72</v>
      </c>
      <c r="G93" s="44" t="s">
        <v>153</v>
      </c>
      <c r="H93" s="44">
        <v>0.0</v>
      </c>
      <c r="I93" s="44">
        <v>495.63</v>
      </c>
      <c r="J93" s="44">
        <v>495.62</v>
      </c>
      <c r="K93" s="44">
        <v>473.22</v>
      </c>
      <c r="L93" s="44">
        <v>473.21</v>
      </c>
      <c r="M93" s="44">
        <v>445.67</v>
      </c>
      <c r="N93" s="44">
        <v>445.66</v>
      </c>
      <c r="O93" s="44">
        <v>16.5</v>
      </c>
      <c r="P93" s="44">
        <v>9.0</v>
      </c>
      <c r="Q93" s="44">
        <v>7.5</v>
      </c>
      <c r="R93" s="44">
        <v>5.5</v>
      </c>
      <c r="S93" s="44">
        <v>599.0</v>
      </c>
      <c r="T93" s="44">
        <v>16.5</v>
      </c>
      <c r="U93" s="44">
        <v>599.0</v>
      </c>
      <c r="V93" s="46" t="str">
        <f>IFERROR(VLOOKUP(B93,Products!$A$2:$W$1000,16,0),"")</f>
        <v/>
      </c>
      <c r="W93" s="46" t="str">
        <f t="shared" si="1"/>
        <v>-</v>
      </c>
      <c r="X93" s="44" t="s">
        <v>738</v>
      </c>
    </row>
    <row r="94">
      <c r="A94" s="44" t="s">
        <v>325</v>
      </c>
      <c r="B94" s="44">
        <v>5.2742059655E10</v>
      </c>
      <c r="C94" s="45"/>
      <c r="D94" s="45"/>
      <c r="E94" s="44">
        <v>5.2742022802E10</v>
      </c>
      <c r="F94" s="44" t="s">
        <v>72</v>
      </c>
      <c r="G94" s="44" t="s">
        <v>229</v>
      </c>
      <c r="H94" s="44">
        <v>100.0</v>
      </c>
      <c r="I94" s="44">
        <v>720.58</v>
      </c>
      <c r="J94" s="44">
        <v>720.57</v>
      </c>
      <c r="K94" s="44">
        <v>654.6</v>
      </c>
      <c r="L94" s="44">
        <v>654.59</v>
      </c>
      <c r="M94" s="44">
        <v>567.35</v>
      </c>
      <c r="N94" s="44">
        <v>567.34</v>
      </c>
      <c r="O94" s="44">
        <v>12.5</v>
      </c>
      <c r="P94" s="44">
        <v>7.7</v>
      </c>
      <c r="Q94" s="44">
        <v>4.4</v>
      </c>
      <c r="R94" s="44">
        <v>3.0</v>
      </c>
      <c r="S94" s="44">
        <v>925.0</v>
      </c>
      <c r="T94" s="44">
        <v>12.5</v>
      </c>
      <c r="U94" s="44">
        <v>925.0</v>
      </c>
      <c r="V94" s="46">
        <f>IFERROR(VLOOKUP(B94,Products!$A$2:$W$1000,16,0),"")</f>
        <v>846.55</v>
      </c>
      <c r="W94" s="46">
        <f t="shared" si="1"/>
        <v>12.5</v>
      </c>
      <c r="X94" s="44" t="s">
        <v>738</v>
      </c>
    </row>
    <row r="95">
      <c r="A95" s="44" t="s">
        <v>106</v>
      </c>
      <c r="B95" s="44">
        <v>5.060255492161E12</v>
      </c>
      <c r="C95" s="45"/>
      <c r="D95" s="45"/>
      <c r="E95" s="44" t="s">
        <v>801</v>
      </c>
      <c r="F95" s="44" t="s">
        <v>96</v>
      </c>
      <c r="G95" s="44" t="s">
        <v>94</v>
      </c>
      <c r="H95" s="44">
        <v>1.0</v>
      </c>
      <c r="I95" s="44">
        <v>975.14</v>
      </c>
      <c r="J95" s="44">
        <v>975.13</v>
      </c>
      <c r="K95" s="44">
        <v>880.5</v>
      </c>
      <c r="L95" s="44">
        <v>880.49</v>
      </c>
      <c r="M95" s="44">
        <v>765.02</v>
      </c>
      <c r="N95" s="44">
        <v>765.01</v>
      </c>
      <c r="O95" s="44">
        <v>14.5</v>
      </c>
      <c r="P95" s="44">
        <v>11.9</v>
      </c>
      <c r="Q95" s="44">
        <v>8.9</v>
      </c>
      <c r="R95" s="44">
        <v>4.2</v>
      </c>
      <c r="S95" s="44">
        <v>1399.0</v>
      </c>
      <c r="T95" s="44">
        <v>14.5</v>
      </c>
      <c r="U95" s="44">
        <v>1399.0</v>
      </c>
      <c r="V95" s="46">
        <f>IFERROR(VLOOKUP(B95,Products!$A$2:$W$1000,16,0),"")</f>
        <v>1169.1</v>
      </c>
      <c r="W95" s="46">
        <f t="shared" si="1"/>
        <v>14.5</v>
      </c>
      <c r="X95" s="44" t="s">
        <v>738</v>
      </c>
    </row>
    <row r="96">
      <c r="A96" s="44" t="s">
        <v>412</v>
      </c>
      <c r="B96" s="44" t="s">
        <v>411</v>
      </c>
      <c r="C96" s="45"/>
      <c r="D96" s="45"/>
      <c r="E96" s="44" t="s">
        <v>802</v>
      </c>
      <c r="F96" s="44" t="s">
        <v>52</v>
      </c>
      <c r="G96" s="44" t="s">
        <v>187</v>
      </c>
      <c r="H96" s="44">
        <v>58.0</v>
      </c>
      <c r="I96" s="44">
        <v>788.9</v>
      </c>
      <c r="J96" s="44">
        <v>788.89</v>
      </c>
      <c r="K96" s="44">
        <v>742.86</v>
      </c>
      <c r="L96" s="44">
        <v>742.85</v>
      </c>
      <c r="M96" s="44">
        <v>687.4</v>
      </c>
      <c r="N96" s="44">
        <v>687.39</v>
      </c>
      <c r="O96" s="44">
        <v>13.5</v>
      </c>
      <c r="P96" s="44">
        <v>6.7</v>
      </c>
      <c r="Q96" s="44">
        <v>4.6</v>
      </c>
      <c r="R96" s="44">
        <v>2.7</v>
      </c>
      <c r="S96" s="44">
        <v>781.0</v>
      </c>
      <c r="T96" s="44">
        <v>6.7</v>
      </c>
      <c r="U96" s="44">
        <v>781.0</v>
      </c>
      <c r="V96" s="46">
        <f>IFERROR(VLOOKUP(B96,Products!$A$2:$W$1000,16,0),"")</f>
        <v>742.85</v>
      </c>
      <c r="W96" s="46">
        <f t="shared" si="1"/>
        <v>4.6</v>
      </c>
      <c r="X96" s="44" t="s">
        <v>738</v>
      </c>
    </row>
    <row r="97">
      <c r="A97" s="44" t="s">
        <v>365</v>
      </c>
      <c r="B97" s="44">
        <v>9.003579308738E12</v>
      </c>
      <c r="C97" s="45"/>
      <c r="D97" s="45"/>
      <c r="E97" s="44" t="s">
        <v>803</v>
      </c>
      <c r="F97" s="44" t="s">
        <v>52</v>
      </c>
      <c r="G97" s="44" t="s">
        <v>53</v>
      </c>
      <c r="H97" s="44">
        <v>5.0</v>
      </c>
      <c r="I97" s="44">
        <v>548.2</v>
      </c>
      <c r="J97" s="44">
        <v>548.19</v>
      </c>
      <c r="K97" s="44">
        <v>502.0</v>
      </c>
      <c r="L97" s="44">
        <v>501.99</v>
      </c>
      <c r="M97" s="44">
        <v>445.85</v>
      </c>
      <c r="N97" s="44">
        <v>445.84</v>
      </c>
      <c r="O97" s="44">
        <v>12.5</v>
      </c>
      <c r="P97" s="44">
        <v>8.0</v>
      </c>
      <c r="Q97" s="44">
        <v>5.0</v>
      </c>
      <c r="R97" s="44">
        <v>3.0</v>
      </c>
      <c r="S97" s="44">
        <v>850.0</v>
      </c>
      <c r="T97" s="44">
        <v>12.5</v>
      </c>
      <c r="U97" s="44">
        <v>850.0</v>
      </c>
      <c r="V97" s="46">
        <f>IFERROR(VLOOKUP(B97,Products!$A$2:$W$1000,16,0),"")</f>
        <v>527.09</v>
      </c>
      <c r="W97" s="46">
        <f t="shared" si="1"/>
        <v>8</v>
      </c>
      <c r="X97" s="44" t="s">
        <v>738</v>
      </c>
    </row>
    <row r="98">
      <c r="A98" s="44" t="s">
        <v>473</v>
      </c>
      <c r="B98" s="44">
        <v>4.290919942723E12</v>
      </c>
      <c r="C98" s="45"/>
      <c r="D98" s="45"/>
      <c r="E98" s="44" t="s">
        <v>804</v>
      </c>
      <c r="F98" s="44" t="s">
        <v>72</v>
      </c>
      <c r="G98" s="44" t="s">
        <v>229</v>
      </c>
      <c r="H98" s="44">
        <v>0.0</v>
      </c>
      <c r="I98" s="44">
        <v>2091.25</v>
      </c>
      <c r="J98" s="44">
        <v>2091.24</v>
      </c>
      <c r="K98" s="44">
        <v>2026.17</v>
      </c>
      <c r="L98" s="44">
        <v>2026.16</v>
      </c>
      <c r="M98" s="44">
        <v>1935.96</v>
      </c>
      <c r="N98" s="44">
        <v>1935.95</v>
      </c>
      <c r="O98" s="44">
        <v>12.5</v>
      </c>
      <c r="P98" s="44">
        <v>11.8</v>
      </c>
      <c r="Q98" s="44">
        <v>10.9</v>
      </c>
      <c r="R98" s="44">
        <v>9.5</v>
      </c>
      <c r="S98" s="44">
        <v>2329.0</v>
      </c>
      <c r="T98" s="44">
        <v>12.5</v>
      </c>
      <c r="U98" s="44">
        <v>2329.0</v>
      </c>
      <c r="V98" s="46" t="str">
        <f>IFERROR(VLOOKUP(B98,Products!$A$2:$W$1000,16,0),"")</f>
        <v/>
      </c>
      <c r="W98" s="46" t="str">
        <f t="shared" si="1"/>
        <v>-</v>
      </c>
      <c r="X98" s="44" t="s">
        <v>738</v>
      </c>
    </row>
    <row r="99">
      <c r="A99" s="44" t="s">
        <v>315</v>
      </c>
      <c r="B99" s="44">
        <v>2.05482668168001E14</v>
      </c>
      <c r="C99" s="45"/>
      <c r="D99" s="45"/>
      <c r="E99" s="44" t="s">
        <v>805</v>
      </c>
      <c r="F99" s="44" t="s">
        <v>131</v>
      </c>
      <c r="G99" s="44" t="s">
        <v>303</v>
      </c>
      <c r="H99" s="44">
        <v>10.0</v>
      </c>
      <c r="I99" s="44">
        <v>601.49</v>
      </c>
      <c r="J99" s="44">
        <v>601.48</v>
      </c>
      <c r="K99" s="44">
        <v>569.11</v>
      </c>
      <c r="L99" s="44">
        <v>569.1</v>
      </c>
      <c r="M99" s="44">
        <v>530.19</v>
      </c>
      <c r="N99" s="44">
        <v>530.18</v>
      </c>
      <c r="O99" s="44">
        <v>12.5</v>
      </c>
      <c r="P99" s="44">
        <v>11.4</v>
      </c>
      <c r="Q99" s="44">
        <v>9.7</v>
      </c>
      <c r="R99" s="44">
        <v>7.5</v>
      </c>
      <c r="S99" s="44">
        <v>975.0</v>
      </c>
      <c r="T99" s="44">
        <v>12.5</v>
      </c>
      <c r="U99" s="44">
        <v>975.0</v>
      </c>
      <c r="V99" s="46">
        <f>IFERROR(VLOOKUP(B99,Products!$A$2:$W$1000,16,0),"")</f>
        <v>640</v>
      </c>
      <c r="W99" s="46">
        <f t="shared" si="1"/>
        <v>12.5</v>
      </c>
      <c r="X99" s="44" t="s">
        <v>738</v>
      </c>
    </row>
    <row r="100">
      <c r="A100" s="44" t="s">
        <v>649</v>
      </c>
      <c r="B100" s="44" t="s">
        <v>648</v>
      </c>
      <c r="C100" s="45"/>
      <c r="D100" s="45"/>
      <c r="E100" s="44" t="s">
        <v>806</v>
      </c>
      <c r="F100" s="44" t="s">
        <v>52</v>
      </c>
      <c r="G100" s="44" t="s">
        <v>50</v>
      </c>
      <c r="H100" s="44">
        <v>3.0</v>
      </c>
      <c r="I100" s="44">
        <v>954.85</v>
      </c>
      <c r="J100" s="44">
        <v>954.84</v>
      </c>
      <c r="K100" s="44">
        <v>910.08</v>
      </c>
      <c r="L100" s="44">
        <v>910.07</v>
      </c>
      <c r="M100" s="44">
        <v>855.69</v>
      </c>
      <c r="N100" s="44">
        <v>855.68</v>
      </c>
      <c r="O100" s="44">
        <v>12.5</v>
      </c>
      <c r="P100" s="44">
        <v>8.9</v>
      </c>
      <c r="Q100" s="44">
        <v>7.4</v>
      </c>
      <c r="R100" s="44">
        <v>5.3</v>
      </c>
      <c r="S100" s="44">
        <v>1250.0</v>
      </c>
      <c r="T100" s="44">
        <v>12.5</v>
      </c>
      <c r="U100" s="44">
        <v>1250.0</v>
      </c>
      <c r="V100" s="46">
        <f>IFERROR(VLOOKUP(B100,Products!$A$2:$W$1000,16,0),"")</f>
        <v>932.84</v>
      </c>
      <c r="W100" s="46">
        <f t="shared" si="1"/>
        <v>8.9</v>
      </c>
      <c r="X100" s="44" t="s">
        <v>738</v>
      </c>
    </row>
    <row r="101">
      <c r="A101" s="44" t="s">
        <v>643</v>
      </c>
      <c r="B101" s="44" t="s">
        <v>642</v>
      </c>
      <c r="C101" s="45"/>
      <c r="D101" s="45"/>
      <c r="E101" s="44" t="s">
        <v>807</v>
      </c>
      <c r="F101" s="44" t="s">
        <v>52</v>
      </c>
      <c r="G101" s="44" t="s">
        <v>50</v>
      </c>
      <c r="H101" s="44">
        <v>10.0</v>
      </c>
      <c r="I101" s="44">
        <v>826.08</v>
      </c>
      <c r="J101" s="44">
        <v>826.07</v>
      </c>
      <c r="K101" s="44">
        <v>802.26</v>
      </c>
      <c r="L101" s="44">
        <v>802.25</v>
      </c>
      <c r="M101" s="44">
        <v>769.92</v>
      </c>
      <c r="N101" s="44">
        <v>769.91</v>
      </c>
      <c r="O101" s="44">
        <v>12.5</v>
      </c>
      <c r="P101" s="44">
        <v>9.3</v>
      </c>
      <c r="Q101" s="44">
        <v>8.4</v>
      </c>
      <c r="R101" s="44">
        <v>7.0</v>
      </c>
      <c r="S101" s="44">
        <v>1250.0</v>
      </c>
      <c r="T101" s="44">
        <v>12.5</v>
      </c>
      <c r="U101" s="44">
        <v>1250.0</v>
      </c>
      <c r="V101" s="46">
        <f>IFERROR(VLOOKUP(B101,Products!$A$2:$W$1000,16,0),"")</f>
        <v>795</v>
      </c>
      <c r="W101" s="46">
        <f t="shared" si="1"/>
        <v>8.4</v>
      </c>
      <c r="X101" s="44" t="s">
        <v>738</v>
      </c>
    </row>
    <row r="102">
      <c r="A102" s="44" t="s">
        <v>341</v>
      </c>
      <c r="B102" s="44">
        <v>7.613031680992E12</v>
      </c>
      <c r="C102" s="45"/>
      <c r="D102" s="45"/>
      <c r="E102" s="44">
        <v>7.613031680992E12</v>
      </c>
      <c r="F102" s="44" t="s">
        <v>52</v>
      </c>
      <c r="G102" s="44" t="s">
        <v>187</v>
      </c>
      <c r="H102" s="44">
        <v>65.0</v>
      </c>
      <c r="I102" s="44">
        <v>806.45</v>
      </c>
      <c r="J102" s="44">
        <v>806.44</v>
      </c>
      <c r="K102" s="44">
        <v>768.56</v>
      </c>
      <c r="L102" s="44">
        <v>768.55</v>
      </c>
      <c r="M102" s="44">
        <v>722.53</v>
      </c>
      <c r="N102" s="44">
        <v>722.52</v>
      </c>
      <c r="O102" s="44">
        <v>13.5</v>
      </c>
      <c r="P102" s="44">
        <v>7.0</v>
      </c>
      <c r="Q102" s="44">
        <v>5.3</v>
      </c>
      <c r="R102" s="44">
        <v>3.1</v>
      </c>
      <c r="S102" s="44">
        <v>796.0</v>
      </c>
      <c r="T102" s="44">
        <v>7.0</v>
      </c>
      <c r="U102" s="44">
        <v>796.0</v>
      </c>
      <c r="V102" s="46">
        <f>IFERROR(VLOOKUP(B102,Products!$A$2:$W$1000,16,0),"")</f>
        <v>806.44</v>
      </c>
      <c r="W102" s="46">
        <f t="shared" si="1"/>
        <v>7</v>
      </c>
      <c r="X102" s="44" t="s">
        <v>738</v>
      </c>
    </row>
    <row r="103">
      <c r="A103" s="44" t="s">
        <v>58</v>
      </c>
      <c r="B103" s="44">
        <v>7.613035214798E12</v>
      </c>
      <c r="C103" s="45"/>
      <c r="D103" s="45"/>
      <c r="E103" s="44" t="s">
        <v>808</v>
      </c>
      <c r="F103" s="44" t="s">
        <v>59</v>
      </c>
      <c r="G103" s="44" t="s">
        <v>50</v>
      </c>
      <c r="H103" s="44">
        <v>0.0</v>
      </c>
      <c r="I103" s="44">
        <v>1061.4</v>
      </c>
      <c r="J103" s="44">
        <v>1061.39</v>
      </c>
      <c r="K103" s="44">
        <v>998.67</v>
      </c>
      <c r="L103" s="44">
        <v>998.66</v>
      </c>
      <c r="M103" s="44">
        <v>922.81</v>
      </c>
      <c r="N103" s="44">
        <v>922.8</v>
      </c>
      <c r="O103" s="44">
        <v>12.5</v>
      </c>
      <c r="P103" s="44">
        <v>8.6</v>
      </c>
      <c r="Q103" s="44">
        <v>6.6</v>
      </c>
      <c r="R103" s="44">
        <v>3.9</v>
      </c>
      <c r="S103" s="44">
        <v>1500.0</v>
      </c>
      <c r="T103" s="44">
        <v>12.5</v>
      </c>
      <c r="U103" s="44">
        <v>1500.0</v>
      </c>
      <c r="V103" s="46" t="str">
        <f>IFERROR(VLOOKUP(B103,Products!$A$2:$W$1000,16,0),"")</f>
        <v/>
      </c>
      <c r="W103" s="46" t="str">
        <f t="shared" si="1"/>
        <v>-</v>
      </c>
      <c r="X103" s="44" t="s">
        <v>738</v>
      </c>
    </row>
    <row r="104">
      <c r="A104" s="44" t="s">
        <v>95</v>
      </c>
      <c r="B104" s="44">
        <v>5.060412212489E12</v>
      </c>
      <c r="C104" s="45"/>
      <c r="D104" s="45"/>
      <c r="E104" s="44" t="s">
        <v>809</v>
      </c>
      <c r="F104" s="44" t="s">
        <v>96</v>
      </c>
      <c r="G104" s="44" t="s">
        <v>94</v>
      </c>
      <c r="H104" s="44">
        <v>99.0</v>
      </c>
      <c r="I104" s="44">
        <v>996.47</v>
      </c>
      <c r="J104" s="44">
        <v>996.46</v>
      </c>
      <c r="K104" s="44">
        <v>948.0</v>
      </c>
      <c r="L104" s="44">
        <v>947.99</v>
      </c>
      <c r="M104" s="44">
        <v>889.27</v>
      </c>
      <c r="N104" s="44">
        <v>889.26</v>
      </c>
      <c r="O104" s="44">
        <v>14.5</v>
      </c>
      <c r="P104" s="44">
        <v>13.0</v>
      </c>
      <c r="Q104" s="44">
        <v>11.7</v>
      </c>
      <c r="R104" s="44">
        <v>9.8</v>
      </c>
      <c r="S104" s="44">
        <v>1200.0</v>
      </c>
      <c r="T104" s="44">
        <v>14.5</v>
      </c>
      <c r="U104" s="44">
        <v>1200.0</v>
      </c>
      <c r="V104" s="46">
        <f>IFERROR(VLOOKUP(B104,Products!$A$2:$W$1000,16,0),"")</f>
        <v>1169.1</v>
      </c>
      <c r="W104" s="46">
        <f t="shared" si="1"/>
        <v>14.5</v>
      </c>
      <c r="X104" s="44" t="s">
        <v>738</v>
      </c>
    </row>
    <row r="105">
      <c r="A105" s="44" t="s">
        <v>482</v>
      </c>
      <c r="B105" s="44">
        <v>5.2742043814E10</v>
      </c>
      <c r="C105" s="45"/>
      <c r="D105" s="45"/>
      <c r="E105" s="44">
        <v>5.2742043814E10</v>
      </c>
      <c r="F105" s="44" t="s">
        <v>72</v>
      </c>
      <c r="G105" s="44" t="s">
        <v>229</v>
      </c>
      <c r="H105" s="44">
        <v>0.0</v>
      </c>
      <c r="I105" s="44">
        <v>2134.7</v>
      </c>
      <c r="J105" s="44">
        <v>2134.69</v>
      </c>
      <c r="K105" s="44">
        <v>2034.79</v>
      </c>
      <c r="L105" s="44">
        <v>2034.78</v>
      </c>
      <c r="M105" s="44">
        <v>1913.39</v>
      </c>
      <c r="N105" s="44">
        <v>1913.38</v>
      </c>
      <c r="O105" s="44">
        <v>12.5</v>
      </c>
      <c r="P105" s="44">
        <v>11.5</v>
      </c>
      <c r="Q105" s="44">
        <v>10.1</v>
      </c>
      <c r="R105" s="44">
        <v>8.2</v>
      </c>
      <c r="S105" s="44">
        <v>2299.0</v>
      </c>
      <c r="T105" s="44">
        <v>12.5</v>
      </c>
      <c r="U105" s="44">
        <v>2299.0</v>
      </c>
      <c r="V105" s="46" t="str">
        <f>IFERROR(VLOOKUP(B105,Products!$A$2:$W$1000,16,0),"")</f>
        <v/>
      </c>
      <c r="W105" s="46" t="str">
        <f t="shared" si="1"/>
        <v>-</v>
      </c>
      <c r="X105" s="44" t="s">
        <v>738</v>
      </c>
    </row>
    <row r="106">
      <c r="A106" s="44" t="s">
        <v>421</v>
      </c>
      <c r="B106" s="44" t="s">
        <v>420</v>
      </c>
      <c r="C106" s="45"/>
      <c r="D106" s="45"/>
      <c r="E106" s="44" t="s">
        <v>810</v>
      </c>
      <c r="F106" s="44" t="s">
        <v>52</v>
      </c>
      <c r="G106" s="44" t="s">
        <v>137</v>
      </c>
      <c r="H106" s="44">
        <v>5.0</v>
      </c>
      <c r="I106" s="44">
        <v>537.84</v>
      </c>
      <c r="J106" s="44">
        <v>537.83</v>
      </c>
      <c r="K106" s="44">
        <v>511.15</v>
      </c>
      <c r="L106" s="44">
        <v>511.14</v>
      </c>
      <c r="M106" s="44">
        <v>478.83</v>
      </c>
      <c r="N106" s="44">
        <v>478.82</v>
      </c>
      <c r="O106" s="44">
        <v>13.5</v>
      </c>
      <c r="P106" s="44">
        <v>6.9</v>
      </c>
      <c r="Q106" s="44">
        <v>5.2</v>
      </c>
      <c r="R106" s="44">
        <v>2.8</v>
      </c>
      <c r="S106" s="44">
        <v>699.0</v>
      </c>
      <c r="T106" s="44">
        <v>13.5</v>
      </c>
      <c r="U106" s="44">
        <v>699.0</v>
      </c>
      <c r="V106" s="46">
        <f>IFERROR(VLOOKUP(B106,Products!$A$2:$W$1000,16,0),"")</f>
        <v>507.27</v>
      </c>
      <c r="W106" s="46">
        <f t="shared" si="1"/>
        <v>5.2</v>
      </c>
      <c r="X106" s="44" t="s">
        <v>738</v>
      </c>
    </row>
    <row r="107">
      <c r="A107" s="44" t="s">
        <v>165</v>
      </c>
      <c r="B107" s="44">
        <v>8.681299601264E12</v>
      </c>
      <c r="C107" s="45"/>
      <c r="D107" s="45"/>
      <c r="E107" s="44" t="s">
        <v>811</v>
      </c>
      <c r="F107" s="44" t="s">
        <v>72</v>
      </c>
      <c r="G107" s="44" t="s">
        <v>153</v>
      </c>
      <c r="H107" s="44">
        <v>0.0</v>
      </c>
      <c r="I107" s="44">
        <v>526.31</v>
      </c>
      <c r="J107" s="44">
        <v>526.3</v>
      </c>
      <c r="K107" s="44">
        <v>506.31</v>
      </c>
      <c r="L107" s="44">
        <v>506.3</v>
      </c>
      <c r="M107" s="44">
        <v>478.97</v>
      </c>
      <c r="N107" s="44">
        <v>478.96</v>
      </c>
      <c r="O107" s="44">
        <v>16.5</v>
      </c>
      <c r="P107" s="44">
        <v>9.0</v>
      </c>
      <c r="Q107" s="44">
        <v>7.8</v>
      </c>
      <c r="R107" s="44">
        <v>6.0</v>
      </c>
      <c r="S107" s="44">
        <v>599.0</v>
      </c>
      <c r="T107" s="44">
        <v>16.5</v>
      </c>
      <c r="U107" s="44">
        <v>599.0</v>
      </c>
      <c r="V107" s="46" t="str">
        <f>IFERROR(VLOOKUP(B107,Products!$A$2:$W$1000,16,0),"")</f>
        <v/>
      </c>
      <c r="W107" s="46" t="str">
        <f t="shared" si="1"/>
        <v>-</v>
      </c>
      <c r="X107" s="44" t="s">
        <v>738</v>
      </c>
    </row>
    <row r="108">
      <c r="A108" s="44" t="s">
        <v>146</v>
      </c>
      <c r="B108" s="44">
        <v>8.681002997592E12</v>
      </c>
      <c r="C108" s="45"/>
      <c r="D108" s="45"/>
      <c r="E108" s="44">
        <v>8.681002997592E12</v>
      </c>
      <c r="F108" s="44" t="s">
        <v>131</v>
      </c>
      <c r="G108" s="44" t="s">
        <v>129</v>
      </c>
      <c r="H108" s="44">
        <v>99.0</v>
      </c>
      <c r="I108" s="44">
        <v>1391.81</v>
      </c>
      <c r="J108" s="44">
        <v>1391.8</v>
      </c>
      <c r="K108" s="44">
        <v>1349.41</v>
      </c>
      <c r="L108" s="44">
        <v>1349.4</v>
      </c>
      <c r="M108" s="44">
        <v>1290.88</v>
      </c>
      <c r="N108" s="44">
        <v>1290.87</v>
      </c>
      <c r="O108" s="44">
        <v>20.0</v>
      </c>
      <c r="P108" s="44">
        <v>9.2</v>
      </c>
      <c r="Q108" s="44">
        <v>8.3</v>
      </c>
      <c r="R108" s="44">
        <v>6.8</v>
      </c>
      <c r="S108" s="44">
        <v>1750.0</v>
      </c>
      <c r="T108" s="44">
        <v>20.0</v>
      </c>
      <c r="U108" s="44">
        <v>1750.0</v>
      </c>
      <c r="V108" s="46">
        <f>IFERROR(VLOOKUP(B108,Products!$A$2:$W$1000,16,0),"")</f>
        <v>1455</v>
      </c>
      <c r="W108" s="46">
        <f t="shared" si="1"/>
        <v>20</v>
      </c>
      <c r="X108" s="44" t="s">
        <v>738</v>
      </c>
    </row>
    <row r="109">
      <c r="A109" s="44" t="s">
        <v>122</v>
      </c>
      <c r="B109" s="44" t="s">
        <v>120</v>
      </c>
      <c r="C109" s="45"/>
      <c r="D109" s="45"/>
      <c r="E109" s="44" t="s">
        <v>812</v>
      </c>
      <c r="F109" s="44" t="s">
        <v>52</v>
      </c>
      <c r="G109" s="44" t="s">
        <v>121</v>
      </c>
      <c r="H109" s="44">
        <v>0.0</v>
      </c>
      <c r="I109" s="44">
        <v>1004.6</v>
      </c>
      <c r="J109" s="44">
        <v>1004.59</v>
      </c>
      <c r="K109" s="44">
        <v>954.61</v>
      </c>
      <c r="L109" s="44">
        <v>954.6</v>
      </c>
      <c r="M109" s="44">
        <v>894.08</v>
      </c>
      <c r="N109" s="44">
        <v>894.07</v>
      </c>
      <c r="O109" s="44">
        <v>13.5</v>
      </c>
      <c r="P109" s="44">
        <v>8.9</v>
      </c>
      <c r="Q109" s="44">
        <v>7.2</v>
      </c>
      <c r="R109" s="44">
        <v>5.0</v>
      </c>
      <c r="S109" s="44">
        <v>1119.0</v>
      </c>
      <c r="T109" s="44">
        <v>13.5</v>
      </c>
      <c r="U109" s="44">
        <v>1119.0</v>
      </c>
      <c r="V109" s="46" t="str">
        <f>IFERROR(VLOOKUP(B109,Products!$A$2:$W$1000,16,0),"")</f>
        <v/>
      </c>
      <c r="W109" s="46" t="str">
        <f t="shared" si="1"/>
        <v>-</v>
      </c>
      <c r="X109" s="44" t="s">
        <v>738</v>
      </c>
    </row>
    <row r="110">
      <c r="A110" s="44" t="s">
        <v>97</v>
      </c>
      <c r="B110" s="44">
        <v>5.060255492253E12</v>
      </c>
      <c r="C110" s="45"/>
      <c r="D110" s="45"/>
      <c r="E110" s="44">
        <v>839007.0</v>
      </c>
      <c r="F110" s="44" t="s">
        <v>96</v>
      </c>
      <c r="G110" s="44" t="s">
        <v>94</v>
      </c>
      <c r="H110" s="44">
        <v>98.0</v>
      </c>
      <c r="I110" s="44">
        <v>1125.08</v>
      </c>
      <c r="J110" s="44">
        <v>1125.07</v>
      </c>
      <c r="K110" s="44">
        <v>1057.16</v>
      </c>
      <c r="L110" s="44">
        <v>1057.15</v>
      </c>
      <c r="M110" s="44">
        <v>974.74</v>
      </c>
      <c r="N110" s="44">
        <v>974.73</v>
      </c>
      <c r="O110" s="44">
        <v>14.5</v>
      </c>
      <c r="P110" s="44">
        <v>13.3</v>
      </c>
      <c r="Q110" s="44">
        <v>11.6</v>
      </c>
      <c r="R110" s="44">
        <v>9.1</v>
      </c>
      <c r="S110" s="44">
        <v>1400.0</v>
      </c>
      <c r="T110" s="44">
        <v>14.5</v>
      </c>
      <c r="U110" s="44">
        <v>1400.0</v>
      </c>
      <c r="V110" s="46">
        <f>IFERROR(VLOOKUP(B110,Products!$A$2:$W$1000,16,0),"")</f>
        <v>1124.1</v>
      </c>
      <c r="W110" s="46">
        <f t="shared" si="1"/>
        <v>13.3</v>
      </c>
      <c r="X110" s="44" t="s">
        <v>738</v>
      </c>
    </row>
    <row r="111">
      <c r="A111" s="44" t="s">
        <v>112</v>
      </c>
      <c r="B111" s="44">
        <v>8.410650151656E12</v>
      </c>
      <c r="C111" s="45"/>
      <c r="D111" s="45"/>
      <c r="E111" s="44" t="s">
        <v>813</v>
      </c>
      <c r="F111" s="44" t="s">
        <v>72</v>
      </c>
      <c r="G111" s="44" t="s">
        <v>108</v>
      </c>
      <c r="H111" s="44">
        <v>0.0</v>
      </c>
      <c r="I111" s="44">
        <v>1652.23</v>
      </c>
      <c r="J111" s="44">
        <v>1652.22</v>
      </c>
      <c r="K111" s="44">
        <v>1599.22</v>
      </c>
      <c r="L111" s="44">
        <v>1599.21</v>
      </c>
      <c r="M111" s="44">
        <v>1525.86</v>
      </c>
      <c r="N111" s="44">
        <v>1525.85</v>
      </c>
      <c r="O111" s="44">
        <v>16.5</v>
      </c>
      <c r="P111" s="44">
        <v>15.9</v>
      </c>
      <c r="Q111" s="44">
        <v>15.1</v>
      </c>
      <c r="R111" s="44">
        <v>13.9</v>
      </c>
      <c r="S111" s="44">
        <v>1630.0</v>
      </c>
      <c r="T111" s="44">
        <v>15.9</v>
      </c>
      <c r="U111" s="44">
        <v>1630.0</v>
      </c>
      <c r="V111" s="46" t="str">
        <f>IFERROR(VLOOKUP(B111,Products!$A$2:$W$1000,16,0),"")</f>
        <v/>
      </c>
      <c r="W111" s="46" t="str">
        <f t="shared" si="1"/>
        <v>-</v>
      </c>
      <c r="X111" s="44" t="s">
        <v>738</v>
      </c>
    </row>
    <row r="112">
      <c r="A112" s="44" t="s">
        <v>470</v>
      </c>
      <c r="B112" s="44">
        <v>8.0102760422E12</v>
      </c>
      <c r="C112" s="45"/>
      <c r="D112" s="45"/>
      <c r="E112" s="44">
        <v>8.0102760422E12</v>
      </c>
      <c r="F112" s="44" t="s">
        <v>72</v>
      </c>
      <c r="G112" s="44" t="s">
        <v>91</v>
      </c>
      <c r="H112" s="44">
        <v>5.0</v>
      </c>
      <c r="I112" s="44">
        <v>888.11</v>
      </c>
      <c r="J112" s="44">
        <v>888.1</v>
      </c>
      <c r="K112" s="44">
        <v>855.58</v>
      </c>
      <c r="L112" s="44">
        <v>855.57</v>
      </c>
      <c r="M112" s="44">
        <v>810.96</v>
      </c>
      <c r="N112" s="44">
        <v>810.95</v>
      </c>
      <c r="O112" s="44">
        <v>16.5</v>
      </c>
      <c r="P112" s="44">
        <v>15.0</v>
      </c>
      <c r="Q112" s="44">
        <v>13.6</v>
      </c>
      <c r="R112" s="44">
        <v>11.6</v>
      </c>
      <c r="S112" s="44">
        <v>1079.0</v>
      </c>
      <c r="T112" s="44">
        <v>16.5</v>
      </c>
      <c r="U112" s="44">
        <v>1079.0</v>
      </c>
      <c r="V112" s="46">
        <f>IFERROR(VLOOKUP(B112,Products!$A$2:$W$1000,16,0),"")</f>
        <v>1085</v>
      </c>
      <c r="W112" s="46">
        <f t="shared" si="1"/>
        <v>16.5</v>
      </c>
      <c r="X112" s="44" t="s">
        <v>738</v>
      </c>
    </row>
    <row r="113">
      <c r="A113" s="44" t="s">
        <v>394</v>
      </c>
      <c r="B113" s="44" t="s">
        <v>393</v>
      </c>
      <c r="C113" s="45"/>
      <c r="D113" s="45"/>
      <c r="E113" s="44" t="s">
        <v>814</v>
      </c>
      <c r="F113" s="44" t="s">
        <v>52</v>
      </c>
      <c r="G113" s="44" t="s">
        <v>187</v>
      </c>
      <c r="H113" s="44">
        <v>0.0</v>
      </c>
      <c r="I113" s="44">
        <v>1151.35</v>
      </c>
      <c r="J113" s="44">
        <v>1151.34</v>
      </c>
      <c r="K113" s="44">
        <v>1084.66</v>
      </c>
      <c r="L113" s="44">
        <v>1084.65</v>
      </c>
      <c r="M113" s="44">
        <v>1004.54</v>
      </c>
      <c r="N113" s="44">
        <v>1004.53</v>
      </c>
      <c r="O113" s="44">
        <v>13.5</v>
      </c>
      <c r="P113" s="44">
        <v>12.3</v>
      </c>
      <c r="Q113" s="44">
        <v>10.6</v>
      </c>
      <c r="R113" s="44">
        <v>8.3</v>
      </c>
      <c r="S113" s="44">
        <v>1186.0</v>
      </c>
      <c r="T113" s="44">
        <v>13.5</v>
      </c>
      <c r="U113" s="44">
        <v>1186.0</v>
      </c>
      <c r="V113" s="46" t="str">
        <f>IFERROR(VLOOKUP(B113,Products!$A$2:$W$1000,16,0),"")</f>
        <v/>
      </c>
      <c r="W113" s="46" t="str">
        <f t="shared" si="1"/>
        <v>-</v>
      </c>
      <c r="X113" s="44" t="s">
        <v>738</v>
      </c>
    </row>
    <row r="114">
      <c r="A114" s="44" t="s">
        <v>161</v>
      </c>
      <c r="B114" s="44" t="s">
        <v>160</v>
      </c>
      <c r="C114" s="45"/>
      <c r="D114" s="45"/>
      <c r="E114" s="44" t="s">
        <v>815</v>
      </c>
      <c r="F114" s="44" t="s">
        <v>72</v>
      </c>
      <c r="G114" s="44" t="s">
        <v>153</v>
      </c>
      <c r="H114" s="44">
        <v>0.0</v>
      </c>
      <c r="I114" s="44">
        <v>544.21</v>
      </c>
      <c r="J114" s="44">
        <v>544.2</v>
      </c>
      <c r="K114" s="44">
        <v>527.07</v>
      </c>
      <c r="L114" s="44">
        <v>527.06</v>
      </c>
      <c r="M114" s="44">
        <v>503.93</v>
      </c>
      <c r="N114" s="44">
        <v>503.92</v>
      </c>
      <c r="O114" s="44">
        <v>16.5</v>
      </c>
      <c r="P114" s="44">
        <v>9.0</v>
      </c>
      <c r="Q114" s="44">
        <v>7.6</v>
      </c>
      <c r="R114" s="44">
        <v>5.7</v>
      </c>
      <c r="S114" s="44">
        <v>649.0</v>
      </c>
      <c r="T114" s="44">
        <v>16.5</v>
      </c>
      <c r="U114" s="44">
        <v>649.0</v>
      </c>
      <c r="V114" s="46" t="str">
        <f>IFERROR(VLOOKUP(B114,Products!$A$2:$W$1000,16,0),"")</f>
        <v/>
      </c>
      <c r="W114" s="46" t="str">
        <f t="shared" si="1"/>
        <v>-</v>
      </c>
      <c r="X114" s="44" t="s">
        <v>738</v>
      </c>
    </row>
    <row r="115">
      <c r="A115" s="44" t="s">
        <v>157</v>
      </c>
      <c r="B115" s="44">
        <v>8.682221365903E12</v>
      </c>
      <c r="C115" s="45"/>
      <c r="D115" s="45"/>
      <c r="E115" s="44" t="s">
        <v>816</v>
      </c>
      <c r="F115" s="44" t="s">
        <v>72</v>
      </c>
      <c r="G115" s="44" t="s">
        <v>153</v>
      </c>
      <c r="H115" s="44">
        <v>0.0</v>
      </c>
      <c r="I115" s="44">
        <v>2536.56</v>
      </c>
      <c r="J115" s="44">
        <v>2536.55</v>
      </c>
      <c r="K115" s="44">
        <v>2457.9</v>
      </c>
      <c r="L115" s="44">
        <v>2457.89</v>
      </c>
      <c r="M115" s="44">
        <v>2348.87</v>
      </c>
      <c r="N115" s="44">
        <v>2348.86</v>
      </c>
      <c r="O115" s="44">
        <v>16.5</v>
      </c>
      <c r="P115" s="44">
        <v>9.2</v>
      </c>
      <c r="Q115" s="44">
        <v>8.2</v>
      </c>
      <c r="R115" s="44">
        <v>6.8</v>
      </c>
      <c r="S115" s="44">
        <v>2999.0</v>
      </c>
      <c r="T115" s="44">
        <v>16.5</v>
      </c>
      <c r="U115" s="44">
        <v>2999.0</v>
      </c>
      <c r="V115" s="46" t="str">
        <f>IFERROR(VLOOKUP(B115,Products!$A$2:$W$1000,16,0),"")</f>
        <v/>
      </c>
      <c r="W115" s="46" t="str">
        <f t="shared" si="1"/>
        <v>-</v>
      </c>
      <c r="X115" s="44" t="s">
        <v>738</v>
      </c>
    </row>
    <row r="116">
      <c r="A116" s="44" t="s">
        <v>460</v>
      </c>
      <c r="B116" s="44" t="s">
        <v>459</v>
      </c>
      <c r="C116" s="45"/>
      <c r="D116" s="45"/>
      <c r="E116" s="44" t="s">
        <v>652</v>
      </c>
      <c r="F116" s="44" t="s">
        <v>52</v>
      </c>
      <c r="G116" s="44" t="s">
        <v>272</v>
      </c>
      <c r="H116" s="44">
        <v>71.0</v>
      </c>
      <c r="I116" s="44">
        <v>894.62</v>
      </c>
      <c r="J116" s="44">
        <v>894.61</v>
      </c>
      <c r="K116" s="44">
        <v>869.97</v>
      </c>
      <c r="L116" s="44">
        <v>869.96</v>
      </c>
      <c r="M116" s="44">
        <v>837.48</v>
      </c>
      <c r="N116" s="44">
        <v>837.47</v>
      </c>
      <c r="O116" s="44">
        <v>16.5</v>
      </c>
      <c r="P116" s="44">
        <v>9.2</v>
      </c>
      <c r="Q116" s="44">
        <v>8.0</v>
      </c>
      <c r="R116" s="44">
        <v>6.4</v>
      </c>
      <c r="S116" s="44">
        <v>1100.0</v>
      </c>
      <c r="T116" s="44">
        <v>16.5</v>
      </c>
      <c r="U116" s="44">
        <v>1100.0</v>
      </c>
      <c r="V116" s="46">
        <f>IFERROR(VLOOKUP(B116,Products!$A$2:$W$1000,16,0),"")</f>
        <v>1025.95</v>
      </c>
      <c r="W116" s="46">
        <f t="shared" si="1"/>
        <v>16.5</v>
      </c>
      <c r="X116" s="44" t="s">
        <v>738</v>
      </c>
    </row>
    <row r="117">
      <c r="A117" s="44" t="s">
        <v>370</v>
      </c>
      <c r="B117" s="44">
        <v>9.003579311844E12</v>
      </c>
      <c r="C117" s="45"/>
      <c r="D117" s="45"/>
      <c r="E117" s="44">
        <v>9.003579311844E12</v>
      </c>
      <c r="F117" s="44" t="s">
        <v>52</v>
      </c>
      <c r="G117" s="44" t="s">
        <v>53</v>
      </c>
      <c r="H117" s="44">
        <v>4.0</v>
      </c>
      <c r="I117" s="44">
        <v>575.72</v>
      </c>
      <c r="J117" s="44">
        <v>575.71</v>
      </c>
      <c r="K117" s="44">
        <v>530.64</v>
      </c>
      <c r="L117" s="44">
        <v>530.63</v>
      </c>
      <c r="M117" s="44">
        <v>470.46</v>
      </c>
      <c r="N117" s="44">
        <v>470.45</v>
      </c>
      <c r="O117" s="44">
        <v>12.5</v>
      </c>
      <c r="P117" s="44">
        <v>8.0</v>
      </c>
      <c r="Q117" s="44">
        <v>5.3</v>
      </c>
      <c r="R117" s="44">
        <v>3.0</v>
      </c>
      <c r="S117" s="44">
        <v>750.0</v>
      </c>
      <c r="T117" s="44">
        <v>12.5</v>
      </c>
      <c r="U117" s="44">
        <v>750.0</v>
      </c>
      <c r="V117" s="46">
        <f>IFERROR(VLOOKUP(B117,Products!$A$2:$W$1000,16,0),"")</f>
        <v>613</v>
      </c>
      <c r="W117" s="46">
        <f t="shared" si="1"/>
        <v>12.5</v>
      </c>
      <c r="X117" s="44" t="s">
        <v>738</v>
      </c>
    </row>
    <row r="118">
      <c r="A118" s="44" t="s">
        <v>126</v>
      </c>
      <c r="B118" s="44">
        <v>8.681002995178E12</v>
      </c>
      <c r="C118" s="45"/>
      <c r="D118" s="45"/>
      <c r="E118" s="44">
        <v>8.681002995178E12</v>
      </c>
      <c r="F118" s="44" t="s">
        <v>52</v>
      </c>
      <c r="G118" s="44" t="s">
        <v>121</v>
      </c>
      <c r="H118" s="44">
        <v>2.0</v>
      </c>
      <c r="I118" s="44">
        <v>2059.69</v>
      </c>
      <c r="J118" s="44">
        <v>2059.68</v>
      </c>
      <c r="K118" s="44">
        <v>2006.3</v>
      </c>
      <c r="L118" s="44">
        <v>2006.29</v>
      </c>
      <c r="M118" s="44">
        <v>1935.57</v>
      </c>
      <c r="N118" s="44">
        <v>1935.56</v>
      </c>
      <c r="O118" s="44">
        <v>13.5</v>
      </c>
      <c r="P118" s="44">
        <v>9.4</v>
      </c>
      <c r="Q118" s="44">
        <v>8.6</v>
      </c>
      <c r="R118" s="44">
        <v>7.4</v>
      </c>
      <c r="S118" s="44">
        <v>2149.0</v>
      </c>
      <c r="T118" s="44">
        <v>13.5</v>
      </c>
      <c r="U118" s="44">
        <v>2149.0</v>
      </c>
      <c r="V118" s="46">
        <f>IFERROR(VLOOKUP(B118,Products!$A$2:$W$1000,16,0),"")</f>
        <v>2065</v>
      </c>
      <c r="W118" s="46">
        <f t="shared" si="1"/>
        <v>13.5</v>
      </c>
      <c r="X118" s="44" t="s">
        <v>738</v>
      </c>
    </row>
    <row r="119">
      <c r="A119" s="44" t="s">
        <v>258</v>
      </c>
      <c r="B119" s="44" t="s">
        <v>257</v>
      </c>
      <c r="C119" s="45"/>
      <c r="D119" s="45"/>
      <c r="E119" s="44" t="s">
        <v>817</v>
      </c>
      <c r="F119" s="44" t="s">
        <v>52</v>
      </c>
      <c r="G119" s="44" t="s">
        <v>137</v>
      </c>
      <c r="H119" s="44">
        <v>100.0</v>
      </c>
      <c r="I119" s="44">
        <v>534.66</v>
      </c>
      <c r="J119" s="44">
        <v>534.65</v>
      </c>
      <c r="K119" s="44">
        <v>499.68</v>
      </c>
      <c r="L119" s="44">
        <v>499.67</v>
      </c>
      <c r="M119" s="44">
        <v>457.16</v>
      </c>
      <c r="N119" s="44">
        <v>457.15</v>
      </c>
      <c r="O119" s="44">
        <v>13.5</v>
      </c>
      <c r="P119" s="44">
        <v>6.4</v>
      </c>
      <c r="Q119" s="44">
        <v>4.1</v>
      </c>
      <c r="R119" s="44">
        <v>2.7</v>
      </c>
      <c r="S119" s="44">
        <v>699.0</v>
      </c>
      <c r="T119" s="44">
        <v>13.5</v>
      </c>
      <c r="U119" s="44">
        <v>699.0</v>
      </c>
      <c r="V119" s="46">
        <f>IFERROR(VLOOKUP(B119,Products!$A$2:$W$1000,16,0),"")</f>
        <v>619.9</v>
      </c>
      <c r="W119" s="46">
        <f t="shared" si="1"/>
        <v>13.5</v>
      </c>
      <c r="X119" s="44" t="s">
        <v>738</v>
      </c>
    </row>
    <row r="120">
      <c r="A120" s="44" t="s">
        <v>647</v>
      </c>
      <c r="B120" s="44">
        <v>7.7548176924615E13</v>
      </c>
      <c r="C120" s="45"/>
      <c r="D120" s="45"/>
      <c r="E120" s="44" t="s">
        <v>818</v>
      </c>
      <c r="F120" s="44" t="s">
        <v>52</v>
      </c>
      <c r="G120" s="44" t="s">
        <v>50</v>
      </c>
      <c r="H120" s="44">
        <v>9.0</v>
      </c>
      <c r="I120" s="44">
        <v>826.59</v>
      </c>
      <c r="J120" s="44">
        <v>826.58</v>
      </c>
      <c r="K120" s="44">
        <v>793.99</v>
      </c>
      <c r="L120" s="44">
        <v>793.98</v>
      </c>
      <c r="M120" s="44">
        <v>750.22</v>
      </c>
      <c r="N120" s="44">
        <v>750.21</v>
      </c>
      <c r="O120" s="44">
        <v>12.5</v>
      </c>
      <c r="P120" s="44">
        <v>9.0</v>
      </c>
      <c r="Q120" s="44">
        <v>7.8</v>
      </c>
      <c r="R120" s="44">
        <v>5.9</v>
      </c>
      <c r="S120" s="44">
        <v>1215.0</v>
      </c>
      <c r="T120" s="44">
        <v>12.5</v>
      </c>
      <c r="U120" s="44">
        <v>1215.0</v>
      </c>
      <c r="V120" s="46">
        <f>IFERROR(VLOOKUP(B120,Products!$A$2:$W$1000,16,0),"")</f>
        <v>1191.94</v>
      </c>
      <c r="W120" s="46">
        <f t="shared" si="1"/>
        <v>12.5</v>
      </c>
      <c r="X120" s="44" t="s">
        <v>738</v>
      </c>
    </row>
    <row r="121">
      <c r="A121" s="44" t="s">
        <v>147</v>
      </c>
      <c r="B121" s="44">
        <v>6.2420056724154E13</v>
      </c>
      <c r="C121" s="45"/>
      <c r="D121" s="45"/>
      <c r="E121" s="44" t="s">
        <v>819</v>
      </c>
      <c r="F121" s="44" t="s">
        <v>72</v>
      </c>
      <c r="G121" s="44" t="s">
        <v>129</v>
      </c>
      <c r="H121" s="44">
        <v>1000.0</v>
      </c>
      <c r="I121" s="44">
        <v>1019.09</v>
      </c>
      <c r="J121" s="44">
        <v>1019.08</v>
      </c>
      <c r="K121" s="44">
        <v>967.06</v>
      </c>
      <c r="L121" s="44">
        <v>967.05</v>
      </c>
      <c r="M121" s="44">
        <v>904.09</v>
      </c>
      <c r="N121" s="44">
        <v>904.08</v>
      </c>
      <c r="O121" s="44">
        <v>16.5</v>
      </c>
      <c r="P121" s="44">
        <v>8.8</v>
      </c>
      <c r="Q121" s="44">
        <v>7.2</v>
      </c>
      <c r="R121" s="44">
        <v>4.9</v>
      </c>
      <c r="S121" s="44">
        <v>1350.0</v>
      </c>
      <c r="T121" s="44">
        <v>16.5</v>
      </c>
      <c r="U121" s="44">
        <v>1350.0</v>
      </c>
      <c r="V121" s="46">
        <f>IFERROR(VLOOKUP(B121,Products!$A$2:$W$1000,16,0),"")</f>
        <v>1019.08</v>
      </c>
      <c r="W121" s="46">
        <f t="shared" si="1"/>
        <v>8.8</v>
      </c>
      <c r="X121" s="44" t="s">
        <v>738</v>
      </c>
    </row>
    <row r="122">
      <c r="A122" s="44" t="s">
        <v>111</v>
      </c>
      <c r="B122" s="44">
        <v>8.410650239156E12</v>
      </c>
      <c r="C122" s="45"/>
      <c r="D122" s="45"/>
      <c r="E122" s="44">
        <v>8.410650239156E12</v>
      </c>
      <c r="F122" s="44" t="s">
        <v>72</v>
      </c>
      <c r="G122" s="44" t="s">
        <v>108</v>
      </c>
      <c r="H122" s="44">
        <v>11.0</v>
      </c>
      <c r="I122" s="44">
        <v>1728.35</v>
      </c>
      <c r="J122" s="44">
        <v>1728.34</v>
      </c>
      <c r="K122" s="44">
        <v>1667.56</v>
      </c>
      <c r="L122" s="44">
        <v>1667.55</v>
      </c>
      <c r="M122" s="44">
        <v>1585.1</v>
      </c>
      <c r="N122" s="44">
        <v>1585.09</v>
      </c>
      <c r="O122" s="44">
        <v>16.5</v>
      </c>
      <c r="P122" s="44">
        <v>15.3</v>
      </c>
      <c r="Q122" s="44">
        <v>14.4</v>
      </c>
      <c r="R122" s="44">
        <v>13.1</v>
      </c>
      <c r="S122" s="44">
        <v>1728.0</v>
      </c>
      <c r="T122" s="44">
        <v>15.3</v>
      </c>
      <c r="U122" s="44">
        <v>1728.0</v>
      </c>
      <c r="V122" s="46">
        <f>IFERROR(VLOOKUP(B122,Products!$A$2:$W$1000,16,0),"")</f>
        <v>1698</v>
      </c>
      <c r="W122" s="46">
        <f t="shared" si="1"/>
        <v>15.3</v>
      </c>
      <c r="X122" s="44" t="s">
        <v>738</v>
      </c>
    </row>
    <row r="123">
      <c r="A123" s="44" t="s">
        <v>472</v>
      </c>
      <c r="B123" s="44">
        <v>6.0598078545E10</v>
      </c>
      <c r="C123" s="45"/>
      <c r="D123" s="45"/>
      <c r="E123" s="44" t="s">
        <v>820</v>
      </c>
      <c r="F123" s="44" t="s">
        <v>72</v>
      </c>
      <c r="G123" s="44" t="s">
        <v>229</v>
      </c>
      <c r="H123" s="44">
        <v>0.0</v>
      </c>
      <c r="I123" s="44">
        <v>1368.4</v>
      </c>
      <c r="J123" s="44">
        <v>1368.39</v>
      </c>
      <c r="K123" s="44">
        <v>1325.12</v>
      </c>
      <c r="L123" s="44">
        <v>1325.11</v>
      </c>
      <c r="M123" s="44">
        <v>1265.4</v>
      </c>
      <c r="N123" s="44">
        <v>1265.39</v>
      </c>
      <c r="O123" s="44">
        <v>12.5</v>
      </c>
      <c r="P123" s="44">
        <v>11.8</v>
      </c>
      <c r="Q123" s="44">
        <v>10.8</v>
      </c>
      <c r="R123" s="44">
        <v>9.5</v>
      </c>
      <c r="S123" s="44">
        <v>1320.0</v>
      </c>
      <c r="T123" s="44">
        <v>10.8</v>
      </c>
      <c r="U123" s="44">
        <v>1320.0</v>
      </c>
      <c r="V123" s="46" t="str">
        <f>IFERROR(VLOOKUP(B123,Products!$A$2:$W$1000,16,0),"")</f>
        <v/>
      </c>
      <c r="W123" s="46" t="str">
        <f t="shared" si="1"/>
        <v>-</v>
      </c>
      <c r="X123" s="44" t="s">
        <v>738</v>
      </c>
    </row>
    <row r="124">
      <c r="A124" s="44" t="s">
        <v>110</v>
      </c>
      <c r="B124" s="44">
        <v>8.410650167886E12</v>
      </c>
      <c r="C124" s="45"/>
      <c r="D124" s="45"/>
      <c r="E124" s="44">
        <v>8.410650167886E12</v>
      </c>
      <c r="F124" s="44" t="s">
        <v>72</v>
      </c>
      <c r="G124" s="44" t="s">
        <v>108</v>
      </c>
      <c r="H124" s="44">
        <v>28.0</v>
      </c>
      <c r="I124" s="44">
        <v>944.17</v>
      </c>
      <c r="J124" s="44">
        <v>944.16</v>
      </c>
      <c r="K124" s="44">
        <v>904.01</v>
      </c>
      <c r="L124" s="44">
        <v>904.0</v>
      </c>
      <c r="M124" s="44">
        <v>853.42</v>
      </c>
      <c r="N124" s="44">
        <v>853.41</v>
      </c>
      <c r="O124" s="44">
        <v>16.5</v>
      </c>
      <c r="P124" s="44">
        <v>15.2</v>
      </c>
      <c r="Q124" s="44">
        <v>14.1</v>
      </c>
      <c r="R124" s="44">
        <v>12.6</v>
      </c>
      <c r="S124" s="44">
        <v>940.0</v>
      </c>
      <c r="T124" s="44">
        <v>15.2</v>
      </c>
      <c r="U124" s="44">
        <v>940.0</v>
      </c>
      <c r="V124" s="46">
        <f>IFERROR(VLOOKUP(B124,Products!$A$2:$W$1000,16,0),"")</f>
        <v>980</v>
      </c>
      <c r="W124" s="46">
        <f t="shared" si="1"/>
        <v>16.5</v>
      </c>
      <c r="X124" s="44" t="s">
        <v>738</v>
      </c>
    </row>
    <row r="125">
      <c r="A125" s="44" t="s">
        <v>167</v>
      </c>
      <c r="B125" s="44" t="s">
        <v>166</v>
      </c>
      <c r="C125" s="45"/>
      <c r="D125" s="45"/>
      <c r="E125" s="44" t="s">
        <v>821</v>
      </c>
      <c r="F125" s="44" t="s">
        <v>72</v>
      </c>
      <c r="G125" s="44" t="s">
        <v>153</v>
      </c>
      <c r="H125" s="44">
        <v>0.0</v>
      </c>
      <c r="I125" s="44">
        <v>2579.72</v>
      </c>
      <c r="J125" s="44">
        <v>2579.71</v>
      </c>
      <c r="K125" s="44">
        <v>2515.68</v>
      </c>
      <c r="L125" s="44">
        <v>2515.67</v>
      </c>
      <c r="M125" s="44">
        <v>2427.88</v>
      </c>
      <c r="N125" s="44">
        <v>2427.87</v>
      </c>
      <c r="O125" s="44">
        <v>16.5</v>
      </c>
      <c r="P125" s="44">
        <v>9.4</v>
      </c>
      <c r="Q125" s="44">
        <v>8.6</v>
      </c>
      <c r="R125" s="44">
        <v>7.5</v>
      </c>
      <c r="S125" s="44">
        <v>2999.0</v>
      </c>
      <c r="T125" s="44">
        <v>16.5</v>
      </c>
      <c r="U125" s="44">
        <v>2999.0</v>
      </c>
      <c r="V125" s="46" t="str">
        <f>IFERROR(VLOOKUP(B125,Products!$A$2:$W$1000,16,0),"")</f>
        <v/>
      </c>
      <c r="W125" s="46" t="str">
        <f t="shared" si="1"/>
        <v>-</v>
      </c>
      <c r="X125" s="44" t="s">
        <v>738</v>
      </c>
    </row>
    <row r="126">
      <c r="A126" s="44" t="s">
        <v>191</v>
      </c>
      <c r="B126" s="44" t="s">
        <v>190</v>
      </c>
      <c r="C126" s="45"/>
      <c r="D126" s="45"/>
      <c r="E126" s="44" t="s">
        <v>822</v>
      </c>
      <c r="F126" s="44" t="s">
        <v>52</v>
      </c>
      <c r="G126" s="44" t="s">
        <v>53</v>
      </c>
      <c r="H126" s="44">
        <v>4.0</v>
      </c>
      <c r="I126" s="44">
        <v>1448.1</v>
      </c>
      <c r="J126" s="44">
        <v>1448.09</v>
      </c>
      <c r="K126" s="44">
        <v>1362.48</v>
      </c>
      <c r="L126" s="44">
        <v>1362.47</v>
      </c>
      <c r="M126" s="44">
        <v>1258.94</v>
      </c>
      <c r="N126" s="44">
        <v>1258.93</v>
      </c>
      <c r="O126" s="44">
        <v>12.5</v>
      </c>
      <c r="P126" s="44">
        <v>11.2</v>
      </c>
      <c r="Q126" s="44">
        <v>9.4</v>
      </c>
      <c r="R126" s="44">
        <v>6.9</v>
      </c>
      <c r="S126" s="44">
        <v>1690.0</v>
      </c>
      <c r="T126" s="44">
        <v>12.5</v>
      </c>
      <c r="U126" s="44">
        <v>1690.0</v>
      </c>
      <c r="V126" s="46">
        <f>IFERROR(VLOOKUP(B126,Products!$A$2:$W$1000,16,0),"")</f>
        <v>1630</v>
      </c>
      <c r="W126" s="46">
        <f t="shared" si="1"/>
        <v>12.5</v>
      </c>
      <c r="X126" s="44" t="s">
        <v>738</v>
      </c>
    </row>
    <row r="127">
      <c r="A127" s="44" t="s">
        <v>343</v>
      </c>
      <c r="B127" s="44">
        <v>1.28022022E8</v>
      </c>
      <c r="C127" s="44" t="s">
        <v>344</v>
      </c>
      <c r="D127" s="45"/>
      <c r="E127" s="44" t="s">
        <v>823</v>
      </c>
      <c r="F127" s="44" t="s">
        <v>59</v>
      </c>
      <c r="G127" s="44" t="s">
        <v>53</v>
      </c>
      <c r="H127" s="44">
        <v>15.0</v>
      </c>
      <c r="I127" s="44">
        <v>1368.69</v>
      </c>
      <c r="J127" s="44">
        <v>1368.68</v>
      </c>
      <c r="K127" s="44">
        <v>1305.09</v>
      </c>
      <c r="L127" s="44">
        <v>1305.08</v>
      </c>
      <c r="M127" s="44">
        <v>1227.76</v>
      </c>
      <c r="N127" s="44">
        <v>1227.75</v>
      </c>
      <c r="O127" s="44">
        <v>12.5</v>
      </c>
      <c r="P127" s="44">
        <v>11.5</v>
      </c>
      <c r="Q127" s="44">
        <v>10.1</v>
      </c>
      <c r="R127" s="44">
        <v>8.3</v>
      </c>
      <c r="S127" s="44">
        <v>1699.0</v>
      </c>
      <c r="T127" s="44">
        <v>12.5</v>
      </c>
      <c r="U127" s="44">
        <v>1699.0</v>
      </c>
      <c r="V127" s="46">
        <f>IFERROR(VLOOKUP(B127,Products!$A$2:$W$1000,16,0),"")</f>
        <v>1602</v>
      </c>
      <c r="W127" s="46">
        <f t="shared" si="1"/>
        <v>12.5</v>
      </c>
      <c r="X127" s="44" t="s">
        <v>738</v>
      </c>
    </row>
    <row r="128">
      <c r="A128" s="44" t="s">
        <v>597</v>
      </c>
      <c r="B128" s="44">
        <v>5.2742055664E10</v>
      </c>
      <c r="C128" s="45"/>
      <c r="D128" s="45"/>
      <c r="E128" s="44" t="s">
        <v>824</v>
      </c>
      <c r="F128" s="44" t="s">
        <v>72</v>
      </c>
      <c r="G128" s="44" t="s">
        <v>229</v>
      </c>
      <c r="H128" s="44">
        <v>0.0</v>
      </c>
      <c r="I128" s="44">
        <v>2326.01</v>
      </c>
      <c r="J128" s="44">
        <v>2326.0</v>
      </c>
      <c r="K128" s="44">
        <v>2230.2</v>
      </c>
      <c r="L128" s="44">
        <v>2230.19</v>
      </c>
      <c r="M128" s="44">
        <v>2107.97</v>
      </c>
      <c r="N128" s="44">
        <v>2107.96</v>
      </c>
      <c r="O128" s="44">
        <v>12.5</v>
      </c>
      <c r="P128" s="44">
        <v>11.6</v>
      </c>
      <c r="Q128" s="44">
        <v>10.4</v>
      </c>
      <c r="R128" s="44">
        <v>8.7</v>
      </c>
      <c r="S128" s="44">
        <v>2274.0</v>
      </c>
      <c r="T128" s="44">
        <v>11.6</v>
      </c>
      <c r="U128" s="44">
        <v>2274.0</v>
      </c>
      <c r="V128" s="46" t="str">
        <f>IFERROR(VLOOKUP(B128,Products!$A$2:$W$1000,16,0),"")</f>
        <v/>
      </c>
      <c r="W128" s="46" t="str">
        <f t="shared" si="1"/>
        <v>-</v>
      </c>
      <c r="X128" s="44" t="s">
        <v>738</v>
      </c>
    </row>
    <row r="129">
      <c r="A129" s="44" t="s">
        <v>663</v>
      </c>
      <c r="B129" s="44">
        <v>5.2742060903E10</v>
      </c>
      <c r="C129" s="45"/>
      <c r="D129" s="45"/>
      <c r="E129" s="44">
        <v>5.2742060903E10</v>
      </c>
      <c r="F129" s="44" t="s">
        <v>59</v>
      </c>
      <c r="G129" s="44" t="s">
        <v>229</v>
      </c>
      <c r="H129" s="44">
        <v>3.0</v>
      </c>
      <c r="I129" s="44">
        <v>1142.19</v>
      </c>
      <c r="J129" s="44">
        <v>1142.18</v>
      </c>
      <c r="K129" s="44">
        <v>1090.23</v>
      </c>
      <c r="L129" s="44">
        <v>1090.22</v>
      </c>
      <c r="M129" s="44">
        <v>1025.5</v>
      </c>
      <c r="N129" s="44">
        <v>1025.49</v>
      </c>
      <c r="O129" s="44">
        <v>12.5</v>
      </c>
      <c r="P129" s="44">
        <v>11.2</v>
      </c>
      <c r="Q129" s="44">
        <v>9.3</v>
      </c>
      <c r="R129" s="44">
        <v>6.8</v>
      </c>
      <c r="S129" s="44">
        <v>1275.0</v>
      </c>
      <c r="T129" s="44">
        <v>12.5</v>
      </c>
      <c r="U129" s="44">
        <v>1275.0</v>
      </c>
      <c r="V129" s="46">
        <f>IFERROR(VLOOKUP(B129,Products!$A$2:$W$1000,16,0),"")</f>
        <v>1177.36</v>
      </c>
      <c r="W129" s="46">
        <f t="shared" si="1"/>
        <v>12.5</v>
      </c>
      <c r="X129" s="44" t="s">
        <v>738</v>
      </c>
    </row>
    <row r="130">
      <c r="A130" s="44" t="s">
        <v>164</v>
      </c>
      <c r="B130" s="44">
        <v>8.681299606641E12</v>
      </c>
      <c r="C130" s="45"/>
      <c r="D130" s="45"/>
      <c r="E130" s="44">
        <v>8.681299606641E12</v>
      </c>
      <c r="F130" s="44" t="s">
        <v>72</v>
      </c>
      <c r="G130" s="44" t="s">
        <v>153</v>
      </c>
      <c r="H130" s="44">
        <v>0.0</v>
      </c>
      <c r="I130" s="44">
        <v>512.07</v>
      </c>
      <c r="J130" s="44">
        <v>512.06</v>
      </c>
      <c r="K130" s="44">
        <v>494.17</v>
      </c>
      <c r="L130" s="44">
        <v>494.16</v>
      </c>
      <c r="M130" s="44">
        <v>469.88</v>
      </c>
      <c r="N130" s="44">
        <v>469.87</v>
      </c>
      <c r="O130" s="44">
        <v>16.5</v>
      </c>
      <c r="P130" s="44">
        <v>9.1</v>
      </c>
      <c r="Q130" s="44">
        <v>8.0</v>
      </c>
      <c r="R130" s="44">
        <v>6.3</v>
      </c>
      <c r="S130" s="44">
        <v>599.0</v>
      </c>
      <c r="T130" s="44">
        <v>16.5</v>
      </c>
      <c r="U130" s="44">
        <v>599.0</v>
      </c>
      <c r="V130" s="46" t="str">
        <f>IFERROR(VLOOKUP(B130,Products!$A$2:$W$1000,16,0),"")</f>
        <v/>
      </c>
      <c r="W130" s="46" t="str">
        <f t="shared" si="1"/>
        <v>-</v>
      </c>
      <c r="X130" s="44" t="s">
        <v>738</v>
      </c>
    </row>
    <row r="131">
      <c r="A131" s="44" t="s">
        <v>69</v>
      </c>
      <c r="B131" s="44">
        <v>7.613035114777E12</v>
      </c>
      <c r="C131" s="45"/>
      <c r="D131" s="45"/>
      <c r="E131" s="44">
        <v>400024.0</v>
      </c>
      <c r="F131" s="44" t="s">
        <v>59</v>
      </c>
      <c r="G131" s="44" t="s">
        <v>50</v>
      </c>
      <c r="H131" s="44">
        <v>0.0</v>
      </c>
      <c r="I131" s="44">
        <v>1220.34</v>
      </c>
      <c r="J131" s="44">
        <v>1220.33</v>
      </c>
      <c r="K131" s="44">
        <v>1188.64</v>
      </c>
      <c r="L131" s="44">
        <v>1188.63</v>
      </c>
      <c r="M131" s="44">
        <v>1145.46</v>
      </c>
      <c r="N131" s="44">
        <v>1145.45</v>
      </c>
      <c r="O131" s="44">
        <v>12.5</v>
      </c>
      <c r="P131" s="44">
        <v>9.4</v>
      </c>
      <c r="Q131" s="44">
        <v>8.5</v>
      </c>
      <c r="R131" s="44">
        <v>7.4</v>
      </c>
      <c r="S131" s="44">
        <v>1500.0</v>
      </c>
      <c r="T131" s="44">
        <v>12.5</v>
      </c>
      <c r="U131" s="44">
        <v>1500.0</v>
      </c>
      <c r="V131" s="46" t="str">
        <f>IFERROR(VLOOKUP(B131,Products!$A$2:$W$1000,16,0),"")</f>
        <v/>
      </c>
      <c r="W131" s="46" t="str">
        <f t="shared" si="1"/>
        <v>-</v>
      </c>
      <c r="X131" s="44" t="s">
        <v>738</v>
      </c>
    </row>
    <row r="132">
      <c r="A132" s="44" t="s">
        <v>159</v>
      </c>
      <c r="B132" s="44" t="s">
        <v>158</v>
      </c>
      <c r="C132" s="45"/>
      <c r="D132" s="45"/>
      <c r="E132" s="44" t="s">
        <v>158</v>
      </c>
      <c r="F132" s="44" t="s">
        <v>72</v>
      </c>
      <c r="G132" s="44" t="s">
        <v>153</v>
      </c>
      <c r="H132" s="44">
        <v>0.0</v>
      </c>
      <c r="I132" s="44">
        <v>2720.59</v>
      </c>
      <c r="J132" s="44">
        <v>2720.58</v>
      </c>
      <c r="K132" s="44">
        <v>2644.63</v>
      </c>
      <c r="L132" s="44">
        <v>2644.62</v>
      </c>
      <c r="M132" s="44">
        <v>2594.57</v>
      </c>
      <c r="N132" s="44">
        <v>2594.56</v>
      </c>
      <c r="O132" s="44">
        <v>16.5</v>
      </c>
      <c r="P132" s="44">
        <v>15.5</v>
      </c>
      <c r="Q132" s="44">
        <v>14.5</v>
      </c>
      <c r="R132" s="44">
        <v>13.8</v>
      </c>
      <c r="S132" s="44">
        <v>2999.0</v>
      </c>
      <c r="T132" s="44">
        <v>16.5</v>
      </c>
      <c r="U132" s="44">
        <v>2999.0</v>
      </c>
      <c r="V132" s="46" t="str">
        <f>IFERROR(VLOOKUP(B132,Products!$A$2:$W$1000,16,0),"")</f>
        <v/>
      </c>
      <c r="W132" s="46" t="str">
        <f t="shared" si="1"/>
        <v>-</v>
      </c>
      <c r="X132" s="44" t="s">
        <v>738</v>
      </c>
    </row>
    <row r="133">
      <c r="A133" s="44" t="s">
        <v>481</v>
      </c>
      <c r="B133" s="44" t="s">
        <v>480</v>
      </c>
      <c r="C133" s="45"/>
      <c r="D133" s="45"/>
      <c r="E133" s="44" t="s">
        <v>825</v>
      </c>
      <c r="F133" s="44" t="s">
        <v>72</v>
      </c>
      <c r="G133" s="44" t="s">
        <v>229</v>
      </c>
      <c r="H133" s="44">
        <v>0.0</v>
      </c>
      <c r="I133" s="44">
        <v>1151.12</v>
      </c>
      <c r="J133" s="44">
        <v>1151.11</v>
      </c>
      <c r="K133" s="44">
        <v>1093.21</v>
      </c>
      <c r="L133" s="44">
        <v>1093.2</v>
      </c>
      <c r="M133" s="44">
        <v>1023.09</v>
      </c>
      <c r="N133" s="44">
        <v>1023.08</v>
      </c>
      <c r="O133" s="44">
        <v>12.5</v>
      </c>
      <c r="P133" s="44">
        <v>11.4</v>
      </c>
      <c r="Q133" s="44">
        <v>9.9</v>
      </c>
      <c r="R133" s="44">
        <v>7.9</v>
      </c>
      <c r="S133" s="44">
        <v>1249.0</v>
      </c>
      <c r="T133" s="44">
        <v>12.5</v>
      </c>
      <c r="U133" s="44">
        <v>1249.0</v>
      </c>
      <c r="V133" s="46" t="str">
        <f>IFERROR(VLOOKUP(B133,Products!$A$2:$W$1000,16,0),"")</f>
        <v/>
      </c>
      <c r="W133" s="46" t="str">
        <f t="shared" si="1"/>
        <v>-</v>
      </c>
      <c r="X133" s="44" t="s">
        <v>738</v>
      </c>
    </row>
    <row r="134">
      <c r="A134" s="44" t="s">
        <v>479</v>
      </c>
      <c r="B134" s="44">
        <v>4.290919942719E12</v>
      </c>
      <c r="C134" s="45"/>
      <c r="D134" s="45"/>
      <c r="E134" s="44" t="s">
        <v>826</v>
      </c>
      <c r="F134" s="44" t="s">
        <v>72</v>
      </c>
      <c r="G134" s="44" t="s">
        <v>229</v>
      </c>
      <c r="H134" s="44">
        <v>0.0</v>
      </c>
      <c r="I134" s="44">
        <v>2158.19</v>
      </c>
      <c r="J134" s="44">
        <v>2158.18</v>
      </c>
      <c r="K134" s="44">
        <v>2062.29</v>
      </c>
      <c r="L134" s="44">
        <v>2062.28</v>
      </c>
      <c r="M134" s="44">
        <v>1943.57</v>
      </c>
      <c r="N134" s="44">
        <v>1943.56</v>
      </c>
      <c r="O134" s="44">
        <v>12.5</v>
      </c>
      <c r="P134" s="44">
        <v>11.6</v>
      </c>
      <c r="Q134" s="44">
        <v>10.2</v>
      </c>
      <c r="R134" s="44">
        <v>8.4</v>
      </c>
      <c r="S134" s="44">
        <v>2499.0</v>
      </c>
      <c r="T134" s="44">
        <v>12.5</v>
      </c>
      <c r="U134" s="44">
        <v>2499.0</v>
      </c>
      <c r="V134" s="46" t="str">
        <f>IFERROR(VLOOKUP(B134,Products!$A$2:$W$1000,16,0),"")</f>
        <v/>
      </c>
      <c r="W134" s="46" t="str">
        <f t="shared" si="1"/>
        <v>-</v>
      </c>
      <c r="X134" s="44" t="s">
        <v>738</v>
      </c>
    </row>
    <row r="135">
      <c r="A135" s="44" t="s">
        <v>326</v>
      </c>
      <c r="B135" s="44">
        <v>5.2742059525E10</v>
      </c>
      <c r="C135" s="45"/>
      <c r="D135" s="45"/>
      <c r="E135" s="44" t="s">
        <v>827</v>
      </c>
      <c r="F135" s="44" t="s">
        <v>72</v>
      </c>
      <c r="G135" s="44" t="s">
        <v>229</v>
      </c>
      <c r="H135" s="44">
        <v>0.0</v>
      </c>
      <c r="I135" s="44">
        <v>1051.72</v>
      </c>
      <c r="J135" s="44">
        <v>1051.71</v>
      </c>
      <c r="K135" s="44">
        <v>992.18</v>
      </c>
      <c r="L135" s="44">
        <v>992.17</v>
      </c>
      <c r="M135" s="44">
        <v>921.09</v>
      </c>
      <c r="N135" s="44">
        <v>921.08</v>
      </c>
      <c r="O135" s="44">
        <v>12.5</v>
      </c>
      <c r="P135" s="44">
        <v>11.3</v>
      </c>
      <c r="Q135" s="44">
        <v>9.6</v>
      </c>
      <c r="R135" s="44">
        <v>7.3</v>
      </c>
      <c r="S135" s="44">
        <v>1500.0</v>
      </c>
      <c r="T135" s="44">
        <v>12.5</v>
      </c>
      <c r="U135" s="44">
        <v>1500.0</v>
      </c>
      <c r="V135" s="46" t="str">
        <f>IFERROR(VLOOKUP(B135,Products!$A$2:$W$1000,16,0),"")</f>
        <v/>
      </c>
      <c r="W135" s="46" t="str">
        <f t="shared" si="1"/>
        <v>-</v>
      </c>
      <c r="X135" s="44" t="s">
        <v>738</v>
      </c>
    </row>
    <row r="136">
      <c r="A136" s="44" t="s">
        <v>410</v>
      </c>
      <c r="B136" s="44" t="s">
        <v>409</v>
      </c>
      <c r="C136" s="45"/>
      <c r="D136" s="45"/>
      <c r="E136" s="44" t="s">
        <v>828</v>
      </c>
      <c r="F136" s="44" t="s">
        <v>52</v>
      </c>
      <c r="G136" s="44" t="s">
        <v>137</v>
      </c>
      <c r="H136" s="44">
        <v>498.0</v>
      </c>
      <c r="I136" s="44">
        <v>1021.28</v>
      </c>
      <c r="J136" s="44">
        <v>1021.27</v>
      </c>
      <c r="K136" s="44">
        <v>971.57</v>
      </c>
      <c r="L136" s="44">
        <v>971.56</v>
      </c>
      <c r="M136" s="44">
        <v>905.26</v>
      </c>
      <c r="N136" s="44">
        <v>905.25</v>
      </c>
      <c r="O136" s="44">
        <v>13.5</v>
      </c>
      <c r="P136" s="44">
        <v>12.5</v>
      </c>
      <c r="Q136" s="44">
        <v>11.1</v>
      </c>
      <c r="R136" s="44">
        <v>8.9</v>
      </c>
      <c r="S136" s="44">
        <v>1187.0</v>
      </c>
      <c r="T136" s="44">
        <v>13.5</v>
      </c>
      <c r="U136" s="44">
        <v>1187.0</v>
      </c>
      <c r="V136" s="46">
        <f>IFERROR(VLOOKUP(B136,Products!$A$2:$W$1000,16,0),"")</f>
        <v>1187</v>
      </c>
      <c r="W136" s="46">
        <f t="shared" si="1"/>
        <v>13.5</v>
      </c>
      <c r="X136" s="44" t="s">
        <v>738</v>
      </c>
    </row>
    <row r="137">
      <c r="A137" s="44" t="s">
        <v>330</v>
      </c>
      <c r="B137" s="44">
        <v>5.2742022949E10</v>
      </c>
      <c r="C137" s="45"/>
      <c r="D137" s="45"/>
      <c r="E137" s="44" t="s">
        <v>829</v>
      </c>
      <c r="F137" s="44" t="s">
        <v>72</v>
      </c>
      <c r="G137" s="44" t="s">
        <v>229</v>
      </c>
      <c r="H137" s="44">
        <v>10.0</v>
      </c>
      <c r="I137" s="44">
        <v>756.87</v>
      </c>
      <c r="J137" s="44">
        <v>756.86</v>
      </c>
      <c r="K137" s="44">
        <v>711.97</v>
      </c>
      <c r="L137" s="44">
        <v>711.96</v>
      </c>
      <c r="M137" s="44">
        <v>657.65</v>
      </c>
      <c r="N137" s="44">
        <v>657.64</v>
      </c>
      <c r="O137" s="44">
        <v>12.5</v>
      </c>
      <c r="P137" s="44">
        <v>8.6</v>
      </c>
      <c r="Q137" s="44">
        <v>6.6</v>
      </c>
      <c r="R137" s="44">
        <v>3.9</v>
      </c>
      <c r="S137" s="44">
        <v>1500.0</v>
      </c>
      <c r="T137" s="44">
        <v>12.5</v>
      </c>
      <c r="U137" s="44">
        <v>1500.0</v>
      </c>
      <c r="V137" s="46">
        <f>IFERROR(VLOOKUP(B137,Products!$A$2:$W$1000,16,0),"")</f>
        <v>1008.64</v>
      </c>
      <c r="W137" s="46">
        <f t="shared" si="1"/>
        <v>12.5</v>
      </c>
      <c r="X137" s="44" t="s">
        <v>738</v>
      </c>
    </row>
    <row r="138">
      <c r="A138" s="44" t="s">
        <v>156</v>
      </c>
      <c r="B138" s="44">
        <v>8.681299601295E12</v>
      </c>
      <c r="C138" s="45"/>
      <c r="D138" s="45"/>
      <c r="E138" s="44" t="s">
        <v>830</v>
      </c>
      <c r="F138" s="44" t="s">
        <v>72</v>
      </c>
      <c r="G138" s="44" t="s">
        <v>153</v>
      </c>
      <c r="H138" s="44">
        <v>0.0</v>
      </c>
      <c r="I138" s="44">
        <v>2459.92</v>
      </c>
      <c r="J138" s="44">
        <v>2459.91</v>
      </c>
      <c r="K138" s="44">
        <v>2364.55</v>
      </c>
      <c r="L138" s="44">
        <v>2364.54</v>
      </c>
      <c r="M138" s="44">
        <v>2240.0</v>
      </c>
      <c r="N138" s="44">
        <v>2239.99</v>
      </c>
      <c r="O138" s="44">
        <v>16.5</v>
      </c>
      <c r="P138" s="44">
        <v>8.8</v>
      </c>
      <c r="Q138" s="44">
        <v>7.1</v>
      </c>
      <c r="R138" s="44">
        <v>4.7</v>
      </c>
      <c r="S138" s="44">
        <v>2999.0</v>
      </c>
      <c r="T138" s="44">
        <v>16.5</v>
      </c>
      <c r="U138" s="44">
        <v>2999.0</v>
      </c>
      <c r="V138" s="46" t="str">
        <f>IFERROR(VLOOKUP(B138,Products!$A$2:$W$1000,16,0),"")</f>
        <v/>
      </c>
      <c r="W138" s="46" t="str">
        <f t="shared" si="1"/>
        <v>-</v>
      </c>
      <c r="X138" s="44" t="s">
        <v>738</v>
      </c>
    </row>
    <row r="139">
      <c r="A139" s="44" t="s">
        <v>109</v>
      </c>
      <c r="B139" s="44">
        <v>8.410650173535E12</v>
      </c>
      <c r="C139" s="45"/>
      <c r="D139" s="45"/>
      <c r="E139" s="44" t="s">
        <v>831</v>
      </c>
      <c r="F139" s="44" t="s">
        <v>59</v>
      </c>
      <c r="G139" s="44" t="s">
        <v>108</v>
      </c>
      <c r="H139" s="44">
        <v>1.0</v>
      </c>
      <c r="I139" s="44">
        <v>3911.33</v>
      </c>
      <c r="J139" s="44">
        <v>3911.32</v>
      </c>
      <c r="K139" s="44">
        <v>3792.59</v>
      </c>
      <c r="L139" s="44">
        <v>3792.58</v>
      </c>
      <c r="M139" s="44">
        <v>3627.99</v>
      </c>
      <c r="N139" s="44">
        <v>3627.98</v>
      </c>
      <c r="O139" s="44">
        <v>16.5</v>
      </c>
      <c r="P139" s="44">
        <v>15.9</v>
      </c>
      <c r="Q139" s="44">
        <v>15.1</v>
      </c>
      <c r="R139" s="44">
        <v>14.0</v>
      </c>
      <c r="S139" s="44">
        <v>4250.0</v>
      </c>
      <c r="T139" s="44">
        <v>16.5</v>
      </c>
      <c r="U139" s="44">
        <v>4250.0</v>
      </c>
      <c r="V139" s="46">
        <f>IFERROR(VLOOKUP(B139,Products!$A$2:$W$1000,16,0),"")</f>
        <v>3729</v>
      </c>
      <c r="W139" s="46">
        <f t="shared" si="1"/>
        <v>15.1</v>
      </c>
      <c r="X139" s="44" t="s">
        <v>738</v>
      </c>
    </row>
    <row r="140">
      <c r="A140" s="44" t="s">
        <v>363</v>
      </c>
      <c r="B140" s="44">
        <v>3.182550728102E12</v>
      </c>
      <c r="C140" s="45"/>
      <c r="D140" s="45"/>
      <c r="E140" s="44" t="s">
        <v>832</v>
      </c>
      <c r="F140" s="44" t="s">
        <v>59</v>
      </c>
      <c r="G140" s="44" t="s">
        <v>53</v>
      </c>
      <c r="H140" s="44">
        <v>25.0</v>
      </c>
      <c r="I140" s="44">
        <v>836.98</v>
      </c>
      <c r="J140" s="44">
        <v>836.97</v>
      </c>
      <c r="K140" s="44">
        <v>806.46</v>
      </c>
      <c r="L140" s="44">
        <v>806.45</v>
      </c>
      <c r="M140" s="44">
        <v>764.39</v>
      </c>
      <c r="N140" s="44">
        <v>764.38</v>
      </c>
      <c r="O140" s="44">
        <v>12.5</v>
      </c>
      <c r="P140" s="44">
        <v>9.1</v>
      </c>
      <c r="Q140" s="44">
        <v>7.9</v>
      </c>
      <c r="R140" s="44">
        <v>6.1</v>
      </c>
      <c r="S140" s="44">
        <v>914.0</v>
      </c>
      <c r="T140" s="44">
        <v>12.5</v>
      </c>
      <c r="U140" s="44">
        <v>914.0</v>
      </c>
      <c r="V140" s="46">
        <f>IFERROR(VLOOKUP(B140,Products!$A$2:$W$1000,16,0),"")</f>
        <v>914</v>
      </c>
      <c r="W140" s="46">
        <f t="shared" si="1"/>
        <v>12.5</v>
      </c>
      <c r="X140" s="44" t="s">
        <v>738</v>
      </c>
    </row>
    <row r="141">
      <c r="A141" s="44" t="s">
        <v>328</v>
      </c>
      <c r="B141" s="44">
        <v>5.274203597E10</v>
      </c>
      <c r="C141" s="45"/>
      <c r="D141" s="45"/>
      <c r="E141" s="44" t="s">
        <v>833</v>
      </c>
      <c r="F141" s="44" t="s">
        <v>72</v>
      </c>
      <c r="G141" s="44" t="s">
        <v>229</v>
      </c>
      <c r="H141" s="44">
        <v>10.0</v>
      </c>
      <c r="I141" s="44">
        <v>1070.06</v>
      </c>
      <c r="J141" s="44">
        <v>1070.05</v>
      </c>
      <c r="K141" s="44">
        <v>1039.24</v>
      </c>
      <c r="L141" s="44">
        <v>1039.23</v>
      </c>
      <c r="M141" s="44">
        <v>997.15</v>
      </c>
      <c r="N141" s="44">
        <v>997.14</v>
      </c>
      <c r="O141" s="44">
        <v>12.5</v>
      </c>
      <c r="P141" s="44">
        <v>9.3</v>
      </c>
      <c r="Q141" s="44">
        <v>8.4</v>
      </c>
      <c r="R141" s="44">
        <v>7.0</v>
      </c>
      <c r="S141" s="44">
        <v>1500.0</v>
      </c>
      <c r="T141" s="44">
        <v>12.5</v>
      </c>
      <c r="U141" s="44">
        <v>1500.0</v>
      </c>
      <c r="V141" s="46">
        <f>IFERROR(VLOOKUP(B141,Products!$A$2:$W$1000,16,0),"")</f>
        <v>1070</v>
      </c>
      <c r="W141" s="46">
        <f t="shared" si="1"/>
        <v>9.3</v>
      </c>
      <c r="X141" s="44" t="s">
        <v>738</v>
      </c>
    </row>
    <row r="142">
      <c r="A142" s="44" t="s">
        <v>631</v>
      </c>
      <c r="B142" s="44">
        <v>7.95258613316E11</v>
      </c>
      <c r="C142" s="45"/>
      <c r="D142" s="45"/>
      <c r="E142" s="44" t="s">
        <v>834</v>
      </c>
      <c r="F142" s="44" t="s">
        <v>52</v>
      </c>
      <c r="G142" s="44" t="s">
        <v>50</v>
      </c>
      <c r="H142" s="44">
        <v>0.0</v>
      </c>
      <c r="I142" s="44">
        <v>478.83</v>
      </c>
      <c r="J142" s="44">
        <v>478.82</v>
      </c>
      <c r="K142" s="44">
        <v>447.93</v>
      </c>
      <c r="L142" s="44">
        <v>447.92</v>
      </c>
      <c r="M142" s="44">
        <v>410.34</v>
      </c>
      <c r="N142" s="44">
        <v>410.33</v>
      </c>
      <c r="O142" s="44">
        <v>12.5</v>
      </c>
      <c r="P142" s="44">
        <v>8.4</v>
      </c>
      <c r="Q142" s="44">
        <v>6.3</v>
      </c>
      <c r="R142" s="44">
        <v>3.2</v>
      </c>
      <c r="S142" s="44">
        <v>678.0</v>
      </c>
      <c r="T142" s="44">
        <v>12.5</v>
      </c>
      <c r="U142" s="44">
        <v>678.0</v>
      </c>
      <c r="V142" s="46" t="str">
        <f>IFERROR(VLOOKUP(B142,Products!$A$2:$W$1000,16,0),"")</f>
        <v/>
      </c>
      <c r="W142" s="46" t="str">
        <f t="shared" si="1"/>
        <v>-</v>
      </c>
      <c r="X142" s="44" t="s">
        <v>738</v>
      </c>
    </row>
    <row r="143">
      <c r="A143" s="44" t="s">
        <v>545</v>
      </c>
      <c r="B143" s="44">
        <v>3.569702998444E12</v>
      </c>
      <c r="C143" s="45"/>
      <c r="D143" s="45"/>
      <c r="E143" s="44" t="s">
        <v>835</v>
      </c>
      <c r="F143" s="44" t="s">
        <v>52</v>
      </c>
      <c r="G143" s="44" t="s">
        <v>53</v>
      </c>
      <c r="H143" s="44">
        <v>21.0</v>
      </c>
      <c r="I143" s="44">
        <v>370.32</v>
      </c>
      <c r="J143" s="44">
        <v>370.31</v>
      </c>
      <c r="K143" s="44">
        <v>327.65</v>
      </c>
      <c r="L143" s="44">
        <v>327.64</v>
      </c>
      <c r="M143" s="44">
        <v>288.39</v>
      </c>
      <c r="N143" s="44">
        <v>288.38</v>
      </c>
      <c r="O143" s="44">
        <v>12.5</v>
      </c>
      <c r="P143" s="44">
        <v>7.3</v>
      </c>
      <c r="Q143" s="44">
        <v>3.1</v>
      </c>
      <c r="R143" s="44">
        <v>3.0</v>
      </c>
      <c r="S143" s="44">
        <v>414.0</v>
      </c>
      <c r="T143" s="44">
        <v>12.5</v>
      </c>
      <c r="U143" s="44">
        <v>414.0</v>
      </c>
      <c r="V143" s="46">
        <f>IFERROR(VLOOKUP(B143,Products!$A$2:$W$1000,16,0),"")</f>
        <v>349</v>
      </c>
      <c r="W143" s="46">
        <f t="shared" si="1"/>
        <v>7.3</v>
      </c>
      <c r="X143" s="44" t="s">
        <v>738</v>
      </c>
    </row>
    <row r="144">
      <c r="A144" s="44" t="s">
        <v>151</v>
      </c>
      <c r="B144" s="44">
        <v>5.900951014345E12</v>
      </c>
      <c r="C144" s="45"/>
      <c r="D144" s="45"/>
      <c r="E144" s="44">
        <v>149639.0</v>
      </c>
      <c r="F144" s="44" t="s">
        <v>72</v>
      </c>
      <c r="G144" s="44" t="s">
        <v>121</v>
      </c>
      <c r="H144" s="44">
        <v>0.0</v>
      </c>
      <c r="I144" s="44">
        <v>3494.16</v>
      </c>
      <c r="J144" s="44">
        <v>3494.15</v>
      </c>
      <c r="K144" s="44">
        <v>3235.63</v>
      </c>
      <c r="L144" s="44">
        <v>3235.62</v>
      </c>
      <c r="M144" s="44">
        <v>2923.89</v>
      </c>
      <c r="N144" s="44">
        <v>2923.88</v>
      </c>
      <c r="O144" s="44">
        <v>16.5</v>
      </c>
      <c r="P144" s="44">
        <v>8.3</v>
      </c>
      <c r="Q144" s="44">
        <v>5.7</v>
      </c>
      <c r="R144" s="44">
        <v>3.0</v>
      </c>
      <c r="S144" s="44">
        <v>5500.0</v>
      </c>
      <c r="T144" s="44">
        <v>16.5</v>
      </c>
      <c r="U144" s="44">
        <v>5500.0</v>
      </c>
      <c r="V144" s="46" t="str">
        <f>IFERROR(VLOOKUP(B144,Products!$A$2:$W$1000,16,0),"")</f>
        <v/>
      </c>
      <c r="W144" s="46" t="str">
        <f t="shared" si="1"/>
        <v>-</v>
      </c>
      <c r="X144" s="44" t="s">
        <v>738</v>
      </c>
    </row>
    <row r="145">
      <c r="A145" s="44" t="s">
        <v>645</v>
      </c>
      <c r="B145" s="44">
        <v>7.613038944593E12</v>
      </c>
      <c r="C145" s="45"/>
      <c r="D145" s="45"/>
      <c r="E145" s="44">
        <v>7.613038944593E12</v>
      </c>
      <c r="F145" s="44" t="s">
        <v>52</v>
      </c>
      <c r="G145" s="44" t="s">
        <v>50</v>
      </c>
      <c r="H145" s="44">
        <v>0.0</v>
      </c>
      <c r="I145" s="44">
        <v>532.55</v>
      </c>
      <c r="J145" s="44">
        <v>532.54</v>
      </c>
      <c r="K145" s="44">
        <v>492.6</v>
      </c>
      <c r="L145" s="44">
        <v>492.59</v>
      </c>
      <c r="M145" s="44">
        <v>444.35</v>
      </c>
      <c r="N145" s="44">
        <v>444.34</v>
      </c>
      <c r="O145" s="44">
        <v>12.5</v>
      </c>
      <c r="P145" s="44">
        <v>10.3</v>
      </c>
      <c r="Q145" s="44">
        <v>7.1</v>
      </c>
      <c r="R145" s="44">
        <v>3.7</v>
      </c>
      <c r="S145" s="44">
        <v>400.0</v>
      </c>
      <c r="T145" s="44">
        <v>3.7</v>
      </c>
      <c r="U145" s="44">
        <v>400.0</v>
      </c>
      <c r="V145" s="46" t="str">
        <f>IFERROR(VLOOKUP(B145,Products!$A$2:$W$1000,16,0),"")</f>
        <v/>
      </c>
      <c r="W145" s="46" t="str">
        <f t="shared" si="1"/>
        <v>-</v>
      </c>
      <c r="X145" s="44" t="s">
        <v>738</v>
      </c>
    </row>
    <row r="146">
      <c r="A146" s="44" t="s">
        <v>308</v>
      </c>
      <c r="B146" s="44" t="s">
        <v>309</v>
      </c>
      <c r="C146" s="45"/>
      <c r="D146" s="45"/>
      <c r="E146" s="44" t="s">
        <v>836</v>
      </c>
      <c r="F146" s="44" t="s">
        <v>131</v>
      </c>
      <c r="G146" s="44" t="s">
        <v>303</v>
      </c>
      <c r="H146" s="44">
        <v>99.0</v>
      </c>
      <c r="I146" s="44">
        <v>333.86</v>
      </c>
      <c r="J146" s="44">
        <v>333.85</v>
      </c>
      <c r="K146" s="44">
        <v>310.21</v>
      </c>
      <c r="L146" s="44">
        <v>310.2</v>
      </c>
      <c r="M146" s="44">
        <v>281.56</v>
      </c>
      <c r="N146" s="44">
        <v>281.55</v>
      </c>
      <c r="O146" s="44">
        <v>12.5</v>
      </c>
      <c r="P146" s="44">
        <v>11.0</v>
      </c>
      <c r="Q146" s="44">
        <v>8.8</v>
      </c>
      <c r="R146" s="44">
        <v>5.6</v>
      </c>
      <c r="S146" s="44">
        <v>450.0</v>
      </c>
      <c r="T146" s="44">
        <v>12.5</v>
      </c>
      <c r="U146" s="44">
        <v>450.0</v>
      </c>
      <c r="V146" s="46">
        <f>IFERROR(VLOOKUP(B146,Products!$A$2:$W$1000,16,0),"")</f>
        <v>333.85</v>
      </c>
      <c r="W146" s="46">
        <f t="shared" si="1"/>
        <v>11</v>
      </c>
      <c r="X146" s="44" t="s">
        <v>738</v>
      </c>
    </row>
    <row r="147">
      <c r="A147" s="44" t="s">
        <v>243</v>
      </c>
      <c r="B147" s="44">
        <v>8.010276038869E12</v>
      </c>
      <c r="C147" s="45"/>
      <c r="D147" s="45"/>
      <c r="E147" s="44">
        <v>8.010276038869E12</v>
      </c>
      <c r="F147" s="44" t="s">
        <v>72</v>
      </c>
      <c r="G147" s="44" t="s">
        <v>91</v>
      </c>
      <c r="H147" s="44">
        <v>0.0</v>
      </c>
      <c r="I147" s="44">
        <v>3019.38</v>
      </c>
      <c r="J147" s="44">
        <v>3019.37</v>
      </c>
      <c r="K147" s="44">
        <v>2935.09</v>
      </c>
      <c r="L147" s="44">
        <v>2935.08</v>
      </c>
      <c r="M147" s="44">
        <v>2876.94</v>
      </c>
      <c r="N147" s="44">
        <v>2876.93</v>
      </c>
      <c r="O147" s="44">
        <v>16.5</v>
      </c>
      <c r="P147" s="44">
        <v>15.6</v>
      </c>
      <c r="Q147" s="44">
        <v>14.9</v>
      </c>
      <c r="R147" s="44">
        <v>14.4</v>
      </c>
      <c r="S147" s="44">
        <v>3500.0</v>
      </c>
      <c r="T147" s="44">
        <v>16.5</v>
      </c>
      <c r="U147" s="44">
        <v>3500.0</v>
      </c>
      <c r="V147" s="46" t="str">
        <f>IFERROR(VLOOKUP(B147,Products!$A$2:$W$1000,16,0),"")</f>
        <v/>
      </c>
      <c r="W147" s="46" t="str">
        <f t="shared" si="1"/>
        <v>-</v>
      </c>
      <c r="X147" s="44" t="s">
        <v>738</v>
      </c>
    </row>
    <row r="148">
      <c r="A148" s="44" t="s">
        <v>230</v>
      </c>
      <c r="B148" s="44" t="s">
        <v>228</v>
      </c>
      <c r="C148" s="45"/>
      <c r="D148" s="45"/>
      <c r="E148" s="44" t="s">
        <v>837</v>
      </c>
      <c r="F148" s="44" t="s">
        <v>72</v>
      </c>
      <c r="G148" s="44" t="s">
        <v>229</v>
      </c>
      <c r="H148" s="44">
        <v>0.0</v>
      </c>
      <c r="I148" s="44">
        <v>873.14</v>
      </c>
      <c r="J148" s="44">
        <v>873.13</v>
      </c>
      <c r="K148" s="44">
        <v>772.24</v>
      </c>
      <c r="L148" s="44">
        <v>772.23</v>
      </c>
      <c r="M148" s="44">
        <v>673.41</v>
      </c>
      <c r="N148" s="44">
        <v>673.4</v>
      </c>
      <c r="O148" s="44">
        <v>12.5</v>
      </c>
      <c r="P148" s="44">
        <v>9.9</v>
      </c>
      <c r="Q148" s="44">
        <v>6.0</v>
      </c>
      <c r="R148" s="44">
        <v>3.7</v>
      </c>
      <c r="S148" s="44">
        <v>750.0</v>
      </c>
      <c r="T148" s="44">
        <v>6.0</v>
      </c>
      <c r="U148" s="44">
        <v>750.0</v>
      </c>
      <c r="V148" s="46" t="str">
        <f>IFERROR(VLOOKUP(B148,Products!$A$2:$W$1000,16,0),"")</f>
        <v/>
      </c>
      <c r="W148" s="46" t="str">
        <f t="shared" si="1"/>
        <v>-</v>
      </c>
      <c r="X148" s="44" t="s">
        <v>738</v>
      </c>
    </row>
    <row r="149">
      <c r="A149" s="44" t="s">
        <v>155</v>
      </c>
      <c r="B149" s="44">
        <v>3.208202001E9</v>
      </c>
      <c r="C149" s="45"/>
      <c r="D149" s="45"/>
      <c r="E149" s="44">
        <v>3.2082001E7</v>
      </c>
      <c r="F149" s="44" t="s">
        <v>72</v>
      </c>
      <c r="G149" s="44" t="s">
        <v>153</v>
      </c>
      <c r="H149" s="44">
        <v>0.0</v>
      </c>
      <c r="I149" s="44">
        <v>541.71</v>
      </c>
      <c r="J149" s="44">
        <v>541.7</v>
      </c>
      <c r="K149" s="44">
        <v>526.59</v>
      </c>
      <c r="L149" s="44">
        <v>526.58</v>
      </c>
      <c r="M149" s="44">
        <v>514.42</v>
      </c>
      <c r="N149" s="44">
        <v>514.41</v>
      </c>
      <c r="O149" s="44">
        <v>16.5</v>
      </c>
      <c r="P149" s="44">
        <v>15.6</v>
      </c>
      <c r="Q149" s="44">
        <v>14.9</v>
      </c>
      <c r="R149" s="44">
        <v>14.3</v>
      </c>
      <c r="S149" s="44">
        <v>625.0</v>
      </c>
      <c r="T149" s="44">
        <v>16.5</v>
      </c>
      <c r="U149" s="44">
        <v>625.0</v>
      </c>
      <c r="V149" s="46" t="str">
        <f>IFERROR(VLOOKUP(B149,Products!$A$2:$W$1000,16,0),"")</f>
        <v/>
      </c>
      <c r="W149" s="46" t="str">
        <f t="shared" si="1"/>
        <v>-</v>
      </c>
      <c r="X149" s="44" t="s">
        <v>738</v>
      </c>
    </row>
    <row r="150">
      <c r="A150" s="44" t="s">
        <v>247</v>
      </c>
      <c r="B150" s="44">
        <v>8.010276033703E12</v>
      </c>
      <c r="C150" s="45"/>
      <c r="D150" s="45"/>
      <c r="E150" s="44">
        <v>8.010276033703E12</v>
      </c>
      <c r="F150" s="44" t="s">
        <v>59</v>
      </c>
      <c r="G150" s="44" t="s">
        <v>91</v>
      </c>
      <c r="H150" s="44">
        <v>1.0</v>
      </c>
      <c r="I150" s="44">
        <v>1393.49</v>
      </c>
      <c r="J150" s="44">
        <v>1393.48</v>
      </c>
      <c r="K150" s="44">
        <v>1354.59</v>
      </c>
      <c r="L150" s="44">
        <v>1354.58</v>
      </c>
      <c r="M150" s="44">
        <v>1328.95</v>
      </c>
      <c r="N150" s="44">
        <v>1328.94</v>
      </c>
      <c r="O150" s="44">
        <v>16.5</v>
      </c>
      <c r="P150" s="44">
        <v>16.1</v>
      </c>
      <c r="Q150" s="44">
        <v>15.5</v>
      </c>
      <c r="R150" s="44">
        <v>15.0</v>
      </c>
      <c r="S150" s="44">
        <v>1493.0</v>
      </c>
      <c r="T150" s="44">
        <v>16.5</v>
      </c>
      <c r="U150" s="44">
        <v>1493.0</v>
      </c>
      <c r="V150" s="46">
        <f>IFERROR(VLOOKUP(B150,Products!$A$2:$W$1000,16,0),"")</f>
        <v>1493</v>
      </c>
      <c r="W150" s="46">
        <f t="shared" si="1"/>
        <v>16.5</v>
      </c>
      <c r="X150" s="44" t="s">
        <v>738</v>
      </c>
    </row>
    <row r="151">
      <c r="A151" s="44" t="s">
        <v>54</v>
      </c>
      <c r="B151" s="44">
        <v>9.003579311301E12</v>
      </c>
      <c r="C151" s="45"/>
      <c r="D151" s="45"/>
      <c r="E151" s="44" t="s">
        <v>838</v>
      </c>
      <c r="F151" s="44" t="s">
        <v>52</v>
      </c>
      <c r="G151" s="44" t="s">
        <v>53</v>
      </c>
      <c r="H151" s="44">
        <v>996.0</v>
      </c>
      <c r="I151" s="44">
        <v>96.7</v>
      </c>
      <c r="J151" s="44">
        <v>96.69</v>
      </c>
      <c r="K151" s="44">
        <v>87.09</v>
      </c>
      <c r="L151" s="44">
        <v>87.08</v>
      </c>
      <c r="M151" s="44">
        <v>79.09</v>
      </c>
      <c r="N151" s="44">
        <v>79.08</v>
      </c>
      <c r="O151" s="44">
        <v>12.5</v>
      </c>
      <c r="P151" s="44">
        <v>8.2</v>
      </c>
      <c r="Q151" s="44">
        <v>4.7</v>
      </c>
      <c r="R151" s="44">
        <v>3.0</v>
      </c>
      <c r="S151" s="44">
        <v>199.0</v>
      </c>
      <c r="T151" s="44">
        <v>12.5</v>
      </c>
      <c r="U151" s="44">
        <v>199.0</v>
      </c>
      <c r="V151" s="46">
        <f>IFERROR(VLOOKUP(B151,Products!$A$2:$W$1000,16,0),"")</f>
        <v>71</v>
      </c>
      <c r="W151" s="46">
        <f t="shared" si="1"/>
        <v>3</v>
      </c>
      <c r="X151" s="44" t="s">
        <v>738</v>
      </c>
    </row>
    <row r="152">
      <c r="A152" s="44" t="s">
        <v>528</v>
      </c>
      <c r="B152" s="44" t="s">
        <v>527</v>
      </c>
      <c r="C152" s="45"/>
      <c r="D152" s="45"/>
      <c r="E152" s="44" t="s">
        <v>839</v>
      </c>
      <c r="F152" s="44" t="s">
        <v>72</v>
      </c>
      <c r="G152" s="44" t="s">
        <v>333</v>
      </c>
      <c r="H152" s="44">
        <v>1.0</v>
      </c>
      <c r="I152" s="44">
        <v>2762.66</v>
      </c>
      <c r="J152" s="44">
        <v>2762.65</v>
      </c>
      <c r="K152" s="44">
        <v>2639.84</v>
      </c>
      <c r="L152" s="44">
        <v>2639.83</v>
      </c>
      <c r="M152" s="44">
        <v>2487.81</v>
      </c>
      <c r="N152" s="44">
        <v>2487.8</v>
      </c>
      <c r="O152" s="44">
        <v>16.5</v>
      </c>
      <c r="P152" s="44">
        <v>15.7</v>
      </c>
      <c r="Q152" s="44">
        <v>14.6</v>
      </c>
      <c r="R152" s="44">
        <v>13.0</v>
      </c>
      <c r="S152" s="44">
        <v>3400.0</v>
      </c>
      <c r="T152" s="44">
        <v>16.5</v>
      </c>
      <c r="U152" s="44">
        <v>3400.0</v>
      </c>
      <c r="V152" s="46">
        <f>IFERROR(VLOOKUP(B152,Products!$A$2:$W$1000,16,0),"")</f>
        <v>2619</v>
      </c>
      <c r="W152" s="46">
        <f t="shared" si="1"/>
        <v>14.6</v>
      </c>
      <c r="X152" s="44" t="s">
        <v>738</v>
      </c>
    </row>
    <row r="153">
      <c r="A153" s="44" t="s">
        <v>373</v>
      </c>
      <c r="B153" s="44">
        <v>3.182550716857E12</v>
      </c>
      <c r="C153" s="45"/>
      <c r="D153" s="45"/>
      <c r="E153" s="44" t="s">
        <v>840</v>
      </c>
      <c r="F153" s="44" t="s">
        <v>59</v>
      </c>
      <c r="G153" s="44" t="s">
        <v>53</v>
      </c>
      <c r="H153" s="44">
        <v>3.0</v>
      </c>
      <c r="I153" s="44">
        <v>793.46</v>
      </c>
      <c r="J153" s="44">
        <v>793.45</v>
      </c>
      <c r="K153" s="44">
        <v>744.96</v>
      </c>
      <c r="L153" s="44">
        <v>744.95</v>
      </c>
      <c r="M153" s="44">
        <v>686.08</v>
      </c>
      <c r="N153" s="44">
        <v>686.07</v>
      </c>
      <c r="O153" s="44">
        <v>12.5</v>
      </c>
      <c r="P153" s="44">
        <v>8.5</v>
      </c>
      <c r="Q153" s="44">
        <v>6.5</v>
      </c>
      <c r="R153" s="44">
        <v>3.6</v>
      </c>
      <c r="S153" s="44">
        <v>1035.0</v>
      </c>
      <c r="T153" s="44">
        <v>12.5</v>
      </c>
      <c r="U153" s="44">
        <v>1035.0</v>
      </c>
      <c r="V153" s="46">
        <f>IFERROR(VLOOKUP(B153,Products!$A$2:$W$1000,16,0),"")</f>
        <v>949</v>
      </c>
      <c r="W153" s="46">
        <f t="shared" si="1"/>
        <v>12.5</v>
      </c>
      <c r="X153" s="44" t="s">
        <v>738</v>
      </c>
    </row>
    <row r="154">
      <c r="A154" s="44" t="s">
        <v>596</v>
      </c>
      <c r="B154" s="44" t="s">
        <v>595</v>
      </c>
      <c r="C154" s="45"/>
      <c r="D154" s="45"/>
      <c r="E154" s="44" t="s">
        <v>841</v>
      </c>
      <c r="F154" s="44" t="s">
        <v>72</v>
      </c>
      <c r="G154" s="44" t="s">
        <v>229</v>
      </c>
      <c r="H154" s="44">
        <v>0.0</v>
      </c>
      <c r="I154" s="44">
        <v>2185.16</v>
      </c>
      <c r="J154" s="44">
        <v>2185.15</v>
      </c>
      <c r="K154" s="44">
        <v>2096.2</v>
      </c>
      <c r="L154" s="44">
        <v>2096.19</v>
      </c>
      <c r="M154" s="44">
        <v>1982.19</v>
      </c>
      <c r="N154" s="44">
        <v>1982.18</v>
      </c>
      <c r="O154" s="44">
        <v>12.5</v>
      </c>
      <c r="P154" s="44">
        <v>11.6</v>
      </c>
      <c r="Q154" s="44">
        <v>10.4</v>
      </c>
      <c r="R154" s="44">
        <v>8.7</v>
      </c>
      <c r="S154" s="44">
        <v>2199.0</v>
      </c>
      <c r="T154" s="44">
        <v>12.5</v>
      </c>
      <c r="U154" s="44">
        <v>2199.0</v>
      </c>
      <c r="V154" s="46" t="str">
        <f>IFERROR(VLOOKUP(B154,Products!$A$2:$W$1000,16,0),"")</f>
        <v/>
      </c>
      <c r="W154" s="46" t="str">
        <f t="shared" si="1"/>
        <v>-</v>
      </c>
      <c r="X154" s="44" t="s">
        <v>738</v>
      </c>
    </row>
    <row r="155">
      <c r="A155" s="44" t="s">
        <v>329</v>
      </c>
      <c r="B155" s="44">
        <v>5.2742023724E10</v>
      </c>
      <c r="C155" s="45"/>
      <c r="D155" s="45"/>
      <c r="E155" s="44" t="s">
        <v>842</v>
      </c>
      <c r="F155" s="44" t="s">
        <v>72</v>
      </c>
      <c r="G155" s="44" t="s">
        <v>229</v>
      </c>
      <c r="H155" s="44">
        <v>10.0</v>
      </c>
      <c r="I155" s="44">
        <v>1027.79</v>
      </c>
      <c r="J155" s="44">
        <v>1027.78</v>
      </c>
      <c r="K155" s="44">
        <v>983.52</v>
      </c>
      <c r="L155" s="44">
        <v>983.51</v>
      </c>
      <c r="M155" s="44">
        <v>925.02</v>
      </c>
      <c r="N155" s="44">
        <v>925.01</v>
      </c>
      <c r="O155" s="44">
        <v>12.5</v>
      </c>
      <c r="P155" s="44">
        <v>8.9</v>
      </c>
      <c r="Q155" s="44">
        <v>7.5</v>
      </c>
      <c r="R155" s="44">
        <v>5.5</v>
      </c>
      <c r="S155" s="44">
        <v>1500.0</v>
      </c>
      <c r="T155" s="44">
        <v>12.5</v>
      </c>
      <c r="U155" s="44">
        <v>1500.0</v>
      </c>
      <c r="V155" s="46">
        <f>IFERROR(VLOOKUP(B155,Products!$A$2:$W$1000,16,0),"")</f>
        <v>1068.75</v>
      </c>
      <c r="W155" s="46">
        <f t="shared" si="1"/>
        <v>12.5</v>
      </c>
      <c r="X155" s="44" t="s">
        <v>738</v>
      </c>
    </row>
    <row r="156">
      <c r="A156" s="44" t="s">
        <v>362</v>
      </c>
      <c r="B156" s="44">
        <v>9.00000046014E12</v>
      </c>
      <c r="C156" s="45"/>
      <c r="D156" s="45"/>
      <c r="E156" s="44">
        <v>48443.0</v>
      </c>
      <c r="F156" s="44" t="s">
        <v>279</v>
      </c>
      <c r="G156" s="44" t="s">
        <v>53</v>
      </c>
      <c r="H156" s="44">
        <v>5.0</v>
      </c>
      <c r="I156" s="44">
        <v>516.71</v>
      </c>
      <c r="J156" s="44">
        <v>516.7</v>
      </c>
      <c r="K156" s="44">
        <v>483.13</v>
      </c>
      <c r="L156" s="44">
        <v>483.12</v>
      </c>
      <c r="M156" s="44">
        <v>442.28</v>
      </c>
      <c r="N156" s="44">
        <v>442.27</v>
      </c>
      <c r="O156" s="44">
        <v>12.5</v>
      </c>
      <c r="P156" s="44">
        <v>11.1</v>
      </c>
      <c r="Q156" s="44">
        <v>9.0</v>
      </c>
      <c r="R156" s="44">
        <v>6.2</v>
      </c>
      <c r="S156" s="44">
        <v>999.0</v>
      </c>
      <c r="T156" s="44">
        <v>12.5</v>
      </c>
      <c r="U156" s="44">
        <v>999.0</v>
      </c>
      <c r="V156" s="46">
        <f>IFERROR(VLOOKUP(B156,Products!$A$2:$W$1000,16,0),"")</f>
        <v>618</v>
      </c>
      <c r="W156" s="46">
        <f t="shared" si="1"/>
        <v>12.5</v>
      </c>
      <c r="X156" s="44" t="s">
        <v>738</v>
      </c>
    </row>
    <row r="157">
      <c r="A157" s="44" t="s">
        <v>256</v>
      </c>
      <c r="B157" s="44">
        <v>8.005852019662E12</v>
      </c>
      <c r="C157" s="45"/>
      <c r="D157" s="45"/>
      <c r="E157" s="44">
        <v>8.005852019662E12</v>
      </c>
      <c r="F157" s="44" t="s">
        <v>52</v>
      </c>
      <c r="G157" s="44" t="s">
        <v>115</v>
      </c>
      <c r="H157" s="44">
        <v>0.0</v>
      </c>
      <c r="I157" s="44">
        <v>2622.61</v>
      </c>
      <c r="J157" s="44">
        <v>2622.6</v>
      </c>
      <c r="K157" s="44">
        <v>2546.7</v>
      </c>
      <c r="L157" s="44">
        <v>2546.69</v>
      </c>
      <c r="M157" s="44">
        <v>2445.98</v>
      </c>
      <c r="N157" s="44">
        <v>2445.97</v>
      </c>
      <c r="O157" s="44">
        <v>16.5</v>
      </c>
      <c r="P157" s="44">
        <v>9.3</v>
      </c>
      <c r="Q157" s="44">
        <v>8.4</v>
      </c>
      <c r="R157" s="44">
        <v>7.1</v>
      </c>
      <c r="S157" s="44">
        <v>2815.0</v>
      </c>
      <c r="T157" s="44">
        <v>16.5</v>
      </c>
      <c r="U157" s="44">
        <v>2815.0</v>
      </c>
      <c r="V157" s="46" t="str">
        <f>IFERROR(VLOOKUP(B157,Products!$A$2:$W$1000,16,0),"")</f>
        <v/>
      </c>
      <c r="W157" s="46" t="str">
        <f t="shared" si="1"/>
        <v>-</v>
      </c>
      <c r="X157" s="44" t="s">
        <v>738</v>
      </c>
    </row>
    <row r="158">
      <c r="A158" s="44" t="s">
        <v>305</v>
      </c>
      <c r="B158" s="44">
        <v>6.923632570121E12</v>
      </c>
      <c r="C158" s="44" t="s">
        <v>306</v>
      </c>
      <c r="D158" s="45"/>
      <c r="E158" s="44" t="s">
        <v>557</v>
      </c>
      <c r="F158" s="44" t="s">
        <v>299</v>
      </c>
      <c r="G158" s="44" t="s">
        <v>296</v>
      </c>
      <c r="H158" s="44">
        <v>45.0</v>
      </c>
      <c r="I158" s="44">
        <v>853.07</v>
      </c>
      <c r="J158" s="44">
        <v>853.06</v>
      </c>
      <c r="K158" s="44">
        <v>771.96</v>
      </c>
      <c r="L158" s="44">
        <v>771.95</v>
      </c>
      <c r="M158" s="44">
        <v>687.77</v>
      </c>
      <c r="N158" s="44">
        <v>687.76</v>
      </c>
      <c r="O158" s="44">
        <v>20.0</v>
      </c>
      <c r="P158" s="44">
        <v>19.0</v>
      </c>
      <c r="Q158" s="44">
        <v>16.8</v>
      </c>
      <c r="R158" s="44">
        <v>14.0</v>
      </c>
      <c r="S158" s="44">
        <v>852.0</v>
      </c>
      <c r="T158" s="44">
        <v>19.0</v>
      </c>
      <c r="U158" s="44">
        <v>852.0</v>
      </c>
      <c r="V158" s="46">
        <f>IFERROR(VLOOKUP(B158,Products!$A$2:$W$1000,16,0),"")</f>
        <v>852</v>
      </c>
      <c r="W158" s="46">
        <f t="shared" si="1"/>
        <v>19</v>
      </c>
      <c r="X158" s="44" t="s">
        <v>738</v>
      </c>
    </row>
    <row r="159">
      <c r="A159" s="44" t="s">
        <v>248</v>
      </c>
      <c r="B159" s="44">
        <v>8.010276042354E12</v>
      </c>
      <c r="C159" s="45"/>
      <c r="D159" s="45"/>
      <c r="E159" s="44" t="s">
        <v>843</v>
      </c>
      <c r="F159" s="44" t="s">
        <v>59</v>
      </c>
      <c r="G159" s="44" t="s">
        <v>91</v>
      </c>
      <c r="H159" s="44">
        <v>0.0</v>
      </c>
      <c r="I159" s="44">
        <v>904.73</v>
      </c>
      <c r="J159" s="44">
        <v>904.72</v>
      </c>
      <c r="K159" s="44">
        <v>801.07</v>
      </c>
      <c r="L159" s="44">
        <v>801.06</v>
      </c>
      <c r="M159" s="44">
        <v>697.47</v>
      </c>
      <c r="N159" s="44">
        <v>697.46</v>
      </c>
      <c r="O159" s="44">
        <v>16.5</v>
      </c>
      <c r="P159" s="44">
        <v>13.8</v>
      </c>
      <c r="Q159" s="44">
        <v>10.4</v>
      </c>
      <c r="R159" s="44">
        <v>6.0</v>
      </c>
      <c r="S159" s="44">
        <v>1025.0</v>
      </c>
      <c r="T159" s="44">
        <v>16.5</v>
      </c>
      <c r="U159" s="44">
        <v>1025.0</v>
      </c>
      <c r="V159" s="46" t="str">
        <f>IFERROR(VLOOKUP(B159,Products!$A$2:$W$1000,16,0),"")</f>
        <v/>
      </c>
      <c r="W159" s="46" t="str">
        <f t="shared" si="1"/>
        <v>-</v>
      </c>
      <c r="X159" s="44" t="s">
        <v>738</v>
      </c>
    </row>
    <row r="160">
      <c r="A160" s="44" t="s">
        <v>323</v>
      </c>
      <c r="B160" s="44" t="s">
        <v>322</v>
      </c>
      <c r="C160" s="45"/>
      <c r="D160" s="45"/>
      <c r="E160" s="44" t="s">
        <v>844</v>
      </c>
      <c r="F160" s="44" t="s">
        <v>72</v>
      </c>
      <c r="G160" s="44" t="s">
        <v>229</v>
      </c>
      <c r="H160" s="44">
        <v>100.0</v>
      </c>
      <c r="I160" s="44">
        <v>4159.72</v>
      </c>
      <c r="J160" s="44">
        <v>4159.71</v>
      </c>
      <c r="K160" s="44">
        <v>4048.27</v>
      </c>
      <c r="L160" s="44">
        <v>4048.26</v>
      </c>
      <c r="M160" s="44">
        <v>3894.77</v>
      </c>
      <c r="N160" s="44">
        <v>3894.76</v>
      </c>
      <c r="O160" s="44">
        <v>12.5</v>
      </c>
      <c r="P160" s="44">
        <v>11.9</v>
      </c>
      <c r="Q160" s="44">
        <v>11.1</v>
      </c>
      <c r="R160" s="44">
        <v>10.0</v>
      </c>
      <c r="S160" s="44">
        <v>5500.0</v>
      </c>
      <c r="T160" s="44">
        <v>12.5</v>
      </c>
      <c r="U160" s="44">
        <v>5500.0</v>
      </c>
      <c r="V160" s="46">
        <f>IFERROR(VLOOKUP(B160,Products!$A$2:$W$1000,16,0),"")</f>
        <v>4399.72</v>
      </c>
      <c r="W160" s="46">
        <f t="shared" si="1"/>
        <v>12.5</v>
      </c>
      <c r="X160" s="44" t="s">
        <v>738</v>
      </c>
    </row>
    <row r="161">
      <c r="A161" s="44" t="s">
        <v>386</v>
      </c>
      <c r="B161" s="44">
        <v>9.003579008485E12</v>
      </c>
      <c r="C161" s="45"/>
      <c r="D161" s="45"/>
      <c r="E161" s="44">
        <v>9.003579008485E12</v>
      </c>
      <c r="F161" s="44" t="s">
        <v>279</v>
      </c>
      <c r="G161" s="44" t="s">
        <v>53</v>
      </c>
      <c r="H161" s="44">
        <v>5.0</v>
      </c>
      <c r="I161" s="44">
        <v>437.54</v>
      </c>
      <c r="J161" s="44">
        <v>437.53</v>
      </c>
      <c r="K161" s="44">
        <v>403.82</v>
      </c>
      <c r="L161" s="44">
        <v>403.81</v>
      </c>
      <c r="M161" s="44">
        <v>362.84</v>
      </c>
      <c r="N161" s="44">
        <v>362.83</v>
      </c>
      <c r="O161" s="44">
        <v>12.5</v>
      </c>
      <c r="P161" s="44">
        <v>10.8</v>
      </c>
      <c r="Q161" s="44">
        <v>8.3</v>
      </c>
      <c r="R161" s="44">
        <v>4.8</v>
      </c>
      <c r="S161" s="44">
        <v>999.0</v>
      </c>
      <c r="T161" s="44">
        <v>12.5</v>
      </c>
      <c r="U161" s="44">
        <v>999.0</v>
      </c>
      <c r="V161" s="46">
        <f>IFERROR(VLOOKUP(B161,Products!$A$2:$W$1000,16,0),"")</f>
        <v>465</v>
      </c>
      <c r="W161" s="46">
        <f t="shared" si="1"/>
        <v>12.5</v>
      </c>
      <c r="X161" s="44" t="s">
        <v>738</v>
      </c>
    </row>
    <row r="162">
      <c r="A162" s="44" t="s">
        <v>239</v>
      </c>
      <c r="B162" s="44">
        <v>8.010276042323E12</v>
      </c>
      <c r="C162" s="45"/>
      <c r="D162" s="45"/>
      <c r="E162" s="44">
        <v>8.010276042323E12</v>
      </c>
      <c r="F162" s="44" t="s">
        <v>59</v>
      </c>
      <c r="G162" s="44" t="s">
        <v>91</v>
      </c>
      <c r="H162" s="44">
        <v>0.0</v>
      </c>
      <c r="I162" s="44">
        <v>2066.69</v>
      </c>
      <c r="J162" s="44">
        <v>2066.68</v>
      </c>
      <c r="K162" s="44">
        <v>2009.78</v>
      </c>
      <c r="L162" s="44">
        <v>2009.77</v>
      </c>
      <c r="M162" s="44">
        <v>1959.94</v>
      </c>
      <c r="N162" s="44">
        <v>1959.93</v>
      </c>
      <c r="O162" s="44">
        <v>16.5</v>
      </c>
      <c r="P162" s="44">
        <v>15.6</v>
      </c>
      <c r="Q162" s="44">
        <v>14.9</v>
      </c>
      <c r="R162" s="44">
        <v>14.3</v>
      </c>
      <c r="S162" s="44">
        <v>2200.0</v>
      </c>
      <c r="T162" s="44">
        <v>16.5</v>
      </c>
      <c r="U162" s="44">
        <v>2200.0</v>
      </c>
      <c r="V162" s="46" t="str">
        <f>IFERROR(VLOOKUP(B162,Products!$A$2:$W$1000,16,0),"")</f>
        <v/>
      </c>
      <c r="W162" s="46" t="str">
        <f t="shared" si="1"/>
        <v>-</v>
      </c>
      <c r="X162" s="44" t="s">
        <v>738</v>
      </c>
    </row>
    <row r="163">
      <c r="A163" s="44" t="s">
        <v>238</v>
      </c>
      <c r="B163" s="44">
        <v>8.010276042361E12</v>
      </c>
      <c r="C163" s="45"/>
      <c r="D163" s="45"/>
      <c r="E163" s="44">
        <v>8.010276042361E12</v>
      </c>
      <c r="F163" s="44" t="s">
        <v>59</v>
      </c>
      <c r="G163" s="44" t="s">
        <v>91</v>
      </c>
      <c r="H163" s="44">
        <v>2.0</v>
      </c>
      <c r="I163" s="44">
        <v>2002.02</v>
      </c>
      <c r="J163" s="44">
        <v>2002.01</v>
      </c>
      <c r="K163" s="44">
        <v>1951.2</v>
      </c>
      <c r="L163" s="44">
        <v>1951.19</v>
      </c>
      <c r="M163" s="44">
        <v>1887.79</v>
      </c>
      <c r="N163" s="44">
        <v>1887.78</v>
      </c>
      <c r="O163" s="44">
        <v>16.5</v>
      </c>
      <c r="P163" s="44">
        <v>15.5</v>
      </c>
      <c r="Q163" s="44">
        <v>14.9</v>
      </c>
      <c r="R163" s="44">
        <v>14.1</v>
      </c>
      <c r="S163" s="44">
        <v>2195.0</v>
      </c>
      <c r="T163" s="44">
        <v>16.5</v>
      </c>
      <c r="U163" s="44">
        <v>2195.0</v>
      </c>
      <c r="V163" s="46">
        <f>IFERROR(VLOOKUP(B163,Products!$A$2:$W$1000,16,0),"")</f>
        <v>2195</v>
      </c>
      <c r="W163" s="46">
        <f t="shared" si="1"/>
        <v>16.5</v>
      </c>
      <c r="X163" s="44" t="s">
        <v>738</v>
      </c>
    </row>
    <row r="164">
      <c r="A164" s="44" t="s">
        <v>136</v>
      </c>
      <c r="B164" s="44" t="s">
        <v>192</v>
      </c>
      <c r="C164" s="45"/>
      <c r="D164" s="45"/>
      <c r="E164" s="44" t="s">
        <v>845</v>
      </c>
      <c r="F164" s="44" t="s">
        <v>52</v>
      </c>
      <c r="G164" s="44" t="s">
        <v>121</v>
      </c>
      <c r="H164" s="44">
        <v>100.0</v>
      </c>
      <c r="I164" s="44">
        <v>581.42</v>
      </c>
      <c r="J164" s="44">
        <v>581.41</v>
      </c>
      <c r="K164" s="44">
        <v>520.75</v>
      </c>
      <c r="L164" s="44">
        <v>520.74</v>
      </c>
      <c r="M164" s="44">
        <v>445.58</v>
      </c>
      <c r="N164" s="44">
        <v>445.57</v>
      </c>
      <c r="O164" s="44">
        <v>13.5</v>
      </c>
      <c r="P164" s="44">
        <v>7.4</v>
      </c>
      <c r="Q164" s="44">
        <v>3.6</v>
      </c>
      <c r="R164" s="44">
        <v>3.0</v>
      </c>
      <c r="S164" s="44">
        <v>1200.0</v>
      </c>
      <c r="T164" s="44">
        <v>13.5</v>
      </c>
      <c r="U164" s="44">
        <v>1200.0</v>
      </c>
      <c r="V164" s="46">
        <f>IFERROR(VLOOKUP(B164,Products!$A$2:$W$1000,16,0),"")</f>
        <v>696</v>
      </c>
      <c r="W164" s="46">
        <f t="shared" si="1"/>
        <v>13.5</v>
      </c>
      <c r="X164" s="44" t="s">
        <v>738</v>
      </c>
    </row>
    <row r="165">
      <c r="A165" s="44" t="s">
        <v>392</v>
      </c>
      <c r="B165" s="44" t="s">
        <v>391</v>
      </c>
      <c r="C165" s="45"/>
      <c r="D165" s="45"/>
      <c r="E165" s="44">
        <v>328.0</v>
      </c>
      <c r="F165" s="44" t="s">
        <v>52</v>
      </c>
      <c r="G165" s="44" t="s">
        <v>137</v>
      </c>
      <c r="H165" s="44">
        <v>390.0</v>
      </c>
      <c r="I165" s="44">
        <v>569.88</v>
      </c>
      <c r="J165" s="44">
        <v>569.87</v>
      </c>
      <c r="K165" s="44">
        <v>545.77</v>
      </c>
      <c r="L165" s="44">
        <v>545.76</v>
      </c>
      <c r="M165" s="44">
        <v>513.69</v>
      </c>
      <c r="N165" s="44">
        <v>513.68</v>
      </c>
      <c r="O165" s="44">
        <v>13.5</v>
      </c>
      <c r="P165" s="44">
        <v>7.0</v>
      </c>
      <c r="Q165" s="44">
        <v>5.5</v>
      </c>
      <c r="R165" s="44">
        <v>3.4</v>
      </c>
      <c r="S165" s="44">
        <v>669.0</v>
      </c>
      <c r="T165" s="44">
        <v>13.5</v>
      </c>
      <c r="U165" s="44">
        <v>669.0</v>
      </c>
      <c r="V165" s="46">
        <f>IFERROR(VLOOKUP(B165,Products!$A$2:$W$1000,16,0),"")</f>
        <v>649.9</v>
      </c>
      <c r="W165" s="46">
        <f t="shared" si="1"/>
        <v>13.5</v>
      </c>
      <c r="X165" s="44" t="s">
        <v>738</v>
      </c>
    </row>
    <row r="166">
      <c r="A166" s="44" t="s">
        <v>397</v>
      </c>
      <c r="B166" s="44">
        <v>8.46799273637E11</v>
      </c>
      <c r="C166" s="45"/>
      <c r="D166" s="45"/>
      <c r="E166" s="44">
        <v>72.0</v>
      </c>
      <c r="F166" s="44" t="s">
        <v>72</v>
      </c>
      <c r="G166" s="44" t="s">
        <v>137</v>
      </c>
      <c r="H166" s="44">
        <v>183.0</v>
      </c>
      <c r="I166" s="44">
        <v>613.66</v>
      </c>
      <c r="J166" s="44">
        <v>613.65</v>
      </c>
      <c r="K166" s="44">
        <v>597.99</v>
      </c>
      <c r="L166" s="44">
        <v>597.98</v>
      </c>
      <c r="M166" s="44">
        <v>579.34</v>
      </c>
      <c r="N166" s="44">
        <v>579.33</v>
      </c>
      <c r="O166" s="44">
        <v>16.5</v>
      </c>
      <c r="P166" s="44">
        <v>16.1</v>
      </c>
      <c r="Q166" s="44">
        <v>15.4</v>
      </c>
      <c r="R166" s="44">
        <v>14.6</v>
      </c>
      <c r="S166" s="44">
        <v>648.0</v>
      </c>
      <c r="T166" s="44">
        <v>16.5</v>
      </c>
      <c r="U166" s="44">
        <v>648.0</v>
      </c>
      <c r="V166" s="46">
        <f>IFERROR(VLOOKUP(B166,Products!$A$2:$W$1000,16,0),"")</f>
        <v>645</v>
      </c>
      <c r="W166" s="46">
        <f t="shared" si="1"/>
        <v>16.5</v>
      </c>
      <c r="X166" s="44" t="s">
        <v>738</v>
      </c>
    </row>
    <row r="167">
      <c r="A167" s="44" t="s">
        <v>404</v>
      </c>
      <c r="B167" s="44">
        <v>7.613033635574E12</v>
      </c>
      <c r="C167" s="45"/>
      <c r="D167" s="45"/>
      <c r="E167" s="44" t="s">
        <v>846</v>
      </c>
      <c r="F167" s="44" t="s">
        <v>72</v>
      </c>
      <c r="G167" s="44" t="s">
        <v>178</v>
      </c>
      <c r="H167" s="44">
        <v>0.0</v>
      </c>
      <c r="I167" s="44">
        <v>565.79</v>
      </c>
      <c r="J167" s="44">
        <v>565.78</v>
      </c>
      <c r="K167" s="44">
        <v>527.89</v>
      </c>
      <c r="L167" s="44">
        <v>527.88</v>
      </c>
      <c r="M167" s="44">
        <v>476.73</v>
      </c>
      <c r="N167" s="44">
        <v>476.72</v>
      </c>
      <c r="O167" s="44">
        <v>16.5</v>
      </c>
      <c r="P167" s="44">
        <v>14.6</v>
      </c>
      <c r="Q167" s="44">
        <v>12.8</v>
      </c>
      <c r="R167" s="44">
        <v>9.9</v>
      </c>
      <c r="S167" s="44">
        <v>800.0</v>
      </c>
      <c r="T167" s="44">
        <v>16.5</v>
      </c>
      <c r="U167" s="44">
        <v>800.0</v>
      </c>
      <c r="V167" s="46" t="str">
        <f>IFERROR(VLOOKUP(B167,Products!$A$2:$W$1000,16,0),"")</f>
        <v/>
      </c>
      <c r="W167" s="46" t="str">
        <f t="shared" si="1"/>
        <v>-</v>
      </c>
      <c r="X167" s="44" t="s">
        <v>738</v>
      </c>
    </row>
    <row r="168">
      <c r="A168" s="44" t="s">
        <v>659</v>
      </c>
      <c r="B168" s="44">
        <v>2.7622100929963E13</v>
      </c>
      <c r="C168" s="45"/>
      <c r="D168" s="45"/>
      <c r="E168" s="44" t="s">
        <v>847</v>
      </c>
      <c r="F168" s="44" t="s">
        <v>52</v>
      </c>
      <c r="G168" s="44" t="s">
        <v>115</v>
      </c>
      <c r="H168" s="44">
        <v>0.0</v>
      </c>
      <c r="I168" s="44">
        <v>1403.89</v>
      </c>
      <c r="J168" s="44">
        <v>1403.88</v>
      </c>
      <c r="K168" s="44">
        <v>1354.17</v>
      </c>
      <c r="L168" s="44">
        <v>1354.16</v>
      </c>
      <c r="M168" s="44">
        <v>1286.3</v>
      </c>
      <c r="N168" s="44">
        <v>1286.29</v>
      </c>
      <c r="O168" s="44">
        <v>16.5</v>
      </c>
      <c r="P168" s="44">
        <v>9.1</v>
      </c>
      <c r="Q168" s="44">
        <v>8.0</v>
      </c>
      <c r="R168" s="44">
        <v>6.3</v>
      </c>
      <c r="S168" s="44">
        <v>1598.0</v>
      </c>
      <c r="T168" s="44">
        <v>16.5</v>
      </c>
      <c r="U168" s="44">
        <v>1598.0</v>
      </c>
      <c r="V168" s="46" t="str">
        <f>IFERROR(VLOOKUP(B168,Products!$A$2:$W$1000,16,0),"")</f>
        <v/>
      </c>
      <c r="W168" s="46" t="str">
        <f t="shared" si="1"/>
        <v>-</v>
      </c>
      <c r="X168" s="44" t="s">
        <v>738</v>
      </c>
    </row>
    <row r="169">
      <c r="A169" s="44" t="s">
        <v>245</v>
      </c>
      <c r="B169" s="44">
        <v>8.010276033277E12</v>
      </c>
      <c r="C169" s="45"/>
      <c r="D169" s="45"/>
      <c r="E169" s="44">
        <v>8.010276033277E12</v>
      </c>
      <c r="F169" s="44" t="s">
        <v>59</v>
      </c>
      <c r="G169" s="44" t="s">
        <v>91</v>
      </c>
      <c r="H169" s="44">
        <v>0.0</v>
      </c>
      <c r="I169" s="44">
        <v>1665.43</v>
      </c>
      <c r="J169" s="44">
        <v>1665.42</v>
      </c>
      <c r="K169" s="44">
        <v>1622.8</v>
      </c>
      <c r="L169" s="44">
        <v>1622.79</v>
      </c>
      <c r="M169" s="44">
        <v>1571.66</v>
      </c>
      <c r="N169" s="44">
        <v>1571.65</v>
      </c>
      <c r="O169" s="44">
        <v>16.5</v>
      </c>
      <c r="P169" s="44">
        <v>15.5</v>
      </c>
      <c r="Q169" s="44">
        <v>14.9</v>
      </c>
      <c r="R169" s="44">
        <v>14.1</v>
      </c>
      <c r="S169" s="44">
        <v>1780.0</v>
      </c>
      <c r="T169" s="44">
        <v>16.5</v>
      </c>
      <c r="U169" s="44">
        <v>1780.0</v>
      </c>
      <c r="V169" s="46" t="str">
        <f>IFERROR(VLOOKUP(B169,Products!$A$2:$W$1000,16,0),"")</f>
        <v/>
      </c>
      <c r="W169" s="46" t="str">
        <f t="shared" si="1"/>
        <v>-</v>
      </c>
      <c r="X169" s="44" t="s">
        <v>738</v>
      </c>
    </row>
    <row r="170">
      <c r="A170" s="44" t="s">
        <v>125</v>
      </c>
      <c r="B170" s="44">
        <v>640020.0</v>
      </c>
      <c r="C170" s="45"/>
      <c r="D170" s="45"/>
      <c r="E170" s="44">
        <v>640020.0</v>
      </c>
      <c r="F170" s="44" t="s">
        <v>52</v>
      </c>
      <c r="G170" s="44" t="s">
        <v>121</v>
      </c>
      <c r="H170" s="44">
        <v>0.0</v>
      </c>
      <c r="I170" s="44">
        <v>1986.54</v>
      </c>
      <c r="J170" s="44">
        <v>1986.53</v>
      </c>
      <c r="K170" s="44">
        <v>1887.25</v>
      </c>
      <c r="L170" s="44">
        <v>1887.24</v>
      </c>
      <c r="M170" s="44">
        <v>1755.93</v>
      </c>
      <c r="N170" s="44">
        <v>1755.92</v>
      </c>
      <c r="O170" s="44">
        <v>13.5</v>
      </c>
      <c r="P170" s="44">
        <v>8.8</v>
      </c>
      <c r="Q170" s="44">
        <v>7.2</v>
      </c>
      <c r="R170" s="44">
        <v>4.7</v>
      </c>
      <c r="S170" s="44">
        <v>2199.0</v>
      </c>
      <c r="T170" s="44">
        <v>13.5</v>
      </c>
      <c r="U170" s="44">
        <v>2199.0</v>
      </c>
      <c r="V170" s="46" t="str">
        <f>IFERROR(VLOOKUP(B170,Products!$A$2:$W$1000,16,0),"")</f>
        <v/>
      </c>
      <c r="W170" s="46" t="str">
        <f t="shared" si="1"/>
        <v>-</v>
      </c>
      <c r="X170" s="44" t="s">
        <v>738</v>
      </c>
    </row>
    <row r="171">
      <c r="A171" s="44" t="s">
        <v>66</v>
      </c>
      <c r="B171" s="44">
        <v>7.61303511492E12</v>
      </c>
      <c r="C171" s="45"/>
      <c r="D171" s="45"/>
      <c r="E171" s="44" t="s">
        <v>848</v>
      </c>
      <c r="F171" s="44" t="s">
        <v>59</v>
      </c>
      <c r="G171" s="44" t="s">
        <v>50</v>
      </c>
      <c r="H171" s="44">
        <v>0.0</v>
      </c>
      <c r="I171" s="44">
        <v>1075.18</v>
      </c>
      <c r="J171" s="44">
        <v>1075.17</v>
      </c>
      <c r="K171" s="44">
        <v>1045.16</v>
      </c>
      <c r="L171" s="44">
        <v>1045.15</v>
      </c>
      <c r="M171" s="44">
        <v>1021.65</v>
      </c>
      <c r="N171" s="44">
        <v>1021.64</v>
      </c>
      <c r="O171" s="44">
        <v>12.5</v>
      </c>
      <c r="P171" s="44">
        <v>9.5</v>
      </c>
      <c r="Q171" s="44">
        <v>8.7</v>
      </c>
      <c r="R171" s="44">
        <v>7.9</v>
      </c>
      <c r="S171" s="44">
        <v>1500.0</v>
      </c>
      <c r="T171" s="44">
        <v>12.5</v>
      </c>
      <c r="U171" s="44">
        <v>1500.0</v>
      </c>
      <c r="V171" s="46" t="str">
        <f>IFERROR(VLOOKUP(B171,Products!$A$2:$W$1000,16,0),"")</f>
        <v/>
      </c>
      <c r="W171" s="46" t="str">
        <f t="shared" si="1"/>
        <v>-</v>
      </c>
      <c r="X171" s="44" t="s">
        <v>738</v>
      </c>
    </row>
    <row r="172">
      <c r="A172" s="44" t="s">
        <v>594</v>
      </c>
      <c r="B172" s="44">
        <v>5.2742043142E10</v>
      </c>
      <c r="C172" s="45"/>
      <c r="D172" s="45"/>
      <c r="E172" s="44" t="s">
        <v>849</v>
      </c>
      <c r="F172" s="44" t="s">
        <v>72</v>
      </c>
      <c r="G172" s="44" t="s">
        <v>229</v>
      </c>
      <c r="H172" s="44">
        <v>0.0</v>
      </c>
      <c r="I172" s="44">
        <v>1194.58</v>
      </c>
      <c r="J172" s="44">
        <v>1194.57</v>
      </c>
      <c r="K172" s="44">
        <v>1057.76</v>
      </c>
      <c r="L172" s="44">
        <v>1057.75</v>
      </c>
      <c r="M172" s="44">
        <v>920.79</v>
      </c>
      <c r="N172" s="44">
        <v>920.78</v>
      </c>
      <c r="O172" s="44">
        <v>12.5</v>
      </c>
      <c r="P172" s="44">
        <v>9.9</v>
      </c>
      <c r="Q172" s="44">
        <v>6.0</v>
      </c>
      <c r="R172" s="44">
        <v>3.7</v>
      </c>
      <c r="S172" s="44">
        <v>2350.0</v>
      </c>
      <c r="T172" s="44">
        <v>12.5</v>
      </c>
      <c r="U172" s="44">
        <v>2350.0</v>
      </c>
      <c r="V172" s="46" t="str">
        <f>IFERROR(VLOOKUP(B172,Products!$A$2:$W$1000,16,0),"")</f>
        <v/>
      </c>
      <c r="W172" s="46" t="str">
        <f t="shared" si="1"/>
        <v>-</v>
      </c>
      <c r="X172" s="44" t="s">
        <v>738</v>
      </c>
    </row>
    <row r="173">
      <c r="A173" s="44" t="s">
        <v>102</v>
      </c>
      <c r="B173" s="44" t="s">
        <v>101</v>
      </c>
      <c r="C173" s="45"/>
      <c r="D173" s="45"/>
      <c r="E173" s="44" t="s">
        <v>850</v>
      </c>
      <c r="F173" s="44" t="s">
        <v>96</v>
      </c>
      <c r="G173" s="44" t="s">
        <v>94</v>
      </c>
      <c r="H173" s="44">
        <v>100.0</v>
      </c>
      <c r="I173" s="44">
        <v>1925.37</v>
      </c>
      <c r="J173" s="44">
        <v>1925.36</v>
      </c>
      <c r="K173" s="44">
        <v>1803.29</v>
      </c>
      <c r="L173" s="44">
        <v>1803.28</v>
      </c>
      <c r="M173" s="44">
        <v>1654.99</v>
      </c>
      <c r="N173" s="44">
        <v>1654.98</v>
      </c>
      <c r="O173" s="44">
        <v>14.5</v>
      </c>
      <c r="P173" s="44">
        <v>13.2</v>
      </c>
      <c r="Q173" s="44">
        <v>11.4</v>
      </c>
      <c r="R173" s="44">
        <v>8.8</v>
      </c>
      <c r="S173" s="44">
        <v>2500.0</v>
      </c>
      <c r="T173" s="44">
        <v>14.5</v>
      </c>
      <c r="U173" s="44">
        <v>2500.0</v>
      </c>
      <c r="V173" s="46">
        <f>IFERROR(VLOOKUP(B173,Products!$A$2:$W$1000,16,0),"")</f>
        <v>2119.5</v>
      </c>
      <c r="W173" s="46">
        <f t="shared" si="1"/>
        <v>14.5</v>
      </c>
      <c r="X173" s="44" t="s">
        <v>738</v>
      </c>
    </row>
    <row r="174">
      <c r="A174" s="44" t="s">
        <v>658</v>
      </c>
      <c r="B174" s="44">
        <v>3.7622100929963E13</v>
      </c>
      <c r="C174" s="45"/>
      <c r="D174" s="45"/>
      <c r="E174" s="44" t="s">
        <v>851</v>
      </c>
      <c r="F174" s="44" t="s">
        <v>52</v>
      </c>
      <c r="G174" s="44" t="s">
        <v>115</v>
      </c>
      <c r="H174" s="44">
        <v>0.0</v>
      </c>
      <c r="I174" s="44">
        <v>731.87</v>
      </c>
      <c r="J174" s="44">
        <v>731.86</v>
      </c>
      <c r="K174" s="44">
        <v>682.35</v>
      </c>
      <c r="L174" s="44">
        <v>682.34</v>
      </c>
      <c r="M174" s="44">
        <v>622.29</v>
      </c>
      <c r="N174" s="44">
        <v>622.28</v>
      </c>
      <c r="O174" s="44">
        <v>16.5</v>
      </c>
      <c r="P174" s="44">
        <v>14.7</v>
      </c>
      <c r="Q174" s="44">
        <v>12.9</v>
      </c>
      <c r="R174" s="44">
        <v>10.2</v>
      </c>
      <c r="S174" s="44">
        <v>886.0</v>
      </c>
      <c r="T174" s="44">
        <v>16.5</v>
      </c>
      <c r="U174" s="44">
        <v>886.0</v>
      </c>
      <c r="V174" s="46" t="str">
        <f>IFERROR(VLOOKUP(B174,Products!$A$2:$W$1000,16,0),"")</f>
        <v/>
      </c>
      <c r="W174" s="46" t="str">
        <f t="shared" si="1"/>
        <v>-</v>
      </c>
      <c r="X174" s="44" t="s">
        <v>738</v>
      </c>
    </row>
    <row r="175">
      <c r="A175" s="44" t="s">
        <v>64</v>
      </c>
      <c r="B175" s="44">
        <v>7.613035120389E12</v>
      </c>
      <c r="C175" s="45"/>
      <c r="D175" s="45"/>
      <c r="E175" s="44" t="s">
        <v>852</v>
      </c>
      <c r="F175" s="44" t="s">
        <v>59</v>
      </c>
      <c r="G175" s="44" t="s">
        <v>50</v>
      </c>
      <c r="H175" s="44">
        <v>0.0</v>
      </c>
      <c r="I175" s="44">
        <v>3488.17</v>
      </c>
      <c r="J175" s="44">
        <v>3488.16</v>
      </c>
      <c r="K175" s="44">
        <v>3395.17</v>
      </c>
      <c r="L175" s="44">
        <v>3395.16</v>
      </c>
      <c r="M175" s="44">
        <v>3299.92</v>
      </c>
      <c r="N175" s="44">
        <v>3299.91</v>
      </c>
      <c r="O175" s="44">
        <v>12.5</v>
      </c>
      <c r="P175" s="44">
        <v>9.5</v>
      </c>
      <c r="Q175" s="44">
        <v>8.6</v>
      </c>
      <c r="R175" s="44">
        <v>7.7</v>
      </c>
      <c r="S175" s="44">
        <v>4500.0</v>
      </c>
      <c r="T175" s="44">
        <v>12.5</v>
      </c>
      <c r="U175" s="44">
        <v>4500.0</v>
      </c>
      <c r="V175" s="46" t="str">
        <f>IFERROR(VLOOKUP(B175,Products!$A$2:$W$1000,16,0),"")</f>
        <v/>
      </c>
      <c r="W175" s="46" t="str">
        <f t="shared" si="1"/>
        <v>-</v>
      </c>
      <c r="X175" s="44" t="s">
        <v>738</v>
      </c>
    </row>
    <row r="176">
      <c r="A176" s="44" t="s">
        <v>651</v>
      </c>
      <c r="B176" s="44" t="s">
        <v>650</v>
      </c>
      <c r="C176" s="45"/>
      <c r="D176" s="45"/>
      <c r="E176" s="44" t="s">
        <v>853</v>
      </c>
      <c r="F176" s="44" t="s">
        <v>52</v>
      </c>
      <c r="G176" s="44" t="s">
        <v>187</v>
      </c>
      <c r="H176" s="44">
        <v>0.0</v>
      </c>
      <c r="I176" s="44">
        <v>590.01</v>
      </c>
      <c r="J176" s="44">
        <v>590.0</v>
      </c>
      <c r="K176" s="44">
        <v>533.41</v>
      </c>
      <c r="L176" s="44">
        <v>533.4</v>
      </c>
      <c r="M176" s="44">
        <v>458.74</v>
      </c>
      <c r="N176" s="44">
        <v>458.73</v>
      </c>
      <c r="O176" s="44">
        <v>13.5</v>
      </c>
      <c r="P176" s="44">
        <v>11.4</v>
      </c>
      <c r="Q176" s="44">
        <v>8.3</v>
      </c>
      <c r="R176" s="44">
        <v>4.1</v>
      </c>
      <c r="S176" s="44">
        <v>850.0</v>
      </c>
      <c r="T176" s="44">
        <v>13.5</v>
      </c>
      <c r="U176" s="44">
        <v>850.0</v>
      </c>
      <c r="V176" s="46" t="str">
        <f>IFERROR(VLOOKUP(B176,Products!$A$2:$W$1000,16,0),"")</f>
        <v/>
      </c>
      <c r="W176" s="46" t="str">
        <f t="shared" si="1"/>
        <v>-</v>
      </c>
      <c r="X176" s="44" t="s">
        <v>738</v>
      </c>
    </row>
    <row r="177">
      <c r="A177" s="44" t="s">
        <v>401</v>
      </c>
      <c r="B177" s="44">
        <v>7.613035613898E12</v>
      </c>
      <c r="C177" s="45"/>
      <c r="D177" s="45"/>
      <c r="E177" s="44" t="s">
        <v>854</v>
      </c>
      <c r="F177" s="44" t="s">
        <v>72</v>
      </c>
      <c r="G177" s="44" t="s">
        <v>178</v>
      </c>
      <c r="H177" s="44">
        <v>0.0</v>
      </c>
      <c r="I177" s="44">
        <v>518.2</v>
      </c>
      <c r="J177" s="44">
        <v>518.19</v>
      </c>
      <c r="K177" s="44">
        <v>492.83</v>
      </c>
      <c r="L177" s="44">
        <v>492.82</v>
      </c>
      <c r="M177" s="44">
        <v>462.1</v>
      </c>
      <c r="N177" s="44">
        <v>462.09</v>
      </c>
      <c r="O177" s="44">
        <v>16.5</v>
      </c>
      <c r="P177" s="44">
        <v>15.1</v>
      </c>
      <c r="Q177" s="44">
        <v>13.8</v>
      </c>
      <c r="R177" s="44">
        <v>12.1</v>
      </c>
      <c r="S177" s="44">
        <v>719.0</v>
      </c>
      <c r="T177" s="44">
        <v>16.5</v>
      </c>
      <c r="U177" s="44">
        <v>719.0</v>
      </c>
      <c r="V177" s="46" t="str">
        <f>IFERROR(VLOOKUP(B177,Products!$A$2:$W$1000,16,0),"")</f>
        <v/>
      </c>
      <c r="W177" s="46" t="str">
        <f t="shared" si="1"/>
        <v>-</v>
      </c>
      <c r="X177" s="44" t="s">
        <v>738</v>
      </c>
    </row>
    <row r="178">
      <c r="A178" s="44" t="s">
        <v>297</v>
      </c>
      <c r="B178" s="44">
        <v>6.923632570001E12</v>
      </c>
      <c r="C178" s="45"/>
      <c r="D178" s="45"/>
      <c r="E178" s="44" t="s">
        <v>855</v>
      </c>
      <c r="F178" s="44" t="s">
        <v>299</v>
      </c>
      <c r="G178" s="44" t="s">
        <v>296</v>
      </c>
      <c r="H178" s="44">
        <v>43.0</v>
      </c>
      <c r="I178" s="44">
        <v>450.7</v>
      </c>
      <c r="J178" s="44">
        <v>450.69</v>
      </c>
      <c r="K178" s="44">
        <v>407.85</v>
      </c>
      <c r="L178" s="44">
        <v>407.84</v>
      </c>
      <c r="M178" s="44">
        <v>363.37</v>
      </c>
      <c r="N178" s="44">
        <v>363.36</v>
      </c>
      <c r="O178" s="44">
        <v>20.0</v>
      </c>
      <c r="P178" s="44">
        <v>19.0</v>
      </c>
      <c r="Q178" s="44">
        <v>16.8</v>
      </c>
      <c r="R178" s="44">
        <v>14.0</v>
      </c>
      <c r="S178" s="44">
        <v>474.47</v>
      </c>
      <c r="T178" s="44">
        <v>20.0</v>
      </c>
      <c r="U178" s="44">
        <v>474.47</v>
      </c>
      <c r="V178" s="46">
        <f>IFERROR(VLOOKUP(B178,Products!$A$2:$W$1000,16,0),"")</f>
        <v>474.47</v>
      </c>
      <c r="W178" s="46">
        <f t="shared" si="1"/>
        <v>20</v>
      </c>
      <c r="X178" s="44" t="s">
        <v>738</v>
      </c>
    </row>
    <row r="179">
      <c r="A179" s="44" t="s">
        <v>278</v>
      </c>
      <c r="B179" s="44" t="s">
        <v>277</v>
      </c>
      <c r="C179" s="45"/>
      <c r="D179" s="45"/>
      <c r="E179" s="44" t="s">
        <v>277</v>
      </c>
      <c r="F179" s="44" t="s">
        <v>279</v>
      </c>
      <c r="G179" s="44" t="s">
        <v>53</v>
      </c>
      <c r="H179" s="44">
        <v>5.0</v>
      </c>
      <c r="I179" s="44">
        <v>558.98</v>
      </c>
      <c r="J179" s="44">
        <v>558.97</v>
      </c>
      <c r="K179" s="44">
        <v>541.19</v>
      </c>
      <c r="L179" s="44">
        <v>541.18</v>
      </c>
      <c r="M179" s="44">
        <v>517.89</v>
      </c>
      <c r="N179" s="44">
        <v>517.88</v>
      </c>
      <c r="O179" s="44">
        <v>12.5</v>
      </c>
      <c r="P179" s="44">
        <v>11.8</v>
      </c>
      <c r="Q179" s="44">
        <v>10.9</v>
      </c>
      <c r="R179" s="44">
        <v>9.6</v>
      </c>
      <c r="S179" s="44">
        <v>750.0</v>
      </c>
      <c r="T179" s="44">
        <v>12.5</v>
      </c>
      <c r="U179" s="44">
        <v>750.0</v>
      </c>
      <c r="V179" s="46">
        <f>IFERROR(VLOOKUP(B179,Products!$A$2:$W$1000,16,0),"")</f>
        <v>751.46</v>
      </c>
      <c r="W179" s="46">
        <f t="shared" si="1"/>
        <v>12.5</v>
      </c>
      <c r="X179" s="44" t="s">
        <v>738</v>
      </c>
    </row>
    <row r="180">
      <c r="A180" s="44" t="s">
        <v>399</v>
      </c>
      <c r="B180" s="44" t="s">
        <v>398</v>
      </c>
      <c r="C180" s="45"/>
      <c r="D180" s="45"/>
      <c r="E180" s="44" t="s">
        <v>856</v>
      </c>
      <c r="F180" s="44" t="s">
        <v>52</v>
      </c>
      <c r="G180" s="44" t="s">
        <v>137</v>
      </c>
      <c r="H180" s="44">
        <v>500.0</v>
      </c>
      <c r="I180" s="44">
        <v>505.64</v>
      </c>
      <c r="J180" s="44">
        <v>505.63</v>
      </c>
      <c r="K180" s="44">
        <v>480.02</v>
      </c>
      <c r="L180" s="44">
        <v>480.01</v>
      </c>
      <c r="M180" s="44">
        <v>446.69</v>
      </c>
      <c r="N180" s="44">
        <v>446.68</v>
      </c>
      <c r="O180" s="44">
        <v>13.5</v>
      </c>
      <c r="P180" s="44">
        <v>12.4</v>
      </c>
      <c r="Q180" s="44">
        <v>11.0</v>
      </c>
      <c r="R180" s="44">
        <v>8.8</v>
      </c>
      <c r="S180" s="44">
        <v>552.0</v>
      </c>
      <c r="T180" s="44">
        <v>13.5</v>
      </c>
      <c r="U180" s="44">
        <v>552.0</v>
      </c>
      <c r="V180" s="46">
        <f>IFERROR(VLOOKUP(B180,Products!$A$2:$W$1000,16,0),"")</f>
        <v>550</v>
      </c>
      <c r="W180" s="46">
        <f t="shared" si="1"/>
        <v>13.5</v>
      </c>
      <c r="X180" s="44" t="s">
        <v>738</v>
      </c>
    </row>
    <row r="181">
      <c r="A181" s="44" t="s">
        <v>219</v>
      </c>
      <c r="B181" s="44" t="s">
        <v>218</v>
      </c>
      <c r="C181" s="45"/>
      <c r="D181" s="45"/>
      <c r="E181" s="44" t="s">
        <v>857</v>
      </c>
      <c r="F181" s="44" t="s">
        <v>203</v>
      </c>
      <c r="G181" s="44" t="s">
        <v>201</v>
      </c>
      <c r="H181" s="44">
        <v>0.0</v>
      </c>
      <c r="I181" s="44">
        <v>554.57</v>
      </c>
      <c r="J181" s="44">
        <v>554.56</v>
      </c>
      <c r="K181" s="44">
        <v>529.0</v>
      </c>
      <c r="L181" s="44">
        <v>528.99</v>
      </c>
      <c r="M181" s="44">
        <v>497.81</v>
      </c>
      <c r="N181" s="44">
        <v>497.8</v>
      </c>
      <c r="O181" s="44">
        <v>20.0</v>
      </c>
      <c r="P181" s="44">
        <v>19.3</v>
      </c>
      <c r="Q181" s="44">
        <v>18.3</v>
      </c>
      <c r="R181" s="44">
        <v>16.9</v>
      </c>
      <c r="S181" s="44">
        <v>900.0</v>
      </c>
      <c r="T181" s="44">
        <v>20.0</v>
      </c>
      <c r="U181" s="44">
        <v>900.0</v>
      </c>
      <c r="V181" s="46" t="str">
        <f>IFERROR(VLOOKUP(B181,Products!$A$2:$W$1000,16,0),"")</f>
        <v/>
      </c>
      <c r="W181" s="46" t="str">
        <f t="shared" si="1"/>
        <v>-</v>
      </c>
      <c r="X181" s="44" t="s">
        <v>738</v>
      </c>
    </row>
    <row r="182">
      <c r="A182" s="44" t="s">
        <v>138</v>
      </c>
      <c r="B182" s="44">
        <v>8.745236589541E12</v>
      </c>
      <c r="C182" s="45"/>
      <c r="D182" s="45"/>
      <c r="E182" s="44" t="s">
        <v>858</v>
      </c>
      <c r="F182" s="44" t="s">
        <v>52</v>
      </c>
      <c r="G182" s="44" t="s">
        <v>137</v>
      </c>
      <c r="H182" s="44">
        <v>498.0</v>
      </c>
      <c r="I182" s="44">
        <v>2078.89</v>
      </c>
      <c r="J182" s="44">
        <v>2078.88</v>
      </c>
      <c r="K182" s="44">
        <v>2021.3</v>
      </c>
      <c r="L182" s="44">
        <v>2021.29</v>
      </c>
      <c r="M182" s="44">
        <v>1941.9</v>
      </c>
      <c r="N182" s="44">
        <v>1941.89</v>
      </c>
      <c r="O182" s="44">
        <v>13.5</v>
      </c>
      <c r="P182" s="44">
        <v>9.3</v>
      </c>
      <c r="Q182" s="44">
        <v>8.4</v>
      </c>
      <c r="R182" s="44">
        <v>7.1</v>
      </c>
      <c r="S182" s="44">
        <v>2247.0</v>
      </c>
      <c r="T182" s="44">
        <v>13.5</v>
      </c>
      <c r="U182" s="44">
        <v>2247.0</v>
      </c>
      <c r="V182" s="46">
        <f>IFERROR(VLOOKUP(B182,Products!$A$2:$W$1000,16,0),"")</f>
        <v>2247</v>
      </c>
      <c r="W182" s="46">
        <f t="shared" si="1"/>
        <v>13.5</v>
      </c>
      <c r="X182" s="44" t="s">
        <v>738</v>
      </c>
    </row>
    <row r="183">
      <c r="A183" s="44" t="s">
        <v>538</v>
      </c>
      <c r="B183" s="44" t="s">
        <v>537</v>
      </c>
      <c r="C183" s="45"/>
      <c r="D183" s="45"/>
      <c r="E183" s="44" t="s">
        <v>859</v>
      </c>
      <c r="F183" s="44" t="s">
        <v>539</v>
      </c>
      <c r="G183" s="44" t="s">
        <v>53</v>
      </c>
      <c r="H183" s="44">
        <v>0.0</v>
      </c>
      <c r="I183" s="44">
        <v>1407.27</v>
      </c>
      <c r="J183" s="44">
        <v>1407.26</v>
      </c>
      <c r="K183" s="44">
        <v>1369.51</v>
      </c>
      <c r="L183" s="44">
        <v>1369.5</v>
      </c>
      <c r="M183" s="44">
        <v>1328.51</v>
      </c>
      <c r="N183" s="44">
        <v>1328.5</v>
      </c>
      <c r="O183" s="44">
        <v>12.5</v>
      </c>
      <c r="P183" s="44">
        <v>12.0</v>
      </c>
      <c r="Q183" s="44">
        <v>11.3</v>
      </c>
      <c r="R183" s="44">
        <v>10.4</v>
      </c>
      <c r="S183" s="44">
        <v>1712.0</v>
      </c>
      <c r="T183" s="44">
        <v>12.5</v>
      </c>
      <c r="U183" s="44">
        <v>1712.0</v>
      </c>
      <c r="V183" s="46" t="str">
        <f>IFERROR(VLOOKUP(B183,Products!$A$2:$W$1000,16,0),"")</f>
        <v/>
      </c>
      <c r="W183" s="46" t="str">
        <f t="shared" si="1"/>
        <v>-</v>
      </c>
      <c r="X183" s="44" t="s">
        <v>738</v>
      </c>
    </row>
    <row r="184">
      <c r="A184" s="44" t="s">
        <v>633</v>
      </c>
      <c r="B184" s="44">
        <v>5.5822100929714E13</v>
      </c>
      <c r="C184" s="45"/>
      <c r="D184" s="45"/>
      <c r="E184" s="44" t="s">
        <v>860</v>
      </c>
      <c r="F184" s="44" t="s">
        <v>131</v>
      </c>
      <c r="G184" s="44" t="s">
        <v>632</v>
      </c>
      <c r="H184" s="44">
        <v>4.0</v>
      </c>
      <c r="I184" s="44">
        <v>885.42</v>
      </c>
      <c r="J184" s="44">
        <v>885.41</v>
      </c>
      <c r="K184" s="44">
        <v>851.59</v>
      </c>
      <c r="L184" s="44">
        <v>851.58</v>
      </c>
      <c r="M184" s="44">
        <v>807.22</v>
      </c>
      <c r="N184" s="44">
        <v>807.21</v>
      </c>
      <c r="O184" s="44">
        <v>20.0</v>
      </c>
      <c r="P184" s="44">
        <v>19.4</v>
      </c>
      <c r="Q184" s="44">
        <v>18.6</v>
      </c>
      <c r="R184" s="44">
        <v>17.4</v>
      </c>
      <c r="S184" s="44">
        <v>1050.0</v>
      </c>
      <c r="T184" s="44">
        <v>20.0</v>
      </c>
      <c r="U184" s="44">
        <v>1050.0</v>
      </c>
      <c r="V184" s="46">
        <f>IFERROR(VLOOKUP(B184,Products!$A$2:$W$1000,16,0),"")</f>
        <v>965</v>
      </c>
      <c r="W184" s="46">
        <f t="shared" si="1"/>
        <v>20</v>
      </c>
      <c r="X184" s="44" t="s">
        <v>738</v>
      </c>
    </row>
    <row r="185">
      <c r="A185" s="44" t="s">
        <v>297</v>
      </c>
      <c r="B185" s="44">
        <v>6.923632570004E12</v>
      </c>
      <c r="C185" s="44" t="s">
        <v>300</v>
      </c>
      <c r="D185" s="45"/>
      <c r="E185" s="44" t="s">
        <v>855</v>
      </c>
      <c r="F185" s="44" t="s">
        <v>299</v>
      </c>
      <c r="G185" s="44" t="s">
        <v>296</v>
      </c>
      <c r="H185" s="44">
        <v>30.0</v>
      </c>
      <c r="I185" s="44">
        <v>464.76</v>
      </c>
      <c r="J185" s="44">
        <v>464.75</v>
      </c>
      <c r="K185" s="44">
        <v>420.57</v>
      </c>
      <c r="L185" s="44">
        <v>420.56</v>
      </c>
      <c r="M185" s="44">
        <v>374.71</v>
      </c>
      <c r="N185" s="44">
        <v>374.7</v>
      </c>
      <c r="O185" s="44">
        <v>20.0</v>
      </c>
      <c r="P185" s="44">
        <v>19.0</v>
      </c>
      <c r="Q185" s="44">
        <v>16.8</v>
      </c>
      <c r="R185" s="44">
        <v>14.0</v>
      </c>
      <c r="S185" s="44">
        <v>489.0</v>
      </c>
      <c r="T185" s="44">
        <v>20.0</v>
      </c>
      <c r="U185" s="44">
        <v>489.0</v>
      </c>
      <c r="V185" s="46">
        <f>IFERROR(VLOOKUP(B185,Products!$A$2:$W$1000,16,0),"")</f>
        <v>489</v>
      </c>
      <c r="W185" s="46">
        <f t="shared" si="1"/>
        <v>20</v>
      </c>
      <c r="X185" s="44" t="s">
        <v>738</v>
      </c>
    </row>
    <row r="186">
      <c r="A186" s="44" t="s">
        <v>407</v>
      </c>
      <c r="B186" s="44" t="s">
        <v>406</v>
      </c>
      <c r="C186" s="45"/>
      <c r="D186" s="45"/>
      <c r="E186" s="44" t="s">
        <v>406</v>
      </c>
      <c r="F186" s="44" t="s">
        <v>72</v>
      </c>
      <c r="G186" s="44" t="s">
        <v>178</v>
      </c>
      <c r="H186" s="44">
        <v>0.0</v>
      </c>
      <c r="I186" s="44">
        <v>2439.5</v>
      </c>
      <c r="J186" s="44">
        <v>2439.49</v>
      </c>
      <c r="K186" s="44">
        <v>2265.04</v>
      </c>
      <c r="L186" s="44">
        <v>2265.03</v>
      </c>
      <c r="M186" s="44">
        <v>2028.43</v>
      </c>
      <c r="N186" s="44">
        <v>2028.42</v>
      </c>
      <c r="O186" s="44">
        <v>16.5</v>
      </c>
      <c r="P186" s="44">
        <v>15.1</v>
      </c>
      <c r="Q186" s="44">
        <v>13.2</v>
      </c>
      <c r="R186" s="44">
        <v>10.0</v>
      </c>
      <c r="S186" s="44">
        <v>2999.0</v>
      </c>
      <c r="T186" s="44">
        <v>16.5</v>
      </c>
      <c r="U186" s="44">
        <v>2999.0</v>
      </c>
      <c r="V186" s="46" t="str">
        <f>IFERROR(VLOOKUP(B186,Products!$A$2:$W$1000,16,0),"")</f>
        <v/>
      </c>
      <c r="W186" s="46" t="str">
        <f t="shared" si="1"/>
        <v>-</v>
      </c>
      <c r="X186" s="44" t="s">
        <v>738</v>
      </c>
    </row>
    <row r="187">
      <c r="A187" s="44" t="s">
        <v>474</v>
      </c>
      <c r="B187" s="44">
        <v>1.245896784512E12</v>
      </c>
      <c r="C187" s="45"/>
      <c r="D187" s="45"/>
      <c r="E187" s="44" t="s">
        <v>861</v>
      </c>
      <c r="F187" s="44" t="s">
        <v>72</v>
      </c>
      <c r="G187" s="44" t="s">
        <v>229</v>
      </c>
      <c r="H187" s="44">
        <v>0.0</v>
      </c>
      <c r="I187" s="44">
        <v>1373.41</v>
      </c>
      <c r="J187" s="44">
        <v>1373.4</v>
      </c>
      <c r="K187" s="44">
        <v>1322.65</v>
      </c>
      <c r="L187" s="44">
        <v>1322.64</v>
      </c>
      <c r="M187" s="44">
        <v>1255.77</v>
      </c>
      <c r="N187" s="44">
        <v>1255.76</v>
      </c>
      <c r="O187" s="44">
        <v>12.5</v>
      </c>
      <c r="P187" s="44">
        <v>11.7</v>
      </c>
      <c r="Q187" s="44">
        <v>10.6</v>
      </c>
      <c r="R187" s="44">
        <v>9.1</v>
      </c>
      <c r="S187" s="44">
        <v>1398.0</v>
      </c>
      <c r="T187" s="44">
        <v>12.5</v>
      </c>
      <c r="U187" s="44">
        <v>1398.0</v>
      </c>
      <c r="V187" s="46" t="str">
        <f>IFERROR(VLOOKUP(B187,Products!$A$2:$W$1000,16,0),"")</f>
        <v/>
      </c>
      <c r="W187" s="46" t="str">
        <f t="shared" si="1"/>
        <v>-</v>
      </c>
      <c r="X187" s="44" t="s">
        <v>738</v>
      </c>
    </row>
    <row r="188">
      <c r="A188" s="44" t="s">
        <v>524</v>
      </c>
      <c r="B188" s="44" t="s">
        <v>523</v>
      </c>
      <c r="C188" s="45"/>
      <c r="D188" s="45"/>
      <c r="E188" s="44" t="s">
        <v>862</v>
      </c>
      <c r="F188" s="44" t="s">
        <v>507</v>
      </c>
      <c r="G188" s="44" t="s">
        <v>511</v>
      </c>
      <c r="H188" s="44">
        <v>0.0</v>
      </c>
      <c r="I188" s="44">
        <v>1936.86</v>
      </c>
      <c r="J188" s="44">
        <v>1936.85</v>
      </c>
      <c r="K188" s="44">
        <v>1807.37</v>
      </c>
      <c r="L188" s="44">
        <v>1807.36</v>
      </c>
      <c r="M188" s="44">
        <v>1632.55</v>
      </c>
      <c r="N188" s="44">
        <v>1632.54</v>
      </c>
      <c r="O188" s="44">
        <v>20.0</v>
      </c>
      <c r="P188" s="44">
        <v>18.9</v>
      </c>
      <c r="Q188" s="44">
        <v>17.4</v>
      </c>
      <c r="R188" s="44">
        <v>14.9</v>
      </c>
      <c r="S188" s="44">
        <v>1699.0</v>
      </c>
      <c r="T188" s="44">
        <v>17.4</v>
      </c>
      <c r="U188" s="44">
        <v>1699.0</v>
      </c>
      <c r="V188" s="46" t="str">
        <f>IFERROR(VLOOKUP(B188,Products!$A$2:$W$1000,16,0),"")</f>
        <v/>
      </c>
      <c r="W188" s="46" t="str">
        <f t="shared" si="1"/>
        <v>-</v>
      </c>
      <c r="X188" s="44" t="s">
        <v>738</v>
      </c>
    </row>
    <row r="189">
      <c r="A189" s="44" t="s">
        <v>396</v>
      </c>
      <c r="B189" s="44">
        <v>2.06441287E9</v>
      </c>
      <c r="C189" s="45"/>
      <c r="D189" s="45"/>
      <c r="E189" s="44" t="s">
        <v>863</v>
      </c>
      <c r="F189" s="44" t="s">
        <v>72</v>
      </c>
      <c r="G189" s="44" t="s">
        <v>137</v>
      </c>
      <c r="H189" s="44">
        <v>195.0</v>
      </c>
      <c r="I189" s="44">
        <v>1973.39</v>
      </c>
      <c r="J189" s="44">
        <v>1973.38</v>
      </c>
      <c r="K189" s="44">
        <v>1912.08</v>
      </c>
      <c r="L189" s="44">
        <v>1912.07</v>
      </c>
      <c r="M189" s="44">
        <v>1827.1</v>
      </c>
      <c r="N189" s="44">
        <v>1827.09</v>
      </c>
      <c r="O189" s="44">
        <v>16.5</v>
      </c>
      <c r="P189" s="44">
        <v>9.2</v>
      </c>
      <c r="Q189" s="44">
        <v>8.2</v>
      </c>
      <c r="R189" s="44">
        <v>6.7</v>
      </c>
      <c r="S189" s="44">
        <v>2249.0</v>
      </c>
      <c r="T189" s="44">
        <v>16.5</v>
      </c>
      <c r="U189" s="44">
        <v>2249.0</v>
      </c>
      <c r="V189" s="46">
        <f>IFERROR(VLOOKUP(B189,Products!$A$2:$W$1000,16,0),"")</f>
        <v>2245</v>
      </c>
      <c r="W189" s="46">
        <f t="shared" si="1"/>
        <v>16.5</v>
      </c>
      <c r="X189" s="44" t="s">
        <v>738</v>
      </c>
    </row>
    <row r="190">
      <c r="A190" s="44" t="s">
        <v>246</v>
      </c>
      <c r="B190" s="44">
        <v>8.010276039309E12</v>
      </c>
      <c r="C190" s="45"/>
      <c r="D190" s="45"/>
      <c r="E190" s="44" t="s">
        <v>864</v>
      </c>
      <c r="F190" s="44" t="s">
        <v>59</v>
      </c>
      <c r="G190" s="44" t="s">
        <v>91</v>
      </c>
      <c r="H190" s="44">
        <v>4.0</v>
      </c>
      <c r="I190" s="44">
        <v>1660.84</v>
      </c>
      <c r="J190" s="44">
        <v>1660.83</v>
      </c>
      <c r="K190" s="44">
        <v>1565.77</v>
      </c>
      <c r="L190" s="44">
        <v>1565.76</v>
      </c>
      <c r="M190" s="44">
        <v>1452.07</v>
      </c>
      <c r="N190" s="44">
        <v>1452.06</v>
      </c>
      <c r="O190" s="44">
        <v>16.5</v>
      </c>
      <c r="P190" s="44">
        <v>15.0</v>
      </c>
      <c r="Q190" s="44">
        <v>13.4</v>
      </c>
      <c r="R190" s="44">
        <v>11.4</v>
      </c>
      <c r="S190" s="44">
        <v>1828.0</v>
      </c>
      <c r="T190" s="44">
        <v>16.5</v>
      </c>
      <c r="U190" s="44">
        <v>1828.0</v>
      </c>
      <c r="V190" s="46">
        <f>IFERROR(VLOOKUP(B190,Products!$A$2:$W$1000,16,0),"")</f>
        <v>1828</v>
      </c>
      <c r="W190" s="46">
        <f t="shared" si="1"/>
        <v>16.5</v>
      </c>
      <c r="X190" s="44" t="s">
        <v>738</v>
      </c>
    </row>
    <row r="191">
      <c r="A191" s="44" t="s">
        <v>644</v>
      </c>
      <c r="B191" s="44">
        <v>985474.0</v>
      </c>
      <c r="C191" s="45"/>
      <c r="D191" s="45"/>
      <c r="E191" s="44">
        <v>9584.0</v>
      </c>
      <c r="F191" s="44" t="s">
        <v>72</v>
      </c>
      <c r="G191" s="44" t="s">
        <v>50</v>
      </c>
      <c r="H191" s="44">
        <v>6.0</v>
      </c>
      <c r="I191" s="44">
        <v>570.58</v>
      </c>
      <c r="J191" s="44">
        <v>570.57</v>
      </c>
      <c r="K191" s="44">
        <v>551.3</v>
      </c>
      <c r="L191" s="44">
        <v>551.29</v>
      </c>
      <c r="M191" s="44">
        <v>525.07</v>
      </c>
      <c r="N191" s="44">
        <v>525.06</v>
      </c>
      <c r="O191" s="44">
        <v>12.5</v>
      </c>
      <c r="P191" s="44">
        <v>11.7</v>
      </c>
      <c r="Q191" s="44">
        <v>10.7</v>
      </c>
      <c r="R191" s="44">
        <v>9.3</v>
      </c>
      <c r="S191" s="44">
        <v>625.0</v>
      </c>
      <c r="T191" s="44">
        <v>12.5</v>
      </c>
      <c r="U191" s="44">
        <v>625.0</v>
      </c>
      <c r="V191" s="46">
        <f>IFERROR(VLOOKUP(B191,Products!$A$2:$W$1000,16,0),"")</f>
        <v>520</v>
      </c>
      <c r="W191" s="46">
        <f t="shared" si="1"/>
        <v>9.3</v>
      </c>
      <c r="X191" s="44" t="s">
        <v>738</v>
      </c>
    </row>
    <row r="192">
      <c r="A192" s="44" t="s">
        <v>237</v>
      </c>
      <c r="B192" s="44">
        <v>8.010276021823E12</v>
      </c>
      <c r="C192" s="45"/>
      <c r="D192" s="45"/>
      <c r="E192" s="44" t="s">
        <v>865</v>
      </c>
      <c r="F192" s="44" t="s">
        <v>59</v>
      </c>
      <c r="G192" s="44" t="s">
        <v>91</v>
      </c>
      <c r="H192" s="44">
        <v>1.0</v>
      </c>
      <c r="I192" s="44">
        <v>3748.89</v>
      </c>
      <c r="J192" s="44">
        <v>3748.88</v>
      </c>
      <c r="K192" s="44">
        <v>3646.34</v>
      </c>
      <c r="L192" s="44">
        <v>3646.33</v>
      </c>
      <c r="M192" s="44">
        <v>3553.35</v>
      </c>
      <c r="N192" s="44">
        <v>3553.34</v>
      </c>
      <c r="O192" s="44">
        <v>16.5</v>
      </c>
      <c r="P192" s="44">
        <v>15.6</v>
      </c>
      <c r="Q192" s="44">
        <v>14.9</v>
      </c>
      <c r="R192" s="44">
        <v>14.3</v>
      </c>
      <c r="S192" s="44">
        <v>4250.0</v>
      </c>
      <c r="T192" s="44">
        <v>16.5</v>
      </c>
      <c r="U192" s="44">
        <v>4250.0</v>
      </c>
      <c r="V192" s="46">
        <f>IFERROR(VLOOKUP(B192,Products!$A$2:$W$1000,16,0),"")</f>
        <v>3969</v>
      </c>
      <c r="W192" s="46">
        <f t="shared" si="1"/>
        <v>16.5</v>
      </c>
      <c r="X192" s="44" t="s">
        <v>738</v>
      </c>
    </row>
    <row r="193">
      <c r="A193" s="44" t="s">
        <v>297</v>
      </c>
      <c r="B193" s="44">
        <v>6.923632570006E12</v>
      </c>
      <c r="C193" s="44" t="s">
        <v>298</v>
      </c>
      <c r="D193" s="45"/>
      <c r="E193" s="44" t="s">
        <v>855</v>
      </c>
      <c r="F193" s="44" t="s">
        <v>299</v>
      </c>
      <c r="G193" s="44" t="s">
        <v>296</v>
      </c>
      <c r="H193" s="44">
        <v>0.0</v>
      </c>
      <c r="I193" s="44">
        <v>451.49</v>
      </c>
      <c r="J193" s="44">
        <v>451.48</v>
      </c>
      <c r="K193" s="44">
        <v>408.56</v>
      </c>
      <c r="L193" s="44">
        <v>408.55</v>
      </c>
      <c r="M193" s="44">
        <v>364.01</v>
      </c>
      <c r="N193" s="44">
        <v>364.0</v>
      </c>
      <c r="O193" s="44">
        <v>20.0</v>
      </c>
      <c r="P193" s="44">
        <v>19.0</v>
      </c>
      <c r="Q193" s="44">
        <v>16.8</v>
      </c>
      <c r="R193" s="44">
        <v>14.0</v>
      </c>
      <c r="S193" s="44">
        <v>474.0</v>
      </c>
      <c r="T193" s="44">
        <v>20.0</v>
      </c>
      <c r="U193" s="44">
        <v>474.0</v>
      </c>
      <c r="V193" s="46" t="str">
        <f>IFERROR(VLOOKUP(B193,Products!$A$2:$W$1000,16,0),"")</f>
        <v/>
      </c>
      <c r="W193" s="46" t="str">
        <f t="shared" si="1"/>
        <v>-</v>
      </c>
      <c r="X193" s="44" t="s">
        <v>738</v>
      </c>
    </row>
    <row r="194">
      <c r="A194" s="44" t="s">
        <v>297</v>
      </c>
      <c r="B194" s="44">
        <v>6.923632570005E12</v>
      </c>
      <c r="C194" s="44" t="s">
        <v>301</v>
      </c>
      <c r="D194" s="45"/>
      <c r="E194" s="44" t="s">
        <v>855</v>
      </c>
      <c r="F194" s="44" t="s">
        <v>299</v>
      </c>
      <c r="G194" s="44" t="s">
        <v>296</v>
      </c>
      <c r="H194" s="44">
        <v>49.0</v>
      </c>
      <c r="I194" s="44">
        <v>449.35</v>
      </c>
      <c r="J194" s="44">
        <v>449.34</v>
      </c>
      <c r="K194" s="44">
        <v>406.63</v>
      </c>
      <c r="L194" s="44">
        <v>406.62</v>
      </c>
      <c r="M194" s="44">
        <v>362.28</v>
      </c>
      <c r="N194" s="44">
        <v>362.27</v>
      </c>
      <c r="O194" s="44">
        <v>20.0</v>
      </c>
      <c r="P194" s="44">
        <v>19.0</v>
      </c>
      <c r="Q194" s="44">
        <v>16.8</v>
      </c>
      <c r="R194" s="44">
        <v>14.0</v>
      </c>
      <c r="S194" s="44">
        <v>472.0</v>
      </c>
      <c r="T194" s="44">
        <v>20.0</v>
      </c>
      <c r="U194" s="44">
        <v>472.0</v>
      </c>
      <c r="V194" s="46">
        <f>IFERROR(VLOOKUP(B194,Products!$A$2:$W$1000,16,0),"")</f>
        <v>472</v>
      </c>
      <c r="W194" s="46">
        <f t="shared" si="1"/>
        <v>20</v>
      </c>
      <c r="X194" s="44" t="s">
        <v>738</v>
      </c>
    </row>
    <row r="195">
      <c r="A195" s="44" t="s">
        <v>476</v>
      </c>
      <c r="B195" s="44" t="s">
        <v>475</v>
      </c>
      <c r="C195" s="45"/>
      <c r="D195" s="45"/>
      <c r="E195" s="44" t="s">
        <v>866</v>
      </c>
      <c r="F195" s="44" t="s">
        <v>72</v>
      </c>
      <c r="G195" s="44" t="s">
        <v>333</v>
      </c>
      <c r="H195" s="44">
        <v>0.0</v>
      </c>
      <c r="I195" s="44">
        <v>7416.82</v>
      </c>
      <c r="J195" s="44">
        <v>7416.81</v>
      </c>
      <c r="K195" s="44">
        <v>7080.13</v>
      </c>
      <c r="L195" s="44">
        <v>7080.12</v>
      </c>
      <c r="M195" s="44">
        <v>6666.86</v>
      </c>
      <c r="N195" s="44">
        <v>6666.85</v>
      </c>
      <c r="O195" s="44">
        <v>16.5</v>
      </c>
      <c r="P195" s="44">
        <v>15.7</v>
      </c>
      <c r="Q195" s="44">
        <v>14.5</v>
      </c>
      <c r="R195" s="44">
        <v>13.0</v>
      </c>
      <c r="S195" s="44">
        <v>5950.0</v>
      </c>
      <c r="T195" s="44">
        <v>13.0</v>
      </c>
      <c r="U195" s="44">
        <v>5950.0</v>
      </c>
      <c r="V195" s="46" t="str">
        <f>IFERROR(VLOOKUP(B195,Products!$A$2:$W$1000,16,0),"")</f>
        <v/>
      </c>
      <c r="W195" s="46" t="str">
        <f t="shared" si="1"/>
        <v>-</v>
      </c>
      <c r="X195" s="44" t="s">
        <v>738</v>
      </c>
    </row>
    <row r="196">
      <c r="A196" s="44" t="s">
        <v>297</v>
      </c>
      <c r="B196" s="44">
        <v>6.923632570002E12</v>
      </c>
      <c r="C196" s="45"/>
      <c r="D196" s="45"/>
      <c r="E196" s="44" t="s">
        <v>855</v>
      </c>
      <c r="F196" s="44" t="s">
        <v>299</v>
      </c>
      <c r="G196" s="44" t="s">
        <v>296</v>
      </c>
      <c r="H196" s="44">
        <v>0.0</v>
      </c>
      <c r="I196" s="44">
        <v>465.01</v>
      </c>
      <c r="J196" s="44">
        <v>465.0</v>
      </c>
      <c r="K196" s="44">
        <v>420.8</v>
      </c>
      <c r="L196" s="44">
        <v>420.79</v>
      </c>
      <c r="M196" s="44">
        <v>374.91</v>
      </c>
      <c r="N196" s="44">
        <v>374.9</v>
      </c>
      <c r="O196" s="44">
        <v>20.0</v>
      </c>
      <c r="P196" s="44">
        <v>19.0</v>
      </c>
      <c r="Q196" s="44">
        <v>16.8</v>
      </c>
      <c r="R196" s="44">
        <v>14.0</v>
      </c>
      <c r="S196" s="44">
        <v>489.0</v>
      </c>
      <c r="T196" s="44">
        <v>20.0</v>
      </c>
      <c r="U196" s="44">
        <v>489.0</v>
      </c>
      <c r="V196" s="46" t="str">
        <f>IFERROR(VLOOKUP(B196,Products!$A$2:$W$1000,16,0),"")</f>
        <v/>
      </c>
      <c r="W196" s="46" t="str">
        <f t="shared" si="1"/>
        <v>-</v>
      </c>
      <c r="X196" s="44" t="s">
        <v>738</v>
      </c>
    </row>
    <row r="197">
      <c r="A197" s="44" t="s">
        <v>297</v>
      </c>
      <c r="B197" s="44">
        <v>6.923632570003E12</v>
      </c>
      <c r="C197" s="45"/>
      <c r="D197" s="45"/>
      <c r="E197" s="44" t="s">
        <v>855</v>
      </c>
      <c r="F197" s="44" t="s">
        <v>299</v>
      </c>
      <c r="G197" s="44" t="s">
        <v>296</v>
      </c>
      <c r="H197" s="44">
        <v>12.0</v>
      </c>
      <c r="I197" s="44">
        <v>464.69</v>
      </c>
      <c r="J197" s="44">
        <v>464.68</v>
      </c>
      <c r="K197" s="44">
        <v>420.51</v>
      </c>
      <c r="L197" s="44">
        <v>420.5</v>
      </c>
      <c r="M197" s="44">
        <v>374.65</v>
      </c>
      <c r="N197" s="44">
        <v>374.64</v>
      </c>
      <c r="O197" s="44">
        <v>20.0</v>
      </c>
      <c r="P197" s="44">
        <v>19.0</v>
      </c>
      <c r="Q197" s="44">
        <v>16.8</v>
      </c>
      <c r="R197" s="44">
        <v>14.0</v>
      </c>
      <c r="S197" s="44">
        <v>489.0</v>
      </c>
      <c r="T197" s="44">
        <v>20.0</v>
      </c>
      <c r="U197" s="44">
        <v>489.0</v>
      </c>
      <c r="V197" s="46">
        <f>IFERROR(VLOOKUP(B197,Products!$A$2:$W$1000,16,0),"")</f>
        <v>489</v>
      </c>
      <c r="W197" s="46">
        <f t="shared" si="1"/>
        <v>20</v>
      </c>
      <c r="X197" s="44" t="s">
        <v>738</v>
      </c>
    </row>
    <row r="198">
      <c r="A198" s="44" t="s">
        <v>295</v>
      </c>
      <c r="B198" s="44">
        <v>7.61328747711E11</v>
      </c>
      <c r="C198" s="45"/>
      <c r="D198" s="45"/>
      <c r="E198" s="44">
        <v>7.61328747711E11</v>
      </c>
      <c r="F198" s="44" t="s">
        <v>52</v>
      </c>
      <c r="G198" s="44" t="s">
        <v>137</v>
      </c>
      <c r="H198" s="44">
        <v>10.0</v>
      </c>
      <c r="I198" s="44">
        <v>901.24</v>
      </c>
      <c r="J198" s="44">
        <v>901.23</v>
      </c>
      <c r="K198" s="44">
        <v>840.38</v>
      </c>
      <c r="L198" s="44">
        <v>840.37</v>
      </c>
      <c r="M198" s="44">
        <v>766.56</v>
      </c>
      <c r="N198" s="44">
        <v>766.55</v>
      </c>
      <c r="O198" s="44">
        <v>13.5</v>
      </c>
      <c r="P198" s="44">
        <v>8.4</v>
      </c>
      <c r="Q198" s="44">
        <v>6.1</v>
      </c>
      <c r="R198" s="44">
        <v>3.0</v>
      </c>
      <c r="S198" s="44">
        <v>1175.0</v>
      </c>
      <c r="T198" s="44">
        <v>13.5</v>
      </c>
      <c r="U198" s="44">
        <v>1175.0</v>
      </c>
      <c r="V198" s="46">
        <f>IFERROR(VLOOKUP(B198,Products!$A$2:$W$1000,16,0),"")</f>
        <v>1090.95</v>
      </c>
      <c r="W198" s="46">
        <f t="shared" si="1"/>
        <v>13.5</v>
      </c>
      <c r="X198" s="44" t="s">
        <v>738</v>
      </c>
    </row>
    <row r="199">
      <c r="A199" s="44" t="s">
        <v>100</v>
      </c>
      <c r="B199" s="44" t="s">
        <v>99</v>
      </c>
      <c r="C199" s="45"/>
      <c r="D199" s="45"/>
      <c r="E199" s="44" t="s">
        <v>867</v>
      </c>
      <c r="F199" s="44" t="s">
        <v>96</v>
      </c>
      <c r="G199" s="44" t="s">
        <v>94</v>
      </c>
      <c r="H199" s="44">
        <v>0.0</v>
      </c>
      <c r="I199" s="44">
        <v>1028.44</v>
      </c>
      <c r="J199" s="44">
        <v>1028.43</v>
      </c>
      <c r="K199" s="44">
        <v>974.48</v>
      </c>
      <c r="L199" s="44">
        <v>974.47</v>
      </c>
      <c r="M199" s="44">
        <v>909.39</v>
      </c>
      <c r="N199" s="44">
        <v>909.38</v>
      </c>
      <c r="O199" s="44">
        <v>14.5</v>
      </c>
      <c r="P199" s="44">
        <v>13.5</v>
      </c>
      <c r="Q199" s="44">
        <v>12.0</v>
      </c>
      <c r="R199" s="44">
        <v>10.0</v>
      </c>
      <c r="S199" s="44">
        <v>1200.0</v>
      </c>
      <c r="T199" s="44">
        <v>14.5</v>
      </c>
      <c r="U199" s="44">
        <v>1200.0</v>
      </c>
      <c r="V199" s="46" t="str">
        <f>IFERROR(VLOOKUP(B199,Products!$A$2:$W$1000,16,0),"")</f>
        <v/>
      </c>
      <c r="W199" s="46" t="str">
        <f t="shared" si="1"/>
        <v>-</v>
      </c>
      <c r="X199" s="44" t="s">
        <v>738</v>
      </c>
    </row>
    <row r="200">
      <c r="A200" s="44" t="s">
        <v>216</v>
      </c>
      <c r="B200" s="44" t="s">
        <v>215</v>
      </c>
      <c r="C200" s="45"/>
      <c r="D200" s="45"/>
      <c r="E200" s="44">
        <v>198753.0</v>
      </c>
      <c r="F200" s="44" t="s">
        <v>217</v>
      </c>
      <c r="G200" s="44" t="s">
        <v>201</v>
      </c>
      <c r="H200" s="44">
        <v>0.0</v>
      </c>
      <c r="I200" s="44">
        <v>657.77</v>
      </c>
      <c r="J200" s="44">
        <v>657.76</v>
      </c>
      <c r="K200" s="44">
        <v>636.96</v>
      </c>
      <c r="L200" s="44">
        <v>636.95</v>
      </c>
      <c r="M200" s="44">
        <v>608.64</v>
      </c>
      <c r="N200" s="44">
        <v>608.63</v>
      </c>
      <c r="O200" s="44">
        <v>20.0</v>
      </c>
      <c r="P200" s="44">
        <v>19.5</v>
      </c>
      <c r="Q200" s="44">
        <v>18.8</v>
      </c>
      <c r="R200" s="44">
        <v>17.8</v>
      </c>
      <c r="S200" s="44">
        <v>1100.0</v>
      </c>
      <c r="T200" s="44">
        <v>20.0</v>
      </c>
      <c r="U200" s="44">
        <v>1100.0</v>
      </c>
      <c r="V200" s="46" t="str">
        <f>IFERROR(VLOOKUP(B200,Products!$A$2:$W$1000,16,0),"")</f>
        <v/>
      </c>
      <c r="W200" s="46" t="str">
        <f t="shared" si="1"/>
        <v>-</v>
      </c>
      <c r="X200" s="44" t="s">
        <v>738</v>
      </c>
    </row>
    <row r="201">
      <c r="A201" s="44" t="s">
        <v>670</v>
      </c>
      <c r="B201" s="44">
        <v>4.000498043417E12</v>
      </c>
      <c r="C201" s="45"/>
      <c r="D201" s="44" t="s">
        <v>868</v>
      </c>
      <c r="E201" s="44" t="s">
        <v>869</v>
      </c>
      <c r="F201" s="44" t="s">
        <v>671</v>
      </c>
      <c r="G201" s="44" t="s">
        <v>669</v>
      </c>
      <c r="H201" s="44">
        <v>1.0</v>
      </c>
      <c r="I201" s="44">
        <v>836.2</v>
      </c>
      <c r="J201" s="44">
        <v>836.19</v>
      </c>
      <c r="K201" s="44">
        <v>814.21</v>
      </c>
      <c r="L201" s="44">
        <v>814.2</v>
      </c>
      <c r="M201" s="44">
        <v>784.45</v>
      </c>
      <c r="N201" s="44">
        <v>784.44</v>
      </c>
      <c r="O201" s="44">
        <v>20.0</v>
      </c>
      <c r="P201" s="44">
        <v>18.5</v>
      </c>
      <c r="Q201" s="44">
        <v>18.0</v>
      </c>
      <c r="R201" s="44">
        <v>17.1</v>
      </c>
      <c r="S201" s="44">
        <v>920.0</v>
      </c>
      <c r="T201" s="44">
        <v>20.0</v>
      </c>
      <c r="U201" s="44">
        <v>920.0</v>
      </c>
      <c r="V201" s="46">
        <f>IFERROR(VLOOKUP(B201,Products!$A$2:$W$1000,16,0),"")</f>
        <v>920</v>
      </c>
      <c r="W201" s="46">
        <f t="shared" si="1"/>
        <v>20</v>
      </c>
      <c r="X201" s="44" t="s">
        <v>738</v>
      </c>
    </row>
    <row r="202">
      <c r="A202" s="44" t="s">
        <v>199</v>
      </c>
      <c r="B202" s="44">
        <v>3.724862384675E12</v>
      </c>
      <c r="C202" s="45"/>
      <c r="D202" s="45"/>
      <c r="E202" s="44">
        <v>3.724862384675E12</v>
      </c>
      <c r="F202" s="44" t="s">
        <v>72</v>
      </c>
      <c r="G202" s="44" t="s">
        <v>178</v>
      </c>
      <c r="H202" s="44">
        <v>0.0</v>
      </c>
      <c r="I202" s="44">
        <v>564.61</v>
      </c>
      <c r="J202" s="44">
        <v>564.6</v>
      </c>
      <c r="K202" s="44">
        <v>527.9</v>
      </c>
      <c r="L202" s="44">
        <v>527.89</v>
      </c>
      <c r="M202" s="44">
        <v>478.34</v>
      </c>
      <c r="N202" s="44">
        <v>478.33</v>
      </c>
      <c r="O202" s="44">
        <v>16.5</v>
      </c>
      <c r="P202" s="44">
        <v>14.7</v>
      </c>
      <c r="Q202" s="44">
        <v>12.9</v>
      </c>
      <c r="R202" s="44">
        <v>10.1</v>
      </c>
      <c r="S202" s="44">
        <v>829.0</v>
      </c>
      <c r="T202" s="44">
        <v>16.5</v>
      </c>
      <c r="U202" s="44">
        <v>829.0</v>
      </c>
      <c r="V202" s="46" t="str">
        <f>IFERROR(VLOOKUP(B202,Products!$A$2:$W$1000,16,0),"")</f>
        <v/>
      </c>
      <c r="W202" s="46" t="str">
        <f t="shared" si="1"/>
        <v>-</v>
      </c>
      <c r="X202" s="44" t="s">
        <v>738</v>
      </c>
    </row>
    <row r="203">
      <c r="A203" s="44" t="s">
        <v>657</v>
      </c>
      <c r="B203" s="44" t="s">
        <v>656</v>
      </c>
      <c r="C203" s="45"/>
      <c r="D203" s="45"/>
      <c r="E203" s="44" t="s">
        <v>870</v>
      </c>
      <c r="F203" s="44" t="s">
        <v>72</v>
      </c>
      <c r="G203" s="44" t="s">
        <v>115</v>
      </c>
      <c r="H203" s="44">
        <v>0.0</v>
      </c>
      <c r="I203" s="44">
        <v>2701.03</v>
      </c>
      <c r="J203" s="44">
        <v>2701.02</v>
      </c>
      <c r="K203" s="44">
        <v>2614.56</v>
      </c>
      <c r="L203" s="44">
        <v>2614.55</v>
      </c>
      <c r="M203" s="44">
        <v>2494.57</v>
      </c>
      <c r="N203" s="44">
        <v>2494.56</v>
      </c>
      <c r="O203" s="44">
        <v>16.5</v>
      </c>
      <c r="P203" s="44">
        <v>15.4</v>
      </c>
      <c r="Q203" s="44">
        <v>14.5</v>
      </c>
      <c r="R203" s="44">
        <v>13.3</v>
      </c>
      <c r="S203" s="44">
        <v>2723.0</v>
      </c>
      <c r="T203" s="44">
        <v>16.5</v>
      </c>
      <c r="U203" s="44">
        <v>2723.0</v>
      </c>
      <c r="V203" s="46" t="str">
        <f>IFERROR(VLOOKUP(B203,Products!$A$2:$W$1000,16,0),"")</f>
        <v/>
      </c>
      <c r="W203" s="46" t="str">
        <f t="shared" si="1"/>
        <v>-</v>
      </c>
      <c r="X203" s="44" t="s">
        <v>738</v>
      </c>
    </row>
    <row r="204">
      <c r="V204" s="17" t="str">
        <f>IFERROR(VLOOKUP(B204,Products!$A$2:$W$1000,16,0),"")</f>
        <v/>
      </c>
      <c r="W204" s="17" t="str">
        <f t="shared" si="1"/>
        <v>-</v>
      </c>
    </row>
    <row r="205">
      <c r="V205" s="17" t="str">
        <f>IFERROR(VLOOKUP(B205,Products!$A$2:$W$1000,16,0),"")</f>
        <v/>
      </c>
      <c r="W205" s="17" t="str">
        <f t="shared" si="1"/>
        <v>-</v>
      </c>
    </row>
    <row r="206">
      <c r="V206" s="17" t="str">
        <f>IFERROR(VLOOKUP(B206,Products!$A$2:$W$1000,16,0),"")</f>
        <v/>
      </c>
      <c r="W206" s="17" t="str">
        <f t="shared" si="1"/>
        <v>-</v>
      </c>
    </row>
    <row r="207">
      <c r="V207" s="17" t="str">
        <f>IFERROR(VLOOKUP(B207,Products!$A$2:$W$1000,16,0),"")</f>
        <v/>
      </c>
      <c r="W207" s="17" t="str">
        <f t="shared" si="1"/>
        <v>-</v>
      </c>
    </row>
    <row r="208">
      <c r="V208" s="17" t="str">
        <f>IFERROR(VLOOKUP(B208,Products!$A$2:$W$1000,16,0),"")</f>
        <v/>
      </c>
      <c r="W208" s="17" t="str">
        <f t="shared" si="1"/>
        <v>-</v>
      </c>
    </row>
    <row r="209">
      <c r="V209" s="17" t="str">
        <f>IFERROR(VLOOKUP(B209,Products!$A$2:$W$1000,16,0),"")</f>
        <v/>
      </c>
      <c r="W209" s="17" t="str">
        <f t="shared" si="1"/>
        <v>-</v>
      </c>
    </row>
    <row r="210">
      <c r="V210" s="17" t="str">
        <f>IFERROR(VLOOKUP(B210,Products!$A$2:$W$1000,16,0),"")</f>
        <v/>
      </c>
      <c r="W210" s="17" t="str">
        <f t="shared" si="1"/>
        <v>-</v>
      </c>
    </row>
    <row r="211">
      <c r="V211" s="17" t="str">
        <f>IFERROR(VLOOKUP(B211,Products!$A$2:$W$1000,16,0),"")</f>
        <v/>
      </c>
      <c r="W211" s="17" t="str">
        <f t="shared" si="1"/>
        <v>-</v>
      </c>
    </row>
    <row r="212">
      <c r="V212" s="17" t="str">
        <f>IFERROR(VLOOKUP(B212,Products!$A$2:$W$1000,16,0),"")</f>
        <v/>
      </c>
      <c r="W212" s="17" t="str">
        <f t="shared" si="1"/>
        <v>-</v>
      </c>
    </row>
    <row r="213">
      <c r="V213" s="17" t="str">
        <f>IFERROR(VLOOKUP(B213,Products!$A$2:$W$1000,16,0),"")</f>
        <v/>
      </c>
      <c r="W213" s="17" t="str">
        <f t="shared" si="1"/>
        <v>-</v>
      </c>
    </row>
    <row r="214">
      <c r="V214" s="17" t="str">
        <f>IFERROR(VLOOKUP(B214,Products!$A$2:$W$1000,16,0),"")</f>
        <v/>
      </c>
      <c r="W214" s="17" t="str">
        <f t="shared" si="1"/>
        <v>-</v>
      </c>
    </row>
    <row r="215">
      <c r="V215" s="17" t="str">
        <f>IFERROR(VLOOKUP(B215,Products!$A$2:$W$1000,16,0),"")</f>
        <v/>
      </c>
      <c r="W215" s="17" t="str">
        <f t="shared" si="1"/>
        <v>-</v>
      </c>
    </row>
    <row r="216">
      <c r="V216" s="17" t="str">
        <f>IFERROR(VLOOKUP(B216,Products!$A$2:$W$1000,16,0),"")</f>
        <v/>
      </c>
      <c r="W216" s="17" t="str">
        <f t="shared" si="1"/>
        <v>-</v>
      </c>
    </row>
    <row r="217">
      <c r="V217" s="17" t="str">
        <f>IFERROR(VLOOKUP(B217,Products!$A$2:$W$1000,16,0),"")</f>
        <v/>
      </c>
      <c r="W217" s="17" t="str">
        <f t="shared" si="1"/>
        <v>-</v>
      </c>
    </row>
    <row r="218">
      <c r="V218" s="17" t="str">
        <f>IFERROR(VLOOKUP(B218,Products!$A$2:$W$1000,16,0),"")</f>
        <v/>
      </c>
      <c r="W218" s="17" t="str">
        <f t="shared" si="1"/>
        <v>-</v>
      </c>
    </row>
    <row r="219">
      <c r="V219" s="17" t="str">
        <f>IFERROR(VLOOKUP(B219,Products!$A$2:$W$1000,16,0),"")</f>
        <v/>
      </c>
      <c r="W219" s="17" t="str">
        <f t="shared" si="1"/>
        <v>-</v>
      </c>
    </row>
    <row r="220">
      <c r="V220" s="17" t="str">
        <f>IFERROR(VLOOKUP(B220,Products!$A$2:$W$1000,16,0),"")</f>
        <v/>
      </c>
      <c r="W220" s="17" t="str">
        <f t="shared" si="1"/>
        <v>-</v>
      </c>
    </row>
    <row r="221">
      <c r="V221" s="17" t="str">
        <f>IFERROR(VLOOKUP(B221,Products!$A$2:$W$1000,16,0),"")</f>
        <v/>
      </c>
      <c r="W221" s="17" t="str">
        <f t="shared" si="1"/>
        <v>-</v>
      </c>
    </row>
    <row r="222">
      <c r="V222" s="17" t="str">
        <f>IFERROR(VLOOKUP(B222,Products!$A$2:$W$1000,16,0),"")</f>
        <v/>
      </c>
      <c r="W222" s="17" t="str">
        <f t="shared" si="1"/>
        <v>-</v>
      </c>
    </row>
    <row r="223">
      <c r="V223" s="17" t="str">
        <f>IFERROR(VLOOKUP(B223,Products!$A$2:$W$1000,16,0),"")</f>
        <v/>
      </c>
      <c r="W223" s="17" t="str">
        <f t="shared" si="1"/>
        <v>-</v>
      </c>
    </row>
    <row r="224">
      <c r="V224" s="17" t="str">
        <f>IFERROR(VLOOKUP(B224,Products!$A$2:$W$1000,16,0),"")</f>
        <v/>
      </c>
      <c r="W224" s="17" t="str">
        <f t="shared" si="1"/>
        <v>-</v>
      </c>
    </row>
    <row r="225">
      <c r="V225" s="17" t="str">
        <f>IFERROR(VLOOKUP(B225,Products!$A$2:$W$1000,16,0),"")</f>
        <v/>
      </c>
      <c r="W225" s="17" t="str">
        <f t="shared" si="1"/>
        <v>-</v>
      </c>
    </row>
    <row r="226">
      <c r="V226" s="17" t="str">
        <f>IFERROR(VLOOKUP(B226,Products!$A$2:$W$1000,16,0),"")</f>
        <v/>
      </c>
      <c r="W226" s="17" t="str">
        <f t="shared" si="1"/>
        <v>-</v>
      </c>
    </row>
    <row r="227">
      <c r="V227" s="17" t="str">
        <f>IFERROR(VLOOKUP(B227,Products!$A$2:$W$1000,16,0),"")</f>
        <v/>
      </c>
      <c r="W227" s="17" t="str">
        <f t="shared" si="1"/>
        <v>-</v>
      </c>
    </row>
    <row r="228">
      <c r="V228" s="17" t="str">
        <f>IFERROR(VLOOKUP(B228,Products!$A$2:$W$1000,16,0),"")</f>
        <v/>
      </c>
      <c r="W228" s="17" t="str">
        <f t="shared" si="1"/>
        <v>-</v>
      </c>
    </row>
    <row r="229">
      <c r="V229" s="17" t="str">
        <f>IFERROR(VLOOKUP(B229,Products!$A$2:$W$1000,16,0),"")</f>
        <v/>
      </c>
      <c r="W229" s="17" t="str">
        <f t="shared" si="1"/>
        <v>-</v>
      </c>
    </row>
    <row r="230">
      <c r="V230" s="17" t="str">
        <f>IFERROR(VLOOKUP(B230,Products!$A$2:$W$1000,16,0),"")</f>
        <v/>
      </c>
      <c r="W230" s="17" t="str">
        <f t="shared" si="1"/>
        <v>-</v>
      </c>
    </row>
    <row r="231">
      <c r="V231" s="17" t="str">
        <f>IFERROR(VLOOKUP(B231,Products!$A$2:$W$1000,16,0),"")</f>
        <v/>
      </c>
      <c r="W231" s="17" t="str">
        <f t="shared" si="1"/>
        <v>-</v>
      </c>
    </row>
    <row r="232">
      <c r="V232" s="17" t="str">
        <f>IFERROR(VLOOKUP(B232,Products!$A$2:$W$1000,16,0),"")</f>
        <v/>
      </c>
      <c r="W232" s="17" t="str">
        <f t="shared" si="1"/>
        <v>-</v>
      </c>
    </row>
    <row r="233">
      <c r="V233" s="17" t="str">
        <f>IFERROR(VLOOKUP(B233,Products!$A$2:$W$1000,16,0),"")</f>
        <v/>
      </c>
      <c r="W233" s="17" t="str">
        <f t="shared" si="1"/>
        <v>-</v>
      </c>
    </row>
    <row r="234">
      <c r="V234" s="17" t="str">
        <f>IFERROR(VLOOKUP(B234,Products!$A$2:$W$1000,16,0),"")</f>
        <v/>
      </c>
      <c r="W234" s="17" t="str">
        <f t="shared" si="1"/>
        <v>-</v>
      </c>
    </row>
    <row r="235">
      <c r="V235" s="17" t="str">
        <f>IFERROR(VLOOKUP(B235,Products!$A$2:$W$1000,16,0),"")</f>
        <v/>
      </c>
      <c r="W235" s="17" t="str">
        <f t="shared" si="1"/>
        <v>-</v>
      </c>
    </row>
    <row r="236">
      <c r="V236" s="17" t="str">
        <f>IFERROR(VLOOKUP(B236,Products!$A$2:$W$1000,16,0),"")</f>
        <v/>
      </c>
      <c r="W236" s="17" t="str">
        <f t="shared" si="1"/>
        <v>-</v>
      </c>
    </row>
    <row r="237">
      <c r="V237" s="17" t="str">
        <f>IFERROR(VLOOKUP(B237,Products!$A$2:$W$1000,16,0),"")</f>
        <v/>
      </c>
      <c r="W237" s="17" t="str">
        <f t="shared" si="1"/>
        <v>-</v>
      </c>
    </row>
    <row r="238">
      <c r="V238" s="17" t="str">
        <f>IFERROR(VLOOKUP(B238,Products!$A$2:$W$1000,16,0),"")</f>
        <v/>
      </c>
      <c r="W238" s="17" t="str">
        <f t="shared" si="1"/>
        <v>-</v>
      </c>
    </row>
    <row r="239">
      <c r="V239" s="17" t="str">
        <f>IFERROR(VLOOKUP(B239,Products!$A$2:$W$1000,16,0),"")</f>
        <v/>
      </c>
      <c r="W239" s="17" t="str">
        <f t="shared" si="1"/>
        <v>-</v>
      </c>
    </row>
    <row r="240">
      <c r="V240" s="17" t="str">
        <f>IFERROR(VLOOKUP(B240,Products!$A$2:$W$1000,16,0),"")</f>
        <v/>
      </c>
      <c r="W240" s="17" t="str">
        <f t="shared" si="1"/>
        <v>-</v>
      </c>
    </row>
    <row r="241">
      <c r="V241" s="17" t="str">
        <f>IFERROR(VLOOKUP(B241,Products!$A$2:$W$1000,16,0),"")</f>
        <v/>
      </c>
      <c r="W241" s="17" t="str">
        <f t="shared" si="1"/>
        <v>-</v>
      </c>
    </row>
    <row r="242">
      <c r="V242" s="17" t="str">
        <f>IFERROR(VLOOKUP(B242,Products!$A$2:$W$1000,16,0),"")</f>
        <v/>
      </c>
      <c r="W242" s="17" t="str">
        <f t="shared" si="1"/>
        <v>-</v>
      </c>
    </row>
    <row r="243">
      <c r="V243" s="17" t="str">
        <f>IFERROR(VLOOKUP(B243,Products!$A$2:$W$1000,16,0),"")</f>
        <v/>
      </c>
      <c r="W243" s="17" t="str">
        <f t="shared" si="1"/>
        <v>-</v>
      </c>
    </row>
    <row r="244">
      <c r="V244" s="17" t="str">
        <f>IFERROR(VLOOKUP(B244,Products!$A$2:$W$1000,16,0),"")</f>
        <v/>
      </c>
      <c r="W244" s="17" t="str">
        <f t="shared" si="1"/>
        <v>-</v>
      </c>
    </row>
    <row r="245">
      <c r="V245" s="17" t="str">
        <f>IFERROR(VLOOKUP(B245,Products!$A$2:$W$1000,16,0),"")</f>
        <v/>
      </c>
      <c r="W245" s="17" t="str">
        <f t="shared" si="1"/>
        <v>-</v>
      </c>
    </row>
    <row r="246">
      <c r="V246" s="17" t="str">
        <f>IFERROR(VLOOKUP(B246,Products!$A$2:$W$1000,16,0),"")</f>
        <v/>
      </c>
      <c r="W246" s="17" t="str">
        <f t="shared" si="1"/>
        <v>-</v>
      </c>
    </row>
    <row r="247">
      <c r="V247" s="17" t="str">
        <f>IFERROR(VLOOKUP(B247,Products!$A$2:$W$1000,16,0),"")</f>
        <v/>
      </c>
      <c r="W247" s="17" t="str">
        <f t="shared" si="1"/>
        <v>-</v>
      </c>
    </row>
    <row r="248">
      <c r="V248" s="17" t="str">
        <f>IFERROR(VLOOKUP(B248,Products!$A$2:$W$1000,16,0),"")</f>
        <v/>
      </c>
      <c r="W248" s="17" t="str">
        <f t="shared" si="1"/>
        <v>-</v>
      </c>
    </row>
    <row r="249">
      <c r="V249" s="17" t="str">
        <f>IFERROR(VLOOKUP(B249,Products!$A$2:$W$1000,16,0),"")</f>
        <v/>
      </c>
      <c r="W249" s="17" t="str">
        <f t="shared" si="1"/>
        <v>-</v>
      </c>
    </row>
    <row r="250">
      <c r="V250" s="17" t="str">
        <f>IFERROR(VLOOKUP(B250,Products!$A$2:$W$1000,16,0),"")</f>
        <v/>
      </c>
      <c r="W250" s="17" t="str">
        <f t="shared" si="1"/>
        <v>-</v>
      </c>
    </row>
    <row r="251">
      <c r="V251" s="17" t="str">
        <f>IFERROR(VLOOKUP(B251,Products!$A$2:$W$1000,16,0),"")</f>
        <v/>
      </c>
      <c r="W251" s="17" t="str">
        <f t="shared" si="1"/>
        <v>-</v>
      </c>
    </row>
    <row r="252">
      <c r="V252" s="17" t="str">
        <f>IFERROR(VLOOKUP(B252,Products!$A$2:$W$1000,16,0),"")</f>
        <v/>
      </c>
      <c r="W252" s="17" t="str">
        <f t="shared" si="1"/>
        <v>-</v>
      </c>
    </row>
    <row r="253">
      <c r="V253" s="17" t="str">
        <f>IFERROR(VLOOKUP(B253,Products!$A$2:$W$1000,16,0),"")</f>
        <v/>
      </c>
      <c r="W253" s="17" t="str">
        <f t="shared" si="1"/>
        <v>-</v>
      </c>
    </row>
    <row r="254">
      <c r="V254" s="17" t="str">
        <f>IFERROR(VLOOKUP(B254,Products!$A$2:$W$1000,16,0),"")</f>
        <v/>
      </c>
      <c r="W254" s="17" t="str">
        <f t="shared" si="1"/>
        <v>-</v>
      </c>
    </row>
    <row r="255">
      <c r="V255" s="17" t="str">
        <f>IFERROR(VLOOKUP(B255,Products!$A$2:$W$1000,16,0),"")</f>
        <v/>
      </c>
      <c r="W255" s="17" t="str">
        <f t="shared" si="1"/>
        <v>-</v>
      </c>
    </row>
    <row r="256">
      <c r="V256" s="17" t="str">
        <f>IFERROR(VLOOKUP(B256,Products!$A$2:$W$1000,16,0),"")</f>
        <v/>
      </c>
      <c r="W256" s="17" t="str">
        <f t="shared" si="1"/>
        <v>-</v>
      </c>
    </row>
    <row r="257">
      <c r="V257" s="17" t="str">
        <f>IFERROR(VLOOKUP(B257,Products!$A$2:$W$1000,16,0),"")</f>
        <v/>
      </c>
      <c r="W257" s="17" t="str">
        <f t="shared" si="1"/>
        <v>-</v>
      </c>
    </row>
    <row r="258">
      <c r="V258" s="17" t="str">
        <f>IFERROR(VLOOKUP(B258,Products!$A$2:$W$1000,16,0),"")</f>
        <v/>
      </c>
      <c r="W258" s="17" t="str">
        <f t="shared" si="1"/>
        <v>-</v>
      </c>
    </row>
    <row r="259">
      <c r="V259" s="17" t="str">
        <f>IFERROR(VLOOKUP(B259,Products!$A$2:$W$1000,16,0),"")</f>
        <v/>
      </c>
      <c r="W259" s="17" t="str">
        <f t="shared" si="1"/>
        <v>-</v>
      </c>
    </row>
    <row r="260">
      <c r="V260" s="17" t="str">
        <f>IFERROR(VLOOKUP(B260,Products!$A$2:$W$1000,16,0),"")</f>
        <v/>
      </c>
      <c r="W260" s="17" t="str">
        <f t="shared" si="1"/>
        <v>-</v>
      </c>
    </row>
    <row r="261">
      <c r="V261" s="17" t="str">
        <f>IFERROR(VLOOKUP(B261,Products!$A$2:$W$1000,16,0),"")</f>
        <v/>
      </c>
      <c r="W261" s="17" t="str">
        <f t="shared" si="1"/>
        <v>-</v>
      </c>
    </row>
    <row r="262">
      <c r="V262" s="17" t="str">
        <f>IFERROR(VLOOKUP(B262,Products!$A$2:$W$1000,16,0),"")</f>
        <v/>
      </c>
      <c r="W262" s="17" t="str">
        <f t="shared" si="1"/>
        <v>-</v>
      </c>
    </row>
    <row r="263">
      <c r="V263" s="17" t="str">
        <f>IFERROR(VLOOKUP(B263,Products!$A$2:$W$1000,16,0),"")</f>
        <v/>
      </c>
      <c r="W263" s="17" t="str">
        <f t="shared" si="1"/>
        <v>-</v>
      </c>
    </row>
    <row r="264">
      <c r="V264" s="17" t="str">
        <f>IFERROR(VLOOKUP(B264,Products!$A$2:$W$1000,16,0),"")</f>
        <v/>
      </c>
      <c r="W264" s="17" t="str">
        <f t="shared" si="1"/>
        <v>-</v>
      </c>
    </row>
    <row r="265">
      <c r="V265" s="17" t="str">
        <f>IFERROR(VLOOKUP(B265,Products!$A$2:$W$1000,16,0),"")</f>
        <v/>
      </c>
      <c r="W265" s="17" t="str">
        <f t="shared" si="1"/>
        <v>-</v>
      </c>
    </row>
    <row r="266">
      <c r="V266" s="17" t="str">
        <f>IFERROR(VLOOKUP(B266,Products!$A$2:$W$1000,16,0),"")</f>
        <v/>
      </c>
      <c r="W266" s="17" t="str">
        <f t="shared" si="1"/>
        <v>-</v>
      </c>
    </row>
    <row r="267">
      <c r="V267" s="17" t="str">
        <f>IFERROR(VLOOKUP(B267,Products!$A$2:$W$1000,16,0),"")</f>
        <v/>
      </c>
      <c r="W267" s="17" t="str">
        <f t="shared" si="1"/>
        <v>-</v>
      </c>
    </row>
    <row r="268">
      <c r="V268" s="17" t="str">
        <f>IFERROR(VLOOKUP(B268,Products!$A$2:$W$1000,16,0),"")</f>
        <v/>
      </c>
      <c r="W268" s="17" t="str">
        <f t="shared" si="1"/>
        <v>-</v>
      </c>
    </row>
    <row r="269">
      <c r="V269" s="17" t="str">
        <f>IFERROR(VLOOKUP(B269,Products!$A$2:$W$1000,16,0),"")</f>
        <v/>
      </c>
      <c r="W269" s="17" t="str">
        <f t="shared" si="1"/>
        <v>-</v>
      </c>
    </row>
    <row r="270">
      <c r="V270" s="17" t="str">
        <f>IFERROR(VLOOKUP(B270,Products!$A$2:$W$1000,16,0),"")</f>
        <v/>
      </c>
      <c r="W270" s="17" t="str">
        <f t="shared" si="1"/>
        <v>-</v>
      </c>
    </row>
    <row r="271">
      <c r="V271" s="17" t="str">
        <f>IFERROR(VLOOKUP(B271,Products!$A$2:$W$1000,16,0),"")</f>
        <v/>
      </c>
      <c r="W271" s="17" t="str">
        <f t="shared" si="1"/>
        <v>-</v>
      </c>
    </row>
    <row r="272">
      <c r="V272" s="17" t="str">
        <f>IFERROR(VLOOKUP(B272,Products!$A$2:$W$1000,16,0),"")</f>
        <v/>
      </c>
      <c r="W272" s="17" t="str">
        <f t="shared" si="1"/>
        <v>-</v>
      </c>
    </row>
    <row r="273">
      <c r="V273" s="17" t="str">
        <f>IFERROR(VLOOKUP(B273,Products!$A$2:$W$1000,16,0),"")</f>
        <v/>
      </c>
      <c r="W273" s="17" t="str">
        <f t="shared" si="1"/>
        <v>-</v>
      </c>
    </row>
    <row r="274">
      <c r="V274" s="17" t="str">
        <f>IFERROR(VLOOKUP(B274,Products!$A$2:$W$1000,16,0),"")</f>
        <v/>
      </c>
      <c r="W274" s="17" t="str">
        <f t="shared" si="1"/>
        <v>-</v>
      </c>
    </row>
    <row r="275">
      <c r="V275" s="17" t="str">
        <f>IFERROR(VLOOKUP(B275,Products!$A$2:$W$1000,16,0),"")</f>
        <v/>
      </c>
      <c r="W275" s="17" t="str">
        <f t="shared" si="1"/>
        <v>-</v>
      </c>
    </row>
    <row r="276">
      <c r="V276" s="17" t="str">
        <f>IFERROR(VLOOKUP(B276,Products!$A$2:$W$1000,16,0),"")</f>
        <v/>
      </c>
      <c r="W276" s="17" t="str">
        <f t="shared" si="1"/>
        <v>-</v>
      </c>
    </row>
    <row r="277">
      <c r="V277" s="17" t="str">
        <f>IFERROR(VLOOKUP(B277,Products!$A$2:$W$1000,16,0),"")</f>
        <v/>
      </c>
      <c r="W277" s="17" t="str">
        <f t="shared" si="1"/>
        <v>-</v>
      </c>
    </row>
    <row r="278">
      <c r="V278" s="17" t="str">
        <f>IFERROR(VLOOKUP(B278,Products!$A$2:$W$1000,16,0),"")</f>
        <v/>
      </c>
      <c r="W278" s="17" t="str">
        <f t="shared" si="1"/>
        <v>-</v>
      </c>
    </row>
    <row r="279">
      <c r="V279" s="17" t="str">
        <f>IFERROR(VLOOKUP(B279,Products!$A$2:$W$1000,16,0),"")</f>
        <v/>
      </c>
      <c r="W279" s="17" t="str">
        <f t="shared" si="1"/>
        <v>-</v>
      </c>
    </row>
    <row r="280">
      <c r="V280" s="17" t="str">
        <f>IFERROR(VLOOKUP(B280,Products!$A$2:$W$1000,16,0),"")</f>
        <v/>
      </c>
      <c r="W280" s="17" t="str">
        <f t="shared" si="1"/>
        <v>-</v>
      </c>
    </row>
    <row r="281">
      <c r="V281" s="17" t="str">
        <f>IFERROR(VLOOKUP(B281,Products!$A$2:$W$1000,16,0),"")</f>
        <v/>
      </c>
      <c r="W281" s="17" t="str">
        <f t="shared" si="1"/>
        <v>-</v>
      </c>
    </row>
    <row r="282">
      <c r="V282" s="17" t="str">
        <f>IFERROR(VLOOKUP(B282,Products!$A$2:$W$1000,16,0),"")</f>
        <v/>
      </c>
      <c r="W282" s="17" t="str">
        <f t="shared" si="1"/>
        <v>-</v>
      </c>
    </row>
    <row r="283">
      <c r="V283" s="17" t="str">
        <f>IFERROR(VLOOKUP(B283,Products!$A$2:$W$1000,16,0),"")</f>
        <v/>
      </c>
      <c r="W283" s="17" t="str">
        <f t="shared" si="1"/>
        <v>-</v>
      </c>
    </row>
    <row r="284">
      <c r="V284" s="17" t="str">
        <f>IFERROR(VLOOKUP(B284,Products!$A$2:$W$1000,16,0),"")</f>
        <v/>
      </c>
      <c r="W284" s="17" t="str">
        <f t="shared" si="1"/>
        <v>-</v>
      </c>
    </row>
    <row r="285">
      <c r="V285" s="17" t="str">
        <f>IFERROR(VLOOKUP(B285,Products!$A$2:$W$1000,16,0),"")</f>
        <v/>
      </c>
      <c r="W285" s="17" t="str">
        <f t="shared" si="1"/>
        <v>-</v>
      </c>
    </row>
    <row r="286">
      <c r="V286" s="17" t="str">
        <f>IFERROR(VLOOKUP(B286,Products!$A$2:$W$1000,16,0),"")</f>
        <v/>
      </c>
      <c r="W286" s="17" t="str">
        <f t="shared" si="1"/>
        <v>-</v>
      </c>
    </row>
    <row r="287">
      <c r="V287" s="17" t="str">
        <f>IFERROR(VLOOKUP(B287,Products!$A$2:$W$1000,16,0),"")</f>
        <v/>
      </c>
      <c r="W287" s="17" t="str">
        <f t="shared" si="1"/>
        <v>-</v>
      </c>
    </row>
    <row r="288">
      <c r="V288" s="17" t="str">
        <f>IFERROR(VLOOKUP(B288,Products!$A$2:$W$1000,16,0),"")</f>
        <v/>
      </c>
      <c r="W288" s="17" t="str">
        <f t="shared" si="1"/>
        <v>-</v>
      </c>
    </row>
    <row r="289">
      <c r="V289" s="17" t="str">
        <f>IFERROR(VLOOKUP(B289,Products!$A$2:$W$1000,16,0),"")</f>
        <v/>
      </c>
      <c r="W289" s="17" t="str">
        <f t="shared" si="1"/>
        <v>-</v>
      </c>
    </row>
    <row r="290">
      <c r="V290" s="17" t="str">
        <f>IFERROR(VLOOKUP(B290,Products!$A$2:$W$1000,16,0),"")</f>
        <v/>
      </c>
      <c r="W290" s="17" t="str">
        <f t="shared" si="1"/>
        <v>-</v>
      </c>
    </row>
    <row r="291">
      <c r="V291" s="17" t="str">
        <f>IFERROR(VLOOKUP(B291,Products!$A$2:$W$1000,16,0),"")</f>
        <v/>
      </c>
      <c r="W291" s="17" t="str">
        <f t="shared" si="1"/>
        <v>-</v>
      </c>
    </row>
    <row r="292">
      <c r="V292" s="17" t="str">
        <f>IFERROR(VLOOKUP(B292,Products!$A$2:$W$1000,16,0),"")</f>
        <v/>
      </c>
      <c r="W292" s="17" t="str">
        <f t="shared" si="1"/>
        <v>-</v>
      </c>
    </row>
    <row r="293">
      <c r="V293" s="17" t="str">
        <f>IFERROR(VLOOKUP(B293,Products!$A$2:$W$1000,16,0),"")</f>
        <v/>
      </c>
      <c r="W293" s="17" t="str">
        <f t="shared" si="1"/>
        <v>-</v>
      </c>
    </row>
    <row r="294">
      <c r="V294" s="17" t="str">
        <f>IFERROR(VLOOKUP(B294,Products!$A$2:$W$1000,16,0),"")</f>
        <v/>
      </c>
      <c r="W294" s="17" t="str">
        <f t="shared" si="1"/>
        <v>-</v>
      </c>
    </row>
    <row r="295">
      <c r="V295" s="17" t="str">
        <f>IFERROR(VLOOKUP(B295,Products!$A$2:$W$1000,16,0),"")</f>
        <v/>
      </c>
      <c r="W295" s="17" t="str">
        <f t="shared" si="1"/>
        <v>-</v>
      </c>
    </row>
    <row r="296">
      <c r="V296" s="17" t="str">
        <f>IFERROR(VLOOKUP(B296,Products!$A$2:$W$1000,16,0),"")</f>
        <v/>
      </c>
      <c r="W296" s="17" t="str">
        <f t="shared" si="1"/>
        <v>-</v>
      </c>
    </row>
    <row r="297">
      <c r="V297" s="17" t="str">
        <f>IFERROR(VLOOKUP(B297,Products!$A$2:$W$1000,16,0),"")</f>
        <v/>
      </c>
      <c r="W297" s="17" t="str">
        <f t="shared" si="1"/>
        <v>-</v>
      </c>
    </row>
    <row r="298">
      <c r="V298" s="17" t="str">
        <f>IFERROR(VLOOKUP(B298,Products!$A$2:$W$1000,16,0),"")</f>
        <v/>
      </c>
      <c r="W298" s="17" t="str">
        <f t="shared" si="1"/>
        <v>-</v>
      </c>
    </row>
    <row r="299">
      <c r="V299" s="17" t="str">
        <f>IFERROR(VLOOKUP(B299,Products!$A$2:$W$1000,16,0),"")</f>
        <v/>
      </c>
      <c r="W299" s="17" t="str">
        <f t="shared" si="1"/>
        <v>-</v>
      </c>
    </row>
    <row r="300">
      <c r="V300" s="17" t="str">
        <f>IFERROR(VLOOKUP(B300,Products!$A$2:$W$1000,16,0),"")</f>
        <v/>
      </c>
      <c r="W300" s="17" t="str">
        <f t="shared" si="1"/>
        <v>-</v>
      </c>
    </row>
    <row r="301">
      <c r="V301" s="17" t="str">
        <f>IFERROR(VLOOKUP(B301,Products!$A$2:$W$1000,16,0),"")</f>
        <v/>
      </c>
      <c r="W301" s="17" t="str">
        <f t="shared" si="1"/>
        <v>-</v>
      </c>
    </row>
    <row r="302">
      <c r="V302" s="17" t="str">
        <f>IFERROR(VLOOKUP(B302,Products!$A$2:$W$1000,16,0),"")</f>
        <v/>
      </c>
      <c r="W302" s="17" t="str">
        <f t="shared" si="1"/>
        <v>-</v>
      </c>
    </row>
    <row r="303">
      <c r="V303" s="17" t="str">
        <f>IFERROR(VLOOKUP(B303,Products!$A$2:$W$1000,16,0),"")</f>
        <v/>
      </c>
      <c r="W303" s="17" t="str">
        <f t="shared" si="1"/>
        <v>-</v>
      </c>
    </row>
    <row r="304">
      <c r="V304" s="17" t="str">
        <f>IFERROR(VLOOKUP(B304,Products!$A$2:$W$1000,16,0),"")</f>
        <v/>
      </c>
      <c r="W304" s="17" t="str">
        <f t="shared" si="1"/>
        <v>-</v>
      </c>
    </row>
    <row r="305">
      <c r="V305" s="17" t="str">
        <f>IFERROR(VLOOKUP(B305,Products!$A$2:$W$1000,16,0),"")</f>
        <v/>
      </c>
      <c r="W305" s="17" t="str">
        <f t="shared" si="1"/>
        <v>-</v>
      </c>
    </row>
    <row r="306">
      <c r="V306" s="17" t="str">
        <f>IFERROR(VLOOKUP(B306,Products!$A$2:$W$1000,16,0),"")</f>
        <v/>
      </c>
      <c r="W306" s="17" t="str">
        <f t="shared" si="1"/>
        <v>-</v>
      </c>
    </row>
    <row r="307">
      <c r="V307" s="17" t="str">
        <f>IFERROR(VLOOKUP(B307,Products!$A$2:$W$1000,16,0),"")</f>
        <v/>
      </c>
      <c r="W307" s="17" t="str">
        <f t="shared" si="1"/>
        <v>-</v>
      </c>
    </row>
    <row r="308">
      <c r="V308" s="17" t="str">
        <f>IFERROR(VLOOKUP(B308,Products!$A$2:$W$1000,16,0),"")</f>
        <v/>
      </c>
      <c r="W308" s="17" t="str">
        <f t="shared" si="1"/>
        <v>-</v>
      </c>
    </row>
    <row r="309">
      <c r="V309" s="17" t="str">
        <f>IFERROR(VLOOKUP(B309,Products!$A$2:$W$1000,16,0),"")</f>
        <v/>
      </c>
      <c r="W309" s="17" t="str">
        <f t="shared" si="1"/>
        <v>-</v>
      </c>
    </row>
    <row r="310">
      <c r="V310" s="17" t="str">
        <f>IFERROR(VLOOKUP(B310,Products!$A$2:$W$1000,16,0),"")</f>
        <v/>
      </c>
      <c r="W310" s="17" t="str">
        <f t="shared" si="1"/>
        <v>-</v>
      </c>
    </row>
    <row r="311">
      <c r="V311" s="17" t="str">
        <f>IFERROR(VLOOKUP(B311,Products!$A$2:$W$1000,16,0),"")</f>
        <v/>
      </c>
      <c r="W311" s="17" t="str">
        <f t="shared" si="1"/>
        <v>-</v>
      </c>
    </row>
    <row r="312">
      <c r="V312" s="17" t="str">
        <f>IFERROR(VLOOKUP(B312,Products!$A$2:$W$1000,16,0),"")</f>
        <v/>
      </c>
      <c r="W312" s="17" t="str">
        <f t="shared" si="1"/>
        <v>-</v>
      </c>
    </row>
    <row r="313">
      <c r="V313" s="17" t="str">
        <f>IFERROR(VLOOKUP(B313,Products!$A$2:$W$1000,16,0),"")</f>
        <v/>
      </c>
      <c r="W313" s="17" t="str">
        <f t="shared" si="1"/>
        <v>-</v>
      </c>
    </row>
    <row r="314">
      <c r="V314" s="17" t="str">
        <f>IFERROR(VLOOKUP(B314,Products!$A$2:$W$1000,16,0),"")</f>
        <v/>
      </c>
      <c r="W314" s="17" t="str">
        <f t="shared" si="1"/>
        <v>-</v>
      </c>
    </row>
    <row r="315">
      <c r="V315" s="17" t="str">
        <f>IFERROR(VLOOKUP(B315,Products!$A$2:$W$1000,16,0),"")</f>
        <v/>
      </c>
      <c r="W315" s="17" t="str">
        <f t="shared" si="1"/>
        <v>-</v>
      </c>
    </row>
    <row r="316">
      <c r="V316" s="17" t="str">
        <f>IFERROR(VLOOKUP(B316,Products!$A$2:$W$1000,16,0),"")</f>
        <v/>
      </c>
      <c r="W316" s="17" t="str">
        <f t="shared" si="1"/>
        <v>-</v>
      </c>
    </row>
    <row r="317">
      <c r="V317" s="17" t="str">
        <f>IFERROR(VLOOKUP(B317,Products!$A$2:$W$1000,16,0),"")</f>
        <v/>
      </c>
      <c r="W317" s="17" t="str">
        <f t="shared" si="1"/>
        <v>-</v>
      </c>
    </row>
    <row r="318">
      <c r="V318" s="17" t="str">
        <f>IFERROR(VLOOKUP(B318,Products!$A$2:$W$1000,16,0),"")</f>
        <v/>
      </c>
      <c r="W318" s="17" t="str">
        <f t="shared" si="1"/>
        <v>-</v>
      </c>
    </row>
    <row r="319">
      <c r="V319" s="17" t="str">
        <f>IFERROR(VLOOKUP(B319,Products!$A$2:$W$1000,16,0),"")</f>
        <v/>
      </c>
      <c r="W319" s="17" t="str">
        <f t="shared" si="1"/>
        <v>-</v>
      </c>
    </row>
    <row r="320">
      <c r="V320" s="17" t="str">
        <f>IFERROR(VLOOKUP(B320,Products!$A$2:$W$1000,16,0),"")</f>
        <v/>
      </c>
      <c r="W320" s="17" t="str">
        <f t="shared" si="1"/>
        <v>-</v>
      </c>
    </row>
    <row r="321">
      <c r="V321" s="17" t="str">
        <f>IFERROR(VLOOKUP(B321,Products!$A$2:$W$1000,16,0),"")</f>
        <v/>
      </c>
      <c r="W321" s="17" t="str">
        <f t="shared" si="1"/>
        <v>-</v>
      </c>
    </row>
    <row r="322">
      <c r="V322" s="17" t="str">
        <f>IFERROR(VLOOKUP(B322,Products!$A$2:$W$1000,16,0),"")</f>
        <v/>
      </c>
      <c r="W322" s="17" t="str">
        <f t="shared" si="1"/>
        <v>-</v>
      </c>
    </row>
    <row r="323">
      <c r="V323" s="17" t="str">
        <f>IFERROR(VLOOKUP(B323,Products!$A$2:$W$1000,16,0),"")</f>
        <v/>
      </c>
      <c r="W323" s="17" t="str">
        <f t="shared" si="1"/>
        <v>-</v>
      </c>
    </row>
    <row r="324">
      <c r="V324" s="17" t="str">
        <f>IFERROR(VLOOKUP(B324,Products!$A$2:$W$1000,16,0),"")</f>
        <v/>
      </c>
      <c r="W324" s="17" t="str">
        <f t="shared" si="1"/>
        <v>-</v>
      </c>
    </row>
    <row r="325">
      <c r="V325" s="17" t="str">
        <f>IFERROR(VLOOKUP(B325,Products!$A$2:$W$1000,16,0),"")</f>
        <v/>
      </c>
      <c r="W325" s="17" t="str">
        <f t="shared" si="1"/>
        <v>-</v>
      </c>
    </row>
    <row r="326">
      <c r="V326" s="17" t="str">
        <f>IFERROR(VLOOKUP(B326,Products!$A$2:$W$1000,16,0),"")</f>
        <v/>
      </c>
      <c r="W326" s="17" t="str">
        <f t="shared" si="1"/>
        <v>-</v>
      </c>
    </row>
    <row r="327">
      <c r="V327" s="17" t="str">
        <f>IFERROR(VLOOKUP(B327,Products!$A$2:$W$1000,16,0),"")</f>
        <v/>
      </c>
      <c r="W327" s="17" t="str">
        <f t="shared" si="1"/>
        <v>-</v>
      </c>
    </row>
    <row r="328">
      <c r="V328" s="17" t="str">
        <f>IFERROR(VLOOKUP(B328,Products!$A$2:$W$1000,16,0),"")</f>
        <v/>
      </c>
      <c r="W328" s="17" t="str">
        <f t="shared" si="1"/>
        <v>-</v>
      </c>
    </row>
    <row r="329">
      <c r="V329" s="17" t="str">
        <f>IFERROR(VLOOKUP(B329,Products!$A$2:$W$1000,16,0),"")</f>
        <v/>
      </c>
      <c r="W329" s="17" t="str">
        <f t="shared" si="1"/>
        <v>-</v>
      </c>
    </row>
    <row r="330">
      <c r="V330" s="17" t="str">
        <f>IFERROR(VLOOKUP(B330,Products!$A$2:$W$1000,16,0),"")</f>
        <v/>
      </c>
      <c r="W330" s="17" t="str">
        <f t="shared" si="1"/>
        <v>-</v>
      </c>
    </row>
    <row r="331">
      <c r="V331" s="17" t="str">
        <f>IFERROR(VLOOKUP(B331,Products!$A$2:$W$1000,16,0),"")</f>
        <v/>
      </c>
      <c r="W331" s="17" t="str">
        <f t="shared" si="1"/>
        <v>-</v>
      </c>
    </row>
    <row r="332">
      <c r="V332" s="17" t="str">
        <f>IFERROR(VLOOKUP(B332,Products!$A$2:$W$1000,16,0),"")</f>
        <v/>
      </c>
      <c r="W332" s="17" t="str">
        <f t="shared" si="1"/>
        <v>-</v>
      </c>
    </row>
    <row r="333">
      <c r="V333" s="17" t="str">
        <f>IFERROR(VLOOKUP(B333,Products!$A$2:$W$1000,16,0),"")</f>
        <v/>
      </c>
      <c r="W333" s="17" t="str">
        <f t="shared" si="1"/>
        <v>-</v>
      </c>
    </row>
    <row r="334">
      <c r="V334" s="17" t="str">
        <f>IFERROR(VLOOKUP(B334,Products!$A$2:$W$1000,16,0),"")</f>
        <v/>
      </c>
      <c r="W334" s="17" t="str">
        <f t="shared" si="1"/>
        <v>-</v>
      </c>
    </row>
    <row r="335">
      <c r="V335" s="17" t="str">
        <f>IFERROR(VLOOKUP(B335,Products!$A$2:$W$1000,16,0),"")</f>
        <v/>
      </c>
      <c r="W335" s="17" t="str">
        <f t="shared" si="1"/>
        <v>-</v>
      </c>
    </row>
    <row r="336">
      <c r="V336" s="17" t="str">
        <f>IFERROR(VLOOKUP(B336,Products!$A$2:$W$1000,16,0),"")</f>
        <v/>
      </c>
      <c r="W336" s="17" t="str">
        <f t="shared" si="1"/>
        <v>-</v>
      </c>
    </row>
    <row r="337">
      <c r="V337" s="17" t="str">
        <f>IFERROR(VLOOKUP(B337,Products!$A$2:$W$1000,16,0),"")</f>
        <v/>
      </c>
      <c r="W337" s="17" t="str">
        <f t="shared" si="1"/>
        <v>-</v>
      </c>
    </row>
    <row r="338">
      <c r="V338" s="17" t="str">
        <f>IFERROR(VLOOKUP(B338,Products!$A$2:$W$1000,16,0),"")</f>
        <v/>
      </c>
      <c r="W338" s="17" t="str">
        <f t="shared" si="1"/>
        <v>-</v>
      </c>
    </row>
    <row r="339">
      <c r="V339" s="17" t="str">
        <f>IFERROR(VLOOKUP(B339,Products!$A$2:$W$1000,16,0),"")</f>
        <v/>
      </c>
      <c r="W339" s="17" t="str">
        <f t="shared" si="1"/>
        <v>-</v>
      </c>
    </row>
    <row r="340">
      <c r="V340" s="17" t="str">
        <f>IFERROR(VLOOKUP(B340,Products!$A$2:$W$1000,16,0),"")</f>
        <v/>
      </c>
      <c r="W340" s="17" t="str">
        <f t="shared" si="1"/>
        <v>-</v>
      </c>
    </row>
    <row r="341">
      <c r="V341" s="17" t="str">
        <f>IFERROR(VLOOKUP(B341,Products!$A$2:$W$1000,16,0),"")</f>
        <v/>
      </c>
      <c r="W341" s="17" t="str">
        <f t="shared" si="1"/>
        <v>-</v>
      </c>
    </row>
    <row r="342">
      <c r="V342" s="17" t="str">
        <f>IFERROR(VLOOKUP(B342,Products!$A$2:$W$1000,16,0),"")</f>
        <v/>
      </c>
      <c r="W342" s="17" t="str">
        <f t="shared" si="1"/>
        <v>-</v>
      </c>
    </row>
    <row r="343">
      <c r="V343" s="17" t="str">
        <f>IFERROR(VLOOKUP(B343,Products!$A$2:$W$1000,16,0),"")</f>
        <v/>
      </c>
      <c r="W343" s="17" t="str">
        <f t="shared" si="1"/>
        <v>-</v>
      </c>
    </row>
    <row r="344">
      <c r="V344" s="17" t="str">
        <f>IFERROR(VLOOKUP(B344,Products!$A$2:$W$1000,16,0),"")</f>
        <v/>
      </c>
      <c r="W344" s="17" t="str">
        <f t="shared" si="1"/>
        <v>-</v>
      </c>
    </row>
    <row r="345">
      <c r="V345" s="17" t="str">
        <f>IFERROR(VLOOKUP(B345,Products!$A$2:$W$1000,16,0),"")</f>
        <v/>
      </c>
      <c r="W345" s="17" t="str">
        <f t="shared" si="1"/>
        <v>-</v>
      </c>
    </row>
    <row r="346">
      <c r="V346" s="17" t="str">
        <f>IFERROR(VLOOKUP(B346,Products!$A$2:$W$1000,16,0),"")</f>
        <v/>
      </c>
      <c r="W346" s="17" t="str">
        <f t="shared" si="1"/>
        <v>-</v>
      </c>
    </row>
    <row r="347">
      <c r="V347" s="17" t="str">
        <f>IFERROR(VLOOKUP(B347,Products!$A$2:$W$1000,16,0),"")</f>
        <v/>
      </c>
      <c r="W347" s="17" t="str">
        <f t="shared" si="1"/>
        <v>-</v>
      </c>
    </row>
    <row r="348">
      <c r="V348" s="17" t="str">
        <f>IFERROR(VLOOKUP(B348,Products!$A$2:$W$1000,16,0),"")</f>
        <v/>
      </c>
      <c r="W348" s="17" t="str">
        <f t="shared" si="1"/>
        <v>-</v>
      </c>
    </row>
    <row r="349">
      <c r="V349" s="17" t="str">
        <f>IFERROR(VLOOKUP(B349,Products!$A$2:$W$1000,16,0),"")</f>
        <v/>
      </c>
      <c r="W349" s="17" t="str">
        <f t="shared" si="1"/>
        <v>-</v>
      </c>
    </row>
    <row r="350">
      <c r="V350" s="17" t="str">
        <f>IFERROR(VLOOKUP(B350,Products!$A$2:$W$1000,16,0),"")</f>
        <v/>
      </c>
      <c r="W350" s="17" t="str">
        <f t="shared" si="1"/>
        <v>-</v>
      </c>
    </row>
    <row r="351">
      <c r="V351" s="17" t="str">
        <f>IFERROR(VLOOKUP(B351,Products!$A$2:$W$1000,16,0),"")</f>
        <v/>
      </c>
      <c r="W351" s="17" t="str">
        <f t="shared" si="1"/>
        <v>-</v>
      </c>
    </row>
    <row r="352">
      <c r="V352" s="17" t="str">
        <f>IFERROR(VLOOKUP(B352,Products!$A$2:$W$1000,16,0),"")</f>
        <v/>
      </c>
      <c r="W352" s="17" t="str">
        <f t="shared" si="1"/>
        <v>-</v>
      </c>
    </row>
    <row r="353">
      <c r="V353" s="17" t="str">
        <f>IFERROR(VLOOKUP(B353,Products!$A$2:$W$1000,16,0),"")</f>
        <v/>
      </c>
      <c r="W353" s="17" t="str">
        <f t="shared" si="1"/>
        <v>-</v>
      </c>
    </row>
    <row r="354">
      <c r="V354" s="17" t="str">
        <f>IFERROR(VLOOKUP(B354,Products!$A$2:$W$1000,16,0),"")</f>
        <v/>
      </c>
      <c r="W354" s="17" t="str">
        <f t="shared" si="1"/>
        <v>-</v>
      </c>
    </row>
    <row r="355">
      <c r="V355" s="17" t="str">
        <f>IFERROR(VLOOKUP(B355,Products!$A$2:$W$1000,16,0),"")</f>
        <v/>
      </c>
      <c r="W355" s="17" t="str">
        <f t="shared" si="1"/>
        <v>-</v>
      </c>
    </row>
    <row r="356">
      <c r="V356" s="17" t="str">
        <f>IFERROR(VLOOKUP(B356,Products!$A$2:$W$1000,16,0),"")</f>
        <v/>
      </c>
      <c r="W356" s="17" t="str">
        <f t="shared" si="1"/>
        <v>-</v>
      </c>
    </row>
    <row r="357">
      <c r="V357" s="17" t="str">
        <f>IFERROR(VLOOKUP(B357,Products!$A$2:$W$1000,16,0),"")</f>
        <v/>
      </c>
      <c r="W357" s="17" t="str">
        <f t="shared" si="1"/>
        <v>-</v>
      </c>
    </row>
    <row r="358">
      <c r="V358" s="17" t="str">
        <f>IFERROR(VLOOKUP(B358,Products!$A$2:$W$1000,16,0),"")</f>
        <v/>
      </c>
      <c r="W358" s="17" t="str">
        <f t="shared" si="1"/>
        <v>-</v>
      </c>
    </row>
    <row r="359">
      <c r="V359" s="17" t="str">
        <f>IFERROR(VLOOKUP(B359,Products!$A$2:$W$1000,16,0),"")</f>
        <v/>
      </c>
      <c r="W359" s="17" t="str">
        <f t="shared" si="1"/>
        <v>-</v>
      </c>
    </row>
    <row r="360">
      <c r="V360" s="17" t="str">
        <f>IFERROR(VLOOKUP(B360,Products!$A$2:$W$1000,16,0),"")</f>
        <v/>
      </c>
      <c r="W360" s="17" t="str">
        <f t="shared" si="1"/>
        <v>-</v>
      </c>
    </row>
    <row r="361">
      <c r="V361" s="17" t="str">
        <f>IFERROR(VLOOKUP(B361,Products!$A$2:$W$1000,16,0),"")</f>
        <v/>
      </c>
      <c r="W361" s="17" t="str">
        <f t="shared" si="1"/>
        <v>-</v>
      </c>
    </row>
    <row r="362">
      <c r="V362" s="17" t="str">
        <f>IFERROR(VLOOKUP(B362,Products!$A$2:$W$1000,16,0),"")</f>
        <v/>
      </c>
      <c r="W362" s="17" t="str">
        <f t="shared" si="1"/>
        <v>-</v>
      </c>
    </row>
    <row r="363">
      <c r="V363" s="17" t="str">
        <f>IFERROR(VLOOKUP(B363,Products!$A$2:$W$1000,16,0),"")</f>
        <v/>
      </c>
      <c r="W363" s="17" t="str">
        <f t="shared" si="1"/>
        <v>-</v>
      </c>
    </row>
    <row r="364">
      <c r="V364" s="17" t="str">
        <f>IFERROR(VLOOKUP(B364,Products!$A$2:$W$1000,16,0),"")</f>
        <v/>
      </c>
      <c r="W364" s="17" t="str">
        <f t="shared" si="1"/>
        <v>-</v>
      </c>
    </row>
    <row r="365">
      <c r="V365" s="17" t="str">
        <f>IFERROR(VLOOKUP(B365,Products!$A$2:$W$1000,16,0),"")</f>
        <v/>
      </c>
      <c r="W365" s="17" t="str">
        <f t="shared" si="1"/>
        <v>-</v>
      </c>
    </row>
    <row r="366">
      <c r="V366" s="17" t="str">
        <f>IFERROR(VLOOKUP(B366,Products!$A$2:$W$1000,16,0),"")</f>
        <v/>
      </c>
      <c r="W366" s="17" t="str">
        <f t="shared" si="1"/>
        <v>-</v>
      </c>
    </row>
    <row r="367">
      <c r="V367" s="17" t="str">
        <f>IFERROR(VLOOKUP(B367,Products!$A$2:$W$1000,16,0),"")</f>
        <v/>
      </c>
      <c r="W367" s="17" t="str">
        <f t="shared" si="1"/>
        <v>-</v>
      </c>
    </row>
    <row r="368">
      <c r="V368" s="17" t="str">
        <f>IFERROR(VLOOKUP(B368,Products!$A$2:$W$1000,16,0),"")</f>
        <v/>
      </c>
      <c r="W368" s="17" t="str">
        <f t="shared" si="1"/>
        <v>-</v>
      </c>
    </row>
    <row r="369">
      <c r="V369" s="17" t="str">
        <f>IFERROR(VLOOKUP(B369,Products!$A$2:$W$1000,16,0),"")</f>
        <v/>
      </c>
      <c r="W369" s="17" t="str">
        <f t="shared" si="1"/>
        <v>-</v>
      </c>
    </row>
    <row r="370">
      <c r="V370" s="17" t="str">
        <f>IFERROR(VLOOKUP(B370,Products!$A$2:$W$1000,16,0),"")</f>
        <v/>
      </c>
      <c r="W370" s="17" t="str">
        <f t="shared" si="1"/>
        <v>-</v>
      </c>
    </row>
    <row r="371">
      <c r="V371" s="17" t="str">
        <f>IFERROR(VLOOKUP(B371,Products!$A$2:$W$1000,16,0),"")</f>
        <v/>
      </c>
      <c r="W371" s="17" t="str">
        <f t="shared" si="1"/>
        <v>-</v>
      </c>
    </row>
    <row r="372">
      <c r="V372" s="17" t="str">
        <f>IFERROR(VLOOKUP(B372,Products!$A$2:$W$1000,16,0),"")</f>
        <v/>
      </c>
      <c r="W372" s="17" t="str">
        <f t="shared" si="1"/>
        <v>-</v>
      </c>
    </row>
    <row r="373">
      <c r="V373" s="17" t="str">
        <f>IFERROR(VLOOKUP(B373,Products!$A$2:$W$1000,16,0),"")</f>
        <v/>
      </c>
      <c r="W373" s="17" t="str">
        <f t="shared" si="1"/>
        <v>-</v>
      </c>
    </row>
    <row r="374">
      <c r="V374" s="17" t="str">
        <f>IFERROR(VLOOKUP(B374,Products!$A$2:$W$1000,16,0),"")</f>
        <v/>
      </c>
      <c r="W374" s="17" t="str">
        <f t="shared" si="1"/>
        <v>-</v>
      </c>
    </row>
    <row r="375">
      <c r="V375" s="17" t="str">
        <f>IFERROR(VLOOKUP(B375,Products!$A$2:$W$1000,16,0),"")</f>
        <v/>
      </c>
      <c r="W375" s="17" t="str">
        <f t="shared" si="1"/>
        <v>-</v>
      </c>
    </row>
    <row r="376">
      <c r="V376" s="17" t="str">
        <f>IFERROR(VLOOKUP(B376,Products!$A$2:$W$1000,16,0),"")</f>
        <v/>
      </c>
      <c r="W376" s="17" t="str">
        <f t="shared" si="1"/>
        <v>-</v>
      </c>
    </row>
    <row r="377">
      <c r="V377" s="17" t="str">
        <f>IFERROR(VLOOKUP(B377,Products!$A$2:$W$1000,16,0),"")</f>
        <v/>
      </c>
      <c r="W377" s="17" t="str">
        <f t="shared" si="1"/>
        <v>-</v>
      </c>
    </row>
    <row r="378">
      <c r="V378" s="17" t="str">
        <f>IFERROR(VLOOKUP(B378,Products!$A$2:$W$1000,16,0),"")</f>
        <v/>
      </c>
      <c r="W378" s="17" t="str">
        <f t="shared" si="1"/>
        <v>-</v>
      </c>
    </row>
    <row r="379">
      <c r="V379" s="17" t="str">
        <f>IFERROR(VLOOKUP(B379,Products!$A$2:$W$1000,16,0),"")</f>
        <v/>
      </c>
      <c r="W379" s="17" t="str">
        <f t="shared" si="1"/>
        <v>-</v>
      </c>
    </row>
    <row r="380">
      <c r="V380" s="17" t="str">
        <f>IFERROR(VLOOKUP(B380,Products!$A$2:$W$1000,16,0),"")</f>
        <v/>
      </c>
      <c r="W380" s="17" t="str">
        <f t="shared" si="1"/>
        <v>-</v>
      </c>
    </row>
    <row r="381">
      <c r="V381" s="17" t="str">
        <f>IFERROR(VLOOKUP(B381,Products!$A$2:$W$1000,16,0),"")</f>
        <v/>
      </c>
      <c r="W381" s="17" t="str">
        <f t="shared" si="1"/>
        <v>-</v>
      </c>
    </row>
    <row r="382">
      <c r="V382" s="17" t="str">
        <f>IFERROR(VLOOKUP(B382,Products!$A$2:$W$1000,16,0),"")</f>
        <v/>
      </c>
      <c r="W382" s="17" t="str">
        <f t="shared" si="1"/>
        <v>-</v>
      </c>
    </row>
    <row r="383">
      <c r="V383" s="17" t="str">
        <f>IFERROR(VLOOKUP(B383,Products!$A$2:$W$1000,16,0),"")</f>
        <v/>
      </c>
      <c r="W383" s="17" t="str">
        <f t="shared" si="1"/>
        <v>-</v>
      </c>
    </row>
    <row r="384">
      <c r="V384" s="17" t="str">
        <f>IFERROR(VLOOKUP(B384,Products!$A$2:$W$1000,16,0),"")</f>
        <v/>
      </c>
      <c r="W384" s="17" t="str">
        <f t="shared" si="1"/>
        <v>-</v>
      </c>
    </row>
    <row r="385">
      <c r="V385" s="17" t="str">
        <f>IFERROR(VLOOKUP(B385,Products!$A$2:$W$1000,16,0),"")</f>
        <v/>
      </c>
      <c r="W385" s="17" t="str">
        <f t="shared" si="1"/>
        <v>-</v>
      </c>
    </row>
    <row r="386">
      <c r="V386" s="17" t="str">
        <f>IFERROR(VLOOKUP(B386,Products!$A$2:$W$1000,16,0),"")</f>
        <v/>
      </c>
      <c r="W386" s="17" t="str">
        <f t="shared" si="1"/>
        <v>-</v>
      </c>
    </row>
    <row r="387">
      <c r="V387" s="17" t="str">
        <f>IFERROR(VLOOKUP(B387,Products!$A$2:$W$1000,16,0),"")</f>
        <v/>
      </c>
      <c r="W387" s="17" t="str">
        <f t="shared" si="1"/>
        <v>-</v>
      </c>
    </row>
    <row r="388">
      <c r="V388" s="17" t="str">
        <f>IFERROR(VLOOKUP(B388,Products!$A$2:$W$1000,16,0),"")</f>
        <v/>
      </c>
      <c r="W388" s="17" t="str">
        <f t="shared" si="1"/>
        <v>-</v>
      </c>
    </row>
    <row r="389">
      <c r="V389" s="17" t="str">
        <f>IFERROR(VLOOKUP(B389,Products!$A$2:$W$1000,16,0),"")</f>
        <v/>
      </c>
      <c r="W389" s="17" t="str">
        <f t="shared" si="1"/>
        <v>-</v>
      </c>
    </row>
    <row r="390">
      <c r="V390" s="17" t="str">
        <f>IFERROR(VLOOKUP(B390,Products!$A$2:$W$1000,16,0),"")</f>
        <v/>
      </c>
      <c r="W390" s="17" t="str">
        <f t="shared" si="1"/>
        <v>-</v>
      </c>
    </row>
    <row r="391">
      <c r="V391" s="17" t="str">
        <f>IFERROR(VLOOKUP(B391,Products!$A$2:$W$1000,16,0),"")</f>
        <v/>
      </c>
      <c r="W391" s="17" t="str">
        <f t="shared" si="1"/>
        <v>-</v>
      </c>
    </row>
    <row r="392">
      <c r="V392" s="17" t="str">
        <f>IFERROR(VLOOKUP(B392,Products!$A$2:$W$1000,16,0),"")</f>
        <v/>
      </c>
      <c r="W392" s="17" t="str">
        <f t="shared" si="1"/>
        <v>-</v>
      </c>
    </row>
    <row r="393">
      <c r="V393" s="17" t="str">
        <f>IFERROR(VLOOKUP(B393,Products!$A$2:$W$1000,16,0),"")</f>
        <v/>
      </c>
      <c r="W393" s="17" t="str">
        <f t="shared" si="1"/>
        <v>-</v>
      </c>
    </row>
    <row r="394">
      <c r="V394" s="17" t="str">
        <f>IFERROR(VLOOKUP(B394,Products!$A$2:$W$1000,16,0),"")</f>
        <v/>
      </c>
      <c r="W394" s="17" t="str">
        <f t="shared" si="1"/>
        <v>-</v>
      </c>
    </row>
    <row r="395">
      <c r="V395" s="17" t="str">
        <f>IFERROR(VLOOKUP(B395,Products!$A$2:$W$1000,16,0),"")</f>
        <v/>
      </c>
      <c r="W395" s="17" t="str">
        <f t="shared" si="1"/>
        <v>-</v>
      </c>
    </row>
    <row r="396">
      <c r="V396" s="17" t="str">
        <f>IFERROR(VLOOKUP(B396,Products!$A$2:$W$1000,16,0),"")</f>
        <v/>
      </c>
      <c r="W396" s="17" t="str">
        <f t="shared" si="1"/>
        <v>-</v>
      </c>
    </row>
    <row r="397">
      <c r="V397" s="17" t="str">
        <f>IFERROR(VLOOKUP(B397,Products!$A$2:$W$1000,16,0),"")</f>
        <v/>
      </c>
      <c r="W397" s="17" t="str">
        <f t="shared" si="1"/>
        <v>-</v>
      </c>
    </row>
    <row r="398">
      <c r="V398" s="17" t="str">
        <f>IFERROR(VLOOKUP(B398,Products!$A$2:$W$1000,16,0),"")</f>
        <v/>
      </c>
      <c r="W398" s="17" t="str">
        <f t="shared" si="1"/>
        <v>-</v>
      </c>
    </row>
    <row r="399">
      <c r="V399" s="17" t="str">
        <f>IFERROR(VLOOKUP(B399,Products!$A$2:$W$1000,16,0),"")</f>
        <v/>
      </c>
      <c r="W399" s="17" t="str">
        <f t="shared" si="1"/>
        <v>-</v>
      </c>
    </row>
    <row r="400">
      <c r="V400" s="17" t="str">
        <f>IFERROR(VLOOKUP(B400,Products!$A$2:$W$1000,16,0),"")</f>
        <v/>
      </c>
      <c r="W400" s="17" t="str">
        <f t="shared" si="1"/>
        <v>-</v>
      </c>
    </row>
    <row r="401">
      <c r="V401" s="17" t="str">
        <f>IFERROR(VLOOKUP(B401,Products!$A$2:$W$1000,16,0),"")</f>
        <v/>
      </c>
      <c r="W401" s="17" t="str">
        <f t="shared" si="1"/>
        <v>-</v>
      </c>
    </row>
    <row r="402">
      <c r="V402" s="17" t="str">
        <f>IFERROR(VLOOKUP(B402,Products!$A$2:$W$1000,16,0),"")</f>
        <v/>
      </c>
      <c r="W402" s="17" t="str">
        <f t="shared" si="1"/>
        <v>-</v>
      </c>
    </row>
    <row r="403">
      <c r="V403" s="17" t="str">
        <f>IFERROR(VLOOKUP(B403,Products!$A$2:$W$1000,16,0),"")</f>
        <v/>
      </c>
      <c r="W403" s="17" t="str">
        <f t="shared" si="1"/>
        <v>-</v>
      </c>
    </row>
    <row r="404">
      <c r="V404" s="17" t="str">
        <f>IFERROR(VLOOKUP(B404,Products!$A$2:$W$1000,16,0),"")</f>
        <v/>
      </c>
      <c r="W404" s="17" t="str">
        <f t="shared" si="1"/>
        <v>-</v>
      </c>
    </row>
    <row r="405">
      <c r="V405" s="17" t="str">
        <f>IFERROR(VLOOKUP(B405,Products!$A$2:$W$1000,16,0),"")</f>
        <v/>
      </c>
      <c r="W405" s="17" t="str">
        <f t="shared" si="1"/>
        <v>-</v>
      </c>
    </row>
    <row r="406">
      <c r="V406" s="17" t="str">
        <f>IFERROR(VLOOKUP(B406,Products!$A$2:$W$1000,16,0),"")</f>
        <v/>
      </c>
      <c r="W406" s="17" t="str">
        <f t="shared" si="1"/>
        <v>-</v>
      </c>
    </row>
    <row r="407">
      <c r="V407" s="17" t="str">
        <f>IFERROR(VLOOKUP(B407,Products!$A$2:$W$1000,16,0),"")</f>
        <v/>
      </c>
      <c r="W407" s="17" t="str">
        <f t="shared" si="1"/>
        <v>-</v>
      </c>
    </row>
    <row r="408">
      <c r="V408" s="17" t="str">
        <f>IFERROR(VLOOKUP(B408,Products!$A$2:$W$1000,16,0),"")</f>
        <v/>
      </c>
      <c r="W408" s="17" t="str">
        <f t="shared" si="1"/>
        <v>-</v>
      </c>
    </row>
    <row r="409">
      <c r="V409" s="17" t="str">
        <f>IFERROR(VLOOKUP(B409,Products!$A$2:$W$1000,16,0),"")</f>
        <v/>
      </c>
      <c r="W409" s="17" t="str">
        <f t="shared" si="1"/>
        <v>-</v>
      </c>
    </row>
    <row r="410">
      <c r="V410" s="17" t="str">
        <f>IFERROR(VLOOKUP(B410,Products!$A$2:$W$1000,16,0),"")</f>
        <v/>
      </c>
      <c r="W410" s="17" t="str">
        <f t="shared" si="1"/>
        <v>-</v>
      </c>
    </row>
    <row r="411">
      <c r="V411" s="17" t="str">
        <f>IFERROR(VLOOKUP(B411,Products!$A$2:$W$1000,16,0),"")</f>
        <v/>
      </c>
      <c r="W411" s="17" t="str">
        <f t="shared" si="1"/>
        <v>-</v>
      </c>
    </row>
    <row r="412">
      <c r="V412" s="17" t="str">
        <f>IFERROR(VLOOKUP(B412,Products!$A$2:$W$1000,16,0),"")</f>
        <v/>
      </c>
      <c r="W412" s="17" t="str">
        <f t="shared" si="1"/>
        <v>-</v>
      </c>
    </row>
    <row r="413">
      <c r="V413" s="17" t="str">
        <f>IFERROR(VLOOKUP(B413,Products!$A$2:$W$1000,16,0),"")</f>
        <v/>
      </c>
      <c r="W413" s="17" t="str">
        <f t="shared" si="1"/>
        <v>-</v>
      </c>
    </row>
    <row r="414">
      <c r="V414" s="17" t="str">
        <f>IFERROR(VLOOKUP(B414,Products!$A$2:$W$1000,16,0),"")</f>
        <v/>
      </c>
      <c r="W414" s="17" t="str">
        <f t="shared" si="1"/>
        <v>-</v>
      </c>
    </row>
    <row r="415">
      <c r="V415" s="17" t="str">
        <f>IFERROR(VLOOKUP(B415,Products!$A$2:$W$1000,16,0),"")</f>
        <v/>
      </c>
      <c r="W415" s="17" t="str">
        <f t="shared" si="1"/>
        <v>-</v>
      </c>
    </row>
    <row r="416">
      <c r="V416" s="17" t="str">
        <f>IFERROR(VLOOKUP(B416,Products!$A$2:$W$1000,16,0),"")</f>
        <v/>
      </c>
      <c r="W416" s="17" t="str">
        <f t="shared" si="1"/>
        <v>-</v>
      </c>
    </row>
    <row r="417">
      <c r="V417" s="17" t="str">
        <f>IFERROR(VLOOKUP(B417,Products!$A$2:$W$1000,16,0),"")</f>
        <v/>
      </c>
      <c r="W417" s="17" t="str">
        <f t="shared" si="1"/>
        <v>-</v>
      </c>
    </row>
    <row r="418">
      <c r="V418" s="17" t="str">
        <f>IFERROR(VLOOKUP(B418,Products!$A$2:$W$1000,16,0),"")</f>
        <v/>
      </c>
      <c r="W418" s="17" t="str">
        <f t="shared" si="1"/>
        <v>-</v>
      </c>
    </row>
    <row r="419">
      <c r="V419" s="17" t="str">
        <f>IFERROR(VLOOKUP(B419,Products!$A$2:$W$1000,16,0),"")</f>
        <v/>
      </c>
      <c r="W419" s="17" t="str">
        <f t="shared" si="1"/>
        <v>-</v>
      </c>
    </row>
    <row r="420">
      <c r="V420" s="17" t="str">
        <f>IFERROR(VLOOKUP(B420,Products!$A$2:$W$1000,16,0),"")</f>
        <v/>
      </c>
      <c r="W420" s="17" t="str">
        <f t="shared" si="1"/>
        <v>-</v>
      </c>
    </row>
    <row r="421">
      <c r="V421" s="17" t="str">
        <f>IFERROR(VLOOKUP(B421,Products!$A$2:$W$1000,16,0),"")</f>
        <v/>
      </c>
      <c r="W421" s="17" t="str">
        <f t="shared" si="1"/>
        <v>-</v>
      </c>
    </row>
    <row r="422">
      <c r="V422" s="17" t="str">
        <f>IFERROR(VLOOKUP(B422,Products!$A$2:$W$1000,16,0),"")</f>
        <v/>
      </c>
      <c r="W422" s="17" t="str">
        <f t="shared" si="1"/>
        <v>-</v>
      </c>
    </row>
    <row r="423">
      <c r="V423" s="17" t="str">
        <f>IFERROR(VLOOKUP(B423,Products!$A$2:$W$1000,16,0),"")</f>
        <v/>
      </c>
      <c r="W423" s="17" t="str">
        <f t="shared" si="1"/>
        <v>-</v>
      </c>
    </row>
    <row r="424">
      <c r="V424" s="17" t="str">
        <f>IFERROR(VLOOKUP(B424,Products!$A$2:$W$1000,16,0),"")</f>
        <v/>
      </c>
      <c r="W424" s="17" t="str">
        <f t="shared" si="1"/>
        <v>-</v>
      </c>
    </row>
    <row r="425">
      <c r="V425" s="17" t="str">
        <f>IFERROR(VLOOKUP(B425,Products!$A$2:$W$1000,16,0),"")</f>
        <v/>
      </c>
      <c r="W425" s="17" t="str">
        <f t="shared" si="1"/>
        <v>-</v>
      </c>
    </row>
    <row r="426">
      <c r="V426" s="17" t="str">
        <f>IFERROR(VLOOKUP(B426,Products!$A$2:$W$1000,16,0),"")</f>
        <v/>
      </c>
      <c r="W426" s="17" t="str">
        <f t="shared" si="1"/>
        <v>-</v>
      </c>
    </row>
    <row r="427">
      <c r="V427" s="17" t="str">
        <f>IFERROR(VLOOKUP(B427,Products!$A$2:$W$1000,16,0),"")</f>
        <v/>
      </c>
      <c r="W427" s="17" t="str">
        <f t="shared" si="1"/>
        <v>-</v>
      </c>
    </row>
    <row r="428">
      <c r="V428" s="17" t="str">
        <f>IFERROR(VLOOKUP(B428,Products!$A$2:$W$1000,16,0),"")</f>
        <v/>
      </c>
      <c r="W428" s="17" t="str">
        <f t="shared" si="1"/>
        <v>-</v>
      </c>
    </row>
    <row r="429">
      <c r="V429" s="17" t="str">
        <f>IFERROR(VLOOKUP(B429,Products!$A$2:$W$1000,16,0),"")</f>
        <v/>
      </c>
      <c r="W429" s="17" t="str">
        <f t="shared" si="1"/>
        <v>-</v>
      </c>
    </row>
    <row r="430">
      <c r="V430" s="17" t="str">
        <f>IFERROR(VLOOKUP(B430,Products!$A$2:$W$1000,16,0),"")</f>
        <v/>
      </c>
      <c r="W430" s="17" t="str">
        <f t="shared" si="1"/>
        <v>-</v>
      </c>
    </row>
    <row r="431">
      <c r="V431" s="17" t="str">
        <f>IFERROR(VLOOKUP(B431,Products!$A$2:$W$1000,16,0),"")</f>
        <v/>
      </c>
      <c r="W431" s="17" t="str">
        <f t="shared" si="1"/>
        <v>-</v>
      </c>
    </row>
    <row r="432">
      <c r="V432" s="17" t="str">
        <f>IFERROR(VLOOKUP(B432,Products!$A$2:$W$1000,16,0),"")</f>
        <v/>
      </c>
      <c r="W432" s="17" t="str">
        <f t="shared" si="1"/>
        <v>-</v>
      </c>
    </row>
    <row r="433">
      <c r="V433" s="17" t="str">
        <f>IFERROR(VLOOKUP(B433,Products!$A$2:$W$1000,16,0),"")</f>
        <v/>
      </c>
      <c r="W433" s="17" t="str">
        <f t="shared" si="1"/>
        <v>-</v>
      </c>
    </row>
    <row r="434">
      <c r="V434" s="17" t="str">
        <f>IFERROR(VLOOKUP(B434,Products!$A$2:$W$1000,16,0),"")</f>
        <v/>
      </c>
      <c r="W434" s="17" t="str">
        <f t="shared" si="1"/>
        <v>-</v>
      </c>
    </row>
    <row r="435">
      <c r="V435" s="17" t="str">
        <f>IFERROR(VLOOKUP(B435,Products!$A$2:$W$1000,16,0),"")</f>
        <v/>
      </c>
      <c r="W435" s="17" t="str">
        <f t="shared" si="1"/>
        <v>-</v>
      </c>
    </row>
    <row r="436">
      <c r="V436" s="17" t="str">
        <f>IFERROR(VLOOKUP(B436,Products!$A$2:$W$1000,16,0),"")</f>
        <v/>
      </c>
      <c r="W436" s="17" t="str">
        <f t="shared" si="1"/>
        <v>-</v>
      </c>
    </row>
    <row r="437">
      <c r="V437" s="17" t="str">
        <f>IFERROR(VLOOKUP(B437,Products!$A$2:$W$1000,16,0),"")</f>
        <v/>
      </c>
      <c r="W437" s="17" t="str">
        <f t="shared" si="1"/>
        <v>-</v>
      </c>
    </row>
    <row r="438">
      <c r="V438" s="17" t="str">
        <f>IFERROR(VLOOKUP(B438,Products!$A$2:$W$1000,16,0),"")</f>
        <v/>
      </c>
      <c r="W438" s="17" t="str">
        <f t="shared" si="1"/>
        <v>-</v>
      </c>
    </row>
    <row r="439">
      <c r="V439" s="17" t="str">
        <f>IFERROR(VLOOKUP(B439,Products!$A$2:$W$1000,16,0),"")</f>
        <v/>
      </c>
      <c r="W439" s="17" t="str">
        <f t="shared" si="1"/>
        <v>-</v>
      </c>
    </row>
    <row r="440">
      <c r="V440" s="17" t="str">
        <f>IFERROR(VLOOKUP(B440,Products!$A$2:$W$1000,16,0),"")</f>
        <v/>
      </c>
      <c r="W440" s="17" t="str">
        <f t="shared" si="1"/>
        <v>-</v>
      </c>
    </row>
    <row r="441">
      <c r="V441" s="17" t="str">
        <f>IFERROR(VLOOKUP(B441,Products!$A$2:$W$1000,16,0),"")</f>
        <v/>
      </c>
      <c r="W441" s="17" t="str">
        <f t="shared" si="1"/>
        <v>-</v>
      </c>
    </row>
    <row r="442">
      <c r="V442" s="17" t="str">
        <f>IFERROR(VLOOKUP(B442,Products!$A$2:$W$1000,16,0),"")</f>
        <v/>
      </c>
      <c r="W442" s="17" t="str">
        <f t="shared" si="1"/>
        <v>-</v>
      </c>
    </row>
    <row r="443">
      <c r="V443" s="17" t="str">
        <f>IFERROR(VLOOKUP(B443,Products!$A$2:$W$1000,16,0),"")</f>
        <v/>
      </c>
      <c r="W443" s="17" t="str">
        <f t="shared" si="1"/>
        <v>-</v>
      </c>
    </row>
    <row r="444">
      <c r="V444" s="17" t="str">
        <f>IFERROR(VLOOKUP(B444,Products!$A$2:$W$1000,16,0),"")</f>
        <v/>
      </c>
      <c r="W444" s="17" t="str">
        <f t="shared" si="1"/>
        <v>-</v>
      </c>
    </row>
    <row r="445">
      <c r="V445" s="17" t="str">
        <f>IFERROR(VLOOKUP(B445,Products!$A$2:$W$1000,16,0),"")</f>
        <v/>
      </c>
      <c r="W445" s="17" t="str">
        <f t="shared" si="1"/>
        <v>-</v>
      </c>
    </row>
    <row r="446">
      <c r="V446" s="17" t="str">
        <f>IFERROR(VLOOKUP(B446,Products!$A$2:$W$1000,16,0),"")</f>
        <v/>
      </c>
      <c r="W446" s="17" t="str">
        <f t="shared" si="1"/>
        <v>-</v>
      </c>
    </row>
    <row r="447">
      <c r="V447" s="17" t="str">
        <f>IFERROR(VLOOKUP(B447,Products!$A$2:$W$1000,16,0),"")</f>
        <v/>
      </c>
      <c r="W447" s="17" t="str">
        <f t="shared" si="1"/>
        <v>-</v>
      </c>
    </row>
    <row r="448">
      <c r="V448" s="17" t="str">
        <f>IFERROR(VLOOKUP(B448,Products!$A$2:$W$1000,16,0),"")</f>
        <v/>
      </c>
      <c r="W448" s="17" t="str">
        <f t="shared" si="1"/>
        <v>-</v>
      </c>
    </row>
    <row r="449">
      <c r="V449" s="17" t="str">
        <f>IFERROR(VLOOKUP(B449,Products!$A$2:$W$1000,16,0),"")</f>
        <v/>
      </c>
      <c r="W449" s="17" t="str">
        <f t="shared" si="1"/>
        <v>-</v>
      </c>
    </row>
    <row r="450">
      <c r="V450" s="17" t="str">
        <f>IFERROR(VLOOKUP(B450,Products!$A$2:$W$1000,16,0),"")</f>
        <v/>
      </c>
      <c r="W450" s="17" t="str">
        <f t="shared" si="1"/>
        <v>-</v>
      </c>
    </row>
    <row r="451">
      <c r="V451" s="17" t="str">
        <f>IFERROR(VLOOKUP(B451,Products!$A$2:$W$1000,16,0),"")</f>
        <v/>
      </c>
      <c r="W451" s="17" t="str">
        <f t="shared" si="1"/>
        <v>-</v>
      </c>
    </row>
    <row r="452">
      <c r="V452" s="17" t="str">
        <f>IFERROR(VLOOKUP(B452,Products!$A$2:$W$1000,16,0),"")</f>
        <v/>
      </c>
      <c r="W452" s="17" t="str">
        <f t="shared" si="1"/>
        <v>-</v>
      </c>
    </row>
    <row r="453">
      <c r="V453" s="17" t="str">
        <f>IFERROR(VLOOKUP(B453,Products!$A$2:$W$1000,16,0),"")</f>
        <v/>
      </c>
      <c r="W453" s="17" t="str">
        <f t="shared" si="1"/>
        <v>-</v>
      </c>
    </row>
    <row r="454">
      <c r="V454" s="17" t="str">
        <f>IFERROR(VLOOKUP(B454,Products!$A$2:$W$1000,16,0),"")</f>
        <v/>
      </c>
      <c r="W454" s="17" t="str">
        <f t="shared" si="1"/>
        <v>-</v>
      </c>
    </row>
    <row r="455">
      <c r="V455" s="17" t="str">
        <f>IFERROR(VLOOKUP(B455,Products!$A$2:$W$1000,16,0),"")</f>
        <v/>
      </c>
      <c r="W455" s="17" t="str">
        <f t="shared" si="1"/>
        <v>-</v>
      </c>
    </row>
    <row r="456">
      <c r="V456" s="17" t="str">
        <f>IFERROR(VLOOKUP(B456,Products!$A$2:$W$1000,16,0),"")</f>
        <v/>
      </c>
      <c r="W456" s="17" t="str">
        <f t="shared" si="1"/>
        <v>-</v>
      </c>
    </row>
    <row r="457">
      <c r="V457" s="17" t="str">
        <f>IFERROR(VLOOKUP(B457,Products!$A$2:$W$1000,16,0),"")</f>
        <v/>
      </c>
      <c r="W457" s="17" t="str">
        <f t="shared" si="1"/>
        <v>-</v>
      </c>
    </row>
    <row r="458">
      <c r="V458" s="17" t="str">
        <f>IFERROR(VLOOKUP(B458,Products!$A$2:$W$1000,16,0),"")</f>
        <v/>
      </c>
      <c r="W458" s="17" t="str">
        <f t="shared" si="1"/>
        <v>-</v>
      </c>
    </row>
    <row r="459">
      <c r="V459" s="17" t="str">
        <f>IFERROR(VLOOKUP(B459,Products!$A$2:$W$1000,16,0),"")</f>
        <v/>
      </c>
      <c r="W459" s="17" t="str">
        <f t="shared" si="1"/>
        <v>-</v>
      </c>
    </row>
    <row r="460">
      <c r="V460" s="17" t="str">
        <f>IFERROR(VLOOKUP(B460,Products!$A$2:$W$1000,16,0),"")</f>
        <v/>
      </c>
      <c r="W460" s="17" t="str">
        <f t="shared" si="1"/>
        <v>-</v>
      </c>
    </row>
    <row r="461">
      <c r="V461" s="17" t="str">
        <f>IFERROR(VLOOKUP(B461,Products!$A$2:$W$1000,16,0),"")</f>
        <v/>
      </c>
      <c r="W461" s="17" t="str">
        <f t="shared" si="1"/>
        <v>-</v>
      </c>
    </row>
    <row r="462">
      <c r="V462" s="17" t="str">
        <f>IFERROR(VLOOKUP(B462,Products!$A$2:$W$1000,16,0),"")</f>
        <v/>
      </c>
      <c r="W462" s="17" t="str">
        <f t="shared" si="1"/>
        <v>-</v>
      </c>
    </row>
    <row r="463">
      <c r="V463" s="17" t="str">
        <f>IFERROR(VLOOKUP(B463,Products!$A$2:$W$1000,16,0),"")</f>
        <v/>
      </c>
      <c r="W463" s="17" t="str">
        <f t="shared" si="1"/>
        <v>-</v>
      </c>
    </row>
    <row r="464">
      <c r="V464" s="17" t="str">
        <f>IFERROR(VLOOKUP(B464,Products!$A$2:$W$1000,16,0),"")</f>
        <v/>
      </c>
      <c r="W464" s="17" t="str">
        <f t="shared" si="1"/>
        <v>-</v>
      </c>
    </row>
    <row r="465">
      <c r="V465" s="17" t="str">
        <f>IFERROR(VLOOKUP(B465,Products!$A$2:$W$1000,16,0),"")</f>
        <v/>
      </c>
      <c r="W465" s="17" t="str">
        <f t="shared" si="1"/>
        <v>-</v>
      </c>
    </row>
    <row r="466">
      <c r="V466" s="17" t="str">
        <f>IFERROR(VLOOKUP(B466,Products!$A$2:$W$1000,16,0),"")</f>
        <v/>
      </c>
      <c r="W466" s="17" t="str">
        <f t="shared" si="1"/>
        <v>-</v>
      </c>
    </row>
    <row r="467">
      <c r="V467" s="17" t="str">
        <f>IFERROR(VLOOKUP(B467,Products!$A$2:$W$1000,16,0),"")</f>
        <v/>
      </c>
      <c r="W467" s="17" t="str">
        <f t="shared" si="1"/>
        <v>-</v>
      </c>
    </row>
    <row r="468">
      <c r="V468" s="17" t="str">
        <f>IFERROR(VLOOKUP(B468,Products!$A$2:$W$1000,16,0),"")</f>
        <v/>
      </c>
      <c r="W468" s="17" t="str">
        <f t="shared" si="1"/>
        <v>-</v>
      </c>
    </row>
    <row r="469">
      <c r="V469" s="17" t="str">
        <f>IFERROR(VLOOKUP(B469,Products!$A$2:$W$1000,16,0),"")</f>
        <v/>
      </c>
      <c r="W469" s="17" t="str">
        <f t="shared" si="1"/>
        <v>-</v>
      </c>
    </row>
    <row r="470">
      <c r="V470" s="17" t="str">
        <f>IFERROR(VLOOKUP(B470,Products!$A$2:$W$1000,16,0),"")</f>
        <v/>
      </c>
      <c r="W470" s="17" t="str">
        <f t="shared" si="1"/>
        <v>-</v>
      </c>
    </row>
    <row r="471">
      <c r="V471" s="17" t="str">
        <f>IFERROR(VLOOKUP(B471,Products!$A$2:$W$1000,16,0),"")</f>
        <v/>
      </c>
      <c r="W471" s="17" t="str">
        <f t="shared" si="1"/>
        <v>-</v>
      </c>
    </row>
    <row r="472">
      <c r="V472" s="17" t="str">
        <f>IFERROR(VLOOKUP(B472,Products!$A$2:$W$1000,16,0),"")</f>
        <v/>
      </c>
      <c r="W472" s="17" t="str">
        <f t="shared" si="1"/>
        <v>-</v>
      </c>
    </row>
    <row r="473">
      <c r="V473" s="17" t="str">
        <f>IFERROR(VLOOKUP(B473,Products!$A$2:$W$1000,16,0),"")</f>
        <v/>
      </c>
      <c r="W473" s="17" t="str">
        <f t="shared" si="1"/>
        <v>-</v>
      </c>
    </row>
    <row r="474">
      <c r="V474" s="17" t="str">
        <f>IFERROR(VLOOKUP(B474,Products!$A$2:$W$1000,16,0),"")</f>
        <v/>
      </c>
      <c r="W474" s="17" t="str">
        <f t="shared" si="1"/>
        <v>-</v>
      </c>
    </row>
    <row r="475">
      <c r="V475" s="17" t="str">
        <f>IFERROR(VLOOKUP(B475,Products!$A$2:$W$1000,16,0),"")</f>
        <v/>
      </c>
      <c r="W475" s="17" t="str">
        <f t="shared" si="1"/>
        <v>-</v>
      </c>
    </row>
    <row r="476">
      <c r="V476" s="17" t="str">
        <f>IFERROR(VLOOKUP(B476,Products!$A$2:$W$1000,16,0),"")</f>
        <v/>
      </c>
      <c r="W476" s="17" t="str">
        <f t="shared" si="1"/>
        <v>-</v>
      </c>
    </row>
    <row r="477">
      <c r="V477" s="17" t="str">
        <f>IFERROR(VLOOKUP(B477,Products!$A$2:$W$1000,16,0),"")</f>
        <v/>
      </c>
      <c r="W477" s="17" t="str">
        <f t="shared" si="1"/>
        <v>-</v>
      </c>
    </row>
    <row r="478">
      <c r="V478" s="17" t="str">
        <f>IFERROR(VLOOKUP(B478,Products!$A$2:$W$1000,16,0),"")</f>
        <v/>
      </c>
      <c r="W478" s="17" t="str">
        <f t="shared" si="1"/>
        <v>-</v>
      </c>
    </row>
    <row r="479">
      <c r="V479" s="17" t="str">
        <f>IFERROR(VLOOKUP(B479,Products!$A$2:$W$1000,16,0),"")</f>
        <v/>
      </c>
      <c r="W479" s="17" t="str">
        <f t="shared" si="1"/>
        <v>-</v>
      </c>
    </row>
    <row r="480">
      <c r="V480" s="17" t="str">
        <f>IFERROR(VLOOKUP(B480,Products!$A$2:$W$1000,16,0),"")</f>
        <v/>
      </c>
      <c r="W480" s="17" t="str">
        <f t="shared" si="1"/>
        <v>-</v>
      </c>
    </row>
    <row r="481">
      <c r="V481" s="17" t="str">
        <f>IFERROR(VLOOKUP(B481,Products!$A$2:$W$1000,16,0),"")</f>
        <v/>
      </c>
      <c r="W481" s="17" t="str">
        <f t="shared" si="1"/>
        <v>-</v>
      </c>
    </row>
    <row r="482">
      <c r="V482" s="17" t="str">
        <f>IFERROR(VLOOKUP(B482,Products!$A$2:$W$1000,16,0),"")</f>
        <v/>
      </c>
      <c r="W482" s="17" t="str">
        <f t="shared" si="1"/>
        <v>-</v>
      </c>
    </row>
    <row r="483">
      <c r="V483" s="17" t="str">
        <f>IFERROR(VLOOKUP(B483,Products!$A$2:$W$1000,16,0),"")</f>
        <v/>
      </c>
      <c r="W483" s="17" t="str">
        <f t="shared" si="1"/>
        <v>-</v>
      </c>
    </row>
    <row r="484">
      <c r="V484" s="17" t="str">
        <f>IFERROR(VLOOKUP(B484,Products!$A$2:$W$1000,16,0),"")</f>
        <v/>
      </c>
      <c r="W484" s="17" t="str">
        <f t="shared" si="1"/>
        <v>-</v>
      </c>
    </row>
    <row r="485">
      <c r="V485" s="17" t="str">
        <f>IFERROR(VLOOKUP(B485,Products!$A$2:$W$1000,16,0),"")</f>
        <v/>
      </c>
      <c r="W485" s="17" t="str">
        <f t="shared" si="1"/>
        <v>-</v>
      </c>
    </row>
    <row r="486">
      <c r="V486" s="17" t="str">
        <f>IFERROR(VLOOKUP(B486,Products!$A$2:$W$1000,16,0),"")</f>
        <v/>
      </c>
      <c r="W486" s="17" t="str">
        <f t="shared" si="1"/>
        <v>-</v>
      </c>
    </row>
    <row r="487">
      <c r="V487" s="17" t="str">
        <f>IFERROR(VLOOKUP(B487,Products!$A$2:$W$1000,16,0),"")</f>
        <v/>
      </c>
      <c r="W487" s="17" t="str">
        <f t="shared" si="1"/>
        <v>-</v>
      </c>
    </row>
    <row r="488">
      <c r="V488" s="17" t="str">
        <f>IFERROR(VLOOKUP(B488,Products!$A$2:$W$1000,16,0),"")</f>
        <v/>
      </c>
      <c r="W488" s="17" t="str">
        <f t="shared" si="1"/>
        <v>-</v>
      </c>
    </row>
    <row r="489">
      <c r="V489" s="17" t="str">
        <f>IFERROR(VLOOKUP(B489,Products!$A$2:$W$1000,16,0),"")</f>
        <v/>
      </c>
      <c r="W489" s="17" t="str">
        <f t="shared" si="1"/>
        <v>-</v>
      </c>
    </row>
    <row r="490">
      <c r="V490" s="17" t="str">
        <f>IFERROR(VLOOKUP(B490,Products!$A$2:$W$1000,16,0),"")</f>
        <v/>
      </c>
      <c r="W490" s="17" t="str">
        <f t="shared" si="1"/>
        <v>-</v>
      </c>
    </row>
    <row r="491">
      <c r="V491" s="17" t="str">
        <f>IFERROR(VLOOKUP(B491,Products!$A$2:$W$1000,16,0),"")</f>
        <v/>
      </c>
      <c r="W491" s="17" t="str">
        <f t="shared" si="1"/>
        <v>-</v>
      </c>
    </row>
    <row r="492">
      <c r="V492" s="17" t="str">
        <f>IFERROR(VLOOKUP(B492,Products!$A$2:$W$1000,16,0),"")</f>
        <v/>
      </c>
      <c r="W492" s="17" t="str">
        <f t="shared" si="1"/>
        <v>-</v>
      </c>
    </row>
    <row r="493">
      <c r="V493" s="17" t="str">
        <f>IFERROR(VLOOKUP(B493,Products!$A$2:$W$1000,16,0),"")</f>
        <v/>
      </c>
      <c r="W493" s="17" t="str">
        <f t="shared" si="1"/>
        <v>-</v>
      </c>
    </row>
    <row r="494">
      <c r="V494" s="17" t="str">
        <f>IFERROR(VLOOKUP(B494,Products!$A$2:$W$1000,16,0),"")</f>
        <v/>
      </c>
      <c r="W494" s="17" t="str">
        <f t="shared" si="1"/>
        <v>-</v>
      </c>
    </row>
    <row r="495">
      <c r="V495" s="17" t="str">
        <f>IFERROR(VLOOKUP(B495,Products!$A$2:$W$1000,16,0),"")</f>
        <v/>
      </c>
      <c r="W495" s="17" t="str">
        <f t="shared" si="1"/>
        <v>-</v>
      </c>
    </row>
    <row r="496">
      <c r="V496" s="17" t="str">
        <f>IFERROR(VLOOKUP(B496,Products!$A$2:$W$1000,16,0),"")</f>
        <v/>
      </c>
      <c r="W496" s="17" t="str">
        <f t="shared" si="1"/>
        <v>-</v>
      </c>
    </row>
    <row r="497">
      <c r="V497" s="17" t="str">
        <f>IFERROR(VLOOKUP(B497,Products!$A$2:$W$1000,16,0),"")</f>
        <v/>
      </c>
      <c r="W497" s="17" t="str">
        <f t="shared" si="1"/>
        <v>-</v>
      </c>
    </row>
    <row r="498">
      <c r="V498" s="17" t="str">
        <f>IFERROR(VLOOKUP(B498,Products!$A$2:$W$1000,16,0),"")</f>
        <v/>
      </c>
      <c r="W498" s="17" t="str">
        <f t="shared" si="1"/>
        <v>-</v>
      </c>
    </row>
    <row r="499">
      <c r="V499" s="17" t="str">
        <f>IFERROR(VLOOKUP(B499,Products!$A$2:$W$1000,16,0),"")</f>
        <v/>
      </c>
      <c r="W499" s="17" t="str">
        <f t="shared" si="1"/>
        <v>-</v>
      </c>
    </row>
    <row r="500">
      <c r="V500" s="17" t="str">
        <f>IFERROR(VLOOKUP(B500,Products!$A$2:$W$1000,16,0),"")</f>
        <v/>
      </c>
      <c r="W500" s="17" t="str">
        <f t="shared" si="1"/>
        <v>-</v>
      </c>
    </row>
    <row r="501">
      <c r="V501" s="17" t="str">
        <f>IFERROR(VLOOKUP(B501,Products!$A$2:$W$1000,16,0),"")</f>
        <v/>
      </c>
      <c r="W501" s="17" t="str">
        <f t="shared" si="1"/>
        <v>-</v>
      </c>
    </row>
    <row r="502">
      <c r="V502" s="17" t="str">
        <f>IFERROR(VLOOKUP(B502,Products!$A$2:$W$1000,16,0),"")</f>
        <v/>
      </c>
      <c r="W502" s="17" t="str">
        <f t="shared" si="1"/>
        <v>-</v>
      </c>
    </row>
    <row r="503">
      <c r="V503" s="17" t="str">
        <f>IFERROR(VLOOKUP(B503,Products!$A$2:$W$1000,16,0),"")</f>
        <v/>
      </c>
      <c r="W503" s="17" t="str">
        <f t="shared" si="1"/>
        <v>-</v>
      </c>
    </row>
    <row r="504">
      <c r="V504" s="17" t="str">
        <f>IFERROR(VLOOKUP(B504,Products!$A$2:$W$1000,16,0),"")</f>
        <v/>
      </c>
      <c r="W504" s="17" t="str">
        <f t="shared" si="1"/>
        <v>-</v>
      </c>
    </row>
    <row r="505">
      <c r="V505" s="17" t="str">
        <f>IFERROR(VLOOKUP(B505,Products!$A$2:$W$1000,16,0),"")</f>
        <v/>
      </c>
      <c r="W505" s="17" t="str">
        <f t="shared" si="1"/>
        <v>-</v>
      </c>
    </row>
    <row r="506">
      <c r="V506" s="17" t="str">
        <f>IFERROR(VLOOKUP(B506,Products!$A$2:$W$1000,16,0),"")</f>
        <v/>
      </c>
      <c r="W506" s="17" t="str">
        <f t="shared" si="1"/>
        <v>-</v>
      </c>
    </row>
    <row r="507">
      <c r="V507" s="17" t="str">
        <f>IFERROR(VLOOKUP(B507,Products!$A$2:$W$1000,16,0),"")</f>
        <v/>
      </c>
      <c r="W507" s="17" t="str">
        <f t="shared" si="1"/>
        <v>-</v>
      </c>
    </row>
    <row r="508">
      <c r="V508" s="17" t="str">
        <f>IFERROR(VLOOKUP(B508,Products!$A$2:$W$1000,16,0),"")</f>
        <v/>
      </c>
      <c r="W508" s="17" t="str">
        <f t="shared" si="1"/>
        <v>-</v>
      </c>
    </row>
    <row r="509">
      <c r="V509" s="17" t="str">
        <f>IFERROR(VLOOKUP(B509,Products!$A$2:$W$1000,16,0),"")</f>
        <v/>
      </c>
      <c r="W509" s="17" t="str">
        <f t="shared" si="1"/>
        <v>-</v>
      </c>
    </row>
    <row r="510">
      <c r="V510" s="17" t="str">
        <f>IFERROR(VLOOKUP(B510,Products!$A$2:$W$1000,16,0),"")</f>
        <v/>
      </c>
      <c r="W510" s="17" t="str">
        <f t="shared" si="1"/>
        <v>-</v>
      </c>
    </row>
    <row r="511">
      <c r="V511" s="17" t="str">
        <f>IFERROR(VLOOKUP(B511,Products!$A$2:$W$1000,16,0),"")</f>
        <v/>
      </c>
      <c r="W511" s="17" t="str">
        <f t="shared" si="1"/>
        <v>-</v>
      </c>
    </row>
    <row r="512">
      <c r="V512" s="17" t="str">
        <f>IFERROR(VLOOKUP(B512,Products!$A$2:$W$1000,16,0),"")</f>
        <v/>
      </c>
      <c r="W512" s="17" t="str">
        <f t="shared" si="1"/>
        <v>-</v>
      </c>
    </row>
    <row r="513">
      <c r="V513" s="17" t="str">
        <f>IFERROR(VLOOKUP(B513,Products!$A$2:$W$1000,16,0),"")</f>
        <v/>
      </c>
      <c r="W513" s="17" t="str">
        <f t="shared" si="1"/>
        <v>-</v>
      </c>
    </row>
    <row r="514">
      <c r="V514" s="17" t="str">
        <f>IFERROR(VLOOKUP(B514,Products!$A$2:$W$1000,16,0),"")</f>
        <v/>
      </c>
      <c r="W514" s="17" t="str">
        <f t="shared" si="1"/>
        <v>-</v>
      </c>
    </row>
    <row r="515">
      <c r="V515" s="17" t="str">
        <f>IFERROR(VLOOKUP(B515,Products!$A$2:$W$1000,16,0),"")</f>
        <v/>
      </c>
      <c r="W515" s="17" t="str">
        <f t="shared" si="1"/>
        <v>-</v>
      </c>
    </row>
    <row r="516">
      <c r="V516" s="17" t="str">
        <f>IFERROR(VLOOKUP(B516,Products!$A$2:$W$1000,16,0),"")</f>
        <v/>
      </c>
      <c r="W516" s="17" t="str">
        <f t="shared" si="1"/>
        <v>-</v>
      </c>
    </row>
    <row r="517">
      <c r="V517" s="17" t="str">
        <f>IFERROR(VLOOKUP(B517,Products!$A$2:$W$1000,16,0),"")</f>
        <v/>
      </c>
      <c r="W517" s="17" t="str">
        <f t="shared" si="1"/>
        <v>-</v>
      </c>
    </row>
    <row r="518">
      <c r="V518" s="17" t="str">
        <f>IFERROR(VLOOKUP(B518,Products!$A$2:$W$1000,16,0),"")</f>
        <v/>
      </c>
      <c r="W518" s="17" t="str">
        <f t="shared" si="1"/>
        <v>-</v>
      </c>
    </row>
    <row r="519">
      <c r="V519" s="17" t="str">
        <f>IFERROR(VLOOKUP(B519,Products!$A$2:$W$1000,16,0),"")</f>
        <v/>
      </c>
      <c r="W519" s="17" t="str">
        <f t="shared" si="1"/>
        <v>-</v>
      </c>
    </row>
    <row r="520">
      <c r="V520" s="17" t="str">
        <f>IFERROR(VLOOKUP(B520,Products!$A$2:$W$1000,16,0),"")</f>
        <v/>
      </c>
      <c r="W520" s="17" t="str">
        <f t="shared" si="1"/>
        <v>-</v>
      </c>
    </row>
    <row r="521">
      <c r="V521" s="17" t="str">
        <f>IFERROR(VLOOKUP(B521,Products!$A$2:$W$1000,16,0),"")</f>
        <v/>
      </c>
      <c r="W521" s="17" t="str">
        <f t="shared" si="1"/>
        <v>-</v>
      </c>
    </row>
    <row r="522">
      <c r="V522" s="17" t="str">
        <f>IFERROR(VLOOKUP(B522,Products!$A$2:$W$1000,16,0),"")</f>
        <v/>
      </c>
      <c r="W522" s="17" t="str">
        <f t="shared" si="1"/>
        <v>-</v>
      </c>
    </row>
    <row r="523">
      <c r="V523" s="17" t="str">
        <f>IFERROR(VLOOKUP(B523,Products!$A$2:$W$1000,16,0),"")</f>
        <v/>
      </c>
      <c r="W523" s="17" t="str">
        <f t="shared" si="1"/>
        <v>-</v>
      </c>
    </row>
    <row r="524">
      <c r="V524" s="17" t="str">
        <f>IFERROR(VLOOKUP(B524,Products!$A$2:$W$1000,16,0),"")</f>
        <v/>
      </c>
      <c r="W524" s="17" t="str">
        <f t="shared" si="1"/>
        <v>-</v>
      </c>
    </row>
    <row r="525">
      <c r="V525" s="17" t="str">
        <f>IFERROR(VLOOKUP(B525,Products!$A$2:$W$1000,16,0),"")</f>
        <v/>
      </c>
      <c r="W525" s="17" t="str">
        <f t="shared" si="1"/>
        <v>-</v>
      </c>
    </row>
    <row r="526">
      <c r="V526" s="17" t="str">
        <f>IFERROR(VLOOKUP(B526,Products!$A$2:$W$1000,16,0),"")</f>
        <v/>
      </c>
      <c r="W526" s="17" t="str">
        <f t="shared" si="1"/>
        <v>-</v>
      </c>
    </row>
    <row r="527">
      <c r="V527" s="17" t="str">
        <f>IFERROR(VLOOKUP(B527,Products!$A$2:$W$1000,16,0),"")</f>
        <v/>
      </c>
      <c r="W527" s="17" t="str">
        <f t="shared" si="1"/>
        <v>-</v>
      </c>
    </row>
    <row r="528">
      <c r="V528" s="17" t="str">
        <f>IFERROR(VLOOKUP(B528,Products!$A$2:$W$1000,16,0),"")</f>
        <v/>
      </c>
      <c r="W528" s="17" t="str">
        <f t="shared" si="1"/>
        <v>-</v>
      </c>
    </row>
    <row r="529">
      <c r="V529" s="17" t="str">
        <f>IFERROR(VLOOKUP(B529,Products!$A$2:$W$1000,16,0),"")</f>
        <v/>
      </c>
      <c r="W529" s="17" t="str">
        <f t="shared" si="1"/>
        <v>-</v>
      </c>
    </row>
    <row r="530">
      <c r="V530" s="17" t="str">
        <f>IFERROR(VLOOKUP(B530,Products!$A$2:$W$1000,16,0),"")</f>
        <v/>
      </c>
      <c r="W530" s="17" t="str">
        <f t="shared" si="1"/>
        <v>-</v>
      </c>
    </row>
    <row r="531">
      <c r="V531" s="17" t="str">
        <f>IFERROR(VLOOKUP(B531,Products!$A$2:$W$1000,16,0),"")</f>
        <v/>
      </c>
      <c r="W531" s="17" t="str">
        <f t="shared" si="1"/>
        <v>-</v>
      </c>
    </row>
    <row r="532">
      <c r="V532" s="17" t="str">
        <f>IFERROR(VLOOKUP(B532,Products!$A$2:$W$1000,16,0),"")</f>
        <v/>
      </c>
      <c r="W532" s="17" t="str">
        <f t="shared" si="1"/>
        <v>-</v>
      </c>
    </row>
    <row r="533">
      <c r="V533" s="17" t="str">
        <f>IFERROR(VLOOKUP(B533,Products!$A$2:$W$1000,16,0),"")</f>
        <v/>
      </c>
      <c r="W533" s="17" t="str">
        <f t="shared" si="1"/>
        <v>-</v>
      </c>
    </row>
    <row r="534">
      <c r="V534" s="17" t="str">
        <f>IFERROR(VLOOKUP(B534,Products!$A$2:$W$1000,16,0),"")</f>
        <v/>
      </c>
      <c r="W534" s="17" t="str">
        <f t="shared" si="1"/>
        <v>-</v>
      </c>
    </row>
    <row r="535">
      <c r="V535" s="17" t="str">
        <f>IFERROR(VLOOKUP(B535,Products!$A$2:$W$1000,16,0),"")</f>
        <v/>
      </c>
      <c r="W535" s="17" t="str">
        <f t="shared" si="1"/>
        <v>-</v>
      </c>
    </row>
    <row r="536">
      <c r="V536" s="17" t="str">
        <f>IFERROR(VLOOKUP(B536,Products!$A$2:$W$1000,16,0),"")</f>
        <v/>
      </c>
      <c r="W536" s="17" t="str">
        <f t="shared" si="1"/>
        <v>-</v>
      </c>
    </row>
    <row r="537">
      <c r="V537" s="17" t="str">
        <f>IFERROR(VLOOKUP(B537,Products!$A$2:$W$1000,16,0),"")</f>
        <v/>
      </c>
      <c r="W537" s="17" t="str">
        <f t="shared" si="1"/>
        <v>-</v>
      </c>
    </row>
    <row r="538">
      <c r="V538" s="17" t="str">
        <f>IFERROR(VLOOKUP(B538,Products!$A$2:$W$1000,16,0),"")</f>
        <v/>
      </c>
      <c r="W538" s="17" t="str">
        <f t="shared" si="1"/>
        <v>-</v>
      </c>
    </row>
    <row r="539">
      <c r="V539" s="17" t="str">
        <f>IFERROR(VLOOKUP(B539,Products!$A$2:$W$1000,16,0),"")</f>
        <v/>
      </c>
      <c r="W539" s="17" t="str">
        <f t="shared" si="1"/>
        <v>-</v>
      </c>
    </row>
    <row r="540">
      <c r="V540" s="17" t="str">
        <f>IFERROR(VLOOKUP(B540,Products!$A$2:$W$1000,16,0),"")</f>
        <v/>
      </c>
      <c r="W540" s="17" t="str">
        <f t="shared" si="1"/>
        <v>-</v>
      </c>
    </row>
    <row r="541">
      <c r="V541" s="17" t="str">
        <f>IFERROR(VLOOKUP(B541,Products!$A$2:$W$1000,16,0),"")</f>
        <v/>
      </c>
      <c r="W541" s="17" t="str">
        <f t="shared" si="1"/>
        <v>-</v>
      </c>
    </row>
    <row r="542">
      <c r="V542" s="17" t="str">
        <f>IFERROR(VLOOKUP(B542,Products!$A$2:$W$1000,16,0),"")</f>
        <v/>
      </c>
      <c r="W542" s="17" t="str">
        <f t="shared" si="1"/>
        <v>-</v>
      </c>
    </row>
    <row r="543">
      <c r="V543" s="17" t="str">
        <f>IFERROR(VLOOKUP(B543,Products!$A$2:$W$1000,16,0),"")</f>
        <v/>
      </c>
      <c r="W543" s="17" t="str">
        <f t="shared" si="1"/>
        <v>-</v>
      </c>
    </row>
    <row r="544">
      <c r="V544" s="17" t="str">
        <f>IFERROR(VLOOKUP(B544,Products!$A$2:$W$1000,16,0),"")</f>
        <v/>
      </c>
      <c r="W544" s="17" t="str">
        <f t="shared" si="1"/>
        <v>-</v>
      </c>
    </row>
    <row r="545">
      <c r="V545" s="17" t="str">
        <f>IFERROR(VLOOKUP(B545,Products!$A$2:$W$1000,16,0),"")</f>
        <v/>
      </c>
      <c r="W545" s="17" t="str">
        <f t="shared" si="1"/>
        <v>-</v>
      </c>
    </row>
    <row r="546">
      <c r="V546" s="17" t="str">
        <f>IFERROR(VLOOKUP(B546,Products!$A$2:$W$1000,16,0),"")</f>
        <v/>
      </c>
      <c r="W546" s="17" t="str">
        <f t="shared" si="1"/>
        <v>-</v>
      </c>
    </row>
    <row r="547">
      <c r="V547" s="17" t="str">
        <f>IFERROR(VLOOKUP(B547,Products!$A$2:$W$1000,16,0),"")</f>
        <v/>
      </c>
      <c r="W547" s="17" t="str">
        <f t="shared" si="1"/>
        <v>-</v>
      </c>
    </row>
    <row r="548">
      <c r="V548" s="17" t="str">
        <f>IFERROR(VLOOKUP(B548,Products!$A$2:$W$1000,16,0),"")</f>
        <v/>
      </c>
      <c r="W548" s="17" t="str">
        <f t="shared" si="1"/>
        <v>-</v>
      </c>
    </row>
    <row r="549">
      <c r="V549" s="17" t="str">
        <f>IFERROR(VLOOKUP(B549,Products!$A$2:$W$1000,16,0),"")</f>
        <v/>
      </c>
      <c r="W549" s="17" t="str">
        <f t="shared" si="1"/>
        <v>-</v>
      </c>
    </row>
    <row r="550">
      <c r="V550" s="17" t="str">
        <f>IFERROR(VLOOKUP(B550,Products!$A$2:$W$1000,16,0),"")</f>
        <v/>
      </c>
      <c r="W550" s="17" t="str">
        <f t="shared" si="1"/>
        <v>-</v>
      </c>
    </row>
    <row r="551">
      <c r="V551" s="17" t="str">
        <f>IFERROR(VLOOKUP(B551,Products!$A$2:$W$1000,16,0),"")</f>
        <v/>
      </c>
      <c r="W551" s="17" t="str">
        <f t="shared" si="1"/>
        <v>-</v>
      </c>
    </row>
    <row r="552">
      <c r="V552" s="17" t="str">
        <f>IFERROR(VLOOKUP(B552,Products!$A$2:$W$1000,16,0),"")</f>
        <v/>
      </c>
      <c r="W552" s="17" t="str">
        <f t="shared" si="1"/>
        <v>-</v>
      </c>
    </row>
    <row r="553">
      <c r="V553" s="17" t="str">
        <f>IFERROR(VLOOKUP(B553,Products!$A$2:$W$1000,16,0),"")</f>
        <v/>
      </c>
      <c r="W553" s="17" t="str">
        <f t="shared" si="1"/>
        <v>-</v>
      </c>
    </row>
    <row r="554">
      <c r="V554" s="17" t="str">
        <f>IFERROR(VLOOKUP(B554,Products!$A$2:$W$1000,16,0),"")</f>
        <v/>
      </c>
      <c r="W554" s="17" t="str">
        <f t="shared" si="1"/>
        <v>-</v>
      </c>
    </row>
    <row r="555">
      <c r="V555" s="17" t="str">
        <f>IFERROR(VLOOKUP(B555,Products!$A$2:$W$1000,16,0),"")</f>
        <v/>
      </c>
      <c r="W555" s="17" t="str">
        <f t="shared" si="1"/>
        <v>-</v>
      </c>
    </row>
    <row r="556">
      <c r="V556" s="17" t="str">
        <f>IFERROR(VLOOKUP(B556,Products!$A$2:$W$1000,16,0),"")</f>
        <v/>
      </c>
      <c r="W556" s="17" t="str">
        <f t="shared" si="1"/>
        <v>-</v>
      </c>
    </row>
    <row r="557">
      <c r="V557" s="17" t="str">
        <f>IFERROR(VLOOKUP(B557,Products!$A$2:$W$1000,16,0),"")</f>
        <v/>
      </c>
      <c r="W557" s="17" t="str">
        <f t="shared" si="1"/>
        <v>-</v>
      </c>
    </row>
    <row r="558">
      <c r="V558" s="17" t="str">
        <f>IFERROR(VLOOKUP(B558,Products!$A$2:$W$1000,16,0),"")</f>
        <v/>
      </c>
      <c r="W558" s="17" t="str">
        <f t="shared" si="1"/>
        <v>-</v>
      </c>
    </row>
    <row r="559">
      <c r="V559" s="17" t="str">
        <f>IFERROR(VLOOKUP(B559,Products!$A$2:$W$1000,16,0),"")</f>
        <v/>
      </c>
      <c r="W559" s="17" t="str">
        <f t="shared" si="1"/>
        <v>-</v>
      </c>
    </row>
    <row r="560">
      <c r="V560" s="17" t="str">
        <f>IFERROR(VLOOKUP(B560,Products!$A$2:$W$1000,16,0),"")</f>
        <v/>
      </c>
      <c r="W560" s="17" t="str">
        <f t="shared" si="1"/>
        <v>-</v>
      </c>
    </row>
    <row r="561">
      <c r="V561" s="17" t="str">
        <f>IFERROR(VLOOKUP(B561,Products!$A$2:$W$1000,16,0),"")</f>
        <v/>
      </c>
      <c r="W561" s="17" t="str">
        <f t="shared" si="1"/>
        <v>-</v>
      </c>
    </row>
    <row r="562">
      <c r="V562" s="17" t="str">
        <f>IFERROR(VLOOKUP(B562,Products!$A$2:$W$1000,16,0),"")</f>
        <v/>
      </c>
      <c r="W562" s="17" t="str">
        <f t="shared" si="1"/>
        <v>-</v>
      </c>
    </row>
    <row r="563">
      <c r="V563" s="17" t="str">
        <f>IFERROR(VLOOKUP(B563,Products!$A$2:$W$1000,16,0),"")</f>
        <v/>
      </c>
      <c r="W563" s="17" t="str">
        <f t="shared" si="1"/>
        <v>-</v>
      </c>
    </row>
    <row r="564">
      <c r="V564" s="17" t="str">
        <f>IFERROR(VLOOKUP(B564,Products!$A$2:$W$1000,16,0),"")</f>
        <v/>
      </c>
      <c r="W564" s="17" t="str">
        <f t="shared" si="1"/>
        <v>-</v>
      </c>
    </row>
    <row r="565">
      <c r="V565" s="17" t="str">
        <f>IFERROR(VLOOKUP(B565,Products!$A$2:$W$1000,16,0),"")</f>
        <v/>
      </c>
      <c r="W565" s="17" t="str">
        <f t="shared" si="1"/>
        <v>-</v>
      </c>
    </row>
    <row r="566">
      <c r="V566" s="17" t="str">
        <f>IFERROR(VLOOKUP(B566,Products!$A$2:$W$1000,16,0),"")</f>
        <v/>
      </c>
      <c r="W566" s="17" t="str">
        <f t="shared" si="1"/>
        <v>-</v>
      </c>
    </row>
    <row r="567">
      <c r="V567" s="17" t="str">
        <f>IFERROR(VLOOKUP(B567,Products!$A$2:$W$1000,16,0),"")</f>
        <v/>
      </c>
      <c r="W567" s="17" t="str">
        <f t="shared" si="1"/>
        <v>-</v>
      </c>
    </row>
    <row r="568">
      <c r="V568" s="17" t="str">
        <f>IFERROR(VLOOKUP(B568,Products!$A$2:$W$1000,16,0),"")</f>
        <v/>
      </c>
      <c r="W568" s="17" t="str">
        <f t="shared" si="1"/>
        <v>-</v>
      </c>
    </row>
    <row r="569">
      <c r="V569" s="17" t="str">
        <f>IFERROR(VLOOKUP(B569,Products!$A$2:$W$1000,16,0),"")</f>
        <v/>
      </c>
      <c r="W569" s="17" t="str">
        <f t="shared" si="1"/>
        <v>-</v>
      </c>
    </row>
    <row r="570">
      <c r="V570" s="17" t="str">
        <f>IFERROR(VLOOKUP(B570,Products!$A$2:$W$1000,16,0),"")</f>
        <v/>
      </c>
      <c r="W570" s="17" t="str">
        <f t="shared" si="1"/>
        <v>-</v>
      </c>
    </row>
    <row r="571">
      <c r="V571" s="17" t="str">
        <f>IFERROR(VLOOKUP(B571,Products!$A$2:$W$1000,16,0),"")</f>
        <v/>
      </c>
      <c r="W571" s="17" t="str">
        <f t="shared" si="1"/>
        <v>-</v>
      </c>
    </row>
    <row r="572">
      <c r="V572" s="17" t="str">
        <f>IFERROR(VLOOKUP(B572,Products!$A$2:$W$1000,16,0),"")</f>
        <v/>
      </c>
      <c r="W572" s="17" t="str">
        <f t="shared" si="1"/>
        <v>-</v>
      </c>
    </row>
    <row r="573">
      <c r="V573" s="17" t="str">
        <f>IFERROR(VLOOKUP(B573,Products!$A$2:$W$1000,16,0),"")</f>
        <v/>
      </c>
      <c r="W573" s="17" t="str">
        <f t="shared" si="1"/>
        <v>-</v>
      </c>
    </row>
    <row r="574">
      <c r="V574" s="17" t="str">
        <f>IFERROR(VLOOKUP(B574,Products!$A$2:$W$1000,16,0),"")</f>
        <v/>
      </c>
      <c r="W574" s="17" t="str">
        <f t="shared" si="1"/>
        <v>-</v>
      </c>
    </row>
    <row r="575">
      <c r="V575" s="17" t="str">
        <f>IFERROR(VLOOKUP(B575,Products!$A$2:$W$1000,16,0),"")</f>
        <v/>
      </c>
      <c r="W575" s="17" t="str">
        <f t="shared" si="1"/>
        <v>-</v>
      </c>
    </row>
    <row r="576">
      <c r="V576" s="17" t="str">
        <f>IFERROR(VLOOKUP(B576,Products!$A$2:$W$1000,16,0),"")</f>
        <v/>
      </c>
      <c r="W576" s="17" t="str">
        <f t="shared" si="1"/>
        <v>-</v>
      </c>
    </row>
    <row r="577">
      <c r="V577" s="17" t="str">
        <f>IFERROR(VLOOKUP(B577,Products!$A$2:$W$1000,16,0),"")</f>
        <v/>
      </c>
      <c r="W577" s="17" t="str">
        <f t="shared" si="1"/>
        <v>-</v>
      </c>
    </row>
    <row r="578">
      <c r="V578" s="17" t="str">
        <f>IFERROR(VLOOKUP(B578,Products!$A$2:$W$1000,16,0),"")</f>
        <v/>
      </c>
      <c r="W578" s="17" t="str">
        <f t="shared" si="1"/>
        <v>-</v>
      </c>
    </row>
    <row r="579">
      <c r="V579" s="17" t="str">
        <f>IFERROR(VLOOKUP(B579,Products!$A$2:$W$1000,16,0),"")</f>
        <v/>
      </c>
      <c r="W579" s="17" t="str">
        <f t="shared" si="1"/>
        <v>-</v>
      </c>
    </row>
    <row r="580">
      <c r="V580" s="17" t="str">
        <f>IFERROR(VLOOKUP(B580,Products!$A$2:$W$1000,16,0),"")</f>
        <v/>
      </c>
      <c r="W580" s="17" t="str">
        <f t="shared" si="1"/>
        <v>-</v>
      </c>
    </row>
    <row r="581">
      <c r="V581" s="17" t="str">
        <f>IFERROR(VLOOKUP(B581,Products!$A$2:$W$1000,16,0),"")</f>
        <v/>
      </c>
      <c r="W581" s="17" t="str">
        <f t="shared" si="1"/>
        <v>-</v>
      </c>
    </row>
    <row r="582">
      <c r="V582" s="17" t="str">
        <f>IFERROR(VLOOKUP(B582,Products!$A$2:$W$1000,16,0),"")</f>
        <v/>
      </c>
      <c r="W582" s="17" t="str">
        <f t="shared" si="1"/>
        <v>-</v>
      </c>
    </row>
    <row r="583">
      <c r="V583" s="17" t="str">
        <f>IFERROR(VLOOKUP(B583,Products!$A$2:$W$1000,16,0),"")</f>
        <v/>
      </c>
      <c r="W583" s="17" t="str">
        <f t="shared" si="1"/>
        <v>-</v>
      </c>
    </row>
    <row r="584">
      <c r="V584" s="17" t="str">
        <f>IFERROR(VLOOKUP(B584,Products!$A$2:$W$1000,16,0),"")</f>
        <v/>
      </c>
      <c r="W584" s="17" t="str">
        <f t="shared" si="1"/>
        <v>-</v>
      </c>
    </row>
    <row r="585">
      <c r="V585" s="17" t="str">
        <f>IFERROR(VLOOKUP(B585,Products!$A$2:$W$1000,16,0),"")</f>
        <v/>
      </c>
      <c r="W585" s="17" t="str">
        <f t="shared" si="1"/>
        <v>-</v>
      </c>
    </row>
    <row r="586">
      <c r="V586" s="17" t="str">
        <f>IFERROR(VLOOKUP(B586,Products!$A$2:$W$1000,16,0),"")</f>
        <v/>
      </c>
      <c r="W586" s="17" t="str">
        <f t="shared" si="1"/>
        <v>-</v>
      </c>
    </row>
    <row r="587">
      <c r="V587" s="17" t="str">
        <f>IFERROR(VLOOKUP(B587,Products!$A$2:$W$1000,16,0),"")</f>
        <v/>
      </c>
      <c r="W587" s="17" t="str">
        <f t="shared" si="1"/>
        <v>-</v>
      </c>
    </row>
    <row r="588">
      <c r="V588" s="17" t="str">
        <f>IFERROR(VLOOKUP(B588,Products!$A$2:$W$1000,16,0),"")</f>
        <v/>
      </c>
      <c r="W588" s="17" t="str">
        <f t="shared" si="1"/>
        <v>-</v>
      </c>
    </row>
    <row r="589">
      <c r="V589" s="17" t="str">
        <f>IFERROR(VLOOKUP(B589,Products!$A$2:$W$1000,16,0),"")</f>
        <v/>
      </c>
      <c r="W589" s="17" t="str">
        <f t="shared" si="1"/>
        <v>-</v>
      </c>
    </row>
    <row r="590">
      <c r="V590" s="17" t="str">
        <f>IFERROR(VLOOKUP(B590,Products!$A$2:$W$1000,16,0),"")</f>
        <v/>
      </c>
      <c r="W590" s="17" t="str">
        <f t="shared" si="1"/>
        <v>-</v>
      </c>
    </row>
    <row r="591">
      <c r="V591" s="17" t="str">
        <f>IFERROR(VLOOKUP(B591,Products!$A$2:$W$1000,16,0),"")</f>
        <v/>
      </c>
      <c r="W591" s="17" t="str">
        <f t="shared" si="1"/>
        <v>-</v>
      </c>
    </row>
    <row r="592">
      <c r="V592" s="17" t="str">
        <f>IFERROR(VLOOKUP(B592,Products!$A$2:$W$1000,16,0),"")</f>
        <v/>
      </c>
      <c r="W592" s="17" t="str">
        <f t="shared" si="1"/>
        <v>-</v>
      </c>
    </row>
    <row r="593">
      <c r="V593" s="17" t="str">
        <f>IFERROR(VLOOKUP(B593,Products!$A$2:$W$1000,16,0),"")</f>
        <v/>
      </c>
      <c r="W593" s="17" t="str">
        <f t="shared" si="1"/>
        <v>-</v>
      </c>
    </row>
    <row r="594">
      <c r="V594" s="17" t="str">
        <f>IFERROR(VLOOKUP(B594,Products!$A$2:$W$1000,16,0),"")</f>
        <v/>
      </c>
      <c r="W594" s="17" t="str">
        <f t="shared" si="1"/>
        <v>-</v>
      </c>
    </row>
    <row r="595">
      <c r="V595" s="17" t="str">
        <f>IFERROR(VLOOKUP(B595,Products!$A$2:$W$1000,16,0),"")</f>
        <v/>
      </c>
      <c r="W595" s="17" t="str">
        <f t="shared" si="1"/>
        <v>-</v>
      </c>
    </row>
    <row r="596">
      <c r="V596" s="17" t="str">
        <f>IFERROR(VLOOKUP(B596,Products!$A$2:$W$1000,16,0),"")</f>
        <v/>
      </c>
      <c r="W596" s="17" t="str">
        <f t="shared" si="1"/>
        <v>-</v>
      </c>
    </row>
    <row r="597">
      <c r="V597" s="17" t="str">
        <f>IFERROR(VLOOKUP(B597,Products!$A$2:$W$1000,16,0),"")</f>
        <v/>
      </c>
      <c r="W597" s="17" t="str">
        <f t="shared" si="1"/>
        <v>-</v>
      </c>
    </row>
    <row r="598">
      <c r="V598" s="17" t="str">
        <f>IFERROR(VLOOKUP(B598,Products!$A$2:$W$1000,16,0),"")</f>
        <v/>
      </c>
      <c r="W598" s="17" t="str">
        <f t="shared" si="1"/>
        <v>-</v>
      </c>
    </row>
    <row r="599">
      <c r="V599" s="17" t="str">
        <f>IFERROR(VLOOKUP(B599,Products!$A$2:$W$1000,16,0),"")</f>
        <v/>
      </c>
      <c r="W599" s="17" t="str">
        <f t="shared" si="1"/>
        <v>-</v>
      </c>
    </row>
    <row r="600">
      <c r="V600" s="17" t="str">
        <f>IFERROR(VLOOKUP(B600,Products!$A$2:$W$1000,16,0),"")</f>
        <v/>
      </c>
      <c r="W600" s="17" t="str">
        <f t="shared" si="1"/>
        <v>-</v>
      </c>
    </row>
    <row r="601">
      <c r="V601" s="17" t="str">
        <f>IFERROR(VLOOKUP(B601,Products!$A$2:$W$1000,16,0),"")</f>
        <v/>
      </c>
      <c r="W601" s="17" t="str">
        <f t="shared" si="1"/>
        <v>-</v>
      </c>
    </row>
    <row r="602">
      <c r="V602" s="17" t="str">
        <f>IFERROR(VLOOKUP(B602,Products!$A$2:$W$1000,16,0),"")</f>
        <v/>
      </c>
      <c r="W602" s="17" t="str">
        <f t="shared" si="1"/>
        <v>-</v>
      </c>
    </row>
    <row r="603">
      <c r="V603" s="17" t="str">
        <f>IFERROR(VLOOKUP(B603,Products!$A$2:$W$1000,16,0),"")</f>
        <v/>
      </c>
      <c r="W603" s="17" t="str">
        <f t="shared" si="1"/>
        <v>-</v>
      </c>
    </row>
    <row r="604">
      <c r="V604" s="17" t="str">
        <f>IFERROR(VLOOKUP(B604,Products!$A$2:$W$1000,16,0),"")</f>
        <v/>
      </c>
      <c r="W604" s="17" t="str">
        <f t="shared" si="1"/>
        <v>-</v>
      </c>
    </row>
    <row r="605">
      <c r="V605" s="17" t="str">
        <f>IFERROR(VLOOKUP(B605,Products!$A$2:$W$1000,16,0),"")</f>
        <v/>
      </c>
      <c r="W605" s="17" t="str">
        <f t="shared" si="1"/>
        <v>-</v>
      </c>
    </row>
    <row r="606">
      <c r="V606" s="17" t="str">
        <f>IFERROR(VLOOKUP(B606,Products!$A$2:$W$1000,16,0),"")</f>
        <v/>
      </c>
      <c r="W606" s="17" t="str">
        <f t="shared" si="1"/>
        <v>-</v>
      </c>
    </row>
    <row r="607">
      <c r="V607" s="17" t="str">
        <f>IFERROR(VLOOKUP(B607,Products!$A$2:$W$1000,16,0),"")</f>
        <v/>
      </c>
      <c r="W607" s="17" t="str">
        <f t="shared" si="1"/>
        <v>-</v>
      </c>
    </row>
    <row r="608">
      <c r="V608" s="17" t="str">
        <f>IFERROR(VLOOKUP(B608,Products!$A$2:$W$1000,16,0),"")</f>
        <v/>
      </c>
      <c r="W608" s="17" t="str">
        <f t="shared" si="1"/>
        <v>-</v>
      </c>
    </row>
    <row r="609">
      <c r="V609" s="17" t="str">
        <f>IFERROR(VLOOKUP(B609,Products!$A$2:$W$1000,16,0),"")</f>
        <v/>
      </c>
      <c r="W609" s="17" t="str">
        <f t="shared" si="1"/>
        <v>-</v>
      </c>
    </row>
    <row r="610">
      <c r="V610" s="17" t="str">
        <f>IFERROR(VLOOKUP(B610,Products!$A$2:$W$1000,16,0),"")</f>
        <v/>
      </c>
      <c r="W610" s="17" t="str">
        <f t="shared" si="1"/>
        <v>-</v>
      </c>
    </row>
    <row r="611">
      <c r="V611" s="17" t="str">
        <f>IFERROR(VLOOKUP(B611,Products!$A$2:$W$1000,16,0),"")</f>
        <v/>
      </c>
      <c r="W611" s="17" t="str">
        <f t="shared" si="1"/>
        <v>-</v>
      </c>
    </row>
    <row r="612">
      <c r="V612" s="17" t="str">
        <f>IFERROR(VLOOKUP(B612,Products!$A$2:$W$1000,16,0),"")</f>
        <v/>
      </c>
      <c r="W612" s="17" t="str">
        <f t="shared" si="1"/>
        <v>-</v>
      </c>
    </row>
    <row r="613">
      <c r="V613" s="17" t="str">
        <f>IFERROR(VLOOKUP(B613,Products!$A$2:$W$1000,16,0),"")</f>
        <v/>
      </c>
      <c r="W613" s="17" t="str">
        <f t="shared" si="1"/>
        <v>-</v>
      </c>
    </row>
    <row r="614">
      <c r="V614" s="17" t="str">
        <f>IFERROR(VLOOKUP(B614,Products!$A$2:$W$1000,16,0),"")</f>
        <v/>
      </c>
      <c r="W614" s="17" t="str">
        <f t="shared" si="1"/>
        <v>-</v>
      </c>
    </row>
    <row r="615">
      <c r="V615" s="17" t="str">
        <f>IFERROR(VLOOKUP(B615,Products!$A$2:$W$1000,16,0),"")</f>
        <v/>
      </c>
      <c r="W615" s="17" t="str">
        <f t="shared" si="1"/>
        <v>-</v>
      </c>
    </row>
    <row r="616">
      <c r="V616" s="17" t="str">
        <f>IFERROR(VLOOKUP(B616,Products!$A$2:$W$1000,16,0),"")</f>
        <v/>
      </c>
      <c r="W616" s="17" t="str">
        <f t="shared" si="1"/>
        <v>-</v>
      </c>
    </row>
    <row r="617">
      <c r="V617" s="17" t="str">
        <f>IFERROR(VLOOKUP(B617,Products!$A$2:$W$1000,16,0),"")</f>
        <v/>
      </c>
      <c r="W617" s="17" t="str">
        <f t="shared" si="1"/>
        <v>-</v>
      </c>
    </row>
    <row r="618">
      <c r="V618" s="17" t="str">
        <f>IFERROR(VLOOKUP(B618,Products!$A$2:$W$1000,16,0),"")</f>
        <v/>
      </c>
      <c r="W618" s="17" t="str">
        <f t="shared" si="1"/>
        <v>-</v>
      </c>
    </row>
    <row r="619">
      <c r="V619" s="17" t="str">
        <f>IFERROR(VLOOKUP(B619,Products!$A$2:$W$1000,16,0),"")</f>
        <v/>
      </c>
      <c r="W619" s="17" t="str">
        <f t="shared" si="1"/>
        <v>-</v>
      </c>
    </row>
    <row r="620">
      <c r="V620" s="17" t="str">
        <f>IFERROR(VLOOKUP(B620,Products!$A$2:$W$1000,16,0),"")</f>
        <v/>
      </c>
      <c r="W620" s="17" t="str">
        <f t="shared" si="1"/>
        <v>-</v>
      </c>
    </row>
    <row r="621">
      <c r="V621" s="17" t="str">
        <f>IFERROR(VLOOKUP(B621,Products!$A$2:$W$1000,16,0),"")</f>
        <v/>
      </c>
      <c r="W621" s="17" t="str">
        <f t="shared" si="1"/>
        <v>-</v>
      </c>
    </row>
    <row r="622">
      <c r="V622" s="17" t="str">
        <f>IFERROR(VLOOKUP(B622,Products!$A$2:$W$1000,16,0),"")</f>
        <v/>
      </c>
      <c r="W622" s="17" t="str">
        <f t="shared" si="1"/>
        <v>-</v>
      </c>
    </row>
    <row r="623">
      <c r="V623" s="17" t="str">
        <f>IFERROR(VLOOKUP(B623,Products!$A$2:$W$1000,16,0),"")</f>
        <v/>
      </c>
      <c r="W623" s="17" t="str">
        <f t="shared" si="1"/>
        <v>-</v>
      </c>
    </row>
    <row r="624">
      <c r="V624" s="17" t="str">
        <f>IFERROR(VLOOKUP(B624,Products!$A$2:$W$1000,16,0),"")</f>
        <v/>
      </c>
      <c r="W624" s="17" t="str">
        <f t="shared" si="1"/>
        <v>-</v>
      </c>
    </row>
    <row r="625">
      <c r="V625" s="17" t="str">
        <f>IFERROR(VLOOKUP(B625,Products!$A$2:$W$1000,16,0),"")</f>
        <v/>
      </c>
      <c r="W625" s="17" t="str">
        <f t="shared" si="1"/>
        <v>-</v>
      </c>
    </row>
    <row r="626">
      <c r="V626" s="17" t="str">
        <f>IFERROR(VLOOKUP(B626,Products!$A$2:$W$1000,16,0),"")</f>
        <v/>
      </c>
      <c r="W626" s="17" t="str">
        <f t="shared" si="1"/>
        <v>-</v>
      </c>
    </row>
    <row r="627">
      <c r="V627" s="17" t="str">
        <f>IFERROR(VLOOKUP(B627,Products!$A$2:$W$1000,16,0),"")</f>
        <v/>
      </c>
      <c r="W627" s="17" t="str">
        <f t="shared" si="1"/>
        <v>-</v>
      </c>
    </row>
    <row r="628">
      <c r="V628" s="17" t="str">
        <f>IFERROR(VLOOKUP(B628,Products!$A$2:$W$1000,16,0),"")</f>
        <v/>
      </c>
      <c r="W628" s="17" t="str">
        <f t="shared" si="1"/>
        <v>-</v>
      </c>
    </row>
    <row r="629">
      <c r="V629" s="17" t="str">
        <f>IFERROR(VLOOKUP(B629,Products!$A$2:$W$1000,16,0),"")</f>
        <v/>
      </c>
      <c r="W629" s="17" t="str">
        <f t="shared" si="1"/>
        <v>-</v>
      </c>
    </row>
    <row r="630">
      <c r="V630" s="17" t="str">
        <f>IFERROR(VLOOKUP(B630,Products!$A$2:$W$1000,16,0),"")</f>
        <v/>
      </c>
      <c r="W630" s="17" t="str">
        <f t="shared" si="1"/>
        <v>-</v>
      </c>
    </row>
    <row r="631">
      <c r="V631" s="17" t="str">
        <f>IFERROR(VLOOKUP(B631,Products!$A$2:$W$1000,16,0),"")</f>
        <v/>
      </c>
      <c r="W631" s="17" t="str">
        <f t="shared" si="1"/>
        <v>-</v>
      </c>
    </row>
    <row r="632">
      <c r="V632" s="17" t="str">
        <f>IFERROR(VLOOKUP(B632,Products!$A$2:$W$1000,16,0),"")</f>
        <v/>
      </c>
      <c r="W632" s="17" t="str">
        <f t="shared" si="1"/>
        <v>-</v>
      </c>
    </row>
    <row r="633">
      <c r="V633" s="17" t="str">
        <f>IFERROR(VLOOKUP(B633,Products!$A$2:$W$1000,16,0),"")</f>
        <v/>
      </c>
      <c r="W633" s="17" t="str">
        <f t="shared" si="1"/>
        <v>-</v>
      </c>
    </row>
    <row r="634">
      <c r="V634" s="17" t="str">
        <f>IFERROR(VLOOKUP(B634,Products!$A$2:$W$1000,16,0),"")</f>
        <v/>
      </c>
      <c r="W634" s="17" t="str">
        <f t="shared" si="1"/>
        <v>-</v>
      </c>
    </row>
    <row r="635">
      <c r="V635" s="17" t="str">
        <f>IFERROR(VLOOKUP(B635,Products!$A$2:$W$1000,16,0),"")</f>
        <v/>
      </c>
      <c r="W635" s="17" t="str">
        <f t="shared" si="1"/>
        <v>-</v>
      </c>
    </row>
    <row r="636">
      <c r="V636" s="17" t="str">
        <f>IFERROR(VLOOKUP(B636,Products!$A$2:$W$1000,16,0),"")</f>
        <v/>
      </c>
      <c r="W636" s="17" t="str">
        <f t="shared" si="1"/>
        <v>-</v>
      </c>
    </row>
    <row r="637">
      <c r="V637" s="17" t="str">
        <f>IFERROR(VLOOKUP(B637,Products!$A$2:$W$1000,16,0),"")</f>
        <v/>
      </c>
      <c r="W637" s="17" t="str">
        <f t="shared" si="1"/>
        <v>-</v>
      </c>
    </row>
    <row r="638">
      <c r="V638" s="17" t="str">
        <f>IFERROR(VLOOKUP(B638,Products!$A$2:$W$1000,16,0),"")</f>
        <v/>
      </c>
      <c r="W638" s="17" t="str">
        <f t="shared" si="1"/>
        <v>-</v>
      </c>
    </row>
    <row r="639">
      <c r="V639" s="17" t="str">
        <f>IFERROR(VLOOKUP(B639,Products!$A$2:$W$1000,16,0),"")</f>
        <v/>
      </c>
      <c r="W639" s="17" t="str">
        <f t="shared" si="1"/>
        <v>-</v>
      </c>
    </row>
    <row r="640">
      <c r="V640" s="17" t="str">
        <f>IFERROR(VLOOKUP(B640,Products!$A$2:$W$1000,16,0),"")</f>
        <v/>
      </c>
      <c r="W640" s="17" t="str">
        <f t="shared" si="1"/>
        <v>-</v>
      </c>
    </row>
    <row r="641">
      <c r="V641" s="17" t="str">
        <f>IFERROR(VLOOKUP(B641,Products!$A$2:$W$1000,16,0),"")</f>
        <v/>
      </c>
      <c r="W641" s="17" t="str">
        <f t="shared" si="1"/>
        <v>-</v>
      </c>
    </row>
    <row r="642">
      <c r="V642" s="17" t="str">
        <f>IFERROR(VLOOKUP(B642,Products!$A$2:$W$1000,16,0),"")</f>
        <v/>
      </c>
      <c r="W642" s="17" t="str">
        <f t="shared" si="1"/>
        <v>-</v>
      </c>
    </row>
    <row r="643">
      <c r="V643" s="17" t="str">
        <f>IFERROR(VLOOKUP(B643,Products!$A$2:$W$1000,16,0),"")</f>
        <v/>
      </c>
      <c r="W643" s="17" t="str">
        <f t="shared" si="1"/>
        <v>-</v>
      </c>
    </row>
    <row r="644">
      <c r="V644" s="17" t="str">
        <f>IFERROR(VLOOKUP(B644,Products!$A$2:$W$1000,16,0),"")</f>
        <v/>
      </c>
      <c r="W644" s="17" t="str">
        <f t="shared" si="1"/>
        <v>-</v>
      </c>
    </row>
    <row r="645">
      <c r="V645" s="17" t="str">
        <f>IFERROR(VLOOKUP(B645,Products!$A$2:$W$1000,16,0),"")</f>
        <v/>
      </c>
      <c r="W645" s="17" t="str">
        <f t="shared" si="1"/>
        <v>-</v>
      </c>
    </row>
    <row r="646">
      <c r="V646" s="17" t="str">
        <f>IFERROR(VLOOKUP(B646,Products!$A$2:$W$1000,16,0),"")</f>
        <v/>
      </c>
      <c r="W646" s="17" t="str">
        <f t="shared" si="1"/>
        <v>-</v>
      </c>
    </row>
    <row r="647">
      <c r="V647" s="17" t="str">
        <f>IFERROR(VLOOKUP(B647,Products!$A$2:$W$1000,16,0),"")</f>
        <v/>
      </c>
      <c r="W647" s="17" t="str">
        <f t="shared" si="1"/>
        <v>-</v>
      </c>
    </row>
    <row r="648">
      <c r="V648" s="17" t="str">
        <f>IFERROR(VLOOKUP(B648,Products!$A$2:$W$1000,16,0),"")</f>
        <v/>
      </c>
      <c r="W648" s="17" t="str">
        <f t="shared" si="1"/>
        <v>-</v>
      </c>
    </row>
    <row r="649">
      <c r="V649" s="17" t="str">
        <f>IFERROR(VLOOKUP(B649,Products!$A$2:$W$1000,16,0),"")</f>
        <v/>
      </c>
      <c r="W649" s="17" t="str">
        <f t="shared" si="1"/>
        <v>-</v>
      </c>
    </row>
    <row r="650">
      <c r="V650" s="17" t="str">
        <f>IFERROR(VLOOKUP(B650,Products!$A$2:$W$1000,16,0),"")</f>
        <v/>
      </c>
      <c r="W650" s="17" t="str">
        <f t="shared" si="1"/>
        <v>-</v>
      </c>
    </row>
    <row r="651">
      <c r="V651" s="17" t="str">
        <f>IFERROR(VLOOKUP(B651,Products!$A$2:$W$1000,16,0),"")</f>
        <v/>
      </c>
      <c r="W651" s="17" t="str">
        <f t="shared" si="1"/>
        <v>-</v>
      </c>
    </row>
    <row r="652">
      <c r="V652" s="17" t="str">
        <f>IFERROR(VLOOKUP(B652,Products!$A$2:$W$1000,16,0),"")</f>
        <v/>
      </c>
      <c r="W652" s="17" t="str">
        <f t="shared" si="1"/>
        <v>-</v>
      </c>
    </row>
    <row r="653">
      <c r="V653" s="17" t="str">
        <f>IFERROR(VLOOKUP(B653,Products!$A$2:$W$1000,16,0),"")</f>
        <v/>
      </c>
      <c r="W653" s="17" t="str">
        <f t="shared" si="1"/>
        <v>-</v>
      </c>
    </row>
    <row r="654">
      <c r="V654" s="17" t="str">
        <f>IFERROR(VLOOKUP(B654,Products!$A$2:$W$1000,16,0),"")</f>
        <v/>
      </c>
      <c r="W654" s="17" t="str">
        <f t="shared" si="1"/>
        <v>-</v>
      </c>
    </row>
    <row r="655">
      <c r="V655" s="17" t="str">
        <f>IFERROR(VLOOKUP(B655,Products!$A$2:$W$1000,16,0),"")</f>
        <v/>
      </c>
      <c r="W655" s="17" t="str">
        <f t="shared" si="1"/>
        <v>-</v>
      </c>
    </row>
    <row r="656">
      <c r="V656" s="17" t="str">
        <f>IFERROR(VLOOKUP(B656,Products!$A$2:$W$1000,16,0),"")</f>
        <v/>
      </c>
      <c r="W656" s="17" t="str">
        <f t="shared" si="1"/>
        <v>-</v>
      </c>
    </row>
    <row r="657">
      <c r="V657" s="17" t="str">
        <f>IFERROR(VLOOKUP(B657,Products!$A$2:$W$1000,16,0),"")</f>
        <v/>
      </c>
      <c r="W657" s="17" t="str">
        <f t="shared" si="1"/>
        <v>-</v>
      </c>
    </row>
    <row r="658">
      <c r="V658" s="17" t="str">
        <f>IFERROR(VLOOKUP(B658,Products!$A$2:$W$1000,16,0),"")</f>
        <v/>
      </c>
      <c r="W658" s="17" t="str">
        <f t="shared" si="1"/>
        <v>-</v>
      </c>
    </row>
    <row r="659">
      <c r="V659" s="17" t="str">
        <f>IFERROR(VLOOKUP(B659,Products!$A$2:$W$1000,16,0),"")</f>
        <v/>
      </c>
      <c r="W659" s="17" t="str">
        <f t="shared" si="1"/>
        <v>-</v>
      </c>
    </row>
    <row r="660">
      <c r="V660" s="17" t="str">
        <f>IFERROR(VLOOKUP(B660,Products!$A$2:$W$1000,16,0),"")</f>
        <v/>
      </c>
      <c r="W660" s="17" t="str">
        <f t="shared" si="1"/>
        <v>-</v>
      </c>
    </row>
    <row r="661">
      <c r="V661" s="17" t="str">
        <f>IFERROR(VLOOKUP(B661,Products!$A$2:$W$1000,16,0),"")</f>
        <v/>
      </c>
      <c r="W661" s="17" t="str">
        <f t="shared" si="1"/>
        <v>-</v>
      </c>
    </row>
    <row r="662">
      <c r="V662" s="17" t="str">
        <f>IFERROR(VLOOKUP(B662,Products!$A$2:$W$1000,16,0),"")</f>
        <v/>
      </c>
      <c r="W662" s="17" t="str">
        <f t="shared" si="1"/>
        <v>-</v>
      </c>
    </row>
    <row r="663">
      <c r="V663" s="17" t="str">
        <f>IFERROR(VLOOKUP(B663,Products!$A$2:$W$1000,16,0),"")</f>
        <v/>
      </c>
      <c r="W663" s="17" t="str">
        <f t="shared" si="1"/>
        <v>-</v>
      </c>
    </row>
    <row r="664">
      <c r="V664" s="17" t="str">
        <f>IFERROR(VLOOKUP(B664,Products!$A$2:$W$1000,16,0),"")</f>
        <v/>
      </c>
      <c r="W664" s="17" t="str">
        <f t="shared" si="1"/>
        <v>-</v>
      </c>
    </row>
    <row r="665">
      <c r="V665" s="17" t="str">
        <f>IFERROR(VLOOKUP(B665,Products!$A$2:$W$1000,16,0),"")</f>
        <v/>
      </c>
      <c r="W665" s="17" t="str">
        <f t="shared" si="1"/>
        <v>-</v>
      </c>
    </row>
    <row r="666">
      <c r="V666" s="17" t="str">
        <f>IFERROR(VLOOKUP(B666,Products!$A$2:$W$1000,16,0),"")</f>
        <v/>
      </c>
      <c r="W666" s="17" t="str">
        <f t="shared" si="1"/>
        <v>-</v>
      </c>
    </row>
    <row r="667">
      <c r="V667" s="17" t="str">
        <f>IFERROR(VLOOKUP(B667,Products!$A$2:$W$1000,16,0),"")</f>
        <v/>
      </c>
      <c r="W667" s="17" t="str">
        <f t="shared" si="1"/>
        <v>-</v>
      </c>
    </row>
    <row r="668">
      <c r="V668" s="17" t="str">
        <f>IFERROR(VLOOKUP(B668,Products!$A$2:$W$1000,16,0),"")</f>
        <v/>
      </c>
      <c r="W668" s="17" t="str">
        <f t="shared" si="1"/>
        <v>-</v>
      </c>
    </row>
    <row r="669">
      <c r="V669" s="17" t="str">
        <f>IFERROR(VLOOKUP(B669,Products!$A$2:$W$1000,16,0),"")</f>
        <v/>
      </c>
      <c r="W669" s="17" t="str">
        <f t="shared" si="1"/>
        <v>-</v>
      </c>
    </row>
    <row r="670">
      <c r="V670" s="17" t="str">
        <f>IFERROR(VLOOKUP(B670,Products!$A$2:$W$1000,16,0),"")</f>
        <v/>
      </c>
      <c r="W670" s="17" t="str">
        <f t="shared" si="1"/>
        <v>-</v>
      </c>
    </row>
    <row r="671">
      <c r="V671" s="17" t="str">
        <f>IFERROR(VLOOKUP(B671,Products!$A$2:$W$1000,16,0),"")</f>
        <v/>
      </c>
      <c r="W671" s="17" t="str">
        <f t="shared" si="1"/>
        <v>-</v>
      </c>
    </row>
    <row r="672">
      <c r="V672" s="17" t="str">
        <f>IFERROR(VLOOKUP(B672,Products!$A$2:$W$1000,16,0),"")</f>
        <v/>
      </c>
      <c r="W672" s="17" t="str">
        <f t="shared" si="1"/>
        <v>-</v>
      </c>
    </row>
    <row r="673">
      <c r="V673" s="17" t="str">
        <f>IFERROR(VLOOKUP(B673,Products!$A$2:$W$1000,16,0),"")</f>
        <v/>
      </c>
      <c r="W673" s="17" t="str">
        <f t="shared" si="1"/>
        <v>-</v>
      </c>
    </row>
    <row r="674">
      <c r="V674" s="17" t="str">
        <f>IFERROR(VLOOKUP(B674,Products!$A$2:$W$1000,16,0),"")</f>
        <v/>
      </c>
      <c r="W674" s="17" t="str">
        <f t="shared" si="1"/>
        <v>-</v>
      </c>
    </row>
    <row r="675">
      <c r="V675" s="17" t="str">
        <f>IFERROR(VLOOKUP(B675,Products!$A$2:$W$1000,16,0),"")</f>
        <v/>
      </c>
      <c r="W675" s="17" t="str">
        <f t="shared" si="1"/>
        <v>-</v>
      </c>
    </row>
    <row r="676">
      <c r="V676" s="17" t="str">
        <f>IFERROR(VLOOKUP(B676,Products!$A$2:$W$1000,16,0),"")</f>
        <v/>
      </c>
      <c r="W676" s="17" t="str">
        <f t="shared" si="1"/>
        <v>-</v>
      </c>
    </row>
    <row r="677">
      <c r="V677" s="17" t="str">
        <f>IFERROR(VLOOKUP(B677,Products!$A$2:$W$1000,16,0),"")</f>
        <v/>
      </c>
      <c r="W677" s="17" t="str">
        <f t="shared" si="1"/>
        <v>-</v>
      </c>
    </row>
    <row r="678">
      <c r="V678" s="17" t="str">
        <f>IFERROR(VLOOKUP(B678,Products!$A$2:$W$1000,16,0),"")</f>
        <v/>
      </c>
      <c r="W678" s="17" t="str">
        <f t="shared" si="1"/>
        <v>-</v>
      </c>
    </row>
    <row r="679">
      <c r="V679" s="17" t="str">
        <f>IFERROR(VLOOKUP(B679,Products!$A$2:$W$1000,16,0),"")</f>
        <v/>
      </c>
      <c r="W679" s="17" t="str">
        <f t="shared" si="1"/>
        <v>-</v>
      </c>
    </row>
    <row r="680">
      <c r="V680" s="17" t="str">
        <f>IFERROR(VLOOKUP(B680,Products!$A$2:$W$1000,16,0),"")</f>
        <v/>
      </c>
      <c r="W680" s="17" t="str">
        <f t="shared" si="1"/>
        <v>-</v>
      </c>
    </row>
    <row r="681">
      <c r="V681" s="17" t="str">
        <f>IFERROR(VLOOKUP(B681,Products!$A$2:$W$1000,16,0),"")</f>
        <v/>
      </c>
      <c r="W681" s="17" t="str">
        <f t="shared" si="1"/>
        <v>-</v>
      </c>
    </row>
    <row r="682">
      <c r="V682" s="17" t="str">
        <f>IFERROR(VLOOKUP(B682,Products!$A$2:$W$1000,16,0),"")</f>
        <v/>
      </c>
      <c r="W682" s="17" t="str">
        <f t="shared" si="1"/>
        <v>-</v>
      </c>
    </row>
    <row r="683">
      <c r="V683" s="17" t="str">
        <f>IFERROR(VLOOKUP(B683,Products!$A$2:$W$1000,16,0),"")</f>
        <v/>
      </c>
      <c r="W683" s="17" t="str">
        <f t="shared" si="1"/>
        <v>-</v>
      </c>
    </row>
    <row r="684">
      <c r="V684" s="17" t="str">
        <f>IFERROR(VLOOKUP(B684,Products!$A$2:$W$1000,16,0),"")</f>
        <v/>
      </c>
      <c r="W684" s="17" t="str">
        <f t="shared" si="1"/>
        <v>-</v>
      </c>
    </row>
    <row r="685">
      <c r="V685" s="17" t="str">
        <f>IFERROR(VLOOKUP(B685,Products!$A$2:$W$1000,16,0),"")</f>
        <v/>
      </c>
      <c r="W685" s="17" t="str">
        <f t="shared" si="1"/>
        <v>-</v>
      </c>
    </row>
    <row r="686">
      <c r="V686" s="17" t="str">
        <f>IFERROR(VLOOKUP(B686,Products!$A$2:$W$1000,16,0),"")</f>
        <v/>
      </c>
      <c r="W686" s="17" t="str">
        <f t="shared" si="1"/>
        <v>-</v>
      </c>
    </row>
    <row r="687">
      <c r="V687" s="17" t="str">
        <f>IFERROR(VLOOKUP(B687,Products!$A$2:$W$1000,16,0),"")</f>
        <v/>
      </c>
      <c r="W687" s="17" t="str">
        <f t="shared" si="1"/>
        <v>-</v>
      </c>
    </row>
    <row r="688">
      <c r="V688" s="17" t="str">
        <f>IFERROR(VLOOKUP(B688,Products!$A$2:$W$1000,16,0),"")</f>
        <v/>
      </c>
      <c r="W688" s="17" t="str">
        <f t="shared" si="1"/>
        <v>-</v>
      </c>
    </row>
    <row r="689">
      <c r="V689" s="17" t="str">
        <f>IFERROR(VLOOKUP(B689,Products!$A$2:$W$1000,16,0),"")</f>
        <v/>
      </c>
      <c r="W689" s="17" t="str">
        <f t="shared" si="1"/>
        <v>-</v>
      </c>
    </row>
    <row r="690">
      <c r="V690" s="17" t="str">
        <f>IFERROR(VLOOKUP(B690,Products!$A$2:$W$1000,16,0),"")</f>
        <v/>
      </c>
      <c r="W690" s="17" t="str">
        <f t="shared" si="1"/>
        <v>-</v>
      </c>
    </row>
    <row r="691">
      <c r="V691" s="17" t="str">
        <f>IFERROR(VLOOKUP(B691,Products!$A$2:$W$1000,16,0),"")</f>
        <v/>
      </c>
      <c r="W691" s="17" t="str">
        <f t="shared" si="1"/>
        <v>-</v>
      </c>
    </row>
    <row r="692">
      <c r="V692" s="17" t="str">
        <f>IFERROR(VLOOKUP(B692,Products!$A$2:$W$1000,16,0),"")</f>
        <v/>
      </c>
      <c r="W692" s="17" t="str">
        <f t="shared" si="1"/>
        <v>-</v>
      </c>
    </row>
    <row r="693">
      <c r="V693" s="17" t="str">
        <f>IFERROR(VLOOKUP(B693,Products!$A$2:$W$1000,16,0),"")</f>
        <v/>
      </c>
      <c r="W693" s="17" t="str">
        <f t="shared" si="1"/>
        <v>-</v>
      </c>
    </row>
    <row r="694">
      <c r="V694" s="17" t="str">
        <f>IFERROR(VLOOKUP(B694,Products!$A$2:$W$1000,16,0),"")</f>
        <v/>
      </c>
      <c r="W694" s="17" t="str">
        <f t="shared" si="1"/>
        <v>-</v>
      </c>
    </row>
    <row r="695">
      <c r="V695" s="17" t="str">
        <f>IFERROR(VLOOKUP(B695,Products!$A$2:$W$1000,16,0),"")</f>
        <v/>
      </c>
      <c r="W695" s="17" t="str">
        <f t="shared" si="1"/>
        <v>-</v>
      </c>
    </row>
    <row r="696">
      <c r="V696" s="17" t="str">
        <f>IFERROR(VLOOKUP(B696,Products!$A$2:$W$1000,16,0),"")</f>
        <v/>
      </c>
      <c r="W696" s="17" t="str">
        <f t="shared" si="1"/>
        <v>-</v>
      </c>
    </row>
    <row r="697">
      <c r="V697" s="17" t="str">
        <f>IFERROR(VLOOKUP(B697,Products!$A$2:$W$1000,16,0),"")</f>
        <v/>
      </c>
      <c r="W697" s="17" t="str">
        <f t="shared" si="1"/>
        <v>-</v>
      </c>
    </row>
    <row r="698">
      <c r="V698" s="17" t="str">
        <f>IFERROR(VLOOKUP(B698,Products!$A$2:$W$1000,16,0),"")</f>
        <v/>
      </c>
      <c r="W698" s="17" t="str">
        <f t="shared" si="1"/>
        <v>-</v>
      </c>
    </row>
    <row r="699">
      <c r="V699" s="17" t="str">
        <f>IFERROR(VLOOKUP(B699,Products!$A$2:$W$1000,16,0),"")</f>
        <v/>
      </c>
      <c r="W699" s="17" t="str">
        <f t="shared" si="1"/>
        <v>-</v>
      </c>
    </row>
    <row r="700">
      <c r="V700" s="17" t="str">
        <f>IFERROR(VLOOKUP(B700,Products!$A$2:$W$1000,16,0),"")</f>
        <v/>
      </c>
      <c r="W700" s="17" t="str">
        <f t="shared" si="1"/>
        <v>-</v>
      </c>
    </row>
    <row r="701">
      <c r="V701" s="17" t="str">
        <f>IFERROR(VLOOKUP(B701,Products!$A$2:$W$1000,16,0),"")</f>
        <v/>
      </c>
      <c r="W701" s="17" t="str">
        <f t="shared" si="1"/>
        <v>-</v>
      </c>
    </row>
    <row r="702">
      <c r="V702" s="17" t="str">
        <f>IFERROR(VLOOKUP(B702,Products!$A$2:$W$1000,16,0),"")</f>
        <v/>
      </c>
      <c r="W702" s="17" t="str">
        <f t="shared" si="1"/>
        <v>-</v>
      </c>
    </row>
    <row r="703">
      <c r="V703" s="17" t="str">
        <f>IFERROR(VLOOKUP(B703,Products!$A$2:$W$1000,16,0),"")</f>
        <v/>
      </c>
      <c r="W703" s="17" t="str">
        <f t="shared" si="1"/>
        <v>-</v>
      </c>
    </row>
    <row r="704">
      <c r="V704" s="17" t="str">
        <f>IFERROR(VLOOKUP(B704,Products!$A$2:$W$1000,16,0),"")</f>
        <v/>
      </c>
      <c r="W704" s="17" t="str">
        <f t="shared" si="1"/>
        <v>-</v>
      </c>
    </row>
    <row r="705">
      <c r="V705" s="17" t="str">
        <f>IFERROR(VLOOKUP(B705,Products!$A$2:$W$1000,16,0),"")</f>
        <v/>
      </c>
      <c r="W705" s="17" t="str">
        <f t="shared" si="1"/>
        <v>-</v>
      </c>
    </row>
    <row r="706">
      <c r="V706" s="17" t="str">
        <f>IFERROR(VLOOKUP(B706,Products!$A$2:$W$1000,16,0),"")</f>
        <v/>
      </c>
      <c r="W706" s="17" t="str">
        <f t="shared" si="1"/>
        <v>-</v>
      </c>
    </row>
    <row r="707">
      <c r="V707" s="17" t="str">
        <f>IFERROR(VLOOKUP(B707,Products!$A$2:$W$1000,16,0),"")</f>
        <v/>
      </c>
      <c r="W707" s="17" t="str">
        <f t="shared" si="1"/>
        <v>-</v>
      </c>
    </row>
    <row r="708">
      <c r="V708" s="17" t="str">
        <f>IFERROR(VLOOKUP(B708,Products!$A$2:$W$1000,16,0),"")</f>
        <v/>
      </c>
      <c r="W708" s="17" t="str">
        <f t="shared" si="1"/>
        <v>-</v>
      </c>
    </row>
    <row r="709">
      <c r="V709" s="17" t="str">
        <f>IFERROR(VLOOKUP(B709,Products!$A$2:$W$1000,16,0),"")</f>
        <v/>
      </c>
      <c r="W709" s="17" t="str">
        <f t="shared" si="1"/>
        <v>-</v>
      </c>
    </row>
    <row r="710">
      <c r="V710" s="17" t="str">
        <f>IFERROR(VLOOKUP(B710,Products!$A$2:$W$1000,16,0),"")</f>
        <v/>
      </c>
      <c r="W710" s="17" t="str">
        <f t="shared" si="1"/>
        <v>-</v>
      </c>
    </row>
    <row r="711">
      <c r="V711" s="17" t="str">
        <f>IFERROR(VLOOKUP(B711,Products!$A$2:$W$1000,16,0),"")</f>
        <v/>
      </c>
      <c r="W711" s="17" t="str">
        <f t="shared" si="1"/>
        <v>-</v>
      </c>
    </row>
    <row r="712">
      <c r="V712" s="17" t="str">
        <f>IFERROR(VLOOKUP(B712,Products!$A$2:$W$1000,16,0),"")</f>
        <v/>
      </c>
      <c r="W712" s="17" t="str">
        <f t="shared" si="1"/>
        <v>-</v>
      </c>
    </row>
    <row r="713">
      <c r="V713" s="17" t="str">
        <f>IFERROR(VLOOKUP(B713,Products!$A$2:$W$1000,16,0),"")</f>
        <v/>
      </c>
      <c r="W713" s="17" t="str">
        <f t="shared" si="1"/>
        <v>-</v>
      </c>
    </row>
    <row r="714">
      <c r="V714" s="17" t="str">
        <f>IFERROR(VLOOKUP(B714,Products!$A$2:$W$1000,16,0),"")</f>
        <v/>
      </c>
      <c r="W714" s="17" t="str">
        <f t="shared" si="1"/>
        <v>-</v>
      </c>
    </row>
    <row r="715">
      <c r="V715" s="17" t="str">
        <f>IFERROR(VLOOKUP(B715,Products!$A$2:$W$1000,16,0),"")</f>
        <v/>
      </c>
      <c r="W715" s="17" t="str">
        <f t="shared" si="1"/>
        <v>-</v>
      </c>
    </row>
    <row r="716">
      <c r="V716" s="17" t="str">
        <f>IFERROR(VLOOKUP(B716,Products!$A$2:$W$1000,16,0),"")</f>
        <v/>
      </c>
      <c r="W716" s="17" t="str">
        <f t="shared" si="1"/>
        <v>-</v>
      </c>
    </row>
    <row r="717">
      <c r="V717" s="17" t="str">
        <f>IFERROR(VLOOKUP(B717,Products!$A$2:$W$1000,16,0),"")</f>
        <v/>
      </c>
      <c r="W717" s="17" t="str">
        <f t="shared" si="1"/>
        <v>-</v>
      </c>
    </row>
    <row r="718">
      <c r="V718" s="17" t="str">
        <f>IFERROR(VLOOKUP(B718,Products!$A$2:$W$1000,16,0),"")</f>
        <v/>
      </c>
      <c r="W718" s="17" t="str">
        <f t="shared" si="1"/>
        <v>-</v>
      </c>
    </row>
    <row r="719">
      <c r="V719" s="17" t="str">
        <f>IFERROR(VLOOKUP(B719,Products!$A$2:$W$1000,16,0),"")</f>
        <v/>
      </c>
      <c r="W719" s="17" t="str">
        <f t="shared" si="1"/>
        <v>-</v>
      </c>
    </row>
    <row r="720">
      <c r="V720" s="17" t="str">
        <f>IFERROR(VLOOKUP(B720,Products!$A$2:$W$1000,16,0),"")</f>
        <v/>
      </c>
      <c r="W720" s="17" t="str">
        <f t="shared" si="1"/>
        <v>-</v>
      </c>
    </row>
    <row r="721">
      <c r="V721" s="17" t="str">
        <f>IFERROR(VLOOKUP(B721,Products!$A$2:$W$1000,16,0),"")</f>
        <v/>
      </c>
      <c r="W721" s="17" t="str">
        <f t="shared" si="1"/>
        <v>-</v>
      </c>
    </row>
    <row r="722">
      <c r="V722" s="17" t="str">
        <f>IFERROR(VLOOKUP(B722,Products!$A$2:$W$1000,16,0),"")</f>
        <v/>
      </c>
      <c r="W722" s="17" t="str">
        <f t="shared" si="1"/>
        <v>-</v>
      </c>
    </row>
    <row r="723">
      <c r="V723" s="17" t="str">
        <f>IFERROR(VLOOKUP(B723,Products!$A$2:$W$1000,16,0),"")</f>
        <v/>
      </c>
      <c r="W723" s="17" t="str">
        <f t="shared" si="1"/>
        <v>-</v>
      </c>
    </row>
    <row r="724">
      <c r="V724" s="17" t="str">
        <f>IFERROR(VLOOKUP(B724,Products!$A$2:$W$1000,16,0),"")</f>
        <v/>
      </c>
      <c r="W724" s="17" t="str">
        <f t="shared" si="1"/>
        <v>-</v>
      </c>
    </row>
    <row r="725">
      <c r="V725" s="17" t="str">
        <f>IFERROR(VLOOKUP(B725,Products!$A$2:$W$1000,16,0),"")</f>
        <v/>
      </c>
      <c r="W725" s="17" t="str">
        <f t="shared" si="1"/>
        <v>-</v>
      </c>
    </row>
    <row r="726">
      <c r="V726" s="17" t="str">
        <f>IFERROR(VLOOKUP(B726,Products!$A$2:$W$1000,16,0),"")</f>
        <v/>
      </c>
      <c r="W726" s="17" t="str">
        <f t="shared" si="1"/>
        <v>-</v>
      </c>
    </row>
    <row r="727">
      <c r="V727" s="17" t="str">
        <f>IFERROR(VLOOKUP(B727,Products!$A$2:$W$1000,16,0),"")</f>
        <v/>
      </c>
      <c r="W727" s="17" t="str">
        <f t="shared" si="1"/>
        <v>-</v>
      </c>
    </row>
    <row r="728">
      <c r="V728" s="17" t="str">
        <f>IFERROR(VLOOKUP(B728,Products!$A$2:$W$1000,16,0),"")</f>
        <v/>
      </c>
      <c r="W728" s="17" t="str">
        <f t="shared" si="1"/>
        <v>-</v>
      </c>
    </row>
    <row r="729">
      <c r="V729" s="17" t="str">
        <f>IFERROR(VLOOKUP(B729,Products!$A$2:$W$1000,16,0),"")</f>
        <v/>
      </c>
      <c r="W729" s="17" t="str">
        <f t="shared" si="1"/>
        <v>-</v>
      </c>
    </row>
    <row r="730">
      <c r="V730" s="17" t="str">
        <f>IFERROR(VLOOKUP(B730,Products!$A$2:$W$1000,16,0),"")</f>
        <v/>
      </c>
      <c r="W730" s="17" t="str">
        <f t="shared" si="1"/>
        <v>-</v>
      </c>
    </row>
    <row r="731">
      <c r="V731" s="17" t="str">
        <f>IFERROR(VLOOKUP(B731,Products!$A$2:$W$1000,16,0),"")</f>
        <v/>
      </c>
      <c r="W731" s="17" t="str">
        <f t="shared" si="1"/>
        <v>-</v>
      </c>
    </row>
    <row r="732">
      <c r="V732" s="17" t="str">
        <f>IFERROR(VLOOKUP(B732,Products!$A$2:$W$1000,16,0),"")</f>
        <v/>
      </c>
      <c r="W732" s="17" t="str">
        <f t="shared" si="1"/>
        <v>-</v>
      </c>
    </row>
    <row r="733">
      <c r="V733" s="17" t="str">
        <f>IFERROR(VLOOKUP(B733,Products!$A$2:$W$1000,16,0),"")</f>
        <v/>
      </c>
      <c r="W733" s="17" t="str">
        <f t="shared" si="1"/>
        <v>-</v>
      </c>
    </row>
    <row r="734">
      <c r="V734" s="17" t="str">
        <f>IFERROR(VLOOKUP(B734,Products!$A$2:$W$1000,16,0),"")</f>
        <v/>
      </c>
      <c r="W734" s="17" t="str">
        <f t="shared" si="1"/>
        <v>-</v>
      </c>
    </row>
    <row r="735">
      <c r="V735" s="17" t="str">
        <f>IFERROR(VLOOKUP(B735,Products!$A$2:$W$1000,16,0),"")</f>
        <v/>
      </c>
      <c r="W735" s="17" t="str">
        <f t="shared" si="1"/>
        <v>-</v>
      </c>
    </row>
    <row r="736">
      <c r="V736" s="17" t="str">
        <f>IFERROR(VLOOKUP(B736,Products!$A$2:$W$1000,16,0),"")</f>
        <v/>
      </c>
      <c r="W736" s="17" t="str">
        <f t="shared" si="1"/>
        <v>-</v>
      </c>
    </row>
    <row r="737">
      <c r="V737" s="17" t="str">
        <f>IFERROR(VLOOKUP(B737,Products!$A$2:$W$1000,16,0),"")</f>
        <v/>
      </c>
      <c r="W737" s="17" t="str">
        <f t="shared" si="1"/>
        <v>-</v>
      </c>
    </row>
    <row r="738">
      <c r="V738" s="17" t="str">
        <f>IFERROR(VLOOKUP(B738,Products!$A$2:$W$1000,16,0),"")</f>
        <v/>
      </c>
      <c r="W738" s="17" t="str">
        <f t="shared" si="1"/>
        <v>-</v>
      </c>
    </row>
    <row r="739">
      <c r="V739" s="17" t="str">
        <f>IFERROR(VLOOKUP(B739,Products!$A$2:$W$1000,16,0),"")</f>
        <v/>
      </c>
      <c r="W739" s="17" t="str">
        <f t="shared" si="1"/>
        <v>-</v>
      </c>
    </row>
    <row r="740">
      <c r="V740" s="17" t="str">
        <f>IFERROR(VLOOKUP(B740,Products!$A$2:$W$1000,16,0),"")</f>
        <v/>
      </c>
      <c r="W740" s="17" t="str">
        <f t="shared" si="1"/>
        <v>-</v>
      </c>
    </row>
    <row r="741">
      <c r="V741" s="17" t="str">
        <f>IFERROR(VLOOKUP(B741,Products!$A$2:$W$1000,16,0),"")</f>
        <v/>
      </c>
      <c r="W741" s="17" t="str">
        <f t="shared" si="1"/>
        <v>-</v>
      </c>
    </row>
    <row r="742">
      <c r="V742" s="17" t="str">
        <f>IFERROR(VLOOKUP(B742,Products!$A$2:$W$1000,16,0),"")</f>
        <v/>
      </c>
      <c r="W742" s="17" t="str">
        <f t="shared" si="1"/>
        <v>-</v>
      </c>
    </row>
    <row r="743">
      <c r="V743" s="17" t="str">
        <f>IFERROR(VLOOKUP(B743,Products!$A$2:$W$1000,16,0),"")</f>
        <v/>
      </c>
      <c r="W743" s="17" t="str">
        <f t="shared" si="1"/>
        <v>-</v>
      </c>
    </row>
    <row r="744">
      <c r="V744" s="17" t="str">
        <f>IFERROR(VLOOKUP(B744,Products!$A$2:$W$1000,16,0),"")</f>
        <v/>
      </c>
      <c r="W744" s="17" t="str">
        <f t="shared" si="1"/>
        <v>-</v>
      </c>
    </row>
    <row r="745">
      <c r="V745" s="17" t="str">
        <f>IFERROR(VLOOKUP(B745,Products!$A$2:$W$1000,16,0),"")</f>
        <v/>
      </c>
      <c r="W745" s="17" t="str">
        <f t="shared" si="1"/>
        <v>-</v>
      </c>
    </row>
    <row r="746">
      <c r="V746" s="17" t="str">
        <f>IFERROR(VLOOKUP(B746,Products!$A$2:$W$1000,16,0),"")</f>
        <v/>
      </c>
      <c r="W746" s="17" t="str">
        <f t="shared" si="1"/>
        <v>-</v>
      </c>
    </row>
    <row r="747">
      <c r="V747" s="17" t="str">
        <f>IFERROR(VLOOKUP(B747,Products!$A$2:$W$1000,16,0),"")</f>
        <v/>
      </c>
      <c r="W747" s="17" t="str">
        <f t="shared" si="1"/>
        <v>-</v>
      </c>
    </row>
    <row r="748">
      <c r="V748" s="17" t="str">
        <f>IFERROR(VLOOKUP(B748,Products!$A$2:$W$1000,16,0),"")</f>
        <v/>
      </c>
      <c r="W748" s="17" t="str">
        <f t="shared" si="1"/>
        <v>-</v>
      </c>
    </row>
    <row r="749">
      <c r="V749" s="17" t="str">
        <f>IFERROR(VLOOKUP(B749,Products!$A$2:$W$1000,16,0),"")</f>
        <v/>
      </c>
      <c r="W749" s="17" t="str">
        <f t="shared" si="1"/>
        <v>-</v>
      </c>
    </row>
    <row r="750">
      <c r="V750" s="17" t="str">
        <f>IFERROR(VLOOKUP(B750,Products!$A$2:$W$1000,16,0),"")</f>
        <v/>
      </c>
      <c r="W750" s="17" t="str">
        <f t="shared" si="1"/>
        <v>-</v>
      </c>
    </row>
    <row r="751">
      <c r="V751" s="17" t="str">
        <f>IFERROR(VLOOKUP(B751,Products!$A$2:$W$1000,16,0),"")</f>
        <v/>
      </c>
      <c r="W751" s="17" t="str">
        <f t="shared" si="1"/>
        <v>-</v>
      </c>
    </row>
    <row r="752">
      <c r="V752" s="17" t="str">
        <f>IFERROR(VLOOKUP(B752,Products!$A$2:$W$1000,16,0),"")</f>
        <v/>
      </c>
      <c r="W752" s="17" t="str">
        <f t="shared" si="1"/>
        <v>-</v>
      </c>
    </row>
    <row r="753">
      <c r="V753" s="17" t="str">
        <f>IFERROR(VLOOKUP(B753,Products!$A$2:$W$1000,16,0),"")</f>
        <v/>
      </c>
      <c r="W753" s="17" t="str">
        <f t="shared" si="1"/>
        <v>-</v>
      </c>
    </row>
    <row r="754">
      <c r="V754" s="17" t="str">
        <f>IFERROR(VLOOKUP(B754,Products!$A$2:$W$1000,16,0),"")</f>
        <v/>
      </c>
      <c r="W754" s="17" t="str">
        <f t="shared" si="1"/>
        <v>-</v>
      </c>
    </row>
    <row r="755">
      <c r="V755" s="17" t="str">
        <f>IFERROR(VLOOKUP(B755,Products!$A$2:$W$1000,16,0),"")</f>
        <v/>
      </c>
      <c r="W755" s="17" t="str">
        <f t="shared" si="1"/>
        <v>-</v>
      </c>
    </row>
    <row r="756">
      <c r="V756" s="17" t="str">
        <f>IFERROR(VLOOKUP(B756,Products!$A$2:$W$1000,16,0),"")</f>
        <v/>
      </c>
      <c r="W756" s="17" t="str">
        <f t="shared" si="1"/>
        <v>-</v>
      </c>
    </row>
    <row r="757">
      <c r="V757" s="17" t="str">
        <f>IFERROR(VLOOKUP(B757,Products!$A$2:$W$1000,16,0),"")</f>
        <v/>
      </c>
      <c r="W757" s="17" t="str">
        <f t="shared" si="1"/>
        <v>-</v>
      </c>
    </row>
    <row r="758">
      <c r="V758" s="17" t="str">
        <f>IFERROR(VLOOKUP(B758,Products!$A$2:$W$1000,16,0),"")</f>
        <v/>
      </c>
      <c r="W758" s="17" t="str">
        <f t="shared" si="1"/>
        <v>-</v>
      </c>
    </row>
    <row r="759">
      <c r="V759" s="17" t="str">
        <f>IFERROR(VLOOKUP(B759,Products!$A$2:$W$1000,16,0),"")</f>
        <v/>
      </c>
      <c r="W759" s="17" t="str">
        <f t="shared" si="1"/>
        <v>-</v>
      </c>
    </row>
    <row r="760">
      <c r="V760" s="17" t="str">
        <f>IFERROR(VLOOKUP(B760,Products!$A$2:$W$1000,16,0),"")</f>
        <v/>
      </c>
      <c r="W760" s="17" t="str">
        <f t="shared" si="1"/>
        <v>-</v>
      </c>
    </row>
    <row r="761">
      <c r="V761" s="17" t="str">
        <f>IFERROR(VLOOKUP(B761,Products!$A$2:$W$1000,16,0),"")</f>
        <v/>
      </c>
      <c r="W761" s="17" t="str">
        <f t="shared" si="1"/>
        <v>-</v>
      </c>
    </row>
    <row r="762">
      <c r="V762" s="17" t="str">
        <f>IFERROR(VLOOKUP(B762,Products!$A$2:$W$1000,16,0),"")</f>
        <v/>
      </c>
      <c r="W762" s="17" t="str">
        <f t="shared" si="1"/>
        <v>-</v>
      </c>
    </row>
    <row r="763">
      <c r="V763" s="17" t="str">
        <f>IFERROR(VLOOKUP(B763,Products!$A$2:$W$1000,16,0),"")</f>
        <v/>
      </c>
      <c r="W763" s="17" t="str">
        <f t="shared" si="1"/>
        <v>-</v>
      </c>
    </row>
    <row r="764">
      <c r="V764" s="17" t="str">
        <f>IFERROR(VLOOKUP(B764,Products!$A$2:$W$1000,16,0),"")</f>
        <v/>
      </c>
      <c r="W764" s="17" t="str">
        <f t="shared" si="1"/>
        <v>-</v>
      </c>
    </row>
    <row r="765">
      <c r="V765" s="17" t="str">
        <f>IFERROR(VLOOKUP(B765,Products!$A$2:$W$1000,16,0),"")</f>
        <v/>
      </c>
      <c r="W765" s="17" t="str">
        <f t="shared" si="1"/>
        <v>-</v>
      </c>
    </row>
    <row r="766">
      <c r="V766" s="17" t="str">
        <f>IFERROR(VLOOKUP(B766,Products!$A$2:$W$1000,16,0),"")</f>
        <v/>
      </c>
      <c r="W766" s="17" t="str">
        <f t="shared" si="1"/>
        <v>-</v>
      </c>
    </row>
    <row r="767">
      <c r="V767" s="17" t="str">
        <f>IFERROR(VLOOKUP(B767,Products!$A$2:$W$1000,16,0),"")</f>
        <v/>
      </c>
      <c r="W767" s="17" t="str">
        <f t="shared" si="1"/>
        <v>-</v>
      </c>
    </row>
    <row r="768">
      <c r="V768" s="17" t="str">
        <f>IFERROR(VLOOKUP(B768,Products!$A$2:$W$1000,16,0),"")</f>
        <v/>
      </c>
      <c r="W768" s="17" t="str">
        <f t="shared" si="1"/>
        <v>-</v>
      </c>
    </row>
    <row r="769">
      <c r="V769" s="17" t="str">
        <f>IFERROR(VLOOKUP(B769,Products!$A$2:$W$1000,16,0),"")</f>
        <v/>
      </c>
      <c r="W769" s="17" t="str">
        <f t="shared" si="1"/>
        <v>-</v>
      </c>
    </row>
    <row r="770">
      <c r="V770" s="17" t="str">
        <f>IFERROR(VLOOKUP(B770,Products!$A$2:$W$1000,16,0),"")</f>
        <v/>
      </c>
      <c r="W770" s="17" t="str">
        <f t="shared" si="1"/>
        <v>-</v>
      </c>
    </row>
    <row r="771">
      <c r="V771" s="17" t="str">
        <f>IFERROR(VLOOKUP(B771,Products!$A$2:$W$1000,16,0),"")</f>
        <v/>
      </c>
      <c r="W771" s="17" t="str">
        <f t="shared" si="1"/>
        <v>-</v>
      </c>
    </row>
    <row r="772">
      <c r="V772" s="17" t="str">
        <f>IFERROR(VLOOKUP(B772,Products!$A$2:$W$1000,16,0),"")</f>
        <v/>
      </c>
      <c r="W772" s="17" t="str">
        <f t="shared" si="1"/>
        <v>-</v>
      </c>
    </row>
    <row r="773">
      <c r="V773" s="17" t="str">
        <f>IFERROR(VLOOKUP(B773,Products!$A$2:$W$1000,16,0),"")</f>
        <v/>
      </c>
      <c r="W773" s="17" t="str">
        <f t="shared" si="1"/>
        <v>-</v>
      </c>
    </row>
    <row r="774">
      <c r="V774" s="17" t="str">
        <f>IFERROR(VLOOKUP(B774,Products!$A$2:$W$1000,16,0),"")</f>
        <v/>
      </c>
      <c r="W774" s="17" t="str">
        <f t="shared" si="1"/>
        <v>-</v>
      </c>
    </row>
    <row r="775">
      <c r="V775" s="17" t="str">
        <f>IFERROR(VLOOKUP(B775,Products!$A$2:$W$1000,16,0),"")</f>
        <v/>
      </c>
      <c r="W775" s="17" t="str">
        <f t="shared" si="1"/>
        <v>-</v>
      </c>
    </row>
    <row r="776">
      <c r="V776" s="17" t="str">
        <f>IFERROR(VLOOKUP(B776,Products!$A$2:$W$1000,16,0),"")</f>
        <v/>
      </c>
      <c r="W776" s="17" t="str">
        <f t="shared" si="1"/>
        <v>-</v>
      </c>
    </row>
    <row r="777">
      <c r="V777" s="17" t="str">
        <f>IFERROR(VLOOKUP(B777,Products!$A$2:$W$1000,16,0),"")</f>
        <v/>
      </c>
      <c r="W777" s="17" t="str">
        <f t="shared" si="1"/>
        <v>-</v>
      </c>
    </row>
    <row r="778">
      <c r="V778" s="17" t="str">
        <f>IFERROR(VLOOKUP(B778,Products!$A$2:$W$1000,16,0),"")</f>
        <v/>
      </c>
      <c r="W778" s="17" t="str">
        <f t="shared" si="1"/>
        <v>-</v>
      </c>
    </row>
    <row r="779">
      <c r="V779" s="17" t="str">
        <f>IFERROR(VLOOKUP(B779,Products!$A$2:$W$1000,16,0),"")</f>
        <v/>
      </c>
      <c r="W779" s="17" t="str">
        <f t="shared" si="1"/>
        <v>-</v>
      </c>
    </row>
    <row r="780">
      <c r="V780" s="17" t="str">
        <f>IFERROR(VLOOKUP(B780,Products!$A$2:$W$1000,16,0),"")</f>
        <v/>
      </c>
      <c r="W780" s="17" t="str">
        <f t="shared" si="1"/>
        <v>-</v>
      </c>
    </row>
    <row r="781">
      <c r="V781" s="17" t="str">
        <f>IFERROR(VLOOKUP(B781,Products!$A$2:$W$1000,16,0),"")</f>
        <v/>
      </c>
      <c r="W781" s="17" t="str">
        <f t="shared" si="1"/>
        <v>-</v>
      </c>
    </row>
    <row r="782">
      <c r="V782" s="17" t="str">
        <f>IFERROR(VLOOKUP(B782,Products!$A$2:$W$1000,16,0),"")</f>
        <v/>
      </c>
      <c r="W782" s="17" t="str">
        <f t="shared" si="1"/>
        <v>-</v>
      </c>
    </row>
    <row r="783">
      <c r="V783" s="17" t="str">
        <f>IFERROR(VLOOKUP(B783,Products!$A$2:$W$1000,16,0),"")</f>
        <v/>
      </c>
      <c r="W783" s="17" t="str">
        <f t="shared" si="1"/>
        <v>-</v>
      </c>
    </row>
    <row r="784">
      <c r="V784" s="17" t="str">
        <f>IFERROR(VLOOKUP(B784,Products!$A$2:$W$1000,16,0),"")</f>
        <v/>
      </c>
      <c r="W784" s="17" t="str">
        <f t="shared" si="1"/>
        <v>-</v>
      </c>
    </row>
    <row r="785">
      <c r="V785" s="17" t="str">
        <f>IFERROR(VLOOKUP(B785,Products!$A$2:$W$1000,16,0),"")</f>
        <v/>
      </c>
      <c r="W785" s="17" t="str">
        <f t="shared" si="1"/>
        <v>-</v>
      </c>
    </row>
    <row r="786">
      <c r="V786" s="17" t="str">
        <f>IFERROR(VLOOKUP(B786,Products!$A$2:$W$1000,16,0),"")</f>
        <v/>
      </c>
      <c r="W786" s="17" t="str">
        <f t="shared" si="1"/>
        <v>-</v>
      </c>
    </row>
    <row r="787">
      <c r="V787" s="17" t="str">
        <f>IFERROR(VLOOKUP(B787,Products!$A$2:$W$1000,16,0),"")</f>
        <v/>
      </c>
      <c r="W787" s="17" t="str">
        <f t="shared" si="1"/>
        <v>-</v>
      </c>
    </row>
    <row r="788">
      <c r="V788" s="17" t="str">
        <f>IFERROR(VLOOKUP(B788,Products!$A$2:$W$1000,16,0),"")</f>
        <v/>
      </c>
      <c r="W788" s="17" t="str">
        <f t="shared" si="1"/>
        <v>-</v>
      </c>
    </row>
    <row r="789">
      <c r="V789" s="17" t="str">
        <f>IFERROR(VLOOKUP(B789,Products!$A$2:$W$1000,16,0),"")</f>
        <v/>
      </c>
      <c r="W789" s="17" t="str">
        <f t="shared" si="1"/>
        <v>-</v>
      </c>
    </row>
    <row r="790">
      <c r="V790" s="17" t="str">
        <f>IFERROR(VLOOKUP(B790,Products!$A$2:$W$1000,16,0),"")</f>
        <v/>
      </c>
      <c r="W790" s="17" t="str">
        <f t="shared" si="1"/>
        <v>-</v>
      </c>
    </row>
    <row r="791">
      <c r="V791" s="17" t="str">
        <f>IFERROR(VLOOKUP(B791,Products!$A$2:$W$1000,16,0),"")</f>
        <v/>
      </c>
      <c r="W791" s="17" t="str">
        <f t="shared" si="1"/>
        <v>-</v>
      </c>
    </row>
    <row r="792">
      <c r="V792" s="17" t="str">
        <f>IFERROR(VLOOKUP(B792,Products!$A$2:$W$1000,16,0),"")</f>
        <v/>
      </c>
      <c r="W792" s="17" t="str">
        <f t="shared" si="1"/>
        <v>-</v>
      </c>
    </row>
    <row r="793">
      <c r="V793" s="17" t="str">
        <f>IFERROR(VLOOKUP(B793,Products!$A$2:$W$1000,16,0),"")</f>
        <v/>
      </c>
      <c r="W793" s="17" t="str">
        <f t="shared" si="1"/>
        <v>-</v>
      </c>
    </row>
    <row r="794">
      <c r="V794" s="17" t="str">
        <f>IFERROR(VLOOKUP(B794,Products!$A$2:$W$1000,16,0),"")</f>
        <v/>
      </c>
      <c r="W794" s="17" t="str">
        <f t="shared" si="1"/>
        <v>-</v>
      </c>
    </row>
    <row r="795">
      <c r="V795" s="17" t="str">
        <f>IFERROR(VLOOKUP(B795,Products!$A$2:$W$1000,16,0),"")</f>
        <v/>
      </c>
      <c r="W795" s="17" t="str">
        <f t="shared" si="1"/>
        <v>-</v>
      </c>
    </row>
    <row r="796">
      <c r="V796" s="17" t="str">
        <f>IFERROR(VLOOKUP(B796,Products!$A$2:$W$1000,16,0),"")</f>
        <v/>
      </c>
      <c r="W796" s="17" t="str">
        <f t="shared" si="1"/>
        <v>-</v>
      </c>
    </row>
    <row r="797">
      <c r="V797" s="17" t="str">
        <f>IFERROR(VLOOKUP(B797,Products!$A$2:$W$1000,16,0),"")</f>
        <v/>
      </c>
      <c r="W797" s="17" t="str">
        <f t="shared" si="1"/>
        <v>-</v>
      </c>
    </row>
    <row r="798">
      <c r="V798" s="17" t="str">
        <f>IFERROR(VLOOKUP(B798,Products!$A$2:$W$1000,16,0),"")</f>
        <v/>
      </c>
      <c r="W798" s="17" t="str">
        <f t="shared" si="1"/>
        <v>-</v>
      </c>
    </row>
    <row r="799">
      <c r="V799" s="17" t="str">
        <f>IFERROR(VLOOKUP(B799,Products!$A$2:$W$1000,16,0),"")</f>
        <v/>
      </c>
      <c r="W799" s="17" t="str">
        <f t="shared" si="1"/>
        <v>-</v>
      </c>
    </row>
    <row r="800">
      <c r="V800" s="17" t="str">
        <f>IFERROR(VLOOKUP(B800,Products!$A$2:$W$1000,16,0),"")</f>
        <v/>
      </c>
      <c r="W800" s="17" t="str">
        <f t="shared" si="1"/>
        <v>-</v>
      </c>
    </row>
    <row r="801">
      <c r="V801" s="17" t="str">
        <f>IFERROR(VLOOKUP(B801,Products!$A$2:$W$1000,16,0),"")</f>
        <v/>
      </c>
      <c r="W801" s="17" t="str">
        <f t="shared" si="1"/>
        <v>-</v>
      </c>
    </row>
    <row r="802">
      <c r="V802" s="17" t="str">
        <f>IFERROR(VLOOKUP(B802,Products!$A$2:$W$1000,16,0),"")</f>
        <v/>
      </c>
      <c r="W802" s="17" t="str">
        <f t="shared" si="1"/>
        <v>-</v>
      </c>
    </row>
    <row r="803">
      <c r="V803" s="17" t="str">
        <f>IFERROR(VLOOKUP(B803,Products!$A$2:$W$1000,16,0),"")</f>
        <v/>
      </c>
      <c r="W803" s="17" t="str">
        <f t="shared" si="1"/>
        <v>-</v>
      </c>
    </row>
    <row r="804">
      <c r="V804" s="17" t="str">
        <f>IFERROR(VLOOKUP(B804,Products!$A$2:$W$1000,16,0),"")</f>
        <v/>
      </c>
      <c r="W804" s="17" t="str">
        <f t="shared" si="1"/>
        <v>-</v>
      </c>
    </row>
    <row r="805">
      <c r="V805" s="17" t="str">
        <f>IFERROR(VLOOKUP(B805,Products!$A$2:$W$1000,16,0),"")</f>
        <v/>
      </c>
      <c r="W805" s="17" t="str">
        <f t="shared" si="1"/>
        <v>-</v>
      </c>
    </row>
    <row r="806">
      <c r="V806" s="17" t="str">
        <f>IFERROR(VLOOKUP(B806,Products!$A$2:$W$1000,16,0),"")</f>
        <v/>
      </c>
      <c r="W806" s="17" t="str">
        <f t="shared" si="1"/>
        <v>-</v>
      </c>
    </row>
    <row r="807">
      <c r="V807" s="17" t="str">
        <f>IFERROR(VLOOKUP(B807,Products!$A$2:$W$1000,16,0),"")</f>
        <v/>
      </c>
      <c r="W807" s="17" t="str">
        <f t="shared" si="1"/>
        <v>-</v>
      </c>
    </row>
    <row r="808">
      <c r="V808" s="17" t="str">
        <f>IFERROR(VLOOKUP(B808,Products!$A$2:$W$1000,16,0),"")</f>
        <v/>
      </c>
      <c r="W808" s="17" t="str">
        <f t="shared" si="1"/>
        <v>-</v>
      </c>
    </row>
    <row r="809">
      <c r="V809" s="17" t="str">
        <f>IFERROR(VLOOKUP(B809,Products!$A$2:$W$1000,16,0),"")</f>
        <v/>
      </c>
      <c r="W809" s="17" t="str">
        <f t="shared" si="1"/>
        <v>-</v>
      </c>
    </row>
    <row r="810">
      <c r="V810" s="17" t="str">
        <f>IFERROR(VLOOKUP(B810,Products!$A$2:$W$1000,16,0),"")</f>
        <v/>
      </c>
      <c r="W810" s="17" t="str">
        <f t="shared" si="1"/>
        <v>-</v>
      </c>
    </row>
    <row r="811">
      <c r="V811" s="17" t="str">
        <f>IFERROR(VLOOKUP(B811,Products!$A$2:$W$1000,16,0),"")</f>
        <v/>
      </c>
      <c r="W811" s="17" t="str">
        <f t="shared" si="1"/>
        <v>-</v>
      </c>
    </row>
    <row r="812">
      <c r="V812" s="17" t="str">
        <f>IFERROR(VLOOKUP(B812,Products!$A$2:$W$1000,16,0),"")</f>
        <v/>
      </c>
      <c r="W812" s="17" t="str">
        <f t="shared" si="1"/>
        <v>-</v>
      </c>
    </row>
    <row r="813">
      <c r="V813" s="17" t="str">
        <f>IFERROR(VLOOKUP(B813,Products!$A$2:$W$1000,16,0),"")</f>
        <v/>
      </c>
      <c r="W813" s="17" t="str">
        <f t="shared" si="1"/>
        <v>-</v>
      </c>
    </row>
    <row r="814">
      <c r="V814" s="17" t="str">
        <f>IFERROR(VLOOKUP(B814,Products!$A$2:$W$1000,16,0),"")</f>
        <v/>
      </c>
      <c r="W814" s="17" t="str">
        <f t="shared" si="1"/>
        <v>-</v>
      </c>
    </row>
    <row r="815">
      <c r="V815" s="17" t="str">
        <f>IFERROR(VLOOKUP(B815,Products!$A$2:$W$1000,16,0),"")</f>
        <v/>
      </c>
      <c r="W815" s="17" t="str">
        <f t="shared" si="1"/>
        <v>-</v>
      </c>
    </row>
    <row r="816">
      <c r="V816" s="17" t="str">
        <f>IFERROR(VLOOKUP(B816,Products!$A$2:$W$1000,16,0),"")</f>
        <v/>
      </c>
      <c r="W816" s="17" t="str">
        <f t="shared" si="1"/>
        <v>-</v>
      </c>
    </row>
    <row r="817">
      <c r="V817" s="17" t="str">
        <f>IFERROR(VLOOKUP(B817,Products!$A$2:$W$1000,16,0),"")</f>
        <v/>
      </c>
      <c r="W817" s="17" t="str">
        <f t="shared" si="1"/>
        <v>-</v>
      </c>
    </row>
    <row r="818">
      <c r="V818" s="17" t="str">
        <f>IFERROR(VLOOKUP(B818,Products!$A$2:$W$1000,16,0),"")</f>
        <v/>
      </c>
      <c r="W818" s="17" t="str">
        <f t="shared" si="1"/>
        <v>-</v>
      </c>
    </row>
    <row r="819">
      <c r="V819" s="17" t="str">
        <f>IFERROR(VLOOKUP(B819,Products!$A$2:$W$1000,16,0),"")</f>
        <v/>
      </c>
      <c r="W819" s="17" t="str">
        <f t="shared" si="1"/>
        <v>-</v>
      </c>
    </row>
    <row r="820">
      <c r="V820" s="17" t="str">
        <f>IFERROR(VLOOKUP(B820,Products!$A$2:$W$1000,16,0),"")</f>
        <v/>
      </c>
      <c r="W820" s="17" t="str">
        <f t="shared" si="1"/>
        <v>-</v>
      </c>
    </row>
    <row r="821">
      <c r="V821" s="17" t="str">
        <f>IFERROR(VLOOKUP(B821,Products!$A$2:$W$1000,16,0),"")</f>
        <v/>
      </c>
      <c r="W821" s="17" t="str">
        <f t="shared" si="1"/>
        <v>-</v>
      </c>
    </row>
    <row r="822">
      <c r="V822" s="17" t="str">
        <f>IFERROR(VLOOKUP(B822,Products!$A$2:$W$1000,16,0),"")</f>
        <v/>
      </c>
      <c r="W822" s="17" t="str">
        <f t="shared" si="1"/>
        <v>-</v>
      </c>
    </row>
    <row r="823">
      <c r="V823" s="17" t="str">
        <f>IFERROR(VLOOKUP(B823,Products!$A$2:$W$1000,16,0),"")</f>
        <v/>
      </c>
      <c r="W823" s="17" t="str">
        <f t="shared" si="1"/>
        <v>-</v>
      </c>
    </row>
    <row r="824">
      <c r="V824" s="17" t="str">
        <f>IFERROR(VLOOKUP(B824,Products!$A$2:$W$1000,16,0),"")</f>
        <v/>
      </c>
      <c r="W824" s="17" t="str">
        <f t="shared" si="1"/>
        <v>-</v>
      </c>
    </row>
    <row r="825">
      <c r="V825" s="17" t="str">
        <f>IFERROR(VLOOKUP(B825,Products!$A$2:$W$1000,16,0),"")</f>
        <v/>
      </c>
      <c r="W825" s="17" t="str">
        <f t="shared" si="1"/>
        <v>-</v>
      </c>
    </row>
    <row r="826">
      <c r="V826" s="17" t="str">
        <f>IFERROR(VLOOKUP(B826,Products!$A$2:$W$1000,16,0),"")</f>
        <v/>
      </c>
      <c r="W826" s="17" t="str">
        <f t="shared" si="1"/>
        <v>-</v>
      </c>
    </row>
    <row r="827">
      <c r="V827" s="17" t="str">
        <f>IFERROR(VLOOKUP(B827,Products!$A$2:$W$1000,16,0),"")</f>
        <v/>
      </c>
      <c r="W827" s="17" t="str">
        <f t="shared" si="1"/>
        <v>-</v>
      </c>
    </row>
    <row r="828">
      <c r="V828" s="17" t="str">
        <f>IFERROR(VLOOKUP(B828,Products!$A$2:$W$1000,16,0),"")</f>
        <v/>
      </c>
      <c r="W828" s="17" t="str">
        <f t="shared" si="1"/>
        <v>-</v>
      </c>
    </row>
    <row r="829">
      <c r="V829" s="17" t="str">
        <f>IFERROR(VLOOKUP(B829,Products!$A$2:$W$1000,16,0),"")</f>
        <v/>
      </c>
      <c r="W829" s="17" t="str">
        <f t="shared" si="1"/>
        <v>-</v>
      </c>
    </row>
    <row r="830">
      <c r="V830" s="17" t="str">
        <f>IFERROR(VLOOKUP(B830,Products!$A$2:$W$1000,16,0),"")</f>
        <v/>
      </c>
      <c r="W830" s="17" t="str">
        <f t="shared" si="1"/>
        <v>-</v>
      </c>
    </row>
    <row r="831">
      <c r="V831" s="17" t="str">
        <f>IFERROR(VLOOKUP(B831,Products!$A$2:$W$1000,16,0),"")</f>
        <v/>
      </c>
      <c r="W831" s="17" t="str">
        <f t="shared" si="1"/>
        <v>-</v>
      </c>
    </row>
    <row r="832">
      <c r="V832" s="17" t="str">
        <f>IFERROR(VLOOKUP(B832,Products!$A$2:$W$1000,16,0),"")</f>
        <v/>
      </c>
      <c r="W832" s="17" t="str">
        <f t="shared" si="1"/>
        <v>-</v>
      </c>
    </row>
    <row r="833">
      <c r="V833" s="17" t="str">
        <f>IFERROR(VLOOKUP(B833,Products!$A$2:$W$1000,16,0),"")</f>
        <v/>
      </c>
      <c r="W833" s="17" t="str">
        <f t="shared" si="1"/>
        <v>-</v>
      </c>
    </row>
    <row r="834">
      <c r="V834" s="17" t="str">
        <f>IFERROR(VLOOKUP(B834,Products!$A$2:$W$1000,16,0),"")</f>
        <v/>
      </c>
      <c r="W834" s="17" t="str">
        <f t="shared" si="1"/>
        <v>-</v>
      </c>
    </row>
    <row r="835">
      <c r="V835" s="17" t="str">
        <f>IFERROR(VLOOKUP(B835,Products!$A$2:$W$1000,16,0),"")</f>
        <v/>
      </c>
      <c r="W835" s="17" t="str">
        <f t="shared" si="1"/>
        <v>-</v>
      </c>
    </row>
    <row r="836">
      <c r="V836" s="17" t="str">
        <f>IFERROR(VLOOKUP(B836,Products!$A$2:$W$1000,16,0),"")</f>
        <v/>
      </c>
      <c r="W836" s="17" t="str">
        <f t="shared" si="1"/>
        <v>-</v>
      </c>
    </row>
    <row r="837">
      <c r="V837" s="17" t="str">
        <f>IFERROR(VLOOKUP(B837,Products!$A$2:$W$1000,16,0),"")</f>
        <v/>
      </c>
      <c r="W837" s="17" t="str">
        <f t="shared" si="1"/>
        <v>-</v>
      </c>
    </row>
    <row r="838">
      <c r="V838" s="17" t="str">
        <f>IFERROR(VLOOKUP(B838,Products!$A$2:$W$1000,16,0),"")</f>
        <v/>
      </c>
      <c r="W838" s="17" t="str">
        <f t="shared" si="1"/>
        <v>-</v>
      </c>
    </row>
    <row r="839">
      <c r="V839" s="17" t="str">
        <f>IFERROR(VLOOKUP(B839,Products!$A$2:$W$1000,16,0),"")</f>
        <v/>
      </c>
      <c r="W839" s="17" t="str">
        <f t="shared" si="1"/>
        <v>-</v>
      </c>
    </row>
    <row r="840">
      <c r="V840" s="17" t="str">
        <f>IFERROR(VLOOKUP(B840,Products!$A$2:$W$1000,16,0),"")</f>
        <v/>
      </c>
      <c r="W840" s="17" t="str">
        <f t="shared" si="1"/>
        <v>-</v>
      </c>
    </row>
    <row r="841">
      <c r="V841" s="17" t="str">
        <f>IFERROR(VLOOKUP(B841,Products!$A$2:$W$1000,16,0),"")</f>
        <v/>
      </c>
      <c r="W841" s="17" t="str">
        <f t="shared" si="1"/>
        <v>-</v>
      </c>
    </row>
    <row r="842">
      <c r="V842" s="17" t="str">
        <f>IFERROR(VLOOKUP(B842,Products!$A$2:$W$1000,16,0),"")</f>
        <v/>
      </c>
      <c r="W842" s="17" t="str">
        <f t="shared" si="1"/>
        <v>-</v>
      </c>
    </row>
    <row r="843">
      <c r="V843" s="17" t="str">
        <f>IFERROR(VLOOKUP(B843,Products!$A$2:$W$1000,16,0),"")</f>
        <v/>
      </c>
      <c r="W843" s="17" t="str">
        <f t="shared" si="1"/>
        <v>-</v>
      </c>
    </row>
    <row r="844">
      <c r="V844" s="17" t="str">
        <f>IFERROR(VLOOKUP(B844,Products!$A$2:$W$1000,16,0),"")</f>
        <v/>
      </c>
      <c r="W844" s="17" t="str">
        <f t="shared" si="1"/>
        <v>-</v>
      </c>
    </row>
    <row r="845">
      <c r="V845" s="17" t="str">
        <f>IFERROR(VLOOKUP(B845,Products!$A$2:$W$1000,16,0),"")</f>
        <v/>
      </c>
      <c r="W845" s="17" t="str">
        <f t="shared" si="1"/>
        <v>-</v>
      </c>
    </row>
    <row r="846">
      <c r="V846" s="17" t="str">
        <f>IFERROR(VLOOKUP(B846,Products!$A$2:$W$1000,16,0),"")</f>
        <v/>
      </c>
      <c r="W846" s="17" t="str">
        <f t="shared" si="1"/>
        <v>-</v>
      </c>
    </row>
    <row r="847">
      <c r="V847" s="17" t="str">
        <f>IFERROR(VLOOKUP(B847,Products!$A$2:$W$1000,16,0),"")</f>
        <v/>
      </c>
      <c r="W847" s="17" t="str">
        <f t="shared" si="1"/>
        <v>-</v>
      </c>
    </row>
    <row r="848">
      <c r="V848" s="17" t="str">
        <f>IFERROR(VLOOKUP(B848,Products!$A$2:$W$1000,16,0),"")</f>
        <v/>
      </c>
      <c r="W848" s="17" t="str">
        <f t="shared" si="1"/>
        <v>-</v>
      </c>
    </row>
    <row r="849">
      <c r="V849" s="17" t="str">
        <f>IFERROR(VLOOKUP(B849,Products!$A$2:$W$1000,16,0),"")</f>
        <v/>
      </c>
      <c r="W849" s="17" t="str">
        <f t="shared" si="1"/>
        <v>-</v>
      </c>
    </row>
    <row r="850">
      <c r="V850" s="17" t="str">
        <f>IFERROR(VLOOKUP(B850,Products!$A$2:$W$1000,16,0),"")</f>
        <v/>
      </c>
      <c r="W850" s="17" t="str">
        <f t="shared" si="1"/>
        <v>-</v>
      </c>
    </row>
    <row r="851">
      <c r="V851" s="17" t="str">
        <f>IFERROR(VLOOKUP(B851,Products!$A$2:$W$1000,16,0),"")</f>
        <v/>
      </c>
      <c r="W851" s="17" t="str">
        <f t="shared" si="1"/>
        <v>-</v>
      </c>
    </row>
    <row r="852">
      <c r="V852" s="17" t="str">
        <f>IFERROR(VLOOKUP(B852,Products!$A$2:$W$1000,16,0),"")</f>
        <v/>
      </c>
      <c r="W852" s="17" t="str">
        <f t="shared" si="1"/>
        <v>-</v>
      </c>
    </row>
    <row r="853">
      <c r="V853" s="17" t="str">
        <f>IFERROR(VLOOKUP(B853,Products!$A$2:$W$1000,16,0),"")</f>
        <v/>
      </c>
      <c r="W853" s="17" t="str">
        <f t="shared" si="1"/>
        <v>-</v>
      </c>
    </row>
    <row r="854">
      <c r="V854" s="17" t="str">
        <f>IFERROR(VLOOKUP(B854,Products!$A$2:$W$1000,16,0),"")</f>
        <v/>
      </c>
      <c r="W854" s="17" t="str">
        <f t="shared" si="1"/>
        <v>-</v>
      </c>
    </row>
    <row r="855">
      <c r="V855" s="17" t="str">
        <f>IFERROR(VLOOKUP(B855,Products!$A$2:$W$1000,16,0),"")</f>
        <v/>
      </c>
      <c r="W855" s="17" t="str">
        <f t="shared" si="1"/>
        <v>-</v>
      </c>
    </row>
    <row r="856">
      <c r="V856" s="17" t="str">
        <f>IFERROR(VLOOKUP(B856,Products!$A$2:$W$1000,16,0),"")</f>
        <v/>
      </c>
      <c r="W856" s="17" t="str">
        <f t="shared" si="1"/>
        <v>-</v>
      </c>
    </row>
    <row r="857">
      <c r="V857" s="17" t="str">
        <f>IFERROR(VLOOKUP(B857,Products!$A$2:$W$1000,16,0),"")</f>
        <v/>
      </c>
      <c r="W857" s="17" t="str">
        <f t="shared" si="1"/>
        <v>-</v>
      </c>
    </row>
    <row r="858">
      <c r="V858" s="17" t="str">
        <f>IFERROR(VLOOKUP(B858,Products!$A$2:$W$1000,16,0),"")</f>
        <v/>
      </c>
      <c r="W858" s="17" t="str">
        <f t="shared" si="1"/>
        <v>-</v>
      </c>
    </row>
    <row r="859">
      <c r="V859" s="17" t="str">
        <f>IFERROR(VLOOKUP(B859,Products!$A$2:$W$1000,16,0),"")</f>
        <v/>
      </c>
      <c r="W859" s="17" t="str">
        <f t="shared" si="1"/>
        <v>-</v>
      </c>
    </row>
    <row r="860">
      <c r="V860" s="17" t="str">
        <f>IFERROR(VLOOKUP(B860,Products!$A$2:$W$1000,16,0),"")</f>
        <v/>
      </c>
      <c r="W860" s="17" t="str">
        <f t="shared" si="1"/>
        <v>-</v>
      </c>
    </row>
    <row r="861">
      <c r="V861" s="17" t="str">
        <f>IFERROR(VLOOKUP(B861,Products!$A$2:$W$1000,16,0),"")</f>
        <v/>
      </c>
      <c r="W861" s="17" t="str">
        <f t="shared" si="1"/>
        <v>-</v>
      </c>
    </row>
    <row r="862">
      <c r="V862" s="17" t="str">
        <f>IFERROR(VLOOKUP(B862,Products!$A$2:$W$1000,16,0),"")</f>
        <v/>
      </c>
      <c r="W862" s="17" t="str">
        <f t="shared" si="1"/>
        <v>-</v>
      </c>
    </row>
    <row r="863">
      <c r="V863" s="17" t="str">
        <f>IFERROR(VLOOKUP(B863,Products!$A$2:$W$1000,16,0),"")</f>
        <v/>
      </c>
      <c r="W863" s="17" t="str">
        <f t="shared" si="1"/>
        <v>-</v>
      </c>
    </row>
    <row r="864">
      <c r="V864" s="17" t="str">
        <f>IFERROR(VLOOKUP(B864,Products!$A$2:$W$1000,16,0),"")</f>
        <v/>
      </c>
      <c r="W864" s="17" t="str">
        <f t="shared" si="1"/>
        <v>-</v>
      </c>
    </row>
    <row r="865">
      <c r="V865" s="17" t="str">
        <f>IFERROR(VLOOKUP(B865,Products!$A$2:$W$1000,16,0),"")</f>
        <v/>
      </c>
      <c r="W865" s="17" t="str">
        <f t="shared" si="1"/>
        <v>-</v>
      </c>
    </row>
    <row r="866">
      <c r="V866" s="17" t="str">
        <f>IFERROR(VLOOKUP(B866,Products!$A$2:$W$1000,16,0),"")</f>
        <v/>
      </c>
      <c r="W866" s="17" t="str">
        <f t="shared" si="1"/>
        <v>-</v>
      </c>
    </row>
    <row r="867">
      <c r="V867" s="17" t="str">
        <f>IFERROR(VLOOKUP(B867,Products!$A$2:$W$1000,16,0),"")</f>
        <v/>
      </c>
      <c r="W867" s="17" t="str">
        <f t="shared" si="1"/>
        <v>-</v>
      </c>
    </row>
    <row r="868">
      <c r="V868" s="17" t="str">
        <f>IFERROR(VLOOKUP(B868,Products!$A$2:$W$1000,16,0),"")</f>
        <v/>
      </c>
      <c r="W868" s="17" t="str">
        <f t="shared" si="1"/>
        <v>-</v>
      </c>
    </row>
    <row r="869">
      <c r="V869" s="17" t="str">
        <f>IFERROR(VLOOKUP(B869,Products!$A$2:$W$1000,16,0),"")</f>
        <v/>
      </c>
      <c r="W869" s="17" t="str">
        <f t="shared" si="1"/>
        <v>-</v>
      </c>
    </row>
    <row r="870">
      <c r="V870" s="17" t="str">
        <f>IFERROR(VLOOKUP(B870,Products!$A$2:$W$1000,16,0),"")</f>
        <v/>
      </c>
      <c r="W870" s="17" t="str">
        <f t="shared" si="1"/>
        <v>-</v>
      </c>
    </row>
    <row r="871">
      <c r="V871" s="17" t="str">
        <f>IFERROR(VLOOKUP(B871,Products!$A$2:$W$1000,16,0),"")</f>
        <v/>
      </c>
      <c r="W871" s="17" t="str">
        <f t="shared" si="1"/>
        <v>-</v>
      </c>
    </row>
    <row r="872">
      <c r="V872" s="17" t="str">
        <f>IFERROR(VLOOKUP(B872,Products!$A$2:$W$1000,16,0),"")</f>
        <v/>
      </c>
      <c r="W872" s="17" t="str">
        <f t="shared" si="1"/>
        <v>-</v>
      </c>
    </row>
    <row r="873">
      <c r="V873" s="17" t="str">
        <f>IFERROR(VLOOKUP(B873,Products!$A$2:$W$1000,16,0),"")</f>
        <v/>
      </c>
      <c r="W873" s="17" t="str">
        <f t="shared" si="1"/>
        <v>-</v>
      </c>
    </row>
    <row r="874">
      <c r="V874" s="17" t="str">
        <f>IFERROR(VLOOKUP(B874,Products!$A$2:$W$1000,16,0),"")</f>
        <v/>
      </c>
      <c r="W874" s="17" t="str">
        <f t="shared" si="1"/>
        <v>-</v>
      </c>
    </row>
    <row r="875">
      <c r="V875" s="17" t="str">
        <f>IFERROR(VLOOKUP(B875,Products!$A$2:$W$1000,16,0),"")</f>
        <v/>
      </c>
      <c r="W875" s="17" t="str">
        <f t="shared" si="1"/>
        <v>-</v>
      </c>
    </row>
    <row r="876">
      <c r="V876" s="17" t="str">
        <f>IFERROR(VLOOKUP(B876,Products!$A$2:$W$1000,16,0),"")</f>
        <v/>
      </c>
      <c r="W876" s="17" t="str">
        <f t="shared" si="1"/>
        <v>-</v>
      </c>
    </row>
    <row r="877">
      <c r="V877" s="17" t="str">
        <f>IFERROR(VLOOKUP(B877,Products!$A$2:$W$1000,16,0),"")</f>
        <v/>
      </c>
      <c r="W877" s="17" t="str">
        <f t="shared" si="1"/>
        <v>-</v>
      </c>
    </row>
    <row r="878">
      <c r="V878" s="17" t="str">
        <f>IFERROR(VLOOKUP(B878,Products!$A$2:$W$1000,16,0),"")</f>
        <v/>
      </c>
      <c r="W878" s="17" t="str">
        <f t="shared" si="1"/>
        <v>-</v>
      </c>
    </row>
    <row r="879">
      <c r="V879" s="17" t="str">
        <f>IFERROR(VLOOKUP(B879,Products!$A$2:$W$1000,16,0),"")</f>
        <v/>
      </c>
      <c r="W879" s="17" t="str">
        <f t="shared" si="1"/>
        <v>-</v>
      </c>
    </row>
    <row r="880">
      <c r="V880" s="17" t="str">
        <f>IFERROR(VLOOKUP(B880,Products!$A$2:$W$1000,16,0),"")</f>
        <v/>
      </c>
      <c r="W880" s="17" t="str">
        <f t="shared" si="1"/>
        <v>-</v>
      </c>
    </row>
    <row r="881">
      <c r="V881" s="17" t="str">
        <f>IFERROR(VLOOKUP(B881,Products!$A$2:$W$1000,16,0),"")</f>
        <v/>
      </c>
      <c r="W881" s="17" t="str">
        <f t="shared" si="1"/>
        <v>-</v>
      </c>
    </row>
    <row r="882">
      <c r="V882" s="17" t="str">
        <f>IFERROR(VLOOKUP(B882,Products!$A$2:$W$1000,16,0),"")</f>
        <v/>
      </c>
      <c r="W882" s="17" t="str">
        <f t="shared" si="1"/>
        <v>-</v>
      </c>
    </row>
    <row r="883">
      <c r="V883" s="17" t="str">
        <f>IFERROR(VLOOKUP(B883,Products!$A$2:$W$1000,16,0),"")</f>
        <v/>
      </c>
      <c r="W883" s="17" t="str">
        <f t="shared" si="1"/>
        <v>-</v>
      </c>
    </row>
    <row r="884">
      <c r="V884" s="17" t="str">
        <f>IFERROR(VLOOKUP(B884,Products!$A$2:$W$1000,16,0),"")</f>
        <v/>
      </c>
      <c r="W884" s="17" t="str">
        <f t="shared" si="1"/>
        <v>-</v>
      </c>
    </row>
    <row r="885">
      <c r="V885" s="17" t="str">
        <f>IFERROR(VLOOKUP(B885,Products!$A$2:$W$1000,16,0),"")</f>
        <v/>
      </c>
      <c r="W885" s="17" t="str">
        <f t="shared" si="1"/>
        <v>-</v>
      </c>
    </row>
    <row r="886">
      <c r="V886" s="17" t="str">
        <f>IFERROR(VLOOKUP(B886,Products!$A$2:$W$1000,16,0),"")</f>
        <v/>
      </c>
      <c r="W886" s="17" t="str">
        <f t="shared" si="1"/>
        <v>-</v>
      </c>
    </row>
    <row r="887">
      <c r="V887" s="17" t="str">
        <f>IFERROR(VLOOKUP(B887,Products!$A$2:$W$1000,16,0),"")</f>
        <v/>
      </c>
      <c r="W887" s="17" t="str">
        <f t="shared" si="1"/>
        <v>-</v>
      </c>
    </row>
    <row r="888">
      <c r="V888" s="17" t="str">
        <f>IFERROR(VLOOKUP(B888,Products!$A$2:$W$1000,16,0),"")</f>
        <v/>
      </c>
      <c r="W888" s="17" t="str">
        <f t="shared" si="1"/>
        <v>-</v>
      </c>
    </row>
    <row r="889">
      <c r="V889" s="17" t="str">
        <f>IFERROR(VLOOKUP(B889,Products!$A$2:$W$1000,16,0),"")</f>
        <v/>
      </c>
      <c r="W889" s="17" t="str">
        <f t="shared" si="1"/>
        <v>-</v>
      </c>
    </row>
    <row r="890">
      <c r="V890" s="17" t="str">
        <f>IFERROR(VLOOKUP(B890,Products!$A$2:$W$1000,16,0),"")</f>
        <v/>
      </c>
      <c r="W890" s="17" t="str">
        <f t="shared" si="1"/>
        <v>-</v>
      </c>
    </row>
    <row r="891">
      <c r="V891" s="17" t="str">
        <f>IFERROR(VLOOKUP(B891,Products!$A$2:$W$1000,16,0),"")</f>
        <v/>
      </c>
      <c r="W891" s="17" t="str">
        <f t="shared" si="1"/>
        <v>-</v>
      </c>
    </row>
    <row r="892">
      <c r="V892" s="17" t="str">
        <f>IFERROR(VLOOKUP(B892,Products!$A$2:$W$1000,16,0),"")</f>
        <v/>
      </c>
      <c r="W892" s="17" t="str">
        <f t="shared" si="1"/>
        <v>-</v>
      </c>
    </row>
    <row r="893">
      <c r="V893" s="17" t="str">
        <f>IFERROR(VLOOKUP(B893,Products!$A$2:$W$1000,16,0),"")</f>
        <v/>
      </c>
      <c r="W893" s="17" t="str">
        <f t="shared" si="1"/>
        <v>-</v>
      </c>
    </row>
    <row r="894">
      <c r="V894" s="17" t="str">
        <f>IFERROR(VLOOKUP(B894,Products!$A$2:$W$1000,16,0),"")</f>
        <v/>
      </c>
      <c r="W894" s="17" t="str">
        <f t="shared" si="1"/>
        <v>-</v>
      </c>
    </row>
    <row r="895">
      <c r="V895" s="17" t="str">
        <f>IFERROR(VLOOKUP(B895,Products!$A$2:$W$1000,16,0),"")</f>
        <v/>
      </c>
      <c r="W895" s="17" t="str">
        <f t="shared" si="1"/>
        <v>-</v>
      </c>
    </row>
    <row r="896">
      <c r="V896" s="17" t="str">
        <f>IFERROR(VLOOKUP(B896,Products!$A$2:$W$1000,16,0),"")</f>
        <v/>
      </c>
      <c r="W896" s="17" t="str">
        <f t="shared" si="1"/>
        <v>-</v>
      </c>
    </row>
    <row r="897">
      <c r="V897" s="17" t="str">
        <f>IFERROR(VLOOKUP(B897,Products!$A$2:$W$1000,16,0),"")</f>
        <v/>
      </c>
      <c r="W897" s="17" t="str">
        <f t="shared" si="1"/>
        <v>-</v>
      </c>
    </row>
    <row r="898">
      <c r="V898" s="17" t="str">
        <f>IFERROR(VLOOKUP(B898,Products!$A$2:$W$1000,16,0),"")</f>
        <v/>
      </c>
      <c r="W898" s="17" t="str">
        <f t="shared" si="1"/>
        <v>-</v>
      </c>
    </row>
    <row r="899">
      <c r="V899" s="17" t="str">
        <f>IFERROR(VLOOKUP(B899,Products!$A$2:$W$1000,16,0),"")</f>
        <v/>
      </c>
      <c r="W899" s="17" t="str">
        <f t="shared" si="1"/>
        <v>-</v>
      </c>
    </row>
    <row r="900">
      <c r="V900" s="17" t="str">
        <f>IFERROR(VLOOKUP(B900,Products!$A$2:$W$1000,16,0),"")</f>
        <v/>
      </c>
      <c r="W900" s="17" t="str">
        <f t="shared" si="1"/>
        <v>-</v>
      </c>
    </row>
    <row r="901">
      <c r="V901" s="17" t="str">
        <f>IFERROR(VLOOKUP(B901,Products!$A$2:$W$1000,16,0),"")</f>
        <v/>
      </c>
      <c r="W901" s="17" t="str">
        <f t="shared" si="1"/>
        <v>-</v>
      </c>
    </row>
    <row r="902">
      <c r="V902" s="17" t="str">
        <f>IFERROR(VLOOKUP(B902,Products!$A$2:$W$1000,16,0),"")</f>
        <v/>
      </c>
      <c r="W902" s="17" t="str">
        <f t="shared" si="1"/>
        <v>-</v>
      </c>
    </row>
    <row r="903">
      <c r="V903" s="17" t="str">
        <f>IFERROR(VLOOKUP(B903,Products!$A$2:$W$1000,16,0),"")</f>
        <v/>
      </c>
      <c r="W903" s="17" t="str">
        <f t="shared" si="1"/>
        <v>-</v>
      </c>
    </row>
    <row r="904">
      <c r="V904" s="17" t="str">
        <f>IFERROR(VLOOKUP(B904,Products!$A$2:$W$1000,16,0),"")</f>
        <v/>
      </c>
      <c r="W904" s="17" t="str">
        <f t="shared" si="1"/>
        <v>-</v>
      </c>
    </row>
    <row r="905">
      <c r="V905" s="17" t="str">
        <f>IFERROR(VLOOKUP(B905,Products!$A$2:$W$1000,16,0),"")</f>
        <v/>
      </c>
      <c r="W905" s="17" t="str">
        <f t="shared" si="1"/>
        <v>-</v>
      </c>
    </row>
    <row r="906">
      <c r="V906" s="17" t="str">
        <f>IFERROR(VLOOKUP(B906,Products!$A$2:$W$1000,16,0),"")</f>
        <v/>
      </c>
      <c r="W906" s="17" t="str">
        <f t="shared" si="1"/>
        <v>-</v>
      </c>
    </row>
    <row r="907">
      <c r="V907" s="17" t="str">
        <f>IFERROR(VLOOKUP(B907,Products!$A$2:$W$1000,16,0),"")</f>
        <v/>
      </c>
      <c r="W907" s="17" t="str">
        <f t="shared" si="1"/>
        <v>-</v>
      </c>
    </row>
    <row r="908">
      <c r="V908" s="17" t="str">
        <f>IFERROR(VLOOKUP(B908,Products!$A$2:$W$1000,16,0),"")</f>
        <v/>
      </c>
      <c r="W908" s="17" t="str">
        <f t="shared" si="1"/>
        <v>-</v>
      </c>
    </row>
    <row r="909">
      <c r="V909" s="17" t="str">
        <f>IFERROR(VLOOKUP(B909,Products!$A$2:$W$1000,16,0),"")</f>
        <v/>
      </c>
      <c r="W909" s="17" t="str">
        <f t="shared" si="1"/>
        <v>-</v>
      </c>
    </row>
    <row r="910">
      <c r="V910" s="17" t="str">
        <f>IFERROR(VLOOKUP(B910,Products!$A$2:$W$1000,16,0),"")</f>
        <v/>
      </c>
      <c r="W910" s="17" t="str">
        <f t="shared" si="1"/>
        <v>-</v>
      </c>
    </row>
    <row r="911">
      <c r="V911" s="17" t="str">
        <f>IFERROR(VLOOKUP(B911,Products!$A$2:$W$1000,16,0),"")</f>
        <v/>
      </c>
      <c r="W911" s="17" t="str">
        <f t="shared" si="1"/>
        <v>-</v>
      </c>
    </row>
    <row r="912">
      <c r="V912" s="17" t="str">
        <f>IFERROR(VLOOKUP(B912,Products!$A$2:$W$1000,16,0),"")</f>
        <v/>
      </c>
      <c r="W912" s="17" t="str">
        <f t="shared" si="1"/>
        <v>-</v>
      </c>
    </row>
    <row r="913">
      <c r="V913" s="17" t="str">
        <f>IFERROR(VLOOKUP(B913,Products!$A$2:$W$1000,16,0),"")</f>
        <v/>
      </c>
      <c r="W913" s="17" t="str">
        <f t="shared" si="1"/>
        <v>-</v>
      </c>
    </row>
    <row r="914">
      <c r="V914" s="17" t="str">
        <f>IFERROR(VLOOKUP(B914,Products!$A$2:$W$1000,16,0),"")</f>
        <v/>
      </c>
      <c r="W914" s="17" t="str">
        <f t="shared" si="1"/>
        <v>-</v>
      </c>
    </row>
    <row r="915">
      <c r="V915" s="17" t="str">
        <f>IFERROR(VLOOKUP(B915,Products!$A$2:$W$1000,16,0),"")</f>
        <v/>
      </c>
      <c r="W915" s="17" t="str">
        <f t="shared" si="1"/>
        <v>-</v>
      </c>
    </row>
    <row r="916">
      <c r="V916" s="17" t="str">
        <f>IFERROR(VLOOKUP(B916,Products!$A$2:$W$1000,16,0),"")</f>
        <v/>
      </c>
      <c r="W916" s="17" t="str">
        <f t="shared" si="1"/>
        <v>-</v>
      </c>
    </row>
    <row r="917">
      <c r="V917" s="17" t="str">
        <f>IFERROR(VLOOKUP(B917,Products!$A$2:$W$1000,16,0),"")</f>
        <v/>
      </c>
      <c r="W917" s="17" t="str">
        <f t="shared" si="1"/>
        <v>-</v>
      </c>
    </row>
    <row r="918">
      <c r="V918" s="17" t="str">
        <f>IFERROR(VLOOKUP(B918,Products!$A$2:$W$1000,16,0),"")</f>
        <v/>
      </c>
      <c r="W918" s="17" t="str">
        <f t="shared" si="1"/>
        <v>-</v>
      </c>
    </row>
    <row r="919">
      <c r="V919" s="17" t="str">
        <f>IFERROR(VLOOKUP(B919,Products!$A$2:$W$1000,16,0),"")</f>
        <v/>
      </c>
      <c r="W919" s="17" t="str">
        <f t="shared" si="1"/>
        <v>-</v>
      </c>
    </row>
    <row r="920">
      <c r="V920" s="17" t="str">
        <f>IFERROR(VLOOKUP(B920,Products!$A$2:$W$1000,16,0),"")</f>
        <v/>
      </c>
      <c r="W920" s="17" t="str">
        <f t="shared" si="1"/>
        <v>-</v>
      </c>
    </row>
    <row r="921">
      <c r="V921" s="17" t="str">
        <f>IFERROR(VLOOKUP(B921,Products!$A$2:$W$1000,16,0),"")</f>
        <v/>
      </c>
      <c r="W921" s="17" t="str">
        <f t="shared" si="1"/>
        <v>-</v>
      </c>
    </row>
    <row r="922">
      <c r="V922" s="17" t="str">
        <f>IFERROR(VLOOKUP(B922,Products!$A$2:$W$1000,16,0),"")</f>
        <v/>
      </c>
      <c r="W922" s="17" t="str">
        <f t="shared" si="1"/>
        <v>-</v>
      </c>
    </row>
    <row r="923">
      <c r="V923" s="17" t="str">
        <f>IFERROR(VLOOKUP(B923,Products!$A$2:$W$1000,16,0),"")</f>
        <v/>
      </c>
      <c r="W923" s="17" t="str">
        <f t="shared" si="1"/>
        <v>-</v>
      </c>
    </row>
    <row r="924">
      <c r="V924" s="17" t="str">
        <f>IFERROR(VLOOKUP(B924,Products!$A$2:$W$1000,16,0),"")</f>
        <v/>
      </c>
      <c r="W924" s="17" t="str">
        <f t="shared" si="1"/>
        <v>-</v>
      </c>
    </row>
    <row r="925">
      <c r="V925" s="17" t="str">
        <f>IFERROR(VLOOKUP(B925,Products!$A$2:$W$1000,16,0),"")</f>
        <v/>
      </c>
      <c r="W925" s="17" t="str">
        <f t="shared" si="1"/>
        <v>-</v>
      </c>
    </row>
    <row r="926">
      <c r="V926" s="17" t="str">
        <f>IFERROR(VLOOKUP(B926,Products!$A$2:$W$1000,16,0),"")</f>
        <v/>
      </c>
      <c r="W926" s="17" t="str">
        <f t="shared" si="1"/>
        <v>-</v>
      </c>
    </row>
    <row r="927">
      <c r="V927" s="17" t="str">
        <f>IFERROR(VLOOKUP(B927,Products!$A$2:$W$1000,16,0),"")</f>
        <v/>
      </c>
      <c r="W927" s="17" t="str">
        <f t="shared" si="1"/>
        <v>-</v>
      </c>
    </row>
    <row r="928">
      <c r="V928" s="17" t="str">
        <f>IFERROR(VLOOKUP(B928,Products!$A$2:$W$1000,16,0),"")</f>
        <v/>
      </c>
      <c r="W928" s="17" t="str">
        <f t="shared" si="1"/>
        <v>-</v>
      </c>
    </row>
    <row r="929">
      <c r="V929" s="17" t="str">
        <f>IFERROR(VLOOKUP(B929,Products!$A$2:$W$1000,16,0),"")</f>
        <v/>
      </c>
      <c r="W929" s="17" t="str">
        <f t="shared" si="1"/>
        <v>-</v>
      </c>
    </row>
    <row r="930">
      <c r="V930" s="17" t="str">
        <f>IFERROR(VLOOKUP(B930,Products!$A$2:$W$1000,16,0),"")</f>
        <v/>
      </c>
      <c r="W930" s="17" t="str">
        <f t="shared" si="1"/>
        <v>-</v>
      </c>
    </row>
    <row r="931">
      <c r="V931" s="17" t="str">
        <f>IFERROR(VLOOKUP(B931,Products!$A$2:$W$1000,16,0),"")</f>
        <v/>
      </c>
      <c r="W931" s="17" t="str">
        <f t="shared" si="1"/>
        <v>-</v>
      </c>
    </row>
    <row r="932">
      <c r="V932" s="17" t="str">
        <f>IFERROR(VLOOKUP(B932,Products!$A$2:$W$1000,16,0),"")</f>
        <v/>
      </c>
      <c r="W932" s="17" t="str">
        <f t="shared" si="1"/>
        <v>-</v>
      </c>
    </row>
    <row r="933">
      <c r="V933" s="17" t="str">
        <f>IFERROR(VLOOKUP(B933,Products!$A$2:$W$1000,16,0),"")</f>
        <v/>
      </c>
      <c r="W933" s="17" t="str">
        <f t="shared" si="1"/>
        <v>-</v>
      </c>
    </row>
    <row r="934">
      <c r="V934" s="17" t="str">
        <f>IFERROR(VLOOKUP(B934,Products!$A$2:$W$1000,16,0),"")</f>
        <v/>
      </c>
      <c r="W934" s="17" t="str">
        <f t="shared" si="1"/>
        <v>-</v>
      </c>
    </row>
    <row r="935">
      <c r="V935" s="17" t="str">
        <f>IFERROR(VLOOKUP(B935,Products!$A$2:$W$1000,16,0),"")</f>
        <v/>
      </c>
      <c r="W935" s="17" t="str">
        <f t="shared" si="1"/>
        <v>-</v>
      </c>
    </row>
    <row r="936">
      <c r="V936" s="17" t="str">
        <f>IFERROR(VLOOKUP(B936,Products!$A$2:$W$1000,16,0),"")</f>
        <v/>
      </c>
      <c r="W936" s="17" t="str">
        <f t="shared" si="1"/>
        <v>-</v>
      </c>
    </row>
    <row r="937">
      <c r="V937" s="17" t="str">
        <f>IFERROR(VLOOKUP(B937,Products!$A$2:$W$1000,16,0),"")</f>
        <v/>
      </c>
      <c r="W937" s="17" t="str">
        <f t="shared" si="1"/>
        <v>-</v>
      </c>
    </row>
    <row r="938">
      <c r="V938" s="17" t="str">
        <f>IFERROR(VLOOKUP(B938,Products!$A$2:$W$1000,16,0),"")</f>
        <v/>
      </c>
      <c r="W938" s="17" t="str">
        <f t="shared" si="1"/>
        <v>-</v>
      </c>
    </row>
    <row r="939">
      <c r="V939" s="17" t="str">
        <f>IFERROR(VLOOKUP(B939,Products!$A$2:$W$1000,16,0),"")</f>
        <v/>
      </c>
      <c r="W939" s="17" t="str">
        <f t="shared" si="1"/>
        <v>-</v>
      </c>
    </row>
    <row r="940">
      <c r="V940" s="17" t="str">
        <f>IFERROR(VLOOKUP(B940,Products!$A$2:$W$1000,16,0),"")</f>
        <v/>
      </c>
      <c r="W940" s="17" t="str">
        <f t="shared" si="1"/>
        <v>-</v>
      </c>
    </row>
    <row r="941">
      <c r="V941" s="17" t="str">
        <f>IFERROR(VLOOKUP(B941,Products!$A$2:$W$1000,16,0),"")</f>
        <v/>
      </c>
      <c r="W941" s="17" t="str">
        <f t="shared" si="1"/>
        <v>-</v>
      </c>
    </row>
    <row r="942">
      <c r="V942" s="17" t="str">
        <f>IFERROR(VLOOKUP(B942,Products!$A$2:$W$1000,16,0),"")</f>
        <v/>
      </c>
      <c r="W942" s="17" t="str">
        <f t="shared" si="1"/>
        <v>-</v>
      </c>
    </row>
    <row r="943">
      <c r="V943" s="17" t="str">
        <f>IFERROR(VLOOKUP(B943,Products!$A$2:$W$1000,16,0),"")</f>
        <v/>
      </c>
      <c r="W943" s="17" t="str">
        <f t="shared" si="1"/>
        <v>-</v>
      </c>
    </row>
    <row r="944">
      <c r="V944" s="17" t="str">
        <f>IFERROR(VLOOKUP(B944,Products!$A$2:$W$1000,16,0),"")</f>
        <v/>
      </c>
      <c r="W944" s="17" t="str">
        <f t="shared" si="1"/>
        <v>-</v>
      </c>
    </row>
    <row r="945">
      <c r="V945" s="17" t="str">
        <f>IFERROR(VLOOKUP(B945,Products!$A$2:$W$1000,16,0),"")</f>
        <v/>
      </c>
      <c r="W945" s="17" t="str">
        <f t="shared" si="1"/>
        <v>-</v>
      </c>
    </row>
    <row r="946">
      <c r="V946" s="17" t="str">
        <f>IFERROR(VLOOKUP(B946,Products!$A$2:$W$1000,16,0),"")</f>
        <v/>
      </c>
      <c r="W946" s="17" t="str">
        <f t="shared" si="1"/>
        <v>-</v>
      </c>
    </row>
    <row r="947">
      <c r="V947" s="17" t="str">
        <f>IFERROR(VLOOKUP(B947,Products!$A$2:$W$1000,16,0),"")</f>
        <v/>
      </c>
      <c r="W947" s="17" t="str">
        <f t="shared" si="1"/>
        <v>-</v>
      </c>
    </row>
    <row r="948">
      <c r="V948" s="17" t="str">
        <f>IFERROR(VLOOKUP(B948,Products!$A$2:$W$1000,16,0),"")</f>
        <v/>
      </c>
      <c r="W948" s="17" t="str">
        <f t="shared" si="1"/>
        <v>-</v>
      </c>
    </row>
    <row r="949">
      <c r="V949" s="17" t="str">
        <f>IFERROR(VLOOKUP(B949,Products!$A$2:$W$1000,16,0),"")</f>
        <v/>
      </c>
      <c r="W949" s="17" t="str">
        <f t="shared" si="1"/>
        <v>-</v>
      </c>
    </row>
    <row r="950">
      <c r="V950" s="17" t="str">
        <f>IFERROR(VLOOKUP(B950,Products!$A$2:$W$1000,16,0),"")</f>
        <v/>
      </c>
      <c r="W950" s="17" t="str">
        <f t="shared" si="1"/>
        <v>-</v>
      </c>
    </row>
    <row r="951">
      <c r="V951" s="17" t="str">
        <f>IFERROR(VLOOKUP(B951,Products!$A$2:$W$1000,16,0),"")</f>
        <v/>
      </c>
      <c r="W951" s="17" t="str">
        <f t="shared" si="1"/>
        <v>-</v>
      </c>
    </row>
    <row r="952">
      <c r="V952" s="17" t="str">
        <f>IFERROR(VLOOKUP(B952,Products!$A$2:$W$1000,16,0),"")</f>
        <v/>
      </c>
      <c r="W952" s="17" t="str">
        <f t="shared" si="1"/>
        <v>-</v>
      </c>
    </row>
    <row r="953">
      <c r="V953" s="17" t="str">
        <f>IFERROR(VLOOKUP(B953,Products!$A$2:$W$1000,16,0),"")</f>
        <v/>
      </c>
      <c r="W953" s="17" t="str">
        <f t="shared" si="1"/>
        <v>-</v>
      </c>
    </row>
    <row r="954">
      <c r="V954" s="17" t="str">
        <f>IFERROR(VLOOKUP(B954,Products!$A$2:$W$1000,16,0),"")</f>
        <v/>
      </c>
      <c r="W954" s="17" t="str">
        <f t="shared" si="1"/>
        <v>-</v>
      </c>
    </row>
    <row r="955">
      <c r="V955" s="17" t="str">
        <f>IFERROR(VLOOKUP(B955,Products!$A$2:$W$1000,16,0),"")</f>
        <v/>
      </c>
      <c r="W955" s="17" t="str">
        <f t="shared" si="1"/>
        <v>-</v>
      </c>
    </row>
    <row r="956">
      <c r="V956" s="17" t="str">
        <f>IFERROR(VLOOKUP(B956,Products!$A$2:$W$1000,16,0),"")</f>
        <v/>
      </c>
      <c r="W956" s="17" t="str">
        <f t="shared" si="1"/>
        <v>-</v>
      </c>
    </row>
    <row r="957">
      <c r="V957" s="17" t="str">
        <f>IFERROR(VLOOKUP(B957,Products!$A$2:$W$1000,16,0),"")</f>
        <v/>
      </c>
      <c r="W957" s="17" t="str">
        <f t="shared" si="1"/>
        <v>-</v>
      </c>
    </row>
    <row r="958">
      <c r="V958" s="17" t="str">
        <f>IFERROR(VLOOKUP(B958,Products!$A$2:$W$1000,16,0),"")</f>
        <v/>
      </c>
      <c r="W958" s="17" t="str">
        <f t="shared" si="1"/>
        <v>-</v>
      </c>
    </row>
    <row r="959">
      <c r="V959" s="17" t="str">
        <f>IFERROR(VLOOKUP(B959,Products!$A$2:$W$1000,16,0),"")</f>
        <v/>
      </c>
      <c r="W959" s="17" t="str">
        <f t="shared" si="1"/>
        <v>-</v>
      </c>
    </row>
    <row r="960">
      <c r="V960" s="17" t="str">
        <f>IFERROR(VLOOKUP(B960,Products!$A$2:$W$1000,16,0),"")</f>
        <v/>
      </c>
      <c r="W960" s="17" t="str">
        <f t="shared" si="1"/>
        <v>-</v>
      </c>
    </row>
    <row r="961">
      <c r="V961" s="17" t="str">
        <f>IFERROR(VLOOKUP(B961,Products!$A$2:$W$1000,16,0),"")</f>
        <v/>
      </c>
      <c r="W961" s="17" t="str">
        <f t="shared" si="1"/>
        <v>-</v>
      </c>
    </row>
    <row r="962">
      <c r="V962" s="17" t="str">
        <f>IFERROR(VLOOKUP(B962,Products!$A$2:$W$1000,16,0),"")</f>
        <v/>
      </c>
      <c r="W962" s="17" t="str">
        <f t="shared" si="1"/>
        <v>-</v>
      </c>
    </row>
    <row r="963">
      <c r="V963" s="17" t="str">
        <f>IFERROR(VLOOKUP(B963,Products!$A$2:$W$1000,16,0),"")</f>
        <v/>
      </c>
      <c r="W963" s="17" t="str">
        <f t="shared" si="1"/>
        <v>-</v>
      </c>
    </row>
    <row r="964">
      <c r="V964" s="17" t="str">
        <f>IFERROR(VLOOKUP(B964,Products!$A$2:$W$1000,16,0),"")</f>
        <v/>
      </c>
      <c r="W964" s="17" t="str">
        <f t="shared" si="1"/>
        <v>-</v>
      </c>
    </row>
    <row r="965">
      <c r="V965" s="17" t="str">
        <f>IFERROR(VLOOKUP(B965,Products!$A$2:$W$1000,16,0),"")</f>
        <v/>
      </c>
      <c r="W965" s="17" t="str">
        <f t="shared" si="1"/>
        <v>-</v>
      </c>
    </row>
    <row r="966">
      <c r="V966" s="17" t="str">
        <f>IFERROR(VLOOKUP(B966,Products!$A$2:$W$1000,16,0),"")</f>
        <v/>
      </c>
      <c r="W966" s="17" t="str">
        <f t="shared" si="1"/>
        <v>-</v>
      </c>
    </row>
    <row r="967">
      <c r="V967" s="17" t="str">
        <f>IFERROR(VLOOKUP(B967,Products!$A$2:$W$1000,16,0),"")</f>
        <v/>
      </c>
      <c r="W967" s="17" t="str">
        <f t="shared" si="1"/>
        <v>-</v>
      </c>
    </row>
    <row r="968">
      <c r="V968" s="17" t="str">
        <f>IFERROR(VLOOKUP(B968,Products!$A$2:$W$1000,16,0),"")</f>
        <v/>
      </c>
      <c r="W968" s="17" t="str">
        <f t="shared" si="1"/>
        <v>-</v>
      </c>
    </row>
    <row r="969">
      <c r="V969" s="17" t="str">
        <f>IFERROR(VLOOKUP(B969,Products!$A$2:$W$1000,16,0),"")</f>
        <v/>
      </c>
      <c r="W969" s="17" t="str">
        <f t="shared" si="1"/>
        <v>-</v>
      </c>
    </row>
    <row r="970">
      <c r="V970" s="17" t="str">
        <f>IFERROR(VLOOKUP(B970,Products!$A$2:$W$1000,16,0),"")</f>
        <v/>
      </c>
      <c r="W970" s="17" t="str">
        <f t="shared" si="1"/>
        <v>-</v>
      </c>
    </row>
    <row r="971">
      <c r="V971" s="17" t="str">
        <f>IFERROR(VLOOKUP(B971,Products!$A$2:$W$1000,16,0),"")</f>
        <v/>
      </c>
      <c r="W971" s="17" t="str">
        <f t="shared" si="1"/>
        <v>-</v>
      </c>
    </row>
    <row r="972">
      <c r="V972" s="17" t="str">
        <f>IFERROR(VLOOKUP(B972,Products!$A$2:$W$1000,16,0),"")</f>
        <v/>
      </c>
      <c r="W972" s="17" t="str">
        <f t="shared" si="1"/>
        <v>-</v>
      </c>
    </row>
    <row r="973">
      <c r="V973" s="17" t="str">
        <f>IFERROR(VLOOKUP(B973,Products!$A$2:$W$1000,16,0),"")</f>
        <v/>
      </c>
      <c r="W973" s="17" t="str">
        <f t="shared" si="1"/>
        <v>-</v>
      </c>
    </row>
    <row r="974">
      <c r="V974" s="17" t="str">
        <f>IFERROR(VLOOKUP(B974,Products!$A$2:$W$1000,16,0),"")</f>
        <v/>
      </c>
      <c r="W974" s="17" t="str">
        <f t="shared" si="1"/>
        <v>-</v>
      </c>
    </row>
    <row r="975">
      <c r="V975" s="17" t="str">
        <f>IFERROR(VLOOKUP(B975,Products!$A$2:$W$1000,16,0),"")</f>
        <v/>
      </c>
      <c r="W975" s="17" t="str">
        <f t="shared" si="1"/>
        <v>-</v>
      </c>
    </row>
    <row r="976">
      <c r="V976" s="17" t="str">
        <f>IFERROR(VLOOKUP(B976,Products!$A$2:$W$1000,16,0),"")</f>
        <v/>
      </c>
      <c r="W976" s="17" t="str">
        <f t="shared" si="1"/>
        <v>-</v>
      </c>
    </row>
    <row r="977">
      <c r="V977" s="17" t="str">
        <f>IFERROR(VLOOKUP(B977,Products!$A$2:$W$1000,16,0),"")</f>
        <v/>
      </c>
      <c r="W977" s="17" t="str">
        <f t="shared" si="1"/>
        <v>-</v>
      </c>
    </row>
    <row r="978">
      <c r="V978" s="17" t="str">
        <f>IFERROR(VLOOKUP(B978,Products!$A$2:$W$1000,16,0),"")</f>
        <v/>
      </c>
      <c r="W978" s="17" t="str">
        <f t="shared" si="1"/>
        <v>-</v>
      </c>
    </row>
    <row r="979">
      <c r="V979" s="17" t="str">
        <f>IFERROR(VLOOKUP(B979,Products!$A$2:$W$1000,16,0),"")</f>
        <v/>
      </c>
      <c r="W979" s="17" t="str">
        <f t="shared" si="1"/>
        <v>-</v>
      </c>
    </row>
    <row r="980">
      <c r="V980" s="17" t="str">
        <f>IFERROR(VLOOKUP(B980,Products!$A$2:$W$1000,16,0),"")</f>
        <v/>
      </c>
      <c r="W980" s="17" t="str">
        <f t="shared" si="1"/>
        <v>-</v>
      </c>
    </row>
    <row r="981">
      <c r="V981" s="17" t="str">
        <f>IFERROR(VLOOKUP(B981,Products!$A$2:$W$1000,16,0),"")</f>
        <v/>
      </c>
      <c r="W981" s="17" t="str">
        <f t="shared" si="1"/>
        <v>-</v>
      </c>
    </row>
    <row r="982">
      <c r="V982" s="17" t="str">
        <f>IFERROR(VLOOKUP(B982,Products!$A$2:$W$1000,16,0),"")</f>
        <v/>
      </c>
      <c r="W982" s="17" t="str">
        <f t="shared" si="1"/>
        <v>-</v>
      </c>
    </row>
    <row r="983">
      <c r="V983" s="17" t="str">
        <f>IFERROR(VLOOKUP(B983,Products!$A$2:$W$1000,16,0),"")</f>
        <v/>
      </c>
      <c r="W983" s="17" t="str">
        <f t="shared" si="1"/>
        <v>-</v>
      </c>
    </row>
    <row r="984">
      <c r="V984" s="17" t="str">
        <f>IFERROR(VLOOKUP(B984,Products!$A$2:$W$1000,16,0),"")</f>
        <v/>
      </c>
      <c r="W984" s="17" t="str">
        <f t="shared" si="1"/>
        <v>-</v>
      </c>
    </row>
    <row r="985">
      <c r="V985" s="17" t="str">
        <f>IFERROR(VLOOKUP(B985,Products!$A$2:$W$1000,16,0),"")</f>
        <v/>
      </c>
      <c r="W985" s="17" t="str">
        <f t="shared" si="1"/>
        <v>-</v>
      </c>
    </row>
    <row r="986">
      <c r="V986" s="17" t="str">
        <f>IFERROR(VLOOKUP(B986,Products!$A$2:$W$1000,16,0),"")</f>
        <v/>
      </c>
      <c r="W986" s="17" t="str">
        <f t="shared" si="1"/>
        <v>-</v>
      </c>
    </row>
    <row r="987">
      <c r="V987" s="17" t="str">
        <f>IFERROR(VLOOKUP(B987,Products!$A$2:$W$1000,16,0),"")</f>
        <v/>
      </c>
      <c r="W987" s="17" t="str">
        <f t="shared" si="1"/>
        <v>-</v>
      </c>
    </row>
    <row r="988">
      <c r="V988" s="17" t="str">
        <f>IFERROR(VLOOKUP(B988,Products!$A$2:$W$1000,16,0),"")</f>
        <v/>
      </c>
      <c r="W988" s="17" t="str">
        <f t="shared" si="1"/>
        <v>-</v>
      </c>
    </row>
    <row r="989">
      <c r="V989" s="17" t="str">
        <f>IFERROR(VLOOKUP(B989,Products!$A$2:$W$1000,16,0),"")</f>
        <v/>
      </c>
      <c r="W989" s="17" t="str">
        <f t="shared" si="1"/>
        <v>-</v>
      </c>
    </row>
    <row r="990">
      <c r="V990" s="17" t="str">
        <f>IFERROR(VLOOKUP(B990,Products!$A$2:$W$1000,16,0),"")</f>
        <v/>
      </c>
      <c r="W990" s="17" t="str">
        <f t="shared" si="1"/>
        <v>-</v>
      </c>
    </row>
    <row r="991">
      <c r="V991" s="17" t="str">
        <f>IFERROR(VLOOKUP(B991,Products!$A$2:$W$1000,16,0),"")</f>
        <v/>
      </c>
      <c r="W991" s="17" t="str">
        <f t="shared" si="1"/>
        <v>-</v>
      </c>
    </row>
    <row r="992">
      <c r="V992" s="17" t="str">
        <f>IFERROR(VLOOKUP(B992,Products!$A$2:$W$1000,16,0),"")</f>
        <v/>
      </c>
      <c r="W992" s="17" t="str">
        <f t="shared" si="1"/>
        <v>-</v>
      </c>
    </row>
    <row r="993">
      <c r="V993" s="17" t="str">
        <f>IFERROR(VLOOKUP(B993,Products!$A$2:$W$1000,16,0),"")</f>
        <v/>
      </c>
      <c r="W993" s="17" t="str">
        <f t="shared" si="1"/>
        <v>-</v>
      </c>
    </row>
    <row r="994">
      <c r="V994" s="17" t="str">
        <f>IFERROR(VLOOKUP(B994,Products!$A$2:$W$1000,16,0),"")</f>
        <v/>
      </c>
      <c r="W994" s="17" t="str">
        <f t="shared" si="1"/>
        <v>-</v>
      </c>
    </row>
    <row r="995">
      <c r="V995" s="17" t="str">
        <f>IFERROR(VLOOKUP(B995,Products!$A$2:$W$1000,16,0),"")</f>
        <v/>
      </c>
      <c r="W995" s="17" t="str">
        <f t="shared" si="1"/>
        <v>-</v>
      </c>
    </row>
    <row r="996">
      <c r="V996" s="17" t="str">
        <f>IFERROR(VLOOKUP(B996,Products!$A$2:$W$1000,16,0),"")</f>
        <v/>
      </c>
      <c r="W996" s="17" t="str">
        <f t="shared" si="1"/>
        <v>-</v>
      </c>
    </row>
    <row r="997">
      <c r="V997" s="17" t="str">
        <f>IFERROR(VLOOKUP(B997,Products!$A$2:$W$1000,16,0),"")</f>
        <v/>
      </c>
      <c r="W997" s="17" t="str">
        <f t="shared" si="1"/>
        <v>-</v>
      </c>
    </row>
    <row r="998">
      <c r="V998" s="17" t="str">
        <f>IFERROR(VLOOKUP(B998,Products!$A$2:$W$1000,16,0),"")</f>
        <v/>
      </c>
      <c r="W998" s="17" t="str">
        <f t="shared" si="1"/>
        <v>-</v>
      </c>
    </row>
    <row r="999">
      <c r="V999" s="17" t="str">
        <f>IFERROR(VLOOKUP(B999,Products!$A$2:$W$1000,16,0),"")</f>
        <v/>
      </c>
      <c r="W999" s="17" t="str">
        <f t="shared" si="1"/>
        <v>-</v>
      </c>
    </row>
    <row r="1000">
      <c r="V1000" s="17" t="str">
        <f>IFERROR(VLOOKUP(B1000,Products!$A$2:$W$1000,16,0),"")</f>
        <v/>
      </c>
      <c r="W1000" s="17" t="str">
        <f t="shared" si="1"/>
        <v>-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hidden="1" min="2" max="2" width="12.25"/>
    <col customWidth="1" min="3" max="3" width="72.13"/>
    <col customWidth="1" min="4" max="4" width="13.75"/>
    <col customWidth="1" hidden="1" min="5" max="5" width="22.63"/>
    <col customWidth="1" min="6" max="6" width="11.25"/>
    <col customWidth="1" min="7" max="7" width="11.13"/>
    <col customWidth="1" min="8" max="8" width="6.75"/>
    <col customWidth="1" min="9" max="9" width="15.5"/>
    <col customWidth="1" min="10" max="10" width="17.25"/>
    <col customWidth="1" min="11" max="11" width="75.63"/>
    <col customWidth="1" min="12" max="12" width="11.13"/>
    <col customWidth="1" min="13" max="13" width="31.88"/>
    <col customWidth="1" min="14" max="14" width="10.63"/>
    <col customWidth="1" min="15" max="15" width="13.25"/>
    <col customWidth="1" min="16" max="16" width="12.88"/>
    <col customWidth="1" min="17" max="18" width="14.75"/>
    <col customWidth="1" min="19" max="19" width="16.88"/>
    <col customWidth="1" min="20" max="20" width="19.38"/>
    <col customWidth="1" min="21" max="21" width="13.75"/>
    <col customWidth="1" min="22" max="22" width="20.38"/>
    <col customWidth="1" min="23" max="23" width="18.5"/>
  </cols>
  <sheetData>
    <row r="1">
      <c r="A1" s="47" t="s">
        <v>19</v>
      </c>
      <c r="B1" s="47" t="s">
        <v>44</v>
      </c>
      <c r="C1" s="47" t="s">
        <v>871</v>
      </c>
      <c r="D1" s="47" t="s">
        <v>20</v>
      </c>
      <c r="E1" s="47" t="s">
        <v>45</v>
      </c>
      <c r="F1" s="47" t="s">
        <v>872</v>
      </c>
      <c r="G1" s="47" t="s">
        <v>873</v>
      </c>
      <c r="H1" s="47" t="s">
        <v>712</v>
      </c>
      <c r="I1" s="47" t="s">
        <v>874</v>
      </c>
      <c r="J1" s="47" t="s">
        <v>875</v>
      </c>
      <c r="K1" s="47" t="s">
        <v>876</v>
      </c>
      <c r="L1" s="47" t="s">
        <v>877</v>
      </c>
      <c r="M1" s="47" t="s">
        <v>878</v>
      </c>
      <c r="N1" s="47" t="s">
        <v>879</v>
      </c>
      <c r="O1" s="47" t="s">
        <v>880</v>
      </c>
      <c r="P1" s="47" t="s">
        <v>881</v>
      </c>
      <c r="Q1" s="47" t="s">
        <v>882</v>
      </c>
      <c r="R1" s="47" t="s">
        <v>883</v>
      </c>
      <c r="S1" s="47" t="s">
        <v>884</v>
      </c>
      <c r="T1" s="47" t="s">
        <v>885</v>
      </c>
      <c r="U1" s="47" t="s">
        <v>886</v>
      </c>
      <c r="V1" s="47" t="s">
        <v>887</v>
      </c>
      <c r="W1" s="47" t="s">
        <v>888</v>
      </c>
    </row>
    <row r="2">
      <c r="A2" s="47">
        <v>7.613033568558E12</v>
      </c>
      <c r="C2" s="47" t="s">
        <v>51</v>
      </c>
      <c r="D2" s="47" t="s">
        <v>50</v>
      </c>
      <c r="E2" s="47" t="s">
        <v>52</v>
      </c>
      <c r="F2" s="30">
        <v>87.0</v>
      </c>
      <c r="G2" s="30">
        <v>87.0</v>
      </c>
      <c r="H2" s="30">
        <v>100.0</v>
      </c>
      <c r="I2" s="47" t="s">
        <v>889</v>
      </c>
      <c r="J2" s="48">
        <v>46158.04534722222</v>
      </c>
      <c r="K2" s="49" t="s">
        <v>890</v>
      </c>
      <c r="L2" s="30">
        <v>4638429.0</v>
      </c>
      <c r="M2" s="47">
        <v>7.613033568558E12</v>
      </c>
      <c r="N2" s="30">
        <v>1.7802401E7</v>
      </c>
      <c r="O2" s="30">
        <v>4.0</v>
      </c>
      <c r="P2" s="30">
        <v>72.0</v>
      </c>
      <c r="Q2" s="30">
        <v>74.9</v>
      </c>
      <c r="R2" s="30">
        <v>69.0</v>
      </c>
      <c r="S2" s="47" t="b">
        <v>1</v>
      </c>
      <c r="T2" s="47" t="s">
        <v>891</v>
      </c>
      <c r="U2" s="30">
        <v>12.5</v>
      </c>
    </row>
    <row r="3">
      <c r="A3" s="47">
        <v>9.003579311301E12</v>
      </c>
      <c r="C3" s="47" t="s">
        <v>54</v>
      </c>
      <c r="D3" s="47" t="s">
        <v>53</v>
      </c>
      <c r="E3" s="47" t="s">
        <v>52</v>
      </c>
      <c r="F3" s="30">
        <v>199.0</v>
      </c>
      <c r="G3" s="30">
        <v>199.0</v>
      </c>
      <c r="H3" s="30">
        <v>996.0</v>
      </c>
      <c r="I3" s="47" t="s">
        <v>889</v>
      </c>
      <c r="J3" s="48">
        <v>46160.8175</v>
      </c>
      <c r="K3" s="49" t="s">
        <v>892</v>
      </c>
      <c r="L3" s="30">
        <v>750142.0</v>
      </c>
      <c r="M3" s="47" t="s">
        <v>838</v>
      </c>
      <c r="N3" s="30">
        <v>1.0005701E7</v>
      </c>
      <c r="O3" s="30">
        <v>20.0</v>
      </c>
      <c r="P3" s="30">
        <v>71.0</v>
      </c>
      <c r="Q3" s="30">
        <v>84.9</v>
      </c>
      <c r="R3" s="30">
        <v>87.0</v>
      </c>
      <c r="S3" s="47" t="b">
        <v>1</v>
      </c>
      <c r="T3" s="47" t="s">
        <v>891</v>
      </c>
      <c r="U3" s="30">
        <v>12.5</v>
      </c>
    </row>
    <row r="4">
      <c r="A4" s="47">
        <v>9.003579311714E12</v>
      </c>
      <c r="C4" s="47" t="s">
        <v>55</v>
      </c>
      <c r="D4" s="47" t="s">
        <v>53</v>
      </c>
      <c r="E4" s="47" t="s">
        <v>52</v>
      </c>
      <c r="F4" s="30">
        <v>99.0</v>
      </c>
      <c r="G4" s="30">
        <v>99.0</v>
      </c>
      <c r="H4" s="30">
        <v>998.0</v>
      </c>
      <c r="I4" s="47" t="s">
        <v>889</v>
      </c>
      <c r="J4" s="48">
        <v>46158.03912037037</v>
      </c>
      <c r="K4" s="49" t="s">
        <v>893</v>
      </c>
      <c r="L4" s="30">
        <v>2269242.0</v>
      </c>
      <c r="M4" s="47" t="s">
        <v>894</v>
      </c>
      <c r="N4" s="30">
        <v>1.232662E7</v>
      </c>
      <c r="O4" s="30">
        <v>1.0</v>
      </c>
      <c r="P4" s="30">
        <v>99.0</v>
      </c>
      <c r="Q4" s="30">
        <v>105.0</v>
      </c>
      <c r="R4" s="30">
        <v>100.0</v>
      </c>
      <c r="S4" s="47" t="b">
        <v>1</v>
      </c>
      <c r="T4" s="47" t="s">
        <v>891</v>
      </c>
      <c r="U4" s="30">
        <v>12.5</v>
      </c>
    </row>
    <row r="5">
      <c r="A5" s="47">
        <v>9.003579308929E12</v>
      </c>
      <c r="C5" s="47" t="s">
        <v>56</v>
      </c>
      <c r="D5" s="47" t="s">
        <v>53</v>
      </c>
      <c r="E5" s="47" t="s">
        <v>52</v>
      </c>
      <c r="F5" s="30">
        <v>199.0</v>
      </c>
      <c r="G5" s="30">
        <v>199.0</v>
      </c>
      <c r="H5" s="30">
        <v>10000.0</v>
      </c>
      <c r="I5" s="47" t="s">
        <v>889</v>
      </c>
      <c r="J5" s="48">
        <v>46160.81799768518</v>
      </c>
      <c r="K5" s="49" t="s">
        <v>895</v>
      </c>
      <c r="L5" s="30">
        <v>750137.0</v>
      </c>
      <c r="M5" s="47" t="s">
        <v>896</v>
      </c>
      <c r="N5" s="30">
        <v>1.0004733E7</v>
      </c>
      <c r="O5" s="30">
        <v>12.0</v>
      </c>
      <c r="P5" s="30">
        <v>76.3</v>
      </c>
      <c r="Q5" s="30">
        <v>69.3</v>
      </c>
      <c r="R5" s="30">
        <v>95.0</v>
      </c>
      <c r="S5" s="47" t="b">
        <v>1</v>
      </c>
      <c r="T5" s="47" t="s">
        <v>891</v>
      </c>
      <c r="U5" s="30">
        <v>12.5</v>
      </c>
    </row>
    <row r="6">
      <c r="A6" s="47">
        <v>1.172022022E9</v>
      </c>
      <c r="C6" s="47" t="s">
        <v>57</v>
      </c>
      <c r="D6" s="47" t="s">
        <v>53</v>
      </c>
      <c r="E6" s="47" t="s">
        <v>52</v>
      </c>
      <c r="F6" s="30">
        <v>958.0</v>
      </c>
      <c r="G6" s="30">
        <v>958.0</v>
      </c>
      <c r="H6" s="30">
        <v>8.0</v>
      </c>
      <c r="I6" s="47" t="s">
        <v>889</v>
      </c>
      <c r="J6" s="48">
        <v>46163.804027777776</v>
      </c>
      <c r="K6" s="49" t="s">
        <v>897</v>
      </c>
      <c r="L6" s="30">
        <v>1.67840465E8</v>
      </c>
      <c r="M6" s="47" t="s">
        <v>898</v>
      </c>
      <c r="N6" s="30">
        <v>2.73364915E8</v>
      </c>
      <c r="O6" s="30">
        <v>2.0</v>
      </c>
      <c r="P6" s="30">
        <v>869.0</v>
      </c>
      <c r="Q6" s="30">
        <v>958.0</v>
      </c>
      <c r="R6" s="30">
        <v>1274.77</v>
      </c>
      <c r="S6" s="47" t="b">
        <v>1</v>
      </c>
      <c r="T6" s="47" t="s">
        <v>891</v>
      </c>
      <c r="U6" s="30">
        <v>12.5</v>
      </c>
    </row>
    <row r="7">
      <c r="A7" s="47">
        <v>7.613035214798E12</v>
      </c>
      <c r="C7" s="47" t="s">
        <v>58</v>
      </c>
      <c r="D7" s="47" t="s">
        <v>50</v>
      </c>
      <c r="E7" s="47" t="s">
        <v>59</v>
      </c>
      <c r="F7" s="30">
        <v>1500.0</v>
      </c>
      <c r="G7" s="30">
        <v>1500.0</v>
      </c>
      <c r="H7" s="30">
        <v>0.0</v>
      </c>
      <c r="I7" s="47" t="s">
        <v>899</v>
      </c>
      <c r="J7" s="48">
        <v>46150.61011574074</v>
      </c>
      <c r="K7" s="49" t="s">
        <v>900</v>
      </c>
      <c r="L7" s="30">
        <v>925111.0</v>
      </c>
      <c r="M7" s="47" t="s">
        <v>808</v>
      </c>
      <c r="N7" s="30">
        <v>1.0258115E7</v>
      </c>
      <c r="O7" s="30"/>
      <c r="P7" s="30"/>
      <c r="Q7" s="30"/>
      <c r="R7" s="30"/>
      <c r="S7" s="47"/>
      <c r="T7" s="47" t="s">
        <v>901</v>
      </c>
      <c r="U7" s="30">
        <v>12.5</v>
      </c>
    </row>
    <row r="8">
      <c r="A8" s="47">
        <v>7.613035214774E12</v>
      </c>
      <c r="C8" s="47" t="s">
        <v>60</v>
      </c>
      <c r="D8" s="47" t="s">
        <v>50</v>
      </c>
      <c r="E8" s="47" t="s">
        <v>59</v>
      </c>
      <c r="F8" s="30">
        <v>4500.0</v>
      </c>
      <c r="G8" s="30">
        <v>4500.0</v>
      </c>
      <c r="H8" s="30">
        <v>0.0</v>
      </c>
      <c r="I8" s="47" t="s">
        <v>899</v>
      </c>
      <c r="J8" s="48">
        <v>46150.60957175926</v>
      </c>
      <c r="K8" s="49" t="s">
        <v>902</v>
      </c>
      <c r="L8" s="30">
        <v>1959452.0</v>
      </c>
      <c r="M8" s="47">
        <v>1.2280846E7</v>
      </c>
      <c r="N8" s="30">
        <v>1.068558E7</v>
      </c>
      <c r="T8" s="47" t="s">
        <v>901</v>
      </c>
      <c r="U8" s="30">
        <v>12.5</v>
      </c>
    </row>
    <row r="9">
      <c r="A9" s="47">
        <v>7.613035214767E12</v>
      </c>
      <c r="C9" s="47" t="s">
        <v>61</v>
      </c>
      <c r="D9" s="47" t="s">
        <v>50</v>
      </c>
      <c r="E9" s="47" t="s">
        <v>59</v>
      </c>
      <c r="F9" s="30">
        <v>4500.0</v>
      </c>
      <c r="G9" s="30">
        <v>4500.0</v>
      </c>
      <c r="H9" s="30">
        <v>0.0</v>
      </c>
      <c r="I9" s="47" t="s">
        <v>899</v>
      </c>
      <c r="J9" s="48">
        <v>46150.60928240741</v>
      </c>
      <c r="K9" s="49" t="s">
        <v>903</v>
      </c>
      <c r="L9" s="30">
        <v>925110.0</v>
      </c>
      <c r="M9" s="47" t="s">
        <v>904</v>
      </c>
      <c r="N9" s="30">
        <v>1.0258114E7</v>
      </c>
      <c r="O9" s="30"/>
      <c r="P9" s="30"/>
      <c r="Q9" s="30"/>
      <c r="R9" s="30"/>
      <c r="S9" s="47"/>
      <c r="T9" s="47" t="s">
        <v>901</v>
      </c>
      <c r="U9" s="30">
        <v>12.5</v>
      </c>
    </row>
    <row r="10">
      <c r="A10" s="47">
        <v>7.613035123809E12</v>
      </c>
      <c r="C10" s="47" t="s">
        <v>62</v>
      </c>
      <c r="D10" s="47" t="s">
        <v>50</v>
      </c>
      <c r="E10" s="47" t="s">
        <v>59</v>
      </c>
      <c r="F10" s="30">
        <v>1200.0</v>
      </c>
      <c r="G10" s="30">
        <v>1200.0</v>
      </c>
      <c r="H10" s="30">
        <v>0.0</v>
      </c>
      <c r="I10" s="47" t="s">
        <v>899</v>
      </c>
      <c r="J10" s="48">
        <v>46150.6090625</v>
      </c>
      <c r="K10" s="49" t="s">
        <v>905</v>
      </c>
      <c r="L10" s="30">
        <v>2564795.0</v>
      </c>
      <c r="M10" s="47">
        <v>7.613035123809E12</v>
      </c>
      <c r="N10" s="30">
        <v>1.3007106E7</v>
      </c>
      <c r="T10" s="47" t="s">
        <v>901</v>
      </c>
      <c r="U10" s="30">
        <v>12.5</v>
      </c>
    </row>
    <row r="11">
      <c r="A11" s="47">
        <v>7.613035120464E12</v>
      </c>
      <c r="C11" s="47" t="s">
        <v>63</v>
      </c>
      <c r="D11" s="47" t="s">
        <v>50</v>
      </c>
      <c r="E11" s="47" t="s">
        <v>59</v>
      </c>
      <c r="F11" s="30">
        <v>4500.0</v>
      </c>
      <c r="G11" s="30">
        <v>4500.0</v>
      </c>
      <c r="H11" s="30">
        <v>0.0</v>
      </c>
      <c r="I11" s="47" t="s">
        <v>899</v>
      </c>
      <c r="J11" s="48">
        <v>46150.608773148146</v>
      </c>
      <c r="K11" s="49" t="s">
        <v>906</v>
      </c>
      <c r="L11" s="30">
        <v>1.20871653E8</v>
      </c>
      <c r="M11" s="47" t="s">
        <v>748</v>
      </c>
      <c r="N11" s="30">
        <v>1.94524621E8</v>
      </c>
      <c r="T11" s="47" t="s">
        <v>901</v>
      </c>
      <c r="U11" s="30">
        <v>12.5</v>
      </c>
    </row>
    <row r="12">
      <c r="A12" s="47">
        <v>7.613035120389E12</v>
      </c>
      <c r="C12" s="47" t="s">
        <v>64</v>
      </c>
      <c r="D12" s="47" t="s">
        <v>50</v>
      </c>
      <c r="E12" s="47" t="s">
        <v>59</v>
      </c>
      <c r="F12" s="30">
        <v>4500.0</v>
      </c>
      <c r="G12" s="30">
        <v>4500.0</v>
      </c>
      <c r="H12" s="30">
        <v>0.0</v>
      </c>
      <c r="I12" s="47" t="s">
        <v>899</v>
      </c>
      <c r="J12" s="48">
        <v>46150.60855324074</v>
      </c>
      <c r="K12" s="49" t="s">
        <v>907</v>
      </c>
      <c r="L12" s="30">
        <v>925128.0</v>
      </c>
      <c r="M12" s="47" t="s">
        <v>852</v>
      </c>
      <c r="N12" s="30">
        <v>1.0258106E7</v>
      </c>
      <c r="O12" s="30"/>
      <c r="P12" s="30"/>
      <c r="Q12" s="30"/>
      <c r="R12" s="30"/>
      <c r="S12" s="47"/>
      <c r="T12" s="47" t="s">
        <v>901</v>
      </c>
      <c r="U12" s="30">
        <v>12.5</v>
      </c>
    </row>
    <row r="13">
      <c r="A13" s="47">
        <v>7.613035119024E12</v>
      </c>
      <c r="C13" s="47" t="s">
        <v>65</v>
      </c>
      <c r="D13" s="47" t="s">
        <v>50</v>
      </c>
      <c r="E13" s="47" t="s">
        <v>59</v>
      </c>
      <c r="F13" s="30">
        <v>4200.0</v>
      </c>
      <c r="G13" s="30">
        <v>4200.0</v>
      </c>
      <c r="H13" s="30">
        <v>0.0</v>
      </c>
      <c r="I13" s="47" t="s">
        <v>899</v>
      </c>
      <c r="J13" s="48">
        <v>46150.60824074074</v>
      </c>
      <c r="K13" s="49" t="s">
        <v>908</v>
      </c>
      <c r="L13" s="30">
        <v>925127.0</v>
      </c>
      <c r="M13" s="47" t="s">
        <v>768</v>
      </c>
      <c r="N13" s="30">
        <v>1.0258105E7</v>
      </c>
      <c r="O13" s="30"/>
      <c r="P13" s="30"/>
      <c r="Q13" s="30"/>
      <c r="R13" s="30"/>
      <c r="S13" s="47"/>
      <c r="T13" s="47" t="s">
        <v>901</v>
      </c>
      <c r="U13" s="30">
        <v>12.5</v>
      </c>
    </row>
    <row r="14">
      <c r="A14" s="47">
        <v>7.61303511492E12</v>
      </c>
      <c r="C14" s="47" t="s">
        <v>66</v>
      </c>
      <c r="D14" s="47" t="s">
        <v>50</v>
      </c>
      <c r="E14" s="47" t="s">
        <v>59</v>
      </c>
      <c r="F14" s="30">
        <v>1500.0</v>
      </c>
      <c r="G14" s="30">
        <v>1500.0</v>
      </c>
      <c r="H14" s="30">
        <v>0.0</v>
      </c>
      <c r="I14" s="47" t="s">
        <v>899</v>
      </c>
      <c r="J14" s="48">
        <v>46150.607835648145</v>
      </c>
      <c r="K14" s="49" t="s">
        <v>909</v>
      </c>
      <c r="L14" s="30">
        <v>925126.0</v>
      </c>
      <c r="M14" s="47" t="s">
        <v>848</v>
      </c>
      <c r="N14" s="30">
        <v>1.0258104E7</v>
      </c>
      <c r="O14" s="30"/>
      <c r="P14" s="30"/>
      <c r="Q14" s="30"/>
      <c r="R14" s="30"/>
      <c r="S14" s="47"/>
      <c r="T14" s="47" t="s">
        <v>901</v>
      </c>
      <c r="U14" s="30">
        <v>12.5</v>
      </c>
    </row>
    <row r="15">
      <c r="A15" s="47">
        <v>7.61303511489E12</v>
      </c>
      <c r="C15" s="47" t="s">
        <v>67</v>
      </c>
      <c r="D15" s="47" t="s">
        <v>50</v>
      </c>
      <c r="E15" s="47" t="s">
        <v>59</v>
      </c>
      <c r="F15" s="30">
        <v>1500.0</v>
      </c>
      <c r="G15" s="30">
        <v>1500.0</v>
      </c>
      <c r="H15" s="30">
        <v>0.0</v>
      </c>
      <c r="I15" s="47" t="s">
        <v>899</v>
      </c>
      <c r="J15" s="48">
        <v>46150.607569444444</v>
      </c>
      <c r="K15" s="49" t="s">
        <v>910</v>
      </c>
      <c r="L15" s="30">
        <v>1914251.0</v>
      </c>
      <c r="M15" s="47">
        <v>7.61303511489E12</v>
      </c>
      <c r="N15" s="30">
        <v>1.1707222E7</v>
      </c>
      <c r="O15" s="30"/>
      <c r="P15" s="30"/>
      <c r="Q15" s="30"/>
      <c r="R15" s="30"/>
      <c r="S15" s="47"/>
      <c r="T15" s="47" t="s">
        <v>901</v>
      </c>
      <c r="U15" s="30">
        <v>12.5</v>
      </c>
    </row>
    <row r="16">
      <c r="A16" s="47">
        <v>7.613035114838E12</v>
      </c>
      <c r="C16" s="47" t="s">
        <v>68</v>
      </c>
      <c r="D16" s="47" t="s">
        <v>50</v>
      </c>
      <c r="E16" s="47" t="s">
        <v>59</v>
      </c>
      <c r="F16" s="30">
        <v>1500.0</v>
      </c>
      <c r="G16" s="30">
        <v>1500.0</v>
      </c>
      <c r="H16" s="30">
        <v>0.0</v>
      </c>
      <c r="I16" s="47" t="s">
        <v>899</v>
      </c>
      <c r="J16" s="48">
        <v>46150.60733796296</v>
      </c>
      <c r="K16" s="49" t="s">
        <v>911</v>
      </c>
      <c r="L16" s="30">
        <v>925131.0</v>
      </c>
      <c r="M16" s="47" t="s">
        <v>750</v>
      </c>
      <c r="N16" s="30">
        <v>1.0258109E7</v>
      </c>
      <c r="O16" s="30"/>
      <c r="P16" s="30"/>
      <c r="Q16" s="30"/>
      <c r="R16" s="30"/>
      <c r="S16" s="47"/>
      <c r="T16" s="47" t="s">
        <v>901</v>
      </c>
      <c r="U16" s="30">
        <v>12.5</v>
      </c>
    </row>
    <row r="17">
      <c r="A17" s="47">
        <v>7.613035114777E12</v>
      </c>
      <c r="C17" s="47" t="s">
        <v>69</v>
      </c>
      <c r="D17" s="47" t="s">
        <v>50</v>
      </c>
      <c r="E17" s="47" t="s">
        <v>59</v>
      </c>
      <c r="F17" s="30">
        <v>1500.0</v>
      </c>
      <c r="G17" s="30">
        <v>1500.0</v>
      </c>
      <c r="H17" s="30">
        <v>0.0</v>
      </c>
      <c r="I17" s="47" t="s">
        <v>899</v>
      </c>
      <c r="J17" s="48">
        <v>46150.60711805556</v>
      </c>
      <c r="K17" s="49" t="s">
        <v>912</v>
      </c>
      <c r="L17" s="30">
        <v>1959454.0</v>
      </c>
      <c r="M17" s="47">
        <v>400024.0</v>
      </c>
      <c r="N17" s="30">
        <v>1.0683404E7</v>
      </c>
      <c r="O17" s="30"/>
      <c r="P17" s="30"/>
      <c r="Q17" s="30"/>
      <c r="R17" s="30"/>
      <c r="S17" s="47"/>
      <c r="T17" s="47" t="s">
        <v>901</v>
      </c>
      <c r="U17" s="30">
        <v>12.5</v>
      </c>
    </row>
    <row r="18">
      <c r="A18" s="47">
        <v>1.10201908E8</v>
      </c>
      <c r="C18" s="47" t="s">
        <v>71</v>
      </c>
      <c r="D18" s="47" t="s">
        <v>70</v>
      </c>
      <c r="E18" s="47" t="s">
        <v>72</v>
      </c>
      <c r="F18" s="30">
        <v>1645.0</v>
      </c>
      <c r="G18" s="30">
        <v>1645.0</v>
      </c>
      <c r="H18" s="30">
        <v>97.0</v>
      </c>
      <c r="I18" s="47" t="s">
        <v>889</v>
      </c>
      <c r="J18" s="48">
        <v>46159.829039351855</v>
      </c>
      <c r="K18" s="49" t="s">
        <v>913</v>
      </c>
      <c r="L18" s="30">
        <v>3.9617825E7</v>
      </c>
      <c r="M18" s="47">
        <v>1.1020081E7</v>
      </c>
      <c r="N18" s="30">
        <v>7.0128047E7</v>
      </c>
      <c r="O18" s="30">
        <v>1.0</v>
      </c>
      <c r="P18" s="30">
        <v>1645.0</v>
      </c>
      <c r="Q18" s="30">
        <v>1645.0</v>
      </c>
      <c r="R18" s="30">
        <v>1675.0</v>
      </c>
      <c r="S18" s="47" t="b">
        <v>1</v>
      </c>
      <c r="T18" s="47" t="s">
        <v>891</v>
      </c>
      <c r="U18" s="30">
        <v>16.5</v>
      </c>
    </row>
    <row r="19">
      <c r="A19" s="47">
        <v>8.40134695853E11</v>
      </c>
      <c r="B19" s="47"/>
      <c r="C19" s="47" t="s">
        <v>74</v>
      </c>
      <c r="D19" s="47" t="s">
        <v>73</v>
      </c>
      <c r="E19" s="47" t="s">
        <v>75</v>
      </c>
      <c r="F19" s="30">
        <v>2250.0</v>
      </c>
      <c r="G19" s="30">
        <v>2250.0</v>
      </c>
      <c r="H19" s="30">
        <v>2.0</v>
      </c>
      <c r="I19" s="47" t="s">
        <v>889</v>
      </c>
      <c r="J19" s="48">
        <v>46144.614120370374</v>
      </c>
      <c r="K19" s="49" t="s">
        <v>914</v>
      </c>
      <c r="L19" s="30">
        <v>1.139941107E9</v>
      </c>
      <c r="M19" s="47" t="s">
        <v>915</v>
      </c>
      <c r="N19" s="30">
        <v>1.593069858E9</v>
      </c>
      <c r="O19" s="30">
        <v>4.0</v>
      </c>
      <c r="P19" s="30">
        <v>1592.91</v>
      </c>
      <c r="Q19" s="30">
        <v>1610.0</v>
      </c>
      <c r="R19" s="30">
        <v>1600.0</v>
      </c>
      <c r="S19" s="47" t="b">
        <v>1</v>
      </c>
      <c r="T19" s="47" t="s">
        <v>891</v>
      </c>
      <c r="U19" s="30">
        <v>20.0</v>
      </c>
    </row>
    <row r="20">
      <c r="A20" s="47">
        <v>8.40134695921E11</v>
      </c>
      <c r="B20" s="47"/>
      <c r="C20" s="47" t="s">
        <v>76</v>
      </c>
      <c r="D20" s="47" t="s">
        <v>73</v>
      </c>
      <c r="E20" s="47" t="s">
        <v>75</v>
      </c>
      <c r="F20" s="30">
        <v>2999.0</v>
      </c>
      <c r="G20" s="30">
        <v>2999.0</v>
      </c>
      <c r="H20" s="30">
        <v>2.0</v>
      </c>
      <c r="I20" s="47" t="s">
        <v>889</v>
      </c>
      <c r="J20" s="48">
        <v>46144.61394675926</v>
      </c>
      <c r="K20" s="49" t="s">
        <v>916</v>
      </c>
      <c r="L20" s="30">
        <v>1.138882998E9</v>
      </c>
      <c r="M20" s="47" t="s">
        <v>917</v>
      </c>
      <c r="N20" s="30">
        <v>1.59160926E9</v>
      </c>
      <c r="O20" s="30">
        <v>4.0</v>
      </c>
      <c r="P20" s="30">
        <v>2126.52</v>
      </c>
      <c r="Q20" s="30">
        <v>2149.0</v>
      </c>
      <c r="R20" s="30">
        <v>2400.0</v>
      </c>
      <c r="S20" s="47" t="b">
        <v>1</v>
      </c>
      <c r="T20" s="47" t="s">
        <v>891</v>
      </c>
      <c r="U20" s="30">
        <v>20.0</v>
      </c>
    </row>
    <row r="21">
      <c r="A21" s="47">
        <v>8.40134695938E11</v>
      </c>
      <c r="B21" s="47"/>
      <c r="C21" s="47" t="s">
        <v>77</v>
      </c>
      <c r="D21" s="47" t="s">
        <v>73</v>
      </c>
      <c r="E21" s="47" t="s">
        <v>75</v>
      </c>
      <c r="F21" s="30">
        <v>2750.0</v>
      </c>
      <c r="G21" s="30">
        <v>2750.0</v>
      </c>
      <c r="H21" s="30">
        <v>2.0</v>
      </c>
      <c r="I21" s="47" t="s">
        <v>889</v>
      </c>
      <c r="J21" s="48">
        <v>46144.61332175926</v>
      </c>
      <c r="K21" s="49" t="s">
        <v>918</v>
      </c>
      <c r="L21" s="30">
        <v>1.138886455E9</v>
      </c>
      <c r="M21" s="47" t="s">
        <v>919</v>
      </c>
      <c r="N21" s="30">
        <v>1.591613905E9</v>
      </c>
      <c r="O21" s="30">
        <v>4.0</v>
      </c>
      <c r="P21" s="30">
        <v>1914.66</v>
      </c>
      <c r="Q21" s="30">
        <v>1935.0</v>
      </c>
      <c r="R21" s="30">
        <v>2100.0</v>
      </c>
      <c r="S21" s="47" t="b">
        <v>1</v>
      </c>
      <c r="T21" s="47" t="s">
        <v>891</v>
      </c>
      <c r="U21" s="30">
        <v>20.0</v>
      </c>
    </row>
    <row r="22">
      <c r="A22" s="47">
        <v>8.40134695983E11</v>
      </c>
      <c r="B22" s="47"/>
      <c r="C22" s="47" t="s">
        <v>78</v>
      </c>
      <c r="D22" s="47" t="s">
        <v>73</v>
      </c>
      <c r="E22" s="47" t="s">
        <v>75</v>
      </c>
      <c r="F22" s="30">
        <v>2100.0</v>
      </c>
      <c r="G22" s="30">
        <v>2100.0</v>
      </c>
      <c r="H22" s="30">
        <v>2.0</v>
      </c>
      <c r="I22" s="47" t="s">
        <v>889</v>
      </c>
      <c r="J22" s="48">
        <v>46144.612962962965</v>
      </c>
      <c r="K22" s="49" t="s">
        <v>920</v>
      </c>
      <c r="L22" s="30">
        <v>1.138882638E9</v>
      </c>
      <c r="M22" s="47" t="s">
        <v>921</v>
      </c>
      <c r="N22" s="30">
        <v>1.591608572E9</v>
      </c>
      <c r="O22" s="30">
        <v>3.0</v>
      </c>
      <c r="P22" s="30">
        <v>1286.01</v>
      </c>
      <c r="Q22" s="30">
        <v>1300.0</v>
      </c>
      <c r="R22" s="30">
        <v>2100.0</v>
      </c>
      <c r="S22" s="47" t="b">
        <v>1</v>
      </c>
      <c r="T22" s="47" t="s">
        <v>891</v>
      </c>
      <c r="U22" s="30">
        <v>20.0</v>
      </c>
    </row>
    <row r="23">
      <c r="A23" s="47">
        <v>8.4013469599E11</v>
      </c>
      <c r="B23" s="47"/>
      <c r="C23" s="47" t="s">
        <v>79</v>
      </c>
      <c r="D23" s="47" t="s">
        <v>73</v>
      </c>
      <c r="E23" s="47" t="s">
        <v>75</v>
      </c>
      <c r="F23" s="30">
        <v>2500.0</v>
      </c>
      <c r="G23" s="30">
        <v>2500.0</v>
      </c>
      <c r="H23" s="30">
        <v>2.0</v>
      </c>
      <c r="I23" s="47" t="s">
        <v>889</v>
      </c>
      <c r="J23" s="48">
        <v>46144.61253472222</v>
      </c>
      <c r="K23" s="49" t="s">
        <v>922</v>
      </c>
      <c r="L23" s="30">
        <v>1.138907859E9</v>
      </c>
      <c r="M23" s="47" t="s">
        <v>923</v>
      </c>
      <c r="N23" s="30">
        <v>1.591637688E9</v>
      </c>
      <c r="O23" s="30">
        <v>4.0</v>
      </c>
      <c r="P23" s="30">
        <v>1583.01</v>
      </c>
      <c r="Q23" s="30">
        <v>1600.0</v>
      </c>
      <c r="R23" s="30">
        <v>1799.0</v>
      </c>
      <c r="S23" s="47" t="b">
        <v>1</v>
      </c>
      <c r="T23" s="47" t="s">
        <v>891</v>
      </c>
      <c r="U23" s="30">
        <v>20.0</v>
      </c>
    </row>
    <row r="24">
      <c r="A24" s="47">
        <v>8.40134696355E11</v>
      </c>
      <c r="C24" s="47" t="s">
        <v>80</v>
      </c>
      <c r="D24" s="47" t="s">
        <v>73</v>
      </c>
      <c r="E24" s="47" t="s">
        <v>75</v>
      </c>
      <c r="F24" s="30">
        <v>2750.0</v>
      </c>
      <c r="G24" s="30">
        <v>2750.0</v>
      </c>
      <c r="H24" s="30">
        <v>2.0</v>
      </c>
      <c r="I24" s="47" t="s">
        <v>889</v>
      </c>
      <c r="J24" s="48">
        <v>46144.61208333333</v>
      </c>
      <c r="K24" s="49" t="s">
        <v>924</v>
      </c>
      <c r="L24" s="30">
        <v>1.138911975E9</v>
      </c>
      <c r="M24" s="47" t="s">
        <v>925</v>
      </c>
      <c r="N24" s="30">
        <v>1.59164529E9</v>
      </c>
      <c r="O24" s="30">
        <v>4.0</v>
      </c>
      <c r="P24" s="30">
        <v>1999.0</v>
      </c>
      <c r="Q24" s="30">
        <v>2300.0</v>
      </c>
      <c r="R24" s="30">
        <v>2346.3</v>
      </c>
      <c r="S24" s="47" t="b">
        <v>1</v>
      </c>
      <c r="T24" s="47" t="s">
        <v>891</v>
      </c>
      <c r="U24" s="30">
        <v>20.0</v>
      </c>
    </row>
    <row r="25">
      <c r="A25" s="47">
        <v>8.40134696461E11</v>
      </c>
      <c r="C25" s="47" t="s">
        <v>81</v>
      </c>
      <c r="D25" s="47" t="s">
        <v>73</v>
      </c>
      <c r="E25" s="47" t="s">
        <v>75</v>
      </c>
      <c r="F25" s="30">
        <v>2150.0</v>
      </c>
      <c r="G25" s="30">
        <v>2150.0</v>
      </c>
      <c r="H25" s="30">
        <v>2.0</v>
      </c>
      <c r="I25" s="47" t="s">
        <v>889</v>
      </c>
      <c r="J25" s="48">
        <v>46144.61179398148</v>
      </c>
      <c r="K25" s="49" t="s">
        <v>926</v>
      </c>
      <c r="L25" s="30">
        <v>1.138919288E9</v>
      </c>
      <c r="M25" s="47" t="s">
        <v>927</v>
      </c>
      <c r="N25" s="30">
        <v>1.59165494E9</v>
      </c>
      <c r="O25" s="30">
        <v>4.0</v>
      </c>
      <c r="P25" s="30">
        <v>1484.01</v>
      </c>
      <c r="Q25" s="30">
        <v>1500.0</v>
      </c>
      <c r="R25" s="30">
        <v>1750.0</v>
      </c>
      <c r="S25" s="47" t="b">
        <v>1</v>
      </c>
      <c r="T25" s="47" t="s">
        <v>891</v>
      </c>
      <c r="U25" s="30">
        <v>20.0</v>
      </c>
    </row>
    <row r="26">
      <c r="A26" s="47">
        <v>8.40134696485E11</v>
      </c>
      <c r="C26" s="47" t="s">
        <v>82</v>
      </c>
      <c r="D26" s="47" t="s">
        <v>73</v>
      </c>
      <c r="E26" s="47" t="s">
        <v>75</v>
      </c>
      <c r="F26" s="30">
        <v>1950.0</v>
      </c>
      <c r="G26" s="30">
        <v>1950.0</v>
      </c>
      <c r="H26" s="30">
        <v>2.0</v>
      </c>
      <c r="I26" s="47" t="s">
        <v>889</v>
      </c>
      <c r="J26" s="48">
        <v>46144.61100694445</v>
      </c>
      <c r="K26" s="49" t="s">
        <v>928</v>
      </c>
      <c r="L26" s="30">
        <v>1.138931284E9</v>
      </c>
      <c r="M26" s="47" t="s">
        <v>929</v>
      </c>
      <c r="N26" s="30">
        <v>1.591674487E9</v>
      </c>
      <c r="O26" s="30">
        <v>4.0</v>
      </c>
      <c r="P26" s="30">
        <v>1557.27</v>
      </c>
      <c r="Q26" s="30">
        <v>1599.0</v>
      </c>
      <c r="R26" s="30">
        <v>1600.0</v>
      </c>
      <c r="S26" s="47" t="b">
        <v>1</v>
      </c>
      <c r="T26" s="47" t="s">
        <v>891</v>
      </c>
      <c r="U26" s="30">
        <v>20.0</v>
      </c>
    </row>
    <row r="27">
      <c r="A27" s="47" t="s">
        <v>83</v>
      </c>
      <c r="C27" s="47" t="s">
        <v>85</v>
      </c>
      <c r="D27" s="47" t="s">
        <v>84</v>
      </c>
      <c r="E27" s="47" t="s">
        <v>86</v>
      </c>
      <c r="F27" s="30">
        <v>645.0</v>
      </c>
      <c r="G27" s="30">
        <v>645.0</v>
      </c>
      <c r="H27" s="30">
        <v>0.0</v>
      </c>
      <c r="I27" s="47" t="s">
        <v>899</v>
      </c>
      <c r="J27" s="48">
        <v>46159.829050925924</v>
      </c>
      <c r="K27" s="49" t="s">
        <v>930</v>
      </c>
      <c r="L27" s="30">
        <v>6.794247E7</v>
      </c>
      <c r="M27" s="47" t="s">
        <v>931</v>
      </c>
      <c r="N27" s="30">
        <v>1.17739524E8</v>
      </c>
      <c r="O27" s="30"/>
      <c r="P27" s="30"/>
      <c r="Q27" s="30"/>
      <c r="R27" s="30"/>
      <c r="S27" s="47"/>
      <c r="T27" s="47" t="s">
        <v>901</v>
      </c>
      <c r="U27" s="30">
        <v>20.0</v>
      </c>
    </row>
    <row r="28">
      <c r="A28" s="47">
        <v>8.711231170357E12</v>
      </c>
      <c r="B28" s="47"/>
      <c r="C28" s="47" t="s">
        <v>87</v>
      </c>
      <c r="D28" s="47" t="s">
        <v>84</v>
      </c>
      <c r="E28" s="47" t="s">
        <v>86</v>
      </c>
      <c r="F28" s="30">
        <v>149.0</v>
      </c>
      <c r="G28" s="30">
        <v>149.0</v>
      </c>
      <c r="H28" s="30">
        <v>0.0</v>
      </c>
      <c r="I28" s="47" t="s">
        <v>899</v>
      </c>
      <c r="J28" s="48">
        <v>46159.829050925924</v>
      </c>
      <c r="K28" s="49" t="s">
        <v>932</v>
      </c>
      <c r="L28" s="30">
        <v>3.1636879E7</v>
      </c>
      <c r="M28" s="47">
        <v>8.711231170357E12</v>
      </c>
      <c r="N28" s="30">
        <v>5.6909761E7</v>
      </c>
      <c r="O28" s="30"/>
      <c r="P28" s="30"/>
      <c r="S28" s="47"/>
      <c r="T28" s="47" t="s">
        <v>901</v>
      </c>
      <c r="U28" s="30">
        <v>20.0</v>
      </c>
    </row>
    <row r="29">
      <c r="A29" s="47" t="s">
        <v>88</v>
      </c>
      <c r="B29" s="47"/>
      <c r="C29" s="47" t="s">
        <v>89</v>
      </c>
      <c r="D29" s="47" t="s">
        <v>84</v>
      </c>
      <c r="E29" s="47" t="s">
        <v>90</v>
      </c>
      <c r="F29" s="30">
        <v>750.0</v>
      </c>
      <c r="G29" s="30">
        <v>750.0</v>
      </c>
      <c r="H29" s="30">
        <v>0.0</v>
      </c>
      <c r="I29" s="47" t="s">
        <v>899</v>
      </c>
      <c r="J29" s="48">
        <v>46159.829039351855</v>
      </c>
      <c r="K29" s="49" t="s">
        <v>933</v>
      </c>
      <c r="L29" s="30">
        <v>1.11352419E8</v>
      </c>
      <c r="M29" s="47">
        <v>8.798778789E10</v>
      </c>
      <c r="N29" s="30">
        <v>1.81457658E8</v>
      </c>
      <c r="O29" s="30"/>
      <c r="P29" s="30"/>
      <c r="S29" s="47"/>
      <c r="T29" s="47" t="s">
        <v>901</v>
      </c>
      <c r="U29" s="30">
        <v>20.0</v>
      </c>
    </row>
    <row r="30">
      <c r="A30" s="47">
        <v>2.10420241807E11</v>
      </c>
      <c r="C30" s="47" t="s">
        <v>92</v>
      </c>
      <c r="D30" s="47" t="s">
        <v>91</v>
      </c>
      <c r="E30" s="47" t="s">
        <v>72</v>
      </c>
      <c r="F30" s="30">
        <v>3905.0</v>
      </c>
      <c r="G30" s="30">
        <v>3905.0</v>
      </c>
      <c r="H30" s="30">
        <v>5.0</v>
      </c>
      <c r="I30" s="47" t="s">
        <v>889</v>
      </c>
      <c r="J30" s="48">
        <v>46164.90321759259</v>
      </c>
      <c r="K30" s="49" t="s">
        <v>934</v>
      </c>
      <c r="L30" s="30">
        <v>8.23600131E8</v>
      </c>
      <c r="M30" s="47" t="s">
        <v>785</v>
      </c>
      <c r="N30" s="30">
        <v>1.101444501E9</v>
      </c>
      <c r="O30" s="30">
        <v>2.0</v>
      </c>
      <c r="P30" s="30">
        <v>3899.0</v>
      </c>
      <c r="Q30" s="30">
        <v>3905.0</v>
      </c>
      <c r="R30" s="30">
        <v>3923.9</v>
      </c>
      <c r="S30" s="47" t="b">
        <v>1</v>
      </c>
      <c r="T30" s="47" t="s">
        <v>891</v>
      </c>
      <c r="U30" s="30">
        <v>16.5</v>
      </c>
    </row>
    <row r="31">
      <c r="A31" s="47">
        <v>8.010276042149E12</v>
      </c>
      <c r="C31" s="47" t="s">
        <v>93</v>
      </c>
      <c r="D31" s="47" t="s">
        <v>91</v>
      </c>
      <c r="E31" s="47" t="s">
        <v>72</v>
      </c>
      <c r="F31" s="30">
        <v>3900.0</v>
      </c>
      <c r="G31" s="30">
        <v>3900.0</v>
      </c>
      <c r="H31" s="30">
        <v>15.0</v>
      </c>
      <c r="I31" s="47" t="s">
        <v>889</v>
      </c>
      <c r="J31" s="48">
        <v>46164.89365740741</v>
      </c>
      <c r="K31" s="49" t="s">
        <v>935</v>
      </c>
      <c r="L31" s="30">
        <v>7.54114405E8</v>
      </c>
      <c r="M31" s="47" t="s">
        <v>761</v>
      </c>
      <c r="N31" s="30">
        <v>9.93400571E8</v>
      </c>
      <c r="O31" s="30">
        <v>5.0</v>
      </c>
      <c r="P31" s="30">
        <v>3872.0</v>
      </c>
      <c r="Q31" s="30">
        <v>3895.0</v>
      </c>
      <c r="R31" s="30">
        <v>3900.0</v>
      </c>
      <c r="S31" s="47" t="b">
        <v>1</v>
      </c>
      <c r="T31" s="47" t="s">
        <v>891</v>
      </c>
      <c r="U31" s="30">
        <v>16.5</v>
      </c>
    </row>
    <row r="32">
      <c r="A32" s="47">
        <v>5.060412212489E12</v>
      </c>
      <c r="C32" s="47" t="s">
        <v>95</v>
      </c>
      <c r="D32" s="47" t="s">
        <v>94</v>
      </c>
      <c r="E32" s="47" t="s">
        <v>96</v>
      </c>
      <c r="F32" s="30">
        <v>1200.0</v>
      </c>
      <c r="G32" s="30">
        <v>1200.0</v>
      </c>
      <c r="H32" s="30">
        <v>99.0</v>
      </c>
      <c r="I32" s="47" t="s">
        <v>889</v>
      </c>
      <c r="J32" s="48">
        <v>46163.961180555554</v>
      </c>
      <c r="K32" s="49" t="s">
        <v>936</v>
      </c>
      <c r="L32" s="30">
        <v>2246034.0</v>
      </c>
      <c r="M32" s="47" t="s">
        <v>809</v>
      </c>
      <c r="N32" s="30">
        <v>1.2281857E7</v>
      </c>
      <c r="O32" s="30">
        <v>4.0</v>
      </c>
      <c r="P32" s="30">
        <v>1169.1</v>
      </c>
      <c r="Q32" s="30">
        <v>1173.6</v>
      </c>
      <c r="R32" s="30">
        <v>1161.0</v>
      </c>
      <c r="S32" s="47" t="b">
        <v>1</v>
      </c>
      <c r="T32" s="47" t="s">
        <v>891</v>
      </c>
      <c r="U32" s="30">
        <v>14.5</v>
      </c>
    </row>
    <row r="33">
      <c r="A33" s="47">
        <v>5.060255492253E12</v>
      </c>
      <c r="C33" s="47" t="s">
        <v>97</v>
      </c>
      <c r="D33" s="47" t="s">
        <v>94</v>
      </c>
      <c r="E33" s="47" t="s">
        <v>96</v>
      </c>
      <c r="F33" s="30">
        <v>1400.0</v>
      </c>
      <c r="G33" s="30">
        <v>1400.0</v>
      </c>
      <c r="H33" s="30">
        <v>98.0</v>
      </c>
      <c r="I33" s="47" t="s">
        <v>889</v>
      </c>
      <c r="J33" s="48">
        <v>46163.960960648146</v>
      </c>
      <c r="K33" s="49" t="s">
        <v>937</v>
      </c>
      <c r="L33" s="30">
        <v>1198610.0</v>
      </c>
      <c r="M33" s="47">
        <v>839007.0</v>
      </c>
      <c r="N33" s="30">
        <v>1.0683827E7</v>
      </c>
      <c r="O33" s="30">
        <v>9.0</v>
      </c>
      <c r="P33" s="30">
        <v>1124.1</v>
      </c>
      <c r="Q33" s="30">
        <v>1199.0</v>
      </c>
      <c r="R33" s="30">
        <v>1295.18</v>
      </c>
      <c r="S33" s="47" t="b">
        <v>1</v>
      </c>
      <c r="T33" s="47" t="s">
        <v>891</v>
      </c>
      <c r="U33" s="30">
        <v>14.5</v>
      </c>
    </row>
    <row r="34">
      <c r="A34" s="47">
        <v>5.060255492291E12</v>
      </c>
      <c r="C34" s="47" t="s">
        <v>98</v>
      </c>
      <c r="D34" s="47" t="s">
        <v>94</v>
      </c>
      <c r="E34" s="47" t="s">
        <v>96</v>
      </c>
      <c r="F34" s="30">
        <v>1200.0</v>
      </c>
      <c r="G34" s="30">
        <v>1200.0</v>
      </c>
      <c r="H34" s="30">
        <v>99.0</v>
      </c>
      <c r="I34" s="47" t="s">
        <v>889</v>
      </c>
      <c r="J34" s="48">
        <v>46163.96090277778</v>
      </c>
      <c r="K34" s="49" t="s">
        <v>938</v>
      </c>
      <c r="L34" s="30">
        <v>2264608.0</v>
      </c>
      <c r="M34" s="47" t="s">
        <v>798</v>
      </c>
      <c r="N34" s="30">
        <v>1.232358E7</v>
      </c>
      <c r="O34" s="30">
        <v>5.0</v>
      </c>
      <c r="P34" s="30">
        <v>1048.5</v>
      </c>
      <c r="Q34" s="30">
        <v>1175.0</v>
      </c>
      <c r="R34" s="30">
        <v>1175.0</v>
      </c>
      <c r="S34" s="47" t="b">
        <v>1</v>
      </c>
      <c r="T34" s="47" t="s">
        <v>891</v>
      </c>
      <c r="U34" s="30">
        <v>14.5</v>
      </c>
    </row>
    <row r="35">
      <c r="A35" s="47" t="s">
        <v>99</v>
      </c>
      <c r="C35" s="47" t="s">
        <v>100</v>
      </c>
      <c r="D35" s="47" t="s">
        <v>94</v>
      </c>
      <c r="E35" s="47" t="s">
        <v>96</v>
      </c>
      <c r="F35" s="30">
        <v>1200.0</v>
      </c>
      <c r="G35" s="30">
        <v>1200.0</v>
      </c>
      <c r="H35" s="30">
        <v>0.0</v>
      </c>
      <c r="I35" s="47" t="s">
        <v>899</v>
      </c>
      <c r="J35" s="48">
        <v>46163.96090277778</v>
      </c>
      <c r="K35" s="49" t="s">
        <v>939</v>
      </c>
      <c r="L35" s="30">
        <v>3.73360014E8</v>
      </c>
      <c r="M35" s="47" t="s">
        <v>867</v>
      </c>
      <c r="N35" s="30">
        <v>6.03308619E8</v>
      </c>
      <c r="O35" s="30"/>
      <c r="P35" s="30"/>
      <c r="Q35" s="30"/>
      <c r="R35" s="30"/>
      <c r="S35" s="47"/>
      <c r="T35" s="47" t="s">
        <v>901</v>
      </c>
      <c r="U35" s="30">
        <v>14.5</v>
      </c>
    </row>
    <row r="36">
      <c r="A36" s="47" t="s">
        <v>101</v>
      </c>
      <c r="C36" s="47" t="s">
        <v>102</v>
      </c>
      <c r="D36" s="47" t="s">
        <v>94</v>
      </c>
      <c r="E36" s="47" t="s">
        <v>96</v>
      </c>
      <c r="F36" s="30">
        <v>2500.0</v>
      </c>
      <c r="G36" s="30">
        <v>2500.0</v>
      </c>
      <c r="H36" s="30">
        <v>100.0</v>
      </c>
      <c r="I36" s="47" t="s">
        <v>889</v>
      </c>
      <c r="J36" s="48">
        <v>46163.960856481484</v>
      </c>
      <c r="K36" s="49" t="s">
        <v>940</v>
      </c>
      <c r="L36" s="30">
        <v>5.559116E7</v>
      </c>
      <c r="M36" s="47" t="s">
        <v>850</v>
      </c>
      <c r="N36" s="30">
        <v>9.8756141E7</v>
      </c>
      <c r="O36" s="30">
        <v>5.0</v>
      </c>
      <c r="P36" s="30">
        <v>2119.5</v>
      </c>
      <c r="Q36" s="30">
        <v>2359.0</v>
      </c>
      <c r="R36" s="30">
        <v>2488.48</v>
      </c>
      <c r="S36" s="47" t="b">
        <v>1</v>
      </c>
      <c r="T36" s="47" t="s">
        <v>891</v>
      </c>
      <c r="U36" s="30">
        <v>14.5</v>
      </c>
    </row>
    <row r="37">
      <c r="A37" s="47" t="s">
        <v>103</v>
      </c>
      <c r="C37" s="47" t="s">
        <v>104</v>
      </c>
      <c r="D37" s="47" t="s">
        <v>94</v>
      </c>
      <c r="E37" s="47" t="s">
        <v>96</v>
      </c>
      <c r="F37" s="30">
        <v>2500.0</v>
      </c>
      <c r="G37" s="30">
        <v>2500.0</v>
      </c>
      <c r="H37" s="30">
        <v>95.0</v>
      </c>
      <c r="I37" s="47" t="s">
        <v>889</v>
      </c>
      <c r="J37" s="48">
        <v>46163.96087962963</v>
      </c>
      <c r="K37" s="49" t="s">
        <v>941</v>
      </c>
      <c r="L37" s="30">
        <v>6270594.0</v>
      </c>
      <c r="M37" s="47" t="s">
        <v>781</v>
      </c>
      <c r="N37" s="30">
        <v>2.0448338E7</v>
      </c>
      <c r="O37" s="30">
        <v>12.0</v>
      </c>
      <c r="P37" s="30">
        <v>2016.0</v>
      </c>
      <c r="Q37" s="30">
        <v>1952.0</v>
      </c>
      <c r="R37" s="30">
        <v>2160.0</v>
      </c>
      <c r="S37" s="47" t="b">
        <v>1</v>
      </c>
      <c r="T37" s="47" t="s">
        <v>891</v>
      </c>
      <c r="U37" s="30">
        <v>14.5</v>
      </c>
    </row>
    <row r="38">
      <c r="A38" s="47">
        <v>5.060255492192E12</v>
      </c>
      <c r="C38" s="47" t="s">
        <v>105</v>
      </c>
      <c r="D38" s="47" t="s">
        <v>94</v>
      </c>
      <c r="E38" s="47" t="s">
        <v>96</v>
      </c>
      <c r="F38" s="30">
        <v>1200.0</v>
      </c>
      <c r="G38" s="30">
        <v>1200.0</v>
      </c>
      <c r="H38" s="30">
        <v>100.0</v>
      </c>
      <c r="I38" s="47" t="s">
        <v>889</v>
      </c>
      <c r="J38" s="48">
        <v>46163.960914351854</v>
      </c>
      <c r="K38" s="49" t="s">
        <v>942</v>
      </c>
      <c r="L38" s="30">
        <v>1196797.0</v>
      </c>
      <c r="M38" s="47">
        <v>839002.0</v>
      </c>
      <c r="N38" s="30">
        <v>1.0686714E7</v>
      </c>
      <c r="O38" s="30">
        <v>3.0</v>
      </c>
      <c r="P38" s="30">
        <v>1000.0</v>
      </c>
      <c r="Q38" s="30">
        <v>1175.0</v>
      </c>
      <c r="R38" s="30">
        <v>1200.0</v>
      </c>
      <c r="S38" s="47" t="b">
        <v>1</v>
      </c>
      <c r="T38" s="47" t="s">
        <v>891</v>
      </c>
      <c r="U38" s="30">
        <v>14.5</v>
      </c>
    </row>
    <row r="39">
      <c r="A39" s="47">
        <v>5.060255492161E12</v>
      </c>
      <c r="C39" s="47" t="s">
        <v>106</v>
      </c>
      <c r="D39" s="47" t="s">
        <v>94</v>
      </c>
      <c r="E39" s="47" t="s">
        <v>96</v>
      </c>
      <c r="F39" s="30">
        <v>1399.0</v>
      </c>
      <c r="G39" s="30">
        <v>1399.0</v>
      </c>
      <c r="H39" s="30">
        <v>1.0</v>
      </c>
      <c r="I39" s="47" t="s">
        <v>889</v>
      </c>
      <c r="J39" s="48">
        <v>46163.96087962963</v>
      </c>
      <c r="K39" s="49" t="s">
        <v>943</v>
      </c>
      <c r="L39" s="30">
        <v>925572.0</v>
      </c>
      <c r="M39" s="47" t="s">
        <v>801</v>
      </c>
      <c r="N39" s="30">
        <v>1.0258135E7</v>
      </c>
      <c r="O39" s="30">
        <v>14.0</v>
      </c>
      <c r="P39" s="30">
        <v>1169.1</v>
      </c>
      <c r="Q39" s="30">
        <v>1249.9</v>
      </c>
      <c r="R39" s="30">
        <v>1235.0</v>
      </c>
      <c r="S39" s="47" t="b">
        <v>1</v>
      </c>
      <c r="T39" s="47" t="s">
        <v>891</v>
      </c>
      <c r="U39" s="30">
        <v>14.5</v>
      </c>
    </row>
    <row r="40">
      <c r="A40" s="47">
        <v>5.060412214117E12</v>
      </c>
      <c r="C40" s="47" t="s">
        <v>107</v>
      </c>
      <c r="D40" s="47" t="s">
        <v>94</v>
      </c>
      <c r="E40" s="47" t="s">
        <v>96</v>
      </c>
      <c r="F40" s="30">
        <v>1200.0</v>
      </c>
      <c r="G40" s="30">
        <v>1200.0</v>
      </c>
      <c r="H40" s="30">
        <v>100.0</v>
      </c>
      <c r="I40" s="47" t="s">
        <v>889</v>
      </c>
      <c r="J40" s="48">
        <v>46163.96087962963</v>
      </c>
      <c r="K40" s="49" t="s">
        <v>944</v>
      </c>
      <c r="L40" s="30">
        <v>3.4896559E7</v>
      </c>
      <c r="M40" s="47">
        <v>839002.0</v>
      </c>
      <c r="N40" s="30">
        <v>6.2373073E7</v>
      </c>
      <c r="O40" s="30">
        <v>7.0</v>
      </c>
      <c r="P40" s="30">
        <v>1047.6</v>
      </c>
      <c r="Q40" s="30">
        <v>1175.0</v>
      </c>
      <c r="R40" s="30">
        <v>1169.1</v>
      </c>
      <c r="S40" s="47" t="b">
        <v>1</v>
      </c>
      <c r="T40" s="47" t="s">
        <v>891</v>
      </c>
      <c r="U40" s="30">
        <v>14.5</v>
      </c>
    </row>
    <row r="41">
      <c r="A41" s="47">
        <v>8.410650173535E12</v>
      </c>
      <c r="C41" s="47" t="s">
        <v>109</v>
      </c>
      <c r="D41" s="47" t="s">
        <v>108</v>
      </c>
      <c r="E41" s="47" t="s">
        <v>59</v>
      </c>
      <c r="F41" s="30">
        <v>4250.0</v>
      </c>
      <c r="G41" s="30">
        <v>4250.0</v>
      </c>
      <c r="H41" s="30">
        <v>1.0</v>
      </c>
      <c r="I41" s="47" t="s">
        <v>889</v>
      </c>
      <c r="J41" s="48">
        <v>46159.829039351855</v>
      </c>
      <c r="K41" s="49" t="s">
        <v>945</v>
      </c>
      <c r="L41" s="30">
        <v>925972.0</v>
      </c>
      <c r="M41" s="47" t="s">
        <v>831</v>
      </c>
      <c r="N41" s="30">
        <v>1.0258238E7</v>
      </c>
      <c r="O41" s="30">
        <v>7.0</v>
      </c>
      <c r="P41" s="30">
        <v>3729.0</v>
      </c>
      <c r="Q41" s="30">
        <v>4000.0</v>
      </c>
      <c r="R41" s="30">
        <v>4000.0</v>
      </c>
      <c r="S41" s="47" t="b">
        <v>1</v>
      </c>
      <c r="T41" s="47" t="s">
        <v>891</v>
      </c>
      <c r="U41" s="30">
        <v>16.5</v>
      </c>
    </row>
    <row r="42">
      <c r="A42" s="47">
        <v>8.410650167886E12</v>
      </c>
      <c r="B42" s="47"/>
      <c r="C42" s="47" t="s">
        <v>110</v>
      </c>
      <c r="D42" s="47" t="s">
        <v>108</v>
      </c>
      <c r="E42" s="47" t="s">
        <v>72</v>
      </c>
      <c r="F42" s="30">
        <v>940.0</v>
      </c>
      <c r="G42" s="30">
        <v>940.0</v>
      </c>
      <c r="H42" s="30">
        <v>28.0</v>
      </c>
      <c r="I42" s="47" t="s">
        <v>889</v>
      </c>
      <c r="J42" s="48">
        <v>46159.829039351855</v>
      </c>
      <c r="K42" s="49" t="s">
        <v>946</v>
      </c>
      <c r="L42" s="30">
        <v>3.35613732E8</v>
      </c>
      <c r="M42" s="47">
        <v>8.410650167886E12</v>
      </c>
      <c r="N42" s="30">
        <v>5.35206586E8</v>
      </c>
      <c r="O42" s="30">
        <v>3.0</v>
      </c>
      <c r="P42" s="30">
        <v>980.0</v>
      </c>
      <c r="Q42" s="30">
        <v>944.16</v>
      </c>
      <c r="R42" s="30">
        <v>940.0</v>
      </c>
      <c r="S42" s="47" t="b">
        <v>1</v>
      </c>
      <c r="T42" s="47" t="s">
        <v>891</v>
      </c>
      <c r="U42" s="30">
        <v>16.5</v>
      </c>
    </row>
    <row r="43">
      <c r="A43" s="47">
        <v>8.410650239156E12</v>
      </c>
      <c r="C43" s="47" t="s">
        <v>111</v>
      </c>
      <c r="D43" s="47" t="s">
        <v>108</v>
      </c>
      <c r="E43" s="47" t="s">
        <v>72</v>
      </c>
      <c r="F43" s="30">
        <v>1728.0</v>
      </c>
      <c r="G43" s="30">
        <v>1728.0</v>
      </c>
      <c r="H43" s="30">
        <v>11.0</v>
      </c>
      <c r="I43" s="47" t="s">
        <v>889</v>
      </c>
      <c r="J43" s="48">
        <v>46159.829039351855</v>
      </c>
      <c r="K43" s="49" t="s">
        <v>947</v>
      </c>
      <c r="L43" s="30">
        <v>3.1636591E7</v>
      </c>
      <c r="M43" s="47">
        <v>8.410650239156E12</v>
      </c>
      <c r="N43" s="30">
        <v>5.690952E7</v>
      </c>
      <c r="O43" s="30">
        <v>3.0</v>
      </c>
      <c r="P43" s="30">
        <v>1698.0</v>
      </c>
      <c r="Q43" s="30">
        <v>1728.34</v>
      </c>
      <c r="R43" s="30">
        <v>1728.0</v>
      </c>
      <c r="S43" s="47" t="b">
        <v>1</v>
      </c>
      <c r="T43" s="47" t="s">
        <v>891</v>
      </c>
      <c r="U43" s="30">
        <v>16.5</v>
      </c>
    </row>
    <row r="44">
      <c r="A44" s="47">
        <v>8.410650151656E12</v>
      </c>
      <c r="C44" s="47" t="s">
        <v>112</v>
      </c>
      <c r="D44" s="47" t="s">
        <v>108</v>
      </c>
      <c r="E44" s="47" t="s">
        <v>72</v>
      </c>
      <c r="F44" s="30">
        <v>1630.0</v>
      </c>
      <c r="G44" s="30">
        <v>1630.0</v>
      </c>
      <c r="H44" s="30">
        <v>0.0</v>
      </c>
      <c r="I44" s="47" t="s">
        <v>899</v>
      </c>
      <c r="J44" s="48">
        <v>46159.829039351855</v>
      </c>
      <c r="K44" s="49" t="s">
        <v>948</v>
      </c>
      <c r="L44" s="30">
        <v>1198497.0</v>
      </c>
      <c r="M44" s="47" t="s">
        <v>813</v>
      </c>
      <c r="N44" s="30">
        <v>1.0687621E7</v>
      </c>
      <c r="O44" s="30"/>
      <c r="P44" s="30"/>
      <c r="Q44" s="30"/>
      <c r="R44" s="30"/>
      <c r="S44" s="47"/>
      <c r="T44" s="47" t="s">
        <v>901</v>
      </c>
      <c r="U44" s="30">
        <v>16.5</v>
      </c>
    </row>
    <row r="45">
      <c r="A45" s="47">
        <v>8.410650218663E12</v>
      </c>
      <c r="C45" s="47" t="s">
        <v>113</v>
      </c>
      <c r="D45" s="47" t="s">
        <v>108</v>
      </c>
      <c r="E45" s="47" t="s">
        <v>72</v>
      </c>
      <c r="F45" s="30">
        <v>4515.0</v>
      </c>
      <c r="G45" s="30">
        <v>4515.0</v>
      </c>
      <c r="H45" s="30">
        <v>0.0</v>
      </c>
      <c r="I45" s="47" t="s">
        <v>899</v>
      </c>
      <c r="J45" s="48">
        <v>46159.829039351855</v>
      </c>
      <c r="K45" s="49" t="s">
        <v>949</v>
      </c>
      <c r="L45" s="30">
        <v>925970.0</v>
      </c>
      <c r="M45" s="47" t="s">
        <v>799</v>
      </c>
      <c r="N45" s="30">
        <v>1.0258236E7</v>
      </c>
      <c r="O45" s="30"/>
      <c r="P45" s="30"/>
      <c r="Q45" s="30"/>
      <c r="R45" s="30"/>
      <c r="S45" s="47"/>
      <c r="T45" s="47" t="s">
        <v>901</v>
      </c>
      <c r="U45" s="30">
        <v>16.5</v>
      </c>
    </row>
    <row r="46">
      <c r="A46" s="47">
        <v>8.410650167909E12</v>
      </c>
      <c r="C46" s="47" t="s">
        <v>114</v>
      </c>
      <c r="D46" s="47" t="s">
        <v>108</v>
      </c>
      <c r="E46" s="47" t="s">
        <v>72</v>
      </c>
      <c r="F46" s="30">
        <v>1800.0</v>
      </c>
      <c r="G46" s="30">
        <v>1800.0</v>
      </c>
      <c r="H46" s="30">
        <v>5.0</v>
      </c>
      <c r="I46" s="47" t="s">
        <v>889</v>
      </c>
      <c r="J46" s="48">
        <v>46159.829039351855</v>
      </c>
      <c r="K46" s="49" t="s">
        <v>950</v>
      </c>
      <c r="L46" s="30">
        <v>1195291.0</v>
      </c>
      <c r="M46" s="47" t="s">
        <v>775</v>
      </c>
      <c r="N46" s="30">
        <v>1.0685599E7</v>
      </c>
      <c r="O46" s="30">
        <v>14.0</v>
      </c>
      <c r="P46" s="30">
        <v>1799.0</v>
      </c>
      <c r="Q46" s="30">
        <v>1765.0</v>
      </c>
      <c r="R46" s="30">
        <v>1810.0</v>
      </c>
      <c r="S46" s="47" t="b">
        <v>1</v>
      </c>
      <c r="T46" s="47" t="s">
        <v>891</v>
      </c>
      <c r="U46" s="30">
        <v>16.5</v>
      </c>
    </row>
    <row r="47">
      <c r="A47" s="47">
        <v>8.005852171108E12</v>
      </c>
      <c r="C47" s="47" t="s">
        <v>116</v>
      </c>
      <c r="D47" s="47" t="s">
        <v>115</v>
      </c>
      <c r="E47" s="47" t="s">
        <v>52</v>
      </c>
      <c r="F47" s="30">
        <v>175.0</v>
      </c>
      <c r="G47" s="30">
        <v>175.0</v>
      </c>
      <c r="H47" s="30">
        <v>90.0</v>
      </c>
      <c r="I47" s="47" t="s">
        <v>889</v>
      </c>
      <c r="J47" s="48">
        <v>46129.65319444444</v>
      </c>
      <c r="K47" s="49" t="s">
        <v>951</v>
      </c>
      <c r="L47" s="30">
        <v>9.9800691E7</v>
      </c>
      <c r="M47" s="47" t="s">
        <v>952</v>
      </c>
      <c r="N47" s="30">
        <v>1.65864003E8</v>
      </c>
      <c r="O47" s="30">
        <v>1.0</v>
      </c>
      <c r="P47" s="30">
        <v>175.0</v>
      </c>
      <c r="Q47" s="30"/>
      <c r="R47" s="30"/>
      <c r="S47" s="47" t="b">
        <v>0</v>
      </c>
      <c r="T47" s="47" t="s">
        <v>891</v>
      </c>
      <c r="U47" s="30">
        <v>16.5</v>
      </c>
    </row>
    <row r="48">
      <c r="A48" s="47">
        <v>8.005852171054E12</v>
      </c>
      <c r="C48" s="47" t="s">
        <v>117</v>
      </c>
      <c r="D48" s="47" t="s">
        <v>115</v>
      </c>
      <c r="E48" s="47" t="s">
        <v>52</v>
      </c>
      <c r="F48" s="30">
        <v>259.0</v>
      </c>
      <c r="G48" s="30">
        <v>259.0</v>
      </c>
      <c r="H48" s="30">
        <v>20.0</v>
      </c>
      <c r="I48" s="47" t="s">
        <v>889</v>
      </c>
      <c r="J48" s="48">
        <v>46129.65258101852</v>
      </c>
      <c r="K48" s="49" t="s">
        <v>953</v>
      </c>
      <c r="L48" s="30">
        <v>8.6207382E7</v>
      </c>
      <c r="M48" s="47">
        <v>1665917.0</v>
      </c>
      <c r="N48" s="30">
        <v>1.44339191E8</v>
      </c>
      <c r="O48" s="30">
        <v>1.0</v>
      </c>
      <c r="P48" s="30">
        <v>259.0</v>
      </c>
      <c r="Q48" s="30">
        <v>271.26</v>
      </c>
      <c r="R48" s="30">
        <v>304.9</v>
      </c>
      <c r="S48" s="47" t="b">
        <v>1</v>
      </c>
      <c r="T48" s="47" t="s">
        <v>891</v>
      </c>
      <c r="U48" s="30">
        <v>16.5</v>
      </c>
    </row>
    <row r="49">
      <c r="A49" s="47">
        <v>8.005852171115E12</v>
      </c>
      <c r="C49" s="47" t="s">
        <v>118</v>
      </c>
      <c r="D49" s="47" t="s">
        <v>115</v>
      </c>
      <c r="E49" s="47" t="s">
        <v>52</v>
      </c>
      <c r="F49" s="30">
        <v>160.0</v>
      </c>
      <c r="G49" s="30">
        <v>160.0</v>
      </c>
      <c r="H49" s="30">
        <v>50.0</v>
      </c>
      <c r="I49" s="47" t="s">
        <v>889</v>
      </c>
      <c r="J49" s="48">
        <v>46129.651504629626</v>
      </c>
      <c r="K49" s="49" t="s">
        <v>954</v>
      </c>
      <c r="L49" s="30">
        <v>8.6207455E7</v>
      </c>
      <c r="M49" s="47">
        <v>1665850.0</v>
      </c>
      <c r="N49" s="30">
        <v>1.44339261E8</v>
      </c>
      <c r="O49" s="30">
        <v>2.0</v>
      </c>
      <c r="P49" s="30">
        <v>138.18</v>
      </c>
      <c r="Q49" s="30">
        <v>160.0</v>
      </c>
      <c r="R49" s="30"/>
      <c r="S49" s="47" t="b">
        <v>1</v>
      </c>
      <c r="T49" s="47" t="s">
        <v>891</v>
      </c>
      <c r="U49" s="30">
        <v>16.5</v>
      </c>
    </row>
    <row r="50">
      <c r="A50" s="47">
        <v>7.613033560033E12</v>
      </c>
      <c r="B50" s="47">
        <v>0.0</v>
      </c>
      <c r="C50" s="47" t="s">
        <v>119</v>
      </c>
      <c r="D50" s="47" t="s">
        <v>50</v>
      </c>
      <c r="E50" s="47" t="s">
        <v>72</v>
      </c>
      <c r="F50" s="30">
        <v>1320.0</v>
      </c>
      <c r="G50" s="30">
        <v>1320.0</v>
      </c>
      <c r="H50" s="30">
        <v>48.0</v>
      </c>
      <c r="I50" s="47" t="s">
        <v>889</v>
      </c>
      <c r="J50" s="48">
        <v>46159.829050925924</v>
      </c>
      <c r="K50" s="49" t="s">
        <v>955</v>
      </c>
      <c r="L50" s="30">
        <v>749835.0</v>
      </c>
      <c r="M50" s="47" t="s">
        <v>758</v>
      </c>
      <c r="N50" s="30">
        <v>1.0004686E7</v>
      </c>
      <c r="O50" s="30">
        <v>3.0</v>
      </c>
      <c r="P50" s="30">
        <v>1299.0</v>
      </c>
      <c r="Q50" s="30">
        <v>1298.0</v>
      </c>
      <c r="R50" s="30">
        <v>1320.0</v>
      </c>
      <c r="S50" s="47" t="b">
        <v>1</v>
      </c>
      <c r="T50" s="47" t="s">
        <v>891</v>
      </c>
      <c r="U50" s="30">
        <v>12.5</v>
      </c>
    </row>
    <row r="51">
      <c r="A51" s="47" t="s">
        <v>120</v>
      </c>
      <c r="C51" s="47" t="s">
        <v>122</v>
      </c>
      <c r="D51" s="47" t="s">
        <v>121</v>
      </c>
      <c r="E51" s="47" t="s">
        <v>52</v>
      </c>
      <c r="F51" s="30">
        <v>1119.0</v>
      </c>
      <c r="G51" s="30">
        <v>1119.0</v>
      </c>
      <c r="H51" s="30">
        <v>0.0</v>
      </c>
      <c r="I51" s="47" t="s">
        <v>899</v>
      </c>
      <c r="J51" s="48">
        <v>46159.829039351855</v>
      </c>
      <c r="K51" s="49" t="s">
        <v>956</v>
      </c>
      <c r="L51" s="30">
        <v>7.82893739E8</v>
      </c>
      <c r="M51" s="47" t="s">
        <v>812</v>
      </c>
      <c r="N51" s="30">
        <v>1.037827763E9</v>
      </c>
      <c r="O51" s="30"/>
      <c r="P51" s="30"/>
      <c r="Q51" s="30"/>
      <c r="R51" s="30"/>
      <c r="S51" s="47"/>
      <c r="T51" s="47" t="s">
        <v>901</v>
      </c>
      <c r="U51" s="30">
        <v>13.5</v>
      </c>
    </row>
    <row r="52">
      <c r="A52" s="47" t="s">
        <v>123</v>
      </c>
      <c r="C52" s="47" t="s">
        <v>124</v>
      </c>
      <c r="D52" s="47" t="s">
        <v>121</v>
      </c>
      <c r="E52" s="47" t="s">
        <v>52</v>
      </c>
      <c r="F52" s="30">
        <v>1199.0</v>
      </c>
      <c r="G52" s="30">
        <v>1199.0</v>
      </c>
      <c r="H52" s="30">
        <v>0.0</v>
      </c>
      <c r="I52" s="47" t="s">
        <v>899</v>
      </c>
      <c r="J52" s="48">
        <v>46159.829039351855</v>
      </c>
      <c r="K52" s="49" t="s">
        <v>957</v>
      </c>
      <c r="L52" s="30">
        <v>7.82890075E8</v>
      </c>
      <c r="M52" s="47" t="s">
        <v>958</v>
      </c>
      <c r="N52" s="30">
        <v>1.037820111E9</v>
      </c>
      <c r="O52" s="30"/>
      <c r="P52" s="30"/>
      <c r="Q52" s="30"/>
      <c r="R52" s="30"/>
      <c r="S52" s="47"/>
      <c r="T52" s="47" t="s">
        <v>901</v>
      </c>
      <c r="U52" s="30">
        <v>13.5</v>
      </c>
    </row>
    <row r="53">
      <c r="A53" s="47">
        <v>640020.0</v>
      </c>
      <c r="C53" s="47" t="s">
        <v>125</v>
      </c>
      <c r="D53" s="47" t="s">
        <v>121</v>
      </c>
      <c r="E53" s="47" t="s">
        <v>52</v>
      </c>
      <c r="F53" s="30">
        <v>2199.0</v>
      </c>
      <c r="G53" s="30">
        <v>2199.0</v>
      </c>
      <c r="H53" s="30">
        <v>0.0</v>
      </c>
      <c r="I53" s="47" t="s">
        <v>899</v>
      </c>
      <c r="J53" s="48">
        <v>46159.829050925924</v>
      </c>
      <c r="K53" s="49" t="s">
        <v>959</v>
      </c>
      <c r="L53" s="30">
        <v>1198668.0</v>
      </c>
      <c r="M53" s="47">
        <v>640020.0</v>
      </c>
      <c r="N53" s="30">
        <v>1.0683776E7</v>
      </c>
      <c r="O53" s="30"/>
      <c r="P53" s="30"/>
      <c r="Q53" s="30"/>
      <c r="R53" s="30"/>
      <c r="S53" s="47"/>
      <c r="T53" s="47" t="s">
        <v>901</v>
      </c>
      <c r="U53" s="30">
        <v>13.5</v>
      </c>
    </row>
    <row r="54">
      <c r="A54" s="47">
        <v>8.681002995178E12</v>
      </c>
      <c r="C54" s="47" t="s">
        <v>126</v>
      </c>
      <c r="D54" s="47" t="s">
        <v>121</v>
      </c>
      <c r="E54" s="47" t="s">
        <v>52</v>
      </c>
      <c r="F54" s="30">
        <v>2149.0</v>
      </c>
      <c r="G54" s="30">
        <v>2149.0</v>
      </c>
      <c r="H54" s="30">
        <v>2.0</v>
      </c>
      <c r="I54" s="47" t="s">
        <v>889</v>
      </c>
      <c r="J54" s="48">
        <v>46159.829039351855</v>
      </c>
      <c r="K54" s="49" t="s">
        <v>960</v>
      </c>
      <c r="L54" s="30">
        <v>8.44564577E8</v>
      </c>
      <c r="M54" s="47">
        <v>8.681002995178E12</v>
      </c>
      <c r="N54" s="30">
        <v>1.137010297E9</v>
      </c>
      <c r="O54" s="30">
        <v>3.0</v>
      </c>
      <c r="P54" s="30">
        <v>2065.0</v>
      </c>
      <c r="Q54" s="30">
        <v>2138.0</v>
      </c>
      <c r="R54" s="30">
        <v>2149.0</v>
      </c>
      <c r="S54" s="47" t="b">
        <v>1</v>
      </c>
      <c r="T54" s="47" t="s">
        <v>891</v>
      </c>
      <c r="U54" s="30">
        <v>13.5</v>
      </c>
    </row>
    <row r="55">
      <c r="A55" s="47" t="s">
        <v>127</v>
      </c>
      <c r="C55" s="47" t="s">
        <v>128</v>
      </c>
      <c r="D55" s="47" t="s">
        <v>53</v>
      </c>
      <c r="E55" s="47" t="s">
        <v>72</v>
      </c>
      <c r="F55" s="30">
        <v>0.0</v>
      </c>
      <c r="G55" s="30">
        <v>0.0</v>
      </c>
      <c r="H55" s="30">
        <v>0.0</v>
      </c>
      <c r="I55" s="47" t="s">
        <v>899</v>
      </c>
      <c r="J55" s="48">
        <v>46164.63303240741</v>
      </c>
      <c r="K55" s="49" t="s">
        <v>961</v>
      </c>
      <c r="L55" s="30">
        <v>1.044226051E9</v>
      </c>
      <c r="M55" s="47" t="s">
        <v>962</v>
      </c>
      <c r="N55" s="30">
        <v>1.444739673E9</v>
      </c>
      <c r="O55" s="30"/>
      <c r="P55" s="30"/>
      <c r="Q55" s="30"/>
      <c r="R55" s="30"/>
      <c r="S55" s="47"/>
      <c r="T55" s="47" t="s">
        <v>901</v>
      </c>
      <c r="U55" s="30">
        <v>12.5</v>
      </c>
    </row>
    <row r="56">
      <c r="A56" s="47">
        <v>8.681002994201E12</v>
      </c>
      <c r="C56" s="47" t="s">
        <v>130</v>
      </c>
      <c r="D56" s="47" t="s">
        <v>129</v>
      </c>
      <c r="E56" s="47" t="s">
        <v>131</v>
      </c>
      <c r="F56" s="30">
        <v>750.0</v>
      </c>
      <c r="G56" s="30">
        <v>750.0</v>
      </c>
      <c r="H56" s="30">
        <v>100.0</v>
      </c>
      <c r="I56" s="47" t="s">
        <v>889</v>
      </c>
      <c r="J56" s="48">
        <v>46115.666712962964</v>
      </c>
      <c r="K56" s="49" t="s">
        <v>963</v>
      </c>
      <c r="L56" s="30">
        <v>8.24126553E8</v>
      </c>
      <c r="M56" s="47">
        <v>8.681002994201E12</v>
      </c>
      <c r="N56" s="30">
        <v>1.102221682E9</v>
      </c>
      <c r="O56" s="30">
        <v>10.0</v>
      </c>
      <c r="P56" s="30">
        <v>414.5</v>
      </c>
      <c r="Q56" s="30">
        <v>412.58</v>
      </c>
      <c r="R56" s="30">
        <v>550.0</v>
      </c>
      <c r="S56" s="47" t="b">
        <v>1</v>
      </c>
      <c r="T56" s="47" t="s">
        <v>891</v>
      </c>
      <c r="U56" s="30">
        <v>20.0</v>
      </c>
    </row>
    <row r="57">
      <c r="A57" s="47" t="s">
        <v>132</v>
      </c>
      <c r="C57" s="47" t="s">
        <v>133</v>
      </c>
      <c r="D57" s="47" t="s">
        <v>53</v>
      </c>
      <c r="E57" s="47" t="s">
        <v>59</v>
      </c>
      <c r="F57" s="30">
        <v>0.0</v>
      </c>
      <c r="G57" s="30">
        <v>0.0</v>
      </c>
      <c r="H57" s="30">
        <v>0.0</v>
      </c>
      <c r="I57" s="47" t="s">
        <v>899</v>
      </c>
      <c r="J57" s="48">
        <v>46161.63481481482</v>
      </c>
      <c r="K57" s="49" t="s">
        <v>964</v>
      </c>
      <c r="L57" s="30">
        <v>6.2248854E7</v>
      </c>
      <c r="M57" s="47" t="s">
        <v>965</v>
      </c>
      <c r="N57" s="30">
        <v>1.0882029E8</v>
      </c>
      <c r="O57" s="30"/>
      <c r="P57" s="30"/>
      <c r="Q57" s="30"/>
      <c r="R57" s="30"/>
      <c r="S57" s="47"/>
      <c r="T57" s="47" t="s">
        <v>901</v>
      </c>
      <c r="U57" s="30">
        <v>12.5</v>
      </c>
    </row>
    <row r="58">
      <c r="A58" s="47">
        <v>3.182550784399E12</v>
      </c>
      <c r="C58" s="47" t="s">
        <v>134</v>
      </c>
      <c r="D58" s="47" t="s">
        <v>53</v>
      </c>
      <c r="E58" s="47" t="s">
        <v>72</v>
      </c>
      <c r="F58" s="30">
        <v>0.0</v>
      </c>
      <c r="G58" s="30">
        <v>0.0</v>
      </c>
      <c r="H58" s="30">
        <v>0.0</v>
      </c>
      <c r="I58" s="47" t="s">
        <v>899</v>
      </c>
      <c r="J58" s="48">
        <v>46164.63303240741</v>
      </c>
      <c r="K58" s="49" t="s">
        <v>966</v>
      </c>
      <c r="L58" s="30">
        <v>925657.0</v>
      </c>
      <c r="M58" s="47" t="s">
        <v>967</v>
      </c>
      <c r="N58" s="30">
        <v>1.0258199E7</v>
      </c>
      <c r="O58" s="30"/>
      <c r="P58" s="30"/>
      <c r="Q58" s="30"/>
      <c r="R58" s="30"/>
      <c r="S58" s="47"/>
      <c r="T58" s="47" t="s">
        <v>901</v>
      </c>
      <c r="U58" s="30">
        <v>12.5</v>
      </c>
    </row>
    <row r="59">
      <c r="A59" s="47" t="s">
        <v>135</v>
      </c>
      <c r="C59" s="47" t="s">
        <v>136</v>
      </c>
      <c r="D59" s="47" t="s">
        <v>121</v>
      </c>
      <c r="E59" s="47" t="s">
        <v>52</v>
      </c>
      <c r="F59" s="30">
        <v>859.0</v>
      </c>
      <c r="G59" s="30">
        <v>859.0</v>
      </c>
      <c r="H59" s="30">
        <v>97.0</v>
      </c>
      <c r="I59" s="47" t="s">
        <v>889</v>
      </c>
      <c r="J59" s="48">
        <v>46107.94546296296</v>
      </c>
      <c r="K59" s="49" t="s">
        <v>968</v>
      </c>
      <c r="L59" s="30">
        <v>1.107267997E9</v>
      </c>
      <c r="M59" s="47">
        <v>8.681003003568E12</v>
      </c>
      <c r="N59" s="30">
        <v>1.538051947E9</v>
      </c>
      <c r="O59" s="30">
        <v>5.0</v>
      </c>
      <c r="P59" s="30">
        <v>690.0</v>
      </c>
      <c r="Q59" s="30">
        <v>755.0</v>
      </c>
      <c r="R59" s="30">
        <v>769.0</v>
      </c>
      <c r="S59" s="47" t="b">
        <v>1</v>
      </c>
      <c r="T59" s="47" t="s">
        <v>891</v>
      </c>
      <c r="U59" s="30">
        <v>13.5</v>
      </c>
    </row>
    <row r="60">
      <c r="A60" s="47">
        <v>8.745236589541E12</v>
      </c>
      <c r="C60" s="47" t="s">
        <v>138</v>
      </c>
      <c r="D60" s="47" t="s">
        <v>137</v>
      </c>
      <c r="E60" s="47" t="s">
        <v>52</v>
      </c>
      <c r="F60" s="30">
        <v>2247.0</v>
      </c>
      <c r="G60" s="30">
        <v>2247.0</v>
      </c>
      <c r="H60" s="30">
        <v>498.0</v>
      </c>
      <c r="I60" s="47" t="s">
        <v>889</v>
      </c>
      <c r="J60" s="48">
        <v>46159.829039351855</v>
      </c>
      <c r="K60" s="49" t="s">
        <v>969</v>
      </c>
      <c r="L60" s="30">
        <v>1.04526321E8</v>
      </c>
      <c r="M60" s="47" t="s">
        <v>858</v>
      </c>
      <c r="N60" s="30">
        <v>1.72554086E8</v>
      </c>
      <c r="O60" s="30">
        <v>1.0</v>
      </c>
      <c r="P60" s="30">
        <v>2247.0</v>
      </c>
      <c r="Q60" s="30">
        <v>2259.0</v>
      </c>
      <c r="R60" s="30">
        <v>2315.0</v>
      </c>
      <c r="S60" s="47" t="b">
        <v>1</v>
      </c>
      <c r="T60" s="47" t="s">
        <v>891</v>
      </c>
      <c r="U60" s="30">
        <v>13.5</v>
      </c>
    </row>
    <row r="61">
      <c r="A61" s="47">
        <v>8.694867251443E12</v>
      </c>
      <c r="C61" s="47" t="s">
        <v>140</v>
      </c>
      <c r="D61" s="47" t="s">
        <v>139</v>
      </c>
      <c r="E61" s="47" t="s">
        <v>52</v>
      </c>
      <c r="F61" s="30">
        <v>680.0</v>
      </c>
      <c r="G61" s="30">
        <v>680.0</v>
      </c>
      <c r="H61" s="30">
        <v>990.0</v>
      </c>
      <c r="I61" s="47" t="s">
        <v>889</v>
      </c>
      <c r="J61" s="48">
        <v>46159.829039351855</v>
      </c>
      <c r="K61" s="49" t="s">
        <v>970</v>
      </c>
      <c r="L61" s="30">
        <v>1.21932068E8</v>
      </c>
      <c r="M61" s="47" t="s">
        <v>971</v>
      </c>
      <c r="N61" s="30">
        <v>1.96116253E8</v>
      </c>
      <c r="O61" s="30">
        <v>10.0</v>
      </c>
      <c r="P61" s="30">
        <v>476.0</v>
      </c>
      <c r="Q61" s="30">
        <v>477.0</v>
      </c>
      <c r="R61" s="30">
        <v>510.0</v>
      </c>
      <c r="S61" s="47" t="b">
        <v>1</v>
      </c>
      <c r="T61" s="47" t="s">
        <v>891</v>
      </c>
      <c r="U61" s="30">
        <v>16.5</v>
      </c>
    </row>
    <row r="62">
      <c r="A62" s="47" t="s">
        <v>141</v>
      </c>
      <c r="B62" s="47"/>
      <c r="C62" s="47" t="s">
        <v>142</v>
      </c>
      <c r="D62" s="47" t="s">
        <v>137</v>
      </c>
      <c r="E62" s="47" t="s">
        <v>52</v>
      </c>
      <c r="F62" s="30">
        <v>629.0</v>
      </c>
      <c r="G62" s="30">
        <v>629.0</v>
      </c>
      <c r="H62" s="30">
        <v>998.0</v>
      </c>
      <c r="I62" s="47" t="s">
        <v>889</v>
      </c>
      <c r="J62" s="48">
        <v>46159.829050925924</v>
      </c>
      <c r="K62" s="49" t="s">
        <v>972</v>
      </c>
      <c r="L62" s="30">
        <v>4908793.0</v>
      </c>
      <c r="M62" s="47" t="s">
        <v>141</v>
      </c>
      <c r="N62" s="30">
        <v>1.8380488E7</v>
      </c>
      <c r="O62" s="30">
        <v>2.0</v>
      </c>
      <c r="P62" s="30">
        <v>630.0</v>
      </c>
      <c r="Q62" s="30">
        <v>629.0</v>
      </c>
      <c r="R62" s="30">
        <v>640.0</v>
      </c>
      <c r="S62" s="47" t="b">
        <v>1</v>
      </c>
      <c r="T62" s="47" t="s">
        <v>891</v>
      </c>
      <c r="U62" s="30">
        <v>13.5</v>
      </c>
    </row>
    <row r="63">
      <c r="A63" s="47" t="s">
        <v>143</v>
      </c>
      <c r="B63" s="47"/>
      <c r="C63" s="47" t="s">
        <v>144</v>
      </c>
      <c r="D63" s="47" t="s">
        <v>137</v>
      </c>
      <c r="E63" s="47" t="s">
        <v>72</v>
      </c>
      <c r="F63" s="30">
        <v>319.0</v>
      </c>
      <c r="G63" s="30">
        <v>319.0</v>
      </c>
      <c r="H63" s="30">
        <v>170.0</v>
      </c>
      <c r="I63" s="47" t="s">
        <v>889</v>
      </c>
      <c r="J63" s="48">
        <v>46159.829039351855</v>
      </c>
      <c r="K63" s="49" t="s">
        <v>973</v>
      </c>
      <c r="L63" s="30">
        <v>9.6685636E7</v>
      </c>
      <c r="M63" s="47">
        <v>7265.0</v>
      </c>
      <c r="N63" s="30">
        <v>1.61060943E8</v>
      </c>
      <c r="O63" s="30">
        <v>1.0</v>
      </c>
      <c r="P63" s="30">
        <v>319.0</v>
      </c>
      <c r="Q63" s="30">
        <v>318.0</v>
      </c>
      <c r="R63" s="30">
        <v>349.0</v>
      </c>
      <c r="S63" s="47" t="b">
        <v>1</v>
      </c>
      <c r="T63" s="47" t="s">
        <v>891</v>
      </c>
      <c r="U63" s="30">
        <v>16.5</v>
      </c>
    </row>
    <row r="64">
      <c r="A64" s="47">
        <v>1.613036962014E12</v>
      </c>
      <c r="B64" s="47"/>
      <c r="C64" s="47" t="s">
        <v>145</v>
      </c>
      <c r="D64" s="47" t="s">
        <v>137</v>
      </c>
      <c r="E64" s="47" t="s">
        <v>72</v>
      </c>
      <c r="F64" s="30">
        <v>725.0</v>
      </c>
      <c r="G64" s="30">
        <v>725.0</v>
      </c>
      <c r="H64" s="30">
        <v>200.0</v>
      </c>
      <c r="I64" s="47" t="s">
        <v>889</v>
      </c>
      <c r="J64" s="48">
        <v>46159.829039351855</v>
      </c>
      <c r="K64" s="49" t="s">
        <v>974</v>
      </c>
      <c r="L64" s="30">
        <v>1.6762289E8</v>
      </c>
      <c r="M64" s="47" t="s">
        <v>975</v>
      </c>
      <c r="N64" s="30">
        <v>2.72943349E8</v>
      </c>
      <c r="O64" s="30">
        <v>1.0</v>
      </c>
      <c r="P64" s="30">
        <v>725.0</v>
      </c>
      <c r="Q64" s="30">
        <v>740.0</v>
      </c>
      <c r="R64" s="30">
        <v>765.0</v>
      </c>
      <c r="S64" s="47" t="b">
        <v>1</v>
      </c>
      <c r="T64" s="47" t="s">
        <v>891</v>
      </c>
      <c r="U64" s="30">
        <v>16.5</v>
      </c>
    </row>
    <row r="65">
      <c r="A65" s="47">
        <v>8.681002997592E12</v>
      </c>
      <c r="B65" s="47"/>
      <c r="C65" s="47" t="s">
        <v>146</v>
      </c>
      <c r="D65" s="47" t="s">
        <v>129</v>
      </c>
      <c r="E65" s="47" t="s">
        <v>131</v>
      </c>
      <c r="F65" s="30">
        <v>1750.0</v>
      </c>
      <c r="G65" s="30">
        <v>1750.0</v>
      </c>
      <c r="H65" s="30">
        <v>99.0</v>
      </c>
      <c r="I65" s="47" t="s">
        <v>889</v>
      </c>
      <c r="J65" s="48">
        <v>46107.77378472222</v>
      </c>
      <c r="K65" s="49" t="s">
        <v>976</v>
      </c>
      <c r="L65" s="30">
        <v>9.30926146E8</v>
      </c>
      <c r="M65" s="47">
        <v>8.681002997592E12</v>
      </c>
      <c r="N65" s="30">
        <v>1.316770783E9</v>
      </c>
      <c r="O65" s="30">
        <v>6.0</v>
      </c>
      <c r="P65" s="30">
        <v>1455.0</v>
      </c>
      <c r="Q65" s="30">
        <v>1634.55</v>
      </c>
      <c r="R65" s="30">
        <v>1639.0</v>
      </c>
      <c r="S65" s="47" t="b">
        <v>1</v>
      </c>
      <c r="T65" s="47" t="s">
        <v>891</v>
      </c>
      <c r="U65" s="30">
        <v>20.0</v>
      </c>
    </row>
    <row r="66">
      <c r="A66" s="47">
        <v>6.2420056724154E13</v>
      </c>
      <c r="B66" s="47"/>
      <c r="C66" s="47" t="s">
        <v>147</v>
      </c>
      <c r="D66" s="47" t="s">
        <v>129</v>
      </c>
      <c r="E66" s="47" t="s">
        <v>72</v>
      </c>
      <c r="F66" s="30">
        <v>1350.0</v>
      </c>
      <c r="G66" s="30">
        <v>1350.0</v>
      </c>
      <c r="H66" s="30">
        <v>1000.0</v>
      </c>
      <c r="I66" s="47" t="s">
        <v>889</v>
      </c>
      <c r="J66" s="48">
        <v>46107.77353009259</v>
      </c>
      <c r="K66" s="49" t="s">
        <v>977</v>
      </c>
      <c r="L66" s="30">
        <v>4.8031114E7</v>
      </c>
      <c r="M66" s="47" t="s">
        <v>819</v>
      </c>
      <c r="N66" s="30">
        <v>8.4942016E7</v>
      </c>
      <c r="O66" s="30">
        <v>9.0</v>
      </c>
      <c r="P66" s="30">
        <v>1019.08</v>
      </c>
      <c r="Q66" s="30">
        <v>1019.0</v>
      </c>
      <c r="R66" s="30">
        <v>1036.0</v>
      </c>
      <c r="S66" s="47" t="b">
        <v>1</v>
      </c>
      <c r="T66" s="47" t="s">
        <v>891</v>
      </c>
      <c r="U66" s="30">
        <v>16.5</v>
      </c>
    </row>
    <row r="67">
      <c r="A67" s="47" t="s">
        <v>148</v>
      </c>
      <c r="B67" s="47"/>
      <c r="C67" s="47" t="s">
        <v>149</v>
      </c>
      <c r="D67" s="47" t="s">
        <v>129</v>
      </c>
      <c r="E67" s="47" t="s">
        <v>131</v>
      </c>
      <c r="F67" s="30">
        <v>700.0</v>
      </c>
      <c r="G67" s="30">
        <v>700.0</v>
      </c>
      <c r="H67" s="30">
        <v>100.0</v>
      </c>
      <c r="I67" s="47" t="s">
        <v>889</v>
      </c>
      <c r="J67" s="48">
        <v>46107.77326388889</v>
      </c>
      <c r="K67" s="49" t="s">
        <v>978</v>
      </c>
      <c r="L67" s="30">
        <v>2.47802557E8</v>
      </c>
      <c r="M67" s="47" t="s">
        <v>794</v>
      </c>
      <c r="N67" s="30">
        <v>3.96432315E8</v>
      </c>
      <c r="O67" s="30">
        <v>20.0</v>
      </c>
      <c r="P67" s="30">
        <v>374.0</v>
      </c>
      <c r="Q67" s="30">
        <v>380.0</v>
      </c>
      <c r="R67" s="30">
        <v>385.0</v>
      </c>
      <c r="S67" s="47" t="b">
        <v>1</v>
      </c>
      <c r="T67" s="47" t="s">
        <v>891</v>
      </c>
      <c r="U67" s="30">
        <v>20.0</v>
      </c>
    </row>
    <row r="68">
      <c r="A68" s="47">
        <v>5.998749129968E12</v>
      </c>
      <c r="B68" s="47"/>
      <c r="C68" s="47" t="s">
        <v>150</v>
      </c>
      <c r="D68" s="47" t="s">
        <v>121</v>
      </c>
      <c r="E68" s="47" t="s">
        <v>72</v>
      </c>
      <c r="F68" s="30">
        <v>600.0</v>
      </c>
      <c r="G68" s="30">
        <v>600.0</v>
      </c>
      <c r="H68" s="30">
        <v>0.0</v>
      </c>
      <c r="I68" s="47" t="s">
        <v>899</v>
      </c>
      <c r="J68" s="48">
        <v>46159.829039351855</v>
      </c>
      <c r="K68" s="49" t="s">
        <v>979</v>
      </c>
      <c r="L68" s="30">
        <v>925876.0</v>
      </c>
      <c r="M68" s="47">
        <v>80643.0</v>
      </c>
      <c r="N68" s="30">
        <v>1.0258647E7</v>
      </c>
      <c r="O68" s="30"/>
      <c r="P68" s="30"/>
      <c r="Q68" s="30"/>
      <c r="R68" s="30"/>
      <c r="S68" s="47"/>
      <c r="T68" s="47" t="s">
        <v>901</v>
      </c>
      <c r="U68" s="30">
        <v>16.5</v>
      </c>
    </row>
    <row r="69">
      <c r="A69" s="47">
        <v>5.900951014345E12</v>
      </c>
      <c r="C69" s="47" t="s">
        <v>151</v>
      </c>
      <c r="D69" s="47" t="s">
        <v>121</v>
      </c>
      <c r="E69" s="47" t="s">
        <v>72</v>
      </c>
      <c r="F69" s="30">
        <v>5500.0</v>
      </c>
      <c r="G69" s="30">
        <v>5500.0</v>
      </c>
      <c r="H69" s="30">
        <v>0.0</v>
      </c>
      <c r="I69" s="47" t="s">
        <v>899</v>
      </c>
      <c r="J69" s="48">
        <v>46159.829039351855</v>
      </c>
      <c r="K69" s="49" t="s">
        <v>980</v>
      </c>
      <c r="L69" s="30">
        <v>1195893.0</v>
      </c>
      <c r="M69" s="47">
        <v>149639.0</v>
      </c>
      <c r="N69" s="30">
        <v>1.0685019E7</v>
      </c>
      <c r="O69" s="30"/>
      <c r="P69" s="30"/>
      <c r="Q69" s="30"/>
      <c r="R69" s="30"/>
      <c r="S69" s="47"/>
      <c r="T69" s="47" t="s">
        <v>901</v>
      </c>
      <c r="U69" s="30">
        <v>16.5</v>
      </c>
    </row>
    <row r="70">
      <c r="A70" s="47">
        <v>4.77060823913824E14</v>
      </c>
      <c r="C70" s="47" t="s">
        <v>152</v>
      </c>
      <c r="D70" s="47" t="s">
        <v>121</v>
      </c>
      <c r="E70" s="47" t="s">
        <v>52</v>
      </c>
      <c r="F70" s="30">
        <v>800.0</v>
      </c>
      <c r="G70" s="30">
        <v>800.0</v>
      </c>
      <c r="H70" s="30">
        <v>100.0</v>
      </c>
      <c r="I70" s="47" t="s">
        <v>889</v>
      </c>
      <c r="J70" s="48">
        <v>46159.829050925924</v>
      </c>
      <c r="K70" s="49" t="s">
        <v>981</v>
      </c>
      <c r="L70" s="30">
        <v>7.2712352E7</v>
      </c>
      <c r="M70" s="47">
        <v>1324.0</v>
      </c>
      <c r="N70" s="30">
        <v>1.2548964E8</v>
      </c>
      <c r="O70" s="30">
        <v>1.0</v>
      </c>
      <c r="P70" s="30">
        <v>800.0</v>
      </c>
      <c r="Q70" s="30">
        <v>855.0</v>
      </c>
      <c r="R70" s="30"/>
      <c r="S70" s="47" t="b">
        <v>1</v>
      </c>
      <c r="T70" s="47" t="s">
        <v>891</v>
      </c>
      <c r="U70" s="30">
        <v>13.5</v>
      </c>
    </row>
    <row r="71">
      <c r="A71" s="47">
        <v>8.68447746204E12</v>
      </c>
      <c r="C71" s="47" t="s">
        <v>154</v>
      </c>
      <c r="D71" s="47" t="s">
        <v>153</v>
      </c>
      <c r="E71" s="47" t="s">
        <v>72</v>
      </c>
      <c r="F71" s="30">
        <v>1188.0</v>
      </c>
      <c r="G71" s="30">
        <v>1188.0</v>
      </c>
      <c r="H71" s="30">
        <v>0.0</v>
      </c>
      <c r="I71" s="47" t="s">
        <v>899</v>
      </c>
      <c r="J71" s="48">
        <v>46159.829039351855</v>
      </c>
      <c r="K71" s="49" t="s">
        <v>982</v>
      </c>
      <c r="L71" s="30">
        <v>4.0130416E7</v>
      </c>
      <c r="M71" s="47" t="s">
        <v>743</v>
      </c>
      <c r="N71" s="30">
        <v>7.1043542E7</v>
      </c>
      <c r="O71" s="30"/>
      <c r="P71" s="30"/>
      <c r="Q71" s="30"/>
      <c r="R71" s="30"/>
      <c r="S71" s="47"/>
      <c r="T71" s="47" t="s">
        <v>901</v>
      </c>
      <c r="U71" s="30">
        <v>16.5</v>
      </c>
    </row>
    <row r="72">
      <c r="A72" s="47">
        <v>3.208202001E9</v>
      </c>
      <c r="C72" s="47" t="s">
        <v>155</v>
      </c>
      <c r="D72" s="47" t="s">
        <v>153</v>
      </c>
      <c r="E72" s="47" t="s">
        <v>72</v>
      </c>
      <c r="F72" s="30">
        <v>625.0</v>
      </c>
      <c r="G72" s="30">
        <v>625.0</v>
      </c>
      <c r="H72" s="30">
        <v>0.0</v>
      </c>
      <c r="I72" s="47" t="s">
        <v>899</v>
      </c>
      <c r="J72" s="48">
        <v>46159.829039351855</v>
      </c>
      <c r="K72" s="49" t="s">
        <v>983</v>
      </c>
      <c r="L72" s="30">
        <v>4.122542E7</v>
      </c>
      <c r="M72" s="47">
        <v>3.2082001E7</v>
      </c>
      <c r="N72" s="30">
        <v>7.3037645E7</v>
      </c>
      <c r="O72" s="30"/>
      <c r="P72" s="30"/>
      <c r="Q72" s="30"/>
      <c r="R72" s="30"/>
      <c r="S72" s="47"/>
      <c r="T72" s="47" t="s">
        <v>901</v>
      </c>
      <c r="U72" s="30">
        <v>16.5</v>
      </c>
    </row>
    <row r="73">
      <c r="A73" s="47">
        <v>8.681299601295E12</v>
      </c>
      <c r="C73" s="47" t="s">
        <v>156</v>
      </c>
      <c r="D73" s="47" t="s">
        <v>153</v>
      </c>
      <c r="E73" s="47" t="s">
        <v>72</v>
      </c>
      <c r="F73" s="30">
        <v>2999.0</v>
      </c>
      <c r="G73" s="30">
        <v>2999.0</v>
      </c>
      <c r="H73" s="30">
        <v>0.0</v>
      </c>
      <c r="I73" s="47" t="s">
        <v>899</v>
      </c>
      <c r="J73" s="48">
        <v>46159.82902777778</v>
      </c>
      <c r="K73" s="49" t="s">
        <v>984</v>
      </c>
      <c r="L73" s="30">
        <v>1196373.0</v>
      </c>
      <c r="M73" s="47" t="s">
        <v>830</v>
      </c>
      <c r="N73" s="30">
        <v>1.0686912E7</v>
      </c>
      <c r="O73" s="30"/>
      <c r="P73" s="30"/>
      <c r="Q73" s="30"/>
      <c r="R73" s="30"/>
      <c r="S73" s="47"/>
      <c r="T73" s="47" t="s">
        <v>901</v>
      </c>
      <c r="U73" s="30">
        <v>16.5</v>
      </c>
    </row>
    <row r="74">
      <c r="A74" s="47">
        <v>8.682221365903E12</v>
      </c>
      <c r="C74" s="47" t="s">
        <v>157</v>
      </c>
      <c r="D74" s="47" t="s">
        <v>153</v>
      </c>
      <c r="E74" s="47" t="s">
        <v>72</v>
      </c>
      <c r="F74" s="30">
        <v>2999.0</v>
      </c>
      <c r="G74" s="30">
        <v>2999.0</v>
      </c>
      <c r="H74" s="30">
        <v>0.0</v>
      </c>
      <c r="I74" s="47" t="s">
        <v>899</v>
      </c>
      <c r="J74" s="48">
        <v>46159.829039351855</v>
      </c>
      <c r="K74" s="49" t="s">
        <v>985</v>
      </c>
      <c r="L74" s="30">
        <v>4.0201801E7</v>
      </c>
      <c r="M74" s="47" t="s">
        <v>816</v>
      </c>
      <c r="N74" s="30">
        <v>7.1175697E7</v>
      </c>
      <c r="O74" s="30"/>
      <c r="P74" s="30"/>
      <c r="Q74" s="30"/>
      <c r="R74" s="30"/>
      <c r="S74" s="47"/>
      <c r="T74" s="47" t="s">
        <v>901</v>
      </c>
      <c r="U74" s="30">
        <v>16.5</v>
      </c>
    </row>
    <row r="75">
      <c r="A75" s="47" t="s">
        <v>158</v>
      </c>
      <c r="B75" s="47"/>
      <c r="C75" s="47" t="s">
        <v>159</v>
      </c>
      <c r="D75" s="47" t="s">
        <v>153</v>
      </c>
      <c r="E75" s="47" t="s">
        <v>72</v>
      </c>
      <c r="F75" s="30">
        <v>2999.0</v>
      </c>
      <c r="G75" s="30">
        <v>2999.0</v>
      </c>
      <c r="H75" s="30">
        <v>0.0</v>
      </c>
      <c r="I75" s="47" t="s">
        <v>899</v>
      </c>
      <c r="J75" s="48">
        <v>46159.829039351855</v>
      </c>
      <c r="K75" s="49" t="s">
        <v>986</v>
      </c>
      <c r="L75" s="30">
        <v>1.055079375E9</v>
      </c>
      <c r="M75" s="47" t="s">
        <v>158</v>
      </c>
      <c r="N75" s="30">
        <v>1.459421625E9</v>
      </c>
      <c r="O75" s="30"/>
      <c r="P75" s="30"/>
      <c r="Q75" s="30"/>
      <c r="R75" s="30"/>
      <c r="S75" s="47"/>
      <c r="T75" s="47" t="s">
        <v>901</v>
      </c>
      <c r="U75" s="30">
        <v>16.5</v>
      </c>
    </row>
    <row r="76">
      <c r="A76" s="47" t="s">
        <v>160</v>
      </c>
      <c r="B76" s="47"/>
      <c r="C76" s="47" t="s">
        <v>161</v>
      </c>
      <c r="D76" s="47" t="s">
        <v>153</v>
      </c>
      <c r="E76" s="47" t="s">
        <v>72</v>
      </c>
      <c r="F76" s="30">
        <v>649.0</v>
      </c>
      <c r="G76" s="30">
        <v>649.0</v>
      </c>
      <c r="H76" s="30">
        <v>0.0</v>
      </c>
      <c r="I76" s="47" t="s">
        <v>899</v>
      </c>
      <c r="J76" s="48">
        <v>46159.829050925924</v>
      </c>
      <c r="K76" s="49" t="s">
        <v>987</v>
      </c>
      <c r="L76" s="30">
        <v>6.8992369E7</v>
      </c>
      <c r="M76" s="47" t="s">
        <v>815</v>
      </c>
      <c r="N76" s="30">
        <v>1.19532579E8</v>
      </c>
      <c r="O76" s="30"/>
      <c r="P76" s="30"/>
      <c r="S76" s="47"/>
      <c r="T76" s="47" t="s">
        <v>901</v>
      </c>
      <c r="U76" s="30">
        <v>16.5</v>
      </c>
    </row>
    <row r="77">
      <c r="A77" s="47" t="s">
        <v>162</v>
      </c>
      <c r="C77" s="47" t="s">
        <v>163</v>
      </c>
      <c r="D77" s="47" t="s">
        <v>153</v>
      </c>
      <c r="E77" s="47" t="s">
        <v>72</v>
      </c>
      <c r="F77" s="30">
        <v>599.0</v>
      </c>
      <c r="G77" s="30">
        <v>599.0</v>
      </c>
      <c r="H77" s="30">
        <v>0.0</v>
      </c>
      <c r="I77" s="47" t="s">
        <v>899</v>
      </c>
      <c r="J77" s="48">
        <v>46159.829039351855</v>
      </c>
      <c r="K77" s="49" t="s">
        <v>988</v>
      </c>
      <c r="L77" s="30">
        <v>7.64186002E8</v>
      </c>
      <c r="M77" s="47" t="s">
        <v>800</v>
      </c>
      <c r="N77" s="30">
        <v>1.008436449E9</v>
      </c>
      <c r="O77" s="30"/>
      <c r="P77" s="30"/>
      <c r="Q77" s="30"/>
      <c r="R77" s="30"/>
      <c r="S77" s="47"/>
      <c r="T77" s="47" t="s">
        <v>901</v>
      </c>
      <c r="U77" s="30">
        <v>16.5</v>
      </c>
    </row>
    <row r="78">
      <c r="A78" s="47">
        <v>8.681299606641E12</v>
      </c>
      <c r="C78" s="47" t="s">
        <v>164</v>
      </c>
      <c r="D78" s="47" t="s">
        <v>153</v>
      </c>
      <c r="E78" s="47" t="s">
        <v>72</v>
      </c>
      <c r="F78" s="30">
        <v>599.0</v>
      </c>
      <c r="G78" s="30">
        <v>599.0</v>
      </c>
      <c r="H78" s="30">
        <v>0.0</v>
      </c>
      <c r="I78" s="47" t="s">
        <v>899</v>
      </c>
      <c r="J78" s="48">
        <v>46159.829039351855</v>
      </c>
      <c r="K78" s="49" t="s">
        <v>989</v>
      </c>
      <c r="L78" s="30">
        <v>3.2606601E7</v>
      </c>
      <c r="M78" s="47">
        <v>8.681299606641E12</v>
      </c>
      <c r="N78" s="30">
        <v>5.8735672E7</v>
      </c>
      <c r="T78" s="47" t="s">
        <v>901</v>
      </c>
      <c r="U78" s="30">
        <v>16.5</v>
      </c>
    </row>
    <row r="79">
      <c r="A79" s="47">
        <v>8.681299601264E12</v>
      </c>
      <c r="C79" s="47" t="s">
        <v>165</v>
      </c>
      <c r="D79" s="47" t="s">
        <v>153</v>
      </c>
      <c r="E79" s="47" t="s">
        <v>72</v>
      </c>
      <c r="F79" s="30">
        <v>599.0</v>
      </c>
      <c r="G79" s="30">
        <v>599.0</v>
      </c>
      <c r="H79" s="30">
        <v>0.0</v>
      </c>
      <c r="I79" s="47" t="s">
        <v>899</v>
      </c>
      <c r="J79" s="48">
        <v>46159.829039351855</v>
      </c>
      <c r="K79" s="49" t="s">
        <v>990</v>
      </c>
      <c r="L79" s="30">
        <v>1195660.0</v>
      </c>
      <c r="M79" s="47" t="s">
        <v>811</v>
      </c>
      <c r="N79" s="30">
        <v>1.0685248E7</v>
      </c>
      <c r="O79" s="30"/>
      <c r="P79" s="30"/>
      <c r="Q79" s="30"/>
      <c r="R79" s="30"/>
      <c r="S79" s="47"/>
      <c r="T79" s="47" t="s">
        <v>901</v>
      </c>
      <c r="U79" s="30">
        <v>16.5</v>
      </c>
    </row>
    <row r="80">
      <c r="A80" s="47" t="s">
        <v>166</v>
      </c>
      <c r="C80" s="47" t="s">
        <v>167</v>
      </c>
      <c r="D80" s="47" t="s">
        <v>153</v>
      </c>
      <c r="E80" s="47" t="s">
        <v>72</v>
      </c>
      <c r="F80" s="30">
        <v>2999.0</v>
      </c>
      <c r="G80" s="30">
        <v>2999.0</v>
      </c>
      <c r="H80" s="30">
        <v>0.0</v>
      </c>
      <c r="I80" s="47" t="s">
        <v>899</v>
      </c>
      <c r="J80" s="48">
        <v>46159.829050925924</v>
      </c>
      <c r="K80" s="49" t="s">
        <v>991</v>
      </c>
      <c r="L80" s="30">
        <v>2.12119245E8</v>
      </c>
      <c r="M80" s="47" t="s">
        <v>821</v>
      </c>
      <c r="N80" s="30">
        <v>3.44562069E8</v>
      </c>
      <c r="T80" s="47" t="s">
        <v>901</v>
      </c>
      <c r="U80" s="30">
        <v>16.5</v>
      </c>
    </row>
    <row r="81">
      <c r="A81" s="47">
        <v>8.681299606665E12</v>
      </c>
      <c r="C81" s="47" t="s">
        <v>168</v>
      </c>
      <c r="D81" s="47" t="s">
        <v>153</v>
      </c>
      <c r="E81" s="47" t="s">
        <v>72</v>
      </c>
      <c r="F81" s="30">
        <v>599.0</v>
      </c>
      <c r="G81" s="30">
        <v>599.0</v>
      </c>
      <c r="H81" s="30">
        <v>0.0</v>
      </c>
      <c r="I81" s="47" t="s">
        <v>899</v>
      </c>
      <c r="J81" s="48">
        <v>46159.829039351855</v>
      </c>
      <c r="K81" s="49" t="s">
        <v>992</v>
      </c>
      <c r="L81" s="30">
        <v>3.2398725E7</v>
      </c>
      <c r="M81" s="47" t="s">
        <v>795</v>
      </c>
      <c r="N81" s="30">
        <v>5.8229856E7</v>
      </c>
      <c r="O81" s="30"/>
      <c r="P81" s="30"/>
      <c r="Q81" s="30"/>
      <c r="R81" s="30"/>
      <c r="S81" s="47"/>
      <c r="T81" s="47" t="s">
        <v>901</v>
      </c>
      <c r="U81" s="30">
        <v>16.5</v>
      </c>
    </row>
    <row r="82">
      <c r="A82" s="47">
        <v>8.681299601301E12</v>
      </c>
      <c r="C82" s="47" t="s">
        <v>169</v>
      </c>
      <c r="D82" s="47" t="s">
        <v>153</v>
      </c>
      <c r="E82" s="47" t="s">
        <v>72</v>
      </c>
      <c r="F82" s="30">
        <v>599.0</v>
      </c>
      <c r="G82" s="30">
        <v>599.0</v>
      </c>
      <c r="H82" s="30">
        <v>0.0</v>
      </c>
      <c r="I82" s="47" t="s">
        <v>899</v>
      </c>
      <c r="J82" s="48">
        <v>46159.8290625</v>
      </c>
      <c r="K82" s="49" t="s">
        <v>993</v>
      </c>
      <c r="L82" s="30">
        <v>1199127.0</v>
      </c>
      <c r="M82" s="47" t="s">
        <v>766</v>
      </c>
      <c r="N82" s="30">
        <v>1.0687753E7</v>
      </c>
      <c r="O82" s="30"/>
      <c r="P82" s="30"/>
      <c r="Q82" s="30"/>
      <c r="R82" s="30"/>
      <c r="S82" s="47"/>
      <c r="T82" s="47" t="s">
        <v>901</v>
      </c>
      <c r="U82" s="30">
        <v>16.5</v>
      </c>
    </row>
    <row r="83">
      <c r="A83" s="47" t="s">
        <v>170</v>
      </c>
      <c r="C83" s="47" t="s">
        <v>171</v>
      </c>
      <c r="D83" s="47" t="s">
        <v>153</v>
      </c>
      <c r="E83" s="47" t="s">
        <v>72</v>
      </c>
      <c r="F83" s="30">
        <v>599.0</v>
      </c>
      <c r="G83" s="30">
        <v>599.0</v>
      </c>
      <c r="H83" s="30">
        <v>0.0</v>
      </c>
      <c r="I83" s="47" t="s">
        <v>899</v>
      </c>
      <c r="J83" s="48">
        <v>46159.829039351855</v>
      </c>
      <c r="K83" s="49" t="s">
        <v>994</v>
      </c>
      <c r="L83" s="30">
        <v>9.84546326E8</v>
      </c>
      <c r="M83" s="47">
        <v>8.68263120684E12</v>
      </c>
      <c r="N83" s="30">
        <v>1.391567407E9</v>
      </c>
      <c r="T83" s="47" t="s">
        <v>901</v>
      </c>
      <c r="U83" s="30">
        <v>16.5</v>
      </c>
    </row>
    <row r="84">
      <c r="A84" s="47">
        <v>7.451204125632E12</v>
      </c>
      <c r="C84" s="47" t="s">
        <v>172</v>
      </c>
      <c r="D84" s="47" t="s">
        <v>153</v>
      </c>
      <c r="E84" s="47" t="s">
        <v>72</v>
      </c>
      <c r="F84" s="30">
        <v>649.0</v>
      </c>
      <c r="G84" s="30">
        <v>649.0</v>
      </c>
      <c r="H84" s="30">
        <v>0.0</v>
      </c>
      <c r="I84" s="47" t="s">
        <v>899</v>
      </c>
      <c r="J84" s="48">
        <v>46159.829039351855</v>
      </c>
      <c r="K84" s="49" t="s">
        <v>995</v>
      </c>
      <c r="L84" s="30">
        <v>2.66709809E8</v>
      </c>
      <c r="M84" s="47">
        <v>1278.0</v>
      </c>
      <c r="N84" s="30">
        <v>4.24645857E8</v>
      </c>
      <c r="T84" s="47" t="s">
        <v>901</v>
      </c>
      <c r="U84" s="30">
        <v>16.5</v>
      </c>
    </row>
    <row r="85">
      <c r="A85" s="47" t="s">
        <v>173</v>
      </c>
      <c r="B85" s="47"/>
      <c r="C85" s="47" t="s">
        <v>174</v>
      </c>
      <c r="D85" s="47" t="s">
        <v>153</v>
      </c>
      <c r="E85" s="47" t="s">
        <v>72</v>
      </c>
      <c r="F85" s="30">
        <v>2999.0</v>
      </c>
      <c r="G85" s="30">
        <v>2999.0</v>
      </c>
      <c r="H85" s="30">
        <v>0.0</v>
      </c>
      <c r="I85" s="47" t="s">
        <v>899</v>
      </c>
      <c r="J85" s="48">
        <v>46159.829039351855</v>
      </c>
      <c r="K85" s="49" t="s">
        <v>996</v>
      </c>
      <c r="L85" s="30">
        <v>1.051420405E9</v>
      </c>
      <c r="M85" s="47" t="s">
        <v>790</v>
      </c>
      <c r="N85" s="30">
        <v>1.454512778E9</v>
      </c>
      <c r="O85" s="30"/>
      <c r="P85" s="30"/>
      <c r="Q85" s="30"/>
      <c r="R85" s="30"/>
      <c r="S85" s="47"/>
      <c r="T85" s="47" t="s">
        <v>901</v>
      </c>
      <c r="U85" s="30">
        <v>16.5</v>
      </c>
    </row>
    <row r="86">
      <c r="A86" s="47" t="s">
        <v>175</v>
      </c>
      <c r="C86" s="47" t="s">
        <v>176</v>
      </c>
      <c r="D86" s="47" t="s">
        <v>121</v>
      </c>
      <c r="E86" s="47" t="s">
        <v>72</v>
      </c>
      <c r="F86" s="30">
        <v>4999.0</v>
      </c>
      <c r="G86" s="30">
        <v>4999.0</v>
      </c>
      <c r="H86" s="30">
        <v>0.0</v>
      </c>
      <c r="I86" s="47" t="s">
        <v>899</v>
      </c>
      <c r="J86" s="48">
        <v>46159.82902777778</v>
      </c>
      <c r="K86" s="49" t="s">
        <v>997</v>
      </c>
      <c r="L86" s="30">
        <v>1.086969644E9</v>
      </c>
      <c r="M86" s="47" t="s">
        <v>998</v>
      </c>
      <c r="N86" s="30">
        <v>1.502704133E9</v>
      </c>
      <c r="O86" s="30"/>
      <c r="P86" s="30"/>
      <c r="Q86" s="30"/>
      <c r="R86" s="30"/>
      <c r="S86" s="47"/>
      <c r="T86" s="47" t="s">
        <v>901</v>
      </c>
      <c r="U86" s="30">
        <v>16.5</v>
      </c>
    </row>
    <row r="87">
      <c r="A87" s="47" t="s">
        <v>177</v>
      </c>
      <c r="B87" s="47"/>
      <c r="C87" s="47" t="s">
        <v>179</v>
      </c>
      <c r="D87" s="47" t="s">
        <v>178</v>
      </c>
      <c r="E87" s="47" t="s">
        <v>72</v>
      </c>
      <c r="F87" s="30">
        <v>999.0</v>
      </c>
      <c r="G87" s="30">
        <v>999.0</v>
      </c>
      <c r="H87" s="30">
        <v>0.0</v>
      </c>
      <c r="I87" s="47" t="s">
        <v>899</v>
      </c>
      <c r="J87" s="48">
        <v>46159.829050925924</v>
      </c>
      <c r="K87" s="49" t="s">
        <v>999</v>
      </c>
      <c r="L87" s="30">
        <v>7.56506136E8</v>
      </c>
      <c r="M87" s="47" t="s">
        <v>789</v>
      </c>
      <c r="N87" s="30">
        <v>9.96842968E8</v>
      </c>
      <c r="O87" s="30"/>
      <c r="P87" s="30"/>
      <c r="Q87" s="30"/>
      <c r="R87" s="30"/>
      <c r="S87" s="47"/>
      <c r="T87" s="47" t="s">
        <v>901</v>
      </c>
      <c r="U87" s="30">
        <v>16.5</v>
      </c>
    </row>
    <row r="88">
      <c r="A88" s="47" t="s">
        <v>181</v>
      </c>
      <c r="C88" s="47" t="s">
        <v>182</v>
      </c>
      <c r="D88" s="47" t="s">
        <v>178</v>
      </c>
      <c r="E88" s="47" t="s">
        <v>72</v>
      </c>
      <c r="F88" s="30">
        <v>785.0</v>
      </c>
      <c r="G88" s="30">
        <v>785.0</v>
      </c>
      <c r="H88" s="30">
        <v>0.0</v>
      </c>
      <c r="I88" s="47" t="s">
        <v>899</v>
      </c>
      <c r="J88" s="48">
        <v>46159.82902777778</v>
      </c>
      <c r="K88" s="49" t="s">
        <v>1000</v>
      </c>
      <c r="L88" s="30">
        <v>1.096072947E9</v>
      </c>
      <c r="M88" s="47" t="s">
        <v>788</v>
      </c>
      <c r="N88" s="30">
        <v>1.520702926E9</v>
      </c>
      <c r="O88" s="30"/>
      <c r="P88" s="30"/>
      <c r="Q88" s="30"/>
      <c r="R88" s="30"/>
      <c r="S88" s="47"/>
      <c r="T88" s="47" t="s">
        <v>901</v>
      </c>
      <c r="U88" s="30">
        <v>16.5</v>
      </c>
    </row>
    <row r="89">
      <c r="A89" s="47">
        <v>3.182550721745E12</v>
      </c>
      <c r="C89" s="47" t="s">
        <v>183</v>
      </c>
      <c r="D89" s="47" t="s">
        <v>53</v>
      </c>
      <c r="E89" s="47" t="s">
        <v>72</v>
      </c>
      <c r="F89" s="30">
        <v>0.0</v>
      </c>
      <c r="G89" s="30">
        <v>0.0</v>
      </c>
      <c r="H89" s="30">
        <v>0.0</v>
      </c>
      <c r="I89" s="47" t="s">
        <v>899</v>
      </c>
      <c r="J89" s="48">
        <v>46164.63303240741</v>
      </c>
      <c r="K89" s="49" t="s">
        <v>1001</v>
      </c>
      <c r="L89" s="30">
        <v>925654.0</v>
      </c>
      <c r="M89" s="47" t="s">
        <v>1002</v>
      </c>
      <c r="N89" s="30">
        <v>1.0258196E7</v>
      </c>
      <c r="O89" s="30"/>
      <c r="P89" s="30"/>
      <c r="Q89" s="30"/>
      <c r="R89" s="30"/>
      <c r="S89" s="47"/>
      <c r="T89" s="47" t="s">
        <v>901</v>
      </c>
      <c r="U89" s="30">
        <v>12.5</v>
      </c>
    </row>
    <row r="90">
      <c r="A90" s="47">
        <v>3.182550722544E12</v>
      </c>
      <c r="C90" s="47" t="s">
        <v>184</v>
      </c>
      <c r="D90" s="47" t="s">
        <v>53</v>
      </c>
      <c r="E90" s="47" t="s">
        <v>59</v>
      </c>
      <c r="F90" s="30">
        <v>0.0</v>
      </c>
      <c r="G90" s="30">
        <v>0.0</v>
      </c>
      <c r="H90" s="30">
        <v>0.0</v>
      </c>
      <c r="I90" s="47" t="s">
        <v>899</v>
      </c>
      <c r="J90" s="48">
        <v>46161.63481481482</v>
      </c>
      <c r="K90" s="49" t="s">
        <v>1003</v>
      </c>
      <c r="L90" s="30">
        <v>925652.0</v>
      </c>
      <c r="M90" s="47" t="s">
        <v>1004</v>
      </c>
      <c r="N90" s="30">
        <v>1.0258194E7</v>
      </c>
      <c r="O90" s="30"/>
      <c r="P90" s="30"/>
      <c r="Q90" s="30"/>
      <c r="R90" s="30"/>
      <c r="S90" s="47"/>
      <c r="T90" s="47" t="s">
        <v>901</v>
      </c>
      <c r="U90" s="30">
        <v>12.5</v>
      </c>
    </row>
    <row r="91">
      <c r="A91" s="47" t="s">
        <v>185</v>
      </c>
      <c r="C91" s="47" t="s">
        <v>186</v>
      </c>
      <c r="D91" s="47" t="s">
        <v>53</v>
      </c>
      <c r="E91" s="47" t="s">
        <v>59</v>
      </c>
      <c r="F91" s="30">
        <v>1734.0</v>
      </c>
      <c r="G91" s="30">
        <v>1734.0</v>
      </c>
      <c r="H91" s="30">
        <v>15.0</v>
      </c>
      <c r="I91" s="47" t="s">
        <v>889</v>
      </c>
      <c r="J91" s="48">
        <v>46161.63481481482</v>
      </c>
      <c r="K91" s="49" t="s">
        <v>1005</v>
      </c>
      <c r="L91" s="30">
        <v>1.057454468E9</v>
      </c>
      <c r="M91" s="47" t="s">
        <v>782</v>
      </c>
      <c r="N91" s="30">
        <v>1.462808838E9</v>
      </c>
      <c r="O91" s="30">
        <v>3.0</v>
      </c>
      <c r="P91" s="30">
        <v>1555.99</v>
      </c>
      <c r="Q91" s="30">
        <v>1559.99</v>
      </c>
      <c r="R91" s="30">
        <v>1734.0</v>
      </c>
      <c r="S91" s="47" t="b">
        <v>1</v>
      </c>
      <c r="T91" s="47" t="s">
        <v>891</v>
      </c>
      <c r="U91" s="30">
        <v>12.5</v>
      </c>
    </row>
    <row r="92">
      <c r="A92" s="47">
        <v>9.888569998999E12</v>
      </c>
      <c r="C92" s="47" t="s">
        <v>188</v>
      </c>
      <c r="D92" s="47" t="s">
        <v>187</v>
      </c>
      <c r="E92" s="47" t="s">
        <v>52</v>
      </c>
      <c r="F92" s="30">
        <v>870.0</v>
      </c>
      <c r="G92" s="30">
        <v>870.0</v>
      </c>
      <c r="H92" s="30">
        <v>7.0</v>
      </c>
      <c r="I92" s="47" t="s">
        <v>889</v>
      </c>
      <c r="J92" s="48">
        <v>46159.829039351855</v>
      </c>
      <c r="K92" s="49" t="s">
        <v>1006</v>
      </c>
      <c r="L92" s="30">
        <v>1.0436613E8</v>
      </c>
      <c r="M92" s="47" t="s">
        <v>784</v>
      </c>
      <c r="N92" s="30">
        <v>1.72356694E8</v>
      </c>
      <c r="O92" s="30">
        <v>7.0</v>
      </c>
      <c r="P92" s="30">
        <v>790.0</v>
      </c>
      <c r="Q92" s="30">
        <v>790.0</v>
      </c>
      <c r="R92" s="30">
        <v>789.17</v>
      </c>
      <c r="S92" s="47" t="b">
        <v>1</v>
      </c>
      <c r="T92" s="47" t="s">
        <v>891</v>
      </c>
      <c r="U92" s="30">
        <v>13.5</v>
      </c>
    </row>
    <row r="93">
      <c r="A93" s="47">
        <v>2.1042024055E11</v>
      </c>
      <c r="B93" s="47"/>
      <c r="C93" s="47" t="s">
        <v>189</v>
      </c>
      <c r="D93" s="47" t="s">
        <v>91</v>
      </c>
      <c r="E93" s="47" t="s">
        <v>59</v>
      </c>
      <c r="F93" s="30">
        <v>1350.0</v>
      </c>
      <c r="G93" s="30">
        <v>1350.0</v>
      </c>
      <c r="H93" s="30">
        <v>16.0</v>
      </c>
      <c r="I93" s="47" t="s">
        <v>889</v>
      </c>
      <c r="J93" s="48">
        <v>46159.829039351855</v>
      </c>
      <c r="K93" s="49" t="s">
        <v>1007</v>
      </c>
      <c r="L93" s="30">
        <v>8.23585044E8</v>
      </c>
      <c r="M93" s="47" t="s">
        <v>1008</v>
      </c>
      <c r="N93" s="30">
        <v>1.101419987E9</v>
      </c>
      <c r="O93" s="30">
        <v>9.0</v>
      </c>
      <c r="P93" s="30">
        <v>988.9</v>
      </c>
      <c r="Q93" s="30">
        <v>1140.0</v>
      </c>
      <c r="R93" s="30">
        <v>1150.0</v>
      </c>
      <c r="S93" s="47" t="b">
        <v>1</v>
      </c>
      <c r="T93" s="47" t="s">
        <v>891</v>
      </c>
      <c r="U93" s="30">
        <v>16.5</v>
      </c>
    </row>
    <row r="94">
      <c r="A94" s="47" t="s">
        <v>190</v>
      </c>
      <c r="B94" s="47"/>
      <c r="C94" s="47" t="s">
        <v>191</v>
      </c>
      <c r="D94" s="47" t="s">
        <v>53</v>
      </c>
      <c r="E94" s="47" t="s">
        <v>52</v>
      </c>
      <c r="F94" s="30">
        <v>1690.0</v>
      </c>
      <c r="G94" s="30">
        <v>1690.0</v>
      </c>
      <c r="H94" s="30">
        <v>4.0</v>
      </c>
      <c r="I94" s="47" t="s">
        <v>889</v>
      </c>
      <c r="J94" s="48">
        <v>46096.5609837963</v>
      </c>
      <c r="K94" s="49" t="s">
        <v>1009</v>
      </c>
      <c r="L94" s="30">
        <v>3.3091761E7</v>
      </c>
      <c r="M94" s="47" t="s">
        <v>822</v>
      </c>
      <c r="N94" s="30">
        <v>5.9580961E7</v>
      </c>
      <c r="O94" s="30">
        <v>6.0</v>
      </c>
      <c r="P94" s="30">
        <v>1630.0</v>
      </c>
      <c r="Q94" s="30">
        <v>1629.0</v>
      </c>
      <c r="R94" s="30">
        <v>1625.0</v>
      </c>
      <c r="S94" s="47" t="b">
        <v>1</v>
      </c>
      <c r="T94" s="47" t="s">
        <v>891</v>
      </c>
      <c r="U94" s="30">
        <v>12.5</v>
      </c>
    </row>
    <row r="95">
      <c r="A95" s="47" t="s">
        <v>192</v>
      </c>
      <c r="C95" s="47" t="s">
        <v>136</v>
      </c>
      <c r="D95" s="47" t="s">
        <v>121</v>
      </c>
      <c r="E95" s="47" t="s">
        <v>52</v>
      </c>
      <c r="F95" s="30">
        <v>1200.0</v>
      </c>
      <c r="G95" s="30">
        <v>1200.0</v>
      </c>
      <c r="H95" s="30">
        <v>100.0</v>
      </c>
      <c r="I95" s="47" t="s">
        <v>889</v>
      </c>
      <c r="J95" s="48">
        <v>46094.60534722222</v>
      </c>
      <c r="K95" s="49" t="s">
        <v>1010</v>
      </c>
      <c r="L95" s="30">
        <v>7.48739864E8</v>
      </c>
      <c r="M95" s="47" t="s">
        <v>845</v>
      </c>
      <c r="N95" s="30">
        <v>9.85694798E8</v>
      </c>
      <c r="O95" s="30">
        <v>9.0</v>
      </c>
      <c r="P95" s="30">
        <v>696.0</v>
      </c>
      <c r="Q95" s="30">
        <v>699.0</v>
      </c>
      <c r="R95" s="30">
        <v>729.0</v>
      </c>
      <c r="S95" s="47" t="b">
        <v>1</v>
      </c>
      <c r="T95" s="47" t="s">
        <v>891</v>
      </c>
      <c r="U95" s="30">
        <v>13.5</v>
      </c>
    </row>
    <row r="96">
      <c r="A96" s="47">
        <v>3.182550727389E12</v>
      </c>
      <c r="B96" s="47"/>
      <c r="C96" s="47" t="s">
        <v>193</v>
      </c>
      <c r="D96" s="47" t="s">
        <v>53</v>
      </c>
      <c r="E96" s="47" t="s">
        <v>59</v>
      </c>
      <c r="F96" s="30">
        <v>0.0</v>
      </c>
      <c r="G96" s="30">
        <v>0.0</v>
      </c>
      <c r="H96" s="30">
        <v>0.0</v>
      </c>
      <c r="I96" s="47" t="s">
        <v>899</v>
      </c>
      <c r="J96" s="48">
        <v>46161.63481481482</v>
      </c>
      <c r="K96" s="49" t="s">
        <v>1011</v>
      </c>
      <c r="L96" s="30">
        <v>1224016.0</v>
      </c>
      <c r="M96" s="47">
        <v>390040.0</v>
      </c>
      <c r="N96" s="30">
        <v>1.0735428E7</v>
      </c>
      <c r="O96" s="30"/>
      <c r="P96" s="30"/>
      <c r="S96" s="47"/>
      <c r="T96" s="47" t="s">
        <v>901</v>
      </c>
      <c r="U96" s="30">
        <v>12.5</v>
      </c>
    </row>
    <row r="97">
      <c r="A97" s="47">
        <v>3.182550707312E12</v>
      </c>
      <c r="C97" s="47" t="s">
        <v>194</v>
      </c>
      <c r="D97" s="47" t="s">
        <v>53</v>
      </c>
      <c r="E97" s="47" t="s">
        <v>72</v>
      </c>
      <c r="F97" s="30">
        <v>0.0</v>
      </c>
      <c r="G97" s="30">
        <v>0.0</v>
      </c>
      <c r="H97" s="30">
        <v>0.0</v>
      </c>
      <c r="I97" s="47" t="s">
        <v>899</v>
      </c>
      <c r="J97" s="48">
        <v>46164.63303240741</v>
      </c>
      <c r="K97" s="49" t="s">
        <v>1012</v>
      </c>
      <c r="L97" s="30">
        <v>750117.0</v>
      </c>
      <c r="M97" s="47" t="s">
        <v>1013</v>
      </c>
      <c r="N97" s="30">
        <v>1.0005613E7</v>
      </c>
      <c r="O97" s="30"/>
      <c r="P97" s="30"/>
      <c r="Q97" s="30"/>
      <c r="R97" s="30"/>
      <c r="S97" s="47"/>
      <c r="T97" s="47" t="s">
        <v>901</v>
      </c>
      <c r="U97" s="30">
        <v>12.5</v>
      </c>
    </row>
    <row r="98">
      <c r="A98" s="47" t="s">
        <v>195</v>
      </c>
      <c r="C98" s="47" t="s">
        <v>196</v>
      </c>
      <c r="D98" s="47" t="s">
        <v>53</v>
      </c>
      <c r="E98" s="47" t="s">
        <v>59</v>
      </c>
      <c r="F98" s="30">
        <v>0.0</v>
      </c>
      <c r="G98" s="30">
        <v>0.0</v>
      </c>
      <c r="H98" s="30">
        <v>0.0</v>
      </c>
      <c r="I98" s="47" t="s">
        <v>899</v>
      </c>
      <c r="J98" s="48">
        <v>46161.63480324074</v>
      </c>
      <c r="K98" s="49" t="s">
        <v>1014</v>
      </c>
      <c r="L98" s="30">
        <v>9.2889822E7</v>
      </c>
      <c r="M98" s="47">
        <v>5412.0</v>
      </c>
      <c r="N98" s="30">
        <v>1.54819875E8</v>
      </c>
      <c r="O98" s="30"/>
      <c r="P98" s="30"/>
      <c r="Q98" s="30"/>
      <c r="R98" s="30"/>
      <c r="S98" s="47"/>
      <c r="T98" s="47" t="s">
        <v>901</v>
      </c>
      <c r="U98" s="30">
        <v>12.5</v>
      </c>
    </row>
    <row r="99">
      <c r="A99" s="47" t="s">
        <v>197</v>
      </c>
      <c r="C99" s="47" t="s">
        <v>198</v>
      </c>
      <c r="D99" s="47" t="s">
        <v>178</v>
      </c>
      <c r="E99" s="47" t="s">
        <v>72</v>
      </c>
      <c r="F99" s="30">
        <v>1620.0</v>
      </c>
      <c r="G99" s="30">
        <v>1620.0</v>
      </c>
      <c r="H99" s="30">
        <v>0.0</v>
      </c>
      <c r="I99" s="47" t="s">
        <v>899</v>
      </c>
      <c r="J99" s="48">
        <v>46159.829039351855</v>
      </c>
      <c r="K99" s="49" t="s">
        <v>1015</v>
      </c>
      <c r="L99" s="30">
        <v>1.044663155E9</v>
      </c>
      <c r="M99" s="47" t="s">
        <v>197</v>
      </c>
      <c r="N99" s="30">
        <v>1.445349524E9</v>
      </c>
      <c r="O99" s="30"/>
      <c r="P99" s="30"/>
      <c r="Q99" s="30"/>
      <c r="R99" s="30"/>
      <c r="S99" s="47"/>
      <c r="T99" s="47" t="s">
        <v>901</v>
      </c>
      <c r="U99" s="30">
        <v>16.5</v>
      </c>
    </row>
    <row r="100">
      <c r="A100" s="47">
        <v>3.724862384675E12</v>
      </c>
      <c r="C100" s="47" t="s">
        <v>199</v>
      </c>
      <c r="D100" s="47" t="s">
        <v>178</v>
      </c>
      <c r="E100" s="47" t="s">
        <v>72</v>
      </c>
      <c r="F100" s="30">
        <v>829.0</v>
      </c>
      <c r="G100" s="30">
        <v>829.0</v>
      </c>
      <c r="H100" s="30">
        <v>0.0</v>
      </c>
      <c r="I100" s="47" t="s">
        <v>899</v>
      </c>
      <c r="J100" s="48">
        <v>46159.829039351855</v>
      </c>
      <c r="K100" s="49" t="s">
        <v>1016</v>
      </c>
      <c r="L100" s="30">
        <v>8.6262177E7</v>
      </c>
      <c r="M100" s="47">
        <v>3.724862384675E12</v>
      </c>
      <c r="N100" s="30">
        <v>1.44417434E8</v>
      </c>
      <c r="O100" s="30"/>
      <c r="P100" s="30"/>
      <c r="Q100" s="30"/>
      <c r="R100" s="30"/>
      <c r="S100" s="47"/>
      <c r="T100" s="47" t="s">
        <v>901</v>
      </c>
      <c r="U100" s="30">
        <v>16.5</v>
      </c>
    </row>
    <row r="101">
      <c r="A101" s="47" t="s">
        <v>200</v>
      </c>
      <c r="C101" s="47" t="s">
        <v>202</v>
      </c>
      <c r="D101" s="47" t="s">
        <v>201</v>
      </c>
      <c r="E101" s="47" t="s">
        <v>203</v>
      </c>
      <c r="F101" s="30">
        <v>1200.0</v>
      </c>
      <c r="G101" s="30">
        <v>1200.0</v>
      </c>
      <c r="H101" s="30">
        <v>0.0</v>
      </c>
      <c r="I101" s="47" t="s">
        <v>899</v>
      </c>
      <c r="J101" s="48">
        <v>46159.829039351855</v>
      </c>
      <c r="K101" s="49" t="s">
        <v>1017</v>
      </c>
      <c r="L101" s="30">
        <v>1.27568067E8</v>
      </c>
      <c r="M101" s="47">
        <v>1.3841035E7</v>
      </c>
      <c r="N101" s="30">
        <v>2.1330174E8</v>
      </c>
      <c r="O101" s="30"/>
      <c r="P101" s="30"/>
      <c r="Q101" s="30"/>
      <c r="R101" s="30"/>
      <c r="S101" s="47"/>
      <c r="T101" s="47" t="s">
        <v>901</v>
      </c>
      <c r="U101" s="30">
        <v>20.0</v>
      </c>
    </row>
    <row r="102">
      <c r="A102" s="47" t="s">
        <v>204</v>
      </c>
      <c r="B102" s="47"/>
      <c r="C102" s="47" t="s">
        <v>205</v>
      </c>
      <c r="D102" s="47" t="s">
        <v>201</v>
      </c>
      <c r="E102" s="47" t="s">
        <v>206</v>
      </c>
      <c r="F102" s="30">
        <v>0.0</v>
      </c>
      <c r="G102" s="30">
        <v>0.0</v>
      </c>
      <c r="H102" s="30">
        <v>0.0</v>
      </c>
      <c r="I102" s="47" t="s">
        <v>899</v>
      </c>
      <c r="J102" s="48">
        <v>46109.746458333335</v>
      </c>
      <c r="K102" s="49" t="s">
        <v>1018</v>
      </c>
      <c r="L102" s="30">
        <v>9.89109533E8</v>
      </c>
      <c r="M102" s="47" t="s">
        <v>1019</v>
      </c>
      <c r="N102" s="30">
        <v>1.398099803E9</v>
      </c>
      <c r="T102" s="47" t="s">
        <v>901</v>
      </c>
      <c r="U102" s="30">
        <v>20.0</v>
      </c>
    </row>
    <row r="103">
      <c r="A103" s="47" t="s">
        <v>207</v>
      </c>
      <c r="C103" s="47" t="s">
        <v>208</v>
      </c>
      <c r="D103" s="47" t="s">
        <v>201</v>
      </c>
      <c r="E103" s="47" t="s">
        <v>209</v>
      </c>
      <c r="F103" s="30">
        <v>1100.0</v>
      </c>
      <c r="G103" s="30">
        <v>1100.0</v>
      </c>
      <c r="H103" s="30">
        <v>0.0</v>
      </c>
      <c r="I103" s="47" t="s">
        <v>899</v>
      </c>
      <c r="J103" s="48">
        <v>46159.82902777778</v>
      </c>
      <c r="K103" s="49" t="s">
        <v>1020</v>
      </c>
      <c r="L103" s="30">
        <v>1.50451159E8</v>
      </c>
      <c r="M103" s="47" t="s">
        <v>1021</v>
      </c>
      <c r="N103" s="30">
        <v>2.50961436E8</v>
      </c>
      <c r="O103" s="30"/>
      <c r="P103" s="30"/>
      <c r="Q103" s="30"/>
      <c r="R103" s="30"/>
      <c r="S103" s="47"/>
      <c r="T103" s="47" t="s">
        <v>901</v>
      </c>
      <c r="U103" s="30">
        <v>20.0</v>
      </c>
    </row>
    <row r="104">
      <c r="A104" s="47" t="s">
        <v>210</v>
      </c>
      <c r="B104" s="47"/>
      <c r="C104" s="47" t="s">
        <v>211</v>
      </c>
      <c r="D104" s="47" t="s">
        <v>201</v>
      </c>
      <c r="E104" s="47" t="s">
        <v>203</v>
      </c>
      <c r="F104" s="30">
        <v>850.0</v>
      </c>
      <c r="G104" s="30">
        <v>850.0</v>
      </c>
      <c r="H104" s="30">
        <v>0.0</v>
      </c>
      <c r="I104" s="47" t="s">
        <v>899</v>
      </c>
      <c r="J104" s="48">
        <v>46159.82902777778</v>
      </c>
      <c r="K104" s="49" t="s">
        <v>1022</v>
      </c>
      <c r="L104" s="30">
        <v>2.03671663E8</v>
      </c>
      <c r="M104" s="47" t="s">
        <v>1023</v>
      </c>
      <c r="N104" s="30">
        <v>3.32835699E8</v>
      </c>
      <c r="O104" s="30"/>
      <c r="P104" s="30"/>
      <c r="Q104" s="30"/>
      <c r="R104" s="30"/>
      <c r="S104" s="47"/>
      <c r="T104" s="47" t="s">
        <v>901</v>
      </c>
      <c r="U104" s="30">
        <v>20.0</v>
      </c>
    </row>
    <row r="105">
      <c r="A105" s="47" t="s">
        <v>212</v>
      </c>
      <c r="C105" s="47" t="s">
        <v>214</v>
      </c>
      <c r="D105" s="47" t="s">
        <v>213</v>
      </c>
      <c r="E105" s="47" t="s">
        <v>209</v>
      </c>
      <c r="F105" s="30">
        <v>0.0</v>
      </c>
      <c r="G105" s="30">
        <v>0.0</v>
      </c>
      <c r="H105" s="30">
        <v>0.0</v>
      </c>
      <c r="I105" s="47" t="s">
        <v>899</v>
      </c>
      <c r="J105" s="48">
        <v>46164.031539351854</v>
      </c>
      <c r="K105" s="49" t="s">
        <v>1024</v>
      </c>
      <c r="L105" s="30">
        <v>1.27132394E8</v>
      </c>
      <c r="M105" s="47">
        <v>1.0279101377E10</v>
      </c>
      <c r="N105" s="30">
        <v>2.12587665E8</v>
      </c>
      <c r="O105" s="30"/>
      <c r="P105" s="30"/>
      <c r="Q105" s="30"/>
      <c r="R105" s="30"/>
      <c r="S105" s="47"/>
      <c r="T105" s="47" t="s">
        <v>901</v>
      </c>
      <c r="U105" s="30">
        <v>20.0</v>
      </c>
    </row>
    <row r="106">
      <c r="A106" s="47" t="s">
        <v>215</v>
      </c>
      <c r="C106" s="47" t="s">
        <v>216</v>
      </c>
      <c r="D106" s="47" t="s">
        <v>201</v>
      </c>
      <c r="E106" s="47" t="s">
        <v>217</v>
      </c>
      <c r="F106" s="30">
        <v>1100.0</v>
      </c>
      <c r="G106" s="30">
        <v>1100.0</v>
      </c>
      <c r="H106" s="30">
        <v>0.0</v>
      </c>
      <c r="I106" s="47" t="s">
        <v>899</v>
      </c>
      <c r="J106" s="48">
        <v>46159.829039351855</v>
      </c>
      <c r="K106" s="49" t="s">
        <v>1025</v>
      </c>
      <c r="L106" s="30">
        <v>2.63158441E8</v>
      </c>
      <c r="M106" s="47">
        <v>198753.0</v>
      </c>
      <c r="N106" s="30">
        <v>4.18201799E8</v>
      </c>
      <c r="O106" s="30"/>
      <c r="P106" s="30"/>
      <c r="Q106" s="30"/>
      <c r="R106" s="30"/>
      <c r="S106" s="47"/>
      <c r="T106" s="47" t="s">
        <v>901</v>
      </c>
      <c r="U106" s="30">
        <v>20.0</v>
      </c>
    </row>
    <row r="107">
      <c r="A107" s="47" t="s">
        <v>218</v>
      </c>
      <c r="C107" s="47" t="s">
        <v>219</v>
      </c>
      <c r="D107" s="47" t="s">
        <v>201</v>
      </c>
      <c r="E107" s="47" t="s">
        <v>203</v>
      </c>
      <c r="F107" s="30">
        <v>900.0</v>
      </c>
      <c r="G107" s="30">
        <v>900.0</v>
      </c>
      <c r="H107" s="30">
        <v>0.0</v>
      </c>
      <c r="I107" s="47" t="s">
        <v>899</v>
      </c>
      <c r="J107" s="48">
        <v>46163.55961805556</v>
      </c>
      <c r="K107" s="49" t="s">
        <v>1026</v>
      </c>
      <c r="L107" s="30">
        <v>2.03658327E8</v>
      </c>
      <c r="M107" s="47" t="s">
        <v>857</v>
      </c>
      <c r="N107" s="30">
        <v>3.32814968E8</v>
      </c>
      <c r="T107" s="47" t="s">
        <v>901</v>
      </c>
      <c r="U107" s="30">
        <v>20.0</v>
      </c>
    </row>
    <row r="108">
      <c r="A108" s="47" t="s">
        <v>220</v>
      </c>
      <c r="C108" s="47" t="s">
        <v>221</v>
      </c>
      <c r="D108" s="47" t="s">
        <v>201</v>
      </c>
      <c r="E108" s="47" t="s">
        <v>217</v>
      </c>
      <c r="F108" s="30">
        <v>999.0</v>
      </c>
      <c r="G108" s="30">
        <v>999.0</v>
      </c>
      <c r="H108" s="30">
        <v>0.0</v>
      </c>
      <c r="I108" s="47" t="s">
        <v>899</v>
      </c>
      <c r="J108" s="48">
        <v>46159.829050925924</v>
      </c>
      <c r="K108" s="49" t="s">
        <v>1027</v>
      </c>
      <c r="L108" s="30">
        <v>7.48692604E8</v>
      </c>
      <c r="M108" s="47" t="s">
        <v>791</v>
      </c>
      <c r="N108" s="30">
        <v>9.85616854E8</v>
      </c>
      <c r="O108" s="30"/>
      <c r="P108" s="30"/>
      <c r="Q108" s="30"/>
      <c r="R108" s="30"/>
      <c r="S108" s="47"/>
      <c r="T108" s="47" t="s">
        <v>901</v>
      </c>
      <c r="U108" s="30">
        <v>20.0</v>
      </c>
    </row>
    <row r="109">
      <c r="A109" s="47">
        <v>7.613038508528E12</v>
      </c>
      <c r="C109" s="47" t="s">
        <v>222</v>
      </c>
      <c r="D109" s="47" t="s">
        <v>178</v>
      </c>
      <c r="E109" s="47" t="s">
        <v>72</v>
      </c>
      <c r="F109" s="30">
        <v>4399.0</v>
      </c>
      <c r="G109" s="30">
        <v>4399.0</v>
      </c>
      <c r="H109" s="30">
        <v>0.0</v>
      </c>
      <c r="I109" s="47" t="s">
        <v>899</v>
      </c>
      <c r="J109" s="48">
        <v>46159.829039351855</v>
      </c>
      <c r="K109" s="49" t="s">
        <v>1028</v>
      </c>
      <c r="L109" s="30">
        <v>8.74999712E8</v>
      </c>
      <c r="M109" s="47">
        <v>1.2430955E7</v>
      </c>
      <c r="N109" s="30">
        <v>1.200659204E9</v>
      </c>
      <c r="O109" s="30"/>
      <c r="P109" s="30"/>
      <c r="Q109" s="30"/>
      <c r="R109" s="30"/>
      <c r="S109" s="47"/>
      <c r="T109" s="47" t="s">
        <v>901</v>
      </c>
      <c r="U109" s="30">
        <v>16.5</v>
      </c>
    </row>
    <row r="110">
      <c r="A110" s="47">
        <v>2.0000041025165E13</v>
      </c>
      <c r="B110" s="47"/>
      <c r="C110" s="47" t="s">
        <v>223</v>
      </c>
      <c r="D110" s="47" t="s">
        <v>178</v>
      </c>
      <c r="E110" s="47" t="s">
        <v>72</v>
      </c>
      <c r="F110" s="30">
        <v>719.0</v>
      </c>
      <c r="G110" s="30">
        <v>719.0</v>
      </c>
      <c r="H110" s="30">
        <v>0.0</v>
      </c>
      <c r="I110" s="47" t="s">
        <v>899</v>
      </c>
      <c r="J110" s="48">
        <v>46159.829039351855</v>
      </c>
      <c r="K110" s="49" t="s">
        <v>1029</v>
      </c>
      <c r="L110" s="30">
        <v>3.30772E7</v>
      </c>
      <c r="M110" s="47" t="s">
        <v>797</v>
      </c>
      <c r="N110" s="30">
        <v>5.9538625E7</v>
      </c>
      <c r="O110" s="30"/>
      <c r="P110" s="30"/>
      <c r="Q110" s="30"/>
      <c r="R110" s="30"/>
      <c r="S110" s="47"/>
      <c r="T110" s="47" t="s">
        <v>901</v>
      </c>
      <c r="U110" s="30">
        <v>16.5</v>
      </c>
    </row>
    <row r="111">
      <c r="A111" s="47">
        <v>7.613033566387E12</v>
      </c>
      <c r="C111" s="47" t="s">
        <v>224</v>
      </c>
      <c r="D111" s="47" t="s">
        <v>50</v>
      </c>
      <c r="E111" s="47" t="s">
        <v>72</v>
      </c>
      <c r="F111" s="30">
        <v>938.0</v>
      </c>
      <c r="G111" s="30">
        <v>938.0</v>
      </c>
      <c r="H111" s="30">
        <v>45.0</v>
      </c>
      <c r="I111" s="47" t="s">
        <v>889</v>
      </c>
      <c r="J111" s="48">
        <v>46159.829050925924</v>
      </c>
      <c r="K111" s="49" t="s">
        <v>1030</v>
      </c>
      <c r="L111" s="30">
        <v>4489404.0</v>
      </c>
      <c r="M111" s="47">
        <v>7.613033566387E12</v>
      </c>
      <c r="N111" s="30">
        <v>1.7508774E7</v>
      </c>
      <c r="O111" s="30">
        <v>14.0</v>
      </c>
      <c r="P111" s="30">
        <v>781.3</v>
      </c>
      <c r="Q111" s="30">
        <v>800.0</v>
      </c>
      <c r="R111" s="30">
        <v>820.0</v>
      </c>
      <c r="S111" s="47" t="b">
        <v>1</v>
      </c>
      <c r="T111" s="47" t="s">
        <v>891</v>
      </c>
      <c r="U111" s="30">
        <v>12.5</v>
      </c>
    </row>
    <row r="112">
      <c r="A112" s="47">
        <v>3.182550838351E12</v>
      </c>
      <c r="C112" s="47" t="s">
        <v>225</v>
      </c>
      <c r="D112" s="47" t="s">
        <v>53</v>
      </c>
      <c r="E112" s="47" t="s">
        <v>59</v>
      </c>
      <c r="F112" s="30">
        <v>0.0</v>
      </c>
      <c r="G112" s="30">
        <v>0.0</v>
      </c>
      <c r="H112" s="30">
        <v>0.0</v>
      </c>
      <c r="I112" s="47" t="s">
        <v>899</v>
      </c>
      <c r="J112" s="48">
        <v>46161.63481481482</v>
      </c>
      <c r="K112" s="49" t="s">
        <v>1031</v>
      </c>
      <c r="L112" s="30">
        <v>4.4795489E7</v>
      </c>
      <c r="M112" s="47">
        <v>3.182550838351E12</v>
      </c>
      <c r="N112" s="30">
        <v>7.9327327E7</v>
      </c>
      <c r="O112" s="30"/>
      <c r="P112" s="30"/>
      <c r="Q112" s="30"/>
      <c r="R112" s="30"/>
      <c r="S112" s="47"/>
      <c r="T112" s="47" t="s">
        <v>901</v>
      </c>
      <c r="U112" s="30">
        <v>12.5</v>
      </c>
    </row>
    <row r="113">
      <c r="A113" s="47">
        <v>8.445291846166E12</v>
      </c>
      <c r="C113" s="47" t="s">
        <v>226</v>
      </c>
      <c r="D113" s="47" t="s">
        <v>50</v>
      </c>
      <c r="E113" s="47" t="s">
        <v>59</v>
      </c>
      <c r="F113" s="30">
        <v>0.0</v>
      </c>
      <c r="G113" s="30">
        <v>0.0</v>
      </c>
      <c r="H113" s="30">
        <v>0.0</v>
      </c>
      <c r="I113" s="47" t="s">
        <v>899</v>
      </c>
      <c r="J113" s="48">
        <v>46159.82902777778</v>
      </c>
      <c r="K113" s="49" t="s">
        <v>1032</v>
      </c>
      <c r="L113" s="30">
        <v>9.62604823E8</v>
      </c>
      <c r="M113" s="47">
        <v>1.2626417E7</v>
      </c>
      <c r="N113" s="30">
        <v>1.362331543E9</v>
      </c>
      <c r="O113" s="30"/>
      <c r="P113" s="30"/>
      <c r="Q113" s="30"/>
      <c r="R113" s="30"/>
      <c r="S113" s="47"/>
      <c r="T113" s="47" t="s">
        <v>901</v>
      </c>
      <c r="U113" s="30">
        <v>12.5</v>
      </c>
    </row>
    <row r="114">
      <c r="A114" s="47">
        <v>3.182550721752E12</v>
      </c>
      <c r="B114" s="47">
        <v>100.0</v>
      </c>
      <c r="C114" s="47" t="s">
        <v>227</v>
      </c>
      <c r="D114" s="47" t="s">
        <v>53</v>
      </c>
      <c r="E114" s="47" t="s">
        <v>72</v>
      </c>
      <c r="F114" s="30">
        <v>0.0</v>
      </c>
      <c r="G114" s="30">
        <v>0.0</v>
      </c>
      <c r="H114" s="30">
        <v>0.0</v>
      </c>
      <c r="I114" s="47" t="s">
        <v>899</v>
      </c>
      <c r="J114" s="48">
        <v>46164.63303240741</v>
      </c>
      <c r="K114" s="49" t="s">
        <v>1033</v>
      </c>
      <c r="L114" s="30">
        <v>8.5123867E8</v>
      </c>
      <c r="M114" s="47">
        <v>2.10201256E8</v>
      </c>
      <c r="N114" s="30">
        <v>1.148993742E9</v>
      </c>
      <c r="O114" s="30"/>
      <c r="P114" s="30"/>
      <c r="Q114" s="30"/>
      <c r="R114" s="30"/>
      <c r="S114" s="47"/>
      <c r="T114" s="47" t="s">
        <v>901</v>
      </c>
      <c r="U114" s="30">
        <v>12.5</v>
      </c>
    </row>
    <row r="115">
      <c r="A115" s="47" t="s">
        <v>228</v>
      </c>
      <c r="C115" s="47" t="s">
        <v>230</v>
      </c>
      <c r="D115" s="47" t="s">
        <v>229</v>
      </c>
      <c r="E115" s="47" t="s">
        <v>72</v>
      </c>
      <c r="F115" s="30">
        <v>750.0</v>
      </c>
      <c r="G115" s="30">
        <v>750.0</v>
      </c>
      <c r="H115" s="30">
        <v>0.0</v>
      </c>
      <c r="I115" s="47" t="s">
        <v>899</v>
      </c>
      <c r="J115" s="48">
        <v>46159.82902777778</v>
      </c>
      <c r="K115" s="49" t="s">
        <v>1034</v>
      </c>
      <c r="L115" s="30">
        <v>4.2513904E7</v>
      </c>
      <c r="M115" s="47" t="s">
        <v>837</v>
      </c>
      <c r="N115" s="30">
        <v>7.5511909E7</v>
      </c>
      <c r="O115" s="30"/>
      <c r="P115" s="30"/>
      <c r="Q115" s="30"/>
      <c r="R115" s="30"/>
      <c r="S115" s="47"/>
      <c r="T115" s="47" t="s">
        <v>901</v>
      </c>
      <c r="U115" s="30">
        <v>12.5</v>
      </c>
    </row>
    <row r="116">
      <c r="A116" s="47" t="s">
        <v>231</v>
      </c>
      <c r="C116" s="47" t="s">
        <v>232</v>
      </c>
      <c r="D116" s="47" t="s">
        <v>53</v>
      </c>
      <c r="E116" s="47" t="s">
        <v>52</v>
      </c>
      <c r="F116" s="30">
        <v>0.0</v>
      </c>
      <c r="G116" s="30">
        <v>0.0</v>
      </c>
      <c r="H116" s="30">
        <v>0.0</v>
      </c>
      <c r="I116" s="47" t="s">
        <v>899</v>
      </c>
      <c r="J116" s="48">
        <v>46115.6165625</v>
      </c>
      <c r="K116" s="49" t="s">
        <v>1035</v>
      </c>
      <c r="L116" s="30">
        <v>8.33546129E8</v>
      </c>
      <c r="M116" s="47" t="s">
        <v>1036</v>
      </c>
      <c r="N116" s="30">
        <v>1.118099262E9</v>
      </c>
      <c r="O116" s="30"/>
      <c r="P116" s="30"/>
      <c r="Q116" s="30"/>
      <c r="R116" s="30"/>
      <c r="S116" s="47"/>
      <c r="T116" s="47" t="s">
        <v>901</v>
      </c>
      <c r="U116" s="30">
        <v>12.5</v>
      </c>
    </row>
    <row r="117">
      <c r="A117" s="47">
        <v>8.010276031976E12</v>
      </c>
      <c r="C117" s="47" t="s">
        <v>233</v>
      </c>
      <c r="D117" s="47" t="s">
        <v>91</v>
      </c>
      <c r="E117" s="47" t="s">
        <v>72</v>
      </c>
      <c r="F117" s="30">
        <v>0.0</v>
      </c>
      <c r="G117" s="30">
        <v>0.0</v>
      </c>
      <c r="H117" s="30">
        <v>0.0</v>
      </c>
      <c r="I117" s="47" t="s">
        <v>899</v>
      </c>
      <c r="J117" s="48">
        <v>46164.64797453704</v>
      </c>
      <c r="K117" s="49" t="s">
        <v>1037</v>
      </c>
      <c r="L117" s="30">
        <v>3.2630312E7</v>
      </c>
      <c r="M117" s="47">
        <v>8.606014100839E12</v>
      </c>
      <c r="N117" s="30">
        <v>5.8771458E7</v>
      </c>
      <c r="O117" s="30"/>
      <c r="P117" s="30"/>
      <c r="Q117" s="30"/>
      <c r="R117" s="30"/>
      <c r="S117" s="47"/>
      <c r="T117" s="47" t="s">
        <v>901</v>
      </c>
      <c r="U117" s="30">
        <v>16.5</v>
      </c>
    </row>
    <row r="118">
      <c r="A118" s="47">
        <v>8.010276036889E12</v>
      </c>
      <c r="C118" s="47" t="s">
        <v>234</v>
      </c>
      <c r="D118" s="47" t="s">
        <v>91</v>
      </c>
      <c r="E118" s="47" t="s">
        <v>72</v>
      </c>
      <c r="F118" s="30">
        <v>0.0</v>
      </c>
      <c r="G118" s="30">
        <v>0.0</v>
      </c>
      <c r="H118" s="30">
        <v>0.0</v>
      </c>
      <c r="I118" s="47" t="s">
        <v>899</v>
      </c>
      <c r="J118" s="48">
        <v>46164.64797453704</v>
      </c>
      <c r="K118" s="49" t="s">
        <v>1038</v>
      </c>
      <c r="L118" s="30">
        <v>3.2625902E7</v>
      </c>
      <c r="M118" s="47">
        <v>8141948.0</v>
      </c>
      <c r="N118" s="30">
        <v>5.8767041E7</v>
      </c>
      <c r="O118" s="30"/>
      <c r="P118" s="30"/>
      <c r="Q118" s="30"/>
      <c r="R118" s="30"/>
      <c r="S118" s="47"/>
      <c r="T118" s="47" t="s">
        <v>901</v>
      </c>
      <c r="U118" s="30">
        <v>16.5</v>
      </c>
    </row>
    <row r="119">
      <c r="A119" s="47">
        <v>8.010276040268E12</v>
      </c>
      <c r="C119" s="47" t="s">
        <v>235</v>
      </c>
      <c r="D119" s="47" t="s">
        <v>91</v>
      </c>
      <c r="E119" s="47" t="s">
        <v>72</v>
      </c>
      <c r="F119" s="30">
        <v>0.0</v>
      </c>
      <c r="G119" s="30">
        <v>0.0</v>
      </c>
      <c r="H119" s="30">
        <v>0.0</v>
      </c>
      <c r="I119" s="47" t="s">
        <v>899</v>
      </c>
      <c r="J119" s="48">
        <v>46164.64797453704</v>
      </c>
      <c r="K119" s="49" t="s">
        <v>1039</v>
      </c>
      <c r="L119" s="30">
        <v>4.9271205E7</v>
      </c>
      <c r="M119" s="47">
        <v>8.010276040268E12</v>
      </c>
      <c r="N119" s="30">
        <v>8.7310247E7</v>
      </c>
      <c r="O119" s="30"/>
      <c r="P119" s="30"/>
      <c r="Q119" s="30"/>
      <c r="R119" s="30"/>
      <c r="S119" s="47"/>
      <c r="T119" s="47" t="s">
        <v>901</v>
      </c>
      <c r="U119" s="30">
        <v>16.5</v>
      </c>
    </row>
    <row r="120">
      <c r="A120" s="47">
        <v>8.010276035097E12</v>
      </c>
      <c r="C120" s="47" t="s">
        <v>236</v>
      </c>
      <c r="D120" s="47" t="s">
        <v>91</v>
      </c>
      <c r="E120" s="47" t="s">
        <v>59</v>
      </c>
      <c r="F120" s="30">
        <v>2690.0</v>
      </c>
      <c r="G120" s="30">
        <v>2690.0</v>
      </c>
      <c r="H120" s="30">
        <v>11.0</v>
      </c>
      <c r="I120" s="47" t="s">
        <v>889</v>
      </c>
      <c r="J120" s="48">
        <v>46159.829050925924</v>
      </c>
      <c r="K120" s="49" t="s">
        <v>1040</v>
      </c>
      <c r="L120" s="30">
        <v>2187272.0</v>
      </c>
      <c r="M120" s="47">
        <v>8.010276035097E12</v>
      </c>
      <c r="N120" s="30">
        <v>1.2182991E7</v>
      </c>
      <c r="O120" s="30">
        <v>1.0</v>
      </c>
      <c r="P120" s="30">
        <v>2690.0</v>
      </c>
      <c r="Q120" s="30">
        <v>2693.0</v>
      </c>
      <c r="R120" s="30">
        <v>2700.0</v>
      </c>
      <c r="S120" s="47" t="b">
        <v>1</v>
      </c>
      <c r="T120" s="47" t="s">
        <v>891</v>
      </c>
      <c r="U120" s="30">
        <v>16.5</v>
      </c>
    </row>
    <row r="121">
      <c r="A121" s="47">
        <v>8.010276021823E12</v>
      </c>
      <c r="C121" s="47" t="s">
        <v>237</v>
      </c>
      <c r="D121" s="47" t="s">
        <v>91</v>
      </c>
      <c r="E121" s="47" t="s">
        <v>59</v>
      </c>
      <c r="F121" s="30">
        <v>4250.0</v>
      </c>
      <c r="G121" s="30">
        <v>4250.0</v>
      </c>
      <c r="H121" s="30">
        <v>1.0</v>
      </c>
      <c r="I121" s="47" t="s">
        <v>889</v>
      </c>
      <c r="J121" s="48">
        <v>46159.829050925924</v>
      </c>
      <c r="K121" s="49" t="s">
        <v>1041</v>
      </c>
      <c r="L121" s="30">
        <v>2265396.0</v>
      </c>
      <c r="M121" s="47" t="s">
        <v>865</v>
      </c>
      <c r="N121" s="30">
        <v>1.2325188E7</v>
      </c>
      <c r="O121" s="30">
        <v>9.0</v>
      </c>
      <c r="P121" s="30">
        <v>3969.0</v>
      </c>
      <c r="Q121" s="30">
        <v>3969.0</v>
      </c>
      <c r="R121" s="30">
        <v>3995.0</v>
      </c>
      <c r="S121" s="47" t="b">
        <v>1</v>
      </c>
      <c r="T121" s="47" t="s">
        <v>891</v>
      </c>
      <c r="U121" s="30">
        <v>16.5</v>
      </c>
    </row>
    <row r="122">
      <c r="A122" s="47">
        <v>8.010276042361E12</v>
      </c>
      <c r="C122" s="47" t="s">
        <v>238</v>
      </c>
      <c r="D122" s="47" t="s">
        <v>91</v>
      </c>
      <c r="E122" s="47" t="s">
        <v>59</v>
      </c>
      <c r="F122" s="30">
        <v>2195.0</v>
      </c>
      <c r="G122" s="30">
        <v>2195.0</v>
      </c>
      <c r="H122" s="30">
        <v>2.0</v>
      </c>
      <c r="I122" s="47" t="s">
        <v>889</v>
      </c>
      <c r="J122" s="48">
        <v>46159.829039351855</v>
      </c>
      <c r="K122" s="49" t="s">
        <v>1042</v>
      </c>
      <c r="L122" s="30">
        <v>7.58829871E8</v>
      </c>
      <c r="M122" s="47">
        <v>8.010276042361E12</v>
      </c>
      <c r="N122" s="30">
        <v>1.000284932E9</v>
      </c>
      <c r="O122" s="30">
        <v>1.0</v>
      </c>
      <c r="P122" s="30">
        <v>2195.0</v>
      </c>
      <c r="Q122" s="30">
        <v>2199.0</v>
      </c>
      <c r="R122" s="30">
        <v>2274.0</v>
      </c>
      <c r="S122" s="47" t="b">
        <v>1</v>
      </c>
      <c r="T122" s="47" t="s">
        <v>891</v>
      </c>
      <c r="U122" s="30">
        <v>16.5</v>
      </c>
    </row>
    <row r="123">
      <c r="A123" s="47">
        <v>8.010276042323E12</v>
      </c>
      <c r="B123" s="47"/>
      <c r="C123" s="47" t="s">
        <v>239</v>
      </c>
      <c r="D123" s="47" t="s">
        <v>91</v>
      </c>
      <c r="E123" s="47" t="s">
        <v>59</v>
      </c>
      <c r="F123" s="30">
        <v>2200.0</v>
      </c>
      <c r="G123" s="30">
        <v>2200.0</v>
      </c>
      <c r="H123" s="30">
        <v>0.0</v>
      </c>
      <c r="I123" s="47" t="s">
        <v>899</v>
      </c>
      <c r="J123" s="48">
        <v>46159.829039351855</v>
      </c>
      <c r="K123" s="49" t="s">
        <v>1043</v>
      </c>
      <c r="L123" s="30">
        <v>7.5883052E8</v>
      </c>
      <c r="M123" s="47">
        <v>8.010276042323E12</v>
      </c>
      <c r="N123" s="30">
        <v>1.000286544E9</v>
      </c>
      <c r="O123" s="30"/>
      <c r="P123" s="30"/>
      <c r="Q123" s="30"/>
      <c r="R123" s="30"/>
      <c r="S123" s="47"/>
      <c r="T123" s="47" t="s">
        <v>901</v>
      </c>
      <c r="U123" s="30">
        <v>16.5</v>
      </c>
    </row>
    <row r="124">
      <c r="A124" s="47">
        <v>8.010276042217E12</v>
      </c>
      <c r="C124" s="47" t="s">
        <v>240</v>
      </c>
      <c r="D124" s="47" t="s">
        <v>91</v>
      </c>
      <c r="E124" s="47" t="s">
        <v>72</v>
      </c>
      <c r="F124" s="30">
        <v>0.0</v>
      </c>
      <c r="G124" s="30">
        <v>0.0</v>
      </c>
      <c r="H124" s="30">
        <v>0.0</v>
      </c>
      <c r="I124" s="47" t="s">
        <v>899</v>
      </c>
      <c r="J124" s="48">
        <v>46164.64797453704</v>
      </c>
      <c r="K124" s="49" t="s">
        <v>1044</v>
      </c>
      <c r="L124" s="30">
        <v>7.58806175E8</v>
      </c>
      <c r="M124" s="47">
        <v>8.010276042217E12</v>
      </c>
      <c r="N124" s="30">
        <v>1.000238688E9</v>
      </c>
      <c r="O124" s="30"/>
      <c r="P124" s="30"/>
      <c r="Q124" s="30"/>
      <c r="R124" s="30"/>
      <c r="S124" s="47"/>
      <c r="T124" s="47" t="s">
        <v>901</v>
      </c>
      <c r="U124" s="30">
        <v>16.5</v>
      </c>
    </row>
    <row r="125">
      <c r="A125" s="47">
        <v>8.010276042132E12</v>
      </c>
      <c r="C125" s="47" t="s">
        <v>241</v>
      </c>
      <c r="D125" s="47" t="s">
        <v>91</v>
      </c>
      <c r="E125" s="47" t="s">
        <v>72</v>
      </c>
      <c r="F125" s="30">
        <v>0.0</v>
      </c>
      <c r="G125" s="30">
        <v>0.0</v>
      </c>
      <c r="H125" s="30">
        <v>0.0</v>
      </c>
      <c r="I125" s="47" t="s">
        <v>899</v>
      </c>
      <c r="J125" s="48">
        <v>46164.64797453704</v>
      </c>
      <c r="K125" s="49" t="s">
        <v>1045</v>
      </c>
      <c r="L125" s="30">
        <v>7.58806141E8</v>
      </c>
      <c r="M125" s="47">
        <v>8.010276042132E12</v>
      </c>
      <c r="N125" s="30">
        <v>1.000238632E9</v>
      </c>
      <c r="O125" s="30"/>
      <c r="P125" s="30"/>
      <c r="Q125" s="30"/>
      <c r="R125" s="30"/>
      <c r="S125" s="47"/>
      <c r="T125" s="47" t="s">
        <v>901</v>
      </c>
      <c r="U125" s="30">
        <v>16.5</v>
      </c>
    </row>
    <row r="126">
      <c r="A126" s="47">
        <v>8.010276040213E12</v>
      </c>
      <c r="C126" s="47" t="s">
        <v>242</v>
      </c>
      <c r="D126" s="47" t="s">
        <v>91</v>
      </c>
      <c r="E126" s="47" t="s">
        <v>72</v>
      </c>
      <c r="F126" s="30">
        <v>0.0</v>
      </c>
      <c r="G126" s="30">
        <v>0.0</v>
      </c>
      <c r="H126" s="30">
        <v>0.0</v>
      </c>
      <c r="I126" s="47" t="s">
        <v>899</v>
      </c>
      <c r="J126" s="48">
        <v>46164.647986111115</v>
      </c>
      <c r="K126" s="49" t="s">
        <v>1046</v>
      </c>
      <c r="L126" s="30">
        <v>1.05628467E9</v>
      </c>
      <c r="M126" s="47" t="s">
        <v>1047</v>
      </c>
      <c r="N126" s="30">
        <v>1.461001955E9</v>
      </c>
      <c r="O126" s="30"/>
      <c r="P126" s="30"/>
      <c r="Q126" s="30"/>
      <c r="S126" s="47"/>
      <c r="T126" s="47" t="s">
        <v>901</v>
      </c>
      <c r="U126" s="30">
        <v>16.5</v>
      </c>
    </row>
    <row r="127">
      <c r="A127" s="47">
        <v>8.010276038869E12</v>
      </c>
      <c r="C127" s="47" t="s">
        <v>243</v>
      </c>
      <c r="D127" s="47" t="s">
        <v>91</v>
      </c>
      <c r="E127" s="47" t="s">
        <v>72</v>
      </c>
      <c r="F127" s="30">
        <v>3500.0</v>
      </c>
      <c r="G127" s="30">
        <v>3500.0</v>
      </c>
      <c r="H127" s="30">
        <v>0.0</v>
      </c>
      <c r="I127" s="47" t="s">
        <v>899</v>
      </c>
      <c r="J127" s="48">
        <v>46164.64797453704</v>
      </c>
      <c r="K127" s="49" t="s">
        <v>1048</v>
      </c>
      <c r="L127" s="30">
        <v>6.8395164E7</v>
      </c>
      <c r="M127" s="47">
        <v>8.010276038869E12</v>
      </c>
      <c r="N127" s="30">
        <v>1.185266E8</v>
      </c>
      <c r="O127" s="30"/>
      <c r="P127" s="30"/>
      <c r="Q127" s="30"/>
      <c r="R127" s="30"/>
      <c r="S127" s="47"/>
      <c r="T127" s="47" t="s">
        <v>901</v>
      </c>
      <c r="U127" s="30">
        <v>16.5</v>
      </c>
    </row>
    <row r="128">
      <c r="A128" s="47">
        <v>8.010276032751E12</v>
      </c>
      <c r="B128" s="47"/>
      <c r="C128" s="47" t="s">
        <v>244</v>
      </c>
      <c r="D128" s="47" t="s">
        <v>91</v>
      </c>
      <c r="E128" s="47" t="s">
        <v>72</v>
      </c>
      <c r="F128" s="30">
        <v>0.0</v>
      </c>
      <c r="G128" s="30">
        <v>0.0</v>
      </c>
      <c r="H128" s="30">
        <v>0.0</v>
      </c>
      <c r="I128" s="47" t="s">
        <v>899</v>
      </c>
      <c r="J128" s="48">
        <v>46164.64797453704</v>
      </c>
      <c r="K128" s="49" t="s">
        <v>1049</v>
      </c>
      <c r="L128" s="30">
        <v>2266285.0</v>
      </c>
      <c r="M128" s="47" t="s">
        <v>1050</v>
      </c>
      <c r="N128" s="30">
        <v>1.2325406E7</v>
      </c>
      <c r="T128" s="47" t="s">
        <v>901</v>
      </c>
      <c r="U128" s="30">
        <v>16.5</v>
      </c>
    </row>
    <row r="129">
      <c r="A129" s="47">
        <v>8.010276033277E12</v>
      </c>
      <c r="C129" s="47" t="s">
        <v>245</v>
      </c>
      <c r="D129" s="47" t="s">
        <v>91</v>
      </c>
      <c r="E129" s="47" t="s">
        <v>59</v>
      </c>
      <c r="F129" s="30">
        <v>1780.0</v>
      </c>
      <c r="G129" s="30">
        <v>1780.0</v>
      </c>
      <c r="H129" s="30">
        <v>0.0</v>
      </c>
      <c r="I129" s="47" t="s">
        <v>899</v>
      </c>
      <c r="J129" s="48">
        <v>46159.829050925924</v>
      </c>
      <c r="K129" s="49" t="s">
        <v>1051</v>
      </c>
      <c r="L129" s="30">
        <v>2187254.0</v>
      </c>
      <c r="M129" s="47">
        <v>8.010276033277E12</v>
      </c>
      <c r="N129" s="30">
        <v>1.2183028E7</v>
      </c>
      <c r="T129" s="47" t="s">
        <v>901</v>
      </c>
      <c r="U129" s="30">
        <v>16.5</v>
      </c>
    </row>
    <row r="130">
      <c r="A130" s="47">
        <v>8.010276039309E12</v>
      </c>
      <c r="C130" s="47" t="s">
        <v>246</v>
      </c>
      <c r="D130" s="47" t="s">
        <v>91</v>
      </c>
      <c r="E130" s="47" t="s">
        <v>59</v>
      </c>
      <c r="F130" s="30">
        <v>1828.0</v>
      </c>
      <c r="G130" s="30">
        <v>1828.0</v>
      </c>
      <c r="H130" s="30">
        <v>4.0</v>
      </c>
      <c r="I130" s="47" t="s">
        <v>889</v>
      </c>
      <c r="J130" s="48">
        <v>46159.829039351855</v>
      </c>
      <c r="K130" s="49" t="s">
        <v>1052</v>
      </c>
      <c r="L130" s="30">
        <v>7.4648342E7</v>
      </c>
      <c r="M130" s="47" t="s">
        <v>864</v>
      </c>
      <c r="N130" s="30">
        <v>1.2816712E8</v>
      </c>
      <c r="O130" s="30">
        <v>1.0</v>
      </c>
      <c r="P130" s="30">
        <v>1828.0</v>
      </c>
      <c r="Q130" s="30">
        <v>1830.0</v>
      </c>
      <c r="R130" s="30">
        <v>1838.0</v>
      </c>
      <c r="S130" s="47" t="b">
        <v>1</v>
      </c>
      <c r="T130" s="47" t="s">
        <v>891</v>
      </c>
      <c r="U130" s="30">
        <v>16.5</v>
      </c>
    </row>
    <row r="131">
      <c r="A131" s="47">
        <v>8.010276033703E12</v>
      </c>
      <c r="B131" s="47"/>
      <c r="C131" s="47" t="s">
        <v>247</v>
      </c>
      <c r="D131" s="47" t="s">
        <v>91</v>
      </c>
      <c r="E131" s="47" t="s">
        <v>59</v>
      </c>
      <c r="F131" s="30">
        <v>1493.0</v>
      </c>
      <c r="G131" s="30">
        <v>1493.0</v>
      </c>
      <c r="H131" s="30">
        <v>1.0</v>
      </c>
      <c r="I131" s="47" t="s">
        <v>889</v>
      </c>
      <c r="J131" s="48">
        <v>46159.829050925924</v>
      </c>
      <c r="K131" s="49" t="s">
        <v>1053</v>
      </c>
      <c r="L131" s="30">
        <v>2187260.0</v>
      </c>
      <c r="M131" s="47">
        <v>8.010276033703E12</v>
      </c>
      <c r="N131" s="30">
        <v>1.2183017E7</v>
      </c>
      <c r="O131" s="30">
        <v>1.0</v>
      </c>
      <c r="P131" s="30">
        <v>1493.0</v>
      </c>
      <c r="Q131" s="30">
        <v>1494.0</v>
      </c>
      <c r="R131" s="30">
        <v>1524.9</v>
      </c>
      <c r="S131" s="47" t="b">
        <v>1</v>
      </c>
      <c r="T131" s="47" t="s">
        <v>891</v>
      </c>
      <c r="U131" s="30">
        <v>16.5</v>
      </c>
    </row>
    <row r="132">
      <c r="A132" s="47">
        <v>8.010276042354E12</v>
      </c>
      <c r="C132" s="47" t="s">
        <v>248</v>
      </c>
      <c r="D132" s="47" t="s">
        <v>91</v>
      </c>
      <c r="E132" s="47" t="s">
        <v>59</v>
      </c>
      <c r="F132" s="30">
        <v>1025.0</v>
      </c>
      <c r="G132" s="30">
        <v>1025.0</v>
      </c>
      <c r="H132" s="30">
        <v>0.0</v>
      </c>
      <c r="I132" s="47" t="s">
        <v>899</v>
      </c>
      <c r="J132" s="48">
        <v>46159.829039351855</v>
      </c>
      <c r="K132" s="49" t="s">
        <v>1054</v>
      </c>
      <c r="L132" s="30">
        <v>1.056283648E9</v>
      </c>
      <c r="M132" s="47" t="s">
        <v>843</v>
      </c>
      <c r="N132" s="30">
        <v>1.461000901E9</v>
      </c>
      <c r="O132" s="30"/>
      <c r="P132" s="30"/>
      <c r="Q132" s="30"/>
      <c r="R132" s="30"/>
      <c r="S132" s="47"/>
      <c r="T132" s="47" t="s">
        <v>901</v>
      </c>
      <c r="U132" s="30">
        <v>16.5</v>
      </c>
    </row>
    <row r="133">
      <c r="A133" s="47">
        <v>8.010276038852E12</v>
      </c>
      <c r="C133" s="47" t="s">
        <v>249</v>
      </c>
      <c r="D133" s="47" t="s">
        <v>91</v>
      </c>
      <c r="E133" s="47" t="s">
        <v>72</v>
      </c>
      <c r="F133" s="30">
        <v>0.0</v>
      </c>
      <c r="G133" s="30">
        <v>0.0</v>
      </c>
      <c r="H133" s="30">
        <v>0.0</v>
      </c>
      <c r="I133" s="47" t="s">
        <v>899</v>
      </c>
      <c r="J133" s="48">
        <v>46164.64797453704</v>
      </c>
      <c r="K133" s="49" t="s">
        <v>1055</v>
      </c>
      <c r="L133" s="30">
        <v>6.8196342E7</v>
      </c>
      <c r="M133" s="47">
        <v>8.010276038852E12</v>
      </c>
      <c r="N133" s="30">
        <v>1.18184234E8</v>
      </c>
      <c r="O133" s="30"/>
      <c r="P133" s="30"/>
      <c r="Q133" s="30"/>
      <c r="R133" s="30"/>
      <c r="S133" s="47"/>
      <c r="T133" s="47" t="s">
        <v>901</v>
      </c>
      <c r="U133" s="30">
        <v>16.5</v>
      </c>
    </row>
    <row r="134">
      <c r="A134" s="47">
        <v>8.010276040138E12</v>
      </c>
      <c r="C134" s="47" t="s">
        <v>250</v>
      </c>
      <c r="D134" s="47" t="s">
        <v>91</v>
      </c>
      <c r="E134" s="47" t="s">
        <v>72</v>
      </c>
      <c r="F134" s="30">
        <v>0.0</v>
      </c>
      <c r="G134" s="30">
        <v>0.0</v>
      </c>
      <c r="H134" s="30">
        <v>0.0</v>
      </c>
      <c r="I134" s="47" t="s">
        <v>899</v>
      </c>
      <c r="J134" s="48">
        <v>46164.64797453704</v>
      </c>
      <c r="K134" s="49" t="s">
        <v>1056</v>
      </c>
      <c r="L134" s="30">
        <v>6.8396408E7</v>
      </c>
      <c r="M134" s="47">
        <v>8.010276040138E12</v>
      </c>
      <c r="N134" s="30">
        <v>1.18529367E8</v>
      </c>
      <c r="O134" s="30"/>
      <c r="P134" s="30"/>
      <c r="Q134" s="30"/>
      <c r="R134" s="30"/>
      <c r="S134" s="47"/>
      <c r="T134" s="47" t="s">
        <v>901</v>
      </c>
      <c r="U134" s="30">
        <v>16.5</v>
      </c>
    </row>
    <row r="135">
      <c r="A135" s="47">
        <v>8.010276030481E12</v>
      </c>
      <c r="C135" s="47" t="s">
        <v>251</v>
      </c>
      <c r="D135" s="47" t="s">
        <v>91</v>
      </c>
      <c r="E135" s="47" t="s">
        <v>72</v>
      </c>
      <c r="F135" s="30">
        <v>0.0</v>
      </c>
      <c r="G135" s="30">
        <v>0.0</v>
      </c>
      <c r="H135" s="30">
        <v>0.0</v>
      </c>
      <c r="I135" s="47" t="s">
        <v>899</v>
      </c>
      <c r="J135" s="48">
        <v>46164.64797453704</v>
      </c>
      <c r="K135" s="49" t="s">
        <v>1057</v>
      </c>
      <c r="L135" s="30">
        <v>3.23026431E8</v>
      </c>
      <c r="M135" s="47" t="s">
        <v>1058</v>
      </c>
      <c r="N135" s="30">
        <v>5.16214218E8</v>
      </c>
      <c r="O135" s="30"/>
      <c r="P135" s="30"/>
      <c r="Q135" s="30"/>
      <c r="R135" s="30"/>
      <c r="S135" s="47"/>
      <c r="T135" s="47" t="s">
        <v>901</v>
      </c>
      <c r="U135" s="30">
        <v>16.5</v>
      </c>
    </row>
    <row r="136">
      <c r="A136" s="47">
        <v>8.010276032584E12</v>
      </c>
      <c r="C136" s="47" t="s">
        <v>252</v>
      </c>
      <c r="D136" s="47" t="s">
        <v>91</v>
      </c>
      <c r="E136" s="47" t="s">
        <v>72</v>
      </c>
      <c r="F136" s="30">
        <v>0.0</v>
      </c>
      <c r="G136" s="30">
        <v>0.0</v>
      </c>
      <c r="H136" s="30">
        <v>0.0</v>
      </c>
      <c r="I136" s="47" t="s">
        <v>899</v>
      </c>
      <c r="J136" s="48">
        <v>46164.64797453704</v>
      </c>
      <c r="K136" s="49" t="s">
        <v>1059</v>
      </c>
      <c r="L136" s="30">
        <v>1914302.0</v>
      </c>
      <c r="M136" s="47">
        <v>8.010276032584E12</v>
      </c>
      <c r="N136" s="30">
        <v>1.1707195E7</v>
      </c>
      <c r="O136" s="30"/>
      <c r="P136" s="30"/>
      <c r="Q136" s="30"/>
      <c r="R136" s="30"/>
      <c r="S136" s="47"/>
      <c r="T136" s="47" t="s">
        <v>901</v>
      </c>
      <c r="U136" s="30">
        <v>16.5</v>
      </c>
    </row>
    <row r="137">
      <c r="A137" s="47">
        <v>8.010276036742E12</v>
      </c>
      <c r="B137" s="47"/>
      <c r="C137" s="47" t="s">
        <v>253</v>
      </c>
      <c r="D137" s="47" t="s">
        <v>91</v>
      </c>
      <c r="E137" s="47" t="s">
        <v>72</v>
      </c>
      <c r="F137" s="30">
        <v>0.0</v>
      </c>
      <c r="G137" s="30">
        <v>0.0</v>
      </c>
      <c r="H137" s="30">
        <v>0.0</v>
      </c>
      <c r="I137" s="47" t="s">
        <v>899</v>
      </c>
      <c r="J137" s="48">
        <v>46164.64797453704</v>
      </c>
      <c r="K137" s="49" t="s">
        <v>1060</v>
      </c>
      <c r="L137" s="30">
        <v>2.8271709E7</v>
      </c>
      <c r="M137" s="47">
        <v>8.010276036742E12</v>
      </c>
      <c r="N137" s="30">
        <v>5.1704396E7</v>
      </c>
      <c r="T137" s="47" t="s">
        <v>901</v>
      </c>
      <c r="U137" s="30">
        <v>16.5</v>
      </c>
    </row>
    <row r="138">
      <c r="A138" s="47">
        <v>8.010276021595E12</v>
      </c>
      <c r="C138" s="47" t="s">
        <v>254</v>
      </c>
      <c r="D138" s="47" t="s">
        <v>91</v>
      </c>
      <c r="E138" s="47" t="s">
        <v>72</v>
      </c>
      <c r="F138" s="30">
        <v>0.0</v>
      </c>
      <c r="G138" s="30">
        <v>0.0</v>
      </c>
      <c r="H138" s="30">
        <v>0.0</v>
      </c>
      <c r="I138" s="47" t="s">
        <v>899</v>
      </c>
      <c r="J138" s="48">
        <v>46164.64797453704</v>
      </c>
      <c r="K138" s="49" t="s">
        <v>1061</v>
      </c>
      <c r="L138" s="30">
        <v>3.3704569E8</v>
      </c>
      <c r="M138" s="47" t="s">
        <v>1062</v>
      </c>
      <c r="N138" s="30">
        <v>5.37319595E8</v>
      </c>
      <c r="O138" s="30"/>
      <c r="P138" s="30"/>
      <c r="Q138" s="30"/>
      <c r="R138" s="30"/>
      <c r="S138" s="47"/>
      <c r="T138" s="47" t="s">
        <v>901</v>
      </c>
      <c r="U138" s="30">
        <v>16.5</v>
      </c>
    </row>
    <row r="139">
      <c r="A139" s="47">
        <v>8.010276030467E12</v>
      </c>
      <c r="C139" s="47" t="s">
        <v>255</v>
      </c>
      <c r="D139" s="47" t="s">
        <v>91</v>
      </c>
      <c r="E139" s="47" t="s">
        <v>72</v>
      </c>
      <c r="F139" s="30">
        <v>0.0</v>
      </c>
      <c r="G139" s="30">
        <v>0.0</v>
      </c>
      <c r="H139" s="30">
        <v>0.0</v>
      </c>
      <c r="I139" s="47" t="s">
        <v>899</v>
      </c>
      <c r="J139" s="48">
        <v>46164.64797453704</v>
      </c>
      <c r="K139" s="49" t="s">
        <v>1063</v>
      </c>
      <c r="L139" s="30">
        <v>2187247.0</v>
      </c>
      <c r="M139" s="47">
        <v>8.010276030467E12</v>
      </c>
      <c r="N139" s="30">
        <v>1.2182974E7</v>
      </c>
      <c r="O139" s="30"/>
      <c r="P139" s="30"/>
      <c r="Q139" s="30"/>
      <c r="R139" s="30"/>
      <c r="S139" s="47"/>
      <c r="T139" s="47" t="s">
        <v>901</v>
      </c>
      <c r="U139" s="30">
        <v>16.5</v>
      </c>
    </row>
    <row r="140">
      <c r="A140" s="47">
        <v>8.005852019662E12</v>
      </c>
      <c r="C140" s="47" t="s">
        <v>256</v>
      </c>
      <c r="D140" s="47" t="s">
        <v>115</v>
      </c>
      <c r="E140" s="47" t="s">
        <v>52</v>
      </c>
      <c r="F140" s="30">
        <v>2815.0</v>
      </c>
      <c r="G140" s="30">
        <v>2815.0</v>
      </c>
      <c r="H140" s="30">
        <v>0.0</v>
      </c>
      <c r="I140" s="47" t="s">
        <v>899</v>
      </c>
      <c r="J140" s="48">
        <v>46159.829050925924</v>
      </c>
      <c r="K140" s="49" t="s">
        <v>1064</v>
      </c>
      <c r="L140" s="30">
        <v>4257131.0</v>
      </c>
      <c r="M140" s="47">
        <v>8.005852019662E12</v>
      </c>
      <c r="N140" s="30">
        <v>1.7003751E7</v>
      </c>
      <c r="O140" s="30"/>
      <c r="P140" s="30"/>
      <c r="Q140" s="30"/>
      <c r="R140" s="30"/>
      <c r="S140" s="47"/>
      <c r="T140" s="47" t="s">
        <v>901</v>
      </c>
      <c r="U140" s="30">
        <v>16.5</v>
      </c>
    </row>
    <row r="141">
      <c r="A141" s="47" t="s">
        <v>257</v>
      </c>
      <c r="C141" s="47" t="s">
        <v>258</v>
      </c>
      <c r="D141" s="47" t="s">
        <v>137</v>
      </c>
      <c r="E141" s="47" t="s">
        <v>52</v>
      </c>
      <c r="F141" s="30">
        <v>699.0</v>
      </c>
      <c r="G141" s="30">
        <v>699.0</v>
      </c>
      <c r="H141" s="30">
        <v>100.0</v>
      </c>
      <c r="I141" s="47" t="s">
        <v>889</v>
      </c>
      <c r="J141" s="48">
        <v>46068.99613425926</v>
      </c>
      <c r="K141" s="49" t="s">
        <v>1065</v>
      </c>
      <c r="L141" s="30">
        <v>2.51685639E8</v>
      </c>
      <c r="M141" s="47" t="s">
        <v>817</v>
      </c>
      <c r="N141" s="30">
        <v>4.0267689E8</v>
      </c>
      <c r="O141" s="30">
        <v>4.0</v>
      </c>
      <c r="P141" s="30">
        <v>619.9</v>
      </c>
      <c r="Q141" s="30">
        <v>649.0</v>
      </c>
      <c r="R141" s="30">
        <v>674.9</v>
      </c>
      <c r="S141" s="47" t="b">
        <v>1</v>
      </c>
      <c r="T141" s="47" t="s">
        <v>891</v>
      </c>
      <c r="U141" s="30">
        <v>13.5</v>
      </c>
    </row>
    <row r="142">
      <c r="A142" s="47" t="s">
        <v>259</v>
      </c>
      <c r="C142" s="47" t="s">
        <v>260</v>
      </c>
      <c r="D142" s="47" t="s">
        <v>137</v>
      </c>
      <c r="E142" s="47" t="s">
        <v>52</v>
      </c>
      <c r="F142" s="30">
        <v>699.0</v>
      </c>
      <c r="G142" s="30">
        <v>699.0</v>
      </c>
      <c r="H142" s="30">
        <v>100.0</v>
      </c>
      <c r="I142" s="47" t="s">
        <v>889</v>
      </c>
      <c r="J142" s="48">
        <v>46079.50116898148</v>
      </c>
      <c r="K142" s="49" t="s">
        <v>1066</v>
      </c>
      <c r="L142" s="30">
        <v>2.51685886E8</v>
      </c>
      <c r="M142" s="47" t="s">
        <v>739</v>
      </c>
      <c r="N142" s="30">
        <v>4.02677234E8</v>
      </c>
      <c r="O142" s="30">
        <v>5.0</v>
      </c>
      <c r="P142" s="30">
        <v>585.9</v>
      </c>
      <c r="Q142" s="30">
        <v>588.99</v>
      </c>
      <c r="R142" s="30">
        <v>600.0</v>
      </c>
      <c r="S142" s="47" t="b">
        <v>1</v>
      </c>
      <c r="T142" s="47" t="s">
        <v>891</v>
      </c>
      <c r="U142" s="30">
        <v>13.5</v>
      </c>
    </row>
    <row r="143">
      <c r="A143" s="47" t="s">
        <v>261</v>
      </c>
      <c r="C143" s="47" t="s">
        <v>262</v>
      </c>
      <c r="D143" s="47" t="s">
        <v>137</v>
      </c>
      <c r="E143" s="47" t="s">
        <v>52</v>
      </c>
      <c r="F143" s="30">
        <v>699.0</v>
      </c>
      <c r="G143" s="30">
        <v>699.0</v>
      </c>
      <c r="H143" s="30">
        <v>2.0</v>
      </c>
      <c r="I143" s="47" t="s">
        <v>889</v>
      </c>
      <c r="J143" s="48">
        <v>46159.829039351855</v>
      </c>
      <c r="K143" s="49" t="s">
        <v>1067</v>
      </c>
      <c r="L143" s="30">
        <v>2.51670068E8</v>
      </c>
      <c r="M143" s="47" t="s">
        <v>767</v>
      </c>
      <c r="N143" s="30">
        <v>4.02649497E8</v>
      </c>
      <c r="O143" s="30">
        <v>7.0</v>
      </c>
      <c r="P143" s="30">
        <v>597.9</v>
      </c>
      <c r="Q143" s="30">
        <v>594.99</v>
      </c>
      <c r="R143" s="30">
        <v>610.0</v>
      </c>
      <c r="S143" s="47" t="b">
        <v>1</v>
      </c>
      <c r="T143" s="47" t="s">
        <v>891</v>
      </c>
      <c r="U143" s="30">
        <v>13.5</v>
      </c>
    </row>
    <row r="144">
      <c r="A144" s="47" t="s">
        <v>263</v>
      </c>
      <c r="C144" s="47" t="s">
        <v>264</v>
      </c>
      <c r="D144" s="47" t="s">
        <v>137</v>
      </c>
      <c r="E144" s="47" t="s">
        <v>52</v>
      </c>
      <c r="F144" s="30">
        <v>699.0</v>
      </c>
      <c r="G144" s="30">
        <v>699.0</v>
      </c>
      <c r="H144" s="30">
        <v>100.0</v>
      </c>
      <c r="I144" s="47" t="s">
        <v>889</v>
      </c>
      <c r="J144" s="48">
        <v>46068.992430555554</v>
      </c>
      <c r="K144" s="49" t="s">
        <v>1068</v>
      </c>
      <c r="L144" s="30">
        <v>2.51190771E8</v>
      </c>
      <c r="M144" s="47" t="s">
        <v>770</v>
      </c>
      <c r="N144" s="30">
        <v>4.01643732E8</v>
      </c>
      <c r="O144" s="30">
        <v>6.0</v>
      </c>
      <c r="P144" s="30">
        <v>680.0</v>
      </c>
      <c r="Q144" s="30">
        <v>679.9</v>
      </c>
      <c r="R144" s="30">
        <v>697.0</v>
      </c>
      <c r="S144" s="47" t="b">
        <v>1</v>
      </c>
      <c r="T144" s="47" t="s">
        <v>891</v>
      </c>
      <c r="U144" s="30">
        <v>13.5</v>
      </c>
    </row>
    <row r="145">
      <c r="A145" s="47">
        <v>8.606014106732E12</v>
      </c>
      <c r="C145" s="47" t="s">
        <v>265</v>
      </c>
      <c r="D145" s="47" t="s">
        <v>91</v>
      </c>
      <c r="E145" s="47" t="s">
        <v>52</v>
      </c>
      <c r="F145" s="30">
        <v>749.0</v>
      </c>
      <c r="G145" s="30">
        <v>749.0</v>
      </c>
      <c r="H145" s="30">
        <v>1.0</v>
      </c>
      <c r="I145" s="47" t="s">
        <v>889</v>
      </c>
      <c r="J145" s="48">
        <v>46159.829039351855</v>
      </c>
      <c r="K145" s="49" t="s">
        <v>1069</v>
      </c>
      <c r="L145" s="30">
        <v>3.45053168E8</v>
      </c>
      <c r="M145" s="47" t="s">
        <v>777</v>
      </c>
      <c r="N145" s="30">
        <v>5.51415634E8</v>
      </c>
      <c r="O145" s="30">
        <v>17.0</v>
      </c>
      <c r="P145" s="30">
        <v>470.0</v>
      </c>
      <c r="Q145" s="30">
        <v>490.0</v>
      </c>
      <c r="R145" s="30">
        <v>590.0</v>
      </c>
      <c r="S145" s="47" t="b">
        <v>1</v>
      </c>
      <c r="T145" s="47" t="s">
        <v>891</v>
      </c>
      <c r="U145" s="30">
        <v>16.5</v>
      </c>
    </row>
    <row r="146">
      <c r="A146" s="47">
        <v>7.613036505178E12</v>
      </c>
      <c r="C146" s="47" t="s">
        <v>266</v>
      </c>
      <c r="D146" s="47" t="s">
        <v>50</v>
      </c>
      <c r="E146" s="47" t="s">
        <v>72</v>
      </c>
      <c r="F146" s="30">
        <v>815.0</v>
      </c>
      <c r="G146" s="30">
        <v>815.0</v>
      </c>
      <c r="H146" s="30">
        <v>28.0</v>
      </c>
      <c r="I146" s="47" t="s">
        <v>889</v>
      </c>
      <c r="J146" s="48">
        <v>46159.829050925924</v>
      </c>
      <c r="K146" s="49" t="s">
        <v>1070</v>
      </c>
      <c r="L146" s="30">
        <v>4311383.0</v>
      </c>
      <c r="M146" s="47">
        <v>7.613036505178E12</v>
      </c>
      <c r="N146" s="30">
        <v>1.7100042E7</v>
      </c>
      <c r="O146" s="30">
        <v>16.0</v>
      </c>
      <c r="P146" s="30">
        <v>665.0</v>
      </c>
      <c r="Q146" s="30">
        <v>660.96</v>
      </c>
      <c r="R146" s="30">
        <v>719.0</v>
      </c>
      <c r="S146" s="47" t="b">
        <v>1</v>
      </c>
      <c r="T146" s="47" t="s">
        <v>891</v>
      </c>
      <c r="U146" s="30">
        <v>12.5</v>
      </c>
    </row>
    <row r="147">
      <c r="A147" s="47" t="s">
        <v>267</v>
      </c>
      <c r="B147" s="47"/>
      <c r="C147" s="47" t="s">
        <v>268</v>
      </c>
      <c r="D147" s="47" t="s">
        <v>50</v>
      </c>
      <c r="E147" s="47" t="s">
        <v>72</v>
      </c>
      <c r="F147" s="30">
        <v>775.0</v>
      </c>
      <c r="G147" s="30">
        <v>775.0</v>
      </c>
      <c r="H147" s="30">
        <v>1.0</v>
      </c>
      <c r="I147" s="47" t="s">
        <v>889</v>
      </c>
      <c r="J147" s="48">
        <v>46159.82902777778</v>
      </c>
      <c r="K147" s="49" t="s">
        <v>1071</v>
      </c>
      <c r="L147" s="30">
        <v>1.093663531E9</v>
      </c>
      <c r="M147" s="47" t="s">
        <v>1072</v>
      </c>
      <c r="N147" s="30">
        <v>1.515288688E9</v>
      </c>
      <c r="O147" s="30">
        <v>7.0</v>
      </c>
      <c r="P147" s="30">
        <v>650.0</v>
      </c>
      <c r="Q147" s="30">
        <v>650.0</v>
      </c>
      <c r="R147" s="30">
        <v>649.0</v>
      </c>
      <c r="S147" s="47" t="b">
        <v>1</v>
      </c>
      <c r="T147" s="47" t="s">
        <v>891</v>
      </c>
      <c r="U147" s="30">
        <v>12.5</v>
      </c>
    </row>
    <row r="148">
      <c r="A148" s="47" t="s">
        <v>269</v>
      </c>
      <c r="B148" s="47" t="s">
        <v>271</v>
      </c>
      <c r="C148" s="47" t="s">
        <v>270</v>
      </c>
      <c r="D148" s="47" t="s">
        <v>187</v>
      </c>
      <c r="E148" s="47" t="s">
        <v>52</v>
      </c>
      <c r="F148" s="30">
        <v>699.0</v>
      </c>
      <c r="G148" s="30">
        <v>699.0</v>
      </c>
      <c r="H148" s="30">
        <v>862.0</v>
      </c>
      <c r="I148" s="47" t="s">
        <v>889</v>
      </c>
      <c r="J148" s="48">
        <v>46159.82902777778</v>
      </c>
      <c r="K148" s="49" t="s">
        <v>1073</v>
      </c>
      <c r="L148" s="30">
        <v>1.103506153E9</v>
      </c>
      <c r="M148" s="47" t="s">
        <v>1074</v>
      </c>
      <c r="N148" s="30">
        <v>1.531894391E9</v>
      </c>
      <c r="O148" s="30">
        <v>1.0</v>
      </c>
      <c r="P148" s="30">
        <v>699.0</v>
      </c>
      <c r="Q148" s="30">
        <v>719.52</v>
      </c>
      <c r="R148" s="30"/>
      <c r="S148" s="47" t="b">
        <v>1</v>
      </c>
      <c r="T148" s="47" t="s">
        <v>891</v>
      </c>
      <c r="U148" s="30">
        <v>13.5</v>
      </c>
    </row>
    <row r="149">
      <c r="A149" s="47">
        <v>8.445291929555E12</v>
      </c>
      <c r="B149" s="47" t="s">
        <v>274</v>
      </c>
      <c r="C149" s="47" t="s">
        <v>273</v>
      </c>
      <c r="D149" s="47" t="s">
        <v>272</v>
      </c>
      <c r="E149" s="47" t="s">
        <v>52</v>
      </c>
      <c r="F149" s="30">
        <v>345.0</v>
      </c>
      <c r="G149" s="30">
        <v>345.0</v>
      </c>
      <c r="H149" s="30">
        <v>999.0</v>
      </c>
      <c r="I149" s="47" t="s">
        <v>889</v>
      </c>
      <c r="J149" s="48">
        <v>46159.82902777778</v>
      </c>
      <c r="K149" s="49" t="s">
        <v>1075</v>
      </c>
      <c r="L149" s="30">
        <v>1.065006346E9</v>
      </c>
      <c r="M149" s="47">
        <v>8.445291929555E12</v>
      </c>
      <c r="N149" s="30">
        <v>1.472651791E9</v>
      </c>
      <c r="O149" s="30">
        <v>3.0</v>
      </c>
      <c r="P149" s="30">
        <v>353.59</v>
      </c>
      <c r="Q149" s="30">
        <v>346.85</v>
      </c>
      <c r="R149" s="30">
        <v>345.0</v>
      </c>
      <c r="S149" s="47" t="b">
        <v>1</v>
      </c>
      <c r="T149" s="47" t="s">
        <v>891</v>
      </c>
      <c r="U149" s="30">
        <v>16.5</v>
      </c>
    </row>
    <row r="150">
      <c r="A150" s="47" t="s">
        <v>275</v>
      </c>
      <c r="C150" s="47" t="s">
        <v>276</v>
      </c>
      <c r="D150" s="47" t="s">
        <v>53</v>
      </c>
      <c r="E150" s="47" t="s">
        <v>72</v>
      </c>
      <c r="F150" s="30">
        <v>0.0</v>
      </c>
      <c r="G150" s="30">
        <v>0.0</v>
      </c>
      <c r="H150" s="30">
        <v>0.0</v>
      </c>
      <c r="I150" s="47" t="s">
        <v>899</v>
      </c>
      <c r="J150" s="48">
        <v>46164.63303240741</v>
      </c>
      <c r="K150" s="49" t="s">
        <v>1076</v>
      </c>
      <c r="L150" s="30">
        <v>1.056284855E9</v>
      </c>
      <c r="M150" s="47" t="s">
        <v>1077</v>
      </c>
      <c r="N150" s="30">
        <v>1.461002145E9</v>
      </c>
      <c r="O150" s="30"/>
      <c r="P150" s="30"/>
      <c r="Q150" s="30"/>
      <c r="R150" s="30"/>
      <c r="S150" s="47"/>
      <c r="T150" s="47" t="s">
        <v>901</v>
      </c>
      <c r="U150" s="30">
        <v>12.5</v>
      </c>
    </row>
    <row r="151">
      <c r="A151" s="47" t="s">
        <v>277</v>
      </c>
      <c r="C151" s="47" t="s">
        <v>278</v>
      </c>
      <c r="D151" s="47" t="s">
        <v>53</v>
      </c>
      <c r="E151" s="47" t="s">
        <v>279</v>
      </c>
      <c r="F151" s="30">
        <v>750.0</v>
      </c>
      <c r="G151" s="30">
        <v>750.0</v>
      </c>
      <c r="H151" s="30">
        <v>5.0</v>
      </c>
      <c r="I151" s="47" t="s">
        <v>889</v>
      </c>
      <c r="J151" s="48">
        <v>46159.829039351855</v>
      </c>
      <c r="K151" s="49" t="s">
        <v>1078</v>
      </c>
      <c r="L151" s="30">
        <v>1.047910743E9</v>
      </c>
      <c r="M151" s="47" t="s">
        <v>277</v>
      </c>
      <c r="N151" s="30">
        <v>1.450147738E9</v>
      </c>
      <c r="O151" s="30">
        <v>2.0</v>
      </c>
      <c r="P151" s="30">
        <v>751.46</v>
      </c>
      <c r="Q151" s="30">
        <v>750.0</v>
      </c>
      <c r="R151" s="30">
        <v>751.36</v>
      </c>
      <c r="S151" s="47" t="b">
        <v>1</v>
      </c>
      <c r="T151" s="47" t="s">
        <v>891</v>
      </c>
      <c r="U151" s="30">
        <v>12.5</v>
      </c>
    </row>
    <row r="152">
      <c r="A152" s="47" t="s">
        <v>280</v>
      </c>
      <c r="C152" s="47" t="s">
        <v>281</v>
      </c>
      <c r="D152" s="47" t="s">
        <v>53</v>
      </c>
      <c r="E152" s="47" t="s">
        <v>59</v>
      </c>
      <c r="F152" s="30">
        <v>0.0</v>
      </c>
      <c r="G152" s="30">
        <v>0.0</v>
      </c>
      <c r="H152" s="30">
        <v>0.0</v>
      </c>
      <c r="I152" s="47" t="s">
        <v>899</v>
      </c>
      <c r="J152" s="48">
        <v>46161.63481481482</v>
      </c>
      <c r="K152" s="49" t="s">
        <v>1079</v>
      </c>
      <c r="L152" s="30">
        <v>7.45471045E8</v>
      </c>
      <c r="M152" s="47" t="s">
        <v>1080</v>
      </c>
      <c r="N152" s="30">
        <v>9.81229435E8</v>
      </c>
      <c r="O152" s="30"/>
      <c r="P152" s="30"/>
      <c r="Q152" s="30"/>
      <c r="R152" s="30"/>
      <c r="S152" s="47"/>
      <c r="T152" s="47" t="s">
        <v>901</v>
      </c>
      <c r="U152" s="30">
        <v>12.5</v>
      </c>
    </row>
    <row r="153">
      <c r="A153" s="47">
        <v>7.6130335646424E13</v>
      </c>
      <c r="C153" s="47" t="s">
        <v>282</v>
      </c>
      <c r="D153" s="47" t="s">
        <v>50</v>
      </c>
      <c r="E153" s="47" t="s">
        <v>72</v>
      </c>
      <c r="F153" s="30">
        <v>1799.0</v>
      </c>
      <c r="G153" s="30">
        <v>1799.0</v>
      </c>
      <c r="H153" s="30">
        <v>1.0</v>
      </c>
      <c r="I153" s="47" t="s">
        <v>889</v>
      </c>
      <c r="J153" s="48">
        <v>46159.829039351855</v>
      </c>
      <c r="K153" s="49" t="s">
        <v>1081</v>
      </c>
      <c r="L153" s="30">
        <v>8.77376767E8</v>
      </c>
      <c r="M153" s="47">
        <v>7.6130335646424E13</v>
      </c>
      <c r="N153" s="30">
        <v>1.209217243E9</v>
      </c>
      <c r="O153" s="30">
        <v>28.0</v>
      </c>
      <c r="P153" s="30">
        <v>802.0</v>
      </c>
      <c r="Q153" s="30">
        <v>799.0</v>
      </c>
      <c r="R153" s="30">
        <v>806.99</v>
      </c>
      <c r="S153" s="47" t="b">
        <v>1</v>
      </c>
      <c r="T153" s="47" t="s">
        <v>891</v>
      </c>
      <c r="U153" s="30">
        <v>12.5</v>
      </c>
    </row>
    <row r="154">
      <c r="A154" s="47">
        <v>8.68450194182E12</v>
      </c>
      <c r="B154" s="47" t="s">
        <v>285</v>
      </c>
      <c r="C154" s="47" t="s">
        <v>284</v>
      </c>
      <c r="D154" s="47" t="s">
        <v>283</v>
      </c>
      <c r="E154" s="47" t="s">
        <v>86</v>
      </c>
      <c r="F154" s="30">
        <v>349.99</v>
      </c>
      <c r="G154" s="30">
        <v>349.99</v>
      </c>
      <c r="H154" s="30">
        <v>998.0</v>
      </c>
      <c r="I154" s="47" t="s">
        <v>889</v>
      </c>
      <c r="J154" s="48">
        <v>46159.82902777778</v>
      </c>
      <c r="K154" s="49" t="s">
        <v>1082</v>
      </c>
      <c r="L154" s="30">
        <v>1.09805858E9</v>
      </c>
      <c r="M154" s="47" t="s">
        <v>1083</v>
      </c>
      <c r="N154" s="30">
        <v>1.52382277E9</v>
      </c>
      <c r="O154" s="30">
        <v>1.0</v>
      </c>
      <c r="P154" s="30">
        <v>349.99</v>
      </c>
      <c r="Q154" s="30"/>
      <c r="R154" s="30"/>
      <c r="S154" s="47" t="b">
        <v>0</v>
      </c>
      <c r="T154" s="47" t="s">
        <v>891</v>
      </c>
      <c r="U154" s="30">
        <v>20.0</v>
      </c>
    </row>
    <row r="155">
      <c r="A155" s="47">
        <v>8.684501941813E12</v>
      </c>
      <c r="B155" s="47" t="s">
        <v>287</v>
      </c>
      <c r="C155" s="47" t="s">
        <v>286</v>
      </c>
      <c r="D155" s="47" t="s">
        <v>283</v>
      </c>
      <c r="E155" s="47" t="s">
        <v>86</v>
      </c>
      <c r="F155" s="30">
        <v>349.99</v>
      </c>
      <c r="G155" s="30">
        <v>349.99</v>
      </c>
      <c r="H155" s="30">
        <v>415.0</v>
      </c>
      <c r="I155" s="47" t="s">
        <v>889</v>
      </c>
      <c r="J155" s="48">
        <v>46063.208715277775</v>
      </c>
      <c r="K155" s="49" t="s">
        <v>1084</v>
      </c>
      <c r="L155" s="30">
        <v>1.097874525E9</v>
      </c>
      <c r="M155" s="47" t="s">
        <v>1085</v>
      </c>
      <c r="N155" s="30">
        <v>1.523569824E9</v>
      </c>
      <c r="O155" s="30">
        <v>1.0</v>
      </c>
      <c r="P155" s="30">
        <v>349.99</v>
      </c>
      <c r="Q155" s="30"/>
      <c r="R155" s="30"/>
      <c r="S155" s="47" t="b">
        <v>0</v>
      </c>
      <c r="T155" s="47" t="s">
        <v>891</v>
      </c>
      <c r="U155" s="30">
        <v>20.0</v>
      </c>
    </row>
    <row r="156">
      <c r="A156" s="47">
        <v>8.684501941837E12</v>
      </c>
      <c r="B156" s="47" t="s">
        <v>289</v>
      </c>
      <c r="C156" s="47" t="s">
        <v>288</v>
      </c>
      <c r="D156" s="47" t="s">
        <v>283</v>
      </c>
      <c r="E156" s="47" t="s">
        <v>86</v>
      </c>
      <c r="F156" s="30">
        <v>349.99</v>
      </c>
      <c r="G156" s="30">
        <v>349.99</v>
      </c>
      <c r="H156" s="30">
        <v>371.0</v>
      </c>
      <c r="I156" s="47" t="s">
        <v>889</v>
      </c>
      <c r="J156" s="48">
        <v>46063.24712962963</v>
      </c>
      <c r="K156" s="49" t="s">
        <v>1086</v>
      </c>
      <c r="L156" s="30">
        <v>1.097874523E9</v>
      </c>
      <c r="M156" s="47" t="s">
        <v>1087</v>
      </c>
      <c r="N156" s="30">
        <v>1.523569822E9</v>
      </c>
      <c r="O156" s="30">
        <v>1.0</v>
      </c>
      <c r="P156" s="30">
        <v>349.99</v>
      </c>
      <c r="Q156" s="30"/>
      <c r="R156" s="30"/>
      <c r="S156" s="47" t="b">
        <v>0</v>
      </c>
      <c r="T156" s="47" t="s">
        <v>891</v>
      </c>
      <c r="U156" s="30">
        <v>20.0</v>
      </c>
    </row>
    <row r="157">
      <c r="A157" s="47">
        <v>8.684501941806E12</v>
      </c>
      <c r="B157" s="47" t="s">
        <v>291</v>
      </c>
      <c r="C157" s="47" t="s">
        <v>290</v>
      </c>
      <c r="D157" s="47" t="s">
        <v>283</v>
      </c>
      <c r="E157" s="47" t="s">
        <v>86</v>
      </c>
      <c r="F157" s="30">
        <v>349.99</v>
      </c>
      <c r="G157" s="30">
        <v>349.99</v>
      </c>
      <c r="H157" s="30">
        <v>420.0</v>
      </c>
      <c r="I157" s="47" t="s">
        <v>889</v>
      </c>
      <c r="J157" s="48">
        <v>46063.20722222222</v>
      </c>
      <c r="K157" s="49" t="s">
        <v>1088</v>
      </c>
      <c r="L157" s="30">
        <v>1.097874526E9</v>
      </c>
      <c r="M157" s="47" t="s">
        <v>291</v>
      </c>
      <c r="N157" s="30">
        <v>1.523569825E9</v>
      </c>
      <c r="O157" s="30">
        <v>1.0</v>
      </c>
      <c r="P157" s="30">
        <v>349.99</v>
      </c>
      <c r="Q157" s="30"/>
      <c r="R157" s="30"/>
      <c r="S157" s="47" t="b">
        <v>0</v>
      </c>
      <c r="T157" s="47" t="s">
        <v>891</v>
      </c>
      <c r="U157" s="30">
        <v>20.0</v>
      </c>
    </row>
    <row r="158">
      <c r="A158" s="47">
        <v>8.681002995109E12</v>
      </c>
      <c r="C158" s="47" t="s">
        <v>292</v>
      </c>
      <c r="D158" s="47" t="s">
        <v>121</v>
      </c>
      <c r="E158" s="47" t="s">
        <v>52</v>
      </c>
      <c r="F158" s="30">
        <v>999.0</v>
      </c>
      <c r="G158" s="30">
        <v>999.0</v>
      </c>
      <c r="H158" s="30">
        <v>999.0</v>
      </c>
      <c r="I158" s="47" t="s">
        <v>889</v>
      </c>
      <c r="J158" s="48">
        <v>46079.52234953704</v>
      </c>
      <c r="K158" s="49" t="s">
        <v>1089</v>
      </c>
      <c r="L158" s="30">
        <v>8.45029088E8</v>
      </c>
      <c r="M158" s="47" t="s">
        <v>796</v>
      </c>
      <c r="N158" s="30">
        <v>1.137801305E9</v>
      </c>
      <c r="O158" s="30">
        <v>12.0</v>
      </c>
      <c r="P158" s="30">
        <v>579.0</v>
      </c>
      <c r="Q158" s="30">
        <v>580.0</v>
      </c>
      <c r="R158" s="30">
        <v>699.0</v>
      </c>
      <c r="S158" s="47" t="b">
        <v>1</v>
      </c>
      <c r="T158" s="47" t="s">
        <v>891</v>
      </c>
      <c r="U158" s="30">
        <v>13.5</v>
      </c>
    </row>
    <row r="159">
      <c r="A159" s="47" t="s">
        <v>293</v>
      </c>
      <c r="C159" s="47" t="s">
        <v>294</v>
      </c>
      <c r="D159" s="47" t="s">
        <v>137</v>
      </c>
      <c r="E159" s="47" t="s">
        <v>52</v>
      </c>
      <c r="F159" s="30">
        <v>588.0</v>
      </c>
      <c r="G159" s="30">
        <v>588.0</v>
      </c>
      <c r="H159" s="30">
        <v>47.0</v>
      </c>
      <c r="I159" s="47" t="s">
        <v>889</v>
      </c>
      <c r="J159" s="48">
        <v>46159.829039351855</v>
      </c>
      <c r="K159" s="49" t="s">
        <v>1090</v>
      </c>
      <c r="L159" s="30">
        <v>6.60651844E8</v>
      </c>
      <c r="M159" s="47" t="s">
        <v>1091</v>
      </c>
      <c r="N159" s="30">
        <v>8.7385991E8</v>
      </c>
      <c r="O159" s="30">
        <v>1.0</v>
      </c>
      <c r="P159" s="30">
        <v>588.0</v>
      </c>
      <c r="Q159" s="30">
        <v>1099.0</v>
      </c>
      <c r="R159" s="30"/>
      <c r="S159" s="47" t="b">
        <v>1</v>
      </c>
      <c r="T159" s="47" t="s">
        <v>891</v>
      </c>
      <c r="U159" s="30">
        <v>13.5</v>
      </c>
    </row>
    <row r="160">
      <c r="A160" s="47">
        <v>7.61328747711E11</v>
      </c>
      <c r="C160" s="47" t="s">
        <v>295</v>
      </c>
      <c r="D160" s="47" t="s">
        <v>137</v>
      </c>
      <c r="E160" s="47" t="s">
        <v>52</v>
      </c>
      <c r="F160" s="30">
        <v>1175.0</v>
      </c>
      <c r="G160" s="30">
        <v>1175.0</v>
      </c>
      <c r="H160" s="30">
        <v>10.0</v>
      </c>
      <c r="I160" s="47" t="s">
        <v>889</v>
      </c>
      <c r="J160" s="48">
        <v>46159.829039351855</v>
      </c>
      <c r="K160" s="49" t="s">
        <v>1092</v>
      </c>
      <c r="L160" s="30">
        <v>7.86564743E8</v>
      </c>
      <c r="M160" s="47">
        <v>7.61328747711E11</v>
      </c>
      <c r="N160" s="30">
        <v>1.043299453E9</v>
      </c>
      <c r="O160" s="30">
        <v>3.0</v>
      </c>
      <c r="P160" s="30">
        <v>1090.95</v>
      </c>
      <c r="Q160" s="30">
        <v>1080.0</v>
      </c>
      <c r="R160" s="30">
        <v>1175.0</v>
      </c>
      <c r="S160" s="47" t="b">
        <v>1</v>
      </c>
      <c r="T160" s="47" t="s">
        <v>891</v>
      </c>
      <c r="U160" s="30">
        <v>13.5</v>
      </c>
    </row>
    <row r="161">
      <c r="A161" s="47">
        <v>6.923632570006E12</v>
      </c>
      <c r="B161" s="47" t="s">
        <v>298</v>
      </c>
      <c r="C161" s="47" t="s">
        <v>297</v>
      </c>
      <c r="D161" s="47" t="s">
        <v>296</v>
      </c>
      <c r="E161" s="47" t="s">
        <v>299</v>
      </c>
      <c r="F161" s="30">
        <v>474.0</v>
      </c>
      <c r="G161" s="30">
        <v>474.0</v>
      </c>
      <c r="H161" s="30">
        <v>0.0</v>
      </c>
      <c r="I161" s="47" t="s">
        <v>899</v>
      </c>
      <c r="J161" s="48">
        <v>46159.829039351855</v>
      </c>
      <c r="K161" s="49" t="s">
        <v>1093</v>
      </c>
      <c r="L161" s="30">
        <v>1.092420128E9</v>
      </c>
      <c r="M161" s="47" t="s">
        <v>855</v>
      </c>
      <c r="N161" s="30">
        <v>1.513272201E9</v>
      </c>
      <c r="O161" s="30"/>
      <c r="P161" s="30"/>
      <c r="Q161" s="30"/>
      <c r="R161" s="30"/>
      <c r="S161" s="47"/>
      <c r="T161" s="47" t="s">
        <v>901</v>
      </c>
      <c r="U161" s="30">
        <v>20.0</v>
      </c>
    </row>
    <row r="162">
      <c r="A162" s="47">
        <v>6.923632570004E12</v>
      </c>
      <c r="B162" s="47" t="s">
        <v>300</v>
      </c>
      <c r="C162" s="47" t="s">
        <v>297</v>
      </c>
      <c r="D162" s="47" t="s">
        <v>296</v>
      </c>
      <c r="E162" s="47" t="s">
        <v>299</v>
      </c>
      <c r="F162" s="30">
        <v>489.0</v>
      </c>
      <c r="G162" s="30">
        <v>489.0</v>
      </c>
      <c r="H162" s="30">
        <v>30.0</v>
      </c>
      <c r="I162" s="47" t="s">
        <v>889</v>
      </c>
      <c r="J162" s="48">
        <v>46159.82902777778</v>
      </c>
      <c r="K162" s="49" t="s">
        <v>1094</v>
      </c>
      <c r="L162" s="30">
        <v>1.092420126E9</v>
      </c>
      <c r="M162" s="47" t="s">
        <v>855</v>
      </c>
      <c r="N162" s="30">
        <v>1.513272192E9</v>
      </c>
      <c r="O162" s="30">
        <v>1.0</v>
      </c>
      <c r="P162" s="30">
        <v>489.0</v>
      </c>
      <c r="S162" s="47" t="b">
        <v>0</v>
      </c>
      <c r="T162" s="47" t="s">
        <v>891</v>
      </c>
      <c r="U162" s="30">
        <v>20.0</v>
      </c>
    </row>
    <row r="163">
      <c r="A163" s="47">
        <v>6.923632570005E12</v>
      </c>
      <c r="B163" s="47" t="s">
        <v>301</v>
      </c>
      <c r="C163" s="47" t="s">
        <v>297</v>
      </c>
      <c r="D163" s="47" t="s">
        <v>296</v>
      </c>
      <c r="E163" s="47" t="s">
        <v>299</v>
      </c>
      <c r="F163" s="30">
        <v>472.0</v>
      </c>
      <c r="G163" s="30">
        <v>472.0</v>
      </c>
      <c r="H163" s="30">
        <v>49.0</v>
      </c>
      <c r="I163" s="47" t="s">
        <v>889</v>
      </c>
      <c r="J163" s="48">
        <v>46063.21690972222</v>
      </c>
      <c r="K163" s="49" t="s">
        <v>1095</v>
      </c>
      <c r="L163" s="30">
        <v>1.092420127E9</v>
      </c>
      <c r="M163" s="47" t="s">
        <v>855</v>
      </c>
      <c r="N163" s="30">
        <v>1.513272199E9</v>
      </c>
      <c r="O163" s="30">
        <v>1.0</v>
      </c>
      <c r="P163" s="30">
        <v>472.0</v>
      </c>
      <c r="Q163" s="30"/>
      <c r="R163" s="30"/>
      <c r="S163" s="47" t="b">
        <v>0</v>
      </c>
      <c r="T163" s="47" t="s">
        <v>891</v>
      </c>
      <c r="U163" s="30">
        <v>20.0</v>
      </c>
    </row>
    <row r="164">
      <c r="A164" s="47" t="s">
        <v>302</v>
      </c>
      <c r="C164" s="47" t="s">
        <v>304</v>
      </c>
      <c r="D164" s="47" t="s">
        <v>303</v>
      </c>
      <c r="E164" s="47" t="s">
        <v>131</v>
      </c>
      <c r="F164" s="30">
        <v>545.0</v>
      </c>
      <c r="G164" s="30">
        <v>545.0</v>
      </c>
      <c r="H164" s="30">
        <v>97.0</v>
      </c>
      <c r="I164" s="47" t="s">
        <v>889</v>
      </c>
      <c r="J164" s="48">
        <v>46079.50925925926</v>
      </c>
      <c r="K164" s="49" t="s">
        <v>1096</v>
      </c>
      <c r="L164" s="30">
        <v>7.49697695E8</v>
      </c>
      <c r="M164" s="47" t="s">
        <v>741</v>
      </c>
      <c r="N164" s="30">
        <v>9.87148369E8</v>
      </c>
      <c r="O164" s="30">
        <v>14.0</v>
      </c>
      <c r="P164" s="30">
        <v>468.0</v>
      </c>
      <c r="Q164" s="30">
        <v>468.0</v>
      </c>
      <c r="R164" s="30">
        <v>460.0</v>
      </c>
      <c r="S164" s="47" t="b">
        <v>1</v>
      </c>
      <c r="T164" s="47" t="s">
        <v>891</v>
      </c>
      <c r="U164" s="30">
        <v>12.5</v>
      </c>
    </row>
    <row r="165">
      <c r="A165" s="47">
        <v>6.923632570121E12</v>
      </c>
      <c r="B165" s="47" t="s">
        <v>306</v>
      </c>
      <c r="C165" s="47" t="s">
        <v>305</v>
      </c>
      <c r="D165" s="47" t="s">
        <v>296</v>
      </c>
      <c r="E165" s="47" t="s">
        <v>299</v>
      </c>
      <c r="F165" s="30">
        <v>852.0</v>
      </c>
      <c r="G165" s="30">
        <v>852.0</v>
      </c>
      <c r="H165" s="30">
        <v>45.0</v>
      </c>
      <c r="I165" s="47" t="s">
        <v>889</v>
      </c>
      <c r="J165" s="48">
        <v>46063.07649305555</v>
      </c>
      <c r="K165" s="49" t="s">
        <v>1097</v>
      </c>
      <c r="L165" s="30">
        <v>1.092392532E9</v>
      </c>
      <c r="M165" s="47" t="s">
        <v>557</v>
      </c>
      <c r="N165" s="30">
        <v>1.513235881E9</v>
      </c>
      <c r="O165" s="30">
        <v>1.0</v>
      </c>
      <c r="P165" s="30">
        <v>852.0</v>
      </c>
      <c r="Q165" s="30"/>
      <c r="R165" s="30"/>
      <c r="S165" s="47" t="b">
        <v>0</v>
      </c>
      <c r="T165" s="47" t="s">
        <v>891</v>
      </c>
      <c r="U165" s="30">
        <v>20.0</v>
      </c>
    </row>
    <row r="166">
      <c r="A166" s="47">
        <v>6.927749871859E12</v>
      </c>
      <c r="C166" s="47" t="s">
        <v>307</v>
      </c>
      <c r="D166" s="47" t="s">
        <v>303</v>
      </c>
      <c r="E166" s="47" t="s">
        <v>131</v>
      </c>
      <c r="F166" s="30">
        <v>720.0</v>
      </c>
      <c r="G166" s="30">
        <v>720.0</v>
      </c>
      <c r="H166" s="30">
        <v>99.0</v>
      </c>
      <c r="I166" s="47" t="s">
        <v>889</v>
      </c>
      <c r="J166" s="48">
        <v>46159.82902777778</v>
      </c>
      <c r="K166" s="49" t="s">
        <v>1098</v>
      </c>
      <c r="L166" s="30">
        <v>8.7989291E8</v>
      </c>
      <c r="M166" s="47">
        <v>6.927749871859E12</v>
      </c>
      <c r="N166" s="30">
        <v>1.216851232E9</v>
      </c>
      <c r="O166" s="30">
        <v>27.0</v>
      </c>
      <c r="P166" s="30">
        <v>549.0</v>
      </c>
      <c r="Q166" s="30">
        <v>558.16</v>
      </c>
      <c r="R166" s="30">
        <v>558.16</v>
      </c>
      <c r="S166" s="47" t="b">
        <v>1</v>
      </c>
      <c r="T166" s="47" t="s">
        <v>891</v>
      </c>
      <c r="U166" s="30">
        <v>12.5</v>
      </c>
    </row>
    <row r="167">
      <c r="A167" s="47">
        <v>6.927749871187E12</v>
      </c>
      <c r="C167" s="47" t="s">
        <v>308</v>
      </c>
      <c r="D167" s="47" t="s">
        <v>303</v>
      </c>
      <c r="E167" s="47" t="s">
        <v>131</v>
      </c>
      <c r="F167" s="30">
        <v>425.0</v>
      </c>
      <c r="G167" s="30">
        <v>425.0</v>
      </c>
      <c r="H167" s="30">
        <v>92.0</v>
      </c>
      <c r="I167" s="47" t="s">
        <v>889</v>
      </c>
      <c r="J167" s="48">
        <v>46063.12768518519</v>
      </c>
      <c r="K167" s="49" t="s">
        <v>1099</v>
      </c>
      <c r="L167" s="30">
        <v>4.9666085E7</v>
      </c>
      <c r="M167" s="47" t="s">
        <v>760</v>
      </c>
      <c r="N167" s="30">
        <v>8.8026366E7</v>
      </c>
      <c r="O167" s="30">
        <v>19.0</v>
      </c>
      <c r="P167" s="30">
        <v>324.9</v>
      </c>
      <c r="Q167" s="30">
        <v>333.06</v>
      </c>
      <c r="R167" s="30">
        <v>309.89</v>
      </c>
      <c r="S167" s="47" t="b">
        <v>1</v>
      </c>
      <c r="T167" s="47" t="s">
        <v>891</v>
      </c>
      <c r="U167" s="30">
        <v>12.5</v>
      </c>
    </row>
    <row r="168">
      <c r="A168" s="47" t="s">
        <v>309</v>
      </c>
      <c r="C168" s="47" t="s">
        <v>308</v>
      </c>
      <c r="D168" s="47" t="s">
        <v>303</v>
      </c>
      <c r="E168" s="47" t="s">
        <v>131</v>
      </c>
      <c r="F168" s="30">
        <v>450.0</v>
      </c>
      <c r="G168" s="30">
        <v>450.0</v>
      </c>
      <c r="H168" s="30">
        <v>99.0</v>
      </c>
      <c r="I168" s="47" t="s">
        <v>889</v>
      </c>
      <c r="J168" s="48">
        <v>46063.10539351852</v>
      </c>
      <c r="K168" s="49" t="s">
        <v>1100</v>
      </c>
      <c r="L168" s="30">
        <v>3.36296981E8</v>
      </c>
      <c r="M168" s="47" t="s">
        <v>836</v>
      </c>
      <c r="N168" s="30">
        <v>5.36264685E8</v>
      </c>
      <c r="O168" s="30">
        <v>23.0</v>
      </c>
      <c r="P168" s="30">
        <v>333.85</v>
      </c>
      <c r="Q168" s="30">
        <v>331.65</v>
      </c>
      <c r="R168" s="30">
        <v>359.0</v>
      </c>
      <c r="S168" s="47" t="b">
        <v>1</v>
      </c>
      <c r="T168" s="47" t="s">
        <v>891</v>
      </c>
      <c r="U168" s="30">
        <v>12.5</v>
      </c>
    </row>
    <row r="169">
      <c r="A169" s="47" t="s">
        <v>310</v>
      </c>
      <c r="C169" s="47" t="s">
        <v>311</v>
      </c>
      <c r="D169" s="47" t="s">
        <v>303</v>
      </c>
      <c r="E169" s="47" t="s">
        <v>131</v>
      </c>
      <c r="F169" s="30">
        <v>490.0</v>
      </c>
      <c r="G169" s="30">
        <v>490.0</v>
      </c>
      <c r="H169" s="30">
        <v>98.0</v>
      </c>
      <c r="I169" s="47" t="s">
        <v>889</v>
      </c>
      <c r="J169" s="48">
        <v>46159.82902777778</v>
      </c>
      <c r="K169" s="49" t="s">
        <v>1101</v>
      </c>
      <c r="L169" s="30">
        <v>7.39411311E8</v>
      </c>
      <c r="M169" s="47" t="s">
        <v>773</v>
      </c>
      <c r="N169" s="30">
        <v>9.72707349E8</v>
      </c>
      <c r="O169" s="30">
        <v>17.0</v>
      </c>
      <c r="P169" s="30">
        <v>333.1</v>
      </c>
      <c r="Q169" s="30">
        <v>383.0</v>
      </c>
      <c r="R169" s="30">
        <v>400.0</v>
      </c>
      <c r="S169" s="47" t="b">
        <v>1</v>
      </c>
      <c r="T169" s="47" t="s">
        <v>891</v>
      </c>
      <c r="U169" s="30">
        <v>12.5</v>
      </c>
    </row>
    <row r="170">
      <c r="A170" s="47">
        <v>1.44586800733348E15</v>
      </c>
      <c r="C170" s="47" t="s">
        <v>312</v>
      </c>
      <c r="D170" s="47" t="s">
        <v>303</v>
      </c>
      <c r="E170" s="47" t="s">
        <v>131</v>
      </c>
      <c r="F170" s="30">
        <v>1350.0</v>
      </c>
      <c r="G170" s="30">
        <v>1350.0</v>
      </c>
      <c r="H170" s="30">
        <v>100.0</v>
      </c>
      <c r="I170" s="47" t="s">
        <v>889</v>
      </c>
      <c r="J170" s="48">
        <v>46159.829050925924</v>
      </c>
      <c r="K170" s="49" t="s">
        <v>1102</v>
      </c>
      <c r="L170" s="30">
        <v>2.06247674E8</v>
      </c>
      <c r="M170" s="47" t="s">
        <v>745</v>
      </c>
      <c r="N170" s="30">
        <v>3.36238203E8</v>
      </c>
      <c r="O170" s="30">
        <v>13.0</v>
      </c>
      <c r="P170" s="30">
        <v>1032.9</v>
      </c>
      <c r="Q170" s="30">
        <v>1034.9</v>
      </c>
      <c r="R170" s="30">
        <v>1008.85</v>
      </c>
      <c r="S170" s="47" t="b">
        <v>1</v>
      </c>
      <c r="T170" s="47" t="s">
        <v>891</v>
      </c>
      <c r="U170" s="30">
        <v>12.5</v>
      </c>
    </row>
    <row r="171">
      <c r="A171" s="47" t="s">
        <v>313</v>
      </c>
      <c r="C171" s="47" t="s">
        <v>314</v>
      </c>
      <c r="D171" s="47" t="s">
        <v>303</v>
      </c>
      <c r="E171" s="47" t="s">
        <v>131</v>
      </c>
      <c r="F171" s="30">
        <v>355.0</v>
      </c>
      <c r="G171" s="30">
        <v>355.0</v>
      </c>
      <c r="H171" s="30">
        <v>7.0</v>
      </c>
      <c r="I171" s="47" t="s">
        <v>889</v>
      </c>
      <c r="J171" s="48">
        <v>46159.82902777778</v>
      </c>
      <c r="K171" s="49" t="s">
        <v>1103</v>
      </c>
      <c r="L171" s="30">
        <v>6.74505478E8</v>
      </c>
      <c r="M171" s="47" t="s">
        <v>792</v>
      </c>
      <c r="N171" s="30">
        <v>8.92304401E8</v>
      </c>
      <c r="O171" s="30">
        <v>19.0</v>
      </c>
      <c r="P171" s="30">
        <v>256.2</v>
      </c>
      <c r="Q171" s="30">
        <v>255.99</v>
      </c>
      <c r="R171" s="30">
        <v>258.0</v>
      </c>
      <c r="S171" s="47" t="b">
        <v>1</v>
      </c>
      <c r="T171" s="47" t="s">
        <v>891</v>
      </c>
      <c r="U171" s="30">
        <v>12.5</v>
      </c>
    </row>
    <row r="172">
      <c r="A172" s="47">
        <v>2.05482668168001E14</v>
      </c>
      <c r="C172" s="47" t="s">
        <v>315</v>
      </c>
      <c r="D172" s="47" t="s">
        <v>303</v>
      </c>
      <c r="E172" s="47" t="s">
        <v>131</v>
      </c>
      <c r="F172" s="30">
        <v>975.0</v>
      </c>
      <c r="G172" s="30">
        <v>975.0</v>
      </c>
      <c r="H172" s="30">
        <v>10.0</v>
      </c>
      <c r="I172" s="47" t="s">
        <v>889</v>
      </c>
      <c r="J172" s="48">
        <v>46159.829039351855</v>
      </c>
      <c r="K172" s="49" t="s">
        <v>1104</v>
      </c>
      <c r="L172" s="30">
        <v>6.52260881E8</v>
      </c>
      <c r="M172" s="47" t="s">
        <v>805</v>
      </c>
      <c r="N172" s="30">
        <v>8.61956077E8</v>
      </c>
      <c r="O172" s="30">
        <v>24.0</v>
      </c>
      <c r="P172" s="30">
        <v>640.0</v>
      </c>
      <c r="Q172" s="30">
        <v>648.0</v>
      </c>
      <c r="R172" s="30">
        <v>648.0</v>
      </c>
      <c r="S172" s="47" t="b">
        <v>1</v>
      </c>
      <c r="T172" s="47" t="s">
        <v>891</v>
      </c>
      <c r="U172" s="30">
        <v>12.5</v>
      </c>
    </row>
    <row r="173">
      <c r="A173" s="47" t="s">
        <v>316</v>
      </c>
      <c r="C173" s="47" t="s">
        <v>317</v>
      </c>
      <c r="D173" s="47" t="s">
        <v>303</v>
      </c>
      <c r="E173" s="47" t="s">
        <v>131</v>
      </c>
      <c r="F173" s="30">
        <v>578.0</v>
      </c>
      <c r="G173" s="30">
        <v>578.0</v>
      </c>
      <c r="H173" s="30">
        <v>77.0</v>
      </c>
      <c r="I173" s="47" t="s">
        <v>889</v>
      </c>
      <c r="J173" s="48">
        <v>46159.829039351855</v>
      </c>
      <c r="K173" s="49" t="s">
        <v>1105</v>
      </c>
      <c r="L173" s="30">
        <v>7.80625667E8</v>
      </c>
      <c r="M173" s="47" t="s">
        <v>755</v>
      </c>
      <c r="N173" s="30">
        <v>1.034206884E9</v>
      </c>
      <c r="O173" s="30">
        <v>10.0</v>
      </c>
      <c r="P173" s="30">
        <v>486.9</v>
      </c>
      <c r="Q173" s="30">
        <v>487.5</v>
      </c>
      <c r="R173" s="30">
        <v>494.5</v>
      </c>
      <c r="S173" s="47" t="b">
        <v>1</v>
      </c>
      <c r="T173" s="47" t="s">
        <v>891</v>
      </c>
      <c r="U173" s="30">
        <v>12.5</v>
      </c>
    </row>
    <row r="174">
      <c r="A174" s="47" t="s">
        <v>318</v>
      </c>
      <c r="C174" s="47" t="s">
        <v>319</v>
      </c>
      <c r="D174" s="47" t="s">
        <v>303</v>
      </c>
      <c r="E174" s="47" t="s">
        <v>131</v>
      </c>
      <c r="F174" s="30">
        <v>200.0</v>
      </c>
      <c r="G174" s="30">
        <v>200.0</v>
      </c>
      <c r="H174" s="30">
        <v>950.0</v>
      </c>
      <c r="I174" s="47" t="s">
        <v>889</v>
      </c>
      <c r="J174" s="48">
        <v>46079.50083333333</v>
      </c>
      <c r="K174" s="49" t="s">
        <v>1106</v>
      </c>
      <c r="L174" s="30">
        <v>7.4589141E8</v>
      </c>
      <c r="M174" s="47" t="s">
        <v>753</v>
      </c>
      <c r="N174" s="30">
        <v>9.81850326E8</v>
      </c>
      <c r="O174" s="30">
        <v>16.0</v>
      </c>
      <c r="P174" s="30">
        <v>116.08</v>
      </c>
      <c r="Q174" s="30">
        <v>134.9</v>
      </c>
      <c r="R174" s="30">
        <v>137.0</v>
      </c>
      <c r="S174" s="47" t="b">
        <v>1</v>
      </c>
      <c r="T174" s="47" t="s">
        <v>891</v>
      </c>
      <c r="U174" s="30">
        <v>12.5</v>
      </c>
    </row>
    <row r="175">
      <c r="A175" s="47">
        <v>5.2742025223E10</v>
      </c>
      <c r="C175" s="47" t="s">
        <v>321</v>
      </c>
      <c r="D175" s="47" t="s">
        <v>320</v>
      </c>
      <c r="E175" s="47" t="s">
        <v>59</v>
      </c>
      <c r="F175" s="30">
        <v>1750.0</v>
      </c>
      <c r="G175" s="30">
        <v>1750.0</v>
      </c>
      <c r="H175" s="30">
        <v>100.0</v>
      </c>
      <c r="I175" s="47" t="s">
        <v>889</v>
      </c>
      <c r="J175" s="48">
        <v>46063.23224537037</v>
      </c>
      <c r="K175" s="49" t="s">
        <v>1107</v>
      </c>
      <c r="L175" s="30">
        <v>3.4406522E7</v>
      </c>
      <c r="M175" s="47">
        <v>5.2742025223E10</v>
      </c>
      <c r="N175" s="30">
        <v>6.1560555E7</v>
      </c>
      <c r="O175" s="30">
        <v>7.0</v>
      </c>
      <c r="P175" s="30">
        <v>1474.6</v>
      </c>
      <c r="Q175" s="30">
        <v>1473.0</v>
      </c>
      <c r="R175" s="30">
        <v>1500.0</v>
      </c>
      <c r="S175" s="47" t="b">
        <v>1</v>
      </c>
      <c r="T175" s="47" t="s">
        <v>891</v>
      </c>
      <c r="U175" s="30">
        <v>16.5</v>
      </c>
    </row>
    <row r="176">
      <c r="A176" s="47" t="s">
        <v>322</v>
      </c>
      <c r="C176" s="47" t="s">
        <v>323</v>
      </c>
      <c r="D176" s="47" t="s">
        <v>229</v>
      </c>
      <c r="E176" s="47" t="s">
        <v>72</v>
      </c>
      <c r="F176" s="30">
        <v>5500.0</v>
      </c>
      <c r="G176" s="30">
        <v>5500.0</v>
      </c>
      <c r="H176" s="30">
        <v>100.0</v>
      </c>
      <c r="I176" s="47" t="s">
        <v>889</v>
      </c>
      <c r="J176" s="48">
        <v>46063.01660879629</v>
      </c>
      <c r="K176" s="49" t="s">
        <v>1108</v>
      </c>
      <c r="L176" s="30">
        <v>8.50249059E8</v>
      </c>
      <c r="M176" s="47" t="s">
        <v>844</v>
      </c>
      <c r="N176" s="30">
        <v>1.147226111E9</v>
      </c>
      <c r="O176" s="30">
        <v>19.0</v>
      </c>
      <c r="P176" s="30">
        <v>4399.72</v>
      </c>
      <c r="Q176" s="30">
        <v>4391.72</v>
      </c>
      <c r="R176" s="30">
        <v>4396.72</v>
      </c>
      <c r="S176" s="47" t="b">
        <v>1</v>
      </c>
      <c r="T176" s="47" t="s">
        <v>891</v>
      </c>
      <c r="U176" s="30">
        <v>12.5</v>
      </c>
    </row>
    <row r="177">
      <c r="A177" s="47">
        <v>5.2742071381E10</v>
      </c>
      <c r="C177" s="47" t="s">
        <v>324</v>
      </c>
      <c r="D177" s="47" t="s">
        <v>229</v>
      </c>
      <c r="E177" s="47" t="s">
        <v>72</v>
      </c>
      <c r="F177" s="30">
        <v>1600.0</v>
      </c>
      <c r="G177" s="30">
        <v>1600.0</v>
      </c>
      <c r="H177" s="30">
        <v>7.0</v>
      </c>
      <c r="I177" s="47" t="s">
        <v>889</v>
      </c>
      <c r="J177" s="48">
        <v>46159.829039351855</v>
      </c>
      <c r="K177" s="49" t="s">
        <v>1109</v>
      </c>
      <c r="L177" s="30">
        <v>8.6414744E8</v>
      </c>
      <c r="M177" s="47" t="s">
        <v>757</v>
      </c>
      <c r="N177" s="30">
        <v>1.171594584E9</v>
      </c>
      <c r="O177" s="30">
        <v>4.0</v>
      </c>
      <c r="P177" s="30">
        <v>1557.06</v>
      </c>
      <c r="Q177" s="30">
        <v>1549.0</v>
      </c>
      <c r="R177" s="30">
        <v>1559.0</v>
      </c>
      <c r="S177" s="47" t="b">
        <v>1</v>
      </c>
      <c r="T177" s="47" t="s">
        <v>891</v>
      </c>
      <c r="U177" s="30">
        <v>12.5</v>
      </c>
    </row>
    <row r="178">
      <c r="A178" s="47">
        <v>5.2742059655E10</v>
      </c>
      <c r="C178" s="47" t="s">
        <v>325</v>
      </c>
      <c r="D178" s="47" t="s">
        <v>229</v>
      </c>
      <c r="E178" s="47" t="s">
        <v>72</v>
      </c>
      <c r="F178" s="30">
        <v>925.0</v>
      </c>
      <c r="G178" s="30">
        <v>925.0</v>
      </c>
      <c r="H178" s="30">
        <v>100.0</v>
      </c>
      <c r="I178" s="47" t="s">
        <v>889</v>
      </c>
      <c r="J178" s="48">
        <v>46159.829039351855</v>
      </c>
      <c r="K178" s="49" t="s">
        <v>1110</v>
      </c>
      <c r="L178" s="30">
        <v>3.3696842E7</v>
      </c>
      <c r="M178" s="47">
        <v>5.2742022802E10</v>
      </c>
      <c r="N178" s="30">
        <v>6.0432419E7</v>
      </c>
      <c r="O178" s="30">
        <v>3.0</v>
      </c>
      <c r="P178" s="30">
        <v>846.55</v>
      </c>
      <c r="Q178" s="30">
        <v>847.05</v>
      </c>
      <c r="R178" s="30">
        <v>925.0</v>
      </c>
      <c r="S178" s="47" t="b">
        <v>1</v>
      </c>
      <c r="T178" s="47" t="s">
        <v>891</v>
      </c>
      <c r="U178" s="30">
        <v>12.5</v>
      </c>
    </row>
    <row r="179">
      <c r="A179" s="47">
        <v>5.2742059525E10</v>
      </c>
      <c r="C179" s="47" t="s">
        <v>326</v>
      </c>
      <c r="D179" s="47" t="s">
        <v>229</v>
      </c>
      <c r="E179" s="47" t="s">
        <v>72</v>
      </c>
      <c r="F179" s="30">
        <v>1500.0</v>
      </c>
      <c r="G179" s="30">
        <v>1500.0</v>
      </c>
      <c r="H179" s="30">
        <v>0.0</v>
      </c>
      <c r="I179" s="47" t="s">
        <v>899</v>
      </c>
      <c r="J179" s="48">
        <v>46159.82902777778</v>
      </c>
      <c r="K179" s="49" t="s">
        <v>1111</v>
      </c>
      <c r="L179" s="30">
        <v>7.12512628E8</v>
      </c>
      <c r="M179" s="47" t="s">
        <v>827</v>
      </c>
      <c r="N179" s="30">
        <v>9.40415472E8</v>
      </c>
      <c r="T179" s="47" t="s">
        <v>901</v>
      </c>
      <c r="U179" s="30">
        <v>12.5</v>
      </c>
    </row>
    <row r="180">
      <c r="A180" s="47">
        <v>5.2742059617E10</v>
      </c>
      <c r="C180" s="47" t="s">
        <v>327</v>
      </c>
      <c r="D180" s="47" t="s">
        <v>229</v>
      </c>
      <c r="E180" s="47" t="s">
        <v>72</v>
      </c>
      <c r="F180" s="30">
        <v>1299.0</v>
      </c>
      <c r="G180" s="30">
        <v>1299.0</v>
      </c>
      <c r="H180" s="30">
        <v>10.0</v>
      </c>
      <c r="I180" s="47" t="s">
        <v>889</v>
      </c>
      <c r="J180" s="48">
        <v>46159.82902777778</v>
      </c>
      <c r="K180" s="49" t="s">
        <v>1112</v>
      </c>
      <c r="L180" s="30">
        <v>8.77160934E8</v>
      </c>
      <c r="M180" s="47">
        <v>3.30100275E8</v>
      </c>
      <c r="N180" s="30">
        <v>1.208681477E9</v>
      </c>
      <c r="O180" s="30">
        <v>4.0</v>
      </c>
      <c r="P180" s="30">
        <v>1059.0</v>
      </c>
      <c r="Q180" s="30">
        <v>1088.73</v>
      </c>
      <c r="R180" s="30">
        <v>1200.0</v>
      </c>
      <c r="S180" s="47" t="b">
        <v>1</v>
      </c>
      <c r="T180" s="47" t="s">
        <v>891</v>
      </c>
      <c r="U180" s="30">
        <v>12.5</v>
      </c>
    </row>
    <row r="181">
      <c r="A181" s="47">
        <v>5.274203597E10</v>
      </c>
      <c r="C181" s="47" t="s">
        <v>328</v>
      </c>
      <c r="D181" s="47" t="s">
        <v>229</v>
      </c>
      <c r="E181" s="47" t="s">
        <v>72</v>
      </c>
      <c r="F181" s="30">
        <v>1500.0</v>
      </c>
      <c r="G181" s="30">
        <v>1500.0</v>
      </c>
      <c r="H181" s="30">
        <v>10.0</v>
      </c>
      <c r="I181" s="47" t="s">
        <v>889</v>
      </c>
      <c r="J181" s="48">
        <v>46063.194386574076</v>
      </c>
      <c r="K181" s="49" t="s">
        <v>1113</v>
      </c>
      <c r="L181" s="30">
        <v>5.1856548E7</v>
      </c>
      <c r="M181" s="47" t="s">
        <v>833</v>
      </c>
      <c r="N181" s="30">
        <v>9.1943254E7</v>
      </c>
      <c r="O181" s="30">
        <v>15.0</v>
      </c>
      <c r="P181" s="30">
        <v>1070.0</v>
      </c>
      <c r="Q181" s="30">
        <v>1130.0</v>
      </c>
      <c r="R181" s="30">
        <v>1165.0</v>
      </c>
      <c r="S181" s="47" t="b">
        <v>1</v>
      </c>
      <c r="T181" s="47" t="s">
        <v>891</v>
      </c>
      <c r="U181" s="30">
        <v>12.5</v>
      </c>
    </row>
    <row r="182">
      <c r="A182" s="47">
        <v>5.2742023724E10</v>
      </c>
      <c r="C182" s="47" t="s">
        <v>329</v>
      </c>
      <c r="D182" s="47" t="s">
        <v>229</v>
      </c>
      <c r="E182" s="47" t="s">
        <v>72</v>
      </c>
      <c r="F182" s="30">
        <v>1500.0</v>
      </c>
      <c r="G182" s="30">
        <v>1500.0</v>
      </c>
      <c r="H182" s="30">
        <v>10.0</v>
      </c>
      <c r="I182" s="47" t="s">
        <v>889</v>
      </c>
      <c r="J182" s="48">
        <v>46132.04047453704</v>
      </c>
      <c r="K182" s="49" t="s">
        <v>1114</v>
      </c>
      <c r="L182" s="30">
        <v>9.1853498E7</v>
      </c>
      <c r="M182" s="47" t="s">
        <v>842</v>
      </c>
      <c r="N182" s="30">
        <v>1.53345376E8</v>
      </c>
      <c r="O182" s="30">
        <v>14.0</v>
      </c>
      <c r="P182" s="30">
        <v>1068.75</v>
      </c>
      <c r="Q182" s="30">
        <v>1069.0</v>
      </c>
      <c r="R182" s="30">
        <v>1074.9</v>
      </c>
      <c r="S182" s="47" t="b">
        <v>1</v>
      </c>
      <c r="T182" s="47" t="s">
        <v>891</v>
      </c>
      <c r="U182" s="30">
        <v>12.5</v>
      </c>
    </row>
    <row r="183">
      <c r="A183" s="47">
        <v>5.2742022949E10</v>
      </c>
      <c r="C183" s="47" t="s">
        <v>330</v>
      </c>
      <c r="D183" s="47" t="s">
        <v>229</v>
      </c>
      <c r="E183" s="47" t="s">
        <v>72</v>
      </c>
      <c r="F183" s="30">
        <v>1500.0</v>
      </c>
      <c r="G183" s="30">
        <v>1500.0</v>
      </c>
      <c r="H183" s="30">
        <v>10.0</v>
      </c>
      <c r="I183" s="47" t="s">
        <v>889</v>
      </c>
      <c r="J183" s="48">
        <v>46079.50444444444</v>
      </c>
      <c r="K183" s="49" t="s">
        <v>1115</v>
      </c>
      <c r="L183" s="30">
        <v>3.2793291E7</v>
      </c>
      <c r="M183" s="47" t="s">
        <v>829</v>
      </c>
      <c r="N183" s="30">
        <v>5.9053703E7</v>
      </c>
      <c r="O183" s="30">
        <v>19.0</v>
      </c>
      <c r="P183" s="30">
        <v>1008.64</v>
      </c>
      <c r="Q183" s="30">
        <v>1009.14</v>
      </c>
      <c r="R183" s="30">
        <v>1120.0</v>
      </c>
      <c r="S183" s="47" t="b">
        <v>1</v>
      </c>
      <c r="T183" s="47" t="s">
        <v>891</v>
      </c>
      <c r="U183" s="30">
        <v>12.5</v>
      </c>
    </row>
    <row r="184">
      <c r="A184" s="47">
        <v>3.182550756419E12</v>
      </c>
      <c r="B184" s="47"/>
      <c r="C184" s="47" t="s">
        <v>331</v>
      </c>
      <c r="D184" s="47" t="s">
        <v>53</v>
      </c>
      <c r="E184" s="47" t="s">
        <v>72</v>
      </c>
      <c r="F184" s="30">
        <v>0.0</v>
      </c>
      <c r="G184" s="30">
        <v>0.0</v>
      </c>
      <c r="H184" s="30">
        <v>0.0</v>
      </c>
      <c r="I184" s="47" t="s">
        <v>899</v>
      </c>
      <c r="J184" s="48">
        <v>46164.63303240741</v>
      </c>
      <c r="K184" s="49" t="s">
        <v>1116</v>
      </c>
      <c r="L184" s="30">
        <v>2.3583309E8</v>
      </c>
      <c r="M184" s="47" t="s">
        <v>1117</v>
      </c>
      <c r="N184" s="30">
        <v>3.79307544E8</v>
      </c>
      <c r="O184" s="30"/>
      <c r="P184" s="30"/>
      <c r="Q184" s="30"/>
      <c r="R184" s="30"/>
      <c r="S184" s="47"/>
      <c r="T184" s="47" t="s">
        <v>901</v>
      </c>
      <c r="U184" s="30">
        <v>12.5</v>
      </c>
    </row>
    <row r="185">
      <c r="A185" s="47" t="s">
        <v>332</v>
      </c>
      <c r="C185" s="47" t="s">
        <v>334</v>
      </c>
      <c r="D185" s="47" t="s">
        <v>333</v>
      </c>
      <c r="E185" s="47" t="s">
        <v>59</v>
      </c>
      <c r="F185" s="30">
        <v>1889.0</v>
      </c>
      <c r="G185" s="30">
        <v>1889.0</v>
      </c>
      <c r="H185" s="30">
        <v>0.0</v>
      </c>
      <c r="I185" s="47" t="s">
        <v>899</v>
      </c>
      <c r="J185" s="48">
        <v>46159.82902777778</v>
      </c>
      <c r="K185" s="49" t="s">
        <v>1118</v>
      </c>
      <c r="L185" s="30">
        <v>1.073769369E9</v>
      </c>
      <c r="M185" s="47" t="s">
        <v>1119</v>
      </c>
      <c r="N185" s="30">
        <v>1.483321638E9</v>
      </c>
      <c r="O185" s="30"/>
      <c r="P185" s="30"/>
      <c r="Q185" s="30"/>
      <c r="R185" s="30"/>
      <c r="S185" s="47"/>
      <c r="T185" s="47" t="s">
        <v>901</v>
      </c>
      <c r="U185" s="30">
        <v>16.5</v>
      </c>
    </row>
    <row r="186">
      <c r="A186" s="47">
        <v>3.182550793001E12</v>
      </c>
      <c r="C186" s="47" t="s">
        <v>335</v>
      </c>
      <c r="D186" s="47" t="s">
        <v>53</v>
      </c>
      <c r="E186" s="47" t="s">
        <v>59</v>
      </c>
      <c r="F186" s="30">
        <v>0.0</v>
      </c>
      <c r="G186" s="30">
        <v>0.0</v>
      </c>
      <c r="H186" s="30">
        <v>0.0</v>
      </c>
      <c r="I186" s="47" t="s">
        <v>899</v>
      </c>
      <c r="J186" s="48">
        <v>46161.63481481482</v>
      </c>
      <c r="K186" s="49" t="s">
        <v>1120</v>
      </c>
      <c r="L186" s="30">
        <v>750125.0</v>
      </c>
      <c r="M186" s="47" t="s">
        <v>1121</v>
      </c>
      <c r="N186" s="30">
        <v>1.000563E7</v>
      </c>
      <c r="O186" s="30"/>
      <c r="P186" s="30"/>
      <c r="Q186" s="30"/>
      <c r="R186" s="30"/>
      <c r="S186" s="47"/>
      <c r="T186" s="47" t="s">
        <v>901</v>
      </c>
      <c r="U186" s="30">
        <v>12.5</v>
      </c>
    </row>
    <row r="187">
      <c r="A187" s="47" t="s">
        <v>336</v>
      </c>
      <c r="C187" s="47" t="s">
        <v>337</v>
      </c>
      <c r="D187" s="47" t="s">
        <v>53</v>
      </c>
      <c r="E187" s="47" t="s">
        <v>72</v>
      </c>
      <c r="F187" s="30">
        <v>0.0</v>
      </c>
      <c r="G187" s="30">
        <v>0.0</v>
      </c>
      <c r="H187" s="30">
        <v>0.0</v>
      </c>
      <c r="I187" s="47" t="s">
        <v>899</v>
      </c>
      <c r="J187" s="48">
        <v>46164.63303240741</v>
      </c>
      <c r="K187" s="49" t="s">
        <v>1122</v>
      </c>
      <c r="L187" s="30">
        <v>6.74218257E8</v>
      </c>
      <c r="M187" s="47" t="s">
        <v>1123</v>
      </c>
      <c r="N187" s="30">
        <v>8.91896633E8</v>
      </c>
      <c r="O187" s="30"/>
      <c r="P187" s="30"/>
      <c r="Q187" s="30"/>
      <c r="R187" s="30"/>
      <c r="S187" s="47"/>
      <c r="T187" s="47" t="s">
        <v>901</v>
      </c>
      <c r="U187" s="30">
        <v>12.5</v>
      </c>
    </row>
    <row r="188">
      <c r="A188" s="47" t="s">
        <v>338</v>
      </c>
      <c r="B188" s="47"/>
      <c r="C188" s="47" t="s">
        <v>339</v>
      </c>
      <c r="D188" s="47" t="s">
        <v>187</v>
      </c>
      <c r="E188" s="47" t="s">
        <v>52</v>
      </c>
      <c r="F188" s="30">
        <v>599.0</v>
      </c>
      <c r="G188" s="30">
        <v>599.0</v>
      </c>
      <c r="H188" s="30">
        <v>100.0</v>
      </c>
      <c r="I188" s="47" t="s">
        <v>889</v>
      </c>
      <c r="J188" s="48">
        <v>46159.829039351855</v>
      </c>
      <c r="K188" s="49" t="s">
        <v>1124</v>
      </c>
      <c r="L188" s="30">
        <v>6.50696023E8</v>
      </c>
      <c r="M188" s="47" t="s">
        <v>1125</v>
      </c>
      <c r="N188" s="30">
        <v>8.59795017E8</v>
      </c>
      <c r="O188" s="30">
        <v>5.0</v>
      </c>
      <c r="P188" s="30">
        <v>539.9</v>
      </c>
      <c r="Q188" s="30">
        <v>549.0</v>
      </c>
      <c r="R188" s="30">
        <v>563.46</v>
      </c>
      <c r="S188" s="47" t="b">
        <v>1</v>
      </c>
      <c r="T188" s="47" t="s">
        <v>891</v>
      </c>
      <c r="U188" s="30">
        <v>13.5</v>
      </c>
    </row>
    <row r="189">
      <c r="A189" s="47" t="s">
        <v>340</v>
      </c>
      <c r="C189" s="47" t="s">
        <v>341</v>
      </c>
      <c r="D189" s="47" t="s">
        <v>187</v>
      </c>
      <c r="E189" s="47" t="s">
        <v>52</v>
      </c>
      <c r="F189" s="30">
        <v>850.0</v>
      </c>
      <c r="G189" s="30">
        <v>850.0</v>
      </c>
      <c r="H189" s="30">
        <v>49.0</v>
      </c>
      <c r="I189" s="47" t="s">
        <v>889</v>
      </c>
      <c r="J189" s="48">
        <v>46161.40047453704</v>
      </c>
      <c r="K189" s="49" t="s">
        <v>1126</v>
      </c>
      <c r="L189" s="30">
        <v>1.09956434E8</v>
      </c>
      <c r="M189" s="47" t="s">
        <v>778</v>
      </c>
      <c r="N189" s="30">
        <v>1.79779314E8</v>
      </c>
      <c r="O189" s="30">
        <v>4.0</v>
      </c>
      <c r="P189" s="30">
        <v>786.49</v>
      </c>
      <c r="Q189" s="30">
        <v>786.49</v>
      </c>
      <c r="R189" s="30">
        <v>806.95</v>
      </c>
      <c r="S189" s="47" t="b">
        <v>1</v>
      </c>
      <c r="T189" s="47" t="s">
        <v>891</v>
      </c>
      <c r="U189" s="30">
        <v>13.5</v>
      </c>
    </row>
    <row r="190">
      <c r="A190" s="47">
        <v>7.613031580992E12</v>
      </c>
      <c r="C190" s="47" t="s">
        <v>342</v>
      </c>
      <c r="D190" s="47" t="s">
        <v>187</v>
      </c>
      <c r="E190" s="47" t="s">
        <v>52</v>
      </c>
      <c r="F190" s="30">
        <v>500.0</v>
      </c>
      <c r="G190" s="30">
        <v>500.0</v>
      </c>
      <c r="H190" s="30">
        <v>100.0</v>
      </c>
      <c r="I190" s="47" t="s">
        <v>889</v>
      </c>
      <c r="J190" s="48">
        <v>46159.829050925924</v>
      </c>
      <c r="K190" s="49" t="s">
        <v>1127</v>
      </c>
      <c r="L190" s="30">
        <v>6353571.0</v>
      </c>
      <c r="M190" s="47">
        <v>7.613031580992E12</v>
      </c>
      <c r="N190" s="30">
        <v>2.0617152E7</v>
      </c>
      <c r="O190" s="30">
        <v>5.0</v>
      </c>
      <c r="P190" s="30">
        <v>419.0</v>
      </c>
      <c r="Q190" s="30">
        <v>420.0</v>
      </c>
      <c r="R190" s="30">
        <v>454.59</v>
      </c>
      <c r="S190" s="47" t="b">
        <v>1</v>
      </c>
      <c r="T190" s="47" t="s">
        <v>891</v>
      </c>
      <c r="U190" s="30">
        <v>13.5</v>
      </c>
    </row>
    <row r="191">
      <c r="A191" s="47">
        <v>1.28022022E8</v>
      </c>
      <c r="B191" s="47" t="s">
        <v>344</v>
      </c>
      <c r="C191" s="47" t="s">
        <v>343</v>
      </c>
      <c r="D191" s="47" t="s">
        <v>53</v>
      </c>
      <c r="E191" s="47" t="s">
        <v>59</v>
      </c>
      <c r="F191" s="30">
        <v>1699.0</v>
      </c>
      <c r="G191" s="30">
        <v>1699.0</v>
      </c>
      <c r="H191" s="30">
        <v>15.0</v>
      </c>
      <c r="I191" s="47" t="s">
        <v>889</v>
      </c>
      <c r="J191" s="48">
        <v>46161.63481481482</v>
      </c>
      <c r="K191" s="49" t="s">
        <v>1128</v>
      </c>
      <c r="L191" s="30">
        <v>1.044195097E9</v>
      </c>
      <c r="M191" s="47" t="s">
        <v>823</v>
      </c>
      <c r="N191" s="30">
        <v>1.444655672E9</v>
      </c>
      <c r="O191" s="30">
        <v>5.0</v>
      </c>
      <c r="P191" s="30">
        <v>1602.0</v>
      </c>
      <c r="Q191" s="30">
        <v>1679.0</v>
      </c>
      <c r="R191" s="30">
        <v>1680.0</v>
      </c>
      <c r="S191" s="47" t="b">
        <v>1</v>
      </c>
      <c r="T191" s="47" t="s">
        <v>891</v>
      </c>
      <c r="U191" s="30">
        <v>12.5</v>
      </c>
    </row>
    <row r="192">
      <c r="A192" s="47">
        <v>3.182550765206E12</v>
      </c>
      <c r="C192" s="47" t="s">
        <v>345</v>
      </c>
      <c r="D192" s="47" t="s">
        <v>53</v>
      </c>
      <c r="E192" s="47" t="s">
        <v>59</v>
      </c>
      <c r="F192" s="30">
        <v>0.0</v>
      </c>
      <c r="G192" s="30">
        <v>0.0</v>
      </c>
      <c r="H192" s="30">
        <v>0.0</v>
      </c>
      <c r="I192" s="47" t="s">
        <v>899</v>
      </c>
      <c r="J192" s="48">
        <v>46161.63481481482</v>
      </c>
      <c r="K192" s="49" t="s">
        <v>1129</v>
      </c>
      <c r="L192" s="30">
        <v>4.4795492E7</v>
      </c>
      <c r="M192" s="47">
        <v>3.182550765206E12</v>
      </c>
      <c r="N192" s="30">
        <v>7.932733E7</v>
      </c>
      <c r="O192" s="30"/>
      <c r="P192" s="30"/>
      <c r="S192" s="47"/>
      <c r="T192" s="47" t="s">
        <v>901</v>
      </c>
      <c r="U192" s="30">
        <v>12.5</v>
      </c>
    </row>
    <row r="193">
      <c r="A193" s="47">
        <v>3.182550867719E12</v>
      </c>
      <c r="C193" s="47" t="s">
        <v>346</v>
      </c>
      <c r="D193" s="47" t="s">
        <v>53</v>
      </c>
      <c r="E193" s="47" t="s">
        <v>59</v>
      </c>
      <c r="F193" s="30">
        <v>0.0</v>
      </c>
      <c r="G193" s="30">
        <v>0.0</v>
      </c>
      <c r="H193" s="30">
        <v>0.0</v>
      </c>
      <c r="I193" s="47" t="s">
        <v>899</v>
      </c>
      <c r="J193" s="48">
        <v>46161.63481481482</v>
      </c>
      <c r="K193" s="49" t="s">
        <v>1130</v>
      </c>
      <c r="L193" s="30">
        <v>4.4822644E7</v>
      </c>
      <c r="M193" s="47">
        <v>3.182550867719E12</v>
      </c>
      <c r="N193" s="30">
        <v>7.9367337E7</v>
      </c>
      <c r="O193" s="30"/>
      <c r="P193" s="30"/>
      <c r="Q193" s="30"/>
      <c r="R193" s="30"/>
      <c r="S193" s="47"/>
      <c r="T193" s="47" t="s">
        <v>901</v>
      </c>
      <c r="U193" s="30">
        <v>12.5</v>
      </c>
    </row>
    <row r="194">
      <c r="A194" s="47">
        <v>3.182550786218E12</v>
      </c>
      <c r="C194" s="47" t="s">
        <v>347</v>
      </c>
      <c r="D194" s="47" t="s">
        <v>53</v>
      </c>
      <c r="E194" s="47" t="s">
        <v>72</v>
      </c>
      <c r="F194" s="30">
        <v>0.0</v>
      </c>
      <c r="G194" s="30">
        <v>0.0</v>
      </c>
      <c r="H194" s="30">
        <v>0.0</v>
      </c>
      <c r="I194" s="47" t="s">
        <v>899</v>
      </c>
      <c r="J194" s="48">
        <v>46164.63303240741</v>
      </c>
      <c r="K194" s="49" t="s">
        <v>1131</v>
      </c>
      <c r="L194" s="30">
        <v>750123.0</v>
      </c>
      <c r="M194" s="47" t="s">
        <v>1132</v>
      </c>
      <c r="N194" s="30">
        <v>1.0005632E7</v>
      </c>
      <c r="O194" s="30"/>
      <c r="P194" s="30"/>
      <c r="Q194" s="30"/>
      <c r="R194" s="30"/>
      <c r="S194" s="47"/>
      <c r="T194" s="47" t="s">
        <v>901</v>
      </c>
      <c r="U194" s="30">
        <v>12.5</v>
      </c>
    </row>
    <row r="195">
      <c r="A195" s="47" t="s">
        <v>348</v>
      </c>
      <c r="C195" s="47" t="s">
        <v>349</v>
      </c>
      <c r="D195" s="47" t="s">
        <v>53</v>
      </c>
      <c r="E195" s="47" t="s">
        <v>72</v>
      </c>
      <c r="F195" s="30">
        <v>0.0</v>
      </c>
      <c r="G195" s="30">
        <v>0.0</v>
      </c>
      <c r="H195" s="30">
        <v>0.0</v>
      </c>
      <c r="I195" s="47" t="s">
        <v>899</v>
      </c>
      <c r="J195" s="48">
        <v>46164.63303240741</v>
      </c>
      <c r="K195" s="49" t="s">
        <v>1133</v>
      </c>
      <c r="L195" s="30">
        <v>9.7155182E7</v>
      </c>
      <c r="M195" s="47" t="s">
        <v>348</v>
      </c>
      <c r="N195" s="30">
        <v>1.6175011E8</v>
      </c>
      <c r="O195" s="30"/>
      <c r="P195" s="30"/>
      <c r="Q195" s="30"/>
      <c r="R195" s="30"/>
      <c r="S195" s="47"/>
      <c r="T195" s="47" t="s">
        <v>901</v>
      </c>
      <c r="U195" s="30">
        <v>12.5</v>
      </c>
    </row>
    <row r="196">
      <c r="A196" s="47" t="s">
        <v>350</v>
      </c>
      <c r="C196" s="47" t="s">
        <v>351</v>
      </c>
      <c r="D196" s="47" t="s">
        <v>53</v>
      </c>
      <c r="E196" s="47" t="s">
        <v>72</v>
      </c>
      <c r="F196" s="30">
        <v>0.0</v>
      </c>
      <c r="G196" s="30">
        <v>0.0</v>
      </c>
      <c r="H196" s="30">
        <v>0.0</v>
      </c>
      <c r="I196" s="47" t="s">
        <v>899</v>
      </c>
      <c r="J196" s="48">
        <v>46164.63303240741</v>
      </c>
      <c r="K196" s="49" t="s">
        <v>1134</v>
      </c>
      <c r="L196" s="30">
        <v>2.35754794E8</v>
      </c>
      <c r="M196" s="47" t="s">
        <v>1135</v>
      </c>
      <c r="N196" s="30">
        <v>3.7918254E8</v>
      </c>
      <c r="O196" s="30"/>
      <c r="P196" s="30"/>
      <c r="Q196" s="30"/>
      <c r="R196" s="30"/>
      <c r="S196" s="47"/>
      <c r="T196" s="47" t="s">
        <v>901</v>
      </c>
      <c r="U196" s="30">
        <v>12.5</v>
      </c>
    </row>
    <row r="197">
      <c r="A197" s="47">
        <v>3.182550721219E12</v>
      </c>
      <c r="C197" s="47" t="s">
        <v>352</v>
      </c>
      <c r="D197" s="47" t="s">
        <v>53</v>
      </c>
      <c r="E197" s="47" t="s">
        <v>72</v>
      </c>
      <c r="F197" s="30">
        <v>0.0</v>
      </c>
      <c r="G197" s="30">
        <v>0.0</v>
      </c>
      <c r="H197" s="30">
        <v>0.0</v>
      </c>
      <c r="I197" s="47" t="s">
        <v>899</v>
      </c>
      <c r="J197" s="48">
        <v>46164.63303240741</v>
      </c>
      <c r="K197" s="49" t="s">
        <v>1136</v>
      </c>
      <c r="L197" s="30">
        <v>925659.0</v>
      </c>
      <c r="M197" s="47" t="s">
        <v>1137</v>
      </c>
      <c r="N197" s="30">
        <v>1.0258201E7</v>
      </c>
      <c r="T197" s="47" t="s">
        <v>901</v>
      </c>
      <c r="U197" s="30">
        <v>12.5</v>
      </c>
    </row>
    <row r="198">
      <c r="A198" s="47" t="s">
        <v>353</v>
      </c>
      <c r="C198" s="47" t="s">
        <v>354</v>
      </c>
      <c r="D198" s="47" t="s">
        <v>53</v>
      </c>
      <c r="E198" s="47" t="s">
        <v>72</v>
      </c>
      <c r="F198" s="30">
        <v>0.0</v>
      </c>
      <c r="G198" s="30">
        <v>0.0</v>
      </c>
      <c r="H198" s="30">
        <v>0.0</v>
      </c>
      <c r="I198" s="47" t="s">
        <v>899</v>
      </c>
      <c r="J198" s="48">
        <v>46164.63303240741</v>
      </c>
      <c r="K198" s="49" t="s">
        <v>1138</v>
      </c>
      <c r="L198" s="30">
        <v>1.095769088E9</v>
      </c>
      <c r="M198" s="47" t="s">
        <v>1139</v>
      </c>
      <c r="N198" s="30">
        <v>1.519970752E9</v>
      </c>
      <c r="O198" s="30"/>
      <c r="P198" s="30"/>
      <c r="Q198" s="30"/>
      <c r="R198" s="30"/>
      <c r="S198" s="47"/>
      <c r="T198" s="47" t="s">
        <v>901</v>
      </c>
      <c r="U198" s="30">
        <v>12.5</v>
      </c>
    </row>
    <row r="199">
      <c r="A199" s="47">
        <v>7.613036505277E12</v>
      </c>
      <c r="C199" s="47" t="s">
        <v>355</v>
      </c>
      <c r="D199" s="47" t="s">
        <v>50</v>
      </c>
      <c r="E199" s="47" t="s">
        <v>72</v>
      </c>
      <c r="F199" s="30">
        <v>1535.0</v>
      </c>
      <c r="G199" s="30">
        <v>1535.0</v>
      </c>
      <c r="H199" s="30">
        <v>2.0</v>
      </c>
      <c r="I199" s="47" t="s">
        <v>889</v>
      </c>
      <c r="J199" s="48">
        <v>46159.829050925924</v>
      </c>
      <c r="K199" s="49" t="s">
        <v>1140</v>
      </c>
      <c r="L199" s="30">
        <v>4311380.0</v>
      </c>
      <c r="M199" s="47">
        <v>7.613036505277E12</v>
      </c>
      <c r="N199" s="30">
        <v>1.7100039E7</v>
      </c>
      <c r="O199" s="30">
        <v>19.0</v>
      </c>
      <c r="P199" s="30">
        <v>1243.0</v>
      </c>
      <c r="Q199" s="30">
        <v>1238.3</v>
      </c>
      <c r="R199" s="30">
        <v>1303.0</v>
      </c>
      <c r="S199" s="47" t="b">
        <v>1</v>
      </c>
      <c r="T199" s="47" t="s">
        <v>891</v>
      </c>
      <c r="U199" s="30">
        <v>12.5</v>
      </c>
    </row>
    <row r="200">
      <c r="A200" s="47" t="s">
        <v>356</v>
      </c>
      <c r="C200" s="47" t="s">
        <v>357</v>
      </c>
      <c r="D200" s="47" t="s">
        <v>187</v>
      </c>
      <c r="E200" s="47" t="s">
        <v>52</v>
      </c>
      <c r="F200" s="30">
        <v>736.0</v>
      </c>
      <c r="G200" s="30">
        <v>736.0</v>
      </c>
      <c r="H200" s="30">
        <v>674.0</v>
      </c>
      <c r="I200" s="47" t="s">
        <v>889</v>
      </c>
      <c r="J200" s="48">
        <v>46159.829039351855</v>
      </c>
      <c r="K200" s="49" t="s">
        <v>1141</v>
      </c>
      <c r="L200" s="30">
        <v>2.83544741E8</v>
      </c>
      <c r="M200" s="47" t="s">
        <v>759</v>
      </c>
      <c r="N200" s="30">
        <v>4.51052801E8</v>
      </c>
      <c r="O200" s="30">
        <v>1.0</v>
      </c>
      <c r="P200" s="30">
        <v>736.0</v>
      </c>
      <c r="Q200" s="30">
        <v>748.96</v>
      </c>
      <c r="R200" s="30">
        <v>747.0</v>
      </c>
      <c r="S200" s="47" t="b">
        <v>1</v>
      </c>
      <c r="T200" s="47" t="s">
        <v>891</v>
      </c>
      <c r="U200" s="30">
        <v>13.5</v>
      </c>
    </row>
    <row r="201">
      <c r="A201" s="47" t="s">
        <v>358</v>
      </c>
      <c r="C201" s="47" t="s">
        <v>359</v>
      </c>
      <c r="D201" s="47" t="s">
        <v>139</v>
      </c>
      <c r="E201" s="47" t="s">
        <v>52</v>
      </c>
      <c r="F201" s="30">
        <v>1142.0</v>
      </c>
      <c r="G201" s="30">
        <v>1142.0</v>
      </c>
      <c r="H201" s="30">
        <v>100.0</v>
      </c>
      <c r="I201" s="47" t="s">
        <v>889</v>
      </c>
      <c r="J201" s="48">
        <v>46159.829039351855</v>
      </c>
      <c r="K201" s="49" t="s">
        <v>1142</v>
      </c>
      <c r="L201" s="30">
        <v>2.72952378E8</v>
      </c>
      <c r="M201" s="47" t="s">
        <v>1143</v>
      </c>
      <c r="N201" s="30">
        <v>4.35182356E8</v>
      </c>
      <c r="O201" s="30">
        <v>3.0</v>
      </c>
      <c r="P201" s="30">
        <v>1059.85</v>
      </c>
      <c r="Q201" s="30">
        <v>1060.0</v>
      </c>
      <c r="R201" s="30">
        <v>1142.0</v>
      </c>
      <c r="S201" s="47" t="b">
        <v>1</v>
      </c>
      <c r="T201" s="47" t="s">
        <v>891</v>
      </c>
      <c r="U201" s="30">
        <v>16.5</v>
      </c>
    </row>
    <row r="202">
      <c r="A202" s="47">
        <v>7.41245638741E11</v>
      </c>
      <c r="C202" s="47" t="s">
        <v>360</v>
      </c>
      <c r="D202" s="47" t="s">
        <v>187</v>
      </c>
      <c r="E202" s="47" t="s">
        <v>52</v>
      </c>
      <c r="F202" s="30">
        <v>545.0</v>
      </c>
      <c r="G202" s="30">
        <v>545.0</v>
      </c>
      <c r="H202" s="30">
        <v>86.0</v>
      </c>
      <c r="I202" s="47" t="s">
        <v>889</v>
      </c>
      <c r="J202" s="48">
        <v>46159.829050925924</v>
      </c>
      <c r="K202" s="49" t="s">
        <v>1144</v>
      </c>
      <c r="L202" s="30">
        <v>2.39284691E8</v>
      </c>
      <c r="M202" s="47" t="s">
        <v>774</v>
      </c>
      <c r="N202" s="30">
        <v>3.84369653E8</v>
      </c>
      <c r="O202" s="30">
        <v>5.0</v>
      </c>
      <c r="P202" s="30">
        <v>426.25</v>
      </c>
      <c r="Q202" s="30">
        <v>432.34</v>
      </c>
      <c r="R202" s="30">
        <v>496.66</v>
      </c>
      <c r="S202" s="47" t="b">
        <v>1</v>
      </c>
      <c r="T202" s="47" t="s">
        <v>891</v>
      </c>
      <c r="U202" s="30">
        <v>13.5</v>
      </c>
    </row>
    <row r="203">
      <c r="A203" s="47">
        <v>3.182550704533E12</v>
      </c>
      <c r="C203" s="47" t="s">
        <v>361</v>
      </c>
      <c r="D203" s="47" t="s">
        <v>53</v>
      </c>
      <c r="E203" s="47" t="s">
        <v>72</v>
      </c>
      <c r="F203" s="30">
        <v>0.0</v>
      </c>
      <c r="G203" s="30">
        <v>0.0</v>
      </c>
      <c r="H203" s="30">
        <v>0.0</v>
      </c>
      <c r="I203" s="47" t="s">
        <v>899</v>
      </c>
      <c r="J203" s="48">
        <v>46164.63303240741</v>
      </c>
      <c r="K203" s="49" t="s">
        <v>1145</v>
      </c>
      <c r="L203" s="30">
        <v>925658.0</v>
      </c>
      <c r="M203" s="47" t="s">
        <v>1146</v>
      </c>
      <c r="N203" s="30">
        <v>1.02582E7</v>
      </c>
      <c r="O203" s="30"/>
      <c r="P203" s="30"/>
      <c r="Q203" s="30"/>
      <c r="R203" s="30"/>
      <c r="S203" s="47"/>
      <c r="T203" s="47" t="s">
        <v>901</v>
      </c>
      <c r="U203" s="30">
        <v>12.5</v>
      </c>
    </row>
    <row r="204">
      <c r="A204" s="47">
        <v>9.00000046014E12</v>
      </c>
      <c r="C204" s="47" t="s">
        <v>362</v>
      </c>
      <c r="D204" s="47" t="s">
        <v>53</v>
      </c>
      <c r="E204" s="47" t="s">
        <v>279</v>
      </c>
      <c r="F204" s="30">
        <v>999.0</v>
      </c>
      <c r="G204" s="30">
        <v>999.0</v>
      </c>
      <c r="H204" s="30">
        <v>5.0</v>
      </c>
      <c r="I204" s="47" t="s">
        <v>889</v>
      </c>
      <c r="J204" s="48">
        <v>46063.11491898148</v>
      </c>
      <c r="K204" s="49" t="s">
        <v>1147</v>
      </c>
      <c r="L204" s="30">
        <v>4.0231199E7</v>
      </c>
      <c r="M204" s="47">
        <v>48443.0</v>
      </c>
      <c r="N204" s="30">
        <v>7.1235721E7</v>
      </c>
      <c r="O204" s="30">
        <v>16.0</v>
      </c>
      <c r="P204" s="30">
        <v>618.0</v>
      </c>
      <c r="Q204" s="30">
        <v>617.9</v>
      </c>
      <c r="R204" s="30">
        <v>639.0</v>
      </c>
      <c r="S204" s="47" t="b">
        <v>1</v>
      </c>
      <c r="T204" s="47" t="s">
        <v>891</v>
      </c>
      <c r="U204" s="30">
        <v>12.5</v>
      </c>
    </row>
    <row r="205">
      <c r="A205" s="47">
        <v>3.182550728102E12</v>
      </c>
      <c r="C205" s="47" t="s">
        <v>363</v>
      </c>
      <c r="D205" s="47" t="s">
        <v>53</v>
      </c>
      <c r="E205" s="47" t="s">
        <v>59</v>
      </c>
      <c r="F205" s="30">
        <v>914.0</v>
      </c>
      <c r="G205" s="30">
        <v>914.0</v>
      </c>
      <c r="H205" s="30">
        <v>25.0</v>
      </c>
      <c r="I205" s="47" t="s">
        <v>889</v>
      </c>
      <c r="J205" s="48">
        <v>46161.63481481482</v>
      </c>
      <c r="K205" s="49" t="s">
        <v>1148</v>
      </c>
      <c r="L205" s="30">
        <v>750099.0</v>
      </c>
      <c r="M205" s="47" t="s">
        <v>832</v>
      </c>
      <c r="N205" s="30">
        <v>1.0005476E7</v>
      </c>
      <c r="O205" s="30">
        <v>1.0</v>
      </c>
      <c r="P205" s="30">
        <v>914.0</v>
      </c>
      <c r="Q205" s="30">
        <v>919.0</v>
      </c>
      <c r="R205" s="30">
        <v>1000.0</v>
      </c>
      <c r="S205" s="47" t="b">
        <v>1</v>
      </c>
      <c r="T205" s="47" t="s">
        <v>891</v>
      </c>
      <c r="U205" s="30">
        <v>12.5</v>
      </c>
    </row>
    <row r="206">
      <c r="A206" s="47">
        <v>3.182550702362E12</v>
      </c>
      <c r="B206" s="47"/>
      <c r="C206" s="47" t="s">
        <v>364</v>
      </c>
      <c r="D206" s="47" t="s">
        <v>53</v>
      </c>
      <c r="E206" s="47" t="s">
        <v>72</v>
      </c>
      <c r="F206" s="30">
        <v>0.0</v>
      </c>
      <c r="G206" s="30">
        <v>0.0</v>
      </c>
      <c r="H206" s="30">
        <v>0.0</v>
      </c>
      <c r="I206" s="47" t="s">
        <v>899</v>
      </c>
      <c r="J206" s="48">
        <v>46164.63303240741</v>
      </c>
      <c r="K206" s="49" t="s">
        <v>1149</v>
      </c>
      <c r="L206" s="30">
        <v>925653.0</v>
      </c>
      <c r="M206" s="47" t="s">
        <v>1150</v>
      </c>
      <c r="N206" s="30">
        <v>1.0258195E7</v>
      </c>
      <c r="O206" s="30"/>
      <c r="P206" s="30"/>
      <c r="Q206" s="30"/>
      <c r="R206" s="30"/>
      <c r="S206" s="47"/>
      <c r="T206" s="47" t="s">
        <v>901</v>
      </c>
      <c r="U206" s="30">
        <v>12.5</v>
      </c>
    </row>
    <row r="207">
      <c r="A207" s="47">
        <v>9.003579308738E12</v>
      </c>
      <c r="B207" s="47"/>
      <c r="C207" s="47" t="s">
        <v>365</v>
      </c>
      <c r="D207" s="47" t="s">
        <v>53</v>
      </c>
      <c r="E207" s="47" t="s">
        <v>52</v>
      </c>
      <c r="F207" s="30">
        <v>850.0</v>
      </c>
      <c r="G207" s="30">
        <v>850.0</v>
      </c>
      <c r="H207" s="30">
        <v>5.0</v>
      </c>
      <c r="I207" s="47" t="s">
        <v>889</v>
      </c>
      <c r="J207" s="48">
        <v>46063.14733796296</v>
      </c>
      <c r="K207" s="49" t="s">
        <v>1151</v>
      </c>
      <c r="L207" s="30">
        <v>925670.0</v>
      </c>
      <c r="M207" s="47" t="s">
        <v>803</v>
      </c>
      <c r="N207" s="30">
        <v>1.0258212E7</v>
      </c>
      <c r="O207" s="30">
        <v>21.0</v>
      </c>
      <c r="P207" s="30">
        <v>527.09</v>
      </c>
      <c r="Q207" s="30">
        <v>526.99</v>
      </c>
      <c r="R207" s="30">
        <v>538.0</v>
      </c>
      <c r="S207" s="47" t="b">
        <v>1</v>
      </c>
      <c r="T207" s="47" t="s">
        <v>891</v>
      </c>
      <c r="U207" s="30">
        <v>12.5</v>
      </c>
    </row>
    <row r="208">
      <c r="A208" s="47">
        <v>3.182550811637E12</v>
      </c>
      <c r="B208" s="47"/>
      <c r="C208" s="47" t="s">
        <v>366</v>
      </c>
      <c r="D208" s="47" t="s">
        <v>53</v>
      </c>
      <c r="E208" s="47" t="s">
        <v>59</v>
      </c>
      <c r="F208" s="30">
        <v>0.0</v>
      </c>
      <c r="G208" s="30">
        <v>0.0</v>
      </c>
      <c r="H208" s="30">
        <v>0.0</v>
      </c>
      <c r="I208" s="47" t="s">
        <v>899</v>
      </c>
      <c r="J208" s="48">
        <v>46161.63481481482</v>
      </c>
      <c r="K208" s="49" t="s">
        <v>1152</v>
      </c>
      <c r="L208" s="30">
        <v>2247670.0</v>
      </c>
      <c r="M208" s="47" t="s">
        <v>1153</v>
      </c>
      <c r="N208" s="30">
        <v>1.2284425E7</v>
      </c>
      <c r="O208" s="30"/>
      <c r="P208" s="30"/>
      <c r="S208" s="47"/>
      <c r="T208" s="47" t="s">
        <v>901</v>
      </c>
      <c r="U208" s="30">
        <v>12.5</v>
      </c>
    </row>
    <row r="209">
      <c r="A209" s="47">
        <v>9.003579013748E12</v>
      </c>
      <c r="B209" s="47"/>
      <c r="C209" s="47" t="s">
        <v>367</v>
      </c>
      <c r="D209" s="47" t="s">
        <v>53</v>
      </c>
      <c r="E209" s="47" t="s">
        <v>279</v>
      </c>
      <c r="F209" s="30">
        <v>599.0</v>
      </c>
      <c r="G209" s="30">
        <v>599.0</v>
      </c>
      <c r="H209" s="30">
        <v>14.0</v>
      </c>
      <c r="I209" s="47" t="s">
        <v>889</v>
      </c>
      <c r="J209" s="48">
        <v>46159.829050925924</v>
      </c>
      <c r="K209" s="49" t="s">
        <v>1154</v>
      </c>
      <c r="L209" s="30">
        <v>2.42032468E8</v>
      </c>
      <c r="M209" s="47">
        <v>9.003579013748E12</v>
      </c>
      <c r="N209" s="30">
        <v>3.88855421E8</v>
      </c>
      <c r="O209" s="30">
        <v>4.0</v>
      </c>
      <c r="P209" s="30">
        <v>540.0</v>
      </c>
      <c r="Q209" s="30">
        <v>550.0</v>
      </c>
      <c r="R209" s="30">
        <v>569.58</v>
      </c>
      <c r="S209" s="47" t="b">
        <v>1</v>
      </c>
      <c r="T209" s="47" t="s">
        <v>891</v>
      </c>
      <c r="U209" s="30">
        <v>12.5</v>
      </c>
    </row>
    <row r="210">
      <c r="A210" s="47">
        <v>3.182550784566E12</v>
      </c>
      <c r="B210" s="47"/>
      <c r="C210" s="47" t="s">
        <v>368</v>
      </c>
      <c r="D210" s="47" t="s">
        <v>53</v>
      </c>
      <c r="E210" s="47" t="s">
        <v>72</v>
      </c>
      <c r="F210" s="30">
        <v>0.0</v>
      </c>
      <c r="G210" s="30">
        <v>0.0</v>
      </c>
      <c r="H210" s="30">
        <v>0.0</v>
      </c>
      <c r="I210" s="47" t="s">
        <v>899</v>
      </c>
      <c r="J210" s="48">
        <v>46164.63303240741</v>
      </c>
      <c r="K210" s="49" t="s">
        <v>1155</v>
      </c>
      <c r="L210" s="30">
        <v>1197850.0</v>
      </c>
      <c r="M210" s="47">
        <v>390106.0</v>
      </c>
      <c r="N210" s="30">
        <v>1.0686454E7</v>
      </c>
      <c r="O210" s="30"/>
      <c r="P210" s="30"/>
      <c r="Q210" s="30"/>
      <c r="R210" s="30"/>
      <c r="S210" s="47"/>
      <c r="T210" s="47" t="s">
        <v>901</v>
      </c>
      <c r="U210" s="30">
        <v>12.5</v>
      </c>
    </row>
    <row r="211">
      <c r="A211" s="47">
        <v>3.182550704625E12</v>
      </c>
      <c r="B211" s="47"/>
      <c r="C211" s="47" t="s">
        <v>369</v>
      </c>
      <c r="D211" s="47" t="s">
        <v>53</v>
      </c>
      <c r="E211" s="47" t="s">
        <v>72</v>
      </c>
      <c r="F211" s="30">
        <v>0.0</v>
      </c>
      <c r="G211" s="30">
        <v>0.0</v>
      </c>
      <c r="H211" s="30">
        <v>0.0</v>
      </c>
      <c r="I211" s="47" t="s">
        <v>899</v>
      </c>
      <c r="J211" s="48">
        <v>46164.63303240741</v>
      </c>
      <c r="K211" s="49" t="s">
        <v>1156</v>
      </c>
      <c r="L211" s="30">
        <v>750108.0</v>
      </c>
      <c r="M211" s="47" t="s">
        <v>1157</v>
      </c>
      <c r="N211" s="30">
        <v>1.0005616E7</v>
      </c>
      <c r="T211" s="47" t="s">
        <v>901</v>
      </c>
      <c r="U211" s="30">
        <v>12.5</v>
      </c>
    </row>
    <row r="212">
      <c r="A212" s="47">
        <v>9.003579311844E12</v>
      </c>
      <c r="B212" s="47"/>
      <c r="C212" s="47" t="s">
        <v>370</v>
      </c>
      <c r="D212" s="47" t="s">
        <v>53</v>
      </c>
      <c r="E212" s="47" t="s">
        <v>52</v>
      </c>
      <c r="F212" s="30">
        <v>750.0</v>
      </c>
      <c r="G212" s="30">
        <v>750.0</v>
      </c>
      <c r="H212" s="30">
        <v>4.0</v>
      </c>
      <c r="I212" s="47" t="s">
        <v>889</v>
      </c>
      <c r="J212" s="48">
        <v>46062.57378472222</v>
      </c>
      <c r="K212" s="49" t="s">
        <v>1158</v>
      </c>
      <c r="L212" s="30">
        <v>4741147.0</v>
      </c>
      <c r="M212" s="47">
        <v>9.003579311844E12</v>
      </c>
      <c r="N212" s="30">
        <v>1.8027743E7</v>
      </c>
      <c r="O212" s="30">
        <v>15.0</v>
      </c>
      <c r="P212" s="30">
        <v>613.0</v>
      </c>
      <c r="Q212" s="30">
        <v>612.9</v>
      </c>
      <c r="R212" s="30">
        <v>621.0</v>
      </c>
      <c r="S212" s="47" t="b">
        <v>1</v>
      </c>
      <c r="T212" s="47" t="s">
        <v>891</v>
      </c>
      <c r="U212" s="30">
        <v>12.5</v>
      </c>
    </row>
    <row r="213">
      <c r="A213" s="47">
        <v>3.18255078458E12</v>
      </c>
      <c r="C213" s="47" t="s">
        <v>371</v>
      </c>
      <c r="D213" s="47" t="s">
        <v>53</v>
      </c>
      <c r="E213" s="47" t="s">
        <v>72</v>
      </c>
      <c r="F213" s="30">
        <v>0.0</v>
      </c>
      <c r="G213" s="30">
        <v>0.0</v>
      </c>
      <c r="H213" s="30">
        <v>0.0</v>
      </c>
      <c r="I213" s="47" t="s">
        <v>899</v>
      </c>
      <c r="J213" s="48">
        <v>46164.63303240741</v>
      </c>
      <c r="K213" s="49" t="s">
        <v>1159</v>
      </c>
      <c r="L213" s="30">
        <v>925661.0</v>
      </c>
      <c r="M213" s="47" t="s">
        <v>1160</v>
      </c>
      <c r="N213" s="30">
        <v>1.0258203E7</v>
      </c>
      <c r="O213" s="30"/>
      <c r="P213" s="30"/>
      <c r="Q213" s="30"/>
      <c r="R213" s="30"/>
      <c r="S213" s="47"/>
      <c r="T213" s="47" t="s">
        <v>901</v>
      </c>
      <c r="U213" s="30">
        <v>12.5</v>
      </c>
    </row>
    <row r="214">
      <c r="A214" s="47">
        <v>3.182550908443E12</v>
      </c>
      <c r="C214" s="47" t="s">
        <v>372</v>
      </c>
      <c r="D214" s="47" t="s">
        <v>53</v>
      </c>
      <c r="E214" s="47" t="s">
        <v>59</v>
      </c>
      <c r="F214" s="30">
        <v>888.0</v>
      </c>
      <c r="G214" s="30">
        <v>888.0</v>
      </c>
      <c r="H214" s="30">
        <v>25.0</v>
      </c>
      <c r="I214" s="47" t="s">
        <v>889</v>
      </c>
      <c r="J214" s="48">
        <v>46161.63481481482</v>
      </c>
      <c r="K214" s="49" t="s">
        <v>1161</v>
      </c>
      <c r="L214" s="30">
        <v>9.70650098E8</v>
      </c>
      <c r="M214" s="47" t="s">
        <v>786</v>
      </c>
      <c r="N214" s="30">
        <v>1.372476531E9</v>
      </c>
      <c r="O214" s="30">
        <v>8.0</v>
      </c>
      <c r="P214" s="30">
        <v>769.99</v>
      </c>
      <c r="Q214" s="30">
        <v>780.0</v>
      </c>
      <c r="R214" s="30">
        <v>799.0</v>
      </c>
      <c r="S214" s="47" t="b">
        <v>1</v>
      </c>
      <c r="T214" s="47" t="s">
        <v>891</v>
      </c>
      <c r="U214" s="30">
        <v>12.5</v>
      </c>
    </row>
    <row r="215">
      <c r="A215" s="47">
        <v>3.182550716857E12</v>
      </c>
      <c r="C215" s="47" t="s">
        <v>373</v>
      </c>
      <c r="D215" s="47" t="s">
        <v>53</v>
      </c>
      <c r="E215" s="47" t="s">
        <v>59</v>
      </c>
      <c r="F215" s="30">
        <v>1035.0</v>
      </c>
      <c r="G215" s="30">
        <v>1035.0</v>
      </c>
      <c r="H215" s="30">
        <v>3.0</v>
      </c>
      <c r="I215" s="47" t="s">
        <v>889</v>
      </c>
      <c r="J215" s="48">
        <v>46161.63481481482</v>
      </c>
      <c r="K215" s="49" t="s">
        <v>1162</v>
      </c>
      <c r="L215" s="30">
        <v>1.044193531E9</v>
      </c>
      <c r="M215" s="47" t="s">
        <v>840</v>
      </c>
      <c r="N215" s="30">
        <v>1.444652357E9</v>
      </c>
      <c r="O215" s="30">
        <v>10.0</v>
      </c>
      <c r="P215" s="30">
        <v>949.0</v>
      </c>
      <c r="Q215" s="30">
        <v>951.6</v>
      </c>
      <c r="R215" s="30">
        <v>975.0</v>
      </c>
      <c r="S215" s="47" t="b">
        <v>1</v>
      </c>
      <c r="T215" s="47" t="s">
        <v>891</v>
      </c>
      <c r="U215" s="30">
        <v>12.5</v>
      </c>
    </row>
    <row r="216">
      <c r="A216" s="47">
        <v>9.003579308745E12</v>
      </c>
      <c r="C216" s="47" t="s">
        <v>374</v>
      </c>
      <c r="D216" s="47" t="s">
        <v>53</v>
      </c>
      <c r="E216" s="47" t="s">
        <v>52</v>
      </c>
      <c r="F216" s="30">
        <v>850.0</v>
      </c>
      <c r="G216" s="30">
        <v>850.0</v>
      </c>
      <c r="H216" s="30">
        <v>5.0</v>
      </c>
      <c r="I216" s="47" t="s">
        <v>889</v>
      </c>
      <c r="J216" s="48">
        <v>46063.07449074074</v>
      </c>
      <c r="K216" s="49" t="s">
        <v>1163</v>
      </c>
      <c r="L216" s="30">
        <v>4741138.0</v>
      </c>
      <c r="M216" s="47">
        <v>9.003579308745E12</v>
      </c>
      <c r="N216" s="30">
        <v>1.8027734E7</v>
      </c>
      <c r="O216" s="30">
        <v>25.0</v>
      </c>
      <c r="P216" s="30">
        <v>559.0</v>
      </c>
      <c r="Q216" s="30">
        <v>558.9</v>
      </c>
      <c r="R216" s="30">
        <v>567.0</v>
      </c>
      <c r="S216" s="47" t="b">
        <v>1</v>
      </c>
      <c r="T216" s="47" t="s">
        <v>891</v>
      </c>
      <c r="U216" s="30">
        <v>12.5</v>
      </c>
    </row>
    <row r="217">
      <c r="A217" s="47">
        <v>3.182550717137E12</v>
      </c>
      <c r="C217" s="47" t="s">
        <v>375</v>
      </c>
      <c r="D217" s="47" t="s">
        <v>53</v>
      </c>
      <c r="E217" s="47" t="s">
        <v>72</v>
      </c>
      <c r="F217" s="30">
        <v>0.0</v>
      </c>
      <c r="G217" s="30">
        <v>0.0</v>
      </c>
      <c r="H217" s="30">
        <v>0.0</v>
      </c>
      <c r="I217" s="47" t="s">
        <v>899</v>
      </c>
      <c r="J217" s="48">
        <v>46164.63303240741</v>
      </c>
      <c r="K217" s="49" t="s">
        <v>1164</v>
      </c>
      <c r="L217" s="30">
        <v>750109.0</v>
      </c>
      <c r="M217" s="47" t="s">
        <v>1165</v>
      </c>
      <c r="N217" s="30">
        <v>1.0005628E7</v>
      </c>
      <c r="T217" s="47" t="s">
        <v>901</v>
      </c>
      <c r="U217" s="30">
        <v>12.5</v>
      </c>
    </row>
    <row r="218">
      <c r="A218" s="47">
        <v>3.1825507214E12</v>
      </c>
      <c r="B218" s="47"/>
      <c r="C218" s="47" t="s">
        <v>376</v>
      </c>
      <c r="D218" s="47" t="s">
        <v>53</v>
      </c>
      <c r="E218" s="47" t="s">
        <v>72</v>
      </c>
      <c r="F218" s="30">
        <v>0.0</v>
      </c>
      <c r="G218" s="30">
        <v>0.0</v>
      </c>
      <c r="H218" s="30">
        <v>0.0</v>
      </c>
      <c r="I218" s="47" t="s">
        <v>899</v>
      </c>
      <c r="J218" s="48">
        <v>46164.63303240741</v>
      </c>
      <c r="K218" s="49" t="s">
        <v>1166</v>
      </c>
      <c r="L218" s="30">
        <v>750113.0</v>
      </c>
      <c r="M218" s="47" t="s">
        <v>1167</v>
      </c>
      <c r="N218" s="30">
        <v>1.0005621E7</v>
      </c>
      <c r="T218" s="47" t="s">
        <v>901</v>
      </c>
      <c r="U218" s="30">
        <v>12.5</v>
      </c>
    </row>
    <row r="219">
      <c r="A219" s="47">
        <v>3.18255040217E12</v>
      </c>
      <c r="B219" s="47"/>
      <c r="C219" s="47" t="s">
        <v>377</v>
      </c>
      <c r="D219" s="47" t="s">
        <v>53</v>
      </c>
      <c r="E219" s="47" t="s">
        <v>59</v>
      </c>
      <c r="F219" s="30">
        <v>0.0</v>
      </c>
      <c r="G219" s="30">
        <v>0.0</v>
      </c>
      <c r="H219" s="30">
        <v>0.0</v>
      </c>
      <c r="I219" s="47" t="s">
        <v>899</v>
      </c>
      <c r="J219" s="48">
        <v>46161.63481481482</v>
      </c>
      <c r="K219" s="49" t="s">
        <v>1168</v>
      </c>
      <c r="L219" s="30">
        <v>750127.0</v>
      </c>
      <c r="M219" s="47" t="s">
        <v>1169</v>
      </c>
      <c r="N219" s="30">
        <v>1.0005641E7</v>
      </c>
      <c r="T219" s="47" t="s">
        <v>901</v>
      </c>
      <c r="U219" s="30">
        <v>12.5</v>
      </c>
    </row>
    <row r="220">
      <c r="A220" s="47">
        <v>9.00357931179E12</v>
      </c>
      <c r="B220" s="47"/>
      <c r="C220" s="47" t="s">
        <v>378</v>
      </c>
      <c r="D220" s="47" t="s">
        <v>53</v>
      </c>
      <c r="E220" s="47" t="s">
        <v>72</v>
      </c>
      <c r="F220" s="30">
        <v>0.0</v>
      </c>
      <c r="G220" s="30">
        <v>0.0</v>
      </c>
      <c r="H220" s="30">
        <v>0.0</v>
      </c>
      <c r="I220" s="47" t="s">
        <v>899</v>
      </c>
      <c r="J220" s="48">
        <v>46164.63303240741</v>
      </c>
      <c r="K220" s="49" t="s">
        <v>1170</v>
      </c>
      <c r="L220" s="30">
        <v>925674.0</v>
      </c>
      <c r="M220" s="47" t="s">
        <v>1171</v>
      </c>
      <c r="N220" s="30">
        <v>1.0258216E7</v>
      </c>
      <c r="O220" s="30"/>
      <c r="P220" s="30"/>
      <c r="Q220" s="30"/>
      <c r="R220" s="30"/>
      <c r="S220" s="47"/>
      <c r="T220" s="47" t="s">
        <v>901</v>
      </c>
      <c r="U220" s="30">
        <v>12.5</v>
      </c>
    </row>
    <row r="221">
      <c r="A221" s="47" t="s">
        <v>379</v>
      </c>
      <c r="B221" s="47"/>
      <c r="C221" s="47" t="s">
        <v>380</v>
      </c>
      <c r="D221" s="47" t="s">
        <v>53</v>
      </c>
      <c r="E221" s="47" t="s">
        <v>72</v>
      </c>
      <c r="F221" s="30">
        <v>0.0</v>
      </c>
      <c r="G221" s="30">
        <v>0.0</v>
      </c>
      <c r="H221" s="30">
        <v>0.0</v>
      </c>
      <c r="I221" s="47" t="s">
        <v>899</v>
      </c>
      <c r="J221" s="48">
        <v>46164.63303240741</v>
      </c>
      <c r="K221" s="49" t="s">
        <v>1172</v>
      </c>
      <c r="L221" s="30">
        <v>1.75864528E8</v>
      </c>
      <c r="M221" s="47" t="s">
        <v>1173</v>
      </c>
      <c r="N221" s="30">
        <v>2.86620616E8</v>
      </c>
      <c r="T221" s="47" t="s">
        <v>901</v>
      </c>
      <c r="U221" s="30">
        <v>12.5</v>
      </c>
    </row>
    <row r="222">
      <c r="A222" s="47">
        <v>9.003579008249E12</v>
      </c>
      <c r="B222" s="47"/>
      <c r="C222" s="47" t="s">
        <v>381</v>
      </c>
      <c r="D222" s="47" t="s">
        <v>53</v>
      </c>
      <c r="E222" s="47" t="s">
        <v>279</v>
      </c>
      <c r="F222" s="30">
        <v>663.0</v>
      </c>
      <c r="G222" s="30">
        <v>663.0</v>
      </c>
      <c r="H222" s="30">
        <v>10.0</v>
      </c>
      <c r="I222" s="47" t="s">
        <v>889</v>
      </c>
      <c r="J222" s="48">
        <v>46159.829050925924</v>
      </c>
      <c r="K222" s="49" t="s">
        <v>1174</v>
      </c>
      <c r="L222" s="30">
        <v>1.3742359E7</v>
      </c>
      <c r="M222" s="47">
        <v>9.003579008249E12</v>
      </c>
      <c r="N222" s="30">
        <v>3.1010346E7</v>
      </c>
      <c r="O222" s="30">
        <v>8.0</v>
      </c>
      <c r="P222" s="30">
        <v>505.0</v>
      </c>
      <c r="Q222" s="30">
        <v>504.9</v>
      </c>
      <c r="R222" s="30">
        <v>529.0</v>
      </c>
      <c r="S222" s="47" t="b">
        <v>1</v>
      </c>
      <c r="T222" s="47" t="s">
        <v>891</v>
      </c>
      <c r="U222" s="30">
        <v>12.5</v>
      </c>
    </row>
    <row r="223">
      <c r="A223" s="47">
        <v>9.003579029763E12</v>
      </c>
      <c r="B223" s="47"/>
      <c r="C223" s="47" t="s">
        <v>382</v>
      </c>
      <c r="D223" s="47" t="s">
        <v>53</v>
      </c>
      <c r="E223" s="47" t="s">
        <v>279</v>
      </c>
      <c r="F223" s="30">
        <v>300.0</v>
      </c>
      <c r="G223" s="30">
        <v>300.0</v>
      </c>
      <c r="H223" s="30">
        <v>5.0</v>
      </c>
      <c r="I223" s="47" t="s">
        <v>889</v>
      </c>
      <c r="J223" s="48">
        <v>46063.122719907406</v>
      </c>
      <c r="K223" s="49" t="s">
        <v>1175</v>
      </c>
      <c r="L223" s="30">
        <v>8.78568477E8</v>
      </c>
      <c r="M223" s="47" t="s">
        <v>1176</v>
      </c>
      <c r="N223" s="30">
        <v>1.213015157E9</v>
      </c>
      <c r="O223" s="30">
        <v>13.0</v>
      </c>
      <c r="P223" s="30">
        <v>189.0</v>
      </c>
      <c r="Q223" s="30">
        <v>200.0</v>
      </c>
      <c r="R223" s="30">
        <v>200.0</v>
      </c>
      <c r="S223" s="47" t="b">
        <v>1</v>
      </c>
      <c r="T223" s="47" t="s">
        <v>891</v>
      </c>
      <c r="U223" s="30">
        <v>12.5</v>
      </c>
    </row>
    <row r="224">
      <c r="A224" s="47" t="s">
        <v>383</v>
      </c>
      <c r="B224" s="47"/>
      <c r="C224" s="47" t="s">
        <v>384</v>
      </c>
      <c r="D224" s="47" t="s">
        <v>53</v>
      </c>
      <c r="E224" s="47" t="s">
        <v>52</v>
      </c>
      <c r="F224" s="30">
        <v>999.0</v>
      </c>
      <c r="G224" s="30">
        <v>999.0</v>
      </c>
      <c r="H224" s="30">
        <v>5.0</v>
      </c>
      <c r="I224" s="47" t="s">
        <v>889</v>
      </c>
      <c r="J224" s="48">
        <v>46063.204097222224</v>
      </c>
      <c r="K224" s="49" t="s">
        <v>1177</v>
      </c>
      <c r="L224" s="30">
        <v>8.68624947E8</v>
      </c>
      <c r="M224" s="47" t="s">
        <v>1178</v>
      </c>
      <c r="N224" s="30">
        <v>1.180773759E9</v>
      </c>
      <c r="O224" s="30">
        <v>1.0</v>
      </c>
      <c r="P224" s="30">
        <v>999.0</v>
      </c>
      <c r="Q224" s="30">
        <v>1005.0</v>
      </c>
      <c r="S224" s="47" t="b">
        <v>1</v>
      </c>
      <c r="T224" s="47" t="s">
        <v>891</v>
      </c>
      <c r="U224" s="30">
        <v>12.5</v>
      </c>
    </row>
    <row r="225">
      <c r="A225" s="47">
        <v>5.703579008379E12</v>
      </c>
      <c r="B225" s="47"/>
      <c r="C225" s="47" t="s">
        <v>385</v>
      </c>
      <c r="D225" s="47" t="s">
        <v>53</v>
      </c>
      <c r="E225" s="47" t="s">
        <v>279</v>
      </c>
      <c r="F225" s="30">
        <v>1500.0</v>
      </c>
      <c r="G225" s="30">
        <v>1500.0</v>
      </c>
      <c r="H225" s="30">
        <v>0.0</v>
      </c>
      <c r="I225" s="47" t="s">
        <v>899</v>
      </c>
      <c r="J225" s="48">
        <v>46159.829039351855</v>
      </c>
      <c r="K225" s="49" t="s">
        <v>1179</v>
      </c>
      <c r="L225" s="30">
        <v>8.16379674E8</v>
      </c>
      <c r="M225" s="47" t="s">
        <v>1180</v>
      </c>
      <c r="N225" s="30">
        <v>1.089397271E9</v>
      </c>
      <c r="T225" s="47" t="s">
        <v>901</v>
      </c>
      <c r="U225" s="30">
        <v>12.5</v>
      </c>
    </row>
    <row r="226">
      <c r="A226" s="47">
        <v>9.003579008485E12</v>
      </c>
      <c r="B226" s="47"/>
      <c r="C226" s="47" t="s">
        <v>386</v>
      </c>
      <c r="D226" s="47" t="s">
        <v>53</v>
      </c>
      <c r="E226" s="47" t="s">
        <v>279</v>
      </c>
      <c r="F226" s="30">
        <v>999.0</v>
      </c>
      <c r="G226" s="30">
        <v>999.0</v>
      </c>
      <c r="H226" s="30">
        <v>5.0</v>
      </c>
      <c r="I226" s="47" t="s">
        <v>889</v>
      </c>
      <c r="J226" s="48">
        <v>46063.220358796294</v>
      </c>
      <c r="K226" s="49" t="s">
        <v>1181</v>
      </c>
      <c r="L226" s="30">
        <v>8.1567447E8</v>
      </c>
      <c r="M226" s="47">
        <v>9.003579008485E12</v>
      </c>
      <c r="N226" s="30">
        <v>1.08824916E9</v>
      </c>
      <c r="O226" s="30">
        <v>16.0</v>
      </c>
      <c r="P226" s="30">
        <v>465.0</v>
      </c>
      <c r="Q226" s="30">
        <v>460.0</v>
      </c>
      <c r="R226" s="30">
        <v>469.0</v>
      </c>
      <c r="S226" s="47" t="b">
        <v>1</v>
      </c>
      <c r="T226" s="47" t="s">
        <v>891</v>
      </c>
      <c r="U226" s="30">
        <v>12.5</v>
      </c>
    </row>
    <row r="227">
      <c r="A227" s="47">
        <v>9.003579008331E12</v>
      </c>
      <c r="B227" s="47"/>
      <c r="C227" s="47" t="s">
        <v>387</v>
      </c>
      <c r="D227" s="47" t="s">
        <v>53</v>
      </c>
      <c r="E227" s="47" t="s">
        <v>279</v>
      </c>
      <c r="F227" s="30">
        <v>250.0</v>
      </c>
      <c r="G227" s="30">
        <v>250.0</v>
      </c>
      <c r="H227" s="30">
        <v>5.0</v>
      </c>
      <c r="I227" s="47" t="s">
        <v>889</v>
      </c>
      <c r="J227" s="48">
        <v>46063.034733796296</v>
      </c>
      <c r="K227" s="49" t="s">
        <v>1182</v>
      </c>
      <c r="L227" s="30">
        <v>8.14212317E8</v>
      </c>
      <c r="M227" s="47">
        <v>1.098014E8</v>
      </c>
      <c r="N227" s="30">
        <v>1.085861932E9</v>
      </c>
      <c r="O227" s="30">
        <v>5.0</v>
      </c>
      <c r="P227" s="30">
        <v>105.0</v>
      </c>
      <c r="Q227" s="30">
        <v>104.9</v>
      </c>
      <c r="R227" s="30">
        <v>167.0</v>
      </c>
      <c r="S227" s="47" t="b">
        <v>1</v>
      </c>
      <c r="T227" s="47" t="s">
        <v>891</v>
      </c>
      <c r="U227" s="30">
        <v>12.5</v>
      </c>
    </row>
    <row r="228">
      <c r="A228" s="47" t="s">
        <v>388</v>
      </c>
      <c r="B228" s="47"/>
      <c r="C228" s="47" t="s">
        <v>389</v>
      </c>
      <c r="D228" s="47" t="s">
        <v>53</v>
      </c>
      <c r="E228" s="47" t="s">
        <v>52</v>
      </c>
      <c r="F228" s="30">
        <v>0.0</v>
      </c>
      <c r="G228" s="30">
        <v>9999.0</v>
      </c>
      <c r="H228" s="30">
        <v>5.0</v>
      </c>
      <c r="I228" s="47" t="s">
        <v>899</v>
      </c>
      <c r="J228" s="48">
        <v>46063.12965277778</v>
      </c>
      <c r="K228" s="49" t="s">
        <v>1183</v>
      </c>
      <c r="L228" s="30">
        <v>7.58546954E8</v>
      </c>
      <c r="M228" s="47" t="s">
        <v>1184</v>
      </c>
      <c r="N228" s="30">
        <v>9.99849953E8</v>
      </c>
      <c r="T228" s="47" t="s">
        <v>1185</v>
      </c>
      <c r="U228" s="30">
        <v>12.5</v>
      </c>
    </row>
    <row r="229">
      <c r="A229" s="47">
        <v>9.003579018941E12</v>
      </c>
      <c r="B229" s="47"/>
      <c r="C229" s="47" t="s">
        <v>390</v>
      </c>
      <c r="D229" s="47" t="s">
        <v>53</v>
      </c>
      <c r="E229" s="47" t="s">
        <v>52</v>
      </c>
      <c r="F229" s="30">
        <v>0.0</v>
      </c>
      <c r="G229" s="30">
        <v>9999.0</v>
      </c>
      <c r="H229" s="30">
        <v>5.0</v>
      </c>
      <c r="I229" s="47" t="s">
        <v>899</v>
      </c>
      <c r="J229" s="48">
        <v>46062.66780092593</v>
      </c>
      <c r="K229" s="49" t="s">
        <v>1186</v>
      </c>
      <c r="L229" s="30">
        <v>7.47168034E8</v>
      </c>
      <c r="M229" s="47">
        <v>9.003579018941E12</v>
      </c>
      <c r="N229" s="30">
        <v>9.83663134E8</v>
      </c>
      <c r="T229" s="47" t="s">
        <v>1185</v>
      </c>
      <c r="U229" s="30">
        <v>12.5</v>
      </c>
    </row>
    <row r="230">
      <c r="A230" s="47" t="s">
        <v>391</v>
      </c>
      <c r="B230" s="47"/>
      <c r="C230" s="47" t="s">
        <v>392</v>
      </c>
      <c r="D230" s="47" t="s">
        <v>137</v>
      </c>
      <c r="E230" s="47" t="s">
        <v>52</v>
      </c>
      <c r="F230" s="30">
        <v>669.0</v>
      </c>
      <c r="G230" s="30">
        <v>669.0</v>
      </c>
      <c r="H230" s="30">
        <v>390.0</v>
      </c>
      <c r="I230" s="47" t="s">
        <v>889</v>
      </c>
      <c r="J230" s="48">
        <v>46159.829039351855</v>
      </c>
      <c r="K230" s="49" t="s">
        <v>1187</v>
      </c>
      <c r="L230" s="30">
        <v>3.08926341E8</v>
      </c>
      <c r="M230" s="47">
        <v>328.0</v>
      </c>
      <c r="N230" s="30">
        <v>4.92992309E8</v>
      </c>
      <c r="O230" s="30">
        <v>2.0</v>
      </c>
      <c r="P230" s="30">
        <v>649.9</v>
      </c>
      <c r="Q230" s="30">
        <v>669.0</v>
      </c>
      <c r="R230" s="30">
        <v>699.0</v>
      </c>
      <c r="S230" s="47" t="b">
        <v>1</v>
      </c>
      <c r="T230" s="47" t="s">
        <v>891</v>
      </c>
      <c r="U230" s="30">
        <v>13.5</v>
      </c>
    </row>
    <row r="231">
      <c r="A231" s="47" t="s">
        <v>393</v>
      </c>
      <c r="B231" s="47"/>
      <c r="C231" s="47" t="s">
        <v>394</v>
      </c>
      <c r="D231" s="47" t="s">
        <v>187</v>
      </c>
      <c r="E231" s="47" t="s">
        <v>52</v>
      </c>
      <c r="F231" s="30">
        <v>1186.0</v>
      </c>
      <c r="G231" s="30">
        <v>1186.0</v>
      </c>
      <c r="H231" s="30">
        <v>0.0</v>
      </c>
      <c r="I231" s="47" t="s">
        <v>899</v>
      </c>
      <c r="J231" s="48">
        <v>46159.829039351855</v>
      </c>
      <c r="K231" s="49" t="s">
        <v>1188</v>
      </c>
      <c r="L231" s="30">
        <v>2.22416806E8</v>
      </c>
      <c r="M231" s="47" t="s">
        <v>814</v>
      </c>
      <c r="N231" s="30">
        <v>3.59832297E8</v>
      </c>
      <c r="T231" s="47" t="s">
        <v>901</v>
      </c>
      <c r="U231" s="30">
        <v>13.5</v>
      </c>
    </row>
    <row r="232">
      <c r="A232" s="47">
        <v>8.694867251321E12</v>
      </c>
      <c r="B232" s="47"/>
      <c r="C232" s="47" t="s">
        <v>395</v>
      </c>
      <c r="D232" s="47" t="s">
        <v>137</v>
      </c>
      <c r="E232" s="47" t="s">
        <v>52</v>
      </c>
      <c r="F232" s="30">
        <v>659.0</v>
      </c>
      <c r="G232" s="30">
        <v>659.0</v>
      </c>
      <c r="H232" s="30">
        <v>200.0</v>
      </c>
      <c r="I232" s="47" t="s">
        <v>889</v>
      </c>
      <c r="J232" s="48">
        <v>46159.829039351855</v>
      </c>
      <c r="K232" s="49" t="s">
        <v>1189</v>
      </c>
      <c r="L232" s="30">
        <v>1.27943847E8</v>
      </c>
      <c r="M232" s="47" t="s">
        <v>1190</v>
      </c>
      <c r="N232" s="30">
        <v>2.14451697E8</v>
      </c>
      <c r="O232" s="30">
        <v>2.0</v>
      </c>
      <c r="P232" s="30">
        <v>658.0</v>
      </c>
      <c r="Q232" s="30">
        <v>659.0</v>
      </c>
      <c r="R232" s="30">
        <v>675.0</v>
      </c>
      <c r="S232" s="47" t="b">
        <v>1</v>
      </c>
      <c r="T232" s="47" t="s">
        <v>891</v>
      </c>
      <c r="U232" s="30">
        <v>13.5</v>
      </c>
    </row>
    <row r="233">
      <c r="A233" s="47">
        <v>2.06441287E9</v>
      </c>
      <c r="B233" s="47"/>
      <c r="C233" s="47" t="s">
        <v>396</v>
      </c>
      <c r="D233" s="47" t="s">
        <v>137</v>
      </c>
      <c r="E233" s="47" t="s">
        <v>72</v>
      </c>
      <c r="F233" s="30">
        <v>2249.0</v>
      </c>
      <c r="G233" s="30">
        <v>2249.0</v>
      </c>
      <c r="H233" s="30">
        <v>195.0</v>
      </c>
      <c r="I233" s="47" t="s">
        <v>889</v>
      </c>
      <c r="J233" s="48">
        <v>46159.82902777778</v>
      </c>
      <c r="K233" s="49" t="s">
        <v>1191</v>
      </c>
      <c r="L233" s="30">
        <v>1.3888019E8</v>
      </c>
      <c r="M233" s="47" t="s">
        <v>863</v>
      </c>
      <c r="N233" s="30">
        <v>2.36826709E8</v>
      </c>
      <c r="O233" s="30">
        <v>2.0</v>
      </c>
      <c r="P233" s="30">
        <v>2245.0</v>
      </c>
      <c r="Q233" s="30">
        <v>2249.0</v>
      </c>
      <c r="R233" s="30">
        <v>2290.0</v>
      </c>
      <c r="S233" s="47" t="b">
        <v>1</v>
      </c>
      <c r="T233" s="47" t="s">
        <v>891</v>
      </c>
      <c r="U233" s="30">
        <v>16.5</v>
      </c>
    </row>
    <row r="234">
      <c r="A234" s="47">
        <v>4.000487598894E12</v>
      </c>
      <c r="B234" s="47"/>
      <c r="C234" s="47" t="s">
        <v>396</v>
      </c>
      <c r="D234" s="47" t="s">
        <v>137</v>
      </c>
      <c r="E234" s="47" t="s">
        <v>72</v>
      </c>
      <c r="F234" s="30">
        <v>0.0</v>
      </c>
      <c r="G234" s="30">
        <v>0.0</v>
      </c>
      <c r="H234" s="30">
        <v>0.0</v>
      </c>
      <c r="I234" s="47" t="s">
        <v>899</v>
      </c>
      <c r="J234" s="48">
        <v>46063.03927083333</v>
      </c>
      <c r="K234" s="49" t="s">
        <v>1191</v>
      </c>
      <c r="L234" s="30">
        <v>1.3888019E8</v>
      </c>
      <c r="M234" s="47" t="s">
        <v>863</v>
      </c>
      <c r="N234" s="30">
        <v>2.36826709E8</v>
      </c>
      <c r="T234" s="47" t="s">
        <v>901</v>
      </c>
      <c r="U234" s="30">
        <v>16.5</v>
      </c>
    </row>
    <row r="235">
      <c r="A235" s="47">
        <v>8.46799273637E11</v>
      </c>
      <c r="B235" s="47"/>
      <c r="C235" s="47" t="s">
        <v>397</v>
      </c>
      <c r="D235" s="47" t="s">
        <v>137</v>
      </c>
      <c r="E235" s="47" t="s">
        <v>72</v>
      </c>
      <c r="F235" s="30">
        <v>648.0</v>
      </c>
      <c r="G235" s="30">
        <v>648.0</v>
      </c>
      <c r="H235" s="30">
        <v>183.0</v>
      </c>
      <c r="I235" s="47" t="s">
        <v>889</v>
      </c>
      <c r="J235" s="48">
        <v>46159.829039351855</v>
      </c>
      <c r="K235" s="49" t="s">
        <v>1192</v>
      </c>
      <c r="L235" s="30">
        <v>9.3229786E7</v>
      </c>
      <c r="M235" s="47">
        <v>72.0</v>
      </c>
      <c r="N235" s="30">
        <v>1.55369025E8</v>
      </c>
      <c r="O235" s="30">
        <v>2.0</v>
      </c>
      <c r="P235" s="30">
        <v>645.0</v>
      </c>
      <c r="Q235" s="30">
        <v>648.0</v>
      </c>
      <c r="R235" s="30">
        <v>657.0</v>
      </c>
      <c r="S235" s="47" t="b">
        <v>1</v>
      </c>
      <c r="T235" s="47" t="s">
        <v>891</v>
      </c>
      <c r="U235" s="30">
        <v>16.5</v>
      </c>
    </row>
    <row r="236">
      <c r="A236" s="47" t="s">
        <v>398</v>
      </c>
      <c r="B236" s="47"/>
      <c r="C236" s="47" t="s">
        <v>399</v>
      </c>
      <c r="D236" s="47" t="s">
        <v>137</v>
      </c>
      <c r="E236" s="47" t="s">
        <v>52</v>
      </c>
      <c r="F236" s="30">
        <v>552.0</v>
      </c>
      <c r="G236" s="30">
        <v>552.0</v>
      </c>
      <c r="H236" s="30">
        <v>500.0</v>
      </c>
      <c r="I236" s="47" t="s">
        <v>889</v>
      </c>
      <c r="J236" s="48">
        <v>46159.829039351855</v>
      </c>
      <c r="K236" s="49" t="s">
        <v>1193</v>
      </c>
      <c r="L236" s="30">
        <v>6.60652039E8</v>
      </c>
      <c r="M236" s="47" t="s">
        <v>856</v>
      </c>
      <c r="N236" s="30">
        <v>8.73860166E8</v>
      </c>
      <c r="O236" s="30">
        <v>2.0</v>
      </c>
      <c r="P236" s="30">
        <v>550.0</v>
      </c>
      <c r="Q236" s="30">
        <v>552.0</v>
      </c>
      <c r="R236" s="30">
        <v>559.0</v>
      </c>
      <c r="S236" s="47" t="b">
        <v>1</v>
      </c>
      <c r="T236" s="47" t="s">
        <v>891</v>
      </c>
      <c r="U236" s="30">
        <v>13.5</v>
      </c>
    </row>
    <row r="237">
      <c r="A237" s="47">
        <v>7.613287487728E12</v>
      </c>
      <c r="B237" s="47"/>
      <c r="C237" s="47" t="s">
        <v>400</v>
      </c>
      <c r="D237" s="47" t="s">
        <v>137</v>
      </c>
      <c r="E237" s="47" t="s">
        <v>52</v>
      </c>
      <c r="F237" s="30">
        <v>1190.0</v>
      </c>
      <c r="G237" s="30">
        <v>1190.0</v>
      </c>
      <c r="H237" s="30">
        <v>4.0</v>
      </c>
      <c r="I237" s="47" t="s">
        <v>889</v>
      </c>
      <c r="J237" s="48">
        <v>46159.829039351855</v>
      </c>
      <c r="K237" s="49" t="s">
        <v>1194</v>
      </c>
      <c r="L237" s="30">
        <v>6.7284155E8</v>
      </c>
      <c r="M237" s="47" t="s">
        <v>742</v>
      </c>
      <c r="N237" s="30">
        <v>8.90093405E8</v>
      </c>
      <c r="O237" s="30">
        <v>5.0</v>
      </c>
      <c r="P237" s="30">
        <v>1029.9</v>
      </c>
      <c r="Q237" s="30">
        <v>1031.15</v>
      </c>
      <c r="R237" s="30">
        <v>1090.0</v>
      </c>
      <c r="S237" s="47" t="b">
        <v>1</v>
      </c>
      <c r="T237" s="47" t="s">
        <v>891</v>
      </c>
      <c r="U237" s="30">
        <v>13.5</v>
      </c>
    </row>
    <row r="238">
      <c r="A238" s="47">
        <v>7.613035613898E12</v>
      </c>
      <c r="B238" s="47"/>
      <c r="C238" s="47" t="s">
        <v>401</v>
      </c>
      <c r="D238" s="47" t="s">
        <v>178</v>
      </c>
      <c r="E238" s="47" t="s">
        <v>72</v>
      </c>
      <c r="F238" s="30">
        <v>719.0</v>
      </c>
      <c r="G238" s="30">
        <v>719.0</v>
      </c>
      <c r="H238" s="30">
        <v>0.0</v>
      </c>
      <c r="I238" s="47" t="s">
        <v>899</v>
      </c>
      <c r="J238" s="48">
        <v>46063.020162037035</v>
      </c>
      <c r="K238" s="49" t="s">
        <v>1195</v>
      </c>
      <c r="L238" s="30">
        <v>3954931.0</v>
      </c>
      <c r="M238" s="47" t="s">
        <v>854</v>
      </c>
      <c r="N238" s="30">
        <v>1.6315929E7</v>
      </c>
      <c r="O238" s="30"/>
      <c r="P238" s="30"/>
      <c r="Q238" s="30"/>
      <c r="R238" s="30"/>
      <c r="S238" s="47"/>
      <c r="T238" s="47" t="s">
        <v>901</v>
      </c>
      <c r="U238" s="30">
        <v>16.5</v>
      </c>
    </row>
    <row r="239">
      <c r="A239" s="47" t="s">
        <v>402</v>
      </c>
      <c r="B239" s="47"/>
      <c r="C239" s="47" t="s">
        <v>403</v>
      </c>
      <c r="D239" s="47" t="s">
        <v>178</v>
      </c>
      <c r="E239" s="47" t="s">
        <v>72</v>
      </c>
      <c r="F239" s="30">
        <v>859.0</v>
      </c>
      <c r="G239" s="30">
        <v>859.0</v>
      </c>
      <c r="H239" s="30">
        <v>0.0</v>
      </c>
      <c r="I239" s="47" t="s">
        <v>899</v>
      </c>
      <c r="J239" s="48">
        <v>46159.829050925924</v>
      </c>
      <c r="K239" s="49" t="s">
        <v>1196</v>
      </c>
      <c r="L239" s="30">
        <v>7.56589622E8</v>
      </c>
      <c r="M239" s="47" t="s">
        <v>744</v>
      </c>
      <c r="N239" s="30">
        <v>9.96946466E8</v>
      </c>
      <c r="T239" s="47" t="s">
        <v>901</v>
      </c>
      <c r="U239" s="30">
        <v>16.5</v>
      </c>
    </row>
    <row r="240">
      <c r="A240" s="47">
        <v>7.613033635574E12</v>
      </c>
      <c r="C240" s="47" t="s">
        <v>404</v>
      </c>
      <c r="D240" s="47" t="s">
        <v>178</v>
      </c>
      <c r="E240" s="47" t="s">
        <v>72</v>
      </c>
      <c r="F240" s="30">
        <v>800.0</v>
      </c>
      <c r="G240" s="30">
        <v>800.0</v>
      </c>
      <c r="H240" s="30">
        <v>0.0</v>
      </c>
      <c r="I240" s="47" t="s">
        <v>899</v>
      </c>
      <c r="J240" s="48">
        <v>46063.12986111111</v>
      </c>
      <c r="K240" s="49" t="s">
        <v>1197</v>
      </c>
      <c r="L240" s="30">
        <v>6.5925216E7</v>
      </c>
      <c r="M240" s="47" t="s">
        <v>846</v>
      </c>
      <c r="N240" s="30">
        <v>1.14687364E8</v>
      </c>
      <c r="O240" s="30"/>
      <c r="P240" s="30"/>
      <c r="Q240" s="30"/>
      <c r="R240" s="30"/>
      <c r="S240" s="47"/>
      <c r="T240" s="47" t="s">
        <v>901</v>
      </c>
      <c r="U240" s="30">
        <v>16.5</v>
      </c>
    </row>
    <row r="241">
      <c r="A241" s="47">
        <v>8.445290099426E12</v>
      </c>
      <c r="C241" s="47" t="s">
        <v>405</v>
      </c>
      <c r="D241" s="47" t="s">
        <v>178</v>
      </c>
      <c r="E241" s="47" t="s">
        <v>72</v>
      </c>
      <c r="F241" s="30">
        <v>745.0</v>
      </c>
      <c r="G241" s="30">
        <v>745.0</v>
      </c>
      <c r="H241" s="30">
        <v>0.0</v>
      </c>
      <c r="I241" s="47" t="s">
        <v>899</v>
      </c>
      <c r="J241" s="48">
        <v>46063.20748842593</v>
      </c>
      <c r="K241" s="49" t="s">
        <v>1198</v>
      </c>
      <c r="L241" s="30">
        <v>7.50288775E8</v>
      </c>
      <c r="M241" s="47" t="s">
        <v>1199</v>
      </c>
      <c r="N241" s="30">
        <v>9.88051392E8</v>
      </c>
      <c r="T241" s="47" t="s">
        <v>901</v>
      </c>
      <c r="U241" s="30">
        <v>16.5</v>
      </c>
    </row>
    <row r="242">
      <c r="A242" s="47" t="s">
        <v>406</v>
      </c>
      <c r="C242" s="47" t="s">
        <v>407</v>
      </c>
      <c r="D242" s="47" t="s">
        <v>178</v>
      </c>
      <c r="E242" s="47" t="s">
        <v>72</v>
      </c>
      <c r="F242" s="30">
        <v>2999.0</v>
      </c>
      <c r="G242" s="30">
        <v>2999.0</v>
      </c>
      <c r="H242" s="30">
        <v>0.0</v>
      </c>
      <c r="I242" s="47" t="s">
        <v>899</v>
      </c>
      <c r="J242" s="48">
        <v>46063.06334490741</v>
      </c>
      <c r="K242" s="49" t="s">
        <v>1200</v>
      </c>
      <c r="L242" s="30">
        <v>1.044667976E9</v>
      </c>
      <c r="M242" s="47" t="s">
        <v>406</v>
      </c>
      <c r="N242" s="30">
        <v>1.445354635E9</v>
      </c>
      <c r="T242" s="47" t="s">
        <v>901</v>
      </c>
      <c r="U242" s="30">
        <v>16.5</v>
      </c>
    </row>
    <row r="243">
      <c r="A243" s="47">
        <v>4.0004872260361E15</v>
      </c>
      <c r="C243" s="47" t="s">
        <v>408</v>
      </c>
      <c r="D243" s="47" t="s">
        <v>137</v>
      </c>
      <c r="E243" s="47" t="s">
        <v>72</v>
      </c>
      <c r="F243" s="30">
        <v>2249.0</v>
      </c>
      <c r="G243" s="30">
        <v>2249.0</v>
      </c>
      <c r="H243" s="30">
        <v>185.0</v>
      </c>
      <c r="I243" s="47" t="s">
        <v>889</v>
      </c>
      <c r="J243" s="48">
        <v>46069.94222222222</v>
      </c>
      <c r="K243" s="49" t="s">
        <v>1201</v>
      </c>
      <c r="L243" s="30">
        <v>5.7363456E7</v>
      </c>
      <c r="M243" s="47" t="s">
        <v>747</v>
      </c>
      <c r="N243" s="30">
        <v>1.01619184E8</v>
      </c>
      <c r="O243" s="30">
        <v>1.0</v>
      </c>
      <c r="P243" s="30">
        <v>2249.0</v>
      </c>
      <c r="Q243" s="30">
        <v>2269.0</v>
      </c>
      <c r="R243" s="30">
        <v>2290.0</v>
      </c>
      <c r="S243" s="47" t="b">
        <v>1</v>
      </c>
      <c r="T243" s="47" t="s">
        <v>891</v>
      </c>
      <c r="U243" s="30">
        <v>16.5</v>
      </c>
    </row>
    <row r="244">
      <c r="A244" s="47" t="s">
        <v>409</v>
      </c>
      <c r="C244" s="47" t="s">
        <v>410</v>
      </c>
      <c r="D244" s="47" t="s">
        <v>137</v>
      </c>
      <c r="E244" s="47" t="s">
        <v>52</v>
      </c>
      <c r="F244" s="30">
        <v>1187.0</v>
      </c>
      <c r="G244" s="30">
        <v>1187.0</v>
      </c>
      <c r="H244" s="30">
        <v>498.0</v>
      </c>
      <c r="I244" s="47" t="s">
        <v>889</v>
      </c>
      <c r="J244" s="48">
        <v>46063.10837962963</v>
      </c>
      <c r="K244" s="49" t="s">
        <v>1202</v>
      </c>
      <c r="L244" s="30">
        <v>3.50327882E8</v>
      </c>
      <c r="M244" s="47" t="s">
        <v>828</v>
      </c>
      <c r="N244" s="30">
        <v>5.61986654E8</v>
      </c>
      <c r="O244" s="30">
        <v>1.0</v>
      </c>
      <c r="P244" s="30">
        <v>1187.0</v>
      </c>
      <c r="Q244" s="30">
        <v>1198.0</v>
      </c>
      <c r="R244" s="30">
        <v>1219.0</v>
      </c>
      <c r="S244" s="47" t="b">
        <v>1</v>
      </c>
      <c r="T244" s="47" t="s">
        <v>891</v>
      </c>
      <c r="U244" s="30">
        <v>13.5</v>
      </c>
    </row>
    <row r="245">
      <c r="A245" s="47" t="s">
        <v>411</v>
      </c>
      <c r="C245" s="47" t="s">
        <v>412</v>
      </c>
      <c r="D245" s="47" t="s">
        <v>187</v>
      </c>
      <c r="E245" s="47" t="s">
        <v>52</v>
      </c>
      <c r="F245" s="30">
        <v>781.0</v>
      </c>
      <c r="G245" s="30">
        <v>781.0</v>
      </c>
      <c r="H245" s="30">
        <v>58.0</v>
      </c>
      <c r="I245" s="47" t="s">
        <v>889</v>
      </c>
      <c r="J245" s="48">
        <v>46063.03292824074</v>
      </c>
      <c r="K245" s="49" t="s">
        <v>1203</v>
      </c>
      <c r="L245" s="30">
        <v>3.2555025E7</v>
      </c>
      <c r="M245" s="47" t="s">
        <v>802</v>
      </c>
      <c r="N245" s="30">
        <v>5.8611605E7</v>
      </c>
      <c r="O245" s="30">
        <v>2.0</v>
      </c>
      <c r="P245" s="30">
        <v>742.85</v>
      </c>
      <c r="Q245" s="30">
        <v>781.0</v>
      </c>
      <c r="R245" s="30">
        <v>788.0</v>
      </c>
      <c r="S245" s="47" t="b">
        <v>1</v>
      </c>
      <c r="T245" s="47" t="s">
        <v>891</v>
      </c>
      <c r="U245" s="30">
        <v>13.5</v>
      </c>
    </row>
    <row r="246">
      <c r="A246" s="47" t="s">
        <v>413</v>
      </c>
      <c r="C246" s="47" t="s">
        <v>414</v>
      </c>
      <c r="D246" s="47" t="s">
        <v>137</v>
      </c>
      <c r="E246" s="47" t="s">
        <v>52</v>
      </c>
      <c r="F246" s="30">
        <v>2179.0</v>
      </c>
      <c r="G246" s="30">
        <v>2179.0</v>
      </c>
      <c r="H246" s="30">
        <v>468.0</v>
      </c>
      <c r="I246" s="47" t="s">
        <v>889</v>
      </c>
      <c r="J246" s="48">
        <v>46063.08804398148</v>
      </c>
      <c r="K246" s="49" t="s">
        <v>1204</v>
      </c>
      <c r="L246" s="30">
        <v>2.51670055E8</v>
      </c>
      <c r="M246" s="47" t="s">
        <v>772</v>
      </c>
      <c r="N246" s="30">
        <v>4.02649477E8</v>
      </c>
      <c r="O246" s="30">
        <v>1.0</v>
      </c>
      <c r="P246" s="30">
        <v>2179.0</v>
      </c>
      <c r="Q246" s="30">
        <v>2215.9</v>
      </c>
      <c r="R246" s="30">
        <v>2218.0</v>
      </c>
      <c r="S246" s="47" t="b">
        <v>1</v>
      </c>
      <c r="T246" s="47" t="s">
        <v>891</v>
      </c>
      <c r="U246" s="30">
        <v>13.5</v>
      </c>
    </row>
    <row r="247">
      <c r="A247" s="47" t="s">
        <v>415</v>
      </c>
      <c r="C247" s="47" t="s">
        <v>416</v>
      </c>
      <c r="D247" s="47" t="s">
        <v>137</v>
      </c>
      <c r="E247" s="47" t="s">
        <v>52</v>
      </c>
      <c r="F247" s="30">
        <v>349.0</v>
      </c>
      <c r="G247" s="30">
        <v>349.0</v>
      </c>
      <c r="H247" s="30">
        <v>17.0</v>
      </c>
      <c r="I247" s="47" t="s">
        <v>889</v>
      </c>
      <c r="J247" s="48">
        <v>46063.18667824074</v>
      </c>
      <c r="K247" s="49" t="s">
        <v>1205</v>
      </c>
      <c r="L247" s="30">
        <v>4.46165898E8</v>
      </c>
      <c r="M247" s="47" t="s">
        <v>769</v>
      </c>
      <c r="N247" s="30">
        <v>6.39459846E8</v>
      </c>
      <c r="O247" s="30">
        <v>8.0</v>
      </c>
      <c r="P247" s="30">
        <v>310.9</v>
      </c>
      <c r="Q247" s="30">
        <v>314.99</v>
      </c>
      <c r="R247" s="30">
        <v>314.0</v>
      </c>
      <c r="S247" s="47" t="b">
        <v>1</v>
      </c>
      <c r="T247" s="47" t="s">
        <v>891</v>
      </c>
      <c r="U247" s="30">
        <v>13.5</v>
      </c>
    </row>
    <row r="248">
      <c r="A248" s="47">
        <v>4.54654654354534E14</v>
      </c>
      <c r="C248" s="47" t="s">
        <v>417</v>
      </c>
      <c r="D248" s="47" t="s">
        <v>137</v>
      </c>
      <c r="E248" s="47" t="s">
        <v>52</v>
      </c>
      <c r="F248" s="30">
        <v>637.0</v>
      </c>
      <c r="G248" s="30">
        <v>637.0</v>
      </c>
      <c r="H248" s="30">
        <v>488.0</v>
      </c>
      <c r="I248" s="47" t="s">
        <v>889</v>
      </c>
      <c r="J248" s="48">
        <v>46062.66300925926</v>
      </c>
      <c r="K248" s="49" t="s">
        <v>1206</v>
      </c>
      <c r="L248" s="30">
        <v>2.51659304E8</v>
      </c>
      <c r="M248" s="47" t="s">
        <v>783</v>
      </c>
      <c r="N248" s="30">
        <v>4.02632258E8</v>
      </c>
      <c r="O248" s="30">
        <v>2.0</v>
      </c>
      <c r="P248" s="30">
        <v>634.9</v>
      </c>
      <c r="Q248" s="30">
        <v>637.0</v>
      </c>
      <c r="R248" s="30">
        <v>650.0</v>
      </c>
      <c r="S248" s="47" t="b">
        <v>1</v>
      </c>
      <c r="T248" s="47" t="s">
        <v>891</v>
      </c>
      <c r="U248" s="30">
        <v>13.5</v>
      </c>
    </row>
    <row r="249">
      <c r="A249" s="47" t="s">
        <v>418</v>
      </c>
      <c r="C249" s="47" t="s">
        <v>419</v>
      </c>
      <c r="D249" s="47" t="s">
        <v>137</v>
      </c>
      <c r="E249" s="47" t="s">
        <v>52</v>
      </c>
      <c r="F249" s="30">
        <v>699.0</v>
      </c>
      <c r="G249" s="30">
        <v>699.0</v>
      </c>
      <c r="H249" s="30">
        <v>10.0</v>
      </c>
      <c r="I249" s="47" t="s">
        <v>889</v>
      </c>
      <c r="J249" s="48">
        <v>46159.829039351855</v>
      </c>
      <c r="K249" s="49" t="s">
        <v>1207</v>
      </c>
      <c r="L249" s="30">
        <v>2.51681087E8</v>
      </c>
      <c r="M249" s="47" t="s">
        <v>740</v>
      </c>
      <c r="N249" s="30">
        <v>4.02668223E8</v>
      </c>
      <c r="O249" s="30">
        <v>7.0</v>
      </c>
      <c r="P249" s="30">
        <v>578.99</v>
      </c>
      <c r="Q249" s="30">
        <v>580.9</v>
      </c>
      <c r="R249" s="30">
        <v>579.95</v>
      </c>
      <c r="S249" s="47" t="b">
        <v>1</v>
      </c>
      <c r="T249" s="47" t="s">
        <v>891</v>
      </c>
      <c r="U249" s="30">
        <v>13.5</v>
      </c>
    </row>
    <row r="250">
      <c r="A250" s="47" t="s">
        <v>420</v>
      </c>
      <c r="C250" s="47" t="s">
        <v>421</v>
      </c>
      <c r="D250" s="47" t="s">
        <v>137</v>
      </c>
      <c r="E250" s="47" t="s">
        <v>52</v>
      </c>
      <c r="F250" s="30">
        <v>699.0</v>
      </c>
      <c r="G250" s="30">
        <v>699.0</v>
      </c>
      <c r="H250" s="30">
        <v>5.0</v>
      </c>
      <c r="I250" s="47" t="s">
        <v>889</v>
      </c>
      <c r="J250" s="48">
        <v>46159.829039351855</v>
      </c>
      <c r="K250" s="49" t="s">
        <v>1208</v>
      </c>
      <c r="L250" s="30">
        <v>2.51674178E8</v>
      </c>
      <c r="M250" s="47" t="s">
        <v>810</v>
      </c>
      <c r="N250" s="30">
        <v>4.02656309E8</v>
      </c>
      <c r="O250" s="30">
        <v>6.0</v>
      </c>
      <c r="P250" s="30">
        <v>507.27</v>
      </c>
      <c r="Q250" s="30">
        <v>679.9</v>
      </c>
      <c r="R250" s="30">
        <v>699.0</v>
      </c>
      <c r="S250" s="47" t="b">
        <v>1</v>
      </c>
      <c r="T250" s="47" t="s">
        <v>891</v>
      </c>
      <c r="U250" s="30">
        <v>13.5</v>
      </c>
    </row>
    <row r="251">
      <c r="A251" s="47">
        <v>6.38929373773889E14</v>
      </c>
      <c r="C251" s="47" t="s">
        <v>422</v>
      </c>
      <c r="D251" s="47" t="s">
        <v>137</v>
      </c>
      <c r="E251" s="47" t="s">
        <v>52</v>
      </c>
      <c r="F251" s="30">
        <v>759.0</v>
      </c>
      <c r="G251" s="30">
        <v>759.0</v>
      </c>
      <c r="H251" s="30">
        <v>481.0</v>
      </c>
      <c r="I251" s="47" t="s">
        <v>889</v>
      </c>
      <c r="J251" s="48">
        <v>46063.07642361111</v>
      </c>
      <c r="K251" s="49" t="s">
        <v>1209</v>
      </c>
      <c r="L251" s="30">
        <v>9.6662799E7</v>
      </c>
      <c r="M251" s="47">
        <v>70.0</v>
      </c>
      <c r="N251" s="30">
        <v>1.61034175E8</v>
      </c>
      <c r="O251" s="30">
        <v>1.0</v>
      </c>
      <c r="P251" s="30">
        <v>759.0</v>
      </c>
      <c r="Q251" s="30">
        <v>785.0</v>
      </c>
      <c r="R251" s="30">
        <v>765.0</v>
      </c>
      <c r="S251" s="47" t="b">
        <v>1</v>
      </c>
      <c r="T251" s="47" t="s">
        <v>891</v>
      </c>
      <c r="U251" s="30">
        <v>13.5</v>
      </c>
    </row>
    <row r="252">
      <c r="A252" s="47">
        <v>7.613031680992E12</v>
      </c>
      <c r="B252" s="47"/>
      <c r="C252" s="47" t="s">
        <v>341</v>
      </c>
      <c r="D252" s="47" t="s">
        <v>187</v>
      </c>
      <c r="E252" s="47" t="s">
        <v>52</v>
      </c>
      <c r="F252" s="30">
        <v>796.0</v>
      </c>
      <c r="G252" s="30">
        <v>796.0</v>
      </c>
      <c r="H252" s="30">
        <v>65.0</v>
      </c>
      <c r="I252" s="47" t="s">
        <v>889</v>
      </c>
      <c r="J252" s="48">
        <v>46063.208969907406</v>
      </c>
      <c r="K252" s="49" t="s">
        <v>1210</v>
      </c>
      <c r="L252" s="30">
        <v>6353587.0</v>
      </c>
      <c r="M252" s="47">
        <v>7.613031680992E12</v>
      </c>
      <c r="N252" s="30">
        <v>2.0617168E7</v>
      </c>
      <c r="O252" s="30">
        <v>3.0</v>
      </c>
      <c r="P252" s="30">
        <v>806.44</v>
      </c>
      <c r="Q252" s="30">
        <v>800.0</v>
      </c>
      <c r="R252" s="30">
        <v>796.0</v>
      </c>
      <c r="S252" s="47" t="b">
        <v>1</v>
      </c>
      <c r="T252" s="47" t="s">
        <v>891</v>
      </c>
      <c r="U252" s="30">
        <v>13.5</v>
      </c>
    </row>
    <row r="253">
      <c r="A253" s="47">
        <v>9.225108931116E12</v>
      </c>
      <c r="C253" s="47" t="s">
        <v>423</v>
      </c>
      <c r="D253" s="47" t="s">
        <v>187</v>
      </c>
      <c r="E253" s="47" t="s">
        <v>52</v>
      </c>
      <c r="F253" s="30">
        <v>1050.0</v>
      </c>
      <c r="G253" s="30">
        <v>1050.0</v>
      </c>
      <c r="H253" s="30">
        <v>0.0</v>
      </c>
      <c r="I253" s="47" t="s">
        <v>899</v>
      </c>
      <c r="J253" s="48">
        <v>46063.066770833335</v>
      </c>
      <c r="K253" s="49" t="s">
        <v>1211</v>
      </c>
      <c r="L253" s="30">
        <v>1.20627098E8</v>
      </c>
      <c r="M253" s="47" t="s">
        <v>793</v>
      </c>
      <c r="N253" s="30">
        <v>1.94228282E8</v>
      </c>
      <c r="O253" s="30"/>
      <c r="P253" s="30"/>
      <c r="Q253" s="30"/>
      <c r="R253" s="30"/>
      <c r="S253" s="47"/>
      <c r="T253" s="47" t="s">
        <v>901</v>
      </c>
      <c r="U253" s="30">
        <v>13.5</v>
      </c>
    </row>
    <row r="254">
      <c r="A254" s="47">
        <v>7.613031384494E12</v>
      </c>
      <c r="C254" s="47" t="s">
        <v>424</v>
      </c>
      <c r="D254" s="47" t="s">
        <v>187</v>
      </c>
      <c r="E254" s="47" t="s">
        <v>52</v>
      </c>
      <c r="F254" s="30">
        <v>948.0</v>
      </c>
      <c r="G254" s="30">
        <v>948.0</v>
      </c>
      <c r="H254" s="30">
        <v>19.0</v>
      </c>
      <c r="I254" s="47" t="s">
        <v>889</v>
      </c>
      <c r="J254" s="48">
        <v>46063.216099537036</v>
      </c>
      <c r="K254" s="49" t="s">
        <v>1212</v>
      </c>
      <c r="L254" s="30">
        <v>6353569.0</v>
      </c>
      <c r="M254" s="47">
        <v>7.613031384494E12</v>
      </c>
      <c r="N254" s="30">
        <v>2.061715E7</v>
      </c>
      <c r="O254" s="30">
        <v>8.0</v>
      </c>
      <c r="P254" s="30">
        <v>799.0</v>
      </c>
      <c r="Q254" s="30">
        <v>799.0</v>
      </c>
      <c r="R254" s="30">
        <v>806.95</v>
      </c>
      <c r="S254" s="47" t="b">
        <v>1</v>
      </c>
      <c r="T254" s="47" t="s">
        <v>891</v>
      </c>
      <c r="U254" s="30">
        <v>13.5</v>
      </c>
    </row>
    <row r="255">
      <c r="A255" s="47">
        <v>7.8541239E7</v>
      </c>
      <c r="C255" s="47" t="s">
        <v>425</v>
      </c>
      <c r="D255" s="47" t="s">
        <v>53</v>
      </c>
      <c r="E255" s="47" t="s">
        <v>72</v>
      </c>
      <c r="F255" s="30">
        <v>0.0</v>
      </c>
      <c r="G255" s="30">
        <v>0.0</v>
      </c>
      <c r="H255" s="30">
        <v>0.0</v>
      </c>
      <c r="I255" s="47" t="s">
        <v>899</v>
      </c>
      <c r="J255" s="48">
        <v>46164.63303240741</v>
      </c>
      <c r="K255" s="49" t="s">
        <v>1213</v>
      </c>
      <c r="L255" s="30">
        <v>7.4405335E7</v>
      </c>
      <c r="M255" s="47">
        <v>785412.0</v>
      </c>
      <c r="N255" s="30">
        <v>1.27825832E8</v>
      </c>
      <c r="O255" s="30"/>
      <c r="P255" s="30"/>
      <c r="Q255" s="30"/>
      <c r="R255" s="30"/>
      <c r="S255" s="47"/>
      <c r="T255" s="47" t="s">
        <v>901</v>
      </c>
      <c r="U255" s="30">
        <v>12.5</v>
      </c>
    </row>
    <row r="256">
      <c r="A256" s="47">
        <v>3.182550816311E12</v>
      </c>
      <c r="C256" s="47" t="s">
        <v>426</v>
      </c>
      <c r="D256" s="47" t="s">
        <v>53</v>
      </c>
      <c r="E256" s="47" t="s">
        <v>72</v>
      </c>
      <c r="F256" s="30">
        <v>0.0</v>
      </c>
      <c r="G256" s="30">
        <v>0.0</v>
      </c>
      <c r="H256" s="30">
        <v>0.0</v>
      </c>
      <c r="I256" s="47" t="s">
        <v>899</v>
      </c>
      <c r="J256" s="48">
        <v>46164.63303240741</v>
      </c>
      <c r="K256" s="49" t="s">
        <v>1214</v>
      </c>
      <c r="L256" s="30">
        <v>925656.0</v>
      </c>
      <c r="M256" s="47" t="s">
        <v>1215</v>
      </c>
      <c r="N256" s="30">
        <v>1.0258198E7</v>
      </c>
      <c r="O256" s="30"/>
      <c r="P256" s="30"/>
      <c r="Q256" s="30"/>
      <c r="R256" s="30"/>
      <c r="S256" s="47"/>
      <c r="T256" s="47" t="s">
        <v>901</v>
      </c>
      <c r="U256" s="30">
        <v>12.5</v>
      </c>
    </row>
    <row r="257">
      <c r="A257" s="47" t="s">
        <v>427</v>
      </c>
      <c r="C257" s="47" t="s">
        <v>428</v>
      </c>
      <c r="D257" s="47" t="s">
        <v>50</v>
      </c>
      <c r="E257" s="47" t="s">
        <v>72</v>
      </c>
      <c r="F257" s="30">
        <v>2799.0</v>
      </c>
      <c r="G257" s="30">
        <v>2799.0</v>
      </c>
      <c r="H257" s="30">
        <v>2.0</v>
      </c>
      <c r="I257" s="47" t="s">
        <v>889</v>
      </c>
      <c r="J257" s="48">
        <v>46063.06506944444</v>
      </c>
      <c r="K257" s="49" t="s">
        <v>1216</v>
      </c>
      <c r="L257" s="30">
        <v>8.82402568E8</v>
      </c>
      <c r="M257" s="47" t="s">
        <v>765</v>
      </c>
      <c r="N257" s="30">
        <v>1.222687813E9</v>
      </c>
      <c r="O257" s="30">
        <v>24.0</v>
      </c>
      <c r="P257" s="30">
        <v>1750.0</v>
      </c>
      <c r="Q257" s="30">
        <v>1763.0</v>
      </c>
      <c r="R257" s="30">
        <v>1764.27</v>
      </c>
      <c r="S257" s="47" t="b">
        <v>1</v>
      </c>
      <c r="T257" s="47" t="s">
        <v>891</v>
      </c>
      <c r="U257" s="30">
        <v>12.5</v>
      </c>
    </row>
    <row r="258">
      <c r="A258" s="47" t="s">
        <v>429</v>
      </c>
      <c r="C258" s="47" t="s">
        <v>430</v>
      </c>
      <c r="D258" s="47" t="s">
        <v>50</v>
      </c>
      <c r="E258" s="47" t="s">
        <v>72</v>
      </c>
      <c r="F258" s="30">
        <v>1699.0</v>
      </c>
      <c r="G258" s="30">
        <v>1699.0</v>
      </c>
      <c r="H258" s="30">
        <v>1.0</v>
      </c>
      <c r="I258" s="47" t="s">
        <v>889</v>
      </c>
      <c r="J258" s="48">
        <v>46062.66923611111</v>
      </c>
      <c r="K258" s="49" t="s">
        <v>1217</v>
      </c>
      <c r="L258" s="30">
        <v>9.19959811E8</v>
      </c>
      <c r="M258" s="47" t="s">
        <v>752</v>
      </c>
      <c r="N258" s="30">
        <v>1.298756504E9</v>
      </c>
      <c r="O258" s="30">
        <v>38.0</v>
      </c>
      <c r="P258" s="30">
        <v>899.0</v>
      </c>
      <c r="Q258" s="30">
        <v>953.86</v>
      </c>
      <c r="R258" s="30">
        <v>949.0</v>
      </c>
      <c r="S258" s="47" t="b">
        <v>1</v>
      </c>
      <c r="T258" s="47" t="s">
        <v>891</v>
      </c>
      <c r="U258" s="30">
        <v>12.5</v>
      </c>
    </row>
    <row r="259">
      <c r="A259" s="47">
        <v>7.613035846708E12</v>
      </c>
      <c r="C259" s="47" t="s">
        <v>431</v>
      </c>
      <c r="D259" s="47" t="s">
        <v>50</v>
      </c>
      <c r="E259" s="47" t="s">
        <v>72</v>
      </c>
      <c r="F259" s="30">
        <v>1387.0</v>
      </c>
      <c r="G259" s="30">
        <v>1387.0</v>
      </c>
      <c r="H259" s="30">
        <v>3.0</v>
      </c>
      <c r="I259" s="47" t="s">
        <v>889</v>
      </c>
      <c r="J259" s="48">
        <v>46063.19063657407</v>
      </c>
      <c r="K259" s="49" t="s">
        <v>1218</v>
      </c>
      <c r="L259" s="30">
        <v>3.3694557E7</v>
      </c>
      <c r="M259" s="47">
        <v>1.2370531E7</v>
      </c>
      <c r="N259" s="30">
        <v>6.0429142E7</v>
      </c>
      <c r="O259" s="30">
        <v>3.0</v>
      </c>
      <c r="P259" s="30">
        <v>1388.0</v>
      </c>
      <c r="Q259" s="30">
        <v>1372.75</v>
      </c>
      <c r="R259" s="30">
        <v>1387.0</v>
      </c>
      <c r="S259" s="47" t="b">
        <v>1</v>
      </c>
      <c r="T259" s="47" t="s">
        <v>891</v>
      </c>
      <c r="U259" s="30">
        <v>12.5</v>
      </c>
    </row>
    <row r="260">
      <c r="A260" s="47">
        <v>7.301407035156E12</v>
      </c>
      <c r="C260" s="47" t="s">
        <v>432</v>
      </c>
      <c r="D260" s="47" t="s">
        <v>53</v>
      </c>
      <c r="E260" s="47" t="s">
        <v>72</v>
      </c>
      <c r="F260" s="30">
        <v>0.0</v>
      </c>
      <c r="G260" s="30">
        <v>0.0</v>
      </c>
      <c r="H260" s="30">
        <v>0.0</v>
      </c>
      <c r="I260" s="47" t="s">
        <v>899</v>
      </c>
      <c r="J260" s="48">
        <v>46164.63303240741</v>
      </c>
      <c r="K260" s="49" t="s">
        <v>1219</v>
      </c>
      <c r="L260" s="30">
        <v>8.19596947E8</v>
      </c>
      <c r="M260" s="47" t="s">
        <v>1220</v>
      </c>
      <c r="N260" s="30">
        <v>1.095104166E9</v>
      </c>
      <c r="O260" s="30"/>
      <c r="P260" s="30"/>
      <c r="Q260" s="30"/>
      <c r="R260" s="30"/>
      <c r="S260" s="47"/>
      <c r="T260" s="47" t="s">
        <v>901</v>
      </c>
      <c r="U260" s="30">
        <v>12.5</v>
      </c>
    </row>
    <row r="261">
      <c r="A261" s="47" t="s">
        <v>433</v>
      </c>
      <c r="C261" s="47" t="s">
        <v>434</v>
      </c>
      <c r="D261" s="47" t="s">
        <v>53</v>
      </c>
      <c r="E261" s="47" t="s">
        <v>72</v>
      </c>
      <c r="F261" s="30">
        <v>0.0</v>
      </c>
      <c r="G261" s="30">
        <v>0.0</v>
      </c>
      <c r="H261" s="30">
        <v>0.0</v>
      </c>
      <c r="I261" s="47" t="s">
        <v>899</v>
      </c>
      <c r="J261" s="48">
        <v>46164.63303240741</v>
      </c>
      <c r="K261" s="49" t="s">
        <v>1221</v>
      </c>
      <c r="L261" s="30">
        <v>7.0966135E8</v>
      </c>
      <c r="M261" s="47" t="s">
        <v>1222</v>
      </c>
      <c r="N261" s="30">
        <v>9.37029318E8</v>
      </c>
      <c r="O261" s="30"/>
      <c r="P261" s="30"/>
      <c r="Q261" s="30"/>
      <c r="R261" s="30"/>
      <c r="S261" s="47"/>
      <c r="T261" s="47" t="s">
        <v>901</v>
      </c>
      <c r="U261" s="30">
        <v>12.5</v>
      </c>
    </row>
    <row r="262">
      <c r="A262" s="47">
        <v>3.182550756402E12</v>
      </c>
      <c r="C262" s="47" t="s">
        <v>435</v>
      </c>
      <c r="D262" s="47" t="s">
        <v>53</v>
      </c>
      <c r="E262" s="47" t="s">
        <v>72</v>
      </c>
      <c r="F262" s="30">
        <v>0.0</v>
      </c>
      <c r="G262" s="30">
        <v>0.0</v>
      </c>
      <c r="H262" s="30">
        <v>0.0</v>
      </c>
      <c r="I262" s="47" t="s">
        <v>899</v>
      </c>
      <c r="J262" s="48">
        <v>46164.63303240741</v>
      </c>
      <c r="K262" s="49" t="s">
        <v>1223</v>
      </c>
      <c r="L262" s="30">
        <v>1914491.0</v>
      </c>
      <c r="M262" s="47">
        <v>3.182550756402E12</v>
      </c>
      <c r="N262" s="30">
        <v>1.1707227E7</v>
      </c>
      <c r="O262" s="30"/>
      <c r="P262" s="30"/>
      <c r="Q262" s="30"/>
      <c r="R262" s="30"/>
      <c r="S262" s="47"/>
      <c r="T262" s="47" t="s">
        <v>901</v>
      </c>
      <c r="U262" s="30">
        <v>12.5</v>
      </c>
    </row>
    <row r="263">
      <c r="A263" s="47">
        <v>3.182550737555E12</v>
      </c>
      <c r="C263" s="47" t="s">
        <v>436</v>
      </c>
      <c r="D263" s="47" t="s">
        <v>53</v>
      </c>
      <c r="E263" s="47" t="s">
        <v>72</v>
      </c>
      <c r="F263" s="30">
        <v>0.0</v>
      </c>
      <c r="G263" s="30">
        <v>0.0</v>
      </c>
      <c r="H263" s="30">
        <v>0.0</v>
      </c>
      <c r="I263" s="47" t="s">
        <v>899</v>
      </c>
      <c r="J263" s="48">
        <v>46164.63303240741</v>
      </c>
      <c r="K263" s="49" t="s">
        <v>1224</v>
      </c>
      <c r="L263" s="30">
        <v>1198982.0</v>
      </c>
      <c r="M263" s="47">
        <v>390107.0</v>
      </c>
      <c r="N263" s="30">
        <v>1.0688125E7</v>
      </c>
      <c r="O263" s="30"/>
      <c r="P263" s="30"/>
      <c r="Q263" s="30"/>
      <c r="R263" s="30"/>
      <c r="S263" s="47"/>
      <c r="T263" s="47" t="s">
        <v>901</v>
      </c>
      <c r="U263" s="30">
        <v>12.5</v>
      </c>
    </row>
    <row r="264">
      <c r="A264" s="47">
        <v>2.584503166745E12</v>
      </c>
      <c r="C264" s="47" t="s">
        <v>437</v>
      </c>
      <c r="D264" s="47" t="s">
        <v>50</v>
      </c>
      <c r="E264" s="47" t="s">
        <v>72</v>
      </c>
      <c r="F264" s="30">
        <v>4609.03</v>
      </c>
      <c r="G264" s="30">
        <v>4609.03</v>
      </c>
      <c r="H264" s="30">
        <v>97.0</v>
      </c>
      <c r="I264" s="47" t="s">
        <v>889</v>
      </c>
      <c r="J264" s="48">
        <v>46063.098541666666</v>
      </c>
      <c r="K264" s="49" t="s">
        <v>1225</v>
      </c>
      <c r="L264" s="30">
        <v>2.39426173E8</v>
      </c>
      <c r="M264" s="47" t="s">
        <v>776</v>
      </c>
      <c r="N264" s="30">
        <v>3.84613968E8</v>
      </c>
      <c r="O264" s="30">
        <v>15.0</v>
      </c>
      <c r="P264" s="30">
        <v>4080.0</v>
      </c>
      <c r="Q264" s="30">
        <v>4080.0</v>
      </c>
      <c r="R264" s="30">
        <v>4100.0</v>
      </c>
      <c r="S264" s="47" t="b">
        <v>1</v>
      </c>
      <c r="T264" s="47" t="s">
        <v>891</v>
      </c>
      <c r="U264" s="30">
        <v>12.5</v>
      </c>
    </row>
    <row r="265">
      <c r="A265" s="47" t="s">
        <v>438</v>
      </c>
      <c r="C265" s="47" t="s">
        <v>439</v>
      </c>
      <c r="D265" s="47" t="s">
        <v>53</v>
      </c>
      <c r="E265" s="47" t="s">
        <v>72</v>
      </c>
      <c r="F265" s="30">
        <v>0.0</v>
      </c>
      <c r="G265" s="30">
        <v>0.0</v>
      </c>
      <c r="H265" s="30">
        <v>0.0</v>
      </c>
      <c r="I265" s="47" t="s">
        <v>899</v>
      </c>
      <c r="J265" s="48">
        <v>46164.63303240741</v>
      </c>
      <c r="K265" s="49" t="s">
        <v>1226</v>
      </c>
      <c r="L265" s="30">
        <v>1.47042744E8</v>
      </c>
      <c r="M265" s="47" t="s">
        <v>1227</v>
      </c>
      <c r="N265" s="30">
        <v>2.46610193E8</v>
      </c>
      <c r="T265" s="47" t="s">
        <v>901</v>
      </c>
      <c r="U265" s="30">
        <v>12.5</v>
      </c>
    </row>
    <row r="266">
      <c r="A266" s="47" t="s">
        <v>440</v>
      </c>
      <c r="C266" s="47" t="s">
        <v>441</v>
      </c>
      <c r="D266" s="47" t="s">
        <v>137</v>
      </c>
      <c r="E266" s="47" t="s">
        <v>52</v>
      </c>
      <c r="F266" s="30">
        <v>1103.0</v>
      </c>
      <c r="G266" s="30">
        <v>1103.0</v>
      </c>
      <c r="H266" s="30">
        <v>447.0</v>
      </c>
      <c r="I266" s="47" t="s">
        <v>889</v>
      </c>
      <c r="J266" s="48">
        <v>46063.01550925926</v>
      </c>
      <c r="K266" s="49" t="s">
        <v>1228</v>
      </c>
      <c r="L266" s="30">
        <v>2.51658959E8</v>
      </c>
      <c r="M266" s="47" t="s">
        <v>763</v>
      </c>
      <c r="N266" s="30">
        <v>4.02631668E8</v>
      </c>
      <c r="O266" s="30">
        <v>2.0</v>
      </c>
      <c r="P266" s="30">
        <v>929.36</v>
      </c>
      <c r="Q266" s="30">
        <v>1103.0</v>
      </c>
      <c r="R266" s="30">
        <v>1124.0</v>
      </c>
      <c r="S266" s="47" t="b">
        <v>1</v>
      </c>
      <c r="T266" s="47" t="s">
        <v>891</v>
      </c>
      <c r="U266" s="30">
        <v>13.5</v>
      </c>
    </row>
    <row r="267">
      <c r="A267" s="47">
        <v>6.13033566523E11</v>
      </c>
      <c r="C267" s="47" t="s">
        <v>442</v>
      </c>
      <c r="D267" s="47" t="s">
        <v>50</v>
      </c>
      <c r="E267" s="47" t="s">
        <v>72</v>
      </c>
      <c r="F267" s="30">
        <v>4499.0</v>
      </c>
      <c r="G267" s="30">
        <v>4499.0</v>
      </c>
      <c r="H267" s="30">
        <v>99.0</v>
      </c>
      <c r="I267" s="47" t="s">
        <v>889</v>
      </c>
      <c r="J267" s="48">
        <v>46063.14199074074</v>
      </c>
      <c r="K267" s="49" t="s">
        <v>1229</v>
      </c>
      <c r="L267" s="30">
        <v>7.4116575E7</v>
      </c>
      <c r="M267" s="47" t="s">
        <v>746</v>
      </c>
      <c r="N267" s="30">
        <v>1.27405969E8</v>
      </c>
      <c r="O267" s="30">
        <v>14.0</v>
      </c>
      <c r="P267" s="30">
        <v>3998.0</v>
      </c>
      <c r="Q267" s="30">
        <v>4000.0</v>
      </c>
      <c r="R267" s="30">
        <v>4140.0</v>
      </c>
      <c r="S267" s="47" t="b">
        <v>1</v>
      </c>
      <c r="T267" s="47" t="s">
        <v>891</v>
      </c>
      <c r="U267" s="30">
        <v>12.5</v>
      </c>
    </row>
    <row r="268">
      <c r="A268" s="47">
        <v>8.6989950312022E13</v>
      </c>
      <c r="C268" s="47" t="s">
        <v>444</v>
      </c>
      <c r="D268" s="47" t="s">
        <v>443</v>
      </c>
      <c r="E268" s="47" t="s">
        <v>96</v>
      </c>
      <c r="F268" s="30">
        <v>0.0</v>
      </c>
      <c r="G268" s="30">
        <v>0.0</v>
      </c>
      <c r="H268" s="30">
        <v>0.0</v>
      </c>
      <c r="I268" s="47" t="s">
        <v>899</v>
      </c>
      <c r="J268" s="48">
        <v>46077.63015046297</v>
      </c>
      <c r="K268" s="49" t="s">
        <v>1230</v>
      </c>
      <c r="L268" s="30">
        <v>4.57192059E8</v>
      </c>
      <c r="M268" s="47" t="s">
        <v>1231</v>
      </c>
      <c r="N268" s="30">
        <v>6.52818859E8</v>
      </c>
      <c r="T268" s="47" t="s">
        <v>901</v>
      </c>
      <c r="U268" s="30">
        <v>9.0</v>
      </c>
    </row>
    <row r="269">
      <c r="A269" s="47">
        <v>3.182550721738E12</v>
      </c>
      <c r="C269" s="47" t="s">
        <v>445</v>
      </c>
      <c r="D269" s="47" t="s">
        <v>53</v>
      </c>
      <c r="E269" s="47" t="s">
        <v>72</v>
      </c>
      <c r="F269" s="30">
        <v>0.0</v>
      </c>
      <c r="G269" s="30">
        <v>0.0</v>
      </c>
      <c r="H269" s="30">
        <v>0.0</v>
      </c>
      <c r="I269" s="47" t="s">
        <v>899</v>
      </c>
      <c r="J269" s="48">
        <v>46164.63303240741</v>
      </c>
      <c r="K269" s="49" t="s">
        <v>1232</v>
      </c>
      <c r="L269" s="30">
        <v>750107.0</v>
      </c>
      <c r="M269" s="47" t="s">
        <v>1233</v>
      </c>
      <c r="N269" s="30">
        <v>1.0005629E7</v>
      </c>
      <c r="O269" s="30"/>
      <c r="P269" s="30"/>
      <c r="Q269" s="30"/>
      <c r="R269" s="30"/>
      <c r="S269" s="47"/>
      <c r="T269" s="47" t="s">
        <v>901</v>
      </c>
      <c r="U269" s="30">
        <v>12.5</v>
      </c>
    </row>
    <row r="270">
      <c r="A270" s="47">
        <v>8.652147545641E12</v>
      </c>
      <c r="B270" s="47" t="s">
        <v>447</v>
      </c>
      <c r="C270" s="47" t="s">
        <v>446</v>
      </c>
      <c r="D270" s="47" t="s">
        <v>296</v>
      </c>
      <c r="E270" s="47" t="s">
        <v>448</v>
      </c>
      <c r="F270" s="30">
        <v>249.99</v>
      </c>
      <c r="G270" s="30">
        <v>249.99</v>
      </c>
      <c r="H270" s="30">
        <v>845.0</v>
      </c>
      <c r="I270" s="47" t="s">
        <v>889</v>
      </c>
      <c r="J270" s="48">
        <v>46063.05199074074</v>
      </c>
      <c r="K270" s="49" t="s">
        <v>1234</v>
      </c>
      <c r="L270" s="30">
        <v>1.076606882E9</v>
      </c>
      <c r="M270" s="47" t="s">
        <v>1235</v>
      </c>
      <c r="N270" s="30">
        <v>1.487420659E9</v>
      </c>
      <c r="O270" s="30">
        <v>1.0</v>
      </c>
      <c r="P270" s="30">
        <v>249.99</v>
      </c>
      <c r="Q270" s="30"/>
      <c r="R270" s="30"/>
      <c r="S270" s="47" t="b">
        <v>0</v>
      </c>
      <c r="T270" s="47" t="s">
        <v>891</v>
      </c>
      <c r="U270" s="30">
        <v>20.0</v>
      </c>
    </row>
    <row r="271">
      <c r="A271" s="47">
        <v>8.010276045027E12</v>
      </c>
      <c r="C271" s="47" t="s">
        <v>449</v>
      </c>
      <c r="D271" s="47" t="s">
        <v>91</v>
      </c>
      <c r="E271" s="47" t="s">
        <v>72</v>
      </c>
      <c r="F271" s="30">
        <v>0.0</v>
      </c>
      <c r="G271" s="30">
        <v>0.0</v>
      </c>
      <c r="H271" s="30">
        <v>0.0</v>
      </c>
      <c r="I271" s="47" t="s">
        <v>899</v>
      </c>
      <c r="J271" s="48">
        <v>46164.64797453704</v>
      </c>
      <c r="K271" s="49" t="s">
        <v>1236</v>
      </c>
      <c r="L271" s="30">
        <v>8.96046506E8</v>
      </c>
      <c r="M271" s="47">
        <v>8.010276045027E12</v>
      </c>
      <c r="N271" s="30">
        <v>1.245161488E9</v>
      </c>
      <c r="O271" s="30"/>
      <c r="P271" s="30"/>
      <c r="Q271" s="30"/>
      <c r="R271" s="30"/>
      <c r="S271" s="47"/>
      <c r="T271" s="47" t="s">
        <v>901</v>
      </c>
      <c r="U271" s="30">
        <v>16.5</v>
      </c>
    </row>
    <row r="272">
      <c r="A272" s="47">
        <v>7.17627291911626E14</v>
      </c>
      <c r="C272" s="47" t="s">
        <v>451</v>
      </c>
      <c r="D272" s="47" t="s">
        <v>450</v>
      </c>
      <c r="E272" s="47" t="s">
        <v>72</v>
      </c>
      <c r="F272" s="30">
        <v>2715.0</v>
      </c>
      <c r="G272" s="30">
        <v>2715.0</v>
      </c>
      <c r="H272" s="30">
        <v>0.0</v>
      </c>
      <c r="I272" s="47" t="s">
        <v>899</v>
      </c>
      <c r="J272" s="48">
        <v>46063.081828703704</v>
      </c>
      <c r="K272" s="49" t="s">
        <v>1237</v>
      </c>
      <c r="L272" s="30">
        <v>1.076400058E9</v>
      </c>
      <c r="M272" s="47">
        <v>1.288873901E9</v>
      </c>
      <c r="N272" s="30">
        <v>1.487080541E9</v>
      </c>
      <c r="O272" s="30"/>
      <c r="P272" s="30"/>
      <c r="Q272" s="30"/>
      <c r="R272" s="30"/>
      <c r="S272" s="47"/>
      <c r="T272" s="47" t="s">
        <v>901</v>
      </c>
      <c r="U272" s="30">
        <v>16.5</v>
      </c>
    </row>
    <row r="273">
      <c r="A273" s="47" t="s">
        <v>452</v>
      </c>
      <c r="C273" s="47" t="s">
        <v>453</v>
      </c>
      <c r="D273" s="47" t="s">
        <v>333</v>
      </c>
      <c r="E273" s="47" t="s">
        <v>72</v>
      </c>
      <c r="F273" s="30">
        <v>2799.0</v>
      </c>
      <c r="G273" s="30">
        <v>2799.0</v>
      </c>
      <c r="H273" s="30">
        <v>1.0</v>
      </c>
      <c r="I273" s="47" t="s">
        <v>889</v>
      </c>
      <c r="J273" s="48">
        <v>46159.829039351855</v>
      </c>
      <c r="K273" s="49" t="s">
        <v>1238</v>
      </c>
      <c r="L273" s="30">
        <v>1.053406262E9</v>
      </c>
      <c r="M273" s="47" t="s">
        <v>1239</v>
      </c>
      <c r="N273" s="30">
        <v>1.457090503E9</v>
      </c>
      <c r="O273" s="30">
        <v>3.0</v>
      </c>
      <c r="P273" s="30">
        <v>2740.0</v>
      </c>
      <c r="Q273" s="30">
        <v>2750.0</v>
      </c>
      <c r="R273" s="30">
        <v>2799.0</v>
      </c>
      <c r="S273" s="47" t="b">
        <v>1</v>
      </c>
      <c r="T273" s="47" t="s">
        <v>891</v>
      </c>
      <c r="U273" s="30">
        <v>16.5</v>
      </c>
    </row>
    <row r="274">
      <c r="A274" s="47" t="s">
        <v>454</v>
      </c>
      <c r="B274" s="47" t="s">
        <v>456</v>
      </c>
      <c r="C274" s="47" t="s">
        <v>455</v>
      </c>
      <c r="D274" s="47" t="s">
        <v>296</v>
      </c>
      <c r="E274" s="47" t="s">
        <v>448</v>
      </c>
      <c r="F274" s="30">
        <v>249.99</v>
      </c>
      <c r="G274" s="30">
        <v>249.99</v>
      </c>
      <c r="H274" s="30">
        <v>0.0</v>
      </c>
      <c r="I274" s="47" t="s">
        <v>899</v>
      </c>
      <c r="J274" s="48">
        <v>46063.10130787037</v>
      </c>
      <c r="K274" s="49" t="s">
        <v>1240</v>
      </c>
      <c r="L274" s="30">
        <v>1.075834202E9</v>
      </c>
      <c r="M274" s="47" t="s">
        <v>1241</v>
      </c>
      <c r="N274" s="30">
        <v>1.486329308E9</v>
      </c>
      <c r="T274" s="47" t="s">
        <v>901</v>
      </c>
      <c r="U274" s="30">
        <v>20.0</v>
      </c>
    </row>
    <row r="275">
      <c r="A275" s="47" t="s">
        <v>457</v>
      </c>
      <c r="B275" s="47" t="s">
        <v>458</v>
      </c>
      <c r="C275" s="47" t="s">
        <v>455</v>
      </c>
      <c r="D275" s="47" t="s">
        <v>296</v>
      </c>
      <c r="E275" s="47" t="s">
        <v>448</v>
      </c>
      <c r="F275" s="30">
        <v>249.99</v>
      </c>
      <c r="G275" s="30">
        <v>249.99</v>
      </c>
      <c r="H275" s="30">
        <v>987.0</v>
      </c>
      <c r="I275" s="47" t="s">
        <v>889</v>
      </c>
      <c r="J275" s="48">
        <v>46062.60488425926</v>
      </c>
      <c r="K275" s="49" t="s">
        <v>1242</v>
      </c>
      <c r="L275" s="30">
        <v>1.075834194E9</v>
      </c>
      <c r="M275" s="47" t="s">
        <v>1241</v>
      </c>
      <c r="N275" s="30">
        <v>1.486329288E9</v>
      </c>
      <c r="O275" s="30">
        <v>1.0</v>
      </c>
      <c r="P275" s="30">
        <v>249.99</v>
      </c>
      <c r="Q275" s="30"/>
      <c r="R275" s="30"/>
      <c r="S275" s="47" t="b">
        <v>0</v>
      </c>
      <c r="T275" s="47" t="s">
        <v>891</v>
      </c>
      <c r="U275" s="30">
        <v>20.0</v>
      </c>
    </row>
    <row r="276">
      <c r="A276" s="47" t="s">
        <v>459</v>
      </c>
      <c r="C276" s="47" t="s">
        <v>460</v>
      </c>
      <c r="D276" s="47" t="s">
        <v>272</v>
      </c>
      <c r="E276" s="47" t="s">
        <v>52</v>
      </c>
      <c r="F276" s="30">
        <v>1100.0</v>
      </c>
      <c r="G276" s="30">
        <v>1100.0</v>
      </c>
      <c r="H276" s="30">
        <v>71.0</v>
      </c>
      <c r="I276" s="47" t="s">
        <v>889</v>
      </c>
      <c r="J276" s="48">
        <v>46063.13821759259</v>
      </c>
      <c r="K276" s="49" t="s">
        <v>1243</v>
      </c>
      <c r="L276" s="30">
        <v>9.73412587E8</v>
      </c>
      <c r="M276" s="47" t="s">
        <v>652</v>
      </c>
      <c r="N276" s="30">
        <v>1.37607266E9</v>
      </c>
      <c r="O276" s="30">
        <v>4.0</v>
      </c>
      <c r="P276" s="30">
        <v>1025.95</v>
      </c>
      <c r="Q276" s="30">
        <v>1025.0</v>
      </c>
      <c r="R276" s="30">
        <v>1070.0</v>
      </c>
      <c r="S276" s="47" t="b">
        <v>1</v>
      </c>
      <c r="T276" s="47" t="s">
        <v>891</v>
      </c>
      <c r="U276" s="30">
        <v>16.5</v>
      </c>
    </row>
    <row r="277">
      <c r="A277" s="47">
        <v>1.12201912E8</v>
      </c>
      <c r="C277" s="47" t="s">
        <v>461</v>
      </c>
      <c r="D277" s="47" t="s">
        <v>53</v>
      </c>
      <c r="E277" s="47" t="s">
        <v>59</v>
      </c>
      <c r="F277" s="30">
        <v>0.0</v>
      </c>
      <c r="G277" s="30">
        <v>0.0</v>
      </c>
      <c r="H277" s="30">
        <v>0.0</v>
      </c>
      <c r="I277" s="47" t="s">
        <v>899</v>
      </c>
      <c r="J277" s="48">
        <v>46161.63481481482</v>
      </c>
      <c r="K277" s="49" t="s">
        <v>1244</v>
      </c>
      <c r="L277" s="30">
        <v>3.9590732E7</v>
      </c>
      <c r="M277" s="47">
        <v>1122012.0</v>
      </c>
      <c r="N277" s="30">
        <v>7.0078908E7</v>
      </c>
      <c r="O277" s="30"/>
      <c r="P277" s="30"/>
      <c r="Q277" s="30"/>
      <c r="R277" s="30"/>
      <c r="S277" s="47"/>
      <c r="T277" s="47" t="s">
        <v>901</v>
      </c>
      <c r="U277" s="30">
        <v>12.5</v>
      </c>
    </row>
    <row r="278">
      <c r="A278" s="47" t="s">
        <v>462</v>
      </c>
      <c r="C278" s="47" t="s">
        <v>463</v>
      </c>
      <c r="D278" s="47" t="s">
        <v>53</v>
      </c>
      <c r="E278" s="47" t="s">
        <v>72</v>
      </c>
      <c r="F278" s="30">
        <v>0.0</v>
      </c>
      <c r="G278" s="30">
        <v>0.0</v>
      </c>
      <c r="H278" s="30">
        <v>0.0</v>
      </c>
      <c r="I278" s="47" t="s">
        <v>899</v>
      </c>
      <c r="J278" s="48">
        <v>46164.63303240741</v>
      </c>
      <c r="K278" s="49" t="s">
        <v>1245</v>
      </c>
      <c r="L278" s="30">
        <v>1.056284843E9</v>
      </c>
      <c r="M278" s="47" t="s">
        <v>1246</v>
      </c>
      <c r="N278" s="30">
        <v>1.461002133E9</v>
      </c>
      <c r="O278" s="30"/>
      <c r="P278" s="30"/>
      <c r="Q278" s="30"/>
      <c r="R278" s="30"/>
      <c r="S278" s="47"/>
      <c r="T278" s="47" t="s">
        <v>901</v>
      </c>
      <c r="U278" s="30">
        <v>12.5</v>
      </c>
    </row>
    <row r="279">
      <c r="A279" s="47">
        <v>702614.0</v>
      </c>
      <c r="C279" s="47" t="s">
        <v>463</v>
      </c>
      <c r="D279" s="47" t="s">
        <v>53</v>
      </c>
      <c r="E279" s="47" t="s">
        <v>72</v>
      </c>
      <c r="F279" s="30">
        <v>0.0</v>
      </c>
      <c r="G279" s="30">
        <v>0.0</v>
      </c>
      <c r="H279" s="30">
        <v>0.0</v>
      </c>
      <c r="I279" s="47" t="s">
        <v>899</v>
      </c>
      <c r="J279" s="48">
        <v>46164.63303240741</v>
      </c>
      <c r="K279" s="49" t="s">
        <v>1245</v>
      </c>
      <c r="L279" s="30">
        <v>1.056284843E9</v>
      </c>
      <c r="M279" s="47" t="s">
        <v>1246</v>
      </c>
      <c r="N279" s="30">
        <v>1.461002133E9</v>
      </c>
      <c r="O279" s="30"/>
      <c r="P279" s="30"/>
      <c r="Q279" s="30"/>
      <c r="R279" s="30"/>
      <c r="S279" s="47"/>
      <c r="T279" s="47" t="s">
        <v>901</v>
      </c>
      <c r="U279" s="30">
        <v>12.5</v>
      </c>
    </row>
    <row r="280">
      <c r="A280" s="47">
        <v>4.53481343543E11</v>
      </c>
      <c r="C280" s="47" t="s">
        <v>465</v>
      </c>
      <c r="D280" s="47" t="s">
        <v>464</v>
      </c>
      <c r="E280" s="47" t="s">
        <v>72</v>
      </c>
      <c r="F280" s="30">
        <v>1999.0</v>
      </c>
      <c r="G280" s="30">
        <v>1999.0</v>
      </c>
      <c r="H280" s="30">
        <v>2.0</v>
      </c>
      <c r="I280" s="47" t="s">
        <v>889</v>
      </c>
      <c r="J280" s="48">
        <v>46162.60282407407</v>
      </c>
      <c r="K280" s="49" t="s">
        <v>1247</v>
      </c>
      <c r="L280" s="30">
        <v>7.97384179E8</v>
      </c>
      <c r="M280" s="47" t="s">
        <v>762</v>
      </c>
      <c r="N280" s="30">
        <v>1.059712676E9</v>
      </c>
      <c r="O280" s="30">
        <v>2.0</v>
      </c>
      <c r="P280" s="30">
        <v>1700.0</v>
      </c>
      <c r="Q280" s="30">
        <v>1999.0</v>
      </c>
      <c r="R280" s="30">
        <v>1999.0</v>
      </c>
      <c r="S280" s="47" t="b">
        <v>1</v>
      </c>
      <c r="T280" s="47" t="s">
        <v>891</v>
      </c>
      <c r="U280" s="30">
        <v>16.5</v>
      </c>
    </row>
    <row r="281">
      <c r="A281" s="47" t="s">
        <v>466</v>
      </c>
      <c r="C281" s="47" t="s">
        <v>467</v>
      </c>
      <c r="D281" s="47" t="s">
        <v>53</v>
      </c>
      <c r="E281" s="47" t="s">
        <v>72</v>
      </c>
      <c r="F281" s="30">
        <v>0.0</v>
      </c>
      <c r="G281" s="30">
        <v>0.0</v>
      </c>
      <c r="H281" s="30">
        <v>0.0</v>
      </c>
      <c r="I281" s="47" t="s">
        <v>899</v>
      </c>
      <c r="J281" s="48">
        <v>46164.63303240741</v>
      </c>
      <c r="K281" s="49" t="s">
        <v>1248</v>
      </c>
      <c r="L281" s="30">
        <v>9.94127411E8</v>
      </c>
      <c r="M281" s="47" t="s">
        <v>1249</v>
      </c>
      <c r="N281" s="30">
        <v>1.405094867E9</v>
      </c>
      <c r="O281" s="30"/>
      <c r="P281" s="30"/>
      <c r="Q281" s="30"/>
      <c r="R281" s="30"/>
      <c r="S281" s="47"/>
      <c r="T281" s="47" t="s">
        <v>901</v>
      </c>
      <c r="U281" s="30">
        <v>12.5</v>
      </c>
    </row>
    <row r="282">
      <c r="A282" s="47">
        <v>8.010276042163E12</v>
      </c>
      <c r="B282" s="47"/>
      <c r="C282" s="47" t="s">
        <v>468</v>
      </c>
      <c r="D282" s="47" t="s">
        <v>91</v>
      </c>
      <c r="E282" s="47" t="s">
        <v>72</v>
      </c>
      <c r="F282" s="30">
        <v>1037.0</v>
      </c>
      <c r="G282" s="30">
        <v>1037.0</v>
      </c>
      <c r="H282" s="30">
        <v>5.0</v>
      </c>
      <c r="I282" s="47" t="s">
        <v>889</v>
      </c>
      <c r="J282" s="48">
        <v>46164.64797453704</v>
      </c>
      <c r="K282" s="49" t="s">
        <v>1250</v>
      </c>
      <c r="L282" s="30">
        <v>7.58829205E8</v>
      </c>
      <c r="M282" s="47">
        <v>8.010276042163E12</v>
      </c>
      <c r="N282" s="30">
        <v>1.000283338E9</v>
      </c>
      <c r="O282" s="30">
        <v>1.0</v>
      </c>
      <c r="P282" s="30">
        <v>1037.0</v>
      </c>
      <c r="Q282" s="30">
        <v>1045.59</v>
      </c>
      <c r="R282" s="30">
        <v>1049.0</v>
      </c>
      <c r="S282" s="47" t="b">
        <v>1</v>
      </c>
      <c r="T282" s="47" t="s">
        <v>891</v>
      </c>
      <c r="U282" s="30">
        <v>16.5</v>
      </c>
    </row>
    <row r="283">
      <c r="A283" s="47">
        <v>8.010276020208E12</v>
      </c>
      <c r="B283" s="47"/>
      <c r="C283" s="47" t="s">
        <v>469</v>
      </c>
      <c r="D283" s="47" t="s">
        <v>91</v>
      </c>
      <c r="E283" s="47" t="s">
        <v>72</v>
      </c>
      <c r="F283" s="30">
        <v>0.0</v>
      </c>
      <c r="G283" s="30">
        <v>0.0</v>
      </c>
      <c r="H283" s="30">
        <v>0.0</v>
      </c>
      <c r="I283" s="47" t="s">
        <v>899</v>
      </c>
      <c r="J283" s="48">
        <v>46164.647986111115</v>
      </c>
      <c r="K283" s="49" t="s">
        <v>1251</v>
      </c>
      <c r="L283" s="30">
        <v>1914222.0</v>
      </c>
      <c r="M283" s="47">
        <v>8.010276020208E12</v>
      </c>
      <c r="N283" s="30">
        <v>1.1707211E7</v>
      </c>
      <c r="T283" s="47" t="s">
        <v>901</v>
      </c>
      <c r="U283" s="30">
        <v>16.5</v>
      </c>
    </row>
    <row r="284">
      <c r="A284" s="47">
        <v>8.0102760422E12</v>
      </c>
      <c r="B284" s="47"/>
      <c r="C284" s="47" t="s">
        <v>470</v>
      </c>
      <c r="D284" s="47" t="s">
        <v>91</v>
      </c>
      <c r="E284" s="47" t="s">
        <v>72</v>
      </c>
      <c r="F284" s="30">
        <v>1079.0</v>
      </c>
      <c r="G284" s="30">
        <v>1079.0</v>
      </c>
      <c r="H284" s="30">
        <v>5.0</v>
      </c>
      <c r="I284" s="47" t="s">
        <v>889</v>
      </c>
      <c r="J284" s="48">
        <v>46164.64797453704</v>
      </c>
      <c r="K284" s="49" t="s">
        <v>1252</v>
      </c>
      <c r="L284" s="30">
        <v>7.58806159E8</v>
      </c>
      <c r="M284" s="47">
        <v>8.0102760422E12</v>
      </c>
      <c r="N284" s="30">
        <v>1.000238664E9</v>
      </c>
      <c r="O284" s="30">
        <v>2.0</v>
      </c>
      <c r="P284" s="30">
        <v>1085.0</v>
      </c>
      <c r="Q284" s="30">
        <v>1079.0</v>
      </c>
      <c r="R284" s="30">
        <v>1090.0</v>
      </c>
      <c r="S284" s="47" t="b">
        <v>1</v>
      </c>
      <c r="T284" s="47" t="s">
        <v>891</v>
      </c>
      <c r="U284" s="30">
        <v>16.5</v>
      </c>
    </row>
    <row r="285">
      <c r="A285" s="47">
        <v>8.010276042125E12</v>
      </c>
      <c r="C285" s="47" t="s">
        <v>471</v>
      </c>
      <c r="D285" s="47" t="s">
        <v>91</v>
      </c>
      <c r="E285" s="47" t="s">
        <v>72</v>
      </c>
      <c r="F285" s="30">
        <v>1041.0</v>
      </c>
      <c r="G285" s="30">
        <v>1041.0</v>
      </c>
      <c r="H285" s="30">
        <v>20.0</v>
      </c>
      <c r="I285" s="47" t="s">
        <v>889</v>
      </c>
      <c r="J285" s="48">
        <v>46164.64797453704</v>
      </c>
      <c r="K285" s="49" t="s">
        <v>1253</v>
      </c>
      <c r="L285" s="30">
        <v>7.53786209E8</v>
      </c>
      <c r="M285" s="47">
        <v>8.010276042125E12</v>
      </c>
      <c r="N285" s="30">
        <v>9.92845885E8</v>
      </c>
      <c r="O285" s="30">
        <v>1.0</v>
      </c>
      <c r="P285" s="30">
        <v>1041.0</v>
      </c>
      <c r="Q285" s="30">
        <v>1049.9</v>
      </c>
      <c r="R285" s="30">
        <v>1049.0</v>
      </c>
      <c r="S285" s="47" t="b">
        <v>1</v>
      </c>
      <c r="T285" s="47" t="s">
        <v>891</v>
      </c>
      <c r="U285" s="30">
        <v>16.5</v>
      </c>
    </row>
    <row r="286">
      <c r="A286" s="47">
        <v>6.0598078545E10</v>
      </c>
      <c r="C286" s="47" t="s">
        <v>472</v>
      </c>
      <c r="D286" s="47" t="s">
        <v>229</v>
      </c>
      <c r="E286" s="47" t="s">
        <v>72</v>
      </c>
      <c r="F286" s="30">
        <v>1320.0</v>
      </c>
      <c r="G286" s="30">
        <v>1320.0</v>
      </c>
      <c r="H286" s="30">
        <v>0.0</v>
      </c>
      <c r="I286" s="47" t="s">
        <v>899</v>
      </c>
      <c r="J286" s="48">
        <v>46062.609606481485</v>
      </c>
      <c r="K286" s="49" t="s">
        <v>1254</v>
      </c>
      <c r="L286" s="30">
        <v>9.75162955E8</v>
      </c>
      <c r="M286" s="47" t="s">
        <v>820</v>
      </c>
      <c r="N286" s="30">
        <v>1.37827233E9</v>
      </c>
      <c r="O286" s="30"/>
      <c r="P286" s="30"/>
      <c r="Q286" s="30"/>
      <c r="R286" s="30"/>
      <c r="S286" s="47"/>
      <c r="T286" s="47" t="s">
        <v>901</v>
      </c>
      <c r="U286" s="30">
        <v>12.5</v>
      </c>
    </row>
    <row r="287">
      <c r="A287" s="47">
        <v>4.290919942723E12</v>
      </c>
      <c r="C287" s="47" t="s">
        <v>473</v>
      </c>
      <c r="D287" s="47" t="s">
        <v>229</v>
      </c>
      <c r="E287" s="47" t="s">
        <v>72</v>
      </c>
      <c r="F287" s="30">
        <v>2329.0</v>
      </c>
      <c r="G287" s="30">
        <v>2329.0</v>
      </c>
      <c r="H287" s="30">
        <v>0.0</v>
      </c>
      <c r="I287" s="47" t="s">
        <v>899</v>
      </c>
      <c r="J287" s="48">
        <v>46146.95584490741</v>
      </c>
      <c r="K287" s="49" t="s">
        <v>1255</v>
      </c>
      <c r="L287" s="30">
        <v>8.70554456E8</v>
      </c>
      <c r="M287" s="47" t="s">
        <v>804</v>
      </c>
      <c r="N287" s="30">
        <v>1.186823006E9</v>
      </c>
      <c r="O287" s="30"/>
      <c r="P287" s="30"/>
      <c r="Q287" s="30"/>
      <c r="R287" s="30"/>
      <c r="S287" s="47"/>
      <c r="T287" s="47" t="s">
        <v>901</v>
      </c>
      <c r="U287" s="30">
        <v>12.5</v>
      </c>
    </row>
    <row r="288">
      <c r="A288" s="47">
        <v>1.245896784512E12</v>
      </c>
      <c r="C288" s="47" t="s">
        <v>474</v>
      </c>
      <c r="D288" s="47" t="s">
        <v>229</v>
      </c>
      <c r="E288" s="47" t="s">
        <v>72</v>
      </c>
      <c r="F288" s="30">
        <v>1398.0</v>
      </c>
      <c r="G288" s="30">
        <v>1398.0</v>
      </c>
      <c r="H288" s="30">
        <v>0.0</v>
      </c>
      <c r="I288" s="47" t="s">
        <v>899</v>
      </c>
      <c r="J288" s="48">
        <v>46062.64572916667</v>
      </c>
      <c r="K288" s="49" t="s">
        <v>1256</v>
      </c>
      <c r="L288" s="30">
        <v>9.59487629E8</v>
      </c>
      <c r="M288" s="47" t="s">
        <v>861</v>
      </c>
      <c r="N288" s="30">
        <v>1.357869603E9</v>
      </c>
      <c r="O288" s="30"/>
      <c r="P288" s="30"/>
      <c r="Q288" s="30"/>
      <c r="R288" s="30"/>
      <c r="S288" s="47"/>
      <c r="T288" s="47" t="s">
        <v>901</v>
      </c>
      <c r="U288" s="30">
        <v>12.5</v>
      </c>
    </row>
    <row r="289">
      <c r="A289" s="47" t="s">
        <v>475</v>
      </c>
      <c r="C289" s="47" t="s">
        <v>476</v>
      </c>
      <c r="D289" s="47" t="s">
        <v>333</v>
      </c>
      <c r="E289" s="47" t="s">
        <v>72</v>
      </c>
      <c r="F289" s="30">
        <v>5950.0</v>
      </c>
      <c r="G289" s="30">
        <v>5950.0</v>
      </c>
      <c r="H289" s="30">
        <v>0.0</v>
      </c>
      <c r="I289" s="47" t="s">
        <v>899</v>
      </c>
      <c r="J289" s="48">
        <v>46063.21359953703</v>
      </c>
      <c r="K289" s="49" t="s">
        <v>1257</v>
      </c>
      <c r="L289" s="30">
        <v>1.066229951E9</v>
      </c>
      <c r="M289" s="47" t="s">
        <v>866</v>
      </c>
      <c r="N289" s="30">
        <v>1.474320228E9</v>
      </c>
      <c r="O289" s="30"/>
      <c r="P289" s="30"/>
      <c r="Q289" s="30"/>
      <c r="R289" s="30"/>
      <c r="S289" s="47"/>
      <c r="T289" s="47" t="s">
        <v>901</v>
      </c>
      <c r="U289" s="30">
        <v>16.5</v>
      </c>
    </row>
    <row r="290">
      <c r="A290" s="47" t="s">
        <v>477</v>
      </c>
      <c r="C290" s="47" t="s">
        <v>478</v>
      </c>
      <c r="D290" s="47" t="s">
        <v>450</v>
      </c>
      <c r="E290" s="47" t="s">
        <v>59</v>
      </c>
      <c r="F290" s="30">
        <v>1840.0</v>
      </c>
      <c r="G290" s="30">
        <v>1840.0</v>
      </c>
      <c r="H290" s="30">
        <v>0.0</v>
      </c>
      <c r="I290" s="47" t="s">
        <v>899</v>
      </c>
      <c r="J290" s="48">
        <v>46063.078206018516</v>
      </c>
      <c r="K290" s="49" t="s">
        <v>1258</v>
      </c>
      <c r="L290" s="30">
        <v>1.038210254E9</v>
      </c>
      <c r="M290" s="47" t="s">
        <v>1259</v>
      </c>
      <c r="N290" s="30">
        <v>1.436172508E9</v>
      </c>
      <c r="O290" s="30"/>
      <c r="P290" s="30"/>
      <c r="Q290" s="30"/>
      <c r="R290" s="30"/>
      <c r="S290" s="47"/>
      <c r="T290" s="47" t="s">
        <v>901</v>
      </c>
      <c r="U290" s="30">
        <v>16.5</v>
      </c>
    </row>
    <row r="291">
      <c r="A291" s="47">
        <v>4.290919942719E12</v>
      </c>
      <c r="C291" s="47" t="s">
        <v>479</v>
      </c>
      <c r="D291" s="47" t="s">
        <v>229</v>
      </c>
      <c r="E291" s="47" t="s">
        <v>72</v>
      </c>
      <c r="F291" s="30">
        <v>2499.0</v>
      </c>
      <c r="G291" s="30">
        <v>2499.0</v>
      </c>
      <c r="H291" s="30">
        <v>0.0</v>
      </c>
      <c r="I291" s="47" t="s">
        <v>899</v>
      </c>
      <c r="J291" s="48">
        <v>46146.93921296296</v>
      </c>
      <c r="K291" s="49" t="s">
        <v>1260</v>
      </c>
      <c r="L291" s="30">
        <v>8.70554509E8</v>
      </c>
      <c r="M291" s="47" t="s">
        <v>826</v>
      </c>
      <c r="N291" s="30">
        <v>1.186823204E9</v>
      </c>
      <c r="O291" s="30"/>
      <c r="P291" s="30"/>
      <c r="Q291" s="30"/>
      <c r="R291" s="30"/>
      <c r="S291" s="47"/>
      <c r="T291" s="47" t="s">
        <v>901</v>
      </c>
      <c r="U291" s="30">
        <v>12.5</v>
      </c>
    </row>
    <row r="292">
      <c r="A292" s="47" t="s">
        <v>480</v>
      </c>
      <c r="C292" s="47" t="s">
        <v>481</v>
      </c>
      <c r="D292" s="47" t="s">
        <v>229</v>
      </c>
      <c r="E292" s="47" t="s">
        <v>72</v>
      </c>
      <c r="F292" s="30">
        <v>1249.0</v>
      </c>
      <c r="G292" s="30">
        <v>1249.0</v>
      </c>
      <c r="H292" s="30">
        <v>0.0</v>
      </c>
      <c r="I292" s="47" t="s">
        <v>899</v>
      </c>
      <c r="J292" s="48">
        <v>46146.900925925926</v>
      </c>
      <c r="K292" s="49" t="s">
        <v>1261</v>
      </c>
      <c r="L292" s="30">
        <v>9.70662688E8</v>
      </c>
      <c r="M292" s="47" t="s">
        <v>825</v>
      </c>
      <c r="N292" s="30">
        <v>1.37249392E9</v>
      </c>
      <c r="O292" s="30"/>
      <c r="P292" s="30"/>
      <c r="Q292" s="30"/>
      <c r="R292" s="30"/>
      <c r="S292" s="47"/>
      <c r="T292" s="47" t="s">
        <v>901</v>
      </c>
      <c r="U292" s="30">
        <v>12.5</v>
      </c>
    </row>
    <row r="293">
      <c r="A293" s="47">
        <v>5.2742043814E10</v>
      </c>
      <c r="C293" s="47" t="s">
        <v>482</v>
      </c>
      <c r="D293" s="47" t="s">
        <v>229</v>
      </c>
      <c r="E293" s="47" t="s">
        <v>72</v>
      </c>
      <c r="F293" s="30">
        <v>2299.0</v>
      </c>
      <c r="G293" s="30">
        <v>2299.0</v>
      </c>
      <c r="H293" s="30">
        <v>0.0</v>
      </c>
      <c r="I293" s="47" t="s">
        <v>899</v>
      </c>
      <c r="J293" s="48">
        <v>46063.19451388889</v>
      </c>
      <c r="K293" s="49" t="s">
        <v>1262</v>
      </c>
      <c r="L293" s="30">
        <v>8.37519777E8</v>
      </c>
      <c r="M293" s="47">
        <v>5.2742043814E10</v>
      </c>
      <c r="N293" s="30">
        <v>1.124749195E9</v>
      </c>
      <c r="O293" s="30"/>
      <c r="P293" s="30"/>
      <c r="Q293" s="30"/>
      <c r="R293" s="30"/>
      <c r="S293" s="47"/>
      <c r="T293" s="47" t="s">
        <v>901</v>
      </c>
      <c r="U293" s="30">
        <v>12.5</v>
      </c>
    </row>
    <row r="294">
      <c r="A294" s="47">
        <v>8.010276040046E12</v>
      </c>
      <c r="C294" s="47" t="s">
        <v>483</v>
      </c>
      <c r="D294" s="47" t="s">
        <v>91</v>
      </c>
      <c r="E294" s="47" t="s">
        <v>72</v>
      </c>
      <c r="F294" s="30">
        <v>4848.0</v>
      </c>
      <c r="G294" s="30">
        <v>4848.0</v>
      </c>
      <c r="H294" s="30">
        <v>29.0</v>
      </c>
      <c r="I294" s="47" t="s">
        <v>889</v>
      </c>
      <c r="J294" s="48">
        <v>46164.64797453704</v>
      </c>
      <c r="K294" s="49" t="s">
        <v>1263</v>
      </c>
      <c r="L294" s="30">
        <v>3.5824582E7</v>
      </c>
      <c r="M294" s="47">
        <v>8.010276040046E12</v>
      </c>
      <c r="N294" s="30">
        <v>6.4015567E7</v>
      </c>
      <c r="O294" s="30">
        <v>3.0</v>
      </c>
      <c r="P294" s="30">
        <v>4841.0</v>
      </c>
      <c r="Q294" s="30">
        <v>4838.0</v>
      </c>
      <c r="R294" s="30">
        <v>4848.0</v>
      </c>
      <c r="S294" s="47" t="b">
        <v>1</v>
      </c>
      <c r="T294" s="47" t="s">
        <v>891</v>
      </c>
      <c r="U294" s="30">
        <v>16.5</v>
      </c>
    </row>
    <row r="295">
      <c r="A295" s="47">
        <v>6.11932100128E11</v>
      </c>
      <c r="C295" s="47" t="s">
        <v>485</v>
      </c>
      <c r="D295" s="47" t="s">
        <v>484</v>
      </c>
      <c r="E295" s="47" t="s">
        <v>75</v>
      </c>
      <c r="F295" s="30">
        <v>1015.0</v>
      </c>
      <c r="G295" s="30">
        <v>1015.0</v>
      </c>
      <c r="H295" s="30">
        <v>0.0</v>
      </c>
      <c r="I295" s="47" t="s">
        <v>899</v>
      </c>
      <c r="J295" s="48">
        <v>46063.09280092592</v>
      </c>
      <c r="K295" s="49" t="s">
        <v>1264</v>
      </c>
      <c r="L295" s="30">
        <v>1.066202589E9</v>
      </c>
      <c r="M295" s="47">
        <v>6.11932100128E11</v>
      </c>
      <c r="N295" s="30">
        <v>1.474283407E9</v>
      </c>
      <c r="O295" s="30"/>
      <c r="P295" s="30"/>
      <c r="Q295" s="30"/>
      <c r="R295" s="30"/>
      <c r="S295" s="47"/>
      <c r="T295" s="47" t="s">
        <v>901</v>
      </c>
      <c r="U295" s="30">
        <v>20.0</v>
      </c>
    </row>
    <row r="296">
      <c r="A296" s="47">
        <v>3.5585356389E10</v>
      </c>
      <c r="C296" s="47" t="s">
        <v>486</v>
      </c>
      <c r="D296" s="47" t="s">
        <v>484</v>
      </c>
      <c r="E296" s="47" t="s">
        <v>75</v>
      </c>
      <c r="F296" s="30">
        <v>2340.0</v>
      </c>
      <c r="G296" s="30">
        <v>2340.0</v>
      </c>
      <c r="H296" s="30">
        <v>2.0</v>
      </c>
      <c r="I296" s="47" t="s">
        <v>889</v>
      </c>
      <c r="J296" s="48">
        <v>46063.05616898148</v>
      </c>
      <c r="K296" s="49" t="s">
        <v>1265</v>
      </c>
      <c r="L296" s="30">
        <v>1.066202595E9</v>
      </c>
      <c r="M296" s="47">
        <v>3.5585356389E10</v>
      </c>
      <c r="N296" s="30">
        <v>1.474283413E9</v>
      </c>
      <c r="O296" s="30">
        <v>1.0</v>
      </c>
      <c r="P296" s="30">
        <v>2340.0</v>
      </c>
      <c r="Q296" s="30"/>
      <c r="R296" s="30"/>
      <c r="S296" s="47" t="b">
        <v>0</v>
      </c>
      <c r="T296" s="47" t="s">
        <v>891</v>
      </c>
      <c r="U296" s="30">
        <v>20.0</v>
      </c>
    </row>
    <row r="297">
      <c r="A297" s="47">
        <v>3.558549504E10</v>
      </c>
      <c r="C297" s="47" t="s">
        <v>487</v>
      </c>
      <c r="D297" s="47" t="s">
        <v>484</v>
      </c>
      <c r="E297" s="47" t="s">
        <v>75</v>
      </c>
      <c r="F297" s="30">
        <v>1259.0</v>
      </c>
      <c r="G297" s="30">
        <v>1259.0</v>
      </c>
      <c r="H297" s="30">
        <v>0.0</v>
      </c>
      <c r="I297" s="47" t="s">
        <v>899</v>
      </c>
      <c r="J297" s="48">
        <v>46062.6490162037</v>
      </c>
      <c r="K297" s="49" t="s">
        <v>1266</v>
      </c>
      <c r="L297" s="30">
        <v>1.06620259E9</v>
      </c>
      <c r="M297" s="47">
        <v>3.558549504E10</v>
      </c>
      <c r="N297" s="30">
        <v>1.474283408E9</v>
      </c>
      <c r="O297" s="30"/>
      <c r="P297" s="30"/>
      <c r="Q297" s="30"/>
      <c r="R297" s="30"/>
      <c r="S297" s="47"/>
      <c r="T297" s="47" t="s">
        <v>901</v>
      </c>
      <c r="U297" s="30">
        <v>20.0</v>
      </c>
    </row>
    <row r="298">
      <c r="A298" s="47">
        <v>3.5585181226E10</v>
      </c>
      <c r="C298" s="47" t="s">
        <v>488</v>
      </c>
      <c r="D298" s="47" t="s">
        <v>484</v>
      </c>
      <c r="E298" s="47" t="s">
        <v>75</v>
      </c>
      <c r="F298" s="30">
        <v>840.0</v>
      </c>
      <c r="G298" s="30">
        <v>840.0</v>
      </c>
      <c r="H298" s="30">
        <v>3.0</v>
      </c>
      <c r="I298" s="47" t="s">
        <v>889</v>
      </c>
      <c r="J298" s="48">
        <v>46063.012824074074</v>
      </c>
      <c r="K298" s="49" t="s">
        <v>1267</v>
      </c>
      <c r="L298" s="30">
        <v>1.066202592E9</v>
      </c>
      <c r="M298" s="47">
        <v>3.5585181226E10</v>
      </c>
      <c r="N298" s="30">
        <v>1.47428341E9</v>
      </c>
      <c r="O298" s="30">
        <v>2.0</v>
      </c>
      <c r="P298" s="30">
        <v>820.0</v>
      </c>
      <c r="Q298" s="30">
        <v>840.0</v>
      </c>
      <c r="R298" s="30"/>
      <c r="S298" s="47" t="b">
        <v>1</v>
      </c>
      <c r="T298" s="47" t="s">
        <v>891</v>
      </c>
      <c r="U298" s="30">
        <v>20.0</v>
      </c>
    </row>
    <row r="299">
      <c r="A299" s="47">
        <v>3.5585495347E10</v>
      </c>
      <c r="C299" s="47" t="s">
        <v>489</v>
      </c>
      <c r="D299" s="47" t="s">
        <v>484</v>
      </c>
      <c r="E299" s="47" t="s">
        <v>75</v>
      </c>
      <c r="F299" s="30">
        <v>725.0</v>
      </c>
      <c r="G299" s="30">
        <v>725.0</v>
      </c>
      <c r="H299" s="30">
        <v>3.0</v>
      </c>
      <c r="I299" s="47" t="s">
        <v>889</v>
      </c>
      <c r="J299" s="48">
        <v>46063.07908564815</v>
      </c>
      <c r="K299" s="49" t="s">
        <v>1268</v>
      </c>
      <c r="L299" s="30">
        <v>1.066202596E9</v>
      </c>
      <c r="M299" s="47">
        <v>3.5585495347E10</v>
      </c>
      <c r="N299" s="30">
        <v>1.474283414E9</v>
      </c>
      <c r="O299" s="30">
        <v>1.0</v>
      </c>
      <c r="P299" s="30">
        <v>725.0</v>
      </c>
      <c r="Q299" s="30"/>
      <c r="R299" s="30"/>
      <c r="S299" s="47" t="b">
        <v>0</v>
      </c>
      <c r="T299" s="47" t="s">
        <v>891</v>
      </c>
      <c r="U299" s="30">
        <v>20.0</v>
      </c>
    </row>
    <row r="300">
      <c r="A300" s="47">
        <v>3.5585502205E10</v>
      </c>
      <c r="B300" s="47"/>
      <c r="C300" s="47" t="s">
        <v>490</v>
      </c>
      <c r="D300" s="47" t="s">
        <v>484</v>
      </c>
      <c r="E300" s="47" t="s">
        <v>75</v>
      </c>
      <c r="F300" s="30">
        <v>1144.0</v>
      </c>
      <c r="G300" s="30">
        <v>1144.0</v>
      </c>
      <c r="H300" s="30">
        <v>3.0</v>
      </c>
      <c r="I300" s="47" t="s">
        <v>889</v>
      </c>
      <c r="J300" s="48">
        <v>46063.07263888889</v>
      </c>
      <c r="K300" s="49" t="s">
        <v>1269</v>
      </c>
      <c r="L300" s="30">
        <v>1.066202591E9</v>
      </c>
      <c r="M300" s="47">
        <v>3.5585502205E10</v>
      </c>
      <c r="N300" s="30">
        <v>1.474283409E9</v>
      </c>
      <c r="O300" s="30">
        <v>2.0</v>
      </c>
      <c r="P300" s="30">
        <v>1130.0</v>
      </c>
      <c r="Q300" s="30">
        <v>1144.0</v>
      </c>
      <c r="R300" s="30"/>
      <c r="S300" s="47" t="b">
        <v>1</v>
      </c>
      <c r="T300" s="47" t="s">
        <v>891</v>
      </c>
      <c r="U300" s="30">
        <v>20.0</v>
      </c>
    </row>
    <row r="301">
      <c r="A301" s="47">
        <v>3.5585356266E10</v>
      </c>
      <c r="C301" s="47" t="s">
        <v>491</v>
      </c>
      <c r="D301" s="47" t="s">
        <v>484</v>
      </c>
      <c r="E301" s="47" t="s">
        <v>75</v>
      </c>
      <c r="F301" s="30">
        <v>949.0</v>
      </c>
      <c r="G301" s="30">
        <v>949.0</v>
      </c>
      <c r="H301" s="30">
        <v>3.0</v>
      </c>
      <c r="I301" s="47" t="s">
        <v>889</v>
      </c>
      <c r="J301" s="48">
        <v>46063.031273148146</v>
      </c>
      <c r="K301" s="49" t="s">
        <v>1270</v>
      </c>
      <c r="L301" s="30">
        <v>1.066202579E9</v>
      </c>
      <c r="M301" s="47">
        <v>3.5585356266E10</v>
      </c>
      <c r="N301" s="30">
        <v>1.474283396E9</v>
      </c>
      <c r="O301" s="30">
        <v>1.0</v>
      </c>
      <c r="P301" s="30">
        <v>949.0</v>
      </c>
      <c r="Q301" s="30"/>
      <c r="R301" s="30"/>
      <c r="S301" s="47" t="b">
        <v>0</v>
      </c>
      <c r="T301" s="47" t="s">
        <v>891</v>
      </c>
      <c r="U301" s="30">
        <v>20.0</v>
      </c>
    </row>
    <row r="302">
      <c r="A302" s="47">
        <v>3.5585780009E10</v>
      </c>
      <c r="C302" s="47" t="s">
        <v>492</v>
      </c>
      <c r="D302" s="47" t="s">
        <v>484</v>
      </c>
      <c r="E302" s="47" t="s">
        <v>75</v>
      </c>
      <c r="F302" s="30">
        <v>1242.0</v>
      </c>
      <c r="G302" s="30">
        <v>1242.0</v>
      </c>
      <c r="H302" s="30">
        <v>3.0</v>
      </c>
      <c r="I302" s="47" t="s">
        <v>889</v>
      </c>
      <c r="J302" s="48">
        <v>46063.17612268519</v>
      </c>
      <c r="K302" s="49" t="s">
        <v>1271</v>
      </c>
      <c r="L302" s="30">
        <v>1.066202585E9</v>
      </c>
      <c r="M302" s="47">
        <v>3.5585780009E10</v>
      </c>
      <c r="N302" s="30">
        <v>1.474283403E9</v>
      </c>
      <c r="O302" s="30">
        <v>1.0</v>
      </c>
      <c r="P302" s="30">
        <v>1242.0</v>
      </c>
      <c r="Q302" s="30"/>
      <c r="R302" s="30"/>
      <c r="S302" s="47" t="b">
        <v>0</v>
      </c>
      <c r="T302" s="47" t="s">
        <v>891</v>
      </c>
      <c r="U302" s="30">
        <v>20.0</v>
      </c>
    </row>
    <row r="303">
      <c r="A303" s="47">
        <v>3.5585509006E10</v>
      </c>
      <c r="C303" s="47" t="s">
        <v>493</v>
      </c>
      <c r="D303" s="47" t="s">
        <v>484</v>
      </c>
      <c r="E303" s="47" t="s">
        <v>75</v>
      </c>
      <c r="F303" s="30">
        <v>2197.0</v>
      </c>
      <c r="G303" s="30">
        <v>2197.0</v>
      </c>
      <c r="H303" s="30">
        <v>3.0</v>
      </c>
      <c r="I303" s="47" t="s">
        <v>889</v>
      </c>
      <c r="J303" s="48">
        <v>46063.059641203705</v>
      </c>
      <c r="K303" s="49" t="s">
        <v>1272</v>
      </c>
      <c r="L303" s="30">
        <v>1.06620257E9</v>
      </c>
      <c r="M303" s="47">
        <v>3.5585509006E10</v>
      </c>
      <c r="N303" s="30">
        <v>1.474283388E9</v>
      </c>
      <c r="O303" s="30">
        <v>1.0</v>
      </c>
      <c r="P303" s="30">
        <v>2197.0</v>
      </c>
      <c r="Q303" s="30"/>
      <c r="R303" s="30"/>
      <c r="S303" s="47" t="b">
        <v>0</v>
      </c>
      <c r="T303" s="47" t="s">
        <v>891</v>
      </c>
      <c r="U303" s="30">
        <v>20.0</v>
      </c>
    </row>
    <row r="304">
      <c r="A304" s="47">
        <v>3.5585363172E10</v>
      </c>
      <c r="B304" s="47"/>
      <c r="C304" s="47" t="s">
        <v>494</v>
      </c>
      <c r="D304" s="47" t="s">
        <v>484</v>
      </c>
      <c r="E304" s="47" t="s">
        <v>75</v>
      </c>
      <c r="F304" s="30">
        <v>656.0</v>
      </c>
      <c r="G304" s="30">
        <v>656.0</v>
      </c>
      <c r="H304" s="30">
        <v>2.0</v>
      </c>
      <c r="I304" s="47" t="s">
        <v>889</v>
      </c>
      <c r="J304" s="48">
        <v>46063.07466435185</v>
      </c>
      <c r="K304" s="49" t="s">
        <v>1273</v>
      </c>
      <c r="L304" s="30">
        <v>1.066202588E9</v>
      </c>
      <c r="M304" s="47">
        <v>3.5585363172E10</v>
      </c>
      <c r="N304" s="30">
        <v>1.474283406E9</v>
      </c>
      <c r="O304" s="30">
        <v>1.0</v>
      </c>
      <c r="P304" s="30">
        <v>656.0</v>
      </c>
      <c r="Q304" s="30"/>
      <c r="R304" s="30"/>
      <c r="S304" s="47" t="b">
        <v>0</v>
      </c>
      <c r="T304" s="47" t="s">
        <v>891</v>
      </c>
      <c r="U304" s="30">
        <v>20.0</v>
      </c>
    </row>
    <row r="305">
      <c r="A305" s="47">
        <v>3.5585356259E10</v>
      </c>
      <c r="C305" s="47" t="s">
        <v>495</v>
      </c>
      <c r="D305" s="47" t="s">
        <v>484</v>
      </c>
      <c r="E305" s="47" t="s">
        <v>75</v>
      </c>
      <c r="F305" s="30">
        <v>1300.0</v>
      </c>
      <c r="G305" s="30">
        <v>1300.0</v>
      </c>
      <c r="H305" s="30">
        <v>3.0</v>
      </c>
      <c r="I305" s="47" t="s">
        <v>889</v>
      </c>
      <c r="J305" s="48">
        <v>46063.07708333333</v>
      </c>
      <c r="K305" s="49" t="s">
        <v>1274</v>
      </c>
      <c r="L305" s="30">
        <v>1.066202575E9</v>
      </c>
      <c r="M305" s="47">
        <v>3.5585356259E10</v>
      </c>
      <c r="N305" s="30">
        <v>1.474283393E9</v>
      </c>
      <c r="O305" s="30">
        <v>1.0</v>
      </c>
      <c r="P305" s="30">
        <v>1300.0</v>
      </c>
      <c r="Q305" s="30"/>
      <c r="R305" s="30"/>
      <c r="S305" s="47" t="b">
        <v>0</v>
      </c>
      <c r="T305" s="47" t="s">
        <v>891</v>
      </c>
      <c r="U305" s="30">
        <v>20.0</v>
      </c>
    </row>
    <row r="306">
      <c r="A306" s="47">
        <v>3.5585494043E10</v>
      </c>
      <c r="C306" s="47" t="s">
        <v>496</v>
      </c>
      <c r="D306" s="47" t="s">
        <v>484</v>
      </c>
      <c r="E306" s="47" t="s">
        <v>75</v>
      </c>
      <c r="F306" s="30">
        <v>1173.0</v>
      </c>
      <c r="G306" s="30">
        <v>1173.0</v>
      </c>
      <c r="H306" s="30">
        <v>0.0</v>
      </c>
      <c r="I306" s="47" t="s">
        <v>899</v>
      </c>
      <c r="J306" s="48">
        <v>46063.11363425926</v>
      </c>
      <c r="K306" s="49" t="s">
        <v>1275</v>
      </c>
      <c r="L306" s="30">
        <v>1.066202584E9</v>
      </c>
      <c r="M306" s="47">
        <v>3.5585494043E10</v>
      </c>
      <c r="N306" s="30">
        <v>1.474283402E9</v>
      </c>
      <c r="O306" s="30"/>
      <c r="P306" s="30"/>
      <c r="S306" s="47"/>
      <c r="T306" s="47" t="s">
        <v>901</v>
      </c>
      <c r="U306" s="30">
        <v>20.0</v>
      </c>
    </row>
    <row r="307">
      <c r="A307" s="47">
        <v>3.5585356242E10</v>
      </c>
      <c r="C307" s="47" t="s">
        <v>497</v>
      </c>
      <c r="D307" s="47" t="s">
        <v>484</v>
      </c>
      <c r="E307" s="47" t="s">
        <v>75</v>
      </c>
      <c r="F307" s="30">
        <v>2329.0</v>
      </c>
      <c r="G307" s="30">
        <v>2329.0</v>
      </c>
      <c r="H307" s="30">
        <v>3.0</v>
      </c>
      <c r="I307" s="47" t="s">
        <v>889</v>
      </c>
      <c r="J307" s="48">
        <v>46063.04083333333</v>
      </c>
      <c r="K307" s="49" t="s">
        <v>1276</v>
      </c>
      <c r="L307" s="30">
        <v>1.066202577E9</v>
      </c>
      <c r="M307" s="47">
        <v>3.5585356242E10</v>
      </c>
      <c r="N307" s="30">
        <v>1.474283395E9</v>
      </c>
      <c r="O307" s="30">
        <v>1.0</v>
      </c>
      <c r="P307" s="30">
        <v>2329.0</v>
      </c>
      <c r="Q307" s="30"/>
      <c r="R307" s="30"/>
      <c r="S307" s="47" t="b">
        <v>0</v>
      </c>
      <c r="T307" s="47" t="s">
        <v>891</v>
      </c>
      <c r="U307" s="30">
        <v>20.0</v>
      </c>
    </row>
    <row r="308">
      <c r="A308" s="47">
        <v>3.5585509112E10</v>
      </c>
      <c r="C308" s="47" t="s">
        <v>498</v>
      </c>
      <c r="D308" s="47" t="s">
        <v>484</v>
      </c>
      <c r="E308" s="47" t="s">
        <v>75</v>
      </c>
      <c r="F308" s="30">
        <v>1576.0</v>
      </c>
      <c r="G308" s="30">
        <v>1576.0</v>
      </c>
      <c r="H308" s="30">
        <v>2.0</v>
      </c>
      <c r="I308" s="47" t="s">
        <v>889</v>
      </c>
      <c r="J308" s="48">
        <v>46063.07540509259</v>
      </c>
      <c r="K308" s="49" t="s">
        <v>1277</v>
      </c>
      <c r="L308" s="30">
        <v>1.066202572E9</v>
      </c>
      <c r="M308" s="47">
        <v>3.5585509112E10</v>
      </c>
      <c r="N308" s="30">
        <v>1.47428339E9</v>
      </c>
      <c r="O308" s="30">
        <v>4.0</v>
      </c>
      <c r="P308" s="30">
        <v>1207.8</v>
      </c>
      <c r="Q308" s="30">
        <v>1300.0</v>
      </c>
      <c r="R308" s="30">
        <v>1500.0</v>
      </c>
      <c r="S308" s="47" t="b">
        <v>1</v>
      </c>
      <c r="T308" s="47" t="s">
        <v>891</v>
      </c>
      <c r="U308" s="30">
        <v>20.0</v>
      </c>
    </row>
    <row r="309">
      <c r="A309" s="47">
        <v>3.5585277066E10</v>
      </c>
      <c r="C309" s="47" t="s">
        <v>499</v>
      </c>
      <c r="D309" s="47" t="s">
        <v>484</v>
      </c>
      <c r="E309" s="47" t="s">
        <v>75</v>
      </c>
      <c r="F309" s="30">
        <v>615.0</v>
      </c>
      <c r="G309" s="30">
        <v>615.0</v>
      </c>
      <c r="H309" s="30">
        <v>1.0</v>
      </c>
      <c r="I309" s="47" t="s">
        <v>889</v>
      </c>
      <c r="J309" s="48">
        <v>46063.24665509259</v>
      </c>
      <c r="K309" s="49" t="s">
        <v>1278</v>
      </c>
      <c r="L309" s="30">
        <v>1.066202578E9</v>
      </c>
      <c r="M309" s="47">
        <v>3.5585277066E10</v>
      </c>
      <c r="N309" s="30">
        <v>1.474283397E9</v>
      </c>
      <c r="O309" s="30">
        <v>2.0</v>
      </c>
      <c r="P309" s="30">
        <v>600.0</v>
      </c>
      <c r="Q309" s="30">
        <v>615.0</v>
      </c>
      <c r="R309" s="30"/>
      <c r="S309" s="47" t="b">
        <v>1</v>
      </c>
      <c r="T309" s="47" t="s">
        <v>891</v>
      </c>
      <c r="U309" s="30">
        <v>20.0</v>
      </c>
    </row>
    <row r="310">
      <c r="A310" s="47">
        <v>3.5585356419E10</v>
      </c>
      <c r="C310" s="47" t="s">
        <v>500</v>
      </c>
      <c r="D310" s="47" t="s">
        <v>484</v>
      </c>
      <c r="E310" s="47" t="s">
        <v>75</v>
      </c>
      <c r="F310" s="30">
        <v>1921.0</v>
      </c>
      <c r="G310" s="30">
        <v>1921.0</v>
      </c>
      <c r="H310" s="30">
        <v>3.0</v>
      </c>
      <c r="I310" s="47" t="s">
        <v>889</v>
      </c>
      <c r="J310" s="48">
        <v>46063.17439814815</v>
      </c>
      <c r="K310" s="49" t="s">
        <v>1279</v>
      </c>
      <c r="L310" s="30">
        <v>1.066202582E9</v>
      </c>
      <c r="M310" s="47">
        <v>3.5585356419E10</v>
      </c>
      <c r="N310" s="30">
        <v>1.4742834E9</v>
      </c>
      <c r="O310" s="30">
        <v>2.0</v>
      </c>
      <c r="P310" s="30">
        <v>1900.0</v>
      </c>
      <c r="Q310" s="30">
        <v>1921.0</v>
      </c>
      <c r="R310" s="30"/>
      <c r="S310" s="47" t="b">
        <v>1</v>
      </c>
      <c r="T310" s="47" t="s">
        <v>891</v>
      </c>
      <c r="U310" s="30">
        <v>20.0</v>
      </c>
    </row>
    <row r="311">
      <c r="A311" s="47">
        <v>3.5585495354E10</v>
      </c>
      <c r="C311" s="47" t="s">
        <v>501</v>
      </c>
      <c r="D311" s="47" t="s">
        <v>484</v>
      </c>
      <c r="E311" s="47" t="s">
        <v>75</v>
      </c>
      <c r="F311" s="30">
        <v>886.0</v>
      </c>
      <c r="G311" s="30">
        <v>886.0</v>
      </c>
      <c r="H311" s="30">
        <v>2.0</v>
      </c>
      <c r="I311" s="47" t="s">
        <v>889</v>
      </c>
      <c r="J311" s="48">
        <v>46063.16516203704</v>
      </c>
      <c r="K311" s="49" t="s">
        <v>1280</v>
      </c>
      <c r="L311" s="30">
        <v>1.066202573E9</v>
      </c>
      <c r="M311" s="47">
        <v>3.5585495354E10</v>
      </c>
      <c r="N311" s="30">
        <v>1.474283391E9</v>
      </c>
      <c r="O311" s="30">
        <v>1.0</v>
      </c>
      <c r="P311" s="30">
        <v>886.0</v>
      </c>
      <c r="Q311" s="30"/>
      <c r="R311" s="30"/>
      <c r="S311" s="47" t="b">
        <v>0</v>
      </c>
      <c r="T311" s="47" t="s">
        <v>891</v>
      </c>
      <c r="U311" s="30">
        <v>20.0</v>
      </c>
    </row>
    <row r="312">
      <c r="A312" s="47">
        <v>3.5585356426E10</v>
      </c>
      <c r="B312" s="47"/>
      <c r="C312" s="47" t="s">
        <v>502</v>
      </c>
      <c r="D312" s="47" t="s">
        <v>484</v>
      </c>
      <c r="E312" s="47" t="s">
        <v>75</v>
      </c>
      <c r="F312" s="30">
        <v>2179.0</v>
      </c>
      <c r="G312" s="30">
        <v>2179.0</v>
      </c>
      <c r="H312" s="30">
        <v>3.0</v>
      </c>
      <c r="I312" s="47" t="s">
        <v>889</v>
      </c>
      <c r="J312" s="48">
        <v>46063.16877314815</v>
      </c>
      <c r="K312" s="49" t="s">
        <v>1281</v>
      </c>
      <c r="L312" s="30">
        <v>1.066202583E9</v>
      </c>
      <c r="M312" s="47">
        <v>3.5585356426E10</v>
      </c>
      <c r="N312" s="30">
        <v>1.474283401E9</v>
      </c>
      <c r="O312" s="30">
        <v>1.0</v>
      </c>
      <c r="P312" s="30">
        <v>2179.0</v>
      </c>
      <c r="Q312" s="30"/>
      <c r="R312" s="30"/>
      <c r="S312" s="47" t="b">
        <v>0</v>
      </c>
      <c r="T312" s="47" t="s">
        <v>891</v>
      </c>
      <c r="U312" s="30">
        <v>20.0</v>
      </c>
    </row>
    <row r="313">
      <c r="A313" s="47">
        <v>3.5585494029E10</v>
      </c>
      <c r="C313" s="47" t="s">
        <v>503</v>
      </c>
      <c r="D313" s="47" t="s">
        <v>484</v>
      </c>
      <c r="E313" s="47" t="s">
        <v>75</v>
      </c>
      <c r="F313" s="30">
        <v>880.0</v>
      </c>
      <c r="G313" s="30">
        <v>880.0</v>
      </c>
      <c r="H313" s="30">
        <v>1.0</v>
      </c>
      <c r="I313" s="47" t="s">
        <v>889</v>
      </c>
      <c r="J313" s="48">
        <v>46063.121145833335</v>
      </c>
      <c r="K313" s="49" t="s">
        <v>1282</v>
      </c>
      <c r="L313" s="30">
        <v>1.066202574E9</v>
      </c>
      <c r="M313" s="47">
        <v>3.5585494029E10</v>
      </c>
      <c r="N313" s="30">
        <v>1.474283392E9</v>
      </c>
      <c r="O313" s="30">
        <v>1.0</v>
      </c>
      <c r="P313" s="30">
        <v>880.0</v>
      </c>
      <c r="Q313" s="30"/>
      <c r="R313" s="30"/>
      <c r="S313" s="47" t="b">
        <v>0</v>
      </c>
      <c r="T313" s="47" t="s">
        <v>891</v>
      </c>
      <c r="U313" s="30">
        <v>20.0</v>
      </c>
    </row>
    <row r="314">
      <c r="A314" s="47">
        <v>3.5585401058E10</v>
      </c>
      <c r="C314" s="47" t="s">
        <v>504</v>
      </c>
      <c r="D314" s="47" t="s">
        <v>484</v>
      </c>
      <c r="E314" s="47" t="s">
        <v>75</v>
      </c>
      <c r="F314" s="30">
        <v>1300.0</v>
      </c>
      <c r="G314" s="30">
        <v>1300.0</v>
      </c>
      <c r="H314" s="30">
        <v>3.0</v>
      </c>
      <c r="I314" s="47" t="s">
        <v>889</v>
      </c>
      <c r="J314" s="48">
        <v>46062.651041666664</v>
      </c>
      <c r="K314" s="49" t="s">
        <v>1283</v>
      </c>
      <c r="L314" s="30">
        <v>1.066202571E9</v>
      </c>
      <c r="M314" s="47">
        <v>3.5585401058E10</v>
      </c>
      <c r="N314" s="30">
        <v>1.474283389E9</v>
      </c>
      <c r="O314" s="30">
        <v>1.0</v>
      </c>
      <c r="P314" s="30">
        <v>1300.0</v>
      </c>
      <c r="Q314" s="30"/>
      <c r="R314" s="30"/>
      <c r="S314" s="47" t="b">
        <v>0</v>
      </c>
      <c r="T314" s="47" t="s">
        <v>891</v>
      </c>
      <c r="U314" s="30">
        <v>20.0</v>
      </c>
    </row>
    <row r="315">
      <c r="A315" s="47">
        <v>3.5585356433E10</v>
      </c>
      <c r="C315" s="47" t="s">
        <v>505</v>
      </c>
      <c r="D315" s="47" t="s">
        <v>484</v>
      </c>
      <c r="E315" s="47" t="s">
        <v>75</v>
      </c>
      <c r="F315" s="30">
        <v>2179.0</v>
      </c>
      <c r="G315" s="30">
        <v>2179.0</v>
      </c>
      <c r="H315" s="30">
        <v>3.0</v>
      </c>
      <c r="I315" s="47" t="s">
        <v>889</v>
      </c>
      <c r="J315" s="48">
        <v>46063.19230324074</v>
      </c>
      <c r="K315" s="49" t="s">
        <v>1284</v>
      </c>
      <c r="L315" s="30">
        <v>1.066202576E9</v>
      </c>
      <c r="M315" s="47">
        <v>3.5585356433E10</v>
      </c>
      <c r="N315" s="30">
        <v>1.474283394E9</v>
      </c>
      <c r="O315" s="30">
        <v>1.0</v>
      </c>
      <c r="P315" s="30">
        <v>2179.0</v>
      </c>
      <c r="S315" s="47" t="b">
        <v>0</v>
      </c>
      <c r="T315" s="47" t="s">
        <v>891</v>
      </c>
      <c r="U315" s="30">
        <v>20.0</v>
      </c>
    </row>
    <row r="316">
      <c r="A316" s="47">
        <v>3.5585181202E10</v>
      </c>
      <c r="C316" s="47" t="s">
        <v>506</v>
      </c>
      <c r="D316" s="47" t="s">
        <v>484</v>
      </c>
      <c r="E316" s="47" t="s">
        <v>507</v>
      </c>
      <c r="F316" s="30">
        <v>1294.0</v>
      </c>
      <c r="G316" s="30">
        <v>1294.0</v>
      </c>
      <c r="H316" s="30">
        <v>3.0</v>
      </c>
      <c r="I316" s="47" t="s">
        <v>889</v>
      </c>
      <c r="J316" s="48">
        <v>46063.05931712963</v>
      </c>
      <c r="K316" s="49" t="s">
        <v>1285</v>
      </c>
      <c r="L316" s="30">
        <v>1.049981874E9</v>
      </c>
      <c r="M316" s="47" t="s">
        <v>1286</v>
      </c>
      <c r="N316" s="30">
        <v>1.452714918E9</v>
      </c>
      <c r="O316" s="30">
        <v>2.0</v>
      </c>
      <c r="P316" s="30">
        <v>992.0</v>
      </c>
      <c r="Q316" s="30">
        <v>1294.0</v>
      </c>
      <c r="S316" s="47" t="b">
        <v>1</v>
      </c>
      <c r="T316" s="47" t="s">
        <v>891</v>
      </c>
      <c r="U316" s="30">
        <v>20.0</v>
      </c>
    </row>
    <row r="317">
      <c r="A317" s="47">
        <v>6.4575697807E10</v>
      </c>
      <c r="B317" s="47"/>
      <c r="C317" s="47" t="s">
        <v>508</v>
      </c>
      <c r="D317" s="47" t="s">
        <v>450</v>
      </c>
      <c r="E317" s="47" t="s">
        <v>72</v>
      </c>
      <c r="F317" s="30">
        <v>2525.0</v>
      </c>
      <c r="G317" s="30">
        <v>2525.0</v>
      </c>
      <c r="H317" s="30">
        <v>0.0</v>
      </c>
      <c r="I317" s="47" t="s">
        <v>899</v>
      </c>
      <c r="J317" s="48">
        <v>46063.017592592594</v>
      </c>
      <c r="K317" s="49" t="s">
        <v>1287</v>
      </c>
      <c r="L317" s="30">
        <v>1.031617819E9</v>
      </c>
      <c r="M317" s="47" t="s">
        <v>1288</v>
      </c>
      <c r="N317" s="30">
        <v>1.42896338E9</v>
      </c>
      <c r="O317" s="30"/>
      <c r="P317" s="30"/>
      <c r="Q317" s="30"/>
      <c r="R317" s="30"/>
      <c r="S317" s="47"/>
      <c r="T317" s="47" t="s">
        <v>901</v>
      </c>
      <c r="U317" s="30">
        <v>16.5</v>
      </c>
    </row>
    <row r="318">
      <c r="A318" s="47" t="s">
        <v>509</v>
      </c>
      <c r="C318" s="47" t="s">
        <v>510</v>
      </c>
      <c r="D318" s="47" t="s">
        <v>450</v>
      </c>
      <c r="E318" s="47" t="s">
        <v>59</v>
      </c>
      <c r="F318" s="30">
        <v>0.0</v>
      </c>
      <c r="G318" s="30">
        <v>0.0</v>
      </c>
      <c r="H318" s="30">
        <v>0.0</v>
      </c>
      <c r="I318" s="47" t="s">
        <v>899</v>
      </c>
      <c r="J318" s="48">
        <v>46063.199479166666</v>
      </c>
      <c r="K318" s="49" t="s">
        <v>1289</v>
      </c>
      <c r="L318" s="30">
        <v>1.038215923E9</v>
      </c>
      <c r="M318" s="47" t="s">
        <v>1290</v>
      </c>
      <c r="N318" s="30">
        <v>1.436181993E9</v>
      </c>
      <c r="T318" s="47" t="s">
        <v>901</v>
      </c>
      <c r="U318" s="30">
        <v>16.5</v>
      </c>
    </row>
    <row r="319">
      <c r="A319" s="47">
        <v>4.048422108733E12</v>
      </c>
      <c r="C319" s="47" t="s">
        <v>512</v>
      </c>
      <c r="D319" s="47" t="s">
        <v>511</v>
      </c>
      <c r="E319" s="47" t="s">
        <v>507</v>
      </c>
      <c r="F319" s="30">
        <v>399.0</v>
      </c>
      <c r="G319" s="30">
        <v>399.0</v>
      </c>
      <c r="H319" s="30">
        <v>0.0</v>
      </c>
      <c r="I319" s="47" t="s">
        <v>899</v>
      </c>
      <c r="J319" s="48">
        <v>46062.620092592595</v>
      </c>
      <c r="K319" s="49" t="s">
        <v>1291</v>
      </c>
      <c r="L319" s="30">
        <v>925542.0</v>
      </c>
      <c r="M319" s="47" t="s">
        <v>1292</v>
      </c>
      <c r="N319" s="30">
        <v>1.0258611E7</v>
      </c>
      <c r="O319" s="30"/>
      <c r="P319" s="30"/>
      <c r="Q319" s="30"/>
      <c r="R319" s="30"/>
      <c r="S319" s="47"/>
      <c r="T319" s="47" t="s">
        <v>901</v>
      </c>
      <c r="U319" s="30">
        <v>20.0</v>
      </c>
    </row>
    <row r="320">
      <c r="A320" s="47">
        <v>4.048422102472E12</v>
      </c>
      <c r="C320" s="47" t="s">
        <v>513</v>
      </c>
      <c r="D320" s="47" t="s">
        <v>511</v>
      </c>
      <c r="E320" s="47" t="s">
        <v>507</v>
      </c>
      <c r="F320" s="30">
        <v>347.0</v>
      </c>
      <c r="G320" s="30">
        <v>347.0</v>
      </c>
      <c r="H320" s="30">
        <v>0.0</v>
      </c>
      <c r="I320" s="47" t="s">
        <v>899</v>
      </c>
      <c r="J320" s="48">
        <v>46063.16134259259</v>
      </c>
      <c r="K320" s="49" t="s">
        <v>1293</v>
      </c>
      <c r="L320" s="30">
        <v>925538.0</v>
      </c>
      <c r="M320" s="47" t="s">
        <v>1294</v>
      </c>
      <c r="N320" s="30">
        <v>1.0258607E7</v>
      </c>
      <c r="T320" s="47" t="s">
        <v>901</v>
      </c>
      <c r="U320" s="30">
        <v>20.0</v>
      </c>
    </row>
    <row r="321">
      <c r="A321" s="47">
        <v>4.048422110842E12</v>
      </c>
      <c r="C321" s="47" t="s">
        <v>514</v>
      </c>
      <c r="D321" s="47" t="s">
        <v>511</v>
      </c>
      <c r="E321" s="47" t="s">
        <v>507</v>
      </c>
      <c r="F321" s="30">
        <v>440.0</v>
      </c>
      <c r="G321" s="30">
        <v>440.0</v>
      </c>
      <c r="H321" s="30">
        <v>0.0</v>
      </c>
      <c r="I321" s="47" t="s">
        <v>899</v>
      </c>
      <c r="J321" s="48">
        <v>46063.072430555556</v>
      </c>
      <c r="K321" s="49" t="s">
        <v>1295</v>
      </c>
      <c r="L321" s="30">
        <v>925547.0</v>
      </c>
      <c r="M321" s="47" t="s">
        <v>1296</v>
      </c>
      <c r="N321" s="30">
        <v>1.0258616E7</v>
      </c>
      <c r="O321" s="30"/>
      <c r="P321" s="30"/>
      <c r="Q321" s="30"/>
      <c r="R321" s="30"/>
      <c r="S321" s="47"/>
      <c r="T321" s="47" t="s">
        <v>901</v>
      </c>
      <c r="U321" s="30">
        <v>20.0</v>
      </c>
    </row>
    <row r="322">
      <c r="A322" s="47">
        <v>4.048422108856E12</v>
      </c>
      <c r="C322" s="47" t="s">
        <v>515</v>
      </c>
      <c r="D322" s="47" t="s">
        <v>511</v>
      </c>
      <c r="E322" s="47" t="s">
        <v>507</v>
      </c>
      <c r="F322" s="30">
        <v>399.0</v>
      </c>
      <c r="G322" s="30">
        <v>399.0</v>
      </c>
      <c r="H322" s="30">
        <v>0.0</v>
      </c>
      <c r="I322" s="47" t="s">
        <v>899</v>
      </c>
      <c r="J322" s="48">
        <v>46063.195243055554</v>
      </c>
      <c r="K322" s="49" t="s">
        <v>1297</v>
      </c>
      <c r="L322" s="30">
        <v>925545.0</v>
      </c>
      <c r="M322" s="47" t="s">
        <v>1298</v>
      </c>
      <c r="N322" s="30">
        <v>1.0258614E7</v>
      </c>
      <c r="T322" s="47" t="s">
        <v>901</v>
      </c>
      <c r="U322" s="30">
        <v>20.0</v>
      </c>
    </row>
    <row r="323">
      <c r="A323" s="47">
        <v>4.048422107798E12</v>
      </c>
      <c r="B323" s="47"/>
      <c r="C323" s="47" t="s">
        <v>516</v>
      </c>
      <c r="D323" s="47" t="s">
        <v>511</v>
      </c>
      <c r="E323" s="47" t="s">
        <v>507</v>
      </c>
      <c r="F323" s="30">
        <v>349.0</v>
      </c>
      <c r="G323" s="30">
        <v>349.0</v>
      </c>
      <c r="H323" s="30">
        <v>0.0</v>
      </c>
      <c r="I323" s="47" t="s">
        <v>899</v>
      </c>
      <c r="J323" s="48">
        <v>46090.60289351852</v>
      </c>
      <c r="K323" s="49" t="s">
        <v>1299</v>
      </c>
      <c r="L323" s="30">
        <v>9.89096592E8</v>
      </c>
      <c r="M323" s="47" t="s">
        <v>1300</v>
      </c>
      <c r="N323" s="30">
        <v>1.398083887E9</v>
      </c>
      <c r="O323" s="30"/>
      <c r="P323" s="30"/>
      <c r="Q323" s="30"/>
      <c r="R323" s="30"/>
      <c r="S323" s="47"/>
      <c r="T323" s="47" t="s">
        <v>901</v>
      </c>
      <c r="U323" s="30">
        <v>20.0</v>
      </c>
    </row>
    <row r="324">
      <c r="A324" s="47">
        <v>4.048422102502E12</v>
      </c>
      <c r="B324" s="47"/>
      <c r="C324" s="47" t="s">
        <v>517</v>
      </c>
      <c r="D324" s="47" t="s">
        <v>511</v>
      </c>
      <c r="E324" s="47" t="s">
        <v>507</v>
      </c>
      <c r="F324" s="30">
        <v>349.0</v>
      </c>
      <c r="G324" s="30">
        <v>349.0</v>
      </c>
      <c r="H324" s="30">
        <v>0.0</v>
      </c>
      <c r="I324" s="47" t="s">
        <v>899</v>
      </c>
      <c r="J324" s="48">
        <v>46063.0034375</v>
      </c>
      <c r="K324" s="49" t="s">
        <v>1301</v>
      </c>
      <c r="L324" s="30">
        <v>925539.0</v>
      </c>
      <c r="M324" s="47" t="s">
        <v>1302</v>
      </c>
      <c r="N324" s="30">
        <v>1.0258608E7</v>
      </c>
      <c r="O324" s="30"/>
      <c r="P324" s="30"/>
      <c r="Q324" s="30"/>
      <c r="R324" s="30"/>
      <c r="S324" s="47"/>
      <c r="T324" s="47" t="s">
        <v>901</v>
      </c>
      <c r="U324" s="30">
        <v>20.0</v>
      </c>
    </row>
    <row r="325">
      <c r="A325" s="47">
        <v>4.048422154822E12</v>
      </c>
      <c r="B325" s="47"/>
      <c r="C325" s="47" t="s">
        <v>518</v>
      </c>
      <c r="D325" s="47" t="s">
        <v>511</v>
      </c>
      <c r="E325" s="47" t="s">
        <v>519</v>
      </c>
      <c r="F325" s="30">
        <v>249.0</v>
      </c>
      <c r="G325" s="30">
        <v>249.0</v>
      </c>
      <c r="H325" s="30">
        <v>0.0</v>
      </c>
      <c r="I325" s="47" t="s">
        <v>899</v>
      </c>
      <c r="J325" s="48">
        <v>46063.08587962963</v>
      </c>
      <c r="K325" s="49" t="s">
        <v>1303</v>
      </c>
      <c r="L325" s="30">
        <v>4.7475134E8</v>
      </c>
      <c r="M325" s="47">
        <v>4.048422154822E12</v>
      </c>
      <c r="N325" s="30">
        <v>6.7601025E8</v>
      </c>
      <c r="O325" s="30"/>
      <c r="P325" s="30"/>
      <c r="Q325" s="30"/>
      <c r="R325" s="30"/>
      <c r="S325" s="47"/>
      <c r="T325" s="47" t="s">
        <v>901</v>
      </c>
      <c r="U325" s="30">
        <v>20.0</v>
      </c>
    </row>
    <row r="326">
      <c r="A326" s="47">
        <v>4.048422102403E12</v>
      </c>
      <c r="B326" s="47"/>
      <c r="C326" s="47" t="s">
        <v>520</v>
      </c>
      <c r="D326" s="47" t="s">
        <v>511</v>
      </c>
      <c r="E326" s="47" t="s">
        <v>507</v>
      </c>
      <c r="F326" s="30">
        <v>249.0</v>
      </c>
      <c r="G326" s="30">
        <v>249.0</v>
      </c>
      <c r="H326" s="30">
        <v>0.0</v>
      </c>
      <c r="I326" s="47" t="s">
        <v>899</v>
      </c>
      <c r="J326" s="48">
        <v>46063.039305555554</v>
      </c>
      <c r="K326" s="49" t="s">
        <v>1304</v>
      </c>
      <c r="L326" s="30">
        <v>925537.0</v>
      </c>
      <c r="M326" s="47" t="s">
        <v>1305</v>
      </c>
      <c r="N326" s="30">
        <v>1.0258606E7</v>
      </c>
      <c r="O326" s="30"/>
      <c r="P326" s="30"/>
      <c r="Q326" s="30"/>
      <c r="R326" s="30"/>
      <c r="S326" s="47"/>
      <c r="T326" s="47" t="s">
        <v>901</v>
      </c>
      <c r="U326" s="30">
        <v>20.0</v>
      </c>
    </row>
    <row r="327">
      <c r="A327" s="47" t="s">
        <v>521</v>
      </c>
      <c r="B327" s="47"/>
      <c r="C327" s="47" t="s">
        <v>522</v>
      </c>
      <c r="D327" s="47" t="s">
        <v>511</v>
      </c>
      <c r="E327" s="47" t="s">
        <v>507</v>
      </c>
      <c r="F327" s="30">
        <v>245.0</v>
      </c>
      <c r="G327" s="30">
        <v>245.0</v>
      </c>
      <c r="H327" s="30">
        <v>0.0</v>
      </c>
      <c r="I327" s="47" t="s">
        <v>899</v>
      </c>
      <c r="J327" s="48">
        <v>46063.1484837963</v>
      </c>
      <c r="K327" s="49" t="s">
        <v>1306</v>
      </c>
      <c r="L327" s="30">
        <v>9.69805099E8</v>
      </c>
      <c r="M327" s="47">
        <v>4.048422108764E12</v>
      </c>
      <c r="N327" s="30">
        <v>1.371411183E9</v>
      </c>
      <c r="O327" s="30"/>
      <c r="P327" s="30"/>
      <c r="S327" s="47"/>
      <c r="T327" s="47" t="s">
        <v>901</v>
      </c>
      <c r="U327" s="30">
        <v>20.0</v>
      </c>
    </row>
    <row r="328">
      <c r="A328" s="47" t="s">
        <v>523</v>
      </c>
      <c r="B328" s="47"/>
      <c r="C328" s="47" t="s">
        <v>524</v>
      </c>
      <c r="D328" s="47" t="s">
        <v>511</v>
      </c>
      <c r="E328" s="47" t="s">
        <v>507</v>
      </c>
      <c r="F328" s="30">
        <v>1699.0</v>
      </c>
      <c r="G328" s="30">
        <v>1699.0</v>
      </c>
      <c r="H328" s="30">
        <v>0.0</v>
      </c>
      <c r="I328" s="47" t="s">
        <v>899</v>
      </c>
      <c r="J328" s="48">
        <v>46062.99424768519</v>
      </c>
      <c r="K328" s="49" t="s">
        <v>1307</v>
      </c>
      <c r="L328" s="30">
        <v>4.01822662E8</v>
      </c>
      <c r="M328" s="47" t="s">
        <v>862</v>
      </c>
      <c r="N328" s="30">
        <v>6.25814444E8</v>
      </c>
      <c r="T328" s="47" t="s">
        <v>901</v>
      </c>
      <c r="U328" s="30">
        <v>20.0</v>
      </c>
    </row>
    <row r="329">
      <c r="A329" s="47">
        <v>4.017721832025E12</v>
      </c>
      <c r="B329" s="47"/>
      <c r="C329" s="47" t="s">
        <v>526</v>
      </c>
      <c r="D329" s="47" t="s">
        <v>525</v>
      </c>
      <c r="E329" s="47" t="s">
        <v>72</v>
      </c>
      <c r="F329" s="30">
        <v>879.0</v>
      </c>
      <c r="G329" s="30">
        <v>879.0</v>
      </c>
      <c r="H329" s="30">
        <v>0.0</v>
      </c>
      <c r="I329" s="47" t="s">
        <v>899</v>
      </c>
      <c r="J329" s="48">
        <v>46086.00244212963</v>
      </c>
      <c r="K329" s="49" t="s">
        <v>1308</v>
      </c>
      <c r="L329" s="30">
        <v>9.5610091E7</v>
      </c>
      <c r="M329" s="47">
        <v>1.0</v>
      </c>
      <c r="N329" s="30">
        <v>1.59300972E8</v>
      </c>
      <c r="O329" s="30"/>
      <c r="P329" s="30"/>
      <c r="Q329" s="30"/>
      <c r="R329" s="30"/>
      <c r="S329" s="47"/>
      <c r="T329" s="47" t="s">
        <v>901</v>
      </c>
      <c r="U329" s="30">
        <v>16.5</v>
      </c>
    </row>
    <row r="330">
      <c r="A330" s="47" t="s">
        <v>527</v>
      </c>
      <c r="C330" s="47" t="s">
        <v>528</v>
      </c>
      <c r="D330" s="47" t="s">
        <v>333</v>
      </c>
      <c r="E330" s="47" t="s">
        <v>72</v>
      </c>
      <c r="F330" s="30">
        <v>3400.0</v>
      </c>
      <c r="G330" s="30">
        <v>3400.0</v>
      </c>
      <c r="H330" s="30">
        <v>1.0</v>
      </c>
      <c r="I330" s="47" t="s">
        <v>889</v>
      </c>
      <c r="J330" s="48">
        <v>46062.67542824074</v>
      </c>
      <c r="K330" s="49" t="s">
        <v>1309</v>
      </c>
      <c r="L330" s="30">
        <v>1.048362851E9</v>
      </c>
      <c r="M330" s="47" t="s">
        <v>839</v>
      </c>
      <c r="N330" s="30">
        <v>1.450671553E9</v>
      </c>
      <c r="O330" s="30">
        <v>4.0</v>
      </c>
      <c r="P330" s="30">
        <v>2619.0</v>
      </c>
      <c r="Q330" s="30">
        <v>2599.0</v>
      </c>
      <c r="R330" s="30">
        <v>2850.0</v>
      </c>
      <c r="S330" s="47" t="b">
        <v>1</v>
      </c>
      <c r="T330" s="47" t="s">
        <v>891</v>
      </c>
      <c r="U330" s="30">
        <v>16.5</v>
      </c>
    </row>
    <row r="331">
      <c r="A331" s="47" t="s">
        <v>529</v>
      </c>
      <c r="C331" s="47" t="s">
        <v>530</v>
      </c>
      <c r="D331" s="47" t="s">
        <v>450</v>
      </c>
      <c r="E331" s="47" t="s">
        <v>72</v>
      </c>
      <c r="F331" s="30">
        <v>2590.0</v>
      </c>
      <c r="G331" s="30">
        <v>2590.0</v>
      </c>
      <c r="H331" s="30">
        <v>0.0</v>
      </c>
      <c r="I331" s="47" t="s">
        <v>899</v>
      </c>
      <c r="J331" s="48">
        <v>46063.15255787037</v>
      </c>
      <c r="K331" s="49" t="s">
        <v>1310</v>
      </c>
      <c r="L331" s="30">
        <v>1.032993869E9</v>
      </c>
      <c r="M331" s="47" t="s">
        <v>1311</v>
      </c>
      <c r="N331" s="30">
        <v>1.430583301E9</v>
      </c>
      <c r="T331" s="47" t="s">
        <v>901</v>
      </c>
      <c r="U331" s="30">
        <v>16.5</v>
      </c>
    </row>
    <row r="332">
      <c r="A332" s="47" t="s">
        <v>531</v>
      </c>
      <c r="C332" s="47" t="s">
        <v>533</v>
      </c>
      <c r="D332" s="47" t="s">
        <v>532</v>
      </c>
      <c r="E332" s="47" t="s">
        <v>72</v>
      </c>
      <c r="F332" s="30">
        <v>5150.0</v>
      </c>
      <c r="G332" s="30">
        <v>5150.0</v>
      </c>
      <c r="H332" s="30">
        <v>1.0</v>
      </c>
      <c r="I332" s="47" t="s">
        <v>889</v>
      </c>
      <c r="J332" s="48">
        <v>46063.16388888889</v>
      </c>
      <c r="K332" s="49" t="s">
        <v>1312</v>
      </c>
      <c r="L332" s="30">
        <v>9.24383644E8</v>
      </c>
      <c r="M332" s="47" t="s">
        <v>531</v>
      </c>
      <c r="N332" s="30">
        <v>1.305930881E9</v>
      </c>
      <c r="O332" s="30">
        <v>4.0</v>
      </c>
      <c r="P332" s="30">
        <v>4620.0</v>
      </c>
      <c r="Q332" s="30">
        <v>4699.0</v>
      </c>
      <c r="R332" s="30">
        <v>5100.0</v>
      </c>
      <c r="S332" s="47" t="b">
        <v>1</v>
      </c>
      <c r="T332" s="47" t="s">
        <v>891</v>
      </c>
      <c r="U332" s="30">
        <v>16.5</v>
      </c>
    </row>
    <row r="333">
      <c r="A333" s="47">
        <v>5.2742059372E10</v>
      </c>
      <c r="C333" s="47" t="s">
        <v>534</v>
      </c>
      <c r="D333" s="47" t="s">
        <v>229</v>
      </c>
      <c r="E333" s="47" t="s">
        <v>72</v>
      </c>
      <c r="F333" s="30">
        <v>2275.0</v>
      </c>
      <c r="G333" s="30">
        <v>2275.0</v>
      </c>
      <c r="H333" s="30">
        <v>0.0</v>
      </c>
      <c r="I333" s="47" t="s">
        <v>899</v>
      </c>
      <c r="J333" s="48">
        <v>46063.10581018519</v>
      </c>
      <c r="K333" s="49" t="s">
        <v>1313</v>
      </c>
      <c r="L333" s="30">
        <v>8.37330519E8</v>
      </c>
      <c r="M333" s="47">
        <v>5.2742059372E10</v>
      </c>
      <c r="N333" s="30">
        <v>1.124448441E9</v>
      </c>
      <c r="O333" s="30"/>
      <c r="P333" s="30"/>
      <c r="Q333" s="30"/>
      <c r="R333" s="30"/>
      <c r="S333" s="47"/>
      <c r="T333" s="47" t="s">
        <v>901</v>
      </c>
      <c r="U333" s="30">
        <v>12.5</v>
      </c>
    </row>
    <row r="334">
      <c r="A334" s="47" t="s">
        <v>535</v>
      </c>
      <c r="C334" s="47" t="s">
        <v>536</v>
      </c>
      <c r="D334" s="47" t="s">
        <v>50</v>
      </c>
      <c r="E334" s="47" t="s">
        <v>72</v>
      </c>
      <c r="F334" s="30">
        <v>1575.0</v>
      </c>
      <c r="G334" s="30">
        <v>1575.0</v>
      </c>
      <c r="H334" s="30">
        <v>49.0</v>
      </c>
      <c r="I334" s="47" t="s">
        <v>889</v>
      </c>
      <c r="J334" s="48">
        <v>46063.084710648145</v>
      </c>
      <c r="K334" s="49" t="s">
        <v>1314</v>
      </c>
      <c r="L334" s="30">
        <v>1.34120288E8</v>
      </c>
      <c r="M334" s="47" t="s">
        <v>1315</v>
      </c>
      <c r="N334" s="30">
        <v>2.30779774E8</v>
      </c>
      <c r="O334" s="30">
        <v>2.0</v>
      </c>
      <c r="P334" s="30">
        <v>1581.0</v>
      </c>
      <c r="Q334" s="30">
        <v>1575.0</v>
      </c>
      <c r="R334" s="30">
        <v>1580.0</v>
      </c>
      <c r="S334" s="47" t="b">
        <v>1</v>
      </c>
      <c r="T334" s="47" t="s">
        <v>891</v>
      </c>
      <c r="U334" s="30">
        <v>12.5</v>
      </c>
    </row>
    <row r="335">
      <c r="A335" s="47" t="s">
        <v>537</v>
      </c>
      <c r="B335" s="47"/>
      <c r="C335" s="47" t="s">
        <v>538</v>
      </c>
      <c r="D335" s="47" t="s">
        <v>53</v>
      </c>
      <c r="E335" s="47" t="s">
        <v>539</v>
      </c>
      <c r="F335" s="30">
        <v>1712.0</v>
      </c>
      <c r="G335" s="30">
        <v>1712.0</v>
      </c>
      <c r="H335" s="30">
        <v>0.0</v>
      </c>
      <c r="I335" s="47" t="s">
        <v>899</v>
      </c>
      <c r="J335" s="48">
        <v>46093.860625</v>
      </c>
      <c r="K335" s="49" t="s">
        <v>1316</v>
      </c>
      <c r="L335" s="30">
        <v>7.5342761E7</v>
      </c>
      <c r="M335" s="47" t="s">
        <v>859</v>
      </c>
      <c r="N335" s="30">
        <v>1.29031191E8</v>
      </c>
      <c r="T335" s="47" t="s">
        <v>901</v>
      </c>
      <c r="U335" s="30">
        <v>12.5</v>
      </c>
    </row>
    <row r="336">
      <c r="A336" s="47">
        <v>2.524015E8</v>
      </c>
      <c r="B336" s="47"/>
      <c r="C336" s="47" t="s">
        <v>540</v>
      </c>
      <c r="D336" s="47" t="s">
        <v>53</v>
      </c>
      <c r="E336" s="47" t="s">
        <v>52</v>
      </c>
      <c r="F336" s="30">
        <v>1339.0</v>
      </c>
      <c r="G336" s="30">
        <v>1339.0</v>
      </c>
      <c r="H336" s="30">
        <v>15.0</v>
      </c>
      <c r="I336" s="47" t="s">
        <v>889</v>
      </c>
      <c r="J336" s="48">
        <v>46063.27202546296</v>
      </c>
      <c r="K336" s="49" t="s">
        <v>1317</v>
      </c>
      <c r="L336" s="30">
        <v>1.02112068E8</v>
      </c>
      <c r="M336" s="47">
        <v>1162962.0</v>
      </c>
      <c r="N336" s="30">
        <v>1.69190839E8</v>
      </c>
      <c r="O336" s="30">
        <v>2.0</v>
      </c>
      <c r="P336" s="30">
        <v>1345.0</v>
      </c>
      <c r="Q336" s="30">
        <v>1339.0</v>
      </c>
      <c r="R336" s="30">
        <v>1399.0</v>
      </c>
      <c r="S336" s="47" t="b">
        <v>1</v>
      </c>
      <c r="T336" s="47" t="s">
        <v>891</v>
      </c>
      <c r="U336" s="30">
        <v>12.5</v>
      </c>
    </row>
    <row r="337">
      <c r="A337" s="47">
        <v>9.00357931015112E14</v>
      </c>
      <c r="B337" s="47"/>
      <c r="C337" s="47" t="s">
        <v>541</v>
      </c>
      <c r="D337" s="47" t="s">
        <v>53</v>
      </c>
      <c r="E337" s="47" t="s">
        <v>52</v>
      </c>
      <c r="F337" s="30">
        <v>958.0</v>
      </c>
      <c r="G337" s="30">
        <v>958.0</v>
      </c>
      <c r="H337" s="30">
        <v>3.0</v>
      </c>
      <c r="I337" s="47" t="s">
        <v>889</v>
      </c>
      <c r="J337" s="48">
        <v>46063.18920138889</v>
      </c>
      <c r="K337" s="49" t="s">
        <v>1318</v>
      </c>
      <c r="L337" s="30">
        <v>6.25332332E8</v>
      </c>
      <c r="M337" s="47" t="s">
        <v>1319</v>
      </c>
      <c r="N337" s="30">
        <v>8.29177812E8</v>
      </c>
      <c r="O337" s="30">
        <v>1.0</v>
      </c>
      <c r="P337" s="30">
        <v>958.0</v>
      </c>
      <c r="S337" s="47" t="b">
        <v>0</v>
      </c>
      <c r="T337" s="47" t="s">
        <v>891</v>
      </c>
      <c r="U337" s="30">
        <v>12.5</v>
      </c>
    </row>
    <row r="338">
      <c r="A338" s="47" t="s">
        <v>542</v>
      </c>
      <c r="B338" s="47"/>
      <c r="C338" s="47" t="s">
        <v>543</v>
      </c>
      <c r="D338" s="47" t="s">
        <v>53</v>
      </c>
      <c r="E338" s="47" t="s">
        <v>52</v>
      </c>
      <c r="F338" s="30">
        <v>0.0</v>
      </c>
      <c r="G338" s="30">
        <v>1100.0</v>
      </c>
      <c r="H338" s="30">
        <v>50.0</v>
      </c>
      <c r="I338" s="47" t="s">
        <v>899</v>
      </c>
      <c r="J338" s="48">
        <v>46111.473541666666</v>
      </c>
      <c r="K338" s="49" t="s">
        <v>1320</v>
      </c>
      <c r="L338" s="30">
        <v>3.29486063E8</v>
      </c>
      <c r="M338" s="47" t="s">
        <v>1321</v>
      </c>
      <c r="N338" s="30">
        <v>5.24230599E8</v>
      </c>
      <c r="T338" s="47" t="s">
        <v>1185</v>
      </c>
      <c r="U338" s="30">
        <v>12.5</v>
      </c>
    </row>
    <row r="339">
      <c r="A339" s="47">
        <v>4.49531020003577E14</v>
      </c>
      <c r="B339" s="47"/>
      <c r="C339" s="47" t="s">
        <v>544</v>
      </c>
      <c r="D339" s="47" t="s">
        <v>53</v>
      </c>
      <c r="E339" s="47" t="s">
        <v>52</v>
      </c>
      <c r="F339" s="30">
        <v>1799.0</v>
      </c>
      <c r="G339" s="30">
        <v>1799.0</v>
      </c>
      <c r="H339" s="30">
        <v>15.0</v>
      </c>
      <c r="I339" s="47" t="s">
        <v>889</v>
      </c>
      <c r="J339" s="48">
        <v>46063.20793981481</v>
      </c>
      <c r="K339" s="49" t="s">
        <v>1322</v>
      </c>
      <c r="L339" s="30">
        <v>1.05795035E8</v>
      </c>
      <c r="M339" s="47" t="s">
        <v>1323</v>
      </c>
      <c r="N339" s="30">
        <v>1.74438095E8</v>
      </c>
      <c r="O339" s="30">
        <v>1.0</v>
      </c>
      <c r="P339" s="30">
        <v>1799.0</v>
      </c>
      <c r="Q339" s="30"/>
      <c r="R339" s="30"/>
      <c r="S339" s="47" t="b">
        <v>0</v>
      </c>
      <c r="T339" s="47" t="s">
        <v>891</v>
      </c>
      <c r="U339" s="30">
        <v>12.5</v>
      </c>
    </row>
    <row r="340">
      <c r="A340" s="47">
        <v>3.569702998444E12</v>
      </c>
      <c r="B340" s="47"/>
      <c r="C340" s="47" t="s">
        <v>545</v>
      </c>
      <c r="D340" s="47" t="s">
        <v>53</v>
      </c>
      <c r="E340" s="47" t="s">
        <v>52</v>
      </c>
      <c r="F340" s="30">
        <v>414.0</v>
      </c>
      <c r="G340" s="30">
        <v>414.0</v>
      </c>
      <c r="H340" s="30">
        <v>21.0</v>
      </c>
      <c r="I340" s="47" t="s">
        <v>889</v>
      </c>
      <c r="J340" s="48">
        <v>46090.46068287037</v>
      </c>
      <c r="K340" s="49" t="s">
        <v>1324</v>
      </c>
      <c r="L340" s="30">
        <v>4.2574562E7</v>
      </c>
      <c r="M340" s="47" t="s">
        <v>835</v>
      </c>
      <c r="N340" s="30">
        <v>7.5626335E7</v>
      </c>
      <c r="O340" s="30">
        <v>4.0</v>
      </c>
      <c r="P340" s="30">
        <v>349.0</v>
      </c>
      <c r="Q340" s="30">
        <v>369.9</v>
      </c>
      <c r="R340" s="30">
        <v>415.0</v>
      </c>
      <c r="S340" s="47" t="b">
        <v>1</v>
      </c>
      <c r="T340" s="47" t="s">
        <v>891</v>
      </c>
      <c r="U340" s="30">
        <v>12.5</v>
      </c>
    </row>
    <row r="341">
      <c r="A341" s="47">
        <v>8.684207638772E12</v>
      </c>
      <c r="B341" s="47"/>
      <c r="C341" s="47" t="s">
        <v>547</v>
      </c>
      <c r="D341" s="47" t="s">
        <v>546</v>
      </c>
      <c r="E341" s="47" t="s">
        <v>52</v>
      </c>
      <c r="F341" s="30">
        <v>849.0</v>
      </c>
      <c r="G341" s="30">
        <v>849.0</v>
      </c>
      <c r="H341" s="30">
        <v>100.0</v>
      </c>
      <c r="I341" s="47" t="s">
        <v>889</v>
      </c>
      <c r="J341" s="48">
        <v>46164.71734953704</v>
      </c>
      <c r="K341" s="49" t="s">
        <v>1325</v>
      </c>
      <c r="L341" s="30">
        <v>9.32765186E8</v>
      </c>
      <c r="M341" s="47">
        <v>8.684207638772E12</v>
      </c>
      <c r="N341" s="30">
        <v>1.319436979E9</v>
      </c>
      <c r="O341" s="30">
        <v>5.0</v>
      </c>
      <c r="P341" s="30">
        <v>594.0</v>
      </c>
      <c r="Q341" s="30">
        <v>663.3</v>
      </c>
      <c r="R341" s="30">
        <v>739.99</v>
      </c>
      <c r="S341" s="47" t="b">
        <v>1</v>
      </c>
      <c r="T341" s="47" t="s">
        <v>891</v>
      </c>
      <c r="U341" s="30">
        <v>16.5</v>
      </c>
    </row>
    <row r="342">
      <c r="A342" s="47" t="s">
        <v>548</v>
      </c>
      <c r="B342" s="47"/>
      <c r="C342" s="47" t="s">
        <v>549</v>
      </c>
      <c r="D342" s="47" t="s">
        <v>546</v>
      </c>
      <c r="E342" s="47" t="s">
        <v>52</v>
      </c>
      <c r="F342" s="30">
        <v>825.0</v>
      </c>
      <c r="G342" s="30">
        <v>825.0</v>
      </c>
      <c r="H342" s="30">
        <v>97.0</v>
      </c>
      <c r="I342" s="47" t="s">
        <v>889</v>
      </c>
      <c r="J342" s="48">
        <v>46164.717314814814</v>
      </c>
      <c r="K342" s="49" t="s">
        <v>1326</v>
      </c>
      <c r="L342" s="30">
        <v>9.32765656E8</v>
      </c>
      <c r="M342" s="47">
        <v>8.684207638789E12</v>
      </c>
      <c r="N342" s="30">
        <v>1.319437483E9</v>
      </c>
      <c r="O342" s="30">
        <v>3.0</v>
      </c>
      <c r="P342" s="30">
        <v>657.0</v>
      </c>
      <c r="Q342" s="30">
        <v>729.99</v>
      </c>
      <c r="R342" s="30">
        <v>742.5</v>
      </c>
      <c r="S342" s="47" t="b">
        <v>1</v>
      </c>
      <c r="T342" s="47" t="s">
        <v>891</v>
      </c>
      <c r="U342" s="30">
        <v>16.5</v>
      </c>
    </row>
    <row r="343">
      <c r="A343" s="47">
        <v>8.684207631578E12</v>
      </c>
      <c r="B343" s="47"/>
      <c r="C343" s="47" t="s">
        <v>550</v>
      </c>
      <c r="D343" s="47" t="s">
        <v>546</v>
      </c>
      <c r="E343" s="47" t="s">
        <v>52</v>
      </c>
      <c r="F343" s="30">
        <v>829.0</v>
      </c>
      <c r="G343" s="30">
        <v>829.0</v>
      </c>
      <c r="H343" s="30">
        <v>100.0</v>
      </c>
      <c r="I343" s="47" t="s">
        <v>889</v>
      </c>
      <c r="J343" s="48">
        <v>46164.71733796296</v>
      </c>
      <c r="K343" s="49" t="s">
        <v>1327</v>
      </c>
      <c r="L343" s="30">
        <v>9.32769525E8</v>
      </c>
      <c r="M343" s="47">
        <v>8.684207631578E12</v>
      </c>
      <c r="N343" s="30">
        <v>1.319442865E9</v>
      </c>
      <c r="O343" s="30">
        <v>1.0</v>
      </c>
      <c r="P343" s="30">
        <v>746.1</v>
      </c>
      <c r="Q343" s="30">
        <v>1649.0</v>
      </c>
      <c r="R343" s="30"/>
      <c r="S343" s="47" t="b">
        <v>1</v>
      </c>
      <c r="T343" s="47" t="s">
        <v>891</v>
      </c>
      <c r="U343" s="30">
        <v>16.5</v>
      </c>
    </row>
    <row r="344">
      <c r="A344" s="47" t="s">
        <v>551</v>
      </c>
      <c r="B344" s="47"/>
      <c r="C344" s="47" t="s">
        <v>552</v>
      </c>
      <c r="D344" s="47" t="s">
        <v>546</v>
      </c>
      <c r="E344" s="47" t="s">
        <v>52</v>
      </c>
      <c r="F344" s="30">
        <v>825.0</v>
      </c>
      <c r="G344" s="30">
        <v>825.0</v>
      </c>
      <c r="H344" s="30">
        <v>100.0</v>
      </c>
      <c r="I344" s="47" t="s">
        <v>889</v>
      </c>
      <c r="J344" s="48">
        <v>46164.71729166667</v>
      </c>
      <c r="K344" s="49" t="s">
        <v>1328</v>
      </c>
      <c r="L344" s="30">
        <v>9.32766494E8</v>
      </c>
      <c r="M344" s="47">
        <v>8.684207638796E12</v>
      </c>
      <c r="N344" s="30">
        <v>1.319438347E9</v>
      </c>
      <c r="O344" s="30">
        <v>3.0</v>
      </c>
      <c r="P344" s="30">
        <v>490.5</v>
      </c>
      <c r="Q344" s="30">
        <v>549.0</v>
      </c>
      <c r="R344" s="30">
        <v>742.5</v>
      </c>
      <c r="S344" s="47" t="b">
        <v>1</v>
      </c>
      <c r="T344" s="47" t="s">
        <v>891</v>
      </c>
      <c r="U344" s="30">
        <v>16.5</v>
      </c>
    </row>
    <row r="345">
      <c r="A345" s="47">
        <v>8.684207638288E12</v>
      </c>
      <c r="B345" s="47"/>
      <c r="C345" s="47" t="s">
        <v>553</v>
      </c>
      <c r="D345" s="47" t="s">
        <v>546</v>
      </c>
      <c r="E345" s="47" t="s">
        <v>52</v>
      </c>
      <c r="F345" s="30">
        <v>829.0</v>
      </c>
      <c r="G345" s="30">
        <v>829.0</v>
      </c>
      <c r="H345" s="30">
        <v>100.0</v>
      </c>
      <c r="I345" s="47" t="s">
        <v>889</v>
      </c>
      <c r="J345" s="48">
        <v>46164.71730324074</v>
      </c>
      <c r="K345" s="49" t="s">
        <v>1329</v>
      </c>
      <c r="L345" s="30">
        <v>9.32768827E8</v>
      </c>
      <c r="M345" s="47">
        <v>8.684207638288E12</v>
      </c>
      <c r="N345" s="30">
        <v>1.319441249E9</v>
      </c>
      <c r="O345" s="30">
        <v>3.0</v>
      </c>
      <c r="P345" s="30">
        <v>585.0</v>
      </c>
      <c r="Q345" s="30">
        <v>585.0</v>
      </c>
      <c r="R345" s="30">
        <v>746.1</v>
      </c>
      <c r="S345" s="47" t="b">
        <v>1</v>
      </c>
      <c r="T345" s="47" t="s">
        <v>891</v>
      </c>
      <c r="U345" s="30">
        <v>16.5</v>
      </c>
    </row>
    <row r="346">
      <c r="A346" s="47" t="s">
        <v>554</v>
      </c>
      <c r="B346" s="47"/>
      <c r="C346" s="47" t="s">
        <v>555</v>
      </c>
      <c r="D346" s="47" t="s">
        <v>296</v>
      </c>
      <c r="E346" s="47" t="s">
        <v>299</v>
      </c>
      <c r="F346" s="30">
        <v>793.0</v>
      </c>
      <c r="G346" s="30">
        <v>793.0</v>
      </c>
      <c r="H346" s="30">
        <v>0.0</v>
      </c>
      <c r="I346" s="47" t="s">
        <v>899</v>
      </c>
      <c r="J346" s="48">
        <v>46063.2128125</v>
      </c>
      <c r="K346" s="49" t="s">
        <v>1330</v>
      </c>
      <c r="L346" s="30">
        <v>1.063806257E9</v>
      </c>
      <c r="M346" s="47" t="s">
        <v>1331</v>
      </c>
      <c r="N346" s="30">
        <v>1.470964095E9</v>
      </c>
      <c r="T346" s="47" t="s">
        <v>901</v>
      </c>
      <c r="U346" s="30">
        <v>20.0</v>
      </c>
    </row>
    <row r="347">
      <c r="A347" s="47">
        <v>6.923632570212E12</v>
      </c>
      <c r="C347" s="47" t="s">
        <v>555</v>
      </c>
      <c r="D347" s="47" t="s">
        <v>296</v>
      </c>
      <c r="E347" s="47" t="s">
        <v>299</v>
      </c>
      <c r="F347" s="30">
        <v>0.0</v>
      </c>
      <c r="G347" s="30">
        <v>0.0</v>
      </c>
      <c r="H347" s="30">
        <v>0.0</v>
      </c>
      <c r="I347" s="47" t="s">
        <v>899</v>
      </c>
      <c r="J347" s="48">
        <v>46063.133043981485</v>
      </c>
      <c r="K347" s="49" t="s">
        <v>1332</v>
      </c>
      <c r="L347" s="30">
        <v>1.063799419E9</v>
      </c>
      <c r="M347" s="47" t="s">
        <v>1331</v>
      </c>
      <c r="N347" s="30">
        <v>1.47095695E9</v>
      </c>
      <c r="O347" s="30"/>
      <c r="P347" s="30"/>
      <c r="Q347" s="30"/>
      <c r="R347" s="30"/>
      <c r="S347" s="47"/>
      <c r="T347" s="47" t="s">
        <v>901</v>
      </c>
      <c r="U347" s="30">
        <v>20.0</v>
      </c>
    </row>
    <row r="348">
      <c r="A348" s="47">
        <v>6.923632570003E12</v>
      </c>
      <c r="C348" s="47" t="s">
        <v>297</v>
      </c>
      <c r="D348" s="47" t="s">
        <v>296</v>
      </c>
      <c r="E348" s="47" t="s">
        <v>299</v>
      </c>
      <c r="F348" s="30">
        <v>489.0</v>
      </c>
      <c r="G348" s="30">
        <v>489.0</v>
      </c>
      <c r="H348" s="30">
        <v>12.0</v>
      </c>
      <c r="I348" s="47" t="s">
        <v>889</v>
      </c>
      <c r="J348" s="48">
        <v>46062.66074074074</v>
      </c>
      <c r="K348" s="49" t="s">
        <v>1333</v>
      </c>
      <c r="L348" s="30">
        <v>1.063589917E9</v>
      </c>
      <c r="M348" s="47" t="s">
        <v>855</v>
      </c>
      <c r="N348" s="30">
        <v>1.4707429E9</v>
      </c>
      <c r="O348" s="30">
        <v>1.0</v>
      </c>
      <c r="P348" s="30">
        <v>489.0</v>
      </c>
      <c r="Q348" s="30"/>
      <c r="R348" s="30"/>
      <c r="S348" s="47" t="b">
        <v>0</v>
      </c>
      <c r="T348" s="47" t="s">
        <v>891</v>
      </c>
      <c r="U348" s="30">
        <v>20.0</v>
      </c>
    </row>
    <row r="349">
      <c r="A349" s="47">
        <v>6.923632570001E12</v>
      </c>
      <c r="C349" s="47" t="s">
        <v>297</v>
      </c>
      <c r="D349" s="47" t="s">
        <v>296</v>
      </c>
      <c r="E349" s="47" t="s">
        <v>299</v>
      </c>
      <c r="F349" s="30">
        <v>474.47</v>
      </c>
      <c r="G349" s="30">
        <v>474.47</v>
      </c>
      <c r="H349" s="30">
        <v>43.0</v>
      </c>
      <c r="I349" s="47" t="s">
        <v>889</v>
      </c>
      <c r="J349" s="48">
        <v>46063.12451388889</v>
      </c>
      <c r="K349" s="49" t="s">
        <v>1334</v>
      </c>
      <c r="L349" s="30">
        <v>1.063589945E9</v>
      </c>
      <c r="M349" s="47" t="s">
        <v>855</v>
      </c>
      <c r="N349" s="30">
        <v>1.470742931E9</v>
      </c>
      <c r="O349" s="30">
        <v>1.0</v>
      </c>
      <c r="P349" s="30">
        <v>474.47</v>
      </c>
      <c r="Q349" s="30"/>
      <c r="R349" s="30"/>
      <c r="S349" s="47" t="b">
        <v>0</v>
      </c>
      <c r="T349" s="47" t="s">
        <v>891</v>
      </c>
      <c r="U349" s="30">
        <v>20.0</v>
      </c>
    </row>
    <row r="350">
      <c r="A350" s="47">
        <v>6.923632570002E12</v>
      </c>
      <c r="B350" s="47"/>
      <c r="C350" s="47" t="s">
        <v>297</v>
      </c>
      <c r="D350" s="47" t="s">
        <v>296</v>
      </c>
      <c r="E350" s="47" t="s">
        <v>299</v>
      </c>
      <c r="F350" s="30">
        <v>489.0</v>
      </c>
      <c r="G350" s="30">
        <v>489.0</v>
      </c>
      <c r="H350" s="30">
        <v>0.0</v>
      </c>
      <c r="I350" s="47" t="s">
        <v>899</v>
      </c>
      <c r="J350" s="48">
        <v>46063.06107638889</v>
      </c>
      <c r="K350" s="49" t="s">
        <v>1335</v>
      </c>
      <c r="L350" s="30">
        <v>1.063589921E9</v>
      </c>
      <c r="M350" s="47" t="s">
        <v>855</v>
      </c>
      <c r="N350" s="30">
        <v>1.470742904E9</v>
      </c>
      <c r="O350" s="30"/>
      <c r="P350" s="30"/>
      <c r="Q350" s="30"/>
      <c r="R350" s="30"/>
      <c r="S350" s="47"/>
      <c r="T350" s="47" t="s">
        <v>901</v>
      </c>
      <c r="U350" s="30">
        <v>20.0</v>
      </c>
    </row>
    <row r="351">
      <c r="A351" s="47">
        <v>1.5226829252E10</v>
      </c>
      <c r="C351" s="47" t="s">
        <v>556</v>
      </c>
      <c r="D351" s="47" t="s">
        <v>53</v>
      </c>
      <c r="E351" s="47" t="s">
        <v>448</v>
      </c>
      <c r="F351" s="30">
        <v>4650.0</v>
      </c>
      <c r="G351" s="30">
        <v>4650.0</v>
      </c>
      <c r="H351" s="30">
        <v>0.0</v>
      </c>
      <c r="I351" s="47" t="s">
        <v>899</v>
      </c>
      <c r="J351" s="48">
        <v>46063.222037037034</v>
      </c>
      <c r="K351" s="49" t="s">
        <v>1336</v>
      </c>
      <c r="L351" s="30">
        <v>1.063215333E9</v>
      </c>
      <c r="M351" s="47" t="s">
        <v>1337</v>
      </c>
      <c r="N351" s="30">
        <v>1.470243842E9</v>
      </c>
      <c r="O351" s="30"/>
      <c r="P351" s="30"/>
      <c r="Q351" s="30"/>
      <c r="R351" s="30"/>
      <c r="S351" s="47"/>
      <c r="T351" s="47" t="s">
        <v>901</v>
      </c>
      <c r="U351" s="30">
        <v>12.5</v>
      </c>
    </row>
    <row r="352">
      <c r="A352" s="47">
        <v>6.92363257012E12</v>
      </c>
      <c r="B352" s="47" t="s">
        <v>557</v>
      </c>
      <c r="C352" s="47" t="s">
        <v>305</v>
      </c>
      <c r="D352" s="47" t="s">
        <v>296</v>
      </c>
      <c r="E352" s="47" t="s">
        <v>299</v>
      </c>
      <c r="F352" s="30">
        <v>897.45</v>
      </c>
      <c r="G352" s="30">
        <v>897.45</v>
      </c>
      <c r="H352" s="30">
        <v>0.0</v>
      </c>
      <c r="I352" s="47" t="s">
        <v>899</v>
      </c>
      <c r="J352" s="48">
        <v>46062.651400462964</v>
      </c>
      <c r="K352" s="49" t="s">
        <v>1338</v>
      </c>
      <c r="L352" s="30">
        <v>1.063156822E9</v>
      </c>
      <c r="M352" s="47" t="s">
        <v>557</v>
      </c>
      <c r="N352" s="30">
        <v>1.470152725E9</v>
      </c>
      <c r="O352" s="30"/>
      <c r="P352" s="30"/>
      <c r="Q352" s="30"/>
      <c r="R352" s="30"/>
      <c r="S352" s="47"/>
      <c r="T352" s="47" t="s">
        <v>901</v>
      </c>
      <c r="U352" s="30">
        <v>20.0</v>
      </c>
    </row>
    <row r="353">
      <c r="A353" s="47" t="s">
        <v>558</v>
      </c>
      <c r="B353" s="47" t="s">
        <v>559</v>
      </c>
      <c r="C353" s="47" t="s">
        <v>555</v>
      </c>
      <c r="D353" s="47" t="s">
        <v>296</v>
      </c>
      <c r="E353" s="47" t="s">
        <v>299</v>
      </c>
      <c r="F353" s="30">
        <v>987.0</v>
      </c>
      <c r="G353" s="30">
        <v>987.0</v>
      </c>
      <c r="H353" s="30">
        <v>0.0</v>
      </c>
      <c r="I353" s="47" t="s">
        <v>899</v>
      </c>
      <c r="J353" s="48">
        <v>46063.07549768518</v>
      </c>
      <c r="K353" s="49" t="s">
        <v>1339</v>
      </c>
      <c r="L353" s="30">
        <v>1.063117863E9</v>
      </c>
      <c r="M353" s="47" t="s">
        <v>1340</v>
      </c>
      <c r="N353" s="30">
        <v>1.470103045E9</v>
      </c>
      <c r="T353" s="47" t="s">
        <v>901</v>
      </c>
      <c r="U353" s="30">
        <v>20.0</v>
      </c>
    </row>
    <row r="354">
      <c r="A354" s="47" t="s">
        <v>560</v>
      </c>
      <c r="B354" s="47" t="s">
        <v>561</v>
      </c>
      <c r="C354" s="47" t="s">
        <v>555</v>
      </c>
      <c r="D354" s="47" t="s">
        <v>296</v>
      </c>
      <c r="E354" s="47" t="s">
        <v>299</v>
      </c>
      <c r="F354" s="30">
        <v>987.0</v>
      </c>
      <c r="G354" s="30">
        <v>987.0</v>
      </c>
      <c r="H354" s="30">
        <v>0.0</v>
      </c>
      <c r="I354" s="47" t="s">
        <v>899</v>
      </c>
      <c r="J354" s="48">
        <v>46063.15275462963</v>
      </c>
      <c r="K354" s="49" t="s">
        <v>1341</v>
      </c>
      <c r="L354" s="30">
        <v>1.06311591E9</v>
      </c>
      <c r="M354" s="47" t="s">
        <v>1340</v>
      </c>
      <c r="N354" s="30">
        <v>1.470101031E9</v>
      </c>
      <c r="O354" s="30"/>
      <c r="P354" s="30"/>
      <c r="Q354" s="30"/>
      <c r="R354" s="30"/>
      <c r="S354" s="47"/>
      <c r="T354" s="47" t="s">
        <v>901</v>
      </c>
      <c r="U354" s="30">
        <v>20.0</v>
      </c>
    </row>
    <row r="355">
      <c r="A355" s="47">
        <v>6.923632570229E12</v>
      </c>
      <c r="B355" s="47" t="s">
        <v>562</v>
      </c>
      <c r="C355" s="47" t="s">
        <v>555</v>
      </c>
      <c r="D355" s="47" t="s">
        <v>296</v>
      </c>
      <c r="E355" s="47" t="s">
        <v>299</v>
      </c>
      <c r="F355" s="30">
        <v>987.0</v>
      </c>
      <c r="G355" s="30">
        <v>987.0</v>
      </c>
      <c r="H355" s="30">
        <v>0.0</v>
      </c>
      <c r="I355" s="47" t="s">
        <v>899</v>
      </c>
      <c r="J355" s="48">
        <v>46062.6059375</v>
      </c>
      <c r="K355" s="49" t="s">
        <v>1342</v>
      </c>
      <c r="L355" s="30">
        <v>1.063115754E9</v>
      </c>
      <c r="M355" s="47" t="s">
        <v>1340</v>
      </c>
      <c r="N355" s="30">
        <v>1.470100868E9</v>
      </c>
      <c r="O355" s="30"/>
      <c r="P355" s="30"/>
      <c r="Q355" s="30"/>
      <c r="R355" s="30"/>
      <c r="S355" s="47"/>
      <c r="T355" s="47" t="s">
        <v>901</v>
      </c>
      <c r="U355" s="30">
        <v>20.0</v>
      </c>
    </row>
    <row r="356">
      <c r="A356" s="47">
        <v>3.182550726948E12</v>
      </c>
      <c r="C356" s="47" t="s">
        <v>563</v>
      </c>
      <c r="D356" s="47" t="s">
        <v>53</v>
      </c>
      <c r="E356" s="47" t="s">
        <v>72</v>
      </c>
      <c r="F356" s="30">
        <v>0.0</v>
      </c>
      <c r="G356" s="30">
        <v>0.0</v>
      </c>
      <c r="H356" s="30">
        <v>0.0</v>
      </c>
      <c r="I356" s="47" t="s">
        <v>899</v>
      </c>
      <c r="J356" s="48">
        <v>46164.63303240741</v>
      </c>
      <c r="K356" s="49" t="s">
        <v>1343</v>
      </c>
      <c r="L356" s="30">
        <v>1223959.0</v>
      </c>
      <c r="M356" s="47">
        <v>390090.0</v>
      </c>
      <c r="N356" s="30">
        <v>1.0735381E7</v>
      </c>
      <c r="O356" s="30"/>
      <c r="P356" s="30"/>
      <c r="Q356" s="30"/>
      <c r="R356" s="30"/>
      <c r="S356" s="47"/>
      <c r="T356" s="47" t="s">
        <v>901</v>
      </c>
      <c r="U356" s="30">
        <v>12.5</v>
      </c>
    </row>
    <row r="357">
      <c r="A357" s="47" t="s">
        <v>564</v>
      </c>
      <c r="C357" s="47" t="s">
        <v>566</v>
      </c>
      <c r="D357" s="47" t="s">
        <v>565</v>
      </c>
      <c r="E357" s="47" t="s">
        <v>75</v>
      </c>
      <c r="F357" s="30">
        <v>155.0</v>
      </c>
      <c r="G357" s="30">
        <v>155.0</v>
      </c>
      <c r="H357" s="30">
        <v>0.0</v>
      </c>
      <c r="I357" s="47" t="s">
        <v>899</v>
      </c>
      <c r="J357" s="48">
        <v>46063.054930555554</v>
      </c>
      <c r="K357" s="49" t="s">
        <v>1344</v>
      </c>
      <c r="L357" s="30">
        <v>6.8846899E7</v>
      </c>
      <c r="M357" s="47" t="s">
        <v>1345</v>
      </c>
      <c r="N357" s="30">
        <v>1.19223971E8</v>
      </c>
      <c r="O357" s="30"/>
      <c r="P357" s="30"/>
      <c r="Q357" s="30"/>
      <c r="R357" s="30"/>
      <c r="S357" s="47"/>
      <c r="T357" s="47" t="s">
        <v>901</v>
      </c>
      <c r="U357" s="30">
        <v>20.0</v>
      </c>
    </row>
    <row r="358">
      <c r="A358" s="47">
        <v>-2.291811331E9</v>
      </c>
      <c r="C358" s="47" t="s">
        <v>567</v>
      </c>
      <c r="D358" s="47" t="s">
        <v>53</v>
      </c>
      <c r="E358" s="47" t="s">
        <v>448</v>
      </c>
      <c r="F358" s="30">
        <v>0.0</v>
      </c>
      <c r="G358" s="30">
        <v>0.0</v>
      </c>
      <c r="H358" s="30">
        <v>0.0</v>
      </c>
      <c r="I358" s="47" t="s">
        <v>899</v>
      </c>
      <c r="J358" s="48">
        <v>46073.623460648145</v>
      </c>
      <c r="K358" s="49" t="s">
        <v>1346</v>
      </c>
      <c r="L358" s="30">
        <v>1.062039633E9</v>
      </c>
      <c r="M358" s="47">
        <v>-2.291811331E9</v>
      </c>
      <c r="N358" s="30">
        <v>1.468722323E9</v>
      </c>
      <c r="O358" s="30"/>
      <c r="P358" s="30"/>
      <c r="Q358" s="30"/>
      <c r="R358" s="30"/>
      <c r="S358" s="47"/>
      <c r="T358" s="47" t="s">
        <v>901</v>
      </c>
      <c r="U358" s="30">
        <v>12.5</v>
      </c>
    </row>
    <row r="359">
      <c r="A359" s="47">
        <v>6.923632570205E12</v>
      </c>
      <c r="B359" s="47" t="s">
        <v>562</v>
      </c>
      <c r="C359" s="47" t="s">
        <v>568</v>
      </c>
      <c r="D359" s="47" t="s">
        <v>296</v>
      </c>
      <c r="E359" s="47" t="s">
        <v>299</v>
      </c>
      <c r="F359" s="30">
        <v>775.0</v>
      </c>
      <c r="G359" s="30">
        <v>775.0</v>
      </c>
      <c r="H359" s="30">
        <v>0.0</v>
      </c>
      <c r="I359" s="47" t="s">
        <v>899</v>
      </c>
      <c r="J359" s="48">
        <v>46063.157060185185</v>
      </c>
      <c r="K359" s="49" t="s">
        <v>1347</v>
      </c>
      <c r="L359" s="30">
        <v>1.062026395E9</v>
      </c>
      <c r="M359" s="47" t="s">
        <v>562</v>
      </c>
      <c r="N359" s="30">
        <v>1.468705424E9</v>
      </c>
      <c r="T359" s="47" t="s">
        <v>901</v>
      </c>
      <c r="U359" s="30">
        <v>20.0</v>
      </c>
    </row>
    <row r="360">
      <c r="A360" s="47" t="s">
        <v>569</v>
      </c>
      <c r="B360" s="47" t="s">
        <v>562</v>
      </c>
      <c r="C360" s="47" t="s">
        <v>568</v>
      </c>
      <c r="D360" s="47" t="s">
        <v>296</v>
      </c>
      <c r="E360" s="47" t="s">
        <v>299</v>
      </c>
      <c r="F360" s="30">
        <v>775.0</v>
      </c>
      <c r="G360" s="30">
        <v>775.0</v>
      </c>
      <c r="H360" s="30">
        <v>0.0</v>
      </c>
      <c r="I360" s="47" t="s">
        <v>899</v>
      </c>
      <c r="J360" s="48">
        <v>46063.21011574074</v>
      </c>
      <c r="K360" s="49" t="s">
        <v>1348</v>
      </c>
      <c r="L360" s="30">
        <v>1.062026455E9</v>
      </c>
      <c r="M360" s="47" t="s">
        <v>562</v>
      </c>
      <c r="N360" s="30">
        <v>1.468705484E9</v>
      </c>
      <c r="O360" s="30"/>
      <c r="P360" s="30"/>
      <c r="Q360" s="30"/>
      <c r="R360" s="30"/>
      <c r="S360" s="47"/>
      <c r="T360" s="47" t="s">
        <v>901</v>
      </c>
      <c r="U360" s="30">
        <v>20.0</v>
      </c>
    </row>
    <row r="361">
      <c r="A361" s="47" t="s">
        <v>570</v>
      </c>
      <c r="B361" s="47" t="s">
        <v>562</v>
      </c>
      <c r="C361" s="47" t="s">
        <v>568</v>
      </c>
      <c r="D361" s="47" t="s">
        <v>296</v>
      </c>
      <c r="E361" s="47" t="s">
        <v>299</v>
      </c>
      <c r="F361" s="30">
        <v>775.0</v>
      </c>
      <c r="G361" s="30">
        <v>775.0</v>
      </c>
      <c r="H361" s="30">
        <v>0.0</v>
      </c>
      <c r="I361" s="47" t="s">
        <v>899</v>
      </c>
      <c r="J361" s="48">
        <v>46062.54278935185</v>
      </c>
      <c r="K361" s="49" t="s">
        <v>1349</v>
      </c>
      <c r="L361" s="30">
        <v>1.062026204E9</v>
      </c>
      <c r="M361" s="47" t="s">
        <v>562</v>
      </c>
      <c r="N361" s="30">
        <v>1.468705216E9</v>
      </c>
      <c r="O361" s="30"/>
      <c r="P361" s="30"/>
      <c r="S361" s="47"/>
      <c r="T361" s="47" t="s">
        <v>901</v>
      </c>
      <c r="U361" s="30">
        <v>20.0</v>
      </c>
    </row>
    <row r="362">
      <c r="A362" s="47" t="s">
        <v>571</v>
      </c>
      <c r="B362" s="47" t="s">
        <v>573</v>
      </c>
      <c r="C362" s="47" t="s">
        <v>572</v>
      </c>
      <c r="D362" s="47" t="s">
        <v>296</v>
      </c>
      <c r="E362" s="47" t="s">
        <v>299</v>
      </c>
      <c r="F362" s="30">
        <v>487.5</v>
      </c>
      <c r="G362" s="30">
        <v>487.5</v>
      </c>
      <c r="H362" s="30">
        <v>0.0</v>
      </c>
      <c r="I362" s="47" t="s">
        <v>899</v>
      </c>
      <c r="J362" s="48">
        <v>46063.21622685185</v>
      </c>
      <c r="K362" s="49" t="s">
        <v>1350</v>
      </c>
      <c r="L362" s="30">
        <v>1.061995659E9</v>
      </c>
      <c r="M362" s="47" t="s">
        <v>573</v>
      </c>
      <c r="N362" s="30">
        <v>1.468649122E9</v>
      </c>
      <c r="T362" s="47" t="s">
        <v>901</v>
      </c>
      <c r="U362" s="30">
        <v>20.0</v>
      </c>
    </row>
    <row r="363">
      <c r="A363" s="47" t="s">
        <v>574</v>
      </c>
      <c r="B363" s="47" t="s">
        <v>573</v>
      </c>
      <c r="C363" s="47" t="s">
        <v>572</v>
      </c>
      <c r="D363" s="47" t="s">
        <v>296</v>
      </c>
      <c r="E363" s="47" t="s">
        <v>299</v>
      </c>
      <c r="F363" s="30">
        <v>487.5</v>
      </c>
      <c r="G363" s="30">
        <v>487.5</v>
      </c>
      <c r="H363" s="30">
        <v>0.0</v>
      </c>
      <c r="I363" s="47" t="s">
        <v>899</v>
      </c>
      <c r="J363" s="48">
        <v>46063.05826388889</v>
      </c>
      <c r="K363" s="49" t="s">
        <v>1351</v>
      </c>
      <c r="L363" s="30">
        <v>1.061995143E9</v>
      </c>
      <c r="M363" s="47" t="s">
        <v>573</v>
      </c>
      <c r="N363" s="30">
        <v>1.468648325E9</v>
      </c>
      <c r="O363" s="30"/>
      <c r="P363" s="30"/>
      <c r="Q363" s="30"/>
      <c r="R363" s="30"/>
      <c r="S363" s="47"/>
      <c r="T363" s="47" t="s">
        <v>901</v>
      </c>
      <c r="U363" s="30">
        <v>20.0</v>
      </c>
    </row>
    <row r="364">
      <c r="A364" s="47">
        <v>6.92363257025E12</v>
      </c>
      <c r="B364" s="47" t="s">
        <v>573</v>
      </c>
      <c r="C364" s="47" t="s">
        <v>572</v>
      </c>
      <c r="D364" s="47" t="s">
        <v>296</v>
      </c>
      <c r="E364" s="47" t="s">
        <v>299</v>
      </c>
      <c r="F364" s="30">
        <v>487.5</v>
      </c>
      <c r="G364" s="30">
        <v>487.5</v>
      </c>
      <c r="H364" s="30">
        <v>0.0</v>
      </c>
      <c r="I364" s="47" t="s">
        <v>899</v>
      </c>
      <c r="J364" s="48">
        <v>46063.13232638889</v>
      </c>
      <c r="K364" s="49" t="s">
        <v>1352</v>
      </c>
      <c r="L364" s="30">
        <v>1.061995135E9</v>
      </c>
      <c r="M364" s="47" t="s">
        <v>573</v>
      </c>
      <c r="N364" s="30">
        <v>1.468648314E9</v>
      </c>
      <c r="O364" s="30"/>
      <c r="P364" s="30"/>
      <c r="Q364" s="30"/>
      <c r="R364" s="30"/>
      <c r="S364" s="47"/>
      <c r="T364" s="47" t="s">
        <v>901</v>
      </c>
      <c r="U364" s="30">
        <v>20.0</v>
      </c>
    </row>
    <row r="365">
      <c r="A365" s="47">
        <v>6.923632570267E12</v>
      </c>
      <c r="B365" s="47" t="s">
        <v>576</v>
      </c>
      <c r="C365" s="47" t="s">
        <v>575</v>
      </c>
      <c r="D365" s="47" t="s">
        <v>296</v>
      </c>
      <c r="E365" s="47" t="s">
        <v>299</v>
      </c>
      <c r="F365" s="30">
        <v>474.99</v>
      </c>
      <c r="G365" s="30">
        <v>474.99</v>
      </c>
      <c r="H365" s="30">
        <v>0.0</v>
      </c>
      <c r="I365" s="47" t="s">
        <v>899</v>
      </c>
      <c r="J365" s="48">
        <v>46063.028912037036</v>
      </c>
      <c r="K365" s="49" t="s">
        <v>1353</v>
      </c>
      <c r="L365" s="30">
        <v>1.061994614E9</v>
      </c>
      <c r="M365" s="47" t="s">
        <v>576</v>
      </c>
      <c r="N365" s="30">
        <v>1.468647101E9</v>
      </c>
      <c r="T365" s="47" t="s">
        <v>901</v>
      </c>
      <c r="U365" s="30">
        <v>20.0</v>
      </c>
    </row>
    <row r="366">
      <c r="A366" s="47" t="s">
        <v>577</v>
      </c>
      <c r="B366" s="47" t="s">
        <v>578</v>
      </c>
      <c r="C366" s="47" t="s">
        <v>575</v>
      </c>
      <c r="D366" s="47" t="s">
        <v>296</v>
      </c>
      <c r="E366" s="47" t="s">
        <v>299</v>
      </c>
      <c r="F366" s="30">
        <v>474.99</v>
      </c>
      <c r="G366" s="30">
        <v>474.99</v>
      </c>
      <c r="H366" s="30">
        <v>0.0</v>
      </c>
      <c r="I366" s="47" t="s">
        <v>899</v>
      </c>
      <c r="J366" s="48">
        <v>46063.09533564815</v>
      </c>
      <c r="K366" s="49" t="s">
        <v>1354</v>
      </c>
      <c r="L366" s="30">
        <v>1.061994613E9</v>
      </c>
      <c r="M366" s="47" t="s">
        <v>576</v>
      </c>
      <c r="N366" s="30">
        <v>1.4686471E9</v>
      </c>
      <c r="T366" s="47" t="s">
        <v>901</v>
      </c>
      <c r="U366" s="30">
        <v>20.0</v>
      </c>
    </row>
    <row r="367">
      <c r="A367" s="47" t="s">
        <v>579</v>
      </c>
      <c r="B367" s="47" t="s">
        <v>581</v>
      </c>
      <c r="C367" s="47" t="s">
        <v>580</v>
      </c>
      <c r="D367" s="47" t="s">
        <v>296</v>
      </c>
      <c r="E367" s="47" t="s">
        <v>299</v>
      </c>
      <c r="F367" s="30">
        <v>478.85</v>
      </c>
      <c r="G367" s="30">
        <v>478.85</v>
      </c>
      <c r="H367" s="30">
        <v>0.0</v>
      </c>
      <c r="I367" s="47" t="s">
        <v>899</v>
      </c>
      <c r="J367" s="48">
        <v>46063.16048611111</v>
      </c>
      <c r="K367" s="49" t="s">
        <v>1355</v>
      </c>
      <c r="L367" s="30">
        <v>1.061971903E9</v>
      </c>
      <c r="M367" s="47" t="s">
        <v>1356</v>
      </c>
      <c r="N367" s="30">
        <v>1.46862038E9</v>
      </c>
      <c r="T367" s="47" t="s">
        <v>901</v>
      </c>
      <c r="U367" s="30">
        <v>20.0</v>
      </c>
    </row>
    <row r="368">
      <c r="A368" s="47">
        <v>6.923632570359E12</v>
      </c>
      <c r="B368" s="47" t="s">
        <v>582</v>
      </c>
      <c r="C368" s="47" t="s">
        <v>580</v>
      </c>
      <c r="D368" s="47" t="s">
        <v>296</v>
      </c>
      <c r="E368" s="47" t="s">
        <v>299</v>
      </c>
      <c r="F368" s="30">
        <v>478.85</v>
      </c>
      <c r="G368" s="30">
        <v>478.85</v>
      </c>
      <c r="H368" s="30">
        <v>0.0</v>
      </c>
      <c r="I368" s="47" t="s">
        <v>899</v>
      </c>
      <c r="J368" s="48">
        <v>46063.165</v>
      </c>
      <c r="K368" s="49" t="s">
        <v>1357</v>
      </c>
      <c r="L368" s="30">
        <v>1.061971895E9</v>
      </c>
      <c r="M368" s="47" t="s">
        <v>1356</v>
      </c>
      <c r="N368" s="30">
        <v>1.468620335E9</v>
      </c>
      <c r="T368" s="47" t="s">
        <v>901</v>
      </c>
      <c r="U368" s="30">
        <v>20.0</v>
      </c>
    </row>
    <row r="369">
      <c r="A369" s="47" t="s">
        <v>583</v>
      </c>
      <c r="B369" s="47" t="s">
        <v>584</v>
      </c>
      <c r="C369" s="47" t="s">
        <v>580</v>
      </c>
      <c r="D369" s="47" t="s">
        <v>296</v>
      </c>
      <c r="E369" s="47" t="s">
        <v>299</v>
      </c>
      <c r="F369" s="30">
        <v>478.85</v>
      </c>
      <c r="G369" s="30">
        <v>478.85</v>
      </c>
      <c r="H369" s="30">
        <v>0.0</v>
      </c>
      <c r="I369" s="47" t="s">
        <v>899</v>
      </c>
      <c r="J369" s="48">
        <v>46063.19940972222</v>
      </c>
      <c r="K369" s="49" t="s">
        <v>1358</v>
      </c>
      <c r="L369" s="30">
        <v>1.061971893E9</v>
      </c>
      <c r="M369" s="47" t="s">
        <v>1356</v>
      </c>
      <c r="N369" s="30">
        <v>1.46862033E9</v>
      </c>
      <c r="T369" s="47" t="s">
        <v>901</v>
      </c>
      <c r="U369" s="30">
        <v>20.0</v>
      </c>
    </row>
    <row r="370">
      <c r="A370" s="47" t="s">
        <v>585</v>
      </c>
      <c r="B370" s="47"/>
      <c r="C370" s="47" t="s">
        <v>587</v>
      </c>
      <c r="D370" s="47" t="s">
        <v>586</v>
      </c>
      <c r="E370" s="47" t="s">
        <v>72</v>
      </c>
      <c r="F370" s="30">
        <v>879.0</v>
      </c>
      <c r="G370" s="30">
        <v>879.0</v>
      </c>
      <c r="H370" s="30">
        <v>0.0</v>
      </c>
      <c r="I370" s="47" t="s">
        <v>899</v>
      </c>
      <c r="J370" s="48">
        <v>46063.05289351852</v>
      </c>
      <c r="K370" s="49" t="s">
        <v>1359</v>
      </c>
      <c r="L370" s="30">
        <v>9.52175192E8</v>
      </c>
      <c r="M370" s="47" t="s">
        <v>1360</v>
      </c>
      <c r="N370" s="30">
        <v>1.347857083E9</v>
      </c>
      <c r="T370" s="47" t="s">
        <v>901</v>
      </c>
      <c r="U370" s="30">
        <v>16.5</v>
      </c>
    </row>
    <row r="371">
      <c r="A371" s="47" t="s">
        <v>588</v>
      </c>
      <c r="B371" s="47" t="s">
        <v>588</v>
      </c>
      <c r="C371" s="47" t="s">
        <v>589</v>
      </c>
      <c r="D371" s="47" t="s">
        <v>296</v>
      </c>
      <c r="E371" s="47" t="s">
        <v>299</v>
      </c>
      <c r="F371" s="30">
        <v>475.99</v>
      </c>
      <c r="G371" s="30">
        <v>475.99</v>
      </c>
      <c r="H371" s="30">
        <v>0.0</v>
      </c>
      <c r="I371" s="47" t="s">
        <v>899</v>
      </c>
      <c r="J371" s="48">
        <v>46063.052453703705</v>
      </c>
      <c r="K371" s="49" t="s">
        <v>1361</v>
      </c>
      <c r="L371" s="30">
        <v>1.061025761E9</v>
      </c>
      <c r="M371" s="47" t="s">
        <v>1362</v>
      </c>
      <c r="N371" s="30">
        <v>1.467480583E9</v>
      </c>
      <c r="T371" s="47" t="s">
        <v>901</v>
      </c>
      <c r="U371" s="30">
        <v>20.0</v>
      </c>
    </row>
    <row r="372">
      <c r="A372" s="47" t="s">
        <v>590</v>
      </c>
      <c r="B372" s="47"/>
      <c r="C372" s="47" t="s">
        <v>592</v>
      </c>
      <c r="D372" s="47" t="s">
        <v>591</v>
      </c>
      <c r="E372" s="47" t="s">
        <v>593</v>
      </c>
      <c r="F372" s="30">
        <v>99.0</v>
      </c>
      <c r="G372" s="30">
        <v>99.0</v>
      </c>
      <c r="H372" s="30">
        <v>0.0</v>
      </c>
      <c r="I372" s="47" t="s">
        <v>899</v>
      </c>
      <c r="J372" s="48">
        <v>46062.97423611111</v>
      </c>
      <c r="K372" s="49" t="s">
        <v>1363</v>
      </c>
      <c r="L372" s="30">
        <v>8.34465019E8</v>
      </c>
      <c r="M372" s="47" t="s">
        <v>771</v>
      </c>
      <c r="N372" s="30">
        <v>1.119921181E9</v>
      </c>
      <c r="T372" s="47" t="s">
        <v>901</v>
      </c>
      <c r="U372" s="30">
        <v>15.0</v>
      </c>
    </row>
    <row r="373">
      <c r="A373" s="47">
        <v>5.2742043142E10</v>
      </c>
      <c r="B373" s="47"/>
      <c r="C373" s="47" t="s">
        <v>594</v>
      </c>
      <c r="D373" s="47" t="s">
        <v>229</v>
      </c>
      <c r="E373" s="47" t="s">
        <v>72</v>
      </c>
      <c r="F373" s="30">
        <v>2350.0</v>
      </c>
      <c r="G373" s="30">
        <v>2350.0</v>
      </c>
      <c r="H373" s="30">
        <v>0.0</v>
      </c>
      <c r="I373" s="47" t="s">
        <v>899</v>
      </c>
      <c r="J373" s="48">
        <v>46080.5291087963</v>
      </c>
      <c r="K373" s="49" t="s">
        <v>1364</v>
      </c>
      <c r="L373" s="30">
        <v>9.78734062E8</v>
      </c>
      <c r="M373" s="47" t="s">
        <v>849</v>
      </c>
      <c r="N373" s="30">
        <v>1.383371723E9</v>
      </c>
      <c r="T373" s="47" t="s">
        <v>901</v>
      </c>
      <c r="U373" s="30">
        <v>12.5</v>
      </c>
    </row>
    <row r="374">
      <c r="A374" s="47" t="s">
        <v>595</v>
      </c>
      <c r="B374" s="47"/>
      <c r="C374" s="47" t="s">
        <v>596</v>
      </c>
      <c r="D374" s="47" t="s">
        <v>229</v>
      </c>
      <c r="E374" s="47" t="s">
        <v>72</v>
      </c>
      <c r="F374" s="30">
        <v>2199.0</v>
      </c>
      <c r="G374" s="30">
        <v>2199.0</v>
      </c>
      <c r="H374" s="30">
        <v>0.0</v>
      </c>
      <c r="I374" s="47" t="s">
        <v>899</v>
      </c>
      <c r="J374" s="48">
        <v>46063.04375</v>
      </c>
      <c r="K374" s="49" t="s">
        <v>1365</v>
      </c>
      <c r="L374" s="30">
        <v>8.92295041E8</v>
      </c>
      <c r="M374" s="47" t="s">
        <v>841</v>
      </c>
      <c r="N374" s="30">
        <v>1.239422029E9</v>
      </c>
      <c r="T374" s="47" t="s">
        <v>901</v>
      </c>
      <c r="U374" s="30">
        <v>12.5</v>
      </c>
    </row>
    <row r="375">
      <c r="A375" s="47">
        <v>5.2742055664E10</v>
      </c>
      <c r="B375" s="47"/>
      <c r="C375" s="47" t="s">
        <v>597</v>
      </c>
      <c r="D375" s="47" t="s">
        <v>229</v>
      </c>
      <c r="E375" s="47" t="s">
        <v>72</v>
      </c>
      <c r="F375" s="30">
        <v>2274.0</v>
      </c>
      <c r="G375" s="30">
        <v>2274.0</v>
      </c>
      <c r="H375" s="30">
        <v>0.0</v>
      </c>
      <c r="I375" s="47" t="s">
        <v>899</v>
      </c>
      <c r="J375" s="48">
        <v>46063.13538194444</v>
      </c>
      <c r="K375" s="49" t="s">
        <v>1366</v>
      </c>
      <c r="L375" s="30">
        <v>8.76792323E8</v>
      </c>
      <c r="M375" s="47" t="s">
        <v>824</v>
      </c>
      <c r="N375" s="30">
        <v>1.207553446E9</v>
      </c>
      <c r="T375" s="47" t="s">
        <v>901</v>
      </c>
      <c r="U375" s="30">
        <v>12.5</v>
      </c>
    </row>
    <row r="376">
      <c r="A376" s="47">
        <v>4.185796352148E12</v>
      </c>
      <c r="C376" s="47" t="s">
        <v>598</v>
      </c>
      <c r="D376" s="47" t="s">
        <v>53</v>
      </c>
      <c r="E376" s="47" t="s">
        <v>72</v>
      </c>
      <c r="F376" s="30">
        <v>0.0</v>
      </c>
      <c r="G376" s="30">
        <v>0.0</v>
      </c>
      <c r="H376" s="30">
        <v>0.0</v>
      </c>
      <c r="I376" s="47" t="s">
        <v>899</v>
      </c>
      <c r="J376" s="48">
        <v>46164.63303240741</v>
      </c>
      <c r="K376" s="49" t="s">
        <v>1367</v>
      </c>
      <c r="L376" s="30">
        <v>9.89100894E8</v>
      </c>
      <c r="M376" s="47" t="s">
        <v>1368</v>
      </c>
      <c r="N376" s="30">
        <v>1.39808914E9</v>
      </c>
      <c r="T376" s="47" t="s">
        <v>901</v>
      </c>
      <c r="U376" s="30">
        <v>12.5</v>
      </c>
    </row>
    <row r="377">
      <c r="A377" s="47" t="s">
        <v>599</v>
      </c>
      <c r="C377" s="47" t="s">
        <v>600</v>
      </c>
      <c r="D377" s="47" t="s">
        <v>53</v>
      </c>
      <c r="E377" s="47" t="s">
        <v>72</v>
      </c>
      <c r="F377" s="30">
        <v>0.0</v>
      </c>
      <c r="G377" s="30">
        <v>0.0</v>
      </c>
      <c r="H377" s="30">
        <v>0.0</v>
      </c>
      <c r="I377" s="47" t="s">
        <v>899</v>
      </c>
      <c r="J377" s="48">
        <v>46164.63303240741</v>
      </c>
      <c r="K377" s="49" t="s">
        <v>1369</v>
      </c>
      <c r="L377" s="30">
        <v>9.69651086E8</v>
      </c>
      <c r="M377" s="47" t="s">
        <v>1370</v>
      </c>
      <c r="N377" s="30">
        <v>1.37123736E9</v>
      </c>
      <c r="T377" s="47" t="s">
        <v>901</v>
      </c>
      <c r="U377" s="30">
        <v>12.5</v>
      </c>
    </row>
    <row r="378">
      <c r="A378" s="47">
        <v>9.998002117233E12</v>
      </c>
      <c r="C378" s="47" t="s">
        <v>600</v>
      </c>
      <c r="D378" s="47" t="s">
        <v>53</v>
      </c>
      <c r="E378" s="47" t="s">
        <v>72</v>
      </c>
      <c r="F378" s="30">
        <v>0.0</v>
      </c>
      <c r="G378" s="30">
        <v>0.0</v>
      </c>
      <c r="H378" s="30">
        <v>0.0</v>
      </c>
      <c r="I378" s="47" t="s">
        <v>899</v>
      </c>
      <c r="J378" s="48">
        <v>46164.63303240741</v>
      </c>
      <c r="K378" s="49" t="s">
        <v>1369</v>
      </c>
      <c r="L378" s="30">
        <v>9.69651086E8</v>
      </c>
      <c r="M378" s="47" t="s">
        <v>1370</v>
      </c>
      <c r="N378" s="30">
        <v>1.37123736E9</v>
      </c>
      <c r="T378" s="47" t="s">
        <v>901</v>
      </c>
      <c r="U378" s="30">
        <v>12.5</v>
      </c>
    </row>
    <row r="379">
      <c r="A379" s="47" t="s">
        <v>601</v>
      </c>
      <c r="C379" s="47" t="s">
        <v>602</v>
      </c>
      <c r="D379" s="47" t="s">
        <v>53</v>
      </c>
      <c r="E379" s="47" t="s">
        <v>72</v>
      </c>
      <c r="F379" s="30">
        <v>0.0</v>
      </c>
      <c r="G379" s="30">
        <v>0.0</v>
      </c>
      <c r="H379" s="30">
        <v>0.0</v>
      </c>
      <c r="I379" s="47" t="s">
        <v>899</v>
      </c>
      <c r="J379" s="48">
        <v>46164.63303240741</v>
      </c>
      <c r="K379" s="49" t="s">
        <v>1371</v>
      </c>
      <c r="L379" s="30">
        <v>1.09583197E9</v>
      </c>
      <c r="M379" s="47" t="s">
        <v>1372</v>
      </c>
      <c r="N379" s="30">
        <v>1.52005154E9</v>
      </c>
      <c r="T379" s="47" t="s">
        <v>901</v>
      </c>
      <c r="U379" s="30">
        <v>12.5</v>
      </c>
    </row>
    <row r="380">
      <c r="A380" s="47" t="s">
        <v>603</v>
      </c>
      <c r="C380" s="47" t="s">
        <v>604</v>
      </c>
      <c r="D380" s="47" t="s">
        <v>53</v>
      </c>
      <c r="E380" s="47" t="s">
        <v>72</v>
      </c>
      <c r="F380" s="30">
        <v>0.0</v>
      </c>
      <c r="G380" s="30">
        <v>0.0</v>
      </c>
      <c r="H380" s="30">
        <v>0.0</v>
      </c>
      <c r="I380" s="47" t="s">
        <v>899</v>
      </c>
      <c r="J380" s="48">
        <v>46164.63303240741</v>
      </c>
      <c r="K380" s="49" t="s">
        <v>1373</v>
      </c>
      <c r="L380" s="30">
        <v>9.24362265E8</v>
      </c>
      <c r="M380" s="47" t="s">
        <v>1374</v>
      </c>
      <c r="N380" s="30">
        <v>1.305882448E9</v>
      </c>
      <c r="T380" s="47" t="s">
        <v>901</v>
      </c>
      <c r="U380" s="30">
        <v>12.5</v>
      </c>
    </row>
    <row r="381">
      <c r="A381" s="47" t="s">
        <v>605</v>
      </c>
      <c r="C381" s="47" t="s">
        <v>606</v>
      </c>
      <c r="D381" s="47" t="s">
        <v>53</v>
      </c>
      <c r="E381" s="47" t="s">
        <v>72</v>
      </c>
      <c r="F381" s="30">
        <v>0.0</v>
      </c>
      <c r="G381" s="30">
        <v>0.0</v>
      </c>
      <c r="H381" s="30">
        <v>0.0</v>
      </c>
      <c r="I381" s="47" t="s">
        <v>899</v>
      </c>
      <c r="J381" s="48">
        <v>46164.63302083333</v>
      </c>
      <c r="K381" s="49" t="s">
        <v>1375</v>
      </c>
      <c r="L381" s="30">
        <v>9.69634507E8</v>
      </c>
      <c r="M381" s="47" t="s">
        <v>1376</v>
      </c>
      <c r="N381" s="30">
        <v>1.371218632E9</v>
      </c>
      <c r="O381" s="30"/>
      <c r="P381" s="30"/>
      <c r="Q381" s="30"/>
      <c r="R381" s="30"/>
      <c r="S381" s="47"/>
      <c r="T381" s="47" t="s">
        <v>901</v>
      </c>
      <c r="U381" s="30">
        <v>12.5</v>
      </c>
    </row>
    <row r="382">
      <c r="A382" s="47" t="s">
        <v>607</v>
      </c>
      <c r="C382" s="47" t="s">
        <v>608</v>
      </c>
      <c r="D382" s="47" t="s">
        <v>53</v>
      </c>
      <c r="E382" s="47" t="s">
        <v>72</v>
      </c>
      <c r="F382" s="30">
        <v>0.0</v>
      </c>
      <c r="G382" s="30">
        <v>0.0</v>
      </c>
      <c r="H382" s="30">
        <v>0.0</v>
      </c>
      <c r="I382" s="47" t="s">
        <v>899</v>
      </c>
      <c r="J382" s="48">
        <v>46164.63303240741</v>
      </c>
      <c r="K382" s="49" t="s">
        <v>1377</v>
      </c>
      <c r="L382" s="30">
        <v>9.88435582E8</v>
      </c>
      <c r="M382" s="47" t="s">
        <v>1378</v>
      </c>
      <c r="N382" s="30">
        <v>1.397103289E9</v>
      </c>
      <c r="O382" s="30"/>
      <c r="P382" s="30"/>
      <c r="Q382" s="30"/>
      <c r="R382" s="30"/>
      <c r="S382" s="47"/>
      <c r="T382" s="47" t="s">
        <v>901</v>
      </c>
      <c r="U382" s="30">
        <v>12.5</v>
      </c>
    </row>
    <row r="383">
      <c r="A383" s="47" t="s">
        <v>609</v>
      </c>
      <c r="C383" s="47" t="s">
        <v>610</v>
      </c>
      <c r="D383" s="47" t="s">
        <v>53</v>
      </c>
      <c r="E383" s="47" t="s">
        <v>448</v>
      </c>
      <c r="F383" s="30">
        <v>0.0</v>
      </c>
      <c r="G383" s="30">
        <v>0.0</v>
      </c>
      <c r="H383" s="30">
        <v>0.0</v>
      </c>
      <c r="I383" s="47" t="s">
        <v>899</v>
      </c>
      <c r="J383" s="48">
        <v>46073.62420138889</v>
      </c>
      <c r="K383" s="49" t="s">
        <v>1379</v>
      </c>
      <c r="L383" s="30">
        <v>9.69653592E8</v>
      </c>
      <c r="M383" s="47" t="s">
        <v>1380</v>
      </c>
      <c r="N383" s="30">
        <v>1.371239887E9</v>
      </c>
      <c r="O383" s="30"/>
      <c r="P383" s="30"/>
      <c r="Q383" s="30"/>
      <c r="R383" s="30"/>
      <c r="S383" s="47"/>
      <c r="T383" s="47" t="s">
        <v>901</v>
      </c>
      <c r="U383" s="30">
        <v>12.5</v>
      </c>
    </row>
    <row r="384">
      <c r="A384" s="47" t="s">
        <v>611</v>
      </c>
      <c r="B384" s="47" t="s">
        <v>611</v>
      </c>
      <c r="C384" s="47" t="s">
        <v>613</v>
      </c>
      <c r="D384" s="47" t="s">
        <v>612</v>
      </c>
      <c r="E384" s="47" t="s">
        <v>131</v>
      </c>
      <c r="F384" s="30">
        <v>575.0</v>
      </c>
      <c r="G384" s="30">
        <v>575.0</v>
      </c>
      <c r="H384" s="30">
        <v>82.0</v>
      </c>
      <c r="I384" s="47" t="s">
        <v>889</v>
      </c>
      <c r="J384" s="48">
        <v>46063.09905092593</v>
      </c>
      <c r="K384" s="49" t="s">
        <v>1381</v>
      </c>
      <c r="L384" s="30">
        <v>1.056097841E9</v>
      </c>
      <c r="M384" s="47" t="s">
        <v>611</v>
      </c>
      <c r="N384" s="30">
        <v>1.460715986E9</v>
      </c>
      <c r="O384" s="30">
        <v>1.0</v>
      </c>
      <c r="P384" s="30">
        <v>575.0</v>
      </c>
      <c r="Q384" s="30">
        <v>609.0</v>
      </c>
      <c r="R384" s="30"/>
      <c r="S384" s="47" t="b">
        <v>1</v>
      </c>
      <c r="T384" s="47" t="s">
        <v>891</v>
      </c>
      <c r="U384" s="30">
        <v>20.0</v>
      </c>
    </row>
    <row r="385">
      <c r="A385" s="47">
        <v>3.182550702621E12</v>
      </c>
      <c r="C385" s="47" t="s">
        <v>614</v>
      </c>
      <c r="D385" s="47" t="s">
        <v>53</v>
      </c>
      <c r="E385" s="47" t="s">
        <v>72</v>
      </c>
      <c r="F385" s="30">
        <v>0.0</v>
      </c>
      <c r="G385" s="30">
        <v>0.0</v>
      </c>
      <c r="H385" s="30">
        <v>0.0</v>
      </c>
      <c r="I385" s="47" t="s">
        <v>899</v>
      </c>
      <c r="J385" s="48">
        <v>46164.63303240741</v>
      </c>
      <c r="K385" s="49" t="s">
        <v>1382</v>
      </c>
      <c r="L385" s="30">
        <v>1199865.0</v>
      </c>
      <c r="M385" s="47">
        <v>390059.0</v>
      </c>
      <c r="N385" s="30">
        <v>1.06844E7</v>
      </c>
      <c r="T385" s="47" t="s">
        <v>901</v>
      </c>
      <c r="U385" s="30">
        <v>12.5</v>
      </c>
    </row>
    <row r="386">
      <c r="A386" s="47">
        <v>3.182550805186E12</v>
      </c>
      <c r="C386" s="47" t="s">
        <v>615</v>
      </c>
      <c r="D386" s="47" t="s">
        <v>53</v>
      </c>
      <c r="E386" s="47" t="s">
        <v>72</v>
      </c>
      <c r="F386" s="30">
        <v>0.0</v>
      </c>
      <c r="G386" s="30">
        <v>0.0</v>
      </c>
      <c r="H386" s="30">
        <v>0.0</v>
      </c>
      <c r="I386" s="47" t="s">
        <v>899</v>
      </c>
      <c r="J386" s="48">
        <v>46164.63303240741</v>
      </c>
      <c r="K386" s="49" t="s">
        <v>1383</v>
      </c>
      <c r="L386" s="30">
        <v>3.05380294E8</v>
      </c>
      <c r="M386" s="47">
        <v>3.182550805186E12</v>
      </c>
      <c r="N386" s="30">
        <v>4.87966204E8</v>
      </c>
      <c r="T386" s="47" t="s">
        <v>901</v>
      </c>
      <c r="U386" s="30">
        <v>12.5</v>
      </c>
    </row>
    <row r="387">
      <c r="A387" s="47">
        <v>3.182550717144E12</v>
      </c>
      <c r="C387" s="47" t="s">
        <v>616</v>
      </c>
      <c r="D387" s="47" t="s">
        <v>53</v>
      </c>
      <c r="E387" s="47" t="s">
        <v>72</v>
      </c>
      <c r="F387" s="30">
        <v>0.0</v>
      </c>
      <c r="G387" s="30">
        <v>0.0</v>
      </c>
      <c r="H387" s="30">
        <v>0.0</v>
      </c>
      <c r="I387" s="47" t="s">
        <v>899</v>
      </c>
      <c r="J387" s="48">
        <v>46164.63302083333</v>
      </c>
      <c r="K387" s="49" t="s">
        <v>1384</v>
      </c>
      <c r="L387" s="30">
        <v>750111.0</v>
      </c>
      <c r="M387" s="47" t="s">
        <v>1385</v>
      </c>
      <c r="N387" s="30">
        <v>1.0005627E7</v>
      </c>
      <c r="T387" s="47" t="s">
        <v>901</v>
      </c>
      <c r="U387" s="30">
        <v>12.5</v>
      </c>
    </row>
    <row r="388">
      <c r="A388" s="47">
        <v>3.182550732055E12</v>
      </c>
      <c r="C388" s="47" t="s">
        <v>617</v>
      </c>
      <c r="D388" s="47" t="s">
        <v>53</v>
      </c>
      <c r="E388" s="47" t="s">
        <v>59</v>
      </c>
      <c r="F388" s="30">
        <v>0.0</v>
      </c>
      <c r="G388" s="30">
        <v>0.0</v>
      </c>
      <c r="H388" s="30">
        <v>0.0</v>
      </c>
      <c r="I388" s="47" t="s">
        <v>899</v>
      </c>
      <c r="J388" s="48">
        <v>46161.63481481482</v>
      </c>
      <c r="K388" s="49" t="s">
        <v>1386</v>
      </c>
      <c r="L388" s="30">
        <v>750128.0</v>
      </c>
      <c r="M388" s="47" t="s">
        <v>1387</v>
      </c>
      <c r="N388" s="30">
        <v>1.0005638E7</v>
      </c>
      <c r="O388" s="30"/>
      <c r="P388" s="30"/>
      <c r="Q388" s="30"/>
      <c r="R388" s="30"/>
      <c r="S388" s="47"/>
      <c r="T388" s="47" t="s">
        <v>901</v>
      </c>
      <c r="U388" s="30">
        <v>12.5</v>
      </c>
    </row>
    <row r="389">
      <c r="A389" s="47">
        <v>3.18255072166E12</v>
      </c>
      <c r="C389" s="47" t="s">
        <v>618</v>
      </c>
      <c r="D389" s="47" t="s">
        <v>53</v>
      </c>
      <c r="E389" s="47" t="s">
        <v>72</v>
      </c>
      <c r="F389" s="30">
        <v>0.0</v>
      </c>
      <c r="G389" s="30">
        <v>0.0</v>
      </c>
      <c r="H389" s="30">
        <v>0.0</v>
      </c>
      <c r="I389" s="47" t="s">
        <v>899</v>
      </c>
      <c r="J389" s="48">
        <v>46164.63303240741</v>
      </c>
      <c r="K389" s="49" t="s">
        <v>1388</v>
      </c>
      <c r="L389" s="30">
        <v>750112.0</v>
      </c>
      <c r="M389" s="47" t="s">
        <v>1389</v>
      </c>
      <c r="N389" s="30">
        <v>1.0005626E7</v>
      </c>
      <c r="T389" s="47" t="s">
        <v>901</v>
      </c>
      <c r="U389" s="30">
        <v>12.5</v>
      </c>
    </row>
    <row r="390">
      <c r="A390" s="47">
        <v>3.182550743471E12</v>
      </c>
      <c r="C390" s="47" t="s">
        <v>619</v>
      </c>
      <c r="D390" s="47" t="s">
        <v>53</v>
      </c>
      <c r="E390" s="47" t="s">
        <v>59</v>
      </c>
      <c r="F390" s="30">
        <v>0.0</v>
      </c>
      <c r="G390" s="30">
        <v>0.0</v>
      </c>
      <c r="H390" s="30">
        <v>0.0</v>
      </c>
      <c r="I390" s="47" t="s">
        <v>899</v>
      </c>
      <c r="J390" s="48">
        <v>46161.63481481482</v>
      </c>
      <c r="K390" s="49" t="s">
        <v>1390</v>
      </c>
      <c r="L390" s="30">
        <v>925663.0</v>
      </c>
      <c r="M390" s="47" t="s">
        <v>1391</v>
      </c>
      <c r="N390" s="30">
        <v>1.0258205E7</v>
      </c>
      <c r="O390" s="30"/>
      <c r="P390" s="30"/>
      <c r="Q390" s="30"/>
      <c r="R390" s="30"/>
      <c r="S390" s="47"/>
      <c r="T390" s="47" t="s">
        <v>901</v>
      </c>
      <c r="U390" s="30">
        <v>12.5</v>
      </c>
    </row>
    <row r="391">
      <c r="A391" s="47">
        <v>3.182550710688E12</v>
      </c>
      <c r="C391" s="47" t="s">
        <v>620</v>
      </c>
      <c r="D391" s="47" t="s">
        <v>53</v>
      </c>
      <c r="E391" s="47" t="s">
        <v>72</v>
      </c>
      <c r="F391" s="30">
        <v>0.0</v>
      </c>
      <c r="G391" s="30">
        <v>0.0</v>
      </c>
      <c r="H391" s="30">
        <v>0.0</v>
      </c>
      <c r="I391" s="47" t="s">
        <v>899</v>
      </c>
      <c r="J391" s="48">
        <v>46164.63303240741</v>
      </c>
      <c r="K391" s="49" t="s">
        <v>1392</v>
      </c>
      <c r="L391" s="30">
        <v>750120.0</v>
      </c>
      <c r="M391" s="47" t="s">
        <v>1393</v>
      </c>
      <c r="N391" s="30">
        <v>1.000562E7</v>
      </c>
      <c r="O391" s="30"/>
      <c r="P391" s="30"/>
      <c r="Q391" s="30"/>
      <c r="R391" s="30"/>
      <c r="S391" s="47"/>
      <c r="T391" s="47" t="s">
        <v>901</v>
      </c>
      <c r="U391" s="30">
        <v>12.5</v>
      </c>
    </row>
    <row r="392">
      <c r="A392" s="47">
        <v>3.182550722605E12</v>
      </c>
      <c r="C392" s="47" t="s">
        <v>621</v>
      </c>
      <c r="D392" s="47" t="s">
        <v>53</v>
      </c>
      <c r="E392" s="47" t="s">
        <v>59</v>
      </c>
      <c r="F392" s="30">
        <v>0.0</v>
      </c>
      <c r="G392" s="30">
        <v>0.0</v>
      </c>
      <c r="H392" s="30">
        <v>0.0</v>
      </c>
      <c r="I392" s="47" t="s">
        <v>899</v>
      </c>
      <c r="J392" s="48">
        <v>46161.63481481482</v>
      </c>
      <c r="K392" s="49" t="s">
        <v>1394</v>
      </c>
      <c r="L392" s="30">
        <v>5.0471501E7</v>
      </c>
      <c r="M392" s="47">
        <v>3.182550722605E12</v>
      </c>
      <c r="N392" s="30">
        <v>8.9447393E7</v>
      </c>
      <c r="O392" s="30"/>
      <c r="P392" s="30"/>
      <c r="Q392" s="30"/>
      <c r="R392" s="30"/>
      <c r="S392" s="47"/>
      <c r="T392" s="47" t="s">
        <v>901</v>
      </c>
      <c r="U392" s="30">
        <v>12.5</v>
      </c>
    </row>
    <row r="393">
      <c r="A393" s="47">
        <v>3.182550813051E12</v>
      </c>
      <c r="C393" s="47" t="s">
        <v>622</v>
      </c>
      <c r="D393" s="47" t="s">
        <v>53</v>
      </c>
      <c r="E393" s="47" t="s">
        <v>59</v>
      </c>
      <c r="F393" s="30">
        <v>0.0</v>
      </c>
      <c r="G393" s="30">
        <v>0.0</v>
      </c>
      <c r="H393" s="30">
        <v>0.0</v>
      </c>
      <c r="I393" s="47" t="s">
        <v>899</v>
      </c>
      <c r="J393" s="48">
        <v>46161.63481481482</v>
      </c>
      <c r="K393" s="49" t="s">
        <v>1395</v>
      </c>
      <c r="L393" s="30">
        <v>1914357.0</v>
      </c>
      <c r="M393" s="47">
        <v>3.182550813051E12</v>
      </c>
      <c r="N393" s="30">
        <v>1.1707225E7</v>
      </c>
      <c r="O393" s="30"/>
      <c r="P393" s="30"/>
      <c r="Q393" s="30"/>
      <c r="R393" s="30"/>
      <c r="S393" s="47"/>
      <c r="T393" s="47" t="s">
        <v>901</v>
      </c>
      <c r="U393" s="30">
        <v>12.5</v>
      </c>
    </row>
    <row r="394">
      <c r="A394" s="47" t="s">
        <v>623</v>
      </c>
      <c r="B394" s="47" t="s">
        <v>623</v>
      </c>
      <c r="C394" s="47" t="s">
        <v>624</v>
      </c>
      <c r="D394" s="47" t="s">
        <v>296</v>
      </c>
      <c r="E394" s="47" t="s">
        <v>625</v>
      </c>
      <c r="F394" s="30">
        <v>999.0</v>
      </c>
      <c r="G394" s="30">
        <v>999.0</v>
      </c>
      <c r="H394" s="30">
        <v>0.0</v>
      </c>
      <c r="I394" s="47" t="s">
        <v>899</v>
      </c>
      <c r="J394" s="48">
        <v>46063.08493055555</v>
      </c>
      <c r="K394" s="49" t="s">
        <v>1396</v>
      </c>
      <c r="L394" s="30">
        <v>1.053732042E9</v>
      </c>
      <c r="M394" s="47" t="s">
        <v>1397</v>
      </c>
      <c r="N394" s="30">
        <v>1.4575356E9</v>
      </c>
      <c r="O394" s="30"/>
      <c r="P394" s="30"/>
      <c r="Q394" s="30"/>
      <c r="R394" s="30"/>
      <c r="S394" s="47"/>
      <c r="T394" s="47" t="s">
        <v>901</v>
      </c>
      <c r="U394" s="30">
        <v>20.0</v>
      </c>
    </row>
    <row r="395">
      <c r="A395" s="47" t="s">
        <v>626</v>
      </c>
      <c r="B395" s="47" t="s">
        <v>626</v>
      </c>
      <c r="C395" s="47" t="s">
        <v>624</v>
      </c>
      <c r="D395" s="47" t="s">
        <v>296</v>
      </c>
      <c r="E395" s="47" t="s">
        <v>625</v>
      </c>
      <c r="F395" s="30">
        <v>999.0</v>
      </c>
      <c r="G395" s="30">
        <v>999.0</v>
      </c>
      <c r="H395" s="30">
        <v>0.0</v>
      </c>
      <c r="I395" s="47" t="s">
        <v>899</v>
      </c>
      <c r="J395" s="48">
        <v>46063.05886574074</v>
      </c>
      <c r="K395" s="49" t="s">
        <v>1398</v>
      </c>
      <c r="L395" s="30">
        <v>1.053732043E9</v>
      </c>
      <c r="M395" s="47" t="s">
        <v>1397</v>
      </c>
      <c r="N395" s="30">
        <v>1.457535601E9</v>
      </c>
      <c r="O395" s="30"/>
      <c r="P395" s="30"/>
      <c r="Q395" s="30"/>
      <c r="R395" s="30"/>
      <c r="S395" s="47"/>
      <c r="T395" s="47" t="s">
        <v>901</v>
      </c>
      <c r="U395" s="30">
        <v>20.0</v>
      </c>
    </row>
    <row r="396">
      <c r="A396" s="47" t="s">
        <v>627</v>
      </c>
      <c r="B396" s="47" t="s">
        <v>627</v>
      </c>
      <c r="C396" s="47" t="s">
        <v>624</v>
      </c>
      <c r="D396" s="47" t="s">
        <v>296</v>
      </c>
      <c r="E396" s="47" t="s">
        <v>625</v>
      </c>
      <c r="F396" s="30">
        <v>999.0</v>
      </c>
      <c r="G396" s="30">
        <v>999.0</v>
      </c>
      <c r="H396" s="30">
        <v>0.0</v>
      </c>
      <c r="I396" s="47" t="s">
        <v>899</v>
      </c>
      <c r="J396" s="48">
        <v>46063.01526620371</v>
      </c>
      <c r="K396" s="49" t="s">
        <v>1399</v>
      </c>
      <c r="L396" s="30">
        <v>1.053732048E9</v>
      </c>
      <c r="M396" s="47" t="s">
        <v>1397</v>
      </c>
      <c r="N396" s="30">
        <v>1.457535606E9</v>
      </c>
      <c r="O396" s="30"/>
      <c r="P396" s="30"/>
      <c r="Q396" s="30"/>
      <c r="R396" s="30"/>
      <c r="S396" s="47"/>
      <c r="T396" s="47" t="s">
        <v>901</v>
      </c>
      <c r="U396" s="30">
        <v>20.0</v>
      </c>
    </row>
    <row r="397">
      <c r="A397" s="47" t="s">
        <v>628</v>
      </c>
      <c r="B397" s="47" t="s">
        <v>628</v>
      </c>
      <c r="C397" s="47" t="s">
        <v>624</v>
      </c>
      <c r="D397" s="47" t="s">
        <v>296</v>
      </c>
      <c r="E397" s="47" t="s">
        <v>625</v>
      </c>
      <c r="F397" s="30">
        <v>999.0</v>
      </c>
      <c r="G397" s="30">
        <v>999.0</v>
      </c>
      <c r="H397" s="30">
        <v>0.0</v>
      </c>
      <c r="I397" s="47" t="s">
        <v>899</v>
      </c>
      <c r="J397" s="48">
        <v>46063.15298611111</v>
      </c>
      <c r="K397" s="49" t="s">
        <v>1400</v>
      </c>
      <c r="L397" s="30">
        <v>1.053732046E9</v>
      </c>
      <c r="M397" s="47" t="s">
        <v>1397</v>
      </c>
      <c r="N397" s="30">
        <v>1.457535604E9</v>
      </c>
      <c r="O397" s="30"/>
      <c r="P397" s="30"/>
      <c r="Q397" s="30"/>
      <c r="R397" s="30"/>
      <c r="S397" s="47"/>
      <c r="T397" s="47" t="s">
        <v>901</v>
      </c>
      <c r="U397" s="30">
        <v>20.0</v>
      </c>
    </row>
    <row r="398">
      <c r="A398" s="47" t="s">
        <v>629</v>
      </c>
      <c r="B398" s="47" t="s">
        <v>629</v>
      </c>
      <c r="C398" s="47" t="s">
        <v>624</v>
      </c>
      <c r="D398" s="47" t="s">
        <v>296</v>
      </c>
      <c r="E398" s="47" t="s">
        <v>625</v>
      </c>
      <c r="F398" s="30">
        <v>999.0</v>
      </c>
      <c r="G398" s="30">
        <v>999.0</v>
      </c>
      <c r="H398" s="30">
        <v>0.0</v>
      </c>
      <c r="I398" s="47" t="s">
        <v>899</v>
      </c>
      <c r="J398" s="48">
        <v>46063.2234375</v>
      </c>
      <c r="K398" s="49" t="s">
        <v>1401</v>
      </c>
      <c r="L398" s="30">
        <v>1.053732039E9</v>
      </c>
      <c r="M398" s="47" t="s">
        <v>1397</v>
      </c>
      <c r="N398" s="30">
        <v>1.457535589E9</v>
      </c>
      <c r="O398" s="30"/>
      <c r="P398" s="30"/>
      <c r="Q398" s="30"/>
      <c r="R398" s="30"/>
      <c r="S398" s="47"/>
      <c r="T398" s="47" t="s">
        <v>901</v>
      </c>
      <c r="U398" s="30">
        <v>20.0</v>
      </c>
    </row>
    <row r="399">
      <c r="A399" s="47" t="s">
        <v>630</v>
      </c>
      <c r="B399" s="47" t="s">
        <v>630</v>
      </c>
      <c r="C399" s="47" t="s">
        <v>624</v>
      </c>
      <c r="D399" s="47" t="s">
        <v>296</v>
      </c>
      <c r="E399" s="47" t="s">
        <v>625</v>
      </c>
      <c r="F399" s="30">
        <v>999.0</v>
      </c>
      <c r="G399" s="30">
        <v>999.0</v>
      </c>
      <c r="H399" s="30">
        <v>0.0</v>
      </c>
      <c r="I399" s="47" t="s">
        <v>899</v>
      </c>
      <c r="J399" s="48">
        <v>46062.634780092594</v>
      </c>
      <c r="K399" s="49" t="s">
        <v>1402</v>
      </c>
      <c r="L399" s="30">
        <v>1.053732037E9</v>
      </c>
      <c r="M399" s="47" t="s">
        <v>1397</v>
      </c>
      <c r="N399" s="30">
        <v>1.457535584E9</v>
      </c>
      <c r="O399" s="30"/>
      <c r="P399" s="30"/>
      <c r="Q399" s="30"/>
      <c r="R399" s="30"/>
      <c r="S399" s="47"/>
      <c r="T399" s="47" t="s">
        <v>901</v>
      </c>
      <c r="U399" s="30">
        <v>20.0</v>
      </c>
    </row>
    <row r="400">
      <c r="A400" s="47">
        <v>7.95258613316E11</v>
      </c>
      <c r="B400" s="47"/>
      <c r="C400" s="47" t="s">
        <v>631</v>
      </c>
      <c r="D400" s="47" t="s">
        <v>50</v>
      </c>
      <c r="E400" s="47" t="s">
        <v>52</v>
      </c>
      <c r="F400" s="30">
        <v>678.0</v>
      </c>
      <c r="G400" s="30">
        <v>678.0</v>
      </c>
      <c r="H400" s="30">
        <v>0.0</v>
      </c>
      <c r="I400" s="47" t="s">
        <v>899</v>
      </c>
      <c r="J400" s="48">
        <v>46064.018483796295</v>
      </c>
      <c r="K400" s="49" t="s">
        <v>1403</v>
      </c>
      <c r="L400" s="30">
        <v>4.6484191E7</v>
      </c>
      <c r="M400" s="47" t="s">
        <v>834</v>
      </c>
      <c r="N400" s="30">
        <v>8.1884453E7</v>
      </c>
      <c r="O400" s="30"/>
      <c r="P400" s="30"/>
      <c r="Q400" s="30"/>
      <c r="R400" s="30"/>
      <c r="S400" s="47"/>
      <c r="T400" s="47" t="s">
        <v>901</v>
      </c>
      <c r="U400" s="30">
        <v>12.5</v>
      </c>
    </row>
    <row r="401">
      <c r="A401" s="47">
        <v>5.5822100929714E13</v>
      </c>
      <c r="B401" s="47"/>
      <c r="C401" s="47" t="s">
        <v>633</v>
      </c>
      <c r="D401" s="47" t="s">
        <v>632</v>
      </c>
      <c r="E401" s="47" t="s">
        <v>131</v>
      </c>
      <c r="F401" s="30">
        <v>1050.0</v>
      </c>
      <c r="G401" s="30">
        <v>1050.0</v>
      </c>
      <c r="H401" s="30">
        <v>4.0</v>
      </c>
      <c r="I401" s="47" t="s">
        <v>889</v>
      </c>
      <c r="J401" s="48">
        <v>46066.9287962963</v>
      </c>
      <c r="K401" s="49" t="s">
        <v>1404</v>
      </c>
      <c r="L401" s="30">
        <v>5.8153037E7</v>
      </c>
      <c r="M401" s="47" t="s">
        <v>860</v>
      </c>
      <c r="N401" s="30">
        <v>1.03014935E8</v>
      </c>
      <c r="O401" s="30">
        <v>7.0</v>
      </c>
      <c r="P401" s="30">
        <v>965.0</v>
      </c>
      <c r="Q401" s="30">
        <v>975.0</v>
      </c>
      <c r="R401" s="30">
        <v>974.77</v>
      </c>
      <c r="S401" s="47" t="b">
        <v>1</v>
      </c>
      <c r="T401" s="47" t="s">
        <v>891</v>
      </c>
      <c r="U401" s="30">
        <v>20.0</v>
      </c>
    </row>
    <row r="402">
      <c r="A402" s="47" t="s">
        <v>634</v>
      </c>
      <c r="C402" s="47" t="s">
        <v>635</v>
      </c>
      <c r="D402" s="47" t="s">
        <v>53</v>
      </c>
      <c r="E402" s="47" t="s">
        <v>59</v>
      </c>
      <c r="F402" s="30">
        <v>0.0</v>
      </c>
      <c r="G402" s="30">
        <v>0.0</v>
      </c>
      <c r="H402" s="30">
        <v>0.0</v>
      </c>
      <c r="I402" s="47" t="s">
        <v>899</v>
      </c>
      <c r="J402" s="48">
        <v>46161.63481481482</v>
      </c>
      <c r="K402" s="49" t="s">
        <v>1405</v>
      </c>
      <c r="L402" s="30">
        <v>1.4880796E8</v>
      </c>
      <c r="M402" s="47" t="s">
        <v>1406</v>
      </c>
      <c r="N402" s="30">
        <v>2.4896115E8</v>
      </c>
      <c r="O402" s="30"/>
      <c r="P402" s="30"/>
      <c r="Q402" s="30"/>
      <c r="R402" s="30"/>
      <c r="S402" s="47"/>
      <c r="T402" s="47" t="s">
        <v>901</v>
      </c>
      <c r="U402" s="30">
        <v>12.5</v>
      </c>
    </row>
    <row r="403">
      <c r="A403" s="47">
        <v>3.182550402217E12</v>
      </c>
      <c r="C403" s="47" t="s">
        <v>636</v>
      </c>
      <c r="D403" s="47" t="s">
        <v>53</v>
      </c>
      <c r="E403" s="47" t="s">
        <v>59</v>
      </c>
      <c r="F403" s="30">
        <v>0.0</v>
      </c>
      <c r="G403" s="30">
        <v>0.0</v>
      </c>
      <c r="H403" s="30">
        <v>0.0</v>
      </c>
      <c r="I403" s="47" t="s">
        <v>899</v>
      </c>
      <c r="J403" s="48">
        <v>46161.63481481482</v>
      </c>
      <c r="K403" s="49" t="s">
        <v>1407</v>
      </c>
      <c r="L403" s="30">
        <v>3405133.0</v>
      </c>
      <c r="M403" s="47">
        <v>3.182550402217E12</v>
      </c>
      <c r="N403" s="30">
        <v>1.4938217E7</v>
      </c>
      <c r="O403" s="30"/>
      <c r="P403" s="30"/>
      <c r="Q403" s="30"/>
      <c r="R403" s="30"/>
      <c r="S403" s="47"/>
      <c r="T403" s="47" t="s">
        <v>901</v>
      </c>
      <c r="U403" s="30">
        <v>12.5</v>
      </c>
    </row>
    <row r="404">
      <c r="A404" s="47" t="s">
        <v>637</v>
      </c>
      <c r="C404" s="47" t="s">
        <v>638</v>
      </c>
      <c r="D404" s="47" t="s">
        <v>53</v>
      </c>
      <c r="E404" s="47" t="s">
        <v>59</v>
      </c>
      <c r="F404" s="30">
        <v>0.0</v>
      </c>
      <c r="G404" s="30">
        <v>0.0</v>
      </c>
      <c r="H404" s="30">
        <v>0.0</v>
      </c>
      <c r="I404" s="47" t="s">
        <v>899</v>
      </c>
      <c r="J404" s="48">
        <v>46161.63481481482</v>
      </c>
      <c r="K404" s="49" t="s">
        <v>1408</v>
      </c>
      <c r="L404" s="30">
        <v>3.14745709E8</v>
      </c>
      <c r="M404" s="47" t="s">
        <v>1409</v>
      </c>
      <c r="N404" s="30">
        <v>5.02327392E8</v>
      </c>
      <c r="O404" s="30"/>
      <c r="P404" s="30"/>
      <c r="Q404" s="30"/>
      <c r="R404" s="30"/>
      <c r="S404" s="47"/>
      <c r="T404" s="47" t="s">
        <v>901</v>
      </c>
      <c r="U404" s="30">
        <v>12.5</v>
      </c>
    </row>
    <row r="405">
      <c r="A405" s="47" t="s">
        <v>639</v>
      </c>
      <c r="C405" s="47" t="s">
        <v>640</v>
      </c>
      <c r="D405" s="47" t="s">
        <v>53</v>
      </c>
      <c r="E405" s="47" t="s">
        <v>59</v>
      </c>
      <c r="F405" s="30">
        <v>0.0</v>
      </c>
      <c r="G405" s="30">
        <v>0.0</v>
      </c>
      <c r="H405" s="30">
        <v>0.0</v>
      </c>
      <c r="I405" s="47" t="s">
        <v>899</v>
      </c>
      <c r="J405" s="48">
        <v>46161.63481481482</v>
      </c>
      <c r="K405" s="49" t="s">
        <v>1410</v>
      </c>
      <c r="L405" s="30">
        <v>3.02249658E8</v>
      </c>
      <c r="M405" s="47" t="s">
        <v>1411</v>
      </c>
      <c r="N405" s="30">
        <v>4.81428592E8</v>
      </c>
      <c r="O405" s="30"/>
      <c r="P405" s="30"/>
      <c r="Q405" s="30"/>
      <c r="R405" s="30"/>
      <c r="S405" s="47"/>
      <c r="T405" s="47" t="s">
        <v>901</v>
      </c>
      <c r="U405" s="30">
        <v>12.5</v>
      </c>
    </row>
    <row r="406">
      <c r="A406" s="47">
        <v>3.182550732154E12</v>
      </c>
      <c r="C406" s="47" t="s">
        <v>641</v>
      </c>
      <c r="D406" s="47" t="s">
        <v>53</v>
      </c>
      <c r="E406" s="47" t="s">
        <v>59</v>
      </c>
      <c r="F406" s="30">
        <v>0.0</v>
      </c>
      <c r="G406" s="30">
        <v>0.0</v>
      </c>
      <c r="H406" s="30">
        <v>0.0</v>
      </c>
      <c r="I406" s="47" t="s">
        <v>899</v>
      </c>
      <c r="J406" s="48">
        <v>46161.63481481482</v>
      </c>
      <c r="K406" s="49" t="s">
        <v>1412</v>
      </c>
      <c r="L406" s="30">
        <v>750129.0</v>
      </c>
      <c r="M406" s="47" t="s">
        <v>1413</v>
      </c>
      <c r="N406" s="30">
        <v>1.0005208E7</v>
      </c>
      <c r="O406" s="30"/>
      <c r="P406" s="30"/>
      <c r="Q406" s="30"/>
      <c r="R406" s="30"/>
      <c r="S406" s="47"/>
      <c r="T406" s="47" t="s">
        <v>901</v>
      </c>
      <c r="U406" s="30">
        <v>12.5</v>
      </c>
    </row>
    <row r="407">
      <c r="A407" s="47" t="s">
        <v>642</v>
      </c>
      <c r="C407" s="47" t="s">
        <v>643</v>
      </c>
      <c r="D407" s="47" t="s">
        <v>50</v>
      </c>
      <c r="E407" s="47" t="s">
        <v>52</v>
      </c>
      <c r="F407" s="30">
        <v>1250.0</v>
      </c>
      <c r="G407" s="30">
        <v>1250.0</v>
      </c>
      <c r="H407" s="30">
        <v>10.0</v>
      </c>
      <c r="I407" s="47" t="s">
        <v>889</v>
      </c>
      <c r="J407" s="48">
        <v>46063.158425925925</v>
      </c>
      <c r="K407" s="49" t="s">
        <v>1414</v>
      </c>
      <c r="L407" s="30">
        <v>3.5873477E7</v>
      </c>
      <c r="M407" s="47" t="s">
        <v>807</v>
      </c>
      <c r="N407" s="30">
        <v>6.4093543E7</v>
      </c>
      <c r="O407" s="30">
        <v>10.0</v>
      </c>
      <c r="P407" s="30">
        <v>795.0</v>
      </c>
      <c r="Q407" s="30">
        <v>881.38</v>
      </c>
      <c r="R407" s="30">
        <v>962.0</v>
      </c>
      <c r="S407" s="47" t="b">
        <v>1</v>
      </c>
      <c r="T407" s="47" t="s">
        <v>891</v>
      </c>
      <c r="U407" s="30">
        <v>12.5</v>
      </c>
    </row>
    <row r="408">
      <c r="A408" s="47">
        <v>985474.0</v>
      </c>
      <c r="C408" s="47" t="s">
        <v>644</v>
      </c>
      <c r="D408" s="47" t="s">
        <v>50</v>
      </c>
      <c r="E408" s="47" t="s">
        <v>72</v>
      </c>
      <c r="F408" s="30">
        <v>625.0</v>
      </c>
      <c r="G408" s="30">
        <v>625.0</v>
      </c>
      <c r="H408" s="30">
        <v>6.0</v>
      </c>
      <c r="I408" s="47" t="s">
        <v>889</v>
      </c>
      <c r="J408" s="48">
        <v>46063.03388888889</v>
      </c>
      <c r="K408" s="49" t="s">
        <v>1415</v>
      </c>
      <c r="L408" s="30">
        <v>6.2908131E7</v>
      </c>
      <c r="M408" s="47">
        <v>9584.0</v>
      </c>
      <c r="N408" s="30">
        <v>1.09890378E8</v>
      </c>
      <c r="O408" s="30">
        <v>4.0</v>
      </c>
      <c r="P408" s="30">
        <v>520.0</v>
      </c>
      <c r="Q408" s="30">
        <v>520.0</v>
      </c>
      <c r="R408" s="30">
        <v>606.0</v>
      </c>
      <c r="S408" s="47" t="b">
        <v>1</v>
      </c>
      <c r="T408" s="47" t="s">
        <v>891</v>
      </c>
      <c r="U408" s="30">
        <v>12.5</v>
      </c>
    </row>
    <row r="409">
      <c r="A409" s="47">
        <v>7.613038944593E12</v>
      </c>
      <c r="C409" s="47" t="s">
        <v>645</v>
      </c>
      <c r="D409" s="47" t="s">
        <v>50</v>
      </c>
      <c r="E409" s="47" t="s">
        <v>52</v>
      </c>
      <c r="F409" s="30">
        <v>400.0</v>
      </c>
      <c r="G409" s="30">
        <v>400.0</v>
      </c>
      <c r="H409" s="30">
        <v>0.0</v>
      </c>
      <c r="I409" s="47" t="s">
        <v>899</v>
      </c>
      <c r="J409" s="48">
        <v>46063.15959490741</v>
      </c>
      <c r="K409" s="49" t="s">
        <v>1416</v>
      </c>
      <c r="L409" s="30">
        <v>8.72246815E8</v>
      </c>
      <c r="M409" s="47">
        <v>7.613038944593E12</v>
      </c>
      <c r="N409" s="30">
        <v>1.19278645E9</v>
      </c>
      <c r="O409" s="30"/>
      <c r="P409" s="30"/>
      <c r="Q409" s="30"/>
      <c r="R409" s="30"/>
      <c r="S409" s="47"/>
      <c r="T409" s="47" t="s">
        <v>901</v>
      </c>
      <c r="U409" s="30">
        <v>12.5</v>
      </c>
    </row>
    <row r="410">
      <c r="A410" s="47">
        <v>8.6974221000021E13</v>
      </c>
      <c r="C410" s="47" t="s">
        <v>646</v>
      </c>
      <c r="D410" s="47" t="s">
        <v>50</v>
      </c>
      <c r="E410" s="47" t="s">
        <v>52</v>
      </c>
      <c r="F410" s="30">
        <v>599.0</v>
      </c>
      <c r="G410" s="30">
        <v>599.0</v>
      </c>
      <c r="H410" s="30">
        <v>4.0</v>
      </c>
      <c r="I410" s="47" t="s">
        <v>889</v>
      </c>
      <c r="J410" s="48">
        <v>46080.02523148148</v>
      </c>
      <c r="K410" s="49" t="s">
        <v>1417</v>
      </c>
      <c r="L410" s="30">
        <v>6.629255E7</v>
      </c>
      <c r="M410" s="47" t="s">
        <v>749</v>
      </c>
      <c r="N410" s="30">
        <v>1.1542458E8</v>
      </c>
      <c r="O410" s="30">
        <v>7.0</v>
      </c>
      <c r="P410" s="30">
        <v>462.06</v>
      </c>
      <c r="Q410" s="30">
        <v>493.68</v>
      </c>
      <c r="R410" s="30">
        <v>499.9</v>
      </c>
      <c r="S410" s="47" t="b">
        <v>1</v>
      </c>
      <c r="T410" s="47" t="s">
        <v>891</v>
      </c>
      <c r="U410" s="30">
        <v>12.5</v>
      </c>
    </row>
    <row r="411">
      <c r="A411" s="47">
        <v>7.7548176924615E13</v>
      </c>
      <c r="C411" s="47" t="s">
        <v>647</v>
      </c>
      <c r="D411" s="47" t="s">
        <v>50</v>
      </c>
      <c r="E411" s="47" t="s">
        <v>52</v>
      </c>
      <c r="F411" s="30">
        <v>1215.0</v>
      </c>
      <c r="G411" s="30">
        <v>1215.0</v>
      </c>
      <c r="H411" s="30">
        <v>9.0</v>
      </c>
      <c r="I411" s="47" t="s">
        <v>889</v>
      </c>
      <c r="J411" s="48">
        <v>46063.1952662037</v>
      </c>
      <c r="K411" s="49" t="s">
        <v>1418</v>
      </c>
      <c r="L411" s="30">
        <v>1.2254239E8</v>
      </c>
      <c r="M411" s="47" t="s">
        <v>818</v>
      </c>
      <c r="N411" s="30">
        <v>1.97777007E8</v>
      </c>
      <c r="O411" s="30">
        <v>2.0</v>
      </c>
      <c r="P411" s="30">
        <v>1191.94</v>
      </c>
      <c r="Q411" s="30">
        <v>1215.0</v>
      </c>
      <c r="R411" s="30">
        <v>1469.0</v>
      </c>
      <c r="S411" s="47" t="b">
        <v>1</v>
      </c>
      <c r="T411" s="47" t="s">
        <v>891</v>
      </c>
      <c r="U411" s="30">
        <v>12.5</v>
      </c>
    </row>
    <row r="412">
      <c r="A412" s="47" t="s">
        <v>648</v>
      </c>
      <c r="C412" s="47" t="s">
        <v>649</v>
      </c>
      <c r="D412" s="47" t="s">
        <v>50</v>
      </c>
      <c r="E412" s="47" t="s">
        <v>52</v>
      </c>
      <c r="F412" s="30">
        <v>1250.0</v>
      </c>
      <c r="G412" s="30">
        <v>1250.0</v>
      </c>
      <c r="H412" s="30">
        <v>3.0</v>
      </c>
      <c r="I412" s="47" t="s">
        <v>889</v>
      </c>
      <c r="J412" s="48">
        <v>46063.17694444444</v>
      </c>
      <c r="K412" s="49" t="s">
        <v>1419</v>
      </c>
      <c r="L412" s="30">
        <v>1.62471082E8</v>
      </c>
      <c r="M412" s="47" t="s">
        <v>806</v>
      </c>
      <c r="N412" s="30">
        <v>2.65989603E8</v>
      </c>
      <c r="O412" s="30">
        <v>14.0</v>
      </c>
      <c r="P412" s="30">
        <v>932.84</v>
      </c>
      <c r="Q412" s="30">
        <v>939.0</v>
      </c>
      <c r="R412" s="30">
        <v>940.0</v>
      </c>
      <c r="S412" s="47" t="b">
        <v>1</v>
      </c>
      <c r="T412" s="47" t="s">
        <v>891</v>
      </c>
      <c r="U412" s="30">
        <v>12.5</v>
      </c>
    </row>
    <row r="413">
      <c r="A413" s="47" t="s">
        <v>650</v>
      </c>
      <c r="C413" s="47" t="s">
        <v>651</v>
      </c>
      <c r="D413" s="47" t="s">
        <v>187</v>
      </c>
      <c r="E413" s="47" t="s">
        <v>52</v>
      </c>
      <c r="F413" s="30">
        <v>850.0</v>
      </c>
      <c r="G413" s="30">
        <v>850.0</v>
      </c>
      <c r="H413" s="30">
        <v>0.0</v>
      </c>
      <c r="I413" s="47" t="s">
        <v>899</v>
      </c>
      <c r="J413" s="48">
        <v>46063.084328703706</v>
      </c>
      <c r="K413" s="49" t="s">
        <v>1420</v>
      </c>
      <c r="L413" s="30">
        <v>8.50916011E8</v>
      </c>
      <c r="M413" s="47" t="s">
        <v>853</v>
      </c>
      <c r="N413" s="30">
        <v>1.148368318E9</v>
      </c>
      <c r="O413" s="30"/>
      <c r="P413" s="30"/>
      <c r="Q413" s="30"/>
      <c r="R413" s="30"/>
      <c r="S413" s="47"/>
      <c r="T413" s="47" t="s">
        <v>901</v>
      </c>
      <c r="U413" s="30">
        <v>13.5</v>
      </c>
    </row>
    <row r="414">
      <c r="A414" s="47" t="s">
        <v>652</v>
      </c>
      <c r="C414" s="47" t="s">
        <v>653</v>
      </c>
      <c r="D414" s="47" t="s">
        <v>187</v>
      </c>
      <c r="E414" s="47" t="s">
        <v>52</v>
      </c>
      <c r="F414" s="30">
        <v>970.0</v>
      </c>
      <c r="G414" s="30">
        <v>970.0</v>
      </c>
      <c r="H414" s="30">
        <v>30.0</v>
      </c>
      <c r="I414" s="47" t="s">
        <v>889</v>
      </c>
      <c r="J414" s="48">
        <v>46063.17302083333</v>
      </c>
      <c r="K414" s="49" t="s">
        <v>1421</v>
      </c>
      <c r="L414" s="30">
        <v>4.9679448E7</v>
      </c>
      <c r="M414" s="47" t="s">
        <v>780</v>
      </c>
      <c r="N414" s="30">
        <v>8.8062503E7</v>
      </c>
      <c r="O414" s="30">
        <v>6.0</v>
      </c>
      <c r="P414" s="30">
        <v>820.51</v>
      </c>
      <c r="Q414" s="30">
        <v>889.9</v>
      </c>
      <c r="R414" s="30">
        <v>924.0</v>
      </c>
      <c r="S414" s="47" t="b">
        <v>1</v>
      </c>
      <c r="T414" s="47" t="s">
        <v>891</v>
      </c>
      <c r="U414" s="30">
        <v>13.5</v>
      </c>
    </row>
    <row r="415">
      <c r="A415" s="47">
        <v>9.003579311295E12</v>
      </c>
      <c r="C415" s="47" t="s">
        <v>654</v>
      </c>
      <c r="D415" s="47" t="s">
        <v>53</v>
      </c>
      <c r="E415" s="47" t="s">
        <v>52</v>
      </c>
      <c r="F415" s="30">
        <v>750.0</v>
      </c>
      <c r="G415" s="30">
        <v>750.0</v>
      </c>
      <c r="H415" s="30">
        <v>24.0</v>
      </c>
      <c r="I415" s="47" t="s">
        <v>889</v>
      </c>
      <c r="J415" s="48">
        <v>46063.07244212963</v>
      </c>
      <c r="K415" s="49" t="s">
        <v>1422</v>
      </c>
      <c r="L415" s="30">
        <v>4741146.0</v>
      </c>
      <c r="M415" s="47" t="s">
        <v>764</v>
      </c>
      <c r="N415" s="30">
        <v>1.8027742E7</v>
      </c>
      <c r="O415" s="30">
        <v>14.0</v>
      </c>
      <c r="P415" s="30">
        <v>600.0</v>
      </c>
      <c r="Q415" s="30">
        <v>600.0</v>
      </c>
      <c r="R415" s="30">
        <v>599.0</v>
      </c>
      <c r="S415" s="47" t="b">
        <v>1</v>
      </c>
      <c r="T415" s="47" t="s">
        <v>891</v>
      </c>
      <c r="U415" s="30">
        <v>12.5</v>
      </c>
    </row>
    <row r="416">
      <c r="A416" s="47">
        <v>9.00357931166E12</v>
      </c>
      <c r="C416" s="47" t="s">
        <v>655</v>
      </c>
      <c r="D416" s="47" t="s">
        <v>53</v>
      </c>
      <c r="E416" s="47" t="s">
        <v>52</v>
      </c>
      <c r="F416" s="30">
        <v>200.0</v>
      </c>
      <c r="G416" s="30">
        <v>200.0</v>
      </c>
      <c r="H416" s="30">
        <v>24.0</v>
      </c>
      <c r="I416" s="47" t="s">
        <v>889</v>
      </c>
      <c r="J416" s="48">
        <v>46063.20798611111</v>
      </c>
      <c r="K416" s="49" t="s">
        <v>1423</v>
      </c>
      <c r="L416" s="30">
        <v>1194773.0</v>
      </c>
      <c r="M416" s="47">
        <v>390073.0</v>
      </c>
      <c r="N416" s="30">
        <v>1.0686102E7</v>
      </c>
      <c r="O416" s="30">
        <v>2.0</v>
      </c>
      <c r="P416" s="30">
        <v>199.0</v>
      </c>
      <c r="Q416" s="30">
        <v>200.0</v>
      </c>
      <c r="R416" s="30">
        <v>195.0</v>
      </c>
      <c r="S416" s="47" t="b">
        <v>1</v>
      </c>
      <c r="T416" s="47" t="s">
        <v>891</v>
      </c>
      <c r="U416" s="30">
        <v>12.5</v>
      </c>
    </row>
    <row r="417">
      <c r="A417" s="47" t="s">
        <v>656</v>
      </c>
      <c r="C417" s="47" t="s">
        <v>657</v>
      </c>
      <c r="D417" s="47" t="s">
        <v>115</v>
      </c>
      <c r="E417" s="47" t="s">
        <v>72</v>
      </c>
      <c r="F417" s="30">
        <v>2723.0</v>
      </c>
      <c r="G417" s="30">
        <v>2723.0</v>
      </c>
      <c r="H417" s="30">
        <v>0.0</v>
      </c>
      <c r="I417" s="47" t="s">
        <v>899</v>
      </c>
      <c r="J417" s="48">
        <v>46063.065254629626</v>
      </c>
      <c r="K417" s="49" t="s">
        <v>1424</v>
      </c>
      <c r="L417" s="30">
        <v>8.1607518E7</v>
      </c>
      <c r="M417" s="47" t="s">
        <v>870</v>
      </c>
      <c r="N417" s="30">
        <v>1.38019163E8</v>
      </c>
      <c r="O417" s="30"/>
      <c r="P417" s="30"/>
      <c r="Q417" s="30"/>
      <c r="R417" s="30"/>
      <c r="S417" s="47"/>
      <c r="T417" s="47" t="s">
        <v>901</v>
      </c>
      <c r="U417" s="30">
        <v>16.5</v>
      </c>
    </row>
    <row r="418">
      <c r="A418" s="47">
        <v>3.7622100929963E13</v>
      </c>
      <c r="C418" s="47" t="s">
        <v>658</v>
      </c>
      <c r="D418" s="47" t="s">
        <v>115</v>
      </c>
      <c r="E418" s="47" t="s">
        <v>52</v>
      </c>
      <c r="F418" s="30">
        <v>886.0</v>
      </c>
      <c r="G418" s="30">
        <v>886.0</v>
      </c>
      <c r="H418" s="30">
        <v>0.0</v>
      </c>
      <c r="I418" s="47" t="s">
        <v>899</v>
      </c>
      <c r="J418" s="48">
        <v>46063.13649305556</v>
      </c>
      <c r="K418" s="49" t="s">
        <v>1425</v>
      </c>
      <c r="L418" s="30">
        <v>4.4866457E7</v>
      </c>
      <c r="M418" s="47" t="s">
        <v>851</v>
      </c>
      <c r="N418" s="30">
        <v>7.9447424E7</v>
      </c>
      <c r="O418" s="30"/>
      <c r="P418" s="30"/>
      <c r="Q418" s="30"/>
      <c r="R418" s="30"/>
      <c r="S418" s="47"/>
      <c r="T418" s="47" t="s">
        <v>901</v>
      </c>
      <c r="U418" s="30">
        <v>16.5</v>
      </c>
    </row>
    <row r="419">
      <c r="A419" s="47">
        <v>2.7622100929963E13</v>
      </c>
      <c r="C419" s="47" t="s">
        <v>659</v>
      </c>
      <c r="D419" s="47" t="s">
        <v>115</v>
      </c>
      <c r="E419" s="47" t="s">
        <v>52</v>
      </c>
      <c r="F419" s="30">
        <v>1598.0</v>
      </c>
      <c r="G419" s="30">
        <v>1598.0</v>
      </c>
      <c r="H419" s="30">
        <v>0.0</v>
      </c>
      <c r="I419" s="47" t="s">
        <v>899</v>
      </c>
      <c r="J419" s="48">
        <v>46063.060115740744</v>
      </c>
      <c r="K419" s="49" t="s">
        <v>1426</v>
      </c>
      <c r="L419" s="30">
        <v>4.4866446E7</v>
      </c>
      <c r="M419" s="47" t="s">
        <v>847</v>
      </c>
      <c r="N419" s="30">
        <v>7.9447413E7</v>
      </c>
      <c r="O419" s="30"/>
      <c r="P419" s="30"/>
      <c r="Q419" s="30"/>
      <c r="R419" s="30"/>
      <c r="S419" s="47"/>
      <c r="T419" s="47" t="s">
        <v>901</v>
      </c>
      <c r="U419" s="30">
        <v>16.5</v>
      </c>
    </row>
    <row r="420">
      <c r="A420" s="47">
        <v>5.412087019298E12</v>
      </c>
      <c r="C420" s="47" t="s">
        <v>661</v>
      </c>
      <c r="D420" s="47" t="s">
        <v>660</v>
      </c>
      <c r="E420" s="47" t="s">
        <v>662</v>
      </c>
      <c r="F420" s="30">
        <v>2300.0</v>
      </c>
      <c r="G420" s="30">
        <v>2300.0</v>
      </c>
      <c r="H420" s="30">
        <v>0.0</v>
      </c>
      <c r="I420" s="47" t="s">
        <v>899</v>
      </c>
      <c r="J420" s="48">
        <v>46063.14142361111</v>
      </c>
      <c r="K420" s="49" t="s">
        <v>1427</v>
      </c>
      <c r="L420" s="30">
        <v>9.1046575E7</v>
      </c>
      <c r="M420" s="47">
        <v>7247080.0</v>
      </c>
      <c r="N420" s="30">
        <v>1.52184537E8</v>
      </c>
      <c r="O420" s="30"/>
      <c r="P420" s="30"/>
      <c r="Q420" s="30"/>
      <c r="R420" s="30"/>
      <c r="S420" s="47"/>
      <c r="T420" s="47" t="s">
        <v>901</v>
      </c>
      <c r="U420" s="30">
        <v>20.0</v>
      </c>
    </row>
    <row r="421">
      <c r="A421" s="47">
        <v>5.2742060903E10</v>
      </c>
      <c r="C421" s="47" t="s">
        <v>663</v>
      </c>
      <c r="D421" s="47" t="s">
        <v>229</v>
      </c>
      <c r="E421" s="47" t="s">
        <v>59</v>
      </c>
      <c r="F421" s="30">
        <v>1275.0</v>
      </c>
      <c r="G421" s="30">
        <v>1275.0</v>
      </c>
      <c r="H421" s="30">
        <v>3.0</v>
      </c>
      <c r="I421" s="47" t="s">
        <v>889</v>
      </c>
      <c r="J421" s="48">
        <v>46081.09243055555</v>
      </c>
      <c r="K421" s="49" t="s">
        <v>1428</v>
      </c>
      <c r="L421" s="30">
        <v>7.64987657E8</v>
      </c>
      <c r="M421" s="47">
        <v>5.2742060903E10</v>
      </c>
      <c r="N421" s="30">
        <v>1.009555999E9</v>
      </c>
      <c r="O421" s="30">
        <v>6.0</v>
      </c>
      <c r="P421" s="30">
        <v>1177.36</v>
      </c>
      <c r="Q421" s="30">
        <v>1199.41</v>
      </c>
      <c r="R421" s="30">
        <v>1199.66</v>
      </c>
      <c r="S421" s="47" t="b">
        <v>1</v>
      </c>
      <c r="T421" s="47" t="s">
        <v>891</v>
      </c>
      <c r="U421" s="30">
        <v>12.5</v>
      </c>
    </row>
    <row r="422">
      <c r="A422" s="47">
        <v>8.681612752819E12</v>
      </c>
      <c r="C422" s="47" t="s">
        <v>664</v>
      </c>
      <c r="D422" s="47" t="s">
        <v>660</v>
      </c>
      <c r="E422" s="47" t="s">
        <v>662</v>
      </c>
      <c r="F422" s="30">
        <v>2300.0</v>
      </c>
      <c r="G422" s="30">
        <v>2300.0</v>
      </c>
      <c r="H422" s="30">
        <v>0.0</v>
      </c>
      <c r="I422" s="47" t="s">
        <v>899</v>
      </c>
      <c r="J422" s="48">
        <v>46063.175532407404</v>
      </c>
      <c r="K422" s="49" t="s">
        <v>1429</v>
      </c>
      <c r="L422" s="30">
        <v>9.87039076E8</v>
      </c>
      <c r="M422" s="47">
        <v>8.681612752819E12</v>
      </c>
      <c r="N422" s="30">
        <v>1.39508257E9</v>
      </c>
      <c r="O422" s="30"/>
      <c r="P422" s="30"/>
      <c r="Q422" s="30"/>
      <c r="R422" s="30"/>
      <c r="S422" s="47"/>
      <c r="T422" s="47" t="s">
        <v>901</v>
      </c>
      <c r="U422" s="30">
        <v>20.0</v>
      </c>
    </row>
    <row r="423">
      <c r="A423" s="47">
        <v>8.681612752802E12</v>
      </c>
      <c r="C423" s="47" t="s">
        <v>665</v>
      </c>
      <c r="D423" s="47" t="s">
        <v>660</v>
      </c>
      <c r="E423" s="47" t="s">
        <v>662</v>
      </c>
      <c r="F423" s="30">
        <v>2300.0</v>
      </c>
      <c r="G423" s="30">
        <v>2300.0</v>
      </c>
      <c r="H423" s="30">
        <v>0.0</v>
      </c>
      <c r="I423" s="47" t="s">
        <v>899</v>
      </c>
      <c r="J423" s="48">
        <v>46063.172743055555</v>
      </c>
      <c r="K423" s="49" t="s">
        <v>1430</v>
      </c>
      <c r="L423" s="30">
        <v>9.87026017E8</v>
      </c>
      <c r="M423" s="47">
        <v>8.681612752802E12</v>
      </c>
      <c r="N423" s="30">
        <v>1.395062952E9</v>
      </c>
      <c r="T423" s="47" t="s">
        <v>901</v>
      </c>
      <c r="U423" s="30">
        <v>20.0</v>
      </c>
    </row>
    <row r="424">
      <c r="A424" s="47">
        <v>5.412087000395E12</v>
      </c>
      <c r="C424" s="47" t="s">
        <v>666</v>
      </c>
      <c r="D424" s="47" t="s">
        <v>660</v>
      </c>
      <c r="E424" s="47" t="s">
        <v>299</v>
      </c>
      <c r="F424" s="30">
        <v>450.0</v>
      </c>
      <c r="G424" s="30">
        <v>450.0</v>
      </c>
      <c r="H424" s="30">
        <v>2.0</v>
      </c>
      <c r="I424" s="47" t="s">
        <v>889</v>
      </c>
      <c r="J424" s="48">
        <v>46063.08453703704</v>
      </c>
      <c r="K424" s="49" t="s">
        <v>1431</v>
      </c>
      <c r="L424" s="30">
        <v>1.075455072E9</v>
      </c>
      <c r="M424" s="47" t="s">
        <v>1432</v>
      </c>
      <c r="N424" s="30">
        <v>1.485864985E9</v>
      </c>
      <c r="O424" s="30">
        <v>1.0</v>
      </c>
      <c r="P424" s="30">
        <v>450.0</v>
      </c>
      <c r="Q424" s="30">
        <v>450.0</v>
      </c>
      <c r="R424" s="30">
        <v>690.0</v>
      </c>
      <c r="S424" s="47" t="b">
        <v>1</v>
      </c>
      <c r="T424" s="47" t="s">
        <v>891</v>
      </c>
      <c r="U424" s="30">
        <v>20.0</v>
      </c>
    </row>
    <row r="425">
      <c r="A425" s="47" t="s">
        <v>667</v>
      </c>
      <c r="C425" s="47" t="s">
        <v>668</v>
      </c>
      <c r="D425" s="47" t="s">
        <v>660</v>
      </c>
      <c r="E425" s="47" t="s">
        <v>299</v>
      </c>
      <c r="F425" s="30">
        <v>525.0</v>
      </c>
      <c r="G425" s="30">
        <v>525.0</v>
      </c>
      <c r="H425" s="30">
        <v>19.0</v>
      </c>
      <c r="I425" s="47" t="s">
        <v>889</v>
      </c>
      <c r="J425" s="48">
        <v>46063.066099537034</v>
      </c>
      <c r="K425" s="49" t="s">
        <v>1433</v>
      </c>
      <c r="L425" s="30">
        <v>8.17702655E8</v>
      </c>
      <c r="M425" s="47" t="s">
        <v>1434</v>
      </c>
      <c r="N425" s="30">
        <v>1.091622195E9</v>
      </c>
      <c r="O425" s="30">
        <v>1.0</v>
      </c>
      <c r="P425" s="30">
        <v>525.0</v>
      </c>
      <c r="S425" s="47" t="b">
        <v>1</v>
      </c>
      <c r="T425" s="47" t="s">
        <v>891</v>
      </c>
      <c r="U425" s="30">
        <v>20.0</v>
      </c>
    </row>
    <row r="426">
      <c r="A426" s="47">
        <v>4.000498043417E12</v>
      </c>
      <c r="C426" s="47" t="s">
        <v>670</v>
      </c>
      <c r="D426" s="47" t="s">
        <v>669</v>
      </c>
      <c r="E426" s="47" t="s">
        <v>671</v>
      </c>
      <c r="F426" s="30">
        <v>920.0</v>
      </c>
      <c r="G426" s="30">
        <v>920.0</v>
      </c>
      <c r="H426" s="30">
        <v>1.0</v>
      </c>
      <c r="I426" s="47" t="s">
        <v>889</v>
      </c>
      <c r="J426" s="48">
        <v>46062.97353009259</v>
      </c>
      <c r="K426" s="49" t="s">
        <v>1435</v>
      </c>
      <c r="L426" s="30">
        <v>2.39453192E8</v>
      </c>
      <c r="M426" s="47" t="s">
        <v>869</v>
      </c>
      <c r="N426" s="30">
        <v>3.84663449E8</v>
      </c>
      <c r="O426" s="30">
        <v>1.0</v>
      </c>
      <c r="P426" s="30">
        <v>920.0</v>
      </c>
      <c r="Q426" s="30">
        <v>919.95</v>
      </c>
      <c r="R426" s="30">
        <v>999.0</v>
      </c>
      <c r="S426" s="47" t="b">
        <v>1</v>
      </c>
      <c r="T426" s="47" t="s">
        <v>891</v>
      </c>
      <c r="U426" s="30">
        <v>20.0</v>
      </c>
    </row>
    <row r="427">
      <c r="A427" s="47">
        <v>4.00049803251E12</v>
      </c>
      <c r="B427" s="47"/>
      <c r="C427" s="47" t="s">
        <v>672</v>
      </c>
      <c r="D427" s="47" t="s">
        <v>669</v>
      </c>
      <c r="E427" s="47" t="s">
        <v>671</v>
      </c>
      <c r="F427" s="30">
        <v>1740.0</v>
      </c>
      <c r="G427" s="30">
        <v>1740.0</v>
      </c>
      <c r="H427" s="30">
        <v>4.0</v>
      </c>
      <c r="I427" s="47" t="s">
        <v>889</v>
      </c>
      <c r="J427" s="48">
        <v>46063.23299768518</v>
      </c>
      <c r="K427" s="49" t="s">
        <v>1436</v>
      </c>
      <c r="L427" s="30">
        <v>1.79342622E8</v>
      </c>
      <c r="M427" s="47">
        <v>4.00049803251E12</v>
      </c>
      <c r="N427" s="30">
        <v>2.92704271E8</v>
      </c>
      <c r="O427" s="30">
        <v>1.0</v>
      </c>
      <c r="P427" s="30">
        <v>1740.0</v>
      </c>
      <c r="Q427" s="30">
        <v>1900.0</v>
      </c>
      <c r="S427" s="47" t="b">
        <v>1</v>
      </c>
      <c r="T427" s="47" t="s">
        <v>891</v>
      </c>
      <c r="U427" s="30">
        <v>20.0</v>
      </c>
    </row>
    <row r="428">
      <c r="A428" s="47">
        <v>2.9695470912E10</v>
      </c>
      <c r="C428" s="47" t="s">
        <v>674</v>
      </c>
      <c r="D428" s="47" t="s">
        <v>673</v>
      </c>
      <c r="E428" s="47" t="s">
        <v>75</v>
      </c>
      <c r="F428" s="30">
        <v>428.0</v>
      </c>
      <c r="G428" s="30">
        <v>428.0</v>
      </c>
      <c r="H428" s="30">
        <v>1.0</v>
      </c>
      <c r="I428" s="47" t="s">
        <v>889</v>
      </c>
      <c r="J428" s="48">
        <v>46063.206770833334</v>
      </c>
      <c r="K428" s="49" t="s">
        <v>1437</v>
      </c>
      <c r="L428" s="30">
        <v>7.05236767E8</v>
      </c>
      <c r="M428" s="47">
        <v>47091.0</v>
      </c>
      <c r="N428" s="30">
        <v>9.31984055E8</v>
      </c>
      <c r="O428" s="30">
        <v>1.0</v>
      </c>
      <c r="P428" s="30">
        <v>428.0</v>
      </c>
      <c r="Q428" s="30">
        <v>465.0</v>
      </c>
      <c r="R428" s="30">
        <v>510.0</v>
      </c>
      <c r="S428" s="47" t="b">
        <v>1</v>
      </c>
      <c r="T428" s="47" t="s">
        <v>891</v>
      </c>
      <c r="U428" s="30">
        <v>20.0</v>
      </c>
    </row>
    <row r="429">
      <c r="A429" s="47">
        <v>2.9695321917E10</v>
      </c>
      <c r="C429" s="47" t="s">
        <v>675</v>
      </c>
      <c r="D429" s="47" t="s">
        <v>673</v>
      </c>
      <c r="E429" s="47" t="s">
        <v>75</v>
      </c>
      <c r="F429" s="30">
        <v>550.0</v>
      </c>
      <c r="G429" s="30">
        <v>550.0</v>
      </c>
      <c r="H429" s="30">
        <v>0.0</v>
      </c>
      <c r="I429" s="47" t="s">
        <v>899</v>
      </c>
      <c r="J429" s="48">
        <v>46063.28747685185</v>
      </c>
      <c r="K429" s="49" t="s">
        <v>1438</v>
      </c>
      <c r="L429" s="30">
        <v>7.46370333E8</v>
      </c>
      <c r="M429" s="47">
        <v>1703.0</v>
      </c>
      <c r="N429" s="30">
        <v>9.82534632E8</v>
      </c>
      <c r="T429" s="47" t="s">
        <v>901</v>
      </c>
      <c r="U429" s="30">
        <v>20.0</v>
      </c>
    </row>
    <row r="430">
      <c r="A430" s="47">
        <v>2.9695470899E10</v>
      </c>
      <c r="C430" s="47" t="s">
        <v>676</v>
      </c>
      <c r="D430" s="47" t="s">
        <v>673</v>
      </c>
      <c r="E430" s="47" t="s">
        <v>75</v>
      </c>
      <c r="F430" s="30">
        <v>830.0</v>
      </c>
      <c r="G430" s="30">
        <v>830.0</v>
      </c>
      <c r="H430" s="30">
        <v>0.0</v>
      </c>
      <c r="I430" s="47" t="s">
        <v>899</v>
      </c>
      <c r="J430" s="48">
        <v>46063.22094907407</v>
      </c>
      <c r="K430" s="49" t="s">
        <v>1439</v>
      </c>
      <c r="L430" s="30">
        <v>6.55377501E8</v>
      </c>
      <c r="M430" s="47">
        <v>47089.0</v>
      </c>
      <c r="N430" s="30">
        <v>8.6656932E8</v>
      </c>
      <c r="O430" s="30"/>
      <c r="P430" s="30"/>
      <c r="Q430" s="30"/>
      <c r="R430" s="30"/>
      <c r="S430" s="47"/>
      <c r="T430" s="47" t="s">
        <v>901</v>
      </c>
      <c r="U430" s="30">
        <v>20.0</v>
      </c>
    </row>
    <row r="431">
      <c r="A431" s="47">
        <v>6.60048067009E11</v>
      </c>
      <c r="C431" s="47" t="s">
        <v>677</v>
      </c>
      <c r="D431" s="47" t="s">
        <v>673</v>
      </c>
      <c r="E431" s="47" t="s">
        <v>75</v>
      </c>
      <c r="F431" s="30">
        <v>975.0</v>
      </c>
      <c r="G431" s="30">
        <v>975.0</v>
      </c>
      <c r="H431" s="30">
        <v>2.0</v>
      </c>
      <c r="I431" s="47" t="s">
        <v>889</v>
      </c>
      <c r="J431" s="48">
        <v>46063.01634259259</v>
      </c>
      <c r="K431" s="49" t="s">
        <v>1440</v>
      </c>
      <c r="L431" s="30">
        <v>2741719.0</v>
      </c>
      <c r="M431" s="47">
        <v>6.60048067009E11</v>
      </c>
      <c r="N431" s="30">
        <v>1.3440058E7</v>
      </c>
      <c r="O431" s="30">
        <v>2.0</v>
      </c>
      <c r="P431" s="30">
        <v>997.5</v>
      </c>
      <c r="Q431" s="30">
        <v>975.0</v>
      </c>
      <c r="R431" s="30">
        <v>1000.0</v>
      </c>
      <c r="S431" s="47" t="b">
        <v>1</v>
      </c>
      <c r="T431" s="47" t="s">
        <v>891</v>
      </c>
      <c r="U431" s="30">
        <v>20.0</v>
      </c>
    </row>
    <row r="432">
      <c r="A432" s="47">
        <v>6.60048201304E11</v>
      </c>
      <c r="C432" s="47" t="s">
        <v>678</v>
      </c>
      <c r="D432" s="47" t="s">
        <v>673</v>
      </c>
      <c r="E432" s="47" t="s">
        <v>75</v>
      </c>
      <c r="F432" s="30">
        <v>550.0</v>
      </c>
      <c r="G432" s="30">
        <v>550.0</v>
      </c>
      <c r="H432" s="30">
        <v>0.0</v>
      </c>
      <c r="I432" s="47" t="s">
        <v>899</v>
      </c>
      <c r="J432" s="48">
        <v>46062.67356481482</v>
      </c>
      <c r="K432" s="49" t="s">
        <v>1441</v>
      </c>
      <c r="L432" s="30">
        <v>7.03210201E8</v>
      </c>
      <c r="M432" s="47">
        <v>20130.0</v>
      </c>
      <c r="N432" s="30">
        <v>9.29509795E8</v>
      </c>
      <c r="O432" s="30"/>
      <c r="P432" s="30"/>
      <c r="Q432" s="30"/>
      <c r="R432" s="30"/>
      <c r="S432" s="47"/>
      <c r="T432" s="47" t="s">
        <v>901</v>
      </c>
      <c r="U432" s="30">
        <v>20.0</v>
      </c>
    </row>
    <row r="433">
      <c r="A433" s="47">
        <v>6.60048202202E11</v>
      </c>
      <c r="C433" s="47" t="s">
        <v>679</v>
      </c>
      <c r="D433" s="47" t="s">
        <v>673</v>
      </c>
      <c r="E433" s="47" t="s">
        <v>75</v>
      </c>
      <c r="F433" s="30">
        <v>480.0</v>
      </c>
      <c r="G433" s="30">
        <v>480.0</v>
      </c>
      <c r="H433" s="30">
        <v>0.0</v>
      </c>
      <c r="I433" s="47" t="s">
        <v>899</v>
      </c>
      <c r="J433" s="48">
        <v>46063.16768518519</v>
      </c>
      <c r="K433" s="49" t="s">
        <v>1442</v>
      </c>
      <c r="L433" s="30">
        <v>3.3525061E8</v>
      </c>
      <c r="M433" s="47">
        <v>6.60048202202E11</v>
      </c>
      <c r="N433" s="30">
        <v>5.34258433E8</v>
      </c>
      <c r="O433" s="30"/>
      <c r="P433" s="30"/>
      <c r="Q433" s="30"/>
      <c r="R433" s="30"/>
      <c r="S433" s="47"/>
      <c r="T433" s="47" t="s">
        <v>901</v>
      </c>
      <c r="U433" s="30">
        <v>20.0</v>
      </c>
    </row>
    <row r="434">
      <c r="A434" s="47">
        <v>2.9695322174E10</v>
      </c>
      <c r="C434" s="47" t="s">
        <v>680</v>
      </c>
      <c r="D434" s="47" t="s">
        <v>673</v>
      </c>
      <c r="E434" s="47" t="s">
        <v>75</v>
      </c>
      <c r="F434" s="30">
        <v>575.0</v>
      </c>
      <c r="G434" s="30">
        <v>575.0</v>
      </c>
      <c r="H434" s="30">
        <v>0.0</v>
      </c>
      <c r="I434" s="47" t="s">
        <v>899</v>
      </c>
      <c r="J434" s="48">
        <v>46063.177939814814</v>
      </c>
      <c r="K434" s="49" t="s">
        <v>1443</v>
      </c>
      <c r="L434" s="30">
        <v>7.05907272E8</v>
      </c>
      <c r="M434" s="47">
        <v>32217.0</v>
      </c>
      <c r="N434" s="30">
        <v>9.32792553E8</v>
      </c>
      <c r="O434" s="30"/>
      <c r="P434" s="30"/>
      <c r="Q434" s="30"/>
      <c r="R434" s="30"/>
      <c r="S434" s="47"/>
      <c r="T434" s="47" t="s">
        <v>901</v>
      </c>
      <c r="U434" s="30">
        <v>20.0</v>
      </c>
    </row>
    <row r="435">
      <c r="A435" s="47">
        <v>9.003579008201E12</v>
      </c>
      <c r="C435" s="47" t="s">
        <v>681</v>
      </c>
      <c r="D435" s="47" t="s">
        <v>53</v>
      </c>
      <c r="E435" s="47" t="s">
        <v>279</v>
      </c>
      <c r="F435" s="30">
        <v>750.0</v>
      </c>
      <c r="G435" s="30">
        <v>750.0</v>
      </c>
      <c r="H435" s="30">
        <v>25.0</v>
      </c>
      <c r="I435" s="47" t="s">
        <v>889</v>
      </c>
      <c r="J435" s="48">
        <v>46062.54788194445</v>
      </c>
      <c r="K435" s="49" t="s">
        <v>1444</v>
      </c>
      <c r="L435" s="30">
        <v>1.3742809E7</v>
      </c>
      <c r="M435" s="47">
        <v>9.003579008201E12</v>
      </c>
      <c r="N435" s="30">
        <v>3.1010796E7</v>
      </c>
      <c r="O435" s="30">
        <v>16.0</v>
      </c>
      <c r="P435" s="30">
        <v>517.0</v>
      </c>
      <c r="Q435" s="30">
        <v>516.9</v>
      </c>
      <c r="R435" s="30">
        <v>570.0</v>
      </c>
      <c r="S435" s="47" t="b">
        <v>1</v>
      </c>
      <c r="T435" s="47" t="s">
        <v>891</v>
      </c>
      <c r="U435" s="30">
        <v>12.5</v>
      </c>
    </row>
    <row r="436">
      <c r="A436" s="47">
        <v>9.003579001646E12</v>
      </c>
      <c r="C436" s="47" t="s">
        <v>682</v>
      </c>
      <c r="D436" s="47" t="s">
        <v>53</v>
      </c>
      <c r="E436" s="47" t="s">
        <v>279</v>
      </c>
      <c r="F436" s="30">
        <v>750.0</v>
      </c>
      <c r="G436" s="30">
        <v>750.0</v>
      </c>
      <c r="H436" s="30">
        <v>4.0</v>
      </c>
      <c r="I436" s="47" t="s">
        <v>889</v>
      </c>
      <c r="J436" s="48">
        <v>46064.99596064815</v>
      </c>
      <c r="K436" s="49" t="s">
        <v>1445</v>
      </c>
      <c r="L436" s="30">
        <v>4.9771021E7</v>
      </c>
      <c r="M436" s="47">
        <v>9.003579001646E12</v>
      </c>
      <c r="N436" s="30">
        <v>8.8245528E7</v>
      </c>
      <c r="O436" s="30">
        <v>8.0</v>
      </c>
      <c r="P436" s="30">
        <v>658.0</v>
      </c>
      <c r="Q436" s="30">
        <v>652.0</v>
      </c>
      <c r="R436" s="30">
        <v>657.0</v>
      </c>
      <c r="S436" s="47" t="b">
        <v>1</v>
      </c>
      <c r="T436" s="47" t="s">
        <v>891</v>
      </c>
      <c r="U436" s="30">
        <v>12.5</v>
      </c>
    </row>
    <row r="437">
      <c r="A437" s="47">
        <v>3.182550782203E12</v>
      </c>
      <c r="C437" s="47" t="s">
        <v>683</v>
      </c>
      <c r="D437" s="47" t="s">
        <v>53</v>
      </c>
      <c r="E437" s="47" t="s">
        <v>59</v>
      </c>
      <c r="F437" s="30">
        <v>0.0</v>
      </c>
      <c r="G437" s="30">
        <v>0.0</v>
      </c>
      <c r="H437" s="30">
        <v>0.0</v>
      </c>
      <c r="I437" s="47" t="s">
        <v>899</v>
      </c>
      <c r="J437" s="48">
        <v>46161.63481481482</v>
      </c>
      <c r="K437" s="49" t="s">
        <v>1446</v>
      </c>
      <c r="L437" s="30">
        <v>9.70648132E8</v>
      </c>
      <c r="M437" s="47" t="s">
        <v>1447</v>
      </c>
      <c r="N437" s="30">
        <v>1.372473428E9</v>
      </c>
      <c r="O437" s="30"/>
      <c r="P437" s="30"/>
      <c r="Q437" s="30"/>
      <c r="R437" s="30"/>
      <c r="S437" s="47"/>
      <c r="T437" s="47" t="s">
        <v>901</v>
      </c>
      <c r="U437" s="30">
        <v>12.5</v>
      </c>
    </row>
    <row r="438">
      <c r="A438" s="47">
        <v>3.182550894128E12</v>
      </c>
      <c r="C438" s="47" t="s">
        <v>684</v>
      </c>
      <c r="D438" s="47" t="s">
        <v>53</v>
      </c>
      <c r="E438" s="47" t="s">
        <v>59</v>
      </c>
      <c r="F438" s="30">
        <v>1799.0</v>
      </c>
      <c r="G438" s="30">
        <v>1799.0</v>
      </c>
      <c r="H438" s="30">
        <v>50.0</v>
      </c>
      <c r="I438" s="47" t="s">
        <v>889</v>
      </c>
      <c r="J438" s="48">
        <v>46161.63481481482</v>
      </c>
      <c r="K438" s="49" t="s">
        <v>1448</v>
      </c>
      <c r="L438" s="30">
        <v>3.2793465E7</v>
      </c>
      <c r="M438" s="47" t="s">
        <v>779</v>
      </c>
      <c r="N438" s="30">
        <v>5.9054267E7</v>
      </c>
      <c r="O438" s="30">
        <v>5.0</v>
      </c>
      <c r="P438" s="30">
        <v>1623.0</v>
      </c>
      <c r="Q438" s="30">
        <v>1750.0</v>
      </c>
      <c r="R438" s="30">
        <v>1765.92</v>
      </c>
      <c r="S438" s="47" t="b">
        <v>1</v>
      </c>
      <c r="T438" s="47" t="s">
        <v>891</v>
      </c>
      <c r="U438" s="30">
        <v>12.5</v>
      </c>
    </row>
    <row r="439">
      <c r="A439" s="47">
        <v>3.182550727822E12</v>
      </c>
      <c r="C439" s="47" t="s">
        <v>685</v>
      </c>
      <c r="D439" s="47" t="s">
        <v>53</v>
      </c>
      <c r="E439" s="47" t="s">
        <v>59</v>
      </c>
      <c r="F439" s="30">
        <v>0.0</v>
      </c>
      <c r="G439" s="30">
        <v>0.0</v>
      </c>
      <c r="H439" s="30">
        <v>0.0</v>
      </c>
      <c r="I439" s="47" t="s">
        <v>899</v>
      </c>
      <c r="J439" s="48">
        <v>46161.63481481482</v>
      </c>
      <c r="K439" s="49" t="s">
        <v>1449</v>
      </c>
      <c r="L439" s="30">
        <v>1914360.0</v>
      </c>
      <c r="M439" s="47">
        <v>3.182550727822E12</v>
      </c>
      <c r="N439" s="30">
        <v>1.1707233E7</v>
      </c>
      <c r="O439" s="30"/>
      <c r="P439" s="30"/>
      <c r="Q439" s="30"/>
      <c r="R439" s="30"/>
      <c r="S439" s="47"/>
      <c r="T439" s="47" t="s">
        <v>901</v>
      </c>
      <c r="U439" s="30">
        <v>12.5</v>
      </c>
    </row>
    <row r="440">
      <c r="A440" s="47">
        <v>3.182550793032E12</v>
      </c>
      <c r="C440" s="47" t="s">
        <v>686</v>
      </c>
      <c r="D440" s="47" t="s">
        <v>53</v>
      </c>
      <c r="E440" s="47" t="s">
        <v>59</v>
      </c>
      <c r="F440" s="30">
        <v>0.0</v>
      </c>
      <c r="G440" s="30">
        <v>0.0</v>
      </c>
      <c r="H440" s="30">
        <v>0.0</v>
      </c>
      <c r="I440" s="47" t="s">
        <v>899</v>
      </c>
      <c r="J440" s="48">
        <v>46161.63481481482</v>
      </c>
      <c r="K440" s="49" t="s">
        <v>1450</v>
      </c>
      <c r="L440" s="30">
        <v>750126.0</v>
      </c>
      <c r="M440" s="47" t="s">
        <v>1451</v>
      </c>
      <c r="N440" s="30">
        <v>1.0005637E7</v>
      </c>
      <c r="O440" s="30"/>
      <c r="P440" s="30"/>
      <c r="Q440" s="30"/>
      <c r="R440" s="30"/>
      <c r="S440" s="47"/>
      <c r="T440" s="47" t="s">
        <v>901</v>
      </c>
      <c r="U440" s="30">
        <v>12.5</v>
      </c>
    </row>
    <row r="441">
      <c r="A441" s="47">
        <v>3.182550716888E12</v>
      </c>
      <c r="B441" s="47"/>
      <c r="C441" s="47" t="s">
        <v>687</v>
      </c>
      <c r="D441" s="47" t="s">
        <v>53</v>
      </c>
      <c r="E441" s="47" t="s">
        <v>59</v>
      </c>
      <c r="F441" s="30">
        <v>3100.0</v>
      </c>
      <c r="G441" s="30">
        <v>3100.0</v>
      </c>
      <c r="H441" s="30">
        <v>10.0</v>
      </c>
      <c r="I441" s="47" t="s">
        <v>889</v>
      </c>
      <c r="J441" s="48">
        <v>46161.63481481482</v>
      </c>
      <c r="K441" s="49" t="s">
        <v>1452</v>
      </c>
      <c r="L441" s="30">
        <v>1.096025701E9</v>
      </c>
      <c r="M441" s="47" t="s">
        <v>787</v>
      </c>
      <c r="N441" s="30">
        <v>1.520619809E9</v>
      </c>
      <c r="O441" s="30">
        <v>7.0</v>
      </c>
      <c r="P441" s="30">
        <v>2650.0</v>
      </c>
      <c r="Q441" s="30">
        <v>2647.0</v>
      </c>
      <c r="R441" s="30">
        <v>2742.27</v>
      </c>
      <c r="S441" s="47" t="b">
        <v>1</v>
      </c>
      <c r="T441" s="47" t="s">
        <v>891</v>
      </c>
      <c r="U441" s="30">
        <v>12.5</v>
      </c>
    </row>
    <row r="442">
      <c r="A442" s="47">
        <v>3.18255090845E12</v>
      </c>
      <c r="B442" s="47"/>
      <c r="C442" s="47" t="s">
        <v>688</v>
      </c>
      <c r="D442" s="47" t="s">
        <v>53</v>
      </c>
      <c r="E442" s="47" t="s">
        <v>59</v>
      </c>
      <c r="F442" s="30">
        <v>0.0</v>
      </c>
      <c r="G442" s="30">
        <v>0.0</v>
      </c>
      <c r="H442" s="30">
        <v>0.0</v>
      </c>
      <c r="I442" s="47" t="s">
        <v>899</v>
      </c>
      <c r="J442" s="48">
        <v>46161.63481481482</v>
      </c>
      <c r="K442" s="49" t="s">
        <v>1453</v>
      </c>
      <c r="L442" s="30">
        <v>5.764858E7</v>
      </c>
      <c r="M442" s="47">
        <v>3.18255090845E12</v>
      </c>
      <c r="N442" s="30">
        <v>1.02313227E8</v>
      </c>
      <c r="O442" s="30"/>
      <c r="P442" s="30"/>
      <c r="S442" s="47"/>
      <c r="T442" s="47" t="s">
        <v>901</v>
      </c>
      <c r="U442" s="30">
        <v>12.5</v>
      </c>
    </row>
    <row r="443">
      <c r="A443" s="47">
        <v>9.874745679541E12</v>
      </c>
      <c r="B443" s="47"/>
      <c r="C443" s="47" t="s">
        <v>689</v>
      </c>
      <c r="D443" s="47" t="s">
        <v>53</v>
      </c>
      <c r="E443" s="47" t="s">
        <v>72</v>
      </c>
      <c r="F443" s="30">
        <v>0.0</v>
      </c>
      <c r="G443" s="30">
        <v>0.0</v>
      </c>
      <c r="H443" s="30">
        <v>0.0</v>
      </c>
      <c r="I443" s="47" t="s">
        <v>899</v>
      </c>
      <c r="J443" s="48">
        <v>46164.63303240741</v>
      </c>
      <c r="K443" s="49" t="s">
        <v>1454</v>
      </c>
      <c r="L443" s="30">
        <v>9.72775638E8</v>
      </c>
      <c r="M443" s="47" t="s">
        <v>1455</v>
      </c>
      <c r="N443" s="30">
        <v>1.375274109E9</v>
      </c>
      <c r="O443" s="30"/>
      <c r="P443" s="30"/>
      <c r="S443" s="47"/>
      <c r="T443" s="47" t="s">
        <v>901</v>
      </c>
      <c r="U443" s="30">
        <v>12.5</v>
      </c>
    </row>
    <row r="444">
      <c r="A444" s="47">
        <v>3.182550737616E12</v>
      </c>
      <c r="B444" s="47"/>
      <c r="C444" s="47" t="s">
        <v>690</v>
      </c>
      <c r="D444" s="47" t="s">
        <v>53</v>
      </c>
      <c r="E444" s="47" t="s">
        <v>72</v>
      </c>
      <c r="F444" s="30">
        <v>0.0</v>
      </c>
      <c r="G444" s="30">
        <v>0.0</v>
      </c>
      <c r="H444" s="30">
        <v>0.0</v>
      </c>
      <c r="I444" s="47" t="s">
        <v>899</v>
      </c>
      <c r="J444" s="48">
        <v>46164.63303240741</v>
      </c>
      <c r="K444" s="49" t="s">
        <v>1456</v>
      </c>
      <c r="L444" s="30">
        <v>750115.0</v>
      </c>
      <c r="M444" s="47" t="s">
        <v>1457</v>
      </c>
      <c r="N444" s="30">
        <v>1.0005634E7</v>
      </c>
      <c r="O444" s="30"/>
      <c r="P444" s="30"/>
      <c r="Q444" s="30"/>
      <c r="R444" s="30"/>
      <c r="S444" s="47"/>
      <c r="T444" s="47" t="s">
        <v>901</v>
      </c>
      <c r="U444" s="30">
        <v>12.5</v>
      </c>
    </row>
    <row r="445">
      <c r="A445" s="47">
        <v>3.182550702447E12</v>
      </c>
      <c r="B445" s="47"/>
      <c r="C445" s="47" t="s">
        <v>691</v>
      </c>
      <c r="D445" s="47" t="s">
        <v>53</v>
      </c>
      <c r="E445" s="47" t="s">
        <v>72</v>
      </c>
      <c r="F445" s="30">
        <v>0.0</v>
      </c>
      <c r="G445" s="30">
        <v>0.0</v>
      </c>
      <c r="H445" s="30">
        <v>0.0</v>
      </c>
      <c r="I445" s="47" t="s">
        <v>899</v>
      </c>
      <c r="J445" s="48">
        <v>46164.63303240741</v>
      </c>
      <c r="K445" s="49" t="s">
        <v>1458</v>
      </c>
      <c r="L445" s="30">
        <v>1224010.0</v>
      </c>
      <c r="M445" s="47">
        <v>390092.0</v>
      </c>
      <c r="N445" s="30">
        <v>1.0735441E7</v>
      </c>
      <c r="O445" s="30"/>
      <c r="P445" s="30"/>
      <c r="Q445" s="30"/>
      <c r="R445" s="30"/>
      <c r="S445" s="47"/>
      <c r="T445" s="47" t="s">
        <v>901</v>
      </c>
      <c r="U445" s="30">
        <v>12.5</v>
      </c>
    </row>
    <row r="446">
      <c r="A446" s="47">
        <v>3.182550702423E12</v>
      </c>
      <c r="C446" s="47" t="s">
        <v>692</v>
      </c>
      <c r="D446" s="47" t="s">
        <v>53</v>
      </c>
      <c r="E446" s="47" t="s">
        <v>72</v>
      </c>
      <c r="F446" s="30">
        <v>0.0</v>
      </c>
      <c r="G446" s="30">
        <v>0.0</v>
      </c>
      <c r="H446" s="30">
        <v>0.0</v>
      </c>
      <c r="I446" s="47" t="s">
        <v>899</v>
      </c>
      <c r="J446" s="48">
        <v>46164.63303240741</v>
      </c>
      <c r="K446" s="49" t="s">
        <v>1459</v>
      </c>
      <c r="L446" s="30">
        <v>750104.0</v>
      </c>
      <c r="M446" s="47" t="s">
        <v>1460</v>
      </c>
      <c r="N446" s="30">
        <v>1.0005615E7</v>
      </c>
      <c r="O446" s="30"/>
      <c r="P446" s="30"/>
      <c r="Q446" s="30"/>
      <c r="R446" s="30"/>
      <c r="S446" s="47"/>
      <c r="T446" s="47" t="s">
        <v>901</v>
      </c>
      <c r="U446" s="30">
        <v>12.5</v>
      </c>
    </row>
    <row r="447">
      <c r="A447" s="47">
        <v>3.182550707329E12</v>
      </c>
      <c r="C447" s="47" t="s">
        <v>693</v>
      </c>
      <c r="D447" s="47" t="s">
        <v>53</v>
      </c>
      <c r="E447" s="47" t="s">
        <v>72</v>
      </c>
      <c r="F447" s="30">
        <v>0.0</v>
      </c>
      <c r="G447" s="30">
        <v>0.0</v>
      </c>
      <c r="H447" s="30">
        <v>0.0</v>
      </c>
      <c r="I447" s="47" t="s">
        <v>899</v>
      </c>
      <c r="J447" s="48">
        <v>46164.63303240741</v>
      </c>
      <c r="K447" s="49" t="s">
        <v>1461</v>
      </c>
      <c r="L447" s="30">
        <v>750118.0</v>
      </c>
      <c r="M447" s="47" t="s">
        <v>1462</v>
      </c>
      <c r="N447" s="30">
        <v>1.0005612E7</v>
      </c>
      <c r="O447" s="30"/>
      <c r="P447" s="30"/>
      <c r="Q447" s="30"/>
      <c r="R447" s="30"/>
      <c r="S447" s="47"/>
      <c r="T447" s="47" t="s">
        <v>901</v>
      </c>
      <c r="U447" s="30">
        <v>12.5</v>
      </c>
    </row>
    <row r="448">
      <c r="A448" s="47">
        <v>3.182550737593E12</v>
      </c>
      <c r="C448" s="47" t="s">
        <v>694</v>
      </c>
      <c r="D448" s="47" t="s">
        <v>53</v>
      </c>
      <c r="E448" s="47" t="s">
        <v>72</v>
      </c>
      <c r="F448" s="30">
        <v>0.0</v>
      </c>
      <c r="G448" s="30">
        <v>0.0</v>
      </c>
      <c r="H448" s="30">
        <v>0.0</v>
      </c>
      <c r="I448" s="47" t="s">
        <v>899</v>
      </c>
      <c r="J448" s="48">
        <v>46164.63303240741</v>
      </c>
      <c r="K448" s="49" t="s">
        <v>1463</v>
      </c>
      <c r="L448" s="30">
        <v>750114.0</v>
      </c>
      <c r="M448" s="47" t="s">
        <v>1464</v>
      </c>
      <c r="N448" s="30">
        <v>1.0005633E7</v>
      </c>
      <c r="O448" s="30"/>
      <c r="P448" s="30"/>
      <c r="Q448" s="30"/>
      <c r="R448" s="30"/>
      <c r="S448" s="47"/>
      <c r="T448" s="47" t="s">
        <v>901</v>
      </c>
      <c r="U448" s="30">
        <v>12.5</v>
      </c>
    </row>
    <row r="449">
      <c r="A449" s="47">
        <v>3.182550737591E12</v>
      </c>
      <c r="C449" s="47" t="s">
        <v>694</v>
      </c>
      <c r="D449" s="47" t="s">
        <v>53</v>
      </c>
      <c r="E449" s="47" t="s">
        <v>72</v>
      </c>
      <c r="F449" s="30">
        <v>0.0</v>
      </c>
      <c r="G449" s="30">
        <v>0.0</v>
      </c>
      <c r="H449" s="30">
        <v>0.0</v>
      </c>
      <c r="I449" s="47" t="s">
        <v>899</v>
      </c>
      <c r="J449" s="48">
        <v>46164.63303240741</v>
      </c>
      <c r="K449" s="49" t="s">
        <v>1463</v>
      </c>
      <c r="L449" s="30">
        <v>750114.0</v>
      </c>
      <c r="M449" s="47" t="s">
        <v>1464</v>
      </c>
      <c r="N449" s="30">
        <v>1.0005633E7</v>
      </c>
      <c r="O449" s="30"/>
      <c r="P449" s="30"/>
      <c r="Q449" s="30"/>
      <c r="R449" s="30"/>
      <c r="S449" s="47"/>
      <c r="T449" s="47" t="s">
        <v>901</v>
      </c>
      <c r="U449" s="30">
        <v>12.5</v>
      </c>
    </row>
    <row r="450">
      <c r="A450" s="47">
        <v>3.182550702331E12</v>
      </c>
      <c r="C450" s="47" t="s">
        <v>695</v>
      </c>
      <c r="D450" s="47" t="s">
        <v>53</v>
      </c>
      <c r="E450" s="47" t="s">
        <v>72</v>
      </c>
      <c r="F450" s="30">
        <v>0.0</v>
      </c>
      <c r="G450" s="30">
        <v>0.0</v>
      </c>
      <c r="H450" s="30">
        <v>0.0</v>
      </c>
      <c r="I450" s="47" t="s">
        <v>899</v>
      </c>
      <c r="J450" s="48">
        <v>46164.63303240741</v>
      </c>
      <c r="K450" s="49" t="s">
        <v>1465</v>
      </c>
      <c r="L450" s="30">
        <v>750103.0</v>
      </c>
      <c r="M450" s="47" t="s">
        <v>1466</v>
      </c>
      <c r="N450" s="30">
        <v>1.0005618E7</v>
      </c>
      <c r="O450" s="30"/>
      <c r="P450" s="30"/>
      <c r="Q450" s="30"/>
      <c r="R450" s="30"/>
      <c r="S450" s="47"/>
      <c r="T450" s="47" t="s">
        <v>901</v>
      </c>
      <c r="U450" s="30">
        <v>12.5</v>
      </c>
    </row>
    <row r="451">
      <c r="A451" s="47">
        <v>3.182550777308E12</v>
      </c>
      <c r="C451" s="47" t="s">
        <v>696</v>
      </c>
      <c r="D451" s="47" t="s">
        <v>53</v>
      </c>
      <c r="E451" s="47" t="s">
        <v>72</v>
      </c>
      <c r="F451" s="30">
        <v>0.0</v>
      </c>
      <c r="G451" s="30">
        <v>0.0</v>
      </c>
      <c r="H451" s="30">
        <v>0.0</v>
      </c>
      <c r="I451" s="47" t="s">
        <v>899</v>
      </c>
      <c r="J451" s="48">
        <v>46164.63303240741</v>
      </c>
      <c r="K451" s="49" t="s">
        <v>1467</v>
      </c>
      <c r="L451" s="30">
        <v>750116.0</v>
      </c>
      <c r="M451" s="47" t="s">
        <v>1468</v>
      </c>
      <c r="N451" s="30">
        <v>1.0005635E7</v>
      </c>
      <c r="O451" s="30"/>
      <c r="P451" s="30"/>
      <c r="Q451" s="30"/>
      <c r="R451" s="30"/>
      <c r="S451" s="47"/>
      <c r="T451" s="47" t="s">
        <v>901</v>
      </c>
      <c r="U451" s="30">
        <v>12.5</v>
      </c>
    </row>
    <row r="452">
      <c r="A452" s="47">
        <v>3.182550702317E12</v>
      </c>
      <c r="C452" s="47" t="s">
        <v>697</v>
      </c>
      <c r="D452" s="47" t="s">
        <v>53</v>
      </c>
      <c r="E452" s="47" t="s">
        <v>72</v>
      </c>
      <c r="F452" s="30">
        <v>0.0</v>
      </c>
      <c r="G452" s="30">
        <v>0.0</v>
      </c>
      <c r="H452" s="30">
        <v>0.0</v>
      </c>
      <c r="I452" s="47" t="s">
        <v>899</v>
      </c>
      <c r="J452" s="48">
        <v>46164.63303240741</v>
      </c>
      <c r="K452" s="49" t="s">
        <v>1469</v>
      </c>
      <c r="L452" s="30">
        <v>750102.0</v>
      </c>
      <c r="M452" s="47" t="s">
        <v>1470</v>
      </c>
      <c r="N452" s="30">
        <v>1.0005617E7</v>
      </c>
      <c r="O452" s="30"/>
      <c r="P452" s="30"/>
      <c r="Q452" s="30"/>
      <c r="R452" s="30"/>
      <c r="S452" s="47"/>
      <c r="T452" s="47" t="s">
        <v>901</v>
      </c>
      <c r="U452" s="30">
        <v>12.5</v>
      </c>
    </row>
    <row r="453">
      <c r="A453" s="47">
        <v>3.182550702973E12</v>
      </c>
      <c r="C453" s="47" t="s">
        <v>698</v>
      </c>
      <c r="D453" s="47" t="s">
        <v>53</v>
      </c>
      <c r="E453" s="47" t="s">
        <v>72</v>
      </c>
      <c r="F453" s="30">
        <v>0.0</v>
      </c>
      <c r="G453" s="30">
        <v>0.0</v>
      </c>
      <c r="H453" s="30">
        <v>0.0</v>
      </c>
      <c r="I453" s="47" t="s">
        <v>899</v>
      </c>
      <c r="J453" s="48">
        <v>46164.63303240741</v>
      </c>
      <c r="K453" s="49" t="s">
        <v>1471</v>
      </c>
      <c r="L453" s="30">
        <v>750105.0</v>
      </c>
      <c r="M453" s="47" t="s">
        <v>1472</v>
      </c>
      <c r="N453" s="30">
        <v>1.0005614E7</v>
      </c>
      <c r="O453" s="30"/>
      <c r="P453" s="30"/>
      <c r="Q453" s="30"/>
      <c r="R453" s="30"/>
      <c r="S453" s="47"/>
      <c r="T453" s="47" t="s">
        <v>901</v>
      </c>
      <c r="U453" s="30">
        <v>12.5</v>
      </c>
    </row>
    <row r="454">
      <c r="A454" s="47">
        <v>3.182550702201E12</v>
      </c>
      <c r="C454" s="47" t="s">
        <v>699</v>
      </c>
      <c r="D454" s="47" t="s">
        <v>53</v>
      </c>
      <c r="E454" s="47" t="s">
        <v>72</v>
      </c>
      <c r="F454" s="30">
        <v>0.0</v>
      </c>
      <c r="G454" s="30">
        <v>0.0</v>
      </c>
      <c r="H454" s="30">
        <v>0.0</v>
      </c>
      <c r="I454" s="47" t="s">
        <v>899</v>
      </c>
      <c r="J454" s="48">
        <v>46164.63303240741</v>
      </c>
      <c r="K454" s="49" t="s">
        <v>1473</v>
      </c>
      <c r="L454" s="30">
        <v>750100.0</v>
      </c>
      <c r="M454" s="47" t="s">
        <v>1474</v>
      </c>
      <c r="N454" s="30">
        <v>1.0005625E7</v>
      </c>
      <c r="O454" s="30"/>
      <c r="P454" s="30"/>
      <c r="Q454" s="30"/>
      <c r="R454" s="30"/>
      <c r="S454" s="47"/>
      <c r="T454" s="47" t="s">
        <v>901</v>
      </c>
      <c r="U454" s="30">
        <v>12.5</v>
      </c>
    </row>
    <row r="455">
      <c r="A455" s="47">
        <v>3.18255075644E12</v>
      </c>
      <c r="C455" s="47" t="s">
        <v>700</v>
      </c>
      <c r="D455" s="47" t="s">
        <v>53</v>
      </c>
      <c r="E455" s="47" t="s">
        <v>72</v>
      </c>
      <c r="F455" s="30">
        <v>0.0</v>
      </c>
      <c r="G455" s="30">
        <v>0.0</v>
      </c>
      <c r="H455" s="30">
        <v>0.0</v>
      </c>
      <c r="I455" s="47" t="s">
        <v>899</v>
      </c>
      <c r="J455" s="48">
        <v>46164.63303240741</v>
      </c>
      <c r="K455" s="49" t="s">
        <v>1475</v>
      </c>
      <c r="L455" s="30">
        <v>925660.0</v>
      </c>
      <c r="M455" s="47" t="s">
        <v>1476</v>
      </c>
      <c r="N455" s="30">
        <v>1.0258202E7</v>
      </c>
      <c r="O455" s="30"/>
      <c r="P455" s="30"/>
      <c r="Q455" s="30"/>
      <c r="R455" s="30"/>
      <c r="S455" s="47"/>
      <c r="T455" s="47" t="s">
        <v>901</v>
      </c>
      <c r="U455" s="30">
        <v>12.5</v>
      </c>
    </row>
    <row r="456">
      <c r="A456" s="47">
        <v>3.182550816533E12</v>
      </c>
      <c r="C456" s="47" t="s">
        <v>701</v>
      </c>
      <c r="D456" s="47" t="s">
        <v>53</v>
      </c>
      <c r="E456" s="47" t="s">
        <v>72</v>
      </c>
      <c r="F456" s="30">
        <v>0.0</v>
      </c>
      <c r="G456" s="30">
        <v>0.0</v>
      </c>
      <c r="H456" s="30">
        <v>0.0</v>
      </c>
      <c r="I456" s="47" t="s">
        <v>899</v>
      </c>
      <c r="J456" s="48">
        <v>46164.63303240741</v>
      </c>
      <c r="K456" s="49" t="s">
        <v>1477</v>
      </c>
      <c r="L456" s="30">
        <v>6.69190407E8</v>
      </c>
      <c r="M456" s="47" t="s">
        <v>1478</v>
      </c>
      <c r="N456" s="30">
        <v>8.8503462E8</v>
      </c>
      <c r="O456" s="30"/>
      <c r="P456" s="30"/>
      <c r="Q456" s="30"/>
      <c r="R456" s="30"/>
      <c r="S456" s="47"/>
      <c r="T456" s="47" t="s">
        <v>901</v>
      </c>
      <c r="U456" s="30">
        <v>12.5</v>
      </c>
    </row>
    <row r="457">
      <c r="A457" s="47">
        <v>3.182550702379E12</v>
      </c>
      <c r="C457" s="47" t="s">
        <v>702</v>
      </c>
      <c r="D457" s="47" t="s">
        <v>53</v>
      </c>
      <c r="E457" s="47" t="s">
        <v>72</v>
      </c>
      <c r="F457" s="30">
        <v>0.0</v>
      </c>
      <c r="G457" s="30">
        <v>0.0</v>
      </c>
      <c r="H457" s="30">
        <v>0.0</v>
      </c>
      <c r="I457" s="47" t="s">
        <v>899</v>
      </c>
      <c r="J457" s="48">
        <v>46164.63303240741</v>
      </c>
      <c r="K457" s="49" t="s">
        <v>1479</v>
      </c>
      <c r="L457" s="30">
        <v>1914300.0</v>
      </c>
      <c r="M457" s="47">
        <v>3.182550702379E12</v>
      </c>
      <c r="N457" s="30">
        <v>1.170723E7</v>
      </c>
      <c r="O457" s="30"/>
      <c r="P457" s="30"/>
      <c r="Q457" s="30"/>
      <c r="R457" s="30"/>
      <c r="S457" s="47"/>
      <c r="T457" s="47" t="s">
        <v>901</v>
      </c>
      <c r="U457" s="30">
        <v>12.5</v>
      </c>
    </row>
    <row r="458">
      <c r="A458" s="47">
        <v>3.182550702225E12</v>
      </c>
      <c r="C458" s="47" t="s">
        <v>703</v>
      </c>
      <c r="D458" s="47" t="s">
        <v>53</v>
      </c>
      <c r="E458" s="47" t="s">
        <v>72</v>
      </c>
      <c r="F458" s="30">
        <v>0.0</v>
      </c>
      <c r="G458" s="30">
        <v>0.0</v>
      </c>
      <c r="H458" s="30">
        <v>0.0</v>
      </c>
      <c r="I458" s="47" t="s">
        <v>899</v>
      </c>
      <c r="J458" s="48">
        <v>46164.63303240741</v>
      </c>
      <c r="K458" s="49" t="s">
        <v>1480</v>
      </c>
      <c r="L458" s="30">
        <v>1.057453773E9</v>
      </c>
      <c r="M458" s="47" t="s">
        <v>1481</v>
      </c>
      <c r="N458" s="30">
        <v>1.462807945E9</v>
      </c>
      <c r="O458" s="30"/>
      <c r="P458" s="30"/>
      <c r="Q458" s="30"/>
      <c r="R458" s="30"/>
      <c r="S458" s="47"/>
      <c r="T458" s="47" t="s">
        <v>901</v>
      </c>
      <c r="U458" s="30">
        <v>12.5</v>
      </c>
    </row>
    <row r="459">
      <c r="A459" s="47">
        <v>3.182550702157E12</v>
      </c>
      <c r="C459" s="47" t="s">
        <v>704</v>
      </c>
      <c r="D459" s="47" t="s">
        <v>53</v>
      </c>
      <c r="E459" s="47" t="s">
        <v>72</v>
      </c>
      <c r="F459" s="30">
        <v>0.0</v>
      </c>
      <c r="G459" s="30">
        <v>0.0</v>
      </c>
      <c r="H459" s="30">
        <v>0.0</v>
      </c>
      <c r="I459" s="47" t="s">
        <v>899</v>
      </c>
      <c r="J459" s="48">
        <v>46164.63303240741</v>
      </c>
      <c r="K459" s="49" t="s">
        <v>1482</v>
      </c>
      <c r="L459" s="30">
        <v>1196754.0</v>
      </c>
      <c r="M459" s="47">
        <v>390064.0</v>
      </c>
      <c r="N459" s="30">
        <v>1.068675E7</v>
      </c>
      <c r="O459" s="30"/>
      <c r="P459" s="30"/>
      <c r="Q459" s="30"/>
      <c r="R459" s="30"/>
      <c r="S459" s="47"/>
      <c r="T459" s="47" t="s">
        <v>901</v>
      </c>
      <c r="U459" s="30">
        <v>12.5</v>
      </c>
    </row>
    <row r="460">
      <c r="A460" s="47">
        <v>3.182550702263E12</v>
      </c>
      <c r="C460" s="47" t="s">
        <v>705</v>
      </c>
      <c r="D460" s="47" t="s">
        <v>53</v>
      </c>
      <c r="E460" s="47" t="s">
        <v>72</v>
      </c>
      <c r="F460" s="30">
        <v>0.0</v>
      </c>
      <c r="G460" s="30">
        <v>0.0</v>
      </c>
      <c r="H460" s="30">
        <v>0.0</v>
      </c>
      <c r="I460" s="47" t="s">
        <v>899</v>
      </c>
      <c r="J460" s="48">
        <v>46164.63303240741</v>
      </c>
      <c r="K460" s="49" t="s">
        <v>1483</v>
      </c>
      <c r="L460" s="30">
        <v>1199053.0</v>
      </c>
      <c r="M460" s="47">
        <v>390102.0</v>
      </c>
      <c r="N460" s="30">
        <v>1.0685409E7</v>
      </c>
      <c r="O460" s="30"/>
      <c r="P460" s="30"/>
      <c r="Q460" s="30"/>
      <c r="R460" s="30"/>
      <c r="S460" s="47"/>
      <c r="T460" s="47" t="s">
        <v>901</v>
      </c>
      <c r="U460" s="30">
        <v>12.5</v>
      </c>
    </row>
    <row r="461">
      <c r="A461" s="47">
        <v>5.6372941258E10</v>
      </c>
      <c r="C461" s="47" t="s">
        <v>706</v>
      </c>
      <c r="D461" s="47" t="s">
        <v>53</v>
      </c>
      <c r="E461" s="47" t="s">
        <v>72</v>
      </c>
      <c r="F461" s="30">
        <v>0.0</v>
      </c>
      <c r="G461" s="30">
        <v>0.0</v>
      </c>
      <c r="H461" s="30">
        <v>0.0</v>
      </c>
      <c r="I461" s="47" t="s">
        <v>899</v>
      </c>
      <c r="J461" s="48">
        <v>46164.63303240741</v>
      </c>
      <c r="K461" s="49" t="s">
        <v>1484</v>
      </c>
      <c r="L461" s="30">
        <v>9.38940939E8</v>
      </c>
      <c r="M461" s="47" t="s">
        <v>1485</v>
      </c>
      <c r="N461" s="30">
        <v>1.328707021E9</v>
      </c>
      <c r="O461" s="30"/>
      <c r="P461" s="30"/>
      <c r="Q461" s="30"/>
      <c r="R461" s="30"/>
      <c r="S461" s="47"/>
      <c r="T461" s="47" t="s">
        <v>901</v>
      </c>
      <c r="U461" s="30">
        <v>12.5</v>
      </c>
    </row>
    <row r="462">
      <c r="A462" s="47">
        <v>8.698524521457E12</v>
      </c>
      <c r="C462" s="47" t="s">
        <v>707</v>
      </c>
      <c r="D462" s="47" t="s">
        <v>53</v>
      </c>
      <c r="E462" s="47" t="s">
        <v>72</v>
      </c>
      <c r="F462" s="30">
        <v>0.0</v>
      </c>
      <c r="G462" s="30">
        <v>0.0</v>
      </c>
      <c r="H462" s="30">
        <v>0.0</v>
      </c>
      <c r="I462" s="47" t="s">
        <v>899</v>
      </c>
      <c r="J462" s="48">
        <v>46164.63303240741</v>
      </c>
      <c r="K462" s="49" t="s">
        <v>1486</v>
      </c>
      <c r="L462" s="30">
        <v>5.5518274E7</v>
      </c>
      <c r="M462" s="47" t="s">
        <v>1487</v>
      </c>
      <c r="N462" s="30">
        <v>9.8637436E7</v>
      </c>
      <c r="O462" s="30"/>
      <c r="P462" s="30"/>
      <c r="Q462" s="30"/>
      <c r="R462" s="30"/>
      <c r="S462" s="47"/>
      <c r="T462" s="47" t="s">
        <v>901</v>
      </c>
      <c r="U462" s="30">
        <v>12.5</v>
      </c>
    </row>
    <row r="463">
      <c r="A463" s="47">
        <v>7.613032816536E12</v>
      </c>
      <c r="C463" s="47" t="s">
        <v>708</v>
      </c>
      <c r="D463" s="47" t="s">
        <v>187</v>
      </c>
      <c r="E463" s="47" t="s">
        <v>52</v>
      </c>
      <c r="F463" s="30">
        <v>738.0</v>
      </c>
      <c r="G463" s="30">
        <v>738.0</v>
      </c>
      <c r="H463" s="30">
        <v>595.0</v>
      </c>
      <c r="I463" s="47" t="s">
        <v>889</v>
      </c>
      <c r="J463" s="48">
        <v>46062.66322916667</v>
      </c>
      <c r="K463" s="49" t="s">
        <v>1488</v>
      </c>
      <c r="L463" s="30">
        <v>9.4234022E7</v>
      </c>
      <c r="M463" s="47" t="s">
        <v>756</v>
      </c>
      <c r="N463" s="30">
        <v>1.57039788E8</v>
      </c>
      <c r="O463" s="30">
        <v>2.0</v>
      </c>
      <c r="P463" s="30">
        <v>746.27</v>
      </c>
      <c r="Q463" s="30">
        <v>738.0</v>
      </c>
      <c r="R463" s="30">
        <v>746.27</v>
      </c>
      <c r="S463" s="47" t="b">
        <v>1</v>
      </c>
      <c r="T463" s="47" t="s">
        <v>891</v>
      </c>
      <c r="U463" s="30">
        <v>13.5</v>
      </c>
    </row>
    <row r="464">
      <c r="A464" s="47">
        <v>7.613033566523E12</v>
      </c>
      <c r="C464" s="47" t="s">
        <v>709</v>
      </c>
      <c r="D464" s="47" t="s">
        <v>50</v>
      </c>
      <c r="E464" s="47" t="s">
        <v>72</v>
      </c>
      <c r="F464" s="30">
        <v>4499.0</v>
      </c>
      <c r="G464" s="30">
        <v>4499.0</v>
      </c>
      <c r="H464" s="30">
        <v>995.0</v>
      </c>
      <c r="I464" s="47" t="s">
        <v>889</v>
      </c>
      <c r="J464" s="48">
        <v>46063.16061342593</v>
      </c>
      <c r="K464" s="49" t="s">
        <v>1489</v>
      </c>
      <c r="L464" s="30">
        <v>749840.0</v>
      </c>
      <c r="M464" s="47" t="s">
        <v>754</v>
      </c>
      <c r="N464" s="30">
        <v>1.0004677E7</v>
      </c>
      <c r="O464" s="30">
        <v>34.0</v>
      </c>
      <c r="P464" s="30">
        <v>4000.0</v>
      </c>
      <c r="Q464" s="30">
        <v>4000.0</v>
      </c>
      <c r="R464" s="30">
        <v>4000.0</v>
      </c>
      <c r="S464" s="47" t="b">
        <v>1</v>
      </c>
      <c r="T464" s="47" t="s">
        <v>891</v>
      </c>
      <c r="U464" s="30">
        <v>12.5</v>
      </c>
    </row>
    <row r="465">
      <c r="A465" s="47">
        <v>7.613033560064E12</v>
      </c>
      <c r="C465" s="47" t="s">
        <v>710</v>
      </c>
      <c r="D465" s="47" t="s">
        <v>50</v>
      </c>
      <c r="E465" s="47" t="s">
        <v>72</v>
      </c>
      <c r="F465" s="30">
        <v>1530.0</v>
      </c>
      <c r="G465" s="30">
        <v>1530.0</v>
      </c>
      <c r="H465" s="30">
        <v>227.0</v>
      </c>
      <c r="I465" s="47" t="s">
        <v>889</v>
      </c>
      <c r="J465" s="48">
        <v>46063.07645833334</v>
      </c>
      <c r="K465" s="49" t="s">
        <v>1490</v>
      </c>
      <c r="L465" s="30">
        <v>749836.0</v>
      </c>
      <c r="M465" s="47" t="s">
        <v>751</v>
      </c>
      <c r="N465" s="30">
        <v>1.000468E7</v>
      </c>
      <c r="O465" s="30">
        <v>10.0</v>
      </c>
      <c r="P465" s="30">
        <v>1428.0</v>
      </c>
      <c r="Q465" s="30">
        <v>1425.0</v>
      </c>
      <c r="R465" s="30">
        <v>1450.0</v>
      </c>
      <c r="S465" s="47" t="b">
        <v>1</v>
      </c>
      <c r="T465" s="47" t="s">
        <v>891</v>
      </c>
      <c r="U465" s="30">
        <v>12.5</v>
      </c>
    </row>
  </sheetData>
  <autoFilter ref="$A$1:$S$465">
    <sortState ref="A1:S465">
      <sortCondition ref="D1:D465"/>
      <sortCondition ref="O1:O465"/>
    </sortState>
  </autoFilter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</hyperlinks>
  <drawing r:id="rId46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6.5"/>
    <col customWidth="1" min="3" max="3" width="10.25"/>
    <col customWidth="1" min="4" max="4" width="13.75"/>
    <col customWidth="1" min="5" max="5" width="10.25"/>
    <col customWidth="1" min="6" max="6" width="10.75"/>
    <col customWidth="1" min="7" max="7" width="8.38"/>
    <col customWidth="1" min="8" max="8" width="14.63"/>
    <col customWidth="1" min="9" max="9" width="12.25"/>
    <col customWidth="1" min="10" max="10" width="9.63"/>
    <col customWidth="1" min="11" max="11" width="10.88"/>
    <col customWidth="1" min="12" max="12" width="11.88"/>
    <col customWidth="1" min="13" max="13" width="10.75"/>
    <col customWidth="1" min="14" max="14" width="14.25"/>
    <col customWidth="1" min="15" max="17" width="12.63"/>
  </cols>
  <sheetData>
    <row r="1">
      <c r="A1" s="47" t="s">
        <v>1491</v>
      </c>
      <c r="B1" s="47" t="s">
        <v>1492</v>
      </c>
      <c r="C1" s="47" t="s">
        <v>1493</v>
      </c>
      <c r="D1" s="47" t="s">
        <v>1494</v>
      </c>
      <c r="E1" s="47" t="s">
        <v>1495</v>
      </c>
      <c r="F1" s="47" t="s">
        <v>1496</v>
      </c>
      <c r="G1" s="47" t="s">
        <v>1497</v>
      </c>
      <c r="H1" s="47" t="s">
        <v>1498</v>
      </c>
      <c r="I1" s="47" t="s">
        <v>1499</v>
      </c>
      <c r="J1" s="47" t="s">
        <v>1500</v>
      </c>
      <c r="K1" s="47" t="s">
        <v>1501</v>
      </c>
      <c r="L1" s="47" t="s">
        <v>1502</v>
      </c>
      <c r="M1" s="47" t="s">
        <v>1503</v>
      </c>
      <c r="N1" s="47" t="s">
        <v>1504</v>
      </c>
      <c r="O1" s="47" t="s">
        <v>1505</v>
      </c>
      <c r="P1" s="47" t="s">
        <v>1506</v>
      </c>
      <c r="Q1" s="47" t="s">
        <v>1507</v>
      </c>
    </row>
    <row r="2">
      <c r="A2" s="47">
        <v>1.1252105455E10</v>
      </c>
      <c r="B2" s="48">
        <v>46162.12634259259</v>
      </c>
      <c r="C2" s="30">
        <v>3.864180923E9</v>
      </c>
      <c r="D2" s="47" t="s">
        <v>1508</v>
      </c>
      <c r="E2" s="30">
        <v>2400.0</v>
      </c>
      <c r="F2" s="30">
        <v>1600.0</v>
      </c>
      <c r="G2" s="30">
        <v>0.0</v>
      </c>
      <c r="H2" s="30">
        <v>0.0</v>
      </c>
      <c r="I2" s="30">
        <v>348.0</v>
      </c>
      <c r="J2" s="30">
        <v>0.0</v>
      </c>
      <c r="K2" s="30">
        <v>0.0</v>
      </c>
      <c r="L2" s="30">
        <v>0.0</v>
      </c>
      <c r="M2" s="30">
        <v>0.0</v>
      </c>
      <c r="N2" s="30">
        <v>400.0</v>
      </c>
      <c r="O2" s="30">
        <v>52.0</v>
      </c>
      <c r="P2" s="30">
        <v>2.166666666666667</v>
      </c>
      <c r="Q2" s="30">
        <v>2.6</v>
      </c>
    </row>
    <row r="3">
      <c r="A3" s="47">
        <v>1.1252066856E10</v>
      </c>
      <c r="B3" s="48">
        <v>46162.11704861111</v>
      </c>
      <c r="C3" s="30">
        <v>3.864140677E9</v>
      </c>
      <c r="D3" s="47" t="s">
        <v>1508</v>
      </c>
      <c r="E3" s="30">
        <v>1630.0</v>
      </c>
      <c r="F3" s="30">
        <v>1228.0</v>
      </c>
      <c r="G3" s="30">
        <v>0.0</v>
      </c>
      <c r="H3" s="30">
        <v>0.0</v>
      </c>
      <c r="I3" s="30">
        <v>259.17</v>
      </c>
      <c r="J3" s="30">
        <v>0.0</v>
      </c>
      <c r="K3" s="30">
        <v>0.0</v>
      </c>
      <c r="L3" s="30">
        <v>0.0</v>
      </c>
      <c r="M3" s="30">
        <v>0.0</v>
      </c>
      <c r="N3" s="30">
        <v>271.6666666666665</v>
      </c>
      <c r="O3" s="30">
        <v>-128.83666666666653</v>
      </c>
      <c r="P3" s="30">
        <v>-7.904089979550094</v>
      </c>
      <c r="Q3" s="30">
        <v>-9.484907975460112</v>
      </c>
    </row>
    <row r="4">
      <c r="A4" s="47">
        <v>1.1252051509E10</v>
      </c>
      <c r="B4" s="48">
        <v>46162.11331018519</v>
      </c>
      <c r="C4" s="30">
        <v>3.864121996E9</v>
      </c>
      <c r="D4" s="47" t="s">
        <v>1508</v>
      </c>
      <c r="E4" s="30">
        <v>1541.0</v>
      </c>
      <c r="F4" s="30">
        <v>1210.0</v>
      </c>
      <c r="G4" s="30">
        <v>0.0</v>
      </c>
      <c r="H4" s="30">
        <v>0.0</v>
      </c>
      <c r="I4" s="30">
        <v>192.625</v>
      </c>
      <c r="J4" s="30">
        <v>0.0</v>
      </c>
      <c r="K4" s="30">
        <v>0.0</v>
      </c>
      <c r="L4" s="30">
        <v>0.0</v>
      </c>
      <c r="M4" s="30">
        <v>0.0</v>
      </c>
      <c r="N4" s="30">
        <v>256.83333333333326</v>
      </c>
      <c r="O4" s="30">
        <v>-118.45833333333326</v>
      </c>
      <c r="P4" s="30">
        <v>-7.687107938568024</v>
      </c>
      <c r="Q4" s="30">
        <v>-9.224529526281628</v>
      </c>
    </row>
    <row r="5">
      <c r="A5" s="47">
        <v>1.1252018377E10</v>
      </c>
      <c r="B5" s="48">
        <v>46162.10603009259</v>
      </c>
      <c r="C5" s="30">
        <v>3.86409202E9</v>
      </c>
      <c r="D5" s="47" t="s">
        <v>1508</v>
      </c>
      <c r="E5" s="30">
        <v>1529.0</v>
      </c>
      <c r="F5" s="30">
        <v>1210.0</v>
      </c>
      <c r="G5" s="30">
        <v>0.0</v>
      </c>
      <c r="H5" s="30">
        <v>0.0</v>
      </c>
      <c r="I5" s="30">
        <v>191.125</v>
      </c>
      <c r="J5" s="30">
        <v>0.0</v>
      </c>
      <c r="K5" s="30">
        <v>0.0</v>
      </c>
      <c r="L5" s="30">
        <v>0.0</v>
      </c>
      <c r="M5" s="30">
        <v>0.0</v>
      </c>
      <c r="N5" s="30">
        <v>254.83333333333326</v>
      </c>
      <c r="O5" s="30">
        <v>-126.95833333333326</v>
      </c>
      <c r="P5" s="30">
        <v>-8.303357314148677</v>
      </c>
      <c r="Q5" s="30">
        <v>-9.964028776978411</v>
      </c>
    </row>
    <row r="6">
      <c r="A6" s="47">
        <v>1.1242789246E10</v>
      </c>
      <c r="B6" s="48">
        <v>46159.58524305555</v>
      </c>
      <c r="C6" s="30">
        <v>3.856423519E9</v>
      </c>
      <c r="D6" s="47" t="s">
        <v>1509</v>
      </c>
      <c r="E6" s="30">
        <v>1283.0</v>
      </c>
      <c r="F6" s="30">
        <v>1190.0</v>
      </c>
      <c r="G6" s="30">
        <v>0.0</v>
      </c>
      <c r="H6" s="30">
        <v>0.0</v>
      </c>
      <c r="I6" s="30">
        <v>34.641000000000005</v>
      </c>
      <c r="J6" s="30">
        <v>0.0</v>
      </c>
      <c r="K6" s="30">
        <v>0.0</v>
      </c>
      <c r="L6" s="30">
        <v>0.0</v>
      </c>
      <c r="M6" s="30">
        <v>0.0</v>
      </c>
      <c r="N6" s="30">
        <v>213.83333333333326</v>
      </c>
      <c r="O6" s="30">
        <v>-155.47433333333328</v>
      </c>
      <c r="P6" s="30">
        <v>-12.118030657313582</v>
      </c>
      <c r="Q6" s="30">
        <v>-14.5416367887763</v>
      </c>
    </row>
    <row r="7">
      <c r="A7" s="47">
        <v>1.1251979394E10</v>
      </c>
      <c r="B7" s="48">
        <v>46162.097662037035</v>
      </c>
      <c r="C7" s="30">
        <v>3.864055822E9</v>
      </c>
      <c r="D7" s="47" t="s">
        <v>1508</v>
      </c>
      <c r="E7" s="30">
        <v>1050.0</v>
      </c>
      <c r="F7" s="30">
        <v>0.0</v>
      </c>
      <c r="G7" s="30">
        <v>0.0</v>
      </c>
      <c r="H7" s="30">
        <v>0.0</v>
      </c>
      <c r="I7" s="30">
        <v>173.25</v>
      </c>
      <c r="J7" s="30">
        <v>0.0</v>
      </c>
      <c r="K7" s="30">
        <v>0.0</v>
      </c>
      <c r="L7" s="30">
        <v>0.0</v>
      </c>
      <c r="M7" s="30">
        <v>0.0</v>
      </c>
      <c r="N7" s="30">
        <v>175.0</v>
      </c>
      <c r="O7" s="30">
        <v>701.75</v>
      </c>
      <c r="P7" s="30">
        <v>66.83333333333333</v>
      </c>
      <c r="Q7" s="30">
        <v>80.2</v>
      </c>
    </row>
    <row r="8">
      <c r="A8" s="47">
        <v>1.1251763065E10</v>
      </c>
      <c r="B8" s="48">
        <v>46162.054074074076</v>
      </c>
      <c r="C8" s="30">
        <v>3.863848302E9</v>
      </c>
      <c r="D8" s="47" t="s">
        <v>1508</v>
      </c>
      <c r="E8" s="30">
        <v>1125.0</v>
      </c>
      <c r="F8" s="30">
        <v>832.44</v>
      </c>
      <c r="G8" s="30">
        <v>0.0</v>
      </c>
      <c r="H8" s="30">
        <v>0.0</v>
      </c>
      <c r="I8" s="30">
        <v>0.0</v>
      </c>
      <c r="J8" s="30">
        <v>0.0</v>
      </c>
      <c r="K8" s="30">
        <v>0.0</v>
      </c>
      <c r="L8" s="30">
        <v>0.0</v>
      </c>
      <c r="M8" s="30">
        <v>0.0</v>
      </c>
      <c r="N8" s="30">
        <v>187.5</v>
      </c>
      <c r="O8" s="30">
        <v>105.05999999999995</v>
      </c>
      <c r="P8" s="30">
        <v>9.338666666666661</v>
      </c>
      <c r="Q8" s="30">
        <v>11.206399999999995</v>
      </c>
    </row>
    <row r="9">
      <c r="A9" s="47">
        <v>1.1251732339E10</v>
      </c>
      <c r="B9" s="48">
        <v>46162.048368055555</v>
      </c>
      <c r="C9" s="30">
        <v>3.86382636E9</v>
      </c>
      <c r="D9" s="47" t="s">
        <v>1508</v>
      </c>
      <c r="E9" s="30">
        <v>1728.0</v>
      </c>
      <c r="F9" s="30">
        <v>1260.0</v>
      </c>
      <c r="G9" s="30">
        <v>0.0</v>
      </c>
      <c r="H9" s="30">
        <v>0.0</v>
      </c>
      <c r="I9" s="30">
        <v>0.0</v>
      </c>
      <c r="J9" s="30">
        <v>0.0</v>
      </c>
      <c r="K9" s="30">
        <v>0.0</v>
      </c>
      <c r="L9" s="30">
        <v>0.0</v>
      </c>
      <c r="M9" s="30">
        <v>0.0</v>
      </c>
      <c r="N9" s="30">
        <v>288.0</v>
      </c>
      <c r="O9" s="30">
        <v>180.0</v>
      </c>
      <c r="P9" s="30">
        <v>10.416666666666668</v>
      </c>
      <c r="Q9" s="30">
        <v>12.5</v>
      </c>
    </row>
    <row r="10">
      <c r="A10" s="47">
        <v>1.1251590122E10</v>
      </c>
      <c r="B10" s="48">
        <v>46162.021099537036</v>
      </c>
      <c r="C10" s="30">
        <v>3.86369466E9</v>
      </c>
      <c r="D10" s="47" t="s">
        <v>1508</v>
      </c>
      <c r="E10" s="30">
        <v>781.0</v>
      </c>
      <c r="F10" s="30">
        <v>580.0</v>
      </c>
      <c r="G10" s="30">
        <v>0.0</v>
      </c>
      <c r="H10" s="30">
        <v>0.0</v>
      </c>
      <c r="I10" s="30">
        <v>52.327</v>
      </c>
      <c r="J10" s="30">
        <v>0.0</v>
      </c>
      <c r="K10" s="30">
        <v>0.0</v>
      </c>
      <c r="L10" s="30">
        <v>0.0</v>
      </c>
      <c r="M10" s="30">
        <v>0.0</v>
      </c>
      <c r="N10" s="30">
        <v>130.16666666666663</v>
      </c>
      <c r="O10" s="30">
        <v>18.506333333333373</v>
      </c>
      <c r="P10" s="30">
        <v>2.3695689287238633</v>
      </c>
      <c r="Q10" s="30">
        <v>2.843482714468636</v>
      </c>
    </row>
    <row r="11">
      <c r="A11" s="47">
        <v>1.1251471012E10</v>
      </c>
      <c r="B11" s="48">
        <v>46161.998715277776</v>
      </c>
      <c r="C11" s="30">
        <v>3.863598907E9</v>
      </c>
      <c r="D11" s="47" t="s">
        <v>1508</v>
      </c>
      <c r="E11" s="30">
        <v>1200.0</v>
      </c>
      <c r="F11" s="30">
        <v>800.0</v>
      </c>
      <c r="G11" s="30">
        <v>0.0</v>
      </c>
      <c r="H11" s="30">
        <v>0.0</v>
      </c>
      <c r="I11" s="30">
        <v>174.0</v>
      </c>
      <c r="J11" s="30">
        <v>0.0</v>
      </c>
      <c r="K11" s="30">
        <v>0.0</v>
      </c>
      <c r="L11" s="30">
        <v>0.0</v>
      </c>
      <c r="M11" s="30">
        <v>0.0</v>
      </c>
      <c r="N11" s="30">
        <v>200.0</v>
      </c>
      <c r="O11" s="30">
        <v>26.0</v>
      </c>
      <c r="P11" s="30">
        <v>2.166666666666667</v>
      </c>
      <c r="Q11" s="30">
        <v>2.6</v>
      </c>
    </row>
    <row r="12">
      <c r="A12" s="47">
        <v>1.1245214215E10</v>
      </c>
      <c r="B12" s="48">
        <v>46160.061064814814</v>
      </c>
      <c r="C12" s="30">
        <v>3.85826049E9</v>
      </c>
      <c r="D12" s="47" t="s">
        <v>1509</v>
      </c>
      <c r="E12" s="30">
        <v>729.0</v>
      </c>
      <c r="F12" s="30">
        <v>580.0</v>
      </c>
      <c r="G12" s="30">
        <v>0.0</v>
      </c>
      <c r="H12" s="30">
        <v>0.0</v>
      </c>
      <c r="I12" s="30">
        <v>36.0855</v>
      </c>
      <c r="J12" s="30">
        <v>0.0</v>
      </c>
      <c r="K12" s="30">
        <v>0.0</v>
      </c>
      <c r="L12" s="30">
        <v>0.0</v>
      </c>
      <c r="M12" s="30">
        <v>0.0</v>
      </c>
      <c r="N12" s="30">
        <v>121.5</v>
      </c>
      <c r="O12" s="30">
        <v>-8.585499999999996</v>
      </c>
      <c r="P12" s="30">
        <v>-1.177709190672153</v>
      </c>
      <c r="Q12" s="30">
        <v>-1.4132510288065838</v>
      </c>
    </row>
    <row r="13">
      <c r="A13" s="47">
        <v>1.1238312517E10</v>
      </c>
      <c r="B13" s="48">
        <v>46157.967210648145</v>
      </c>
      <c r="C13" s="30">
        <v>3.852680054E9</v>
      </c>
      <c r="D13" s="47" t="s">
        <v>1509</v>
      </c>
      <c r="E13" s="30">
        <v>1291.0</v>
      </c>
      <c r="F13" s="30">
        <v>1190.0</v>
      </c>
      <c r="G13" s="30">
        <v>0.0</v>
      </c>
      <c r="H13" s="30">
        <v>0.0</v>
      </c>
      <c r="I13" s="30">
        <v>34.857</v>
      </c>
      <c r="J13" s="30">
        <v>0.0</v>
      </c>
      <c r="K13" s="30">
        <v>0.0</v>
      </c>
      <c r="L13" s="30">
        <v>0.0</v>
      </c>
      <c r="M13" s="30">
        <v>0.0</v>
      </c>
      <c r="N13" s="30">
        <v>215.16666666666652</v>
      </c>
      <c r="O13" s="30">
        <v>-149.02366666666651</v>
      </c>
      <c r="P13" s="30">
        <v>-11.543273947844037</v>
      </c>
      <c r="Q13" s="30">
        <v>-13.851928737412841</v>
      </c>
    </row>
    <row r="14">
      <c r="A14" s="47">
        <v>1.1243814818E10</v>
      </c>
      <c r="B14" s="48">
        <v>46159.8059375</v>
      </c>
      <c r="C14" s="30">
        <v>3.857230979E9</v>
      </c>
      <c r="D14" s="47" t="s">
        <v>1510</v>
      </c>
      <c r="E14" s="30">
        <v>1281.0</v>
      </c>
      <c r="F14" s="30">
        <v>1190.0</v>
      </c>
      <c r="G14" s="30">
        <v>0.0</v>
      </c>
      <c r="H14" s="30">
        <v>0.0</v>
      </c>
      <c r="I14" s="30">
        <v>34.587</v>
      </c>
      <c r="J14" s="30">
        <v>0.0</v>
      </c>
      <c r="K14" s="30">
        <v>0.0</v>
      </c>
      <c r="L14" s="30">
        <v>0.0</v>
      </c>
      <c r="M14" s="30">
        <v>0.0</v>
      </c>
      <c r="N14" s="30">
        <v>213.5</v>
      </c>
      <c r="O14" s="30">
        <v>-157.087</v>
      </c>
      <c r="P14" s="30">
        <v>-12.262841530054644</v>
      </c>
      <c r="Q14" s="30">
        <v>-14.715409836065573</v>
      </c>
    </row>
    <row r="15">
      <c r="A15" s="47">
        <v>1.1245844957E10</v>
      </c>
      <c r="B15" s="48">
        <v>46160.42775462963</v>
      </c>
      <c r="C15" s="30">
        <v>3.85890483E9</v>
      </c>
      <c r="D15" s="47" t="s">
        <v>1510</v>
      </c>
      <c r="E15" s="30">
        <v>729.0</v>
      </c>
      <c r="F15" s="30">
        <v>580.0</v>
      </c>
      <c r="G15" s="30">
        <v>0.0</v>
      </c>
      <c r="H15" s="30">
        <v>0.0</v>
      </c>
      <c r="I15" s="30">
        <v>36.0855</v>
      </c>
      <c r="J15" s="30">
        <v>0.0</v>
      </c>
      <c r="K15" s="30">
        <v>0.0</v>
      </c>
      <c r="L15" s="30">
        <v>0.0</v>
      </c>
      <c r="M15" s="30">
        <v>0.0</v>
      </c>
      <c r="N15" s="30">
        <v>121.5</v>
      </c>
      <c r="O15" s="30">
        <v>-8.585499999999996</v>
      </c>
      <c r="P15" s="30">
        <v>-1.177709190672153</v>
      </c>
      <c r="Q15" s="30">
        <v>-1.4132510288065838</v>
      </c>
    </row>
    <row r="16">
      <c r="A16" s="47">
        <v>1.1251259961E10</v>
      </c>
      <c r="B16" s="48">
        <v>46161.9575462963</v>
      </c>
      <c r="C16" s="30">
        <v>3.863439575E9</v>
      </c>
      <c r="D16" s="47" t="s">
        <v>1508</v>
      </c>
      <c r="E16" s="30">
        <v>781.0</v>
      </c>
      <c r="F16" s="30">
        <v>580.0</v>
      </c>
      <c r="G16" s="30">
        <v>0.0</v>
      </c>
      <c r="H16" s="30">
        <v>0.0</v>
      </c>
      <c r="I16" s="30">
        <v>0.0</v>
      </c>
      <c r="J16" s="30">
        <v>0.0</v>
      </c>
      <c r="K16" s="30">
        <v>0.0</v>
      </c>
      <c r="L16" s="30">
        <v>0.0</v>
      </c>
      <c r="M16" s="30">
        <v>0.0</v>
      </c>
      <c r="N16" s="30">
        <v>130.16666666666663</v>
      </c>
      <c r="O16" s="30">
        <v>70.83333333333337</v>
      </c>
      <c r="P16" s="30">
        <v>9.069568928723863</v>
      </c>
      <c r="Q16" s="30">
        <v>10.883482714468636</v>
      </c>
    </row>
    <row r="17">
      <c r="A17" s="47">
        <v>1.1251253466E10</v>
      </c>
      <c r="B17" s="48">
        <v>46161.95626157407</v>
      </c>
      <c r="C17" s="30">
        <v>3.863436827E9</v>
      </c>
      <c r="D17" s="47" t="s">
        <v>1508</v>
      </c>
      <c r="E17" s="30">
        <v>745.0</v>
      </c>
      <c r="F17" s="30">
        <v>580.0</v>
      </c>
      <c r="G17" s="30">
        <v>0.0</v>
      </c>
      <c r="H17" s="30">
        <v>0.0</v>
      </c>
      <c r="I17" s="30">
        <v>44.7</v>
      </c>
      <c r="J17" s="30">
        <v>0.0</v>
      </c>
      <c r="K17" s="30">
        <v>0.0</v>
      </c>
      <c r="L17" s="30">
        <v>0.0</v>
      </c>
      <c r="M17" s="30">
        <v>0.0</v>
      </c>
      <c r="N17" s="30">
        <v>124.16666666666663</v>
      </c>
      <c r="O17" s="30">
        <v>-3.8666666666666316</v>
      </c>
      <c r="P17" s="30">
        <v>-0.5190156599552526</v>
      </c>
      <c r="Q17" s="30">
        <v>-0.6228187919463031</v>
      </c>
    </row>
    <row r="18">
      <c r="A18" s="47">
        <v>1.1251226463E10</v>
      </c>
      <c r="B18" s="48">
        <v>46161.951157407406</v>
      </c>
      <c r="C18" s="30">
        <v>3.863416539E9</v>
      </c>
      <c r="D18" s="47" t="s">
        <v>1508</v>
      </c>
      <c r="E18" s="30">
        <v>781.0</v>
      </c>
      <c r="F18" s="30">
        <v>580.0</v>
      </c>
      <c r="G18" s="30">
        <v>0.0</v>
      </c>
      <c r="H18" s="30">
        <v>0.0</v>
      </c>
      <c r="I18" s="30">
        <v>52.327</v>
      </c>
      <c r="J18" s="30">
        <v>0.0</v>
      </c>
      <c r="K18" s="30">
        <v>0.0</v>
      </c>
      <c r="L18" s="30">
        <v>0.0</v>
      </c>
      <c r="M18" s="30">
        <v>0.0</v>
      </c>
      <c r="N18" s="30">
        <v>130.16666666666663</v>
      </c>
      <c r="O18" s="30">
        <v>18.506333333333373</v>
      </c>
      <c r="P18" s="30">
        <v>2.3695689287238633</v>
      </c>
      <c r="Q18" s="30">
        <v>2.843482714468636</v>
      </c>
    </row>
    <row r="19">
      <c r="A19" s="47">
        <v>1.1235752335E10</v>
      </c>
      <c r="B19" s="48">
        <v>46157.120729166665</v>
      </c>
      <c r="C19" s="30">
        <v>3.850451359E9</v>
      </c>
      <c r="D19" s="47" t="s">
        <v>1509</v>
      </c>
      <c r="E19" s="30">
        <v>729.0</v>
      </c>
      <c r="F19" s="30">
        <v>580.0</v>
      </c>
      <c r="G19" s="30">
        <v>0.0</v>
      </c>
      <c r="H19" s="30">
        <v>0.0</v>
      </c>
      <c r="I19" s="30">
        <v>36.0855</v>
      </c>
      <c r="J19" s="30">
        <v>0.0</v>
      </c>
      <c r="K19" s="30">
        <v>0.0</v>
      </c>
      <c r="L19" s="30">
        <v>0.0</v>
      </c>
      <c r="M19" s="30">
        <v>0.0</v>
      </c>
      <c r="N19" s="30">
        <v>121.5</v>
      </c>
      <c r="O19" s="30">
        <v>-8.585499999999996</v>
      </c>
      <c r="P19" s="30">
        <v>-1.177709190672153</v>
      </c>
      <c r="Q19" s="30">
        <v>-1.4132510288065838</v>
      </c>
    </row>
    <row r="20">
      <c r="A20" s="47">
        <v>1.1251187518E10</v>
      </c>
      <c r="B20" s="48">
        <v>46161.94328703704</v>
      </c>
      <c r="C20" s="30">
        <v>3.863388371E9</v>
      </c>
      <c r="D20" s="47" t="s">
        <v>1508</v>
      </c>
      <c r="E20" s="30">
        <v>1529.0</v>
      </c>
      <c r="F20" s="30">
        <v>1210.0</v>
      </c>
      <c r="G20" s="30">
        <v>0.0</v>
      </c>
      <c r="H20" s="30">
        <v>0.0</v>
      </c>
      <c r="I20" s="30">
        <v>0.0</v>
      </c>
      <c r="J20" s="30">
        <v>0.0</v>
      </c>
      <c r="K20" s="30">
        <v>0.0</v>
      </c>
      <c r="L20" s="30">
        <v>0.0</v>
      </c>
      <c r="M20" s="30">
        <v>0.0</v>
      </c>
      <c r="N20" s="30">
        <v>254.83333333333326</v>
      </c>
      <c r="O20" s="30">
        <v>64.16666666666674</v>
      </c>
      <c r="P20" s="30">
        <v>4.196642685851324</v>
      </c>
      <c r="Q20" s="30">
        <v>5.035971223021588</v>
      </c>
    </row>
    <row r="21">
      <c r="A21" s="47">
        <v>1.1251166372E10</v>
      </c>
      <c r="B21" s="48">
        <v>46161.93918981482</v>
      </c>
      <c r="C21" s="30">
        <v>3.863374156E9</v>
      </c>
      <c r="D21" s="47" t="s">
        <v>1508</v>
      </c>
      <c r="E21" s="30">
        <v>659.0</v>
      </c>
      <c r="F21" s="30">
        <v>420.0</v>
      </c>
      <c r="G21" s="30">
        <v>0.0</v>
      </c>
      <c r="H21" s="30">
        <v>0.0</v>
      </c>
      <c r="I21" s="30">
        <v>108.735</v>
      </c>
      <c r="J21" s="30">
        <v>0.0</v>
      </c>
      <c r="K21" s="30">
        <v>0.0</v>
      </c>
      <c r="L21" s="30">
        <v>0.0</v>
      </c>
      <c r="M21" s="30">
        <v>0.0</v>
      </c>
      <c r="N21" s="30">
        <v>109.83333333333326</v>
      </c>
      <c r="O21" s="30">
        <v>20.43166666666673</v>
      </c>
      <c r="P21" s="30">
        <v>3.100404653515437</v>
      </c>
      <c r="Q21" s="30">
        <v>3.720485584218524</v>
      </c>
    </row>
    <row r="22">
      <c r="A22" s="47">
        <v>1.124326489E10</v>
      </c>
      <c r="B22" s="48">
        <v>46159.696226851855</v>
      </c>
      <c r="C22" s="30">
        <v>3.856815947E9</v>
      </c>
      <c r="D22" s="47" t="s">
        <v>1509</v>
      </c>
      <c r="E22" s="30">
        <v>729.0</v>
      </c>
      <c r="F22" s="30">
        <v>580.0</v>
      </c>
      <c r="G22" s="30">
        <v>0.0</v>
      </c>
      <c r="H22" s="30">
        <v>0.0</v>
      </c>
      <c r="I22" s="30">
        <v>36.0855</v>
      </c>
      <c r="J22" s="30">
        <v>0.0</v>
      </c>
      <c r="K22" s="30">
        <v>0.0</v>
      </c>
      <c r="L22" s="30">
        <v>0.0</v>
      </c>
      <c r="M22" s="30">
        <v>0.0</v>
      </c>
      <c r="N22" s="30">
        <v>121.5</v>
      </c>
      <c r="O22" s="30">
        <v>-8.585499999999996</v>
      </c>
      <c r="P22" s="30">
        <v>-1.177709190672153</v>
      </c>
      <c r="Q22" s="30">
        <v>-1.4132510288065838</v>
      </c>
    </row>
    <row r="23">
      <c r="A23" s="47">
        <v>1.1243285895E10</v>
      </c>
      <c r="B23" s="48">
        <v>46159.700219907405</v>
      </c>
      <c r="C23" s="30">
        <v>3.856833252E9</v>
      </c>
      <c r="D23" s="47" t="s">
        <v>1509</v>
      </c>
      <c r="E23" s="30">
        <v>729.0</v>
      </c>
      <c r="F23" s="30">
        <v>580.0</v>
      </c>
      <c r="G23" s="30">
        <v>0.0</v>
      </c>
      <c r="H23" s="30">
        <v>0.0</v>
      </c>
      <c r="I23" s="30">
        <v>36.0855</v>
      </c>
      <c r="J23" s="30">
        <v>0.0</v>
      </c>
      <c r="K23" s="30">
        <v>0.0</v>
      </c>
      <c r="L23" s="30">
        <v>0.0</v>
      </c>
      <c r="M23" s="30">
        <v>0.0</v>
      </c>
      <c r="N23" s="30">
        <v>121.5</v>
      </c>
      <c r="O23" s="30">
        <v>-8.585499999999996</v>
      </c>
      <c r="P23" s="30">
        <v>-1.177709190672153</v>
      </c>
      <c r="Q23" s="30">
        <v>-1.4132510288065838</v>
      </c>
    </row>
    <row r="24">
      <c r="A24" s="47">
        <v>1.1240965806E10</v>
      </c>
      <c r="B24" s="48">
        <v>46158.867002314815</v>
      </c>
      <c r="C24" s="30">
        <v>3.85494217E9</v>
      </c>
      <c r="D24" s="47" t="s">
        <v>1509</v>
      </c>
      <c r="E24" s="30">
        <v>1285.0</v>
      </c>
      <c r="F24" s="30">
        <v>1190.0</v>
      </c>
      <c r="G24" s="30">
        <v>0.0</v>
      </c>
      <c r="H24" s="30">
        <v>0.0</v>
      </c>
      <c r="I24" s="30">
        <v>34.69500000000001</v>
      </c>
      <c r="J24" s="30">
        <v>0.0</v>
      </c>
      <c r="K24" s="30">
        <v>0.0</v>
      </c>
      <c r="L24" s="30">
        <v>0.0</v>
      </c>
      <c r="M24" s="30">
        <v>0.0</v>
      </c>
      <c r="N24" s="30">
        <v>214.16666666666652</v>
      </c>
      <c r="O24" s="30">
        <v>-153.8616666666665</v>
      </c>
      <c r="P24" s="30">
        <v>-11.973670557717238</v>
      </c>
      <c r="Q24" s="30">
        <v>-14.368404669260684</v>
      </c>
    </row>
    <row r="25">
      <c r="A25" s="47">
        <v>1.1242778482E10</v>
      </c>
      <c r="B25" s="48">
        <v>46159.58180555556</v>
      </c>
      <c r="C25" s="30">
        <v>3.856411643E9</v>
      </c>
      <c r="D25" s="47" t="s">
        <v>1509</v>
      </c>
      <c r="E25" s="30">
        <v>1283.0</v>
      </c>
      <c r="F25" s="30">
        <v>1190.0</v>
      </c>
      <c r="G25" s="30">
        <v>0.0</v>
      </c>
      <c r="H25" s="30">
        <v>0.0</v>
      </c>
      <c r="I25" s="30">
        <v>34.641000000000005</v>
      </c>
      <c r="J25" s="30">
        <v>0.0</v>
      </c>
      <c r="K25" s="30">
        <v>0.0</v>
      </c>
      <c r="L25" s="30">
        <v>0.0</v>
      </c>
      <c r="M25" s="30">
        <v>0.0</v>
      </c>
      <c r="N25" s="30">
        <v>213.83333333333326</v>
      </c>
      <c r="O25" s="30">
        <v>-155.47433333333328</v>
      </c>
      <c r="P25" s="30">
        <v>-12.118030657313582</v>
      </c>
      <c r="Q25" s="30">
        <v>-14.5416367887763</v>
      </c>
    </row>
    <row r="26">
      <c r="A26" s="47">
        <v>1.1251114973E10</v>
      </c>
      <c r="B26" s="48">
        <v>46161.92886574074</v>
      </c>
      <c r="C26" s="30">
        <v>3.863337931E9</v>
      </c>
      <c r="D26" s="47" t="s">
        <v>1508</v>
      </c>
      <c r="E26" s="30">
        <v>1387.0</v>
      </c>
      <c r="F26" s="30">
        <v>1160.0</v>
      </c>
      <c r="G26" s="30">
        <v>0.0</v>
      </c>
      <c r="H26" s="30">
        <v>0.0</v>
      </c>
      <c r="I26" s="30">
        <v>173.375</v>
      </c>
      <c r="J26" s="30">
        <v>0.0</v>
      </c>
      <c r="K26" s="30">
        <v>0.0</v>
      </c>
      <c r="L26" s="30">
        <v>0.0</v>
      </c>
      <c r="M26" s="30">
        <v>0.0</v>
      </c>
      <c r="N26" s="30">
        <v>231.16666666666652</v>
      </c>
      <c r="O26" s="30">
        <v>-177.54166666666652</v>
      </c>
      <c r="P26" s="30">
        <v>-12.800408555635654</v>
      </c>
      <c r="Q26" s="30">
        <v>-15.360490266762783</v>
      </c>
    </row>
    <row r="27">
      <c r="A27" s="47">
        <v>1.12403563E10</v>
      </c>
      <c r="B27" s="48">
        <v>46158.73983796296</v>
      </c>
      <c r="C27" s="30">
        <v>3.854495576E9</v>
      </c>
      <c r="D27" s="47" t="s">
        <v>1509</v>
      </c>
      <c r="E27" s="30">
        <v>1286.0</v>
      </c>
      <c r="F27" s="30">
        <v>1190.0</v>
      </c>
      <c r="G27" s="30">
        <v>0.0</v>
      </c>
      <c r="H27" s="30">
        <v>0.0</v>
      </c>
      <c r="I27" s="30">
        <v>34.722</v>
      </c>
      <c r="J27" s="30">
        <v>0.0</v>
      </c>
      <c r="K27" s="30">
        <v>0.0</v>
      </c>
      <c r="L27" s="30">
        <v>0.0</v>
      </c>
      <c r="M27" s="30">
        <v>0.0</v>
      </c>
      <c r="N27" s="30">
        <v>214.33333333333326</v>
      </c>
      <c r="O27" s="30">
        <v>-153.05533333333327</v>
      </c>
      <c r="P27" s="30">
        <v>-11.901658890616895</v>
      </c>
      <c r="Q27" s="30">
        <v>-14.28199066874027</v>
      </c>
    </row>
    <row r="28">
      <c r="A28" s="47">
        <v>1.1243786626E10</v>
      </c>
      <c r="B28" s="48">
        <v>46159.80060185185</v>
      </c>
      <c r="C28" s="30">
        <v>3.857210239E9</v>
      </c>
      <c r="D28" s="47" t="s">
        <v>1509</v>
      </c>
      <c r="E28" s="30">
        <v>1281.0</v>
      </c>
      <c r="F28" s="30">
        <v>1190.0</v>
      </c>
      <c r="G28" s="30">
        <v>0.0</v>
      </c>
      <c r="H28" s="30">
        <v>0.0</v>
      </c>
      <c r="I28" s="30">
        <v>34.587</v>
      </c>
      <c r="J28" s="30">
        <v>0.0</v>
      </c>
      <c r="K28" s="30">
        <v>0.0</v>
      </c>
      <c r="L28" s="30">
        <v>0.0</v>
      </c>
      <c r="M28" s="30">
        <v>0.0</v>
      </c>
      <c r="N28" s="30">
        <v>213.5</v>
      </c>
      <c r="O28" s="30">
        <v>-157.087</v>
      </c>
      <c r="P28" s="30">
        <v>-12.262841530054644</v>
      </c>
      <c r="Q28" s="30">
        <v>-14.715409836065573</v>
      </c>
    </row>
    <row r="29">
      <c r="A29" s="47">
        <v>1.1251064147E10</v>
      </c>
      <c r="B29" s="48">
        <v>46161.91855324074</v>
      </c>
      <c r="C29" s="30">
        <v>3.863302221E9</v>
      </c>
      <c r="D29" s="47" t="s">
        <v>1508</v>
      </c>
      <c r="E29" s="30">
        <v>1614.0</v>
      </c>
      <c r="F29" s="30">
        <v>1604.0</v>
      </c>
      <c r="G29" s="30">
        <v>0.0</v>
      </c>
      <c r="H29" s="30">
        <v>0.0</v>
      </c>
      <c r="I29" s="30">
        <v>53.262</v>
      </c>
      <c r="J29" s="30">
        <v>0.0</v>
      </c>
      <c r="K29" s="30">
        <v>0.0</v>
      </c>
      <c r="L29" s="30">
        <v>0.0</v>
      </c>
      <c r="M29" s="30">
        <v>0.0</v>
      </c>
      <c r="N29" s="30">
        <v>269.0</v>
      </c>
      <c r="O29" s="30">
        <v>-312.262</v>
      </c>
      <c r="P29" s="30">
        <v>-19.347087980173484</v>
      </c>
      <c r="Q29" s="30">
        <v>-23.216505576208178</v>
      </c>
    </row>
    <row r="30">
      <c r="A30" s="47">
        <v>1.1238575606E10</v>
      </c>
      <c r="B30" s="48">
        <v>46158.017384259256</v>
      </c>
      <c r="C30" s="30">
        <v>3.852879656E9</v>
      </c>
      <c r="D30" s="47" t="s">
        <v>1509</v>
      </c>
      <c r="E30" s="30">
        <v>1291.0</v>
      </c>
      <c r="F30" s="30">
        <v>1190.0</v>
      </c>
      <c r="G30" s="30">
        <v>0.0</v>
      </c>
      <c r="H30" s="30">
        <v>0.0</v>
      </c>
      <c r="I30" s="30">
        <v>34.857</v>
      </c>
      <c r="J30" s="30">
        <v>0.0</v>
      </c>
      <c r="K30" s="30">
        <v>0.0</v>
      </c>
      <c r="L30" s="30">
        <v>0.0</v>
      </c>
      <c r="M30" s="30">
        <v>0.0</v>
      </c>
      <c r="N30" s="30">
        <v>215.16666666666652</v>
      </c>
      <c r="O30" s="30">
        <v>-149.02366666666651</v>
      </c>
      <c r="P30" s="30">
        <v>-11.543273947844037</v>
      </c>
      <c r="Q30" s="30">
        <v>-13.851928737412841</v>
      </c>
    </row>
    <row r="31">
      <c r="A31" s="47">
        <v>1.123943273E10</v>
      </c>
      <c r="B31" s="48">
        <v>46158.50681712963</v>
      </c>
      <c r="C31" s="30">
        <v>3.853692467E9</v>
      </c>
      <c r="D31" s="47" t="s">
        <v>1509</v>
      </c>
      <c r="E31" s="30">
        <v>1289.0</v>
      </c>
      <c r="F31" s="30">
        <v>1190.0</v>
      </c>
      <c r="G31" s="30">
        <v>0.0</v>
      </c>
      <c r="H31" s="30">
        <v>0.0</v>
      </c>
      <c r="I31" s="30">
        <v>34.803000000000004</v>
      </c>
      <c r="J31" s="30">
        <v>0.0</v>
      </c>
      <c r="K31" s="30">
        <v>0.0</v>
      </c>
      <c r="L31" s="30">
        <v>0.0</v>
      </c>
      <c r="M31" s="30">
        <v>0.0</v>
      </c>
      <c r="N31" s="30">
        <v>214.83333333333326</v>
      </c>
      <c r="O31" s="30">
        <v>-150.63633333333325</v>
      </c>
      <c r="P31" s="30">
        <v>-11.686294284975427</v>
      </c>
      <c r="Q31" s="30">
        <v>-14.023553141970513</v>
      </c>
    </row>
    <row r="32">
      <c r="A32" s="47">
        <v>1.1245889968E10</v>
      </c>
      <c r="B32" s="48">
        <v>46160.474814814814</v>
      </c>
      <c r="C32" s="30">
        <v>3.858960295E9</v>
      </c>
      <c r="D32" s="47" t="s">
        <v>1509</v>
      </c>
      <c r="E32" s="30">
        <v>729.0</v>
      </c>
      <c r="F32" s="30">
        <v>580.0</v>
      </c>
      <c r="G32" s="30">
        <v>0.0</v>
      </c>
      <c r="H32" s="30">
        <v>0.0</v>
      </c>
      <c r="I32" s="30">
        <v>32.148900000000005</v>
      </c>
      <c r="J32" s="30">
        <v>0.0</v>
      </c>
      <c r="K32" s="30">
        <v>0.0</v>
      </c>
      <c r="L32" s="30">
        <v>0.0</v>
      </c>
      <c r="M32" s="30">
        <v>0.0</v>
      </c>
      <c r="N32" s="30">
        <v>121.5</v>
      </c>
      <c r="O32" s="30">
        <v>-4.648899999999998</v>
      </c>
      <c r="P32" s="30">
        <v>-0.6377091906721534</v>
      </c>
      <c r="Q32" s="30">
        <v>-0.765251028806584</v>
      </c>
    </row>
    <row r="33">
      <c r="A33" s="47">
        <v>1.1251010244E10</v>
      </c>
      <c r="B33" s="48">
        <v>46161.907685185186</v>
      </c>
      <c r="C33" s="30">
        <v>3.863266852E9</v>
      </c>
      <c r="D33" s="47" t="s">
        <v>1508</v>
      </c>
      <c r="E33" s="30">
        <v>781.0</v>
      </c>
      <c r="F33" s="30">
        <v>580.0</v>
      </c>
      <c r="G33" s="30">
        <v>0.0</v>
      </c>
      <c r="H33" s="30">
        <v>0.0</v>
      </c>
      <c r="I33" s="30">
        <v>52.327</v>
      </c>
      <c r="J33" s="30">
        <v>0.0</v>
      </c>
      <c r="K33" s="30">
        <v>0.0</v>
      </c>
      <c r="L33" s="30">
        <v>0.0</v>
      </c>
      <c r="M33" s="30">
        <v>0.0</v>
      </c>
      <c r="N33" s="30">
        <v>130.16666666666663</v>
      </c>
      <c r="O33" s="30">
        <v>18.506333333333373</v>
      </c>
      <c r="P33" s="30">
        <v>2.3695689287238633</v>
      </c>
      <c r="Q33" s="30">
        <v>2.843482714468636</v>
      </c>
    </row>
    <row r="34">
      <c r="A34" s="47">
        <v>1.1244760143E10</v>
      </c>
      <c r="B34" s="48">
        <v>46159.98025462963</v>
      </c>
      <c r="C34" s="30">
        <v>3.857874135E9</v>
      </c>
      <c r="D34" s="47" t="s">
        <v>1509</v>
      </c>
      <c r="E34" s="30">
        <v>729.0</v>
      </c>
      <c r="F34" s="30">
        <v>580.0</v>
      </c>
      <c r="G34" s="30">
        <v>0.0</v>
      </c>
      <c r="H34" s="30">
        <v>0.0</v>
      </c>
      <c r="I34" s="30">
        <v>32.148900000000005</v>
      </c>
      <c r="J34" s="30">
        <v>0.0</v>
      </c>
      <c r="K34" s="30">
        <v>0.0</v>
      </c>
      <c r="L34" s="30">
        <v>0.0</v>
      </c>
      <c r="M34" s="30">
        <v>0.0</v>
      </c>
      <c r="N34" s="30">
        <v>121.5</v>
      </c>
      <c r="O34" s="30">
        <v>-4.648899999999998</v>
      </c>
      <c r="P34" s="30">
        <v>-0.6377091906721534</v>
      </c>
      <c r="Q34" s="30">
        <v>-0.765251028806584</v>
      </c>
    </row>
    <row r="35">
      <c r="A35" s="47">
        <v>1.1234446324E10</v>
      </c>
      <c r="B35" s="48">
        <v>46156.84340277778</v>
      </c>
      <c r="C35" s="30">
        <v>3.84935561E9</v>
      </c>
      <c r="D35" s="47" t="s">
        <v>1509</v>
      </c>
      <c r="E35" s="30">
        <v>727.0</v>
      </c>
      <c r="F35" s="30">
        <v>580.0</v>
      </c>
      <c r="G35" s="30">
        <v>0.0</v>
      </c>
      <c r="H35" s="30">
        <v>0.0</v>
      </c>
      <c r="I35" s="30">
        <v>32.060700000000004</v>
      </c>
      <c r="J35" s="30">
        <v>0.0</v>
      </c>
      <c r="K35" s="30">
        <v>0.0</v>
      </c>
      <c r="L35" s="30">
        <v>0.0</v>
      </c>
      <c r="M35" s="30">
        <v>0.0</v>
      </c>
      <c r="N35" s="30">
        <v>121.16666666666663</v>
      </c>
      <c r="O35" s="30">
        <v>-6.227366666666626</v>
      </c>
      <c r="P35" s="30">
        <v>-0.8565841357175551</v>
      </c>
      <c r="Q35" s="30">
        <v>-1.027900962861066</v>
      </c>
    </row>
    <row r="36">
      <c r="A36" s="47">
        <v>1.1251000645E10</v>
      </c>
      <c r="B36" s="48">
        <v>46161.90587962963</v>
      </c>
      <c r="C36" s="30">
        <v>3.863260204E9</v>
      </c>
      <c r="D36" s="47" t="s">
        <v>1508</v>
      </c>
      <c r="E36" s="30">
        <v>3228.0</v>
      </c>
      <c r="F36" s="30">
        <v>3208.0</v>
      </c>
      <c r="G36" s="30">
        <v>0.0</v>
      </c>
      <c r="H36" s="30">
        <v>0.0</v>
      </c>
      <c r="I36" s="30">
        <v>106.524</v>
      </c>
      <c r="J36" s="30">
        <v>0.0</v>
      </c>
      <c r="K36" s="30">
        <v>0.0</v>
      </c>
      <c r="L36" s="30">
        <v>0.0</v>
      </c>
      <c r="M36" s="30">
        <v>0.0</v>
      </c>
      <c r="N36" s="30">
        <v>538.0</v>
      </c>
      <c r="O36" s="30">
        <v>-624.524</v>
      </c>
      <c r="P36" s="30">
        <v>-19.347087980173484</v>
      </c>
      <c r="Q36" s="30">
        <v>-23.216505576208178</v>
      </c>
    </row>
    <row r="37">
      <c r="A37" s="47">
        <v>1.1250984878E10</v>
      </c>
      <c r="B37" s="48">
        <v>46161.90283564815</v>
      </c>
      <c r="C37" s="30">
        <v>3.863248952E9</v>
      </c>
      <c r="D37" s="47" t="s">
        <v>1511</v>
      </c>
      <c r="E37" s="30">
        <v>1630.0</v>
      </c>
      <c r="F37" s="30">
        <v>1228.0</v>
      </c>
      <c r="G37" s="30">
        <v>0.0</v>
      </c>
      <c r="H37" s="30">
        <v>0.0</v>
      </c>
      <c r="I37" s="30">
        <v>259.17</v>
      </c>
      <c r="J37" s="30">
        <v>0.0</v>
      </c>
      <c r="K37" s="30">
        <v>0.0</v>
      </c>
      <c r="L37" s="30">
        <v>0.0</v>
      </c>
      <c r="M37" s="30">
        <v>0.0</v>
      </c>
      <c r="N37" s="30">
        <v>271.6666666666665</v>
      </c>
      <c r="O37" s="30">
        <v>-128.83666666666653</v>
      </c>
      <c r="P37" s="30">
        <v>-7.904089979550094</v>
      </c>
      <c r="Q37" s="30">
        <v>-9.484907975460112</v>
      </c>
    </row>
    <row r="38">
      <c r="A38" s="47">
        <v>1.1250972567E10</v>
      </c>
      <c r="B38" s="48">
        <v>46161.90032407407</v>
      </c>
      <c r="C38" s="30">
        <v>3.863241725E9</v>
      </c>
      <c r="D38" s="47" t="s">
        <v>1508</v>
      </c>
      <c r="E38" s="30">
        <v>745.0</v>
      </c>
      <c r="F38" s="30">
        <v>580.0</v>
      </c>
      <c r="G38" s="30">
        <v>0.0</v>
      </c>
      <c r="H38" s="30">
        <v>0.0</v>
      </c>
      <c r="I38" s="30">
        <v>44.7</v>
      </c>
      <c r="J38" s="30">
        <v>0.0</v>
      </c>
      <c r="K38" s="30">
        <v>0.0</v>
      </c>
      <c r="L38" s="30">
        <v>0.0</v>
      </c>
      <c r="M38" s="30">
        <v>0.0</v>
      </c>
      <c r="N38" s="30">
        <v>124.16666666666663</v>
      </c>
      <c r="O38" s="30">
        <v>-3.8666666666666316</v>
      </c>
      <c r="P38" s="30">
        <v>-0.5190156599552526</v>
      </c>
      <c r="Q38" s="30">
        <v>-0.6228187919463031</v>
      </c>
    </row>
    <row r="39">
      <c r="A39" s="47">
        <v>1.1241232319E10</v>
      </c>
      <c r="B39" s="48">
        <v>46158.92017361111</v>
      </c>
      <c r="C39" s="30">
        <v>3.855114398E9</v>
      </c>
      <c r="D39" s="47" t="s">
        <v>1509</v>
      </c>
      <c r="E39" s="30">
        <v>2187.0</v>
      </c>
      <c r="F39" s="30">
        <v>1740.0</v>
      </c>
      <c r="G39" s="30">
        <v>0.0</v>
      </c>
      <c r="H39" s="30">
        <v>0.0</v>
      </c>
      <c r="I39" s="30">
        <v>108.2565</v>
      </c>
      <c r="J39" s="30">
        <v>0.0</v>
      </c>
      <c r="K39" s="30">
        <v>0.0</v>
      </c>
      <c r="L39" s="30">
        <v>0.0</v>
      </c>
      <c r="M39" s="30">
        <v>0.0</v>
      </c>
      <c r="N39" s="30">
        <v>364.5</v>
      </c>
      <c r="O39" s="30">
        <v>-25.756500000000017</v>
      </c>
      <c r="P39" s="30">
        <v>-1.1777091906721544</v>
      </c>
      <c r="Q39" s="30">
        <v>-1.4132510288065854</v>
      </c>
    </row>
    <row r="40">
      <c r="A40" s="47">
        <v>1.1241516545E10</v>
      </c>
      <c r="B40" s="48">
        <v>46158.977638888886</v>
      </c>
      <c r="C40" s="30">
        <v>3.855309232E9</v>
      </c>
      <c r="D40" s="47" t="s">
        <v>1509</v>
      </c>
      <c r="E40" s="30">
        <v>3645.0</v>
      </c>
      <c r="F40" s="30">
        <v>2900.0</v>
      </c>
      <c r="G40" s="30">
        <v>0.0</v>
      </c>
      <c r="H40" s="30">
        <v>0.0</v>
      </c>
      <c r="I40" s="30">
        <v>180.4275</v>
      </c>
      <c r="J40" s="30">
        <v>0.0</v>
      </c>
      <c r="K40" s="30">
        <v>0.0</v>
      </c>
      <c r="L40" s="30">
        <v>0.0</v>
      </c>
      <c r="M40" s="30">
        <v>0.0</v>
      </c>
      <c r="N40" s="30">
        <v>607.5</v>
      </c>
      <c r="O40" s="30">
        <v>-42.92750000000001</v>
      </c>
      <c r="P40" s="30">
        <v>-1.1777091906721537</v>
      </c>
      <c r="Q40" s="30">
        <v>-1.4132510288065847</v>
      </c>
    </row>
    <row r="41">
      <c r="A41" s="47">
        <v>1.124088554E10</v>
      </c>
      <c r="B41" s="48">
        <v>46158.8503587963</v>
      </c>
      <c r="C41" s="30">
        <v>3.854887177E9</v>
      </c>
      <c r="D41" s="47" t="s">
        <v>1509</v>
      </c>
      <c r="E41" s="30">
        <v>1285.0</v>
      </c>
      <c r="F41" s="30">
        <v>1190.0</v>
      </c>
      <c r="G41" s="30">
        <v>0.0</v>
      </c>
      <c r="H41" s="30">
        <v>0.0</v>
      </c>
      <c r="I41" s="30">
        <v>34.69500000000001</v>
      </c>
      <c r="J41" s="30">
        <v>0.0</v>
      </c>
      <c r="K41" s="30">
        <v>0.0</v>
      </c>
      <c r="L41" s="30">
        <v>0.0</v>
      </c>
      <c r="M41" s="30">
        <v>0.0</v>
      </c>
      <c r="N41" s="30">
        <v>214.16666666666652</v>
      </c>
      <c r="O41" s="30">
        <v>-153.8616666666665</v>
      </c>
      <c r="P41" s="30">
        <v>-11.973670557717238</v>
      </c>
      <c r="Q41" s="30">
        <v>-14.368404669260684</v>
      </c>
    </row>
    <row r="42">
      <c r="A42" s="47">
        <v>1.1240816893E10</v>
      </c>
      <c r="B42" s="48">
        <v>46158.836180555554</v>
      </c>
      <c r="C42" s="30">
        <v>3.854836784E9</v>
      </c>
      <c r="D42" s="47" t="s">
        <v>1509</v>
      </c>
      <c r="E42" s="30">
        <v>1285.0</v>
      </c>
      <c r="F42" s="30">
        <v>1190.0</v>
      </c>
      <c r="G42" s="30">
        <v>0.0</v>
      </c>
      <c r="H42" s="30">
        <v>0.0</v>
      </c>
      <c r="I42" s="30">
        <v>34.69500000000001</v>
      </c>
      <c r="J42" s="30">
        <v>0.0</v>
      </c>
      <c r="K42" s="30">
        <v>0.0</v>
      </c>
      <c r="L42" s="30">
        <v>0.0</v>
      </c>
      <c r="M42" s="30">
        <v>0.0</v>
      </c>
      <c r="N42" s="30">
        <v>214.16666666666652</v>
      </c>
      <c r="O42" s="30">
        <v>-153.8616666666665</v>
      </c>
      <c r="P42" s="30">
        <v>-11.973670557717238</v>
      </c>
      <c r="Q42" s="30">
        <v>-14.368404669260684</v>
      </c>
    </row>
    <row r="43">
      <c r="A43" s="47">
        <v>1.1240679696E10</v>
      </c>
      <c r="B43" s="48">
        <v>46158.80761574074</v>
      </c>
      <c r="C43" s="30">
        <v>3.854742498E9</v>
      </c>
      <c r="D43" s="47" t="s">
        <v>1509</v>
      </c>
      <c r="E43" s="30">
        <v>729.0</v>
      </c>
      <c r="F43" s="30">
        <v>580.0</v>
      </c>
      <c r="G43" s="30">
        <v>0.0</v>
      </c>
      <c r="H43" s="30">
        <v>0.0</v>
      </c>
      <c r="I43" s="30">
        <v>36.0855</v>
      </c>
      <c r="J43" s="30">
        <v>0.0</v>
      </c>
      <c r="K43" s="30">
        <v>0.0</v>
      </c>
      <c r="L43" s="30">
        <v>0.0</v>
      </c>
      <c r="M43" s="30">
        <v>0.0</v>
      </c>
      <c r="N43" s="30">
        <v>121.5</v>
      </c>
      <c r="O43" s="30">
        <v>-8.585499999999996</v>
      </c>
      <c r="P43" s="30">
        <v>-1.177709190672153</v>
      </c>
      <c r="Q43" s="30">
        <v>-1.4132510288065838</v>
      </c>
    </row>
    <row r="44">
      <c r="A44" s="47">
        <v>1.1236787735E10</v>
      </c>
      <c r="B44" s="48">
        <v>46157.66253472222</v>
      </c>
      <c r="C44" s="30">
        <v>3.851496123E9</v>
      </c>
      <c r="D44" s="47" t="s">
        <v>1509</v>
      </c>
      <c r="E44" s="30">
        <v>1438.0</v>
      </c>
      <c r="F44" s="30">
        <v>754.0</v>
      </c>
      <c r="G44" s="30">
        <v>0.0</v>
      </c>
      <c r="H44" s="30">
        <v>0.0</v>
      </c>
      <c r="I44" s="30">
        <v>213.543</v>
      </c>
      <c r="J44" s="30">
        <v>0.0</v>
      </c>
      <c r="K44" s="30">
        <v>0.0</v>
      </c>
      <c r="L44" s="30">
        <v>0.0</v>
      </c>
      <c r="M44" s="30">
        <v>0.0</v>
      </c>
      <c r="N44" s="30">
        <v>239.66666666666652</v>
      </c>
      <c r="O44" s="30">
        <v>230.79033333333348</v>
      </c>
      <c r="P44" s="30">
        <v>16.049397311080213</v>
      </c>
      <c r="Q44" s="30">
        <v>19.259276773296254</v>
      </c>
    </row>
    <row r="45">
      <c r="A45" s="47">
        <v>1.12405382E10</v>
      </c>
      <c r="B45" s="48">
        <v>46158.777604166666</v>
      </c>
      <c r="C45" s="30">
        <v>3.854634667E9</v>
      </c>
      <c r="D45" s="47" t="s">
        <v>1509</v>
      </c>
      <c r="E45" s="30">
        <v>729.0</v>
      </c>
      <c r="F45" s="30">
        <v>580.0</v>
      </c>
      <c r="G45" s="30">
        <v>0.0</v>
      </c>
      <c r="H45" s="30">
        <v>0.0</v>
      </c>
      <c r="I45" s="30">
        <v>32.148900000000005</v>
      </c>
      <c r="J45" s="30">
        <v>0.0</v>
      </c>
      <c r="K45" s="30">
        <v>0.0</v>
      </c>
      <c r="L45" s="30">
        <v>0.0</v>
      </c>
      <c r="M45" s="30">
        <v>0.0</v>
      </c>
      <c r="N45" s="30">
        <v>121.5</v>
      </c>
      <c r="O45" s="30">
        <v>-4.648899999999998</v>
      </c>
      <c r="P45" s="30">
        <v>-0.6377091906721534</v>
      </c>
      <c r="Q45" s="30">
        <v>-0.765251028806584</v>
      </c>
    </row>
    <row r="46">
      <c r="A46" s="47">
        <v>1.1235847973E10</v>
      </c>
      <c r="B46" s="48">
        <v>46157.15143518519</v>
      </c>
      <c r="C46" s="30">
        <v>3.85054931E9</v>
      </c>
      <c r="D46" s="47" t="s">
        <v>1509</v>
      </c>
      <c r="E46" s="30">
        <v>727.0</v>
      </c>
      <c r="F46" s="30">
        <v>580.0</v>
      </c>
      <c r="G46" s="30">
        <v>0.0</v>
      </c>
      <c r="H46" s="30">
        <v>0.0</v>
      </c>
      <c r="I46" s="30">
        <v>32.060700000000004</v>
      </c>
      <c r="J46" s="30">
        <v>0.0</v>
      </c>
      <c r="K46" s="30">
        <v>0.0</v>
      </c>
      <c r="L46" s="30">
        <v>0.0</v>
      </c>
      <c r="M46" s="30">
        <v>0.0</v>
      </c>
      <c r="N46" s="30">
        <v>121.16666666666663</v>
      </c>
      <c r="O46" s="30">
        <v>-6.227366666666626</v>
      </c>
      <c r="P46" s="30">
        <v>-0.8565841357175551</v>
      </c>
      <c r="Q46" s="30">
        <v>-1.027900962861066</v>
      </c>
    </row>
    <row r="47">
      <c r="A47" s="47">
        <v>1.1240455761E10</v>
      </c>
      <c r="B47" s="48">
        <v>46158.76027777778</v>
      </c>
      <c r="C47" s="30">
        <v>3.854572263E9</v>
      </c>
      <c r="D47" s="47" t="s">
        <v>1509</v>
      </c>
      <c r="E47" s="30">
        <v>1286.0</v>
      </c>
      <c r="F47" s="30">
        <v>1190.0</v>
      </c>
      <c r="G47" s="30">
        <v>0.0</v>
      </c>
      <c r="H47" s="30">
        <v>0.0</v>
      </c>
      <c r="I47" s="30">
        <v>34.722</v>
      </c>
      <c r="J47" s="30">
        <v>0.0</v>
      </c>
      <c r="K47" s="30">
        <v>0.0</v>
      </c>
      <c r="L47" s="30">
        <v>0.0</v>
      </c>
      <c r="M47" s="30">
        <v>0.0</v>
      </c>
      <c r="N47" s="30">
        <v>214.33333333333326</v>
      </c>
      <c r="O47" s="30">
        <v>-153.05533333333327</v>
      </c>
      <c r="P47" s="30">
        <v>-11.901658890616895</v>
      </c>
      <c r="Q47" s="30">
        <v>-14.28199066874027</v>
      </c>
    </row>
    <row r="48">
      <c r="A48" s="47">
        <v>1.1243814895E10</v>
      </c>
      <c r="B48" s="48">
        <v>46159.80594907407</v>
      </c>
      <c r="C48" s="30">
        <v>3.857233105E9</v>
      </c>
      <c r="D48" s="47" t="s">
        <v>1509</v>
      </c>
      <c r="E48" s="30">
        <v>729.0</v>
      </c>
      <c r="F48" s="30">
        <v>580.0</v>
      </c>
      <c r="G48" s="30">
        <v>0.0</v>
      </c>
      <c r="H48" s="30">
        <v>0.0</v>
      </c>
      <c r="I48" s="30">
        <v>36.0855</v>
      </c>
      <c r="J48" s="30">
        <v>0.0</v>
      </c>
      <c r="K48" s="30">
        <v>0.0</v>
      </c>
      <c r="L48" s="30">
        <v>0.0</v>
      </c>
      <c r="M48" s="30">
        <v>0.0</v>
      </c>
      <c r="N48" s="30">
        <v>121.5</v>
      </c>
      <c r="O48" s="30">
        <v>-8.585499999999996</v>
      </c>
      <c r="P48" s="30">
        <v>-1.177709190672153</v>
      </c>
      <c r="Q48" s="30">
        <v>-1.4132510288065838</v>
      </c>
    </row>
    <row r="49">
      <c r="A49" s="47">
        <v>1.124262816E10</v>
      </c>
      <c r="B49" s="48">
        <v>46159.52376157408</v>
      </c>
      <c r="C49" s="30">
        <v>3.85628404E9</v>
      </c>
      <c r="D49" s="47" t="s">
        <v>1509</v>
      </c>
      <c r="E49" s="30">
        <v>729.0</v>
      </c>
      <c r="F49" s="30">
        <v>580.0</v>
      </c>
      <c r="G49" s="30">
        <v>0.0</v>
      </c>
      <c r="H49" s="30">
        <v>0.0</v>
      </c>
      <c r="I49" s="30">
        <v>32.148900000000005</v>
      </c>
      <c r="J49" s="30">
        <v>0.0</v>
      </c>
      <c r="K49" s="30">
        <v>0.0</v>
      </c>
      <c r="L49" s="30">
        <v>0.0</v>
      </c>
      <c r="M49" s="30">
        <v>0.0</v>
      </c>
      <c r="N49" s="30">
        <v>121.5</v>
      </c>
      <c r="O49" s="30">
        <v>-4.648899999999998</v>
      </c>
      <c r="P49" s="30">
        <v>-0.6377091906721534</v>
      </c>
      <c r="Q49" s="30">
        <v>-0.765251028806584</v>
      </c>
    </row>
    <row r="50">
      <c r="A50" s="47">
        <v>1.1240959323E10</v>
      </c>
      <c r="B50" s="48">
        <v>46158.86561342593</v>
      </c>
      <c r="C50" s="30">
        <v>3.854936193E9</v>
      </c>
      <c r="D50" s="47" t="s">
        <v>1509</v>
      </c>
      <c r="E50" s="30">
        <v>729.0</v>
      </c>
      <c r="F50" s="30">
        <v>580.0</v>
      </c>
      <c r="G50" s="30">
        <v>0.0</v>
      </c>
      <c r="H50" s="30">
        <v>0.0</v>
      </c>
      <c r="I50" s="30">
        <v>32.148900000000005</v>
      </c>
      <c r="J50" s="30">
        <v>0.0</v>
      </c>
      <c r="K50" s="30">
        <v>0.0</v>
      </c>
      <c r="L50" s="30">
        <v>0.0</v>
      </c>
      <c r="M50" s="30">
        <v>0.0</v>
      </c>
      <c r="N50" s="30">
        <v>121.5</v>
      </c>
      <c r="O50" s="30">
        <v>-4.648899999999998</v>
      </c>
      <c r="P50" s="30">
        <v>-0.6377091906721534</v>
      </c>
      <c r="Q50" s="30">
        <v>-0.765251028806584</v>
      </c>
    </row>
    <row r="51">
      <c r="A51" s="47">
        <v>1.124265118E10</v>
      </c>
      <c r="B51" s="48">
        <v>46159.534791666665</v>
      </c>
      <c r="C51" s="30">
        <v>3.856305441E9</v>
      </c>
      <c r="D51" s="47" t="s">
        <v>1509</v>
      </c>
      <c r="E51" s="30">
        <v>729.0</v>
      </c>
      <c r="F51" s="30">
        <v>580.0</v>
      </c>
      <c r="G51" s="30">
        <v>0.0</v>
      </c>
      <c r="H51" s="30">
        <v>0.0</v>
      </c>
      <c r="I51" s="30">
        <v>32.148900000000005</v>
      </c>
      <c r="J51" s="30">
        <v>0.0</v>
      </c>
      <c r="K51" s="30">
        <v>0.0</v>
      </c>
      <c r="L51" s="30">
        <v>0.0</v>
      </c>
      <c r="M51" s="30">
        <v>0.0</v>
      </c>
      <c r="N51" s="30">
        <v>121.5</v>
      </c>
      <c r="O51" s="30">
        <v>-4.648899999999998</v>
      </c>
      <c r="P51" s="30">
        <v>-0.6377091906721534</v>
      </c>
      <c r="Q51" s="30">
        <v>-0.765251028806584</v>
      </c>
    </row>
    <row r="52">
      <c r="A52" s="47">
        <v>1.123376411E10</v>
      </c>
      <c r="B52" s="48">
        <v>46156.694548611114</v>
      </c>
      <c r="C52" s="30">
        <v>3.84878482E9</v>
      </c>
      <c r="D52" s="47" t="s">
        <v>1509</v>
      </c>
      <c r="E52" s="30">
        <v>1454.0</v>
      </c>
      <c r="F52" s="30">
        <v>1160.0</v>
      </c>
      <c r="G52" s="30">
        <v>0.0</v>
      </c>
      <c r="H52" s="30">
        <v>0.0</v>
      </c>
      <c r="I52" s="30">
        <v>64.12140000000001</v>
      </c>
      <c r="J52" s="30">
        <v>0.0</v>
      </c>
      <c r="K52" s="30">
        <v>0.0</v>
      </c>
      <c r="L52" s="30">
        <v>0.0</v>
      </c>
      <c r="M52" s="30">
        <v>0.0</v>
      </c>
      <c r="N52" s="30">
        <v>242.33333333333326</v>
      </c>
      <c r="O52" s="30">
        <v>-12.454733333333252</v>
      </c>
      <c r="P52" s="30">
        <v>-0.8565841357175551</v>
      </c>
      <c r="Q52" s="30">
        <v>-1.027900962861066</v>
      </c>
    </row>
    <row r="53">
      <c r="A53" s="47">
        <v>1.1242246255E10</v>
      </c>
      <c r="B53" s="48">
        <v>46159.135046296295</v>
      </c>
      <c r="C53" s="30">
        <v>3.855925676E9</v>
      </c>
      <c r="D53" s="47" t="s">
        <v>1509</v>
      </c>
      <c r="E53" s="30">
        <v>1284.0</v>
      </c>
      <c r="F53" s="30">
        <v>1190.0</v>
      </c>
      <c r="G53" s="30">
        <v>0.0</v>
      </c>
      <c r="H53" s="30">
        <v>0.0</v>
      </c>
      <c r="I53" s="30">
        <v>34.668</v>
      </c>
      <c r="J53" s="30">
        <v>0.0</v>
      </c>
      <c r="K53" s="30">
        <v>0.0</v>
      </c>
      <c r="L53" s="30">
        <v>0.0</v>
      </c>
      <c r="M53" s="30">
        <v>0.0</v>
      </c>
      <c r="N53" s="30">
        <v>214.0</v>
      </c>
      <c r="O53" s="30">
        <v>-154.668</v>
      </c>
      <c r="P53" s="30">
        <v>-12.045794392523366</v>
      </c>
      <c r="Q53" s="30">
        <v>-14.454953271028037</v>
      </c>
    </row>
    <row r="54">
      <c r="A54" s="47">
        <v>1.1245921084E10</v>
      </c>
      <c r="B54" s="48">
        <v>46160.49396990741</v>
      </c>
      <c r="C54" s="30">
        <v>3.858998606E9</v>
      </c>
      <c r="D54" s="47" t="s">
        <v>1509</v>
      </c>
      <c r="E54" s="30">
        <v>1458.0</v>
      </c>
      <c r="F54" s="30">
        <v>1160.0</v>
      </c>
      <c r="G54" s="30">
        <v>0.0</v>
      </c>
      <c r="H54" s="30">
        <v>0.0</v>
      </c>
      <c r="I54" s="30">
        <v>64.29780000000001</v>
      </c>
      <c r="J54" s="30">
        <v>0.0</v>
      </c>
      <c r="K54" s="30">
        <v>0.0</v>
      </c>
      <c r="L54" s="30">
        <v>0.0</v>
      </c>
      <c r="M54" s="30">
        <v>0.0</v>
      </c>
      <c r="N54" s="30">
        <v>243.0</v>
      </c>
      <c r="O54" s="30">
        <v>-9.297799999999995</v>
      </c>
      <c r="P54" s="30">
        <v>-0.6377091906721534</v>
      </c>
      <c r="Q54" s="30">
        <v>-0.765251028806584</v>
      </c>
    </row>
    <row r="55">
      <c r="A55" s="47">
        <v>1.1242180863E10</v>
      </c>
      <c r="B55" s="48">
        <v>46159.11798611111</v>
      </c>
      <c r="C55" s="30">
        <v>3.855864454E9</v>
      </c>
      <c r="D55" s="47" t="s">
        <v>1509</v>
      </c>
      <c r="E55" s="30">
        <v>1284.0</v>
      </c>
      <c r="F55" s="30">
        <v>1190.0</v>
      </c>
      <c r="G55" s="30">
        <v>0.0</v>
      </c>
      <c r="H55" s="30">
        <v>0.0</v>
      </c>
      <c r="I55" s="30">
        <v>34.668</v>
      </c>
      <c r="J55" s="30">
        <v>0.0</v>
      </c>
      <c r="K55" s="30">
        <v>0.0</v>
      </c>
      <c r="L55" s="30">
        <v>0.0</v>
      </c>
      <c r="M55" s="30">
        <v>0.0</v>
      </c>
      <c r="N55" s="30">
        <v>214.0</v>
      </c>
      <c r="O55" s="30">
        <v>-154.668</v>
      </c>
      <c r="P55" s="30">
        <v>-12.045794392523366</v>
      </c>
      <c r="Q55" s="30">
        <v>-14.454953271028037</v>
      </c>
    </row>
    <row r="56">
      <c r="A56" s="47">
        <v>1.1239081857E10</v>
      </c>
      <c r="B56" s="48">
        <v>46158.13211805555</v>
      </c>
      <c r="C56" s="30">
        <v>3.853337106E9</v>
      </c>
      <c r="D56" s="47" t="s">
        <v>1509</v>
      </c>
      <c r="E56" s="30">
        <v>4609.03</v>
      </c>
      <c r="F56" s="30">
        <v>3475.0</v>
      </c>
      <c r="G56" s="30">
        <v>0.0</v>
      </c>
      <c r="H56" s="30">
        <v>0.0</v>
      </c>
      <c r="I56" s="30">
        <v>518.5158749999999</v>
      </c>
      <c r="J56" s="30">
        <v>0.0</v>
      </c>
      <c r="K56" s="30">
        <v>0.0</v>
      </c>
      <c r="L56" s="30">
        <v>0.0</v>
      </c>
      <c r="M56" s="30">
        <v>0.0</v>
      </c>
      <c r="N56" s="30">
        <v>768.1716666666666</v>
      </c>
      <c r="O56" s="30">
        <v>-152.65754166666682</v>
      </c>
      <c r="P56" s="30">
        <v>-3.312140334661888</v>
      </c>
      <c r="Q56" s="30">
        <v>-3.974568401594266</v>
      </c>
    </row>
    <row r="57">
      <c r="A57" s="47">
        <v>1.1240441245E10</v>
      </c>
      <c r="B57" s="48">
        <v>46158.75753472222</v>
      </c>
      <c r="C57" s="30">
        <v>3.85456352E9</v>
      </c>
      <c r="D57" s="47" t="s">
        <v>1510</v>
      </c>
      <c r="E57" s="30">
        <v>2187.0</v>
      </c>
      <c r="F57" s="30">
        <v>1740.0</v>
      </c>
      <c r="G57" s="30">
        <v>0.0</v>
      </c>
      <c r="H57" s="30">
        <v>0.0</v>
      </c>
      <c r="I57" s="30">
        <v>96.4467</v>
      </c>
      <c r="J57" s="30">
        <v>0.0</v>
      </c>
      <c r="K57" s="30">
        <v>0.0</v>
      </c>
      <c r="L57" s="30">
        <v>0.0</v>
      </c>
      <c r="M57" s="30">
        <v>0.0</v>
      </c>
      <c r="N57" s="30">
        <v>364.5</v>
      </c>
      <c r="O57" s="30">
        <v>-13.946700000000021</v>
      </c>
      <c r="P57" s="30">
        <v>-0.6377091906721546</v>
      </c>
      <c r="Q57" s="30">
        <v>-0.7652510288065856</v>
      </c>
    </row>
    <row r="58">
      <c r="A58" s="47">
        <v>1.1239549203E10</v>
      </c>
      <c r="B58" s="48">
        <v>46158.55385416667</v>
      </c>
      <c r="C58" s="30">
        <v>3.853801275E9</v>
      </c>
      <c r="D58" s="47" t="s">
        <v>1509</v>
      </c>
      <c r="E58" s="30">
        <v>729.0</v>
      </c>
      <c r="F58" s="30">
        <v>580.0</v>
      </c>
      <c r="G58" s="30">
        <v>0.0</v>
      </c>
      <c r="H58" s="30">
        <v>0.0</v>
      </c>
      <c r="I58" s="30">
        <v>36.0855</v>
      </c>
      <c r="J58" s="30">
        <v>0.0</v>
      </c>
      <c r="K58" s="30">
        <v>0.0</v>
      </c>
      <c r="L58" s="30">
        <v>0.0</v>
      </c>
      <c r="M58" s="30">
        <v>0.0</v>
      </c>
      <c r="N58" s="30">
        <v>121.5</v>
      </c>
      <c r="O58" s="30">
        <v>-8.585499999999996</v>
      </c>
      <c r="P58" s="30">
        <v>-1.177709190672153</v>
      </c>
      <c r="Q58" s="30">
        <v>-1.4132510288065838</v>
      </c>
    </row>
    <row r="59">
      <c r="A59" s="47">
        <v>1.1240528368E10</v>
      </c>
      <c r="B59" s="48">
        <v>46158.775416666664</v>
      </c>
      <c r="C59" s="30">
        <v>3.854628044E9</v>
      </c>
      <c r="D59" s="47" t="s">
        <v>1509</v>
      </c>
      <c r="E59" s="30">
        <v>1458.0</v>
      </c>
      <c r="F59" s="30">
        <v>1160.0</v>
      </c>
      <c r="G59" s="30">
        <v>0.0</v>
      </c>
      <c r="H59" s="30">
        <v>0.0</v>
      </c>
      <c r="I59" s="30">
        <v>64.29780000000001</v>
      </c>
      <c r="J59" s="30">
        <v>0.0</v>
      </c>
      <c r="K59" s="30">
        <v>0.0</v>
      </c>
      <c r="L59" s="30">
        <v>0.0</v>
      </c>
      <c r="M59" s="30">
        <v>0.0</v>
      </c>
      <c r="N59" s="30">
        <v>243.0</v>
      </c>
      <c r="O59" s="30">
        <v>-9.297799999999995</v>
      </c>
      <c r="P59" s="30">
        <v>-0.6377091906721534</v>
      </c>
      <c r="Q59" s="30">
        <v>-0.765251028806584</v>
      </c>
    </row>
    <row r="60">
      <c r="A60" s="47">
        <v>1.1241860607E10</v>
      </c>
      <c r="B60" s="48">
        <v>46159.04707175926</v>
      </c>
      <c r="C60" s="30">
        <v>3.855579053E9</v>
      </c>
      <c r="D60" s="47" t="s">
        <v>1510</v>
      </c>
      <c r="E60" s="30">
        <v>1284.0</v>
      </c>
      <c r="F60" s="30">
        <v>1190.0</v>
      </c>
      <c r="G60" s="30">
        <v>0.0</v>
      </c>
      <c r="H60" s="30">
        <v>0.0</v>
      </c>
      <c r="I60" s="30">
        <v>34.668</v>
      </c>
      <c r="J60" s="30">
        <v>0.0</v>
      </c>
      <c r="K60" s="30">
        <v>0.0</v>
      </c>
      <c r="L60" s="30">
        <v>0.0</v>
      </c>
      <c r="M60" s="30">
        <v>0.0</v>
      </c>
      <c r="N60" s="30">
        <v>214.0</v>
      </c>
      <c r="O60" s="30">
        <v>-154.668</v>
      </c>
      <c r="P60" s="30">
        <v>-12.045794392523366</v>
      </c>
      <c r="Q60" s="30">
        <v>-14.454953271028037</v>
      </c>
    </row>
    <row r="61">
      <c r="A61" s="47">
        <v>1.123999675E10</v>
      </c>
      <c r="B61" s="48">
        <v>46158.66636574074</v>
      </c>
      <c r="C61" s="30">
        <v>3.854202067E9</v>
      </c>
      <c r="D61" s="47" t="s">
        <v>1510</v>
      </c>
      <c r="E61" s="30">
        <v>1287.0</v>
      </c>
      <c r="F61" s="30">
        <v>1165.0</v>
      </c>
      <c r="G61" s="30">
        <v>0.0</v>
      </c>
      <c r="H61" s="30">
        <v>0.0</v>
      </c>
      <c r="I61" s="30">
        <v>46.332</v>
      </c>
      <c r="J61" s="30">
        <v>0.0</v>
      </c>
      <c r="K61" s="30">
        <v>0.0</v>
      </c>
      <c r="L61" s="30">
        <v>0.0</v>
      </c>
      <c r="M61" s="30">
        <v>0.0</v>
      </c>
      <c r="N61" s="30">
        <v>214.5</v>
      </c>
      <c r="O61" s="30">
        <v>-138.832</v>
      </c>
      <c r="P61" s="30">
        <v>-10.787257187257186</v>
      </c>
      <c r="Q61" s="30">
        <v>-12.944708624708623</v>
      </c>
    </row>
    <row r="62">
      <c r="A62" s="47">
        <v>1.1242333199E10</v>
      </c>
      <c r="B62" s="48">
        <v>46159.16233796296</v>
      </c>
      <c r="C62" s="30">
        <v>3.856000048E9</v>
      </c>
      <c r="D62" s="47" t="s">
        <v>1509</v>
      </c>
      <c r="E62" s="30">
        <v>1284.0</v>
      </c>
      <c r="F62" s="30">
        <v>1190.0</v>
      </c>
      <c r="G62" s="30">
        <v>0.0</v>
      </c>
      <c r="H62" s="30">
        <v>0.0</v>
      </c>
      <c r="I62" s="30">
        <v>34.668</v>
      </c>
      <c r="J62" s="30">
        <v>0.0</v>
      </c>
      <c r="K62" s="30">
        <v>0.0</v>
      </c>
      <c r="L62" s="30">
        <v>0.0</v>
      </c>
      <c r="M62" s="30">
        <v>0.0</v>
      </c>
      <c r="N62" s="30">
        <v>214.0</v>
      </c>
      <c r="O62" s="30">
        <v>-154.668</v>
      </c>
      <c r="P62" s="30">
        <v>-12.045794392523366</v>
      </c>
      <c r="Q62" s="30">
        <v>-14.454953271028037</v>
      </c>
    </row>
    <row r="63">
      <c r="A63" s="47">
        <v>1.1239593971E10</v>
      </c>
      <c r="B63" s="48">
        <v>46158.56831018518</v>
      </c>
      <c r="C63" s="30">
        <v>3.853843047E9</v>
      </c>
      <c r="D63" s="47" t="s">
        <v>1509</v>
      </c>
      <c r="E63" s="30">
        <v>1289.0</v>
      </c>
      <c r="F63" s="30">
        <v>1190.0</v>
      </c>
      <c r="G63" s="30">
        <v>0.0</v>
      </c>
      <c r="H63" s="30">
        <v>0.0</v>
      </c>
      <c r="I63" s="30">
        <v>34.803000000000004</v>
      </c>
      <c r="J63" s="30">
        <v>0.0</v>
      </c>
      <c r="K63" s="30">
        <v>0.0</v>
      </c>
      <c r="L63" s="30">
        <v>0.0</v>
      </c>
      <c r="M63" s="30">
        <v>0.0</v>
      </c>
      <c r="N63" s="30">
        <v>214.83333333333326</v>
      </c>
      <c r="O63" s="30">
        <v>-150.63633333333325</v>
      </c>
      <c r="P63" s="30">
        <v>-11.686294284975427</v>
      </c>
      <c r="Q63" s="30">
        <v>-14.023553141970513</v>
      </c>
    </row>
    <row r="64">
      <c r="A64" s="47">
        <v>1.1242040473E10</v>
      </c>
      <c r="B64" s="48">
        <v>46159.085335648146</v>
      </c>
      <c r="C64" s="30">
        <v>3.855737779E9</v>
      </c>
      <c r="D64" s="47" t="s">
        <v>1509</v>
      </c>
      <c r="E64" s="30">
        <v>1916.0</v>
      </c>
      <c r="F64" s="30">
        <v>2.0</v>
      </c>
      <c r="G64" s="30">
        <v>0.0</v>
      </c>
      <c r="H64" s="30">
        <v>0.0</v>
      </c>
      <c r="I64" s="30">
        <v>215.55</v>
      </c>
      <c r="J64" s="30">
        <v>0.0</v>
      </c>
      <c r="K64" s="30">
        <v>0.0</v>
      </c>
      <c r="L64" s="30">
        <v>0.0</v>
      </c>
      <c r="M64" s="30">
        <v>0.0</v>
      </c>
      <c r="N64" s="30">
        <v>319.33333333333326</v>
      </c>
      <c r="O64" s="30">
        <v>1379.1166666666668</v>
      </c>
      <c r="P64" s="30">
        <v>71.97894919972165</v>
      </c>
      <c r="Q64" s="30">
        <v>86.37473903966597</v>
      </c>
    </row>
    <row r="65">
      <c r="A65" s="47">
        <v>1.1241460569E10</v>
      </c>
      <c r="B65" s="48">
        <v>46158.966469907406</v>
      </c>
      <c r="C65" s="30">
        <v>3.855268072E9</v>
      </c>
      <c r="D65" s="47" t="s">
        <v>1509</v>
      </c>
      <c r="E65" s="30">
        <v>729.0</v>
      </c>
      <c r="F65" s="30">
        <v>580.0</v>
      </c>
      <c r="G65" s="30">
        <v>0.0</v>
      </c>
      <c r="H65" s="30">
        <v>0.0</v>
      </c>
      <c r="I65" s="30">
        <v>36.0855</v>
      </c>
      <c r="J65" s="30">
        <v>0.0</v>
      </c>
      <c r="K65" s="30">
        <v>0.0</v>
      </c>
      <c r="L65" s="30">
        <v>0.0</v>
      </c>
      <c r="M65" s="30">
        <v>0.0</v>
      </c>
      <c r="N65" s="30">
        <v>121.5</v>
      </c>
      <c r="O65" s="30">
        <v>-8.585499999999996</v>
      </c>
      <c r="P65" s="30">
        <v>-1.177709190672153</v>
      </c>
      <c r="Q65" s="30">
        <v>-1.4132510288065838</v>
      </c>
    </row>
    <row r="66">
      <c r="A66" s="47">
        <v>1.1244207814E10</v>
      </c>
      <c r="B66" s="48">
        <v>46159.88012731481</v>
      </c>
      <c r="C66" s="30">
        <v>3.857495786E9</v>
      </c>
      <c r="D66" s="47" t="s">
        <v>1509</v>
      </c>
      <c r="E66" s="30">
        <v>1458.0</v>
      </c>
      <c r="F66" s="30">
        <v>1160.0</v>
      </c>
      <c r="G66" s="30">
        <v>0.0</v>
      </c>
      <c r="H66" s="30">
        <v>0.0</v>
      </c>
      <c r="I66" s="30">
        <v>72.171</v>
      </c>
      <c r="J66" s="30">
        <v>0.0</v>
      </c>
      <c r="K66" s="30">
        <v>0.0</v>
      </c>
      <c r="L66" s="30">
        <v>0.0</v>
      </c>
      <c r="M66" s="30">
        <v>0.0</v>
      </c>
      <c r="N66" s="30">
        <v>243.0</v>
      </c>
      <c r="O66" s="30">
        <v>-17.170999999999992</v>
      </c>
      <c r="P66" s="30">
        <v>-1.177709190672153</v>
      </c>
      <c r="Q66" s="30">
        <v>-1.4132510288065838</v>
      </c>
    </row>
    <row r="67">
      <c r="A67" s="47">
        <v>1.124491729E10</v>
      </c>
      <c r="B67" s="48">
        <v>46160.0077662037</v>
      </c>
      <c r="C67" s="30">
        <v>3.857995947E9</v>
      </c>
      <c r="D67" s="47" t="s">
        <v>1509</v>
      </c>
      <c r="E67" s="30">
        <v>768.0</v>
      </c>
      <c r="F67" s="30">
        <v>580.0</v>
      </c>
      <c r="G67" s="30">
        <v>0.0</v>
      </c>
      <c r="H67" s="30">
        <v>0.0</v>
      </c>
      <c r="I67" s="30">
        <v>28.3392</v>
      </c>
      <c r="J67" s="30">
        <v>0.0</v>
      </c>
      <c r="K67" s="30">
        <v>0.0</v>
      </c>
      <c r="L67" s="30">
        <v>0.0</v>
      </c>
      <c r="M67" s="30">
        <v>0.0</v>
      </c>
      <c r="N67" s="30">
        <v>128.0</v>
      </c>
      <c r="O67" s="30">
        <v>31.660799999999995</v>
      </c>
      <c r="P67" s="30">
        <v>4.122499999999999</v>
      </c>
      <c r="Q67" s="30">
        <v>4.946999999999999</v>
      </c>
    </row>
    <row r="68">
      <c r="A68" s="47">
        <v>1.1250667516E10</v>
      </c>
      <c r="B68" s="48">
        <v>46161.83881944444</v>
      </c>
      <c r="C68" s="30">
        <v>3.863029955E9</v>
      </c>
      <c r="D68" s="47" t="s">
        <v>1508</v>
      </c>
      <c r="E68" s="30">
        <v>745.0</v>
      </c>
      <c r="F68" s="30">
        <v>580.0</v>
      </c>
      <c r="G68" s="30">
        <v>0.0</v>
      </c>
      <c r="H68" s="30">
        <v>0.0</v>
      </c>
      <c r="I68" s="30">
        <v>44.7</v>
      </c>
      <c r="J68" s="30">
        <v>0.0</v>
      </c>
      <c r="K68" s="30">
        <v>0.0</v>
      </c>
      <c r="L68" s="30">
        <v>0.0</v>
      </c>
      <c r="M68" s="30">
        <v>0.0</v>
      </c>
      <c r="N68" s="30">
        <v>124.16666666666663</v>
      </c>
      <c r="O68" s="30">
        <v>-3.8666666666666316</v>
      </c>
      <c r="P68" s="30">
        <v>-0.5190156599552526</v>
      </c>
      <c r="Q68" s="30">
        <v>-0.6228187919463031</v>
      </c>
    </row>
    <row r="69">
      <c r="A69" s="47">
        <v>1.124478015E10</v>
      </c>
      <c r="B69" s="48">
        <v>46159.983981481484</v>
      </c>
      <c r="C69" s="30">
        <v>3.857890091E9</v>
      </c>
      <c r="D69" s="47" t="s">
        <v>1509</v>
      </c>
      <c r="E69" s="30">
        <v>4714.0</v>
      </c>
      <c r="F69" s="30">
        <v>3609.0</v>
      </c>
      <c r="G69" s="30">
        <v>0.0</v>
      </c>
      <c r="H69" s="30">
        <v>0.0</v>
      </c>
      <c r="I69" s="30">
        <v>576.840573</v>
      </c>
      <c r="J69" s="30">
        <v>0.0</v>
      </c>
      <c r="K69" s="30">
        <v>0.0</v>
      </c>
      <c r="L69" s="30">
        <v>0.0</v>
      </c>
      <c r="M69" s="30">
        <v>0.0</v>
      </c>
      <c r="N69" s="30">
        <v>785.6666666666666</v>
      </c>
      <c r="O69" s="30">
        <v>-257.5072396666666</v>
      </c>
      <c r="P69" s="30">
        <v>-5.462605847829159</v>
      </c>
      <c r="Q69" s="30">
        <v>-6.555127017394991</v>
      </c>
    </row>
    <row r="70">
      <c r="A70" s="47">
        <v>1.1239776256E10</v>
      </c>
      <c r="B70" s="48">
        <v>46158.61722222222</v>
      </c>
      <c r="C70" s="30">
        <v>3.85401217E9</v>
      </c>
      <c r="D70" s="47" t="s">
        <v>1509</v>
      </c>
      <c r="E70" s="30">
        <v>489.0</v>
      </c>
      <c r="F70" s="30">
        <v>130.0</v>
      </c>
      <c r="G70" s="30">
        <v>0.0</v>
      </c>
      <c r="H70" s="30">
        <v>0.0</v>
      </c>
      <c r="I70" s="30">
        <v>88.02</v>
      </c>
      <c r="J70" s="30">
        <v>0.0</v>
      </c>
      <c r="K70" s="30">
        <v>0.0</v>
      </c>
      <c r="L70" s="30">
        <v>0.0</v>
      </c>
      <c r="M70" s="30">
        <v>0.0</v>
      </c>
      <c r="N70" s="30">
        <v>81.5</v>
      </c>
      <c r="O70" s="30">
        <v>189.48000000000002</v>
      </c>
      <c r="P70" s="30">
        <v>38.74846625766872</v>
      </c>
      <c r="Q70" s="30">
        <v>46.49815950920246</v>
      </c>
    </row>
    <row r="71">
      <c r="A71" s="47">
        <v>1.1240288083E10</v>
      </c>
      <c r="B71" s="48">
        <v>46158.72572916667</v>
      </c>
      <c r="C71" s="30">
        <v>3.854443755E9</v>
      </c>
      <c r="D71" s="47" t="s">
        <v>1509</v>
      </c>
      <c r="E71" s="30">
        <v>1286.0</v>
      </c>
      <c r="F71" s="30">
        <v>1190.0</v>
      </c>
      <c r="G71" s="30">
        <v>0.0</v>
      </c>
      <c r="H71" s="30">
        <v>0.0</v>
      </c>
      <c r="I71" s="30">
        <v>34.722</v>
      </c>
      <c r="J71" s="30">
        <v>0.0</v>
      </c>
      <c r="K71" s="30">
        <v>0.0</v>
      </c>
      <c r="L71" s="30">
        <v>0.0</v>
      </c>
      <c r="M71" s="30">
        <v>0.0</v>
      </c>
      <c r="N71" s="30">
        <v>214.33333333333326</v>
      </c>
      <c r="O71" s="30">
        <v>-153.05533333333327</v>
      </c>
      <c r="P71" s="30">
        <v>-11.901658890616895</v>
      </c>
      <c r="Q71" s="30">
        <v>-14.28199066874027</v>
      </c>
    </row>
    <row r="72">
      <c r="A72" s="47">
        <v>1.1237488007E10</v>
      </c>
      <c r="B72" s="48">
        <v>46157.80517361111</v>
      </c>
      <c r="C72" s="30">
        <v>3.852086796E9</v>
      </c>
      <c r="D72" s="47" t="s">
        <v>1509</v>
      </c>
      <c r="E72" s="30">
        <v>1458.0</v>
      </c>
      <c r="F72" s="30">
        <v>1160.0</v>
      </c>
      <c r="G72" s="30">
        <v>0.0</v>
      </c>
      <c r="H72" s="30">
        <v>0.0</v>
      </c>
      <c r="I72" s="30">
        <v>72.171</v>
      </c>
      <c r="J72" s="30">
        <v>0.0</v>
      </c>
      <c r="K72" s="30">
        <v>0.0</v>
      </c>
      <c r="L72" s="30">
        <v>0.0</v>
      </c>
      <c r="M72" s="30">
        <v>0.0</v>
      </c>
      <c r="N72" s="30">
        <v>243.0</v>
      </c>
      <c r="O72" s="30">
        <v>-17.170999999999992</v>
      </c>
      <c r="P72" s="30">
        <v>-1.177709190672153</v>
      </c>
      <c r="Q72" s="30">
        <v>-1.4132510288065838</v>
      </c>
    </row>
    <row r="73">
      <c r="A73" s="47">
        <v>1.1250649436E10</v>
      </c>
      <c r="B73" s="48">
        <v>46161.835277777776</v>
      </c>
      <c r="C73" s="30">
        <v>3.863019611E9</v>
      </c>
      <c r="D73" s="47" t="s">
        <v>1508</v>
      </c>
      <c r="E73" s="30">
        <v>1614.0</v>
      </c>
      <c r="F73" s="30">
        <v>1604.0</v>
      </c>
      <c r="G73" s="30">
        <v>0.0</v>
      </c>
      <c r="H73" s="30">
        <v>0.0</v>
      </c>
      <c r="I73" s="30">
        <v>0.0</v>
      </c>
      <c r="J73" s="30">
        <v>0.0</v>
      </c>
      <c r="K73" s="30">
        <v>0.0</v>
      </c>
      <c r="L73" s="30">
        <v>0.0</v>
      </c>
      <c r="M73" s="30">
        <v>0.0</v>
      </c>
      <c r="N73" s="30">
        <v>269.0</v>
      </c>
      <c r="O73" s="30">
        <v>-259.0</v>
      </c>
      <c r="P73" s="30">
        <v>-16.047087980173483</v>
      </c>
      <c r="Q73" s="30">
        <v>-19.256505576208177</v>
      </c>
    </row>
    <row r="74">
      <c r="A74" s="47">
        <v>1.124301985E10</v>
      </c>
      <c r="B74" s="48">
        <v>46159.644224537034</v>
      </c>
      <c r="C74" s="30">
        <v>3.85661323E9</v>
      </c>
      <c r="D74" s="47" t="s">
        <v>1509</v>
      </c>
      <c r="E74" s="30">
        <v>319.0</v>
      </c>
      <c r="F74" s="30">
        <v>180.0</v>
      </c>
      <c r="G74" s="30">
        <v>0.0</v>
      </c>
      <c r="H74" s="30">
        <v>0.0</v>
      </c>
      <c r="I74" s="30">
        <v>47.3715</v>
      </c>
      <c r="J74" s="30">
        <v>0.0</v>
      </c>
      <c r="K74" s="30">
        <v>0.0</v>
      </c>
      <c r="L74" s="30">
        <v>0.0</v>
      </c>
      <c r="M74" s="30">
        <v>0.0</v>
      </c>
      <c r="N74" s="30">
        <v>53.16666666666663</v>
      </c>
      <c r="O74" s="30">
        <v>38.461833333333374</v>
      </c>
      <c r="P74" s="30">
        <v>12.057001044932091</v>
      </c>
      <c r="Q74" s="30">
        <v>14.46840125391851</v>
      </c>
    </row>
    <row r="75">
      <c r="A75" s="47">
        <v>1.1243011682E10</v>
      </c>
      <c r="B75" s="48">
        <v>46159.64226851852</v>
      </c>
      <c r="C75" s="30">
        <v>3.856604251E9</v>
      </c>
      <c r="D75" s="47" t="s">
        <v>1509</v>
      </c>
      <c r="E75" s="30">
        <v>1708.0</v>
      </c>
      <c r="F75" s="30">
        <v>1386.5</v>
      </c>
      <c r="G75" s="30">
        <v>0.0</v>
      </c>
      <c r="H75" s="30">
        <v>0.0</v>
      </c>
      <c r="I75" s="30">
        <v>82.4535</v>
      </c>
      <c r="J75" s="30">
        <v>0.0</v>
      </c>
      <c r="K75" s="30">
        <v>0.0</v>
      </c>
      <c r="L75" s="30">
        <v>0.0</v>
      </c>
      <c r="M75" s="30">
        <v>0.0</v>
      </c>
      <c r="N75" s="30">
        <v>284.6666666666666</v>
      </c>
      <c r="O75" s="30">
        <v>-45.62016666666659</v>
      </c>
      <c r="P75" s="30">
        <v>-2.670969945355187</v>
      </c>
      <c r="Q75" s="30">
        <v>-3.2051639344262237</v>
      </c>
    </row>
    <row r="76">
      <c r="A76" s="47">
        <v>1.1243689169E10</v>
      </c>
      <c r="B76" s="48">
        <v>46159.78136574074</v>
      </c>
      <c r="C76" s="30">
        <v>3.857141216E9</v>
      </c>
      <c r="D76" s="47" t="s">
        <v>1509</v>
      </c>
      <c r="E76" s="30">
        <v>1262.9</v>
      </c>
      <c r="F76" s="30">
        <v>1160.0</v>
      </c>
      <c r="G76" s="30">
        <v>0.0</v>
      </c>
      <c r="H76" s="30">
        <v>0.0</v>
      </c>
      <c r="I76" s="30">
        <v>56.8305</v>
      </c>
      <c r="J76" s="30">
        <v>0.0</v>
      </c>
      <c r="K76" s="30">
        <v>0.0</v>
      </c>
      <c r="L76" s="30">
        <v>0.0</v>
      </c>
      <c r="M76" s="30">
        <v>0.0</v>
      </c>
      <c r="N76" s="30">
        <v>210.48333333333335</v>
      </c>
      <c r="O76" s="30">
        <v>-164.41383333333326</v>
      </c>
      <c r="P76" s="30">
        <v>-13.018753134320473</v>
      </c>
      <c r="Q76" s="30">
        <v>-15.622503761184566</v>
      </c>
    </row>
    <row r="77">
      <c r="A77" s="47">
        <v>1.124252122E10</v>
      </c>
      <c r="B77" s="48">
        <v>46159.390752314815</v>
      </c>
      <c r="C77" s="30">
        <v>3.856176429E9</v>
      </c>
      <c r="D77" s="47" t="s">
        <v>1509</v>
      </c>
      <c r="E77" s="30">
        <v>729.0</v>
      </c>
      <c r="F77" s="30">
        <v>580.0</v>
      </c>
      <c r="G77" s="30">
        <v>0.0</v>
      </c>
      <c r="H77" s="30">
        <v>0.0</v>
      </c>
      <c r="I77" s="30">
        <v>36.0855</v>
      </c>
      <c r="J77" s="30">
        <v>0.0</v>
      </c>
      <c r="K77" s="30">
        <v>0.0</v>
      </c>
      <c r="L77" s="30">
        <v>0.0</v>
      </c>
      <c r="M77" s="30">
        <v>0.0</v>
      </c>
      <c r="N77" s="30">
        <v>121.5</v>
      </c>
      <c r="O77" s="30">
        <v>-8.585499999999996</v>
      </c>
      <c r="P77" s="30">
        <v>-1.177709190672153</v>
      </c>
      <c r="Q77" s="30">
        <v>-1.4132510288065838</v>
      </c>
    </row>
    <row r="78">
      <c r="A78" s="47">
        <v>1.1243800514E10</v>
      </c>
      <c r="B78" s="48">
        <v>46159.80341435185</v>
      </c>
      <c r="C78" s="30">
        <v>3.857220974E9</v>
      </c>
      <c r="D78" s="47" t="s">
        <v>1509</v>
      </c>
      <c r="E78" s="30">
        <v>1640.0</v>
      </c>
      <c r="F78" s="30">
        <v>1228.0</v>
      </c>
      <c r="G78" s="30">
        <v>0.0</v>
      </c>
      <c r="H78" s="30">
        <v>0.0</v>
      </c>
      <c r="I78" s="30">
        <v>199.26</v>
      </c>
      <c r="J78" s="30">
        <v>0.0</v>
      </c>
      <c r="K78" s="30">
        <v>0.0</v>
      </c>
      <c r="L78" s="30">
        <v>0.0</v>
      </c>
      <c r="M78" s="30">
        <v>0.0</v>
      </c>
      <c r="N78" s="30">
        <v>273.33333333333326</v>
      </c>
      <c r="O78" s="30">
        <v>-60.59333333333325</v>
      </c>
      <c r="P78" s="30">
        <v>-3.694715447154466</v>
      </c>
      <c r="Q78" s="30">
        <v>-4.43365853658536</v>
      </c>
    </row>
    <row r="79">
      <c r="A79" s="47">
        <v>1.1244793002E10</v>
      </c>
      <c r="B79" s="48">
        <v>46159.98605324074</v>
      </c>
      <c r="C79" s="30">
        <v>3.85789895E9</v>
      </c>
      <c r="D79" s="47" t="s">
        <v>1509</v>
      </c>
      <c r="E79" s="30">
        <v>4515.0</v>
      </c>
      <c r="F79" s="30">
        <v>3556.0</v>
      </c>
      <c r="G79" s="30">
        <v>0.0</v>
      </c>
      <c r="H79" s="30">
        <v>0.0</v>
      </c>
      <c r="I79" s="30">
        <v>532.3185</v>
      </c>
      <c r="J79" s="30">
        <v>0.0</v>
      </c>
      <c r="K79" s="30">
        <v>0.0</v>
      </c>
      <c r="L79" s="30">
        <v>0.0</v>
      </c>
      <c r="M79" s="30">
        <v>0.0</v>
      </c>
      <c r="N79" s="30">
        <v>752.5</v>
      </c>
      <c r="O79" s="30">
        <v>-325.8185</v>
      </c>
      <c r="P79" s="30">
        <v>-7.216356589147287</v>
      </c>
      <c r="Q79" s="30">
        <v>-8.659627906976745</v>
      </c>
    </row>
    <row r="80">
      <c r="A80" s="47">
        <v>1.1235750054E10</v>
      </c>
      <c r="B80" s="48">
        <v>46157.120046296295</v>
      </c>
      <c r="C80" s="30">
        <v>3.850448136E9</v>
      </c>
      <c r="D80" s="47" t="s">
        <v>1509</v>
      </c>
      <c r="E80" s="30">
        <v>727.0</v>
      </c>
      <c r="F80" s="30">
        <v>580.0</v>
      </c>
      <c r="G80" s="30">
        <v>0.0</v>
      </c>
      <c r="H80" s="30">
        <v>0.0</v>
      </c>
      <c r="I80" s="30">
        <v>32.060700000000004</v>
      </c>
      <c r="J80" s="30">
        <v>0.0</v>
      </c>
      <c r="K80" s="30">
        <v>0.0</v>
      </c>
      <c r="L80" s="30">
        <v>0.0</v>
      </c>
      <c r="M80" s="30">
        <v>0.0</v>
      </c>
      <c r="N80" s="30">
        <v>121.16666666666663</v>
      </c>
      <c r="O80" s="30">
        <v>-6.227366666666626</v>
      </c>
      <c r="P80" s="30">
        <v>-0.8565841357175551</v>
      </c>
      <c r="Q80" s="30">
        <v>-1.027900962861066</v>
      </c>
    </row>
    <row r="81">
      <c r="A81" s="47">
        <v>1.1239903327E10</v>
      </c>
      <c r="B81" s="48">
        <v>46158.646527777775</v>
      </c>
      <c r="C81" s="30">
        <v>3.854124818E9</v>
      </c>
      <c r="D81" s="47" t="s">
        <v>1509</v>
      </c>
      <c r="E81" s="30">
        <v>768.0</v>
      </c>
      <c r="F81" s="30">
        <v>580.0</v>
      </c>
      <c r="G81" s="30">
        <v>0.0</v>
      </c>
      <c r="H81" s="30">
        <v>0.0</v>
      </c>
      <c r="I81" s="30">
        <v>28.3392</v>
      </c>
      <c r="J81" s="30">
        <v>0.0</v>
      </c>
      <c r="K81" s="30">
        <v>0.0</v>
      </c>
      <c r="L81" s="30">
        <v>0.0</v>
      </c>
      <c r="M81" s="30">
        <v>0.0</v>
      </c>
      <c r="N81" s="30">
        <v>128.0</v>
      </c>
      <c r="O81" s="30">
        <v>31.660799999999995</v>
      </c>
      <c r="P81" s="30">
        <v>4.122499999999999</v>
      </c>
      <c r="Q81" s="30">
        <v>4.946999999999999</v>
      </c>
    </row>
    <row r="82">
      <c r="A82" s="47">
        <v>1.1243103945E10</v>
      </c>
      <c r="B82" s="48">
        <v>46159.662627314814</v>
      </c>
      <c r="C82" s="30">
        <v>3.856683585E9</v>
      </c>
      <c r="D82" s="47" t="s">
        <v>1509</v>
      </c>
      <c r="E82" s="30">
        <v>2304.0</v>
      </c>
      <c r="F82" s="30">
        <v>1740.0</v>
      </c>
      <c r="G82" s="30">
        <v>0.0</v>
      </c>
      <c r="H82" s="30">
        <v>0.0</v>
      </c>
      <c r="I82" s="30">
        <v>114.04800000000002</v>
      </c>
      <c r="J82" s="30">
        <v>0.0</v>
      </c>
      <c r="K82" s="30">
        <v>0.0</v>
      </c>
      <c r="L82" s="30">
        <v>0.0</v>
      </c>
      <c r="M82" s="30">
        <v>0.0</v>
      </c>
      <c r="N82" s="30">
        <v>384.0</v>
      </c>
      <c r="O82" s="30">
        <v>65.952</v>
      </c>
      <c r="P82" s="30">
        <v>2.8625</v>
      </c>
      <c r="Q82" s="30">
        <v>3.435</v>
      </c>
    </row>
    <row r="83">
      <c r="A83" s="47">
        <v>1.1241162109E10</v>
      </c>
      <c r="B83" s="48">
        <v>46158.90604166667</v>
      </c>
      <c r="C83" s="30">
        <v>3.855067433E9</v>
      </c>
      <c r="D83" s="47" t="s">
        <v>1509</v>
      </c>
      <c r="E83" s="30">
        <v>729.0</v>
      </c>
      <c r="F83" s="30">
        <v>580.0</v>
      </c>
      <c r="G83" s="30">
        <v>0.0</v>
      </c>
      <c r="H83" s="30">
        <v>0.0</v>
      </c>
      <c r="I83" s="30">
        <v>36.0855</v>
      </c>
      <c r="J83" s="30">
        <v>0.0</v>
      </c>
      <c r="K83" s="30">
        <v>0.0</v>
      </c>
      <c r="L83" s="30">
        <v>0.0</v>
      </c>
      <c r="M83" s="30">
        <v>0.0</v>
      </c>
      <c r="N83" s="30">
        <v>121.5</v>
      </c>
      <c r="O83" s="30">
        <v>-8.585499999999996</v>
      </c>
      <c r="P83" s="30">
        <v>-1.177709190672153</v>
      </c>
      <c r="Q83" s="30">
        <v>-1.4132510288065838</v>
      </c>
    </row>
    <row r="84">
      <c r="A84" s="47">
        <v>1.1240739972E10</v>
      </c>
      <c r="B84" s="48">
        <v>46158.82030092592</v>
      </c>
      <c r="C84" s="30">
        <v>3.854782969E9</v>
      </c>
      <c r="D84" s="47" t="s">
        <v>1509</v>
      </c>
      <c r="E84" s="30">
        <v>1285.0</v>
      </c>
      <c r="F84" s="30">
        <v>1190.0</v>
      </c>
      <c r="G84" s="30">
        <v>0.0</v>
      </c>
      <c r="H84" s="30">
        <v>0.0</v>
      </c>
      <c r="I84" s="30">
        <v>34.69500000000001</v>
      </c>
      <c r="J84" s="30">
        <v>0.0</v>
      </c>
      <c r="K84" s="30">
        <v>0.0</v>
      </c>
      <c r="L84" s="30">
        <v>0.0</v>
      </c>
      <c r="M84" s="30">
        <v>0.0</v>
      </c>
      <c r="N84" s="30">
        <v>214.16666666666652</v>
      </c>
      <c r="O84" s="30">
        <v>-153.8616666666665</v>
      </c>
      <c r="P84" s="30">
        <v>-11.973670557717238</v>
      </c>
      <c r="Q84" s="30">
        <v>-14.368404669260684</v>
      </c>
    </row>
    <row r="85">
      <c r="A85" s="47">
        <v>1.1242293792E10</v>
      </c>
      <c r="B85" s="48">
        <v>46159.14902777778</v>
      </c>
      <c r="C85" s="30">
        <v>3.855967114E9</v>
      </c>
      <c r="D85" s="47" t="s">
        <v>1509</v>
      </c>
      <c r="E85" s="30">
        <v>1284.0</v>
      </c>
      <c r="F85" s="30">
        <v>1190.0</v>
      </c>
      <c r="G85" s="30">
        <v>0.0</v>
      </c>
      <c r="H85" s="30">
        <v>0.0</v>
      </c>
      <c r="I85" s="30">
        <v>34.668</v>
      </c>
      <c r="J85" s="30">
        <v>0.0</v>
      </c>
      <c r="K85" s="30">
        <v>0.0</v>
      </c>
      <c r="L85" s="30">
        <v>0.0</v>
      </c>
      <c r="M85" s="30">
        <v>0.0</v>
      </c>
      <c r="N85" s="30">
        <v>214.0</v>
      </c>
      <c r="O85" s="30">
        <v>-154.668</v>
      </c>
      <c r="P85" s="30">
        <v>-12.045794392523366</v>
      </c>
      <c r="Q85" s="30">
        <v>-14.454953271028037</v>
      </c>
    </row>
    <row r="86">
      <c r="A86" s="47">
        <v>1.1241000545E10</v>
      </c>
      <c r="B86" s="48">
        <v>46158.87378472222</v>
      </c>
      <c r="C86" s="30">
        <v>3.854963235E9</v>
      </c>
      <c r="D86" s="47" t="s">
        <v>1509</v>
      </c>
      <c r="E86" s="30">
        <v>729.0</v>
      </c>
      <c r="F86" s="30">
        <v>580.0</v>
      </c>
      <c r="G86" s="30">
        <v>0.0</v>
      </c>
      <c r="H86" s="30">
        <v>0.0</v>
      </c>
      <c r="I86" s="30">
        <v>36.0855</v>
      </c>
      <c r="J86" s="30">
        <v>0.0</v>
      </c>
      <c r="K86" s="30">
        <v>0.0</v>
      </c>
      <c r="L86" s="30">
        <v>0.0</v>
      </c>
      <c r="M86" s="30">
        <v>0.0</v>
      </c>
      <c r="N86" s="30">
        <v>121.5</v>
      </c>
      <c r="O86" s="30">
        <v>-8.585499999999996</v>
      </c>
      <c r="P86" s="30">
        <v>-1.177709190672153</v>
      </c>
      <c r="Q86" s="30">
        <v>-1.4132510288065838</v>
      </c>
    </row>
    <row r="87">
      <c r="A87" s="47">
        <v>1.1244835167E10</v>
      </c>
      <c r="B87" s="48">
        <v>46159.99369212963</v>
      </c>
      <c r="C87" s="30">
        <v>3.857933067E9</v>
      </c>
      <c r="D87" s="47" t="s">
        <v>1509</v>
      </c>
      <c r="E87" s="30">
        <v>729.0</v>
      </c>
      <c r="F87" s="30">
        <v>580.0</v>
      </c>
      <c r="G87" s="30">
        <v>0.0</v>
      </c>
      <c r="H87" s="30">
        <v>0.0</v>
      </c>
      <c r="I87" s="30">
        <v>32.148900000000005</v>
      </c>
      <c r="J87" s="30">
        <v>0.0</v>
      </c>
      <c r="K87" s="30">
        <v>0.0</v>
      </c>
      <c r="L87" s="30">
        <v>0.0</v>
      </c>
      <c r="M87" s="30">
        <v>0.0</v>
      </c>
      <c r="N87" s="30">
        <v>121.5</v>
      </c>
      <c r="O87" s="30">
        <v>-4.648899999999998</v>
      </c>
      <c r="P87" s="30">
        <v>-0.6377091906721534</v>
      </c>
      <c r="Q87" s="30">
        <v>-0.765251028806584</v>
      </c>
    </row>
    <row r="88">
      <c r="A88" s="47">
        <v>1.1239843501E10</v>
      </c>
      <c r="B88" s="48">
        <v>46158.63315972222</v>
      </c>
      <c r="C88" s="30">
        <v>3.854070885E9</v>
      </c>
      <c r="D88" s="47" t="s">
        <v>1509</v>
      </c>
      <c r="E88" s="30">
        <v>1289.0</v>
      </c>
      <c r="F88" s="30">
        <v>1190.0</v>
      </c>
      <c r="G88" s="30">
        <v>0.0</v>
      </c>
      <c r="H88" s="30">
        <v>0.0</v>
      </c>
      <c r="I88" s="30">
        <v>34.803000000000004</v>
      </c>
      <c r="J88" s="30">
        <v>0.0</v>
      </c>
      <c r="K88" s="30">
        <v>0.0</v>
      </c>
      <c r="L88" s="30">
        <v>0.0</v>
      </c>
      <c r="M88" s="30">
        <v>0.0</v>
      </c>
      <c r="N88" s="30">
        <v>214.83333333333326</v>
      </c>
      <c r="O88" s="30">
        <v>-150.63633333333325</v>
      </c>
      <c r="P88" s="30">
        <v>-11.686294284975427</v>
      </c>
      <c r="Q88" s="30">
        <v>-14.023553141970513</v>
      </c>
    </row>
    <row r="89">
      <c r="A89" s="47">
        <v>1.1241948889E10</v>
      </c>
      <c r="B89" s="48">
        <v>46159.06508101852</v>
      </c>
      <c r="C89" s="30">
        <v>3.855653396E9</v>
      </c>
      <c r="D89" s="47" t="s">
        <v>1509</v>
      </c>
      <c r="E89" s="30">
        <v>1287.0</v>
      </c>
      <c r="F89" s="30">
        <v>1165.0</v>
      </c>
      <c r="G89" s="30">
        <v>0.0</v>
      </c>
      <c r="H89" s="30">
        <v>0.0</v>
      </c>
      <c r="I89" s="30">
        <v>46.332</v>
      </c>
      <c r="J89" s="30">
        <v>0.0</v>
      </c>
      <c r="K89" s="30">
        <v>0.0</v>
      </c>
      <c r="L89" s="30">
        <v>0.0</v>
      </c>
      <c r="M89" s="30">
        <v>0.0</v>
      </c>
      <c r="N89" s="30">
        <v>214.5</v>
      </c>
      <c r="O89" s="30">
        <v>-138.832</v>
      </c>
      <c r="P89" s="30">
        <v>-10.787257187257186</v>
      </c>
      <c r="Q89" s="30">
        <v>-12.944708624708623</v>
      </c>
    </row>
    <row r="90">
      <c r="A90" s="47">
        <v>1.1239229156E10</v>
      </c>
      <c r="B90" s="48">
        <v>46158.188564814816</v>
      </c>
      <c r="C90" s="30">
        <v>3.853477861E9</v>
      </c>
      <c r="D90" s="47" t="s">
        <v>1509</v>
      </c>
      <c r="E90" s="30">
        <v>928.0</v>
      </c>
      <c r="F90" s="30">
        <v>633.0</v>
      </c>
      <c r="G90" s="30">
        <v>0.0</v>
      </c>
      <c r="H90" s="30">
        <v>0.0</v>
      </c>
      <c r="I90" s="30">
        <v>81.832059</v>
      </c>
      <c r="J90" s="30">
        <v>0.0</v>
      </c>
      <c r="K90" s="30">
        <v>0.0</v>
      </c>
      <c r="L90" s="30">
        <v>0.0</v>
      </c>
      <c r="M90" s="30">
        <v>0.0</v>
      </c>
      <c r="N90" s="30">
        <v>154.66666666666666</v>
      </c>
      <c r="O90" s="30">
        <v>58.50127433333333</v>
      </c>
      <c r="P90" s="30">
        <v>6.3040166307471255</v>
      </c>
      <c r="Q90" s="30">
        <v>7.564819956896551</v>
      </c>
    </row>
    <row r="91">
      <c r="A91" s="47">
        <v>1.1242147453E10</v>
      </c>
      <c r="B91" s="48">
        <v>46159.10967592592</v>
      </c>
      <c r="C91" s="30">
        <v>3.855831289E9</v>
      </c>
      <c r="D91" s="47" t="s">
        <v>1509</v>
      </c>
      <c r="E91" s="30">
        <v>1284.0</v>
      </c>
      <c r="F91" s="30">
        <v>1190.0</v>
      </c>
      <c r="G91" s="30">
        <v>0.0</v>
      </c>
      <c r="H91" s="30">
        <v>0.0</v>
      </c>
      <c r="I91" s="30">
        <v>34.668</v>
      </c>
      <c r="J91" s="30">
        <v>0.0</v>
      </c>
      <c r="K91" s="30">
        <v>0.0</v>
      </c>
      <c r="L91" s="30">
        <v>0.0</v>
      </c>
      <c r="M91" s="30">
        <v>0.0</v>
      </c>
      <c r="N91" s="30">
        <v>214.0</v>
      </c>
      <c r="O91" s="30">
        <v>-154.668</v>
      </c>
      <c r="P91" s="30">
        <v>-12.045794392523366</v>
      </c>
      <c r="Q91" s="30">
        <v>-14.454953271028037</v>
      </c>
    </row>
    <row r="92">
      <c r="A92" s="47">
        <v>1.1241833566E10</v>
      </c>
      <c r="B92" s="48">
        <v>46159.041180555556</v>
      </c>
      <c r="C92" s="30">
        <v>3.85555517E9</v>
      </c>
      <c r="D92" s="47" t="s">
        <v>1509</v>
      </c>
      <c r="E92" s="30">
        <v>1284.0</v>
      </c>
      <c r="F92" s="30">
        <v>1190.0</v>
      </c>
      <c r="G92" s="30">
        <v>0.0</v>
      </c>
      <c r="H92" s="30">
        <v>0.0</v>
      </c>
      <c r="I92" s="30">
        <v>34.668</v>
      </c>
      <c r="J92" s="30">
        <v>0.0</v>
      </c>
      <c r="K92" s="30">
        <v>0.0</v>
      </c>
      <c r="L92" s="30">
        <v>0.0</v>
      </c>
      <c r="M92" s="30">
        <v>0.0</v>
      </c>
      <c r="N92" s="30">
        <v>214.0</v>
      </c>
      <c r="O92" s="30">
        <v>-154.668</v>
      </c>
      <c r="P92" s="30">
        <v>-12.045794392523366</v>
      </c>
      <c r="Q92" s="30">
        <v>-14.454953271028037</v>
      </c>
    </row>
    <row r="93">
      <c r="A93" s="47">
        <v>1.1240831577E10</v>
      </c>
      <c r="B93" s="48">
        <v>46158.83928240741</v>
      </c>
      <c r="C93" s="30">
        <v>3.854848866E9</v>
      </c>
      <c r="D93" s="47" t="s">
        <v>1509</v>
      </c>
      <c r="E93" s="30">
        <v>1285.0</v>
      </c>
      <c r="F93" s="30">
        <v>1190.0</v>
      </c>
      <c r="G93" s="30">
        <v>0.0</v>
      </c>
      <c r="H93" s="30">
        <v>0.0</v>
      </c>
      <c r="I93" s="30">
        <v>34.69500000000001</v>
      </c>
      <c r="J93" s="30">
        <v>0.0</v>
      </c>
      <c r="K93" s="30">
        <v>0.0</v>
      </c>
      <c r="L93" s="30">
        <v>0.0</v>
      </c>
      <c r="M93" s="30">
        <v>0.0</v>
      </c>
      <c r="N93" s="30">
        <v>214.16666666666652</v>
      </c>
      <c r="O93" s="30">
        <v>-153.8616666666665</v>
      </c>
      <c r="P93" s="30">
        <v>-11.973670557717238</v>
      </c>
      <c r="Q93" s="30">
        <v>-14.368404669260684</v>
      </c>
    </row>
    <row r="94">
      <c r="A94" s="47">
        <v>1.1241034282E10</v>
      </c>
      <c r="B94" s="48">
        <v>46158.880740740744</v>
      </c>
      <c r="C94" s="30">
        <v>3.854985765E9</v>
      </c>
      <c r="D94" s="47" t="s">
        <v>1509</v>
      </c>
      <c r="E94" s="30">
        <v>729.0</v>
      </c>
      <c r="F94" s="30">
        <v>580.0</v>
      </c>
      <c r="G94" s="30">
        <v>0.0</v>
      </c>
      <c r="H94" s="30">
        <v>0.0</v>
      </c>
      <c r="I94" s="30">
        <v>32.148900000000005</v>
      </c>
      <c r="J94" s="30">
        <v>0.0</v>
      </c>
      <c r="K94" s="30">
        <v>0.0</v>
      </c>
      <c r="L94" s="30">
        <v>0.0</v>
      </c>
      <c r="M94" s="30">
        <v>0.0</v>
      </c>
      <c r="N94" s="30">
        <v>121.5</v>
      </c>
      <c r="O94" s="30">
        <v>-4.648899999999998</v>
      </c>
      <c r="P94" s="30">
        <v>-0.6377091906721534</v>
      </c>
      <c r="Q94" s="30">
        <v>-0.765251028806584</v>
      </c>
    </row>
    <row r="95">
      <c r="A95" s="47">
        <v>1.1239627204E10</v>
      </c>
      <c r="B95" s="48">
        <v>46158.57840277778</v>
      </c>
      <c r="C95" s="30">
        <v>3.853874675E9</v>
      </c>
      <c r="D95" s="47" t="s">
        <v>1509</v>
      </c>
      <c r="E95" s="30">
        <v>1289.0</v>
      </c>
      <c r="F95" s="30">
        <v>1190.0</v>
      </c>
      <c r="G95" s="30">
        <v>0.0</v>
      </c>
      <c r="H95" s="30">
        <v>0.0</v>
      </c>
      <c r="I95" s="30">
        <v>34.803000000000004</v>
      </c>
      <c r="J95" s="30">
        <v>0.0</v>
      </c>
      <c r="K95" s="30">
        <v>0.0</v>
      </c>
      <c r="L95" s="30">
        <v>0.0</v>
      </c>
      <c r="M95" s="30">
        <v>0.0</v>
      </c>
      <c r="N95" s="30">
        <v>214.83333333333326</v>
      </c>
      <c r="O95" s="30">
        <v>-150.63633333333325</v>
      </c>
      <c r="P95" s="30">
        <v>-11.686294284975427</v>
      </c>
      <c r="Q95" s="30">
        <v>-14.023553141970513</v>
      </c>
    </row>
    <row r="96">
      <c r="A96" s="47">
        <v>1.1250533459E10</v>
      </c>
      <c r="B96" s="48">
        <v>46161.811840277776</v>
      </c>
      <c r="C96" s="30">
        <v>3.862929998E9</v>
      </c>
      <c r="D96" s="47" t="s">
        <v>1508</v>
      </c>
      <c r="E96" s="30">
        <v>1614.0</v>
      </c>
      <c r="F96" s="30">
        <v>1604.0</v>
      </c>
      <c r="G96" s="30">
        <v>0.0</v>
      </c>
      <c r="H96" s="30">
        <v>0.0</v>
      </c>
      <c r="I96" s="30">
        <v>0.0</v>
      </c>
      <c r="J96" s="30">
        <v>0.0</v>
      </c>
      <c r="K96" s="30">
        <v>0.0</v>
      </c>
      <c r="L96" s="30">
        <v>0.0</v>
      </c>
      <c r="M96" s="30">
        <v>0.0</v>
      </c>
      <c r="N96" s="30">
        <v>269.0</v>
      </c>
      <c r="O96" s="30">
        <v>-259.0</v>
      </c>
      <c r="P96" s="30">
        <v>-16.047087980173483</v>
      </c>
      <c r="Q96" s="30">
        <v>-19.256505576208177</v>
      </c>
    </row>
    <row r="97">
      <c r="A97" s="47">
        <v>1.1242219589E10</v>
      </c>
      <c r="B97" s="48">
        <v>46159.127847222226</v>
      </c>
      <c r="C97" s="30">
        <v>3.855900361E9</v>
      </c>
      <c r="D97" s="47" t="s">
        <v>1509</v>
      </c>
      <c r="E97" s="30">
        <v>1284.0</v>
      </c>
      <c r="F97" s="30">
        <v>1190.0</v>
      </c>
      <c r="G97" s="30">
        <v>0.0</v>
      </c>
      <c r="H97" s="30">
        <v>0.0</v>
      </c>
      <c r="I97" s="30">
        <v>34.668</v>
      </c>
      <c r="J97" s="30">
        <v>0.0</v>
      </c>
      <c r="K97" s="30">
        <v>0.0</v>
      </c>
      <c r="L97" s="30">
        <v>0.0</v>
      </c>
      <c r="M97" s="30">
        <v>0.0</v>
      </c>
      <c r="N97" s="30">
        <v>214.0</v>
      </c>
      <c r="O97" s="30">
        <v>-154.668</v>
      </c>
      <c r="P97" s="30">
        <v>-12.045794392523366</v>
      </c>
      <c r="Q97" s="30">
        <v>-14.454953271028037</v>
      </c>
    </row>
    <row r="98">
      <c r="A98" s="47">
        <v>1.1240732057E10</v>
      </c>
      <c r="B98" s="48">
        <v>46158.81862268518</v>
      </c>
      <c r="C98" s="30">
        <v>3.854776936E9</v>
      </c>
      <c r="D98" s="47" t="s">
        <v>1509</v>
      </c>
      <c r="E98" s="30">
        <v>1285.0</v>
      </c>
      <c r="F98" s="30">
        <v>1190.0</v>
      </c>
      <c r="G98" s="30">
        <v>0.0</v>
      </c>
      <c r="H98" s="30">
        <v>0.0</v>
      </c>
      <c r="I98" s="30">
        <v>34.69500000000001</v>
      </c>
      <c r="J98" s="30">
        <v>0.0</v>
      </c>
      <c r="K98" s="30">
        <v>0.0</v>
      </c>
      <c r="L98" s="30">
        <v>0.0</v>
      </c>
      <c r="M98" s="30">
        <v>0.0</v>
      </c>
      <c r="N98" s="30">
        <v>214.16666666666652</v>
      </c>
      <c r="O98" s="30">
        <v>-153.8616666666665</v>
      </c>
      <c r="P98" s="30">
        <v>-11.973670557717238</v>
      </c>
      <c r="Q98" s="30">
        <v>-14.368404669260684</v>
      </c>
    </row>
    <row r="99">
      <c r="A99" s="47">
        <v>1.1242662776E10</v>
      </c>
      <c r="B99" s="48">
        <v>46159.540300925924</v>
      </c>
      <c r="C99" s="30">
        <v>3.856313893E9</v>
      </c>
      <c r="D99" s="47" t="s">
        <v>1509</v>
      </c>
      <c r="E99" s="30">
        <v>1728.0</v>
      </c>
      <c r="F99" s="30">
        <v>1260.0</v>
      </c>
      <c r="G99" s="30">
        <v>0.0</v>
      </c>
      <c r="H99" s="30">
        <v>0.0</v>
      </c>
      <c r="I99" s="30">
        <v>200.62079999999997</v>
      </c>
      <c r="J99" s="30">
        <v>0.0</v>
      </c>
      <c r="K99" s="30">
        <v>0.0</v>
      </c>
      <c r="L99" s="30">
        <v>0.0</v>
      </c>
      <c r="M99" s="30">
        <v>0.0</v>
      </c>
      <c r="N99" s="30">
        <v>288.0</v>
      </c>
      <c r="O99" s="30">
        <v>-20.620799999999974</v>
      </c>
      <c r="P99" s="30">
        <v>-1.1933333333333318</v>
      </c>
      <c r="Q99" s="30">
        <v>-1.4319999999999982</v>
      </c>
    </row>
    <row r="100">
      <c r="A100" s="47">
        <v>1.1250512112E10</v>
      </c>
      <c r="B100" s="48">
        <v>46161.8074537037</v>
      </c>
      <c r="C100" s="30">
        <v>3.86291661E9</v>
      </c>
      <c r="D100" s="47" t="s">
        <v>1508</v>
      </c>
      <c r="E100" s="30">
        <v>175.0</v>
      </c>
      <c r="F100" s="30">
        <v>0.0</v>
      </c>
      <c r="G100" s="30">
        <v>0.0</v>
      </c>
      <c r="H100" s="30">
        <v>0.0</v>
      </c>
      <c r="I100" s="30">
        <v>28.875</v>
      </c>
      <c r="J100" s="30">
        <v>0.0</v>
      </c>
      <c r="K100" s="30">
        <v>0.0</v>
      </c>
      <c r="L100" s="30">
        <v>0.0</v>
      </c>
      <c r="M100" s="30">
        <v>0.0</v>
      </c>
      <c r="N100" s="30">
        <v>29.166666666666657</v>
      </c>
      <c r="O100" s="30">
        <v>116.95833333333334</v>
      </c>
      <c r="P100" s="30">
        <v>66.83333333333333</v>
      </c>
      <c r="Q100" s="30">
        <v>80.2</v>
      </c>
    </row>
    <row r="101">
      <c r="A101" s="47">
        <v>1.1241567041E10</v>
      </c>
      <c r="B101" s="48">
        <v>46158.988032407404</v>
      </c>
      <c r="C101" s="30">
        <v>3.855343482E9</v>
      </c>
      <c r="D101" s="47" t="s">
        <v>1509</v>
      </c>
      <c r="E101" s="30">
        <v>1266.9</v>
      </c>
      <c r="F101" s="30">
        <v>1160.0</v>
      </c>
      <c r="G101" s="30">
        <v>0.0</v>
      </c>
      <c r="H101" s="30">
        <v>0.0</v>
      </c>
      <c r="I101" s="30">
        <v>57.0105</v>
      </c>
      <c r="J101" s="30">
        <v>0.0</v>
      </c>
      <c r="K101" s="30">
        <v>0.0</v>
      </c>
      <c r="L101" s="30">
        <v>0.0</v>
      </c>
      <c r="M101" s="30">
        <v>0.0</v>
      </c>
      <c r="N101" s="30">
        <v>211.14999999999986</v>
      </c>
      <c r="O101" s="30">
        <v>-161.26049999999978</v>
      </c>
      <c r="P101" s="30">
        <v>-12.728747336017033</v>
      </c>
      <c r="Q101" s="30">
        <v>-15.274496803220435</v>
      </c>
    </row>
    <row r="102">
      <c r="A102" s="47">
        <v>1.1243129532E10</v>
      </c>
      <c r="B102" s="48">
        <v>46159.66832175926</v>
      </c>
      <c r="C102" s="30">
        <v>3.856704302E9</v>
      </c>
      <c r="D102" s="47" t="s">
        <v>1509</v>
      </c>
      <c r="E102" s="30">
        <v>768.0</v>
      </c>
      <c r="F102" s="30">
        <v>580.0</v>
      </c>
      <c r="G102" s="30">
        <v>0.0</v>
      </c>
      <c r="H102" s="30">
        <v>0.0</v>
      </c>
      <c r="I102" s="30">
        <v>28.3392</v>
      </c>
      <c r="J102" s="30">
        <v>0.0</v>
      </c>
      <c r="K102" s="30">
        <v>0.0</v>
      </c>
      <c r="L102" s="30">
        <v>0.0</v>
      </c>
      <c r="M102" s="30">
        <v>0.0</v>
      </c>
      <c r="N102" s="30">
        <v>128.0</v>
      </c>
      <c r="O102" s="30">
        <v>31.660799999999995</v>
      </c>
      <c r="P102" s="30">
        <v>4.122499999999999</v>
      </c>
      <c r="Q102" s="30">
        <v>4.946999999999999</v>
      </c>
    </row>
    <row r="103">
      <c r="A103" s="47">
        <v>1.1242308322E10</v>
      </c>
      <c r="B103" s="48">
        <v>46159.153969907406</v>
      </c>
      <c r="C103" s="30">
        <v>3.855977695E9</v>
      </c>
      <c r="D103" s="47" t="s">
        <v>1509</v>
      </c>
      <c r="E103" s="30">
        <v>729.0</v>
      </c>
      <c r="F103" s="30">
        <v>580.0</v>
      </c>
      <c r="G103" s="30">
        <v>0.0</v>
      </c>
      <c r="H103" s="30">
        <v>0.0</v>
      </c>
      <c r="I103" s="30">
        <v>36.0855</v>
      </c>
      <c r="J103" s="30">
        <v>0.0</v>
      </c>
      <c r="K103" s="30">
        <v>0.0</v>
      </c>
      <c r="L103" s="30">
        <v>0.0</v>
      </c>
      <c r="M103" s="30">
        <v>0.0</v>
      </c>
      <c r="N103" s="30">
        <v>121.5</v>
      </c>
      <c r="O103" s="30">
        <v>-8.585499999999996</v>
      </c>
      <c r="P103" s="30">
        <v>-1.177709190672153</v>
      </c>
      <c r="Q103" s="30">
        <v>-1.4132510288065838</v>
      </c>
    </row>
    <row r="104">
      <c r="A104" s="47">
        <v>1.1243815809E10</v>
      </c>
      <c r="B104" s="48">
        <v>46159.80613425926</v>
      </c>
      <c r="C104" s="30">
        <v>3.857233645E9</v>
      </c>
      <c r="D104" s="47" t="s">
        <v>1510</v>
      </c>
      <c r="E104" s="30">
        <v>1630.99</v>
      </c>
      <c r="F104" s="30">
        <v>1296.0</v>
      </c>
      <c r="G104" s="30">
        <v>0.0</v>
      </c>
      <c r="H104" s="30">
        <v>0.0</v>
      </c>
      <c r="I104" s="30">
        <v>97.5852</v>
      </c>
      <c r="J104" s="30">
        <v>0.0</v>
      </c>
      <c r="K104" s="30">
        <v>0.0</v>
      </c>
      <c r="L104" s="30">
        <v>0.0</v>
      </c>
      <c r="M104" s="30">
        <v>0.0</v>
      </c>
      <c r="N104" s="30">
        <v>271.83166666666665</v>
      </c>
      <c r="O104" s="30">
        <v>-34.426866666666626</v>
      </c>
      <c r="P104" s="30">
        <v>-2.110795692595701</v>
      </c>
      <c r="Q104" s="30">
        <v>-2.532954831114841</v>
      </c>
    </row>
    <row r="105">
      <c r="A105" s="47">
        <v>1.1239543715E10</v>
      </c>
      <c r="B105" s="48">
        <v>46158.55196759259</v>
      </c>
      <c r="C105" s="30">
        <v>3.853797142E9</v>
      </c>
      <c r="D105" s="47" t="s">
        <v>1509</v>
      </c>
      <c r="E105" s="30">
        <v>2304.0</v>
      </c>
      <c r="F105" s="30">
        <v>1740.0</v>
      </c>
      <c r="G105" s="30">
        <v>0.0</v>
      </c>
      <c r="H105" s="30">
        <v>0.0</v>
      </c>
      <c r="I105" s="30">
        <v>114.04800000000002</v>
      </c>
      <c r="J105" s="30">
        <v>0.0</v>
      </c>
      <c r="K105" s="30">
        <v>0.0</v>
      </c>
      <c r="L105" s="30">
        <v>0.0</v>
      </c>
      <c r="M105" s="30">
        <v>0.0</v>
      </c>
      <c r="N105" s="30">
        <v>384.0</v>
      </c>
      <c r="O105" s="30">
        <v>65.952</v>
      </c>
      <c r="P105" s="30">
        <v>2.8625</v>
      </c>
      <c r="Q105" s="30">
        <v>3.435</v>
      </c>
    </row>
    <row r="106">
      <c r="A106" s="47">
        <v>1.1242106375E10</v>
      </c>
      <c r="B106" s="48">
        <v>46159.09984953704</v>
      </c>
      <c r="C106" s="30">
        <v>3.855796021E9</v>
      </c>
      <c r="D106" s="47" t="s">
        <v>1509</v>
      </c>
      <c r="E106" s="30">
        <v>1284.0</v>
      </c>
      <c r="F106" s="30">
        <v>1190.0</v>
      </c>
      <c r="G106" s="30">
        <v>0.0</v>
      </c>
      <c r="H106" s="30">
        <v>0.0</v>
      </c>
      <c r="I106" s="30">
        <v>34.668</v>
      </c>
      <c r="J106" s="30">
        <v>0.0</v>
      </c>
      <c r="K106" s="30">
        <v>0.0</v>
      </c>
      <c r="L106" s="30">
        <v>0.0</v>
      </c>
      <c r="M106" s="30">
        <v>0.0</v>
      </c>
      <c r="N106" s="30">
        <v>214.0</v>
      </c>
      <c r="O106" s="30">
        <v>-154.668</v>
      </c>
      <c r="P106" s="30">
        <v>-12.045794392523366</v>
      </c>
      <c r="Q106" s="30">
        <v>-14.454953271028037</v>
      </c>
    </row>
    <row r="107">
      <c r="A107" s="47">
        <v>1.1238761463E10</v>
      </c>
      <c r="B107" s="48">
        <v>46158.05503472222</v>
      </c>
      <c r="C107" s="30">
        <v>3.85303595E9</v>
      </c>
      <c r="D107" s="47" t="s">
        <v>1509</v>
      </c>
      <c r="E107" s="30">
        <v>1291.0</v>
      </c>
      <c r="F107" s="30">
        <v>1190.0</v>
      </c>
      <c r="G107" s="30">
        <v>0.0</v>
      </c>
      <c r="H107" s="30">
        <v>0.0</v>
      </c>
      <c r="I107" s="30">
        <v>34.857</v>
      </c>
      <c r="J107" s="30">
        <v>0.0</v>
      </c>
      <c r="K107" s="30">
        <v>0.0</v>
      </c>
      <c r="L107" s="30">
        <v>0.0</v>
      </c>
      <c r="M107" s="30">
        <v>0.0</v>
      </c>
      <c r="N107" s="30">
        <v>215.16666666666652</v>
      </c>
      <c r="O107" s="30">
        <v>-149.02366666666651</v>
      </c>
      <c r="P107" s="30">
        <v>-11.543273947844037</v>
      </c>
      <c r="Q107" s="30">
        <v>-13.851928737412841</v>
      </c>
    </row>
    <row r="108">
      <c r="A108" s="47">
        <v>1.1239923389E10</v>
      </c>
      <c r="B108" s="48">
        <v>46158.65113425926</v>
      </c>
      <c r="C108" s="30">
        <v>3.854138884E9</v>
      </c>
      <c r="D108" s="47" t="s">
        <v>1509</v>
      </c>
      <c r="E108" s="30">
        <v>729.0</v>
      </c>
      <c r="F108" s="30">
        <v>580.0</v>
      </c>
      <c r="G108" s="30">
        <v>0.0</v>
      </c>
      <c r="H108" s="30">
        <v>0.0</v>
      </c>
      <c r="I108" s="30">
        <v>36.0855</v>
      </c>
      <c r="J108" s="30">
        <v>0.0</v>
      </c>
      <c r="K108" s="30">
        <v>0.0</v>
      </c>
      <c r="L108" s="30">
        <v>0.0</v>
      </c>
      <c r="M108" s="30">
        <v>0.0</v>
      </c>
      <c r="N108" s="30">
        <v>121.5</v>
      </c>
      <c r="O108" s="30">
        <v>-8.585499999999996</v>
      </c>
      <c r="P108" s="30">
        <v>-1.177709190672153</v>
      </c>
      <c r="Q108" s="30">
        <v>-1.4132510288065838</v>
      </c>
    </row>
    <row r="109">
      <c r="A109" s="47">
        <v>1.1239503578E10</v>
      </c>
      <c r="B109" s="48">
        <v>46158.53743055555</v>
      </c>
      <c r="C109" s="30">
        <v>3.853758434E9</v>
      </c>
      <c r="D109" s="47" t="s">
        <v>1509</v>
      </c>
      <c r="E109" s="30">
        <v>1289.0</v>
      </c>
      <c r="F109" s="30">
        <v>1190.0</v>
      </c>
      <c r="G109" s="30">
        <v>0.0</v>
      </c>
      <c r="H109" s="30">
        <v>0.0</v>
      </c>
      <c r="I109" s="30">
        <v>34.803000000000004</v>
      </c>
      <c r="J109" s="30">
        <v>0.0</v>
      </c>
      <c r="K109" s="30">
        <v>0.0</v>
      </c>
      <c r="L109" s="30">
        <v>0.0</v>
      </c>
      <c r="M109" s="30">
        <v>0.0</v>
      </c>
      <c r="N109" s="30">
        <v>214.83333333333326</v>
      </c>
      <c r="O109" s="30">
        <v>-150.63633333333325</v>
      </c>
      <c r="P109" s="30">
        <v>-11.686294284975427</v>
      </c>
      <c r="Q109" s="30">
        <v>-14.023553141970513</v>
      </c>
    </row>
    <row r="110">
      <c r="A110" s="47">
        <v>1.1239776876E10</v>
      </c>
      <c r="B110" s="48">
        <v>46158.61739583333</v>
      </c>
      <c r="C110" s="30">
        <v>3.854011877E9</v>
      </c>
      <c r="D110" s="47" t="s">
        <v>1509</v>
      </c>
      <c r="E110" s="30">
        <v>729.0</v>
      </c>
      <c r="F110" s="30">
        <v>580.0</v>
      </c>
      <c r="G110" s="30">
        <v>0.0</v>
      </c>
      <c r="H110" s="30">
        <v>0.0</v>
      </c>
      <c r="I110" s="30">
        <v>32.148900000000005</v>
      </c>
      <c r="J110" s="30">
        <v>0.0</v>
      </c>
      <c r="K110" s="30">
        <v>0.0</v>
      </c>
      <c r="L110" s="30">
        <v>0.0</v>
      </c>
      <c r="M110" s="30">
        <v>0.0</v>
      </c>
      <c r="N110" s="30">
        <v>121.5</v>
      </c>
      <c r="O110" s="30">
        <v>-4.648899999999998</v>
      </c>
      <c r="P110" s="30">
        <v>-0.6377091906721534</v>
      </c>
      <c r="Q110" s="30">
        <v>-0.765251028806584</v>
      </c>
    </row>
    <row r="111">
      <c r="A111" s="47">
        <v>1.1243880494E10</v>
      </c>
      <c r="B111" s="48">
        <v>46159.81859953704</v>
      </c>
      <c r="C111" s="30">
        <v>3.857280156E9</v>
      </c>
      <c r="D111" s="47" t="s">
        <v>1509</v>
      </c>
      <c r="E111" s="30">
        <v>1281.0</v>
      </c>
      <c r="F111" s="30">
        <v>1190.0</v>
      </c>
      <c r="G111" s="30">
        <v>0.0</v>
      </c>
      <c r="H111" s="30">
        <v>0.0</v>
      </c>
      <c r="I111" s="30">
        <v>34.587</v>
      </c>
      <c r="J111" s="30">
        <v>0.0</v>
      </c>
      <c r="K111" s="30">
        <v>0.0</v>
      </c>
      <c r="L111" s="30">
        <v>0.0</v>
      </c>
      <c r="M111" s="30">
        <v>0.0</v>
      </c>
      <c r="N111" s="30">
        <v>213.5</v>
      </c>
      <c r="O111" s="30">
        <v>-157.087</v>
      </c>
      <c r="P111" s="30">
        <v>-12.262841530054644</v>
      </c>
      <c r="Q111" s="30">
        <v>-14.715409836065573</v>
      </c>
    </row>
    <row r="112">
      <c r="A112" s="47">
        <v>1.1250431793E10</v>
      </c>
      <c r="B112" s="48">
        <v>46161.79099537037</v>
      </c>
      <c r="C112" s="30">
        <v>3.862856805E9</v>
      </c>
      <c r="D112" s="47" t="s">
        <v>1508</v>
      </c>
      <c r="E112" s="30">
        <v>1450.0</v>
      </c>
      <c r="F112" s="30">
        <v>0.0</v>
      </c>
      <c r="G112" s="30">
        <v>0.0</v>
      </c>
      <c r="H112" s="30">
        <v>0.0</v>
      </c>
      <c r="I112" s="30">
        <v>239.25</v>
      </c>
      <c r="J112" s="30">
        <v>0.0</v>
      </c>
      <c r="K112" s="30">
        <v>0.0</v>
      </c>
      <c r="L112" s="30">
        <v>0.0</v>
      </c>
      <c r="M112" s="30">
        <v>0.0</v>
      </c>
      <c r="N112" s="30">
        <v>241.66666666666652</v>
      </c>
      <c r="O112" s="30">
        <v>969.0833333333335</v>
      </c>
      <c r="P112" s="30">
        <v>66.83333333333334</v>
      </c>
      <c r="Q112" s="30">
        <v>80.2</v>
      </c>
    </row>
    <row r="113">
      <c r="A113" s="47">
        <v>1.124410506E10</v>
      </c>
      <c r="B113" s="48">
        <v>46159.86130787037</v>
      </c>
      <c r="C113" s="30">
        <v>3.857429979E9</v>
      </c>
      <c r="D113" s="47" t="s">
        <v>1509</v>
      </c>
      <c r="E113" s="30">
        <v>2187.0</v>
      </c>
      <c r="F113" s="30">
        <v>1740.0</v>
      </c>
      <c r="G113" s="30">
        <v>0.0</v>
      </c>
      <c r="H113" s="30">
        <v>0.0</v>
      </c>
      <c r="I113" s="30">
        <v>96.4467</v>
      </c>
      <c r="J113" s="30">
        <v>0.0</v>
      </c>
      <c r="K113" s="30">
        <v>0.0</v>
      </c>
      <c r="L113" s="30">
        <v>0.0</v>
      </c>
      <c r="M113" s="30">
        <v>0.0</v>
      </c>
      <c r="N113" s="30">
        <v>364.5</v>
      </c>
      <c r="O113" s="30">
        <v>-13.946700000000021</v>
      </c>
      <c r="P113" s="30">
        <v>-0.6377091906721546</v>
      </c>
      <c r="Q113" s="30">
        <v>-0.7652510288065856</v>
      </c>
    </row>
    <row r="114">
      <c r="A114" s="47">
        <v>1.1243199807E10</v>
      </c>
      <c r="B114" s="48">
        <v>46159.68284722222</v>
      </c>
      <c r="C114" s="30">
        <v>3.856760978E9</v>
      </c>
      <c r="D114" s="47" t="s">
        <v>1509</v>
      </c>
      <c r="E114" s="30">
        <v>1282.0</v>
      </c>
      <c r="F114" s="30">
        <v>1190.0</v>
      </c>
      <c r="G114" s="30">
        <v>0.0</v>
      </c>
      <c r="H114" s="30">
        <v>0.0</v>
      </c>
      <c r="I114" s="30">
        <v>34.614000000000004</v>
      </c>
      <c r="J114" s="30">
        <v>0.0</v>
      </c>
      <c r="K114" s="30">
        <v>0.0</v>
      </c>
      <c r="L114" s="30">
        <v>0.0</v>
      </c>
      <c r="M114" s="30">
        <v>0.0</v>
      </c>
      <c r="N114" s="30">
        <v>213.66666666666652</v>
      </c>
      <c r="O114" s="30">
        <v>-156.28066666666652</v>
      </c>
      <c r="P114" s="30">
        <v>-12.190379615184597</v>
      </c>
      <c r="Q114" s="30">
        <v>-14.628455538221512</v>
      </c>
    </row>
    <row r="115">
      <c r="A115" s="47">
        <v>1.1242167513E10</v>
      </c>
      <c r="B115" s="48">
        <v>46159.11436342593</v>
      </c>
      <c r="C115" s="30">
        <v>3.855851924E9</v>
      </c>
      <c r="D115" s="47" t="s">
        <v>1509</v>
      </c>
      <c r="E115" s="30">
        <v>1284.0</v>
      </c>
      <c r="F115" s="30">
        <v>1190.0</v>
      </c>
      <c r="G115" s="30">
        <v>0.0</v>
      </c>
      <c r="H115" s="30">
        <v>0.0</v>
      </c>
      <c r="I115" s="30">
        <v>34.668</v>
      </c>
      <c r="J115" s="30">
        <v>0.0</v>
      </c>
      <c r="K115" s="30">
        <v>0.0</v>
      </c>
      <c r="L115" s="30">
        <v>0.0</v>
      </c>
      <c r="M115" s="30">
        <v>0.0</v>
      </c>
      <c r="N115" s="30">
        <v>214.0</v>
      </c>
      <c r="O115" s="30">
        <v>-154.668</v>
      </c>
      <c r="P115" s="30">
        <v>-12.045794392523366</v>
      </c>
      <c r="Q115" s="30">
        <v>-14.454953271028037</v>
      </c>
    </row>
    <row r="116">
      <c r="A116" s="47">
        <v>1.1241900869E10</v>
      </c>
      <c r="B116" s="48">
        <v>46159.055243055554</v>
      </c>
      <c r="C116" s="30">
        <v>3.855613705E9</v>
      </c>
      <c r="D116" s="47" t="s">
        <v>1509</v>
      </c>
      <c r="E116" s="30">
        <v>1266.9</v>
      </c>
      <c r="F116" s="30">
        <v>1160.0</v>
      </c>
      <c r="G116" s="30">
        <v>0.0</v>
      </c>
      <c r="H116" s="30">
        <v>0.0</v>
      </c>
      <c r="I116" s="30">
        <v>57.0105</v>
      </c>
      <c r="J116" s="30">
        <v>0.0</v>
      </c>
      <c r="K116" s="30">
        <v>0.0</v>
      </c>
      <c r="L116" s="30">
        <v>0.0</v>
      </c>
      <c r="M116" s="30">
        <v>0.0</v>
      </c>
      <c r="N116" s="30">
        <v>211.14999999999986</v>
      </c>
      <c r="O116" s="30">
        <v>-161.26049999999978</v>
      </c>
      <c r="P116" s="30">
        <v>-12.728747336017033</v>
      </c>
      <c r="Q116" s="30">
        <v>-15.274496803220435</v>
      </c>
    </row>
    <row r="117">
      <c r="A117" s="47">
        <v>1.1245357298E10</v>
      </c>
      <c r="B117" s="48">
        <v>46160.08804398148</v>
      </c>
      <c r="C117" s="30">
        <v>3.858398367E9</v>
      </c>
      <c r="D117" s="47" t="s">
        <v>1509</v>
      </c>
      <c r="E117" s="30">
        <v>729.0</v>
      </c>
      <c r="F117" s="30">
        <v>580.0</v>
      </c>
      <c r="G117" s="30">
        <v>0.0</v>
      </c>
      <c r="H117" s="30">
        <v>0.0</v>
      </c>
      <c r="I117" s="30">
        <v>32.148900000000005</v>
      </c>
      <c r="J117" s="30">
        <v>0.0</v>
      </c>
      <c r="K117" s="30">
        <v>0.0</v>
      </c>
      <c r="L117" s="30">
        <v>0.0</v>
      </c>
      <c r="M117" s="30">
        <v>0.0</v>
      </c>
      <c r="N117" s="30">
        <v>121.5</v>
      </c>
      <c r="O117" s="30">
        <v>-4.648899999999998</v>
      </c>
      <c r="P117" s="30">
        <v>-0.6377091906721534</v>
      </c>
      <c r="Q117" s="30">
        <v>-0.765251028806584</v>
      </c>
    </row>
    <row r="118">
      <c r="A118" s="47">
        <v>1.1250397668E10</v>
      </c>
      <c r="B118" s="48">
        <v>46161.784108796295</v>
      </c>
      <c r="C118" s="30">
        <v>3.862831606E9</v>
      </c>
      <c r="D118" s="47" t="s">
        <v>1508</v>
      </c>
      <c r="E118" s="30">
        <v>850.0</v>
      </c>
      <c r="F118" s="30">
        <v>580.0</v>
      </c>
      <c r="G118" s="30">
        <v>0.0</v>
      </c>
      <c r="H118" s="30">
        <v>0.0</v>
      </c>
      <c r="I118" s="30">
        <v>114.75</v>
      </c>
      <c r="J118" s="30">
        <v>0.0</v>
      </c>
      <c r="K118" s="30">
        <v>0.0</v>
      </c>
      <c r="L118" s="30">
        <v>0.0</v>
      </c>
      <c r="M118" s="30">
        <v>0.0</v>
      </c>
      <c r="N118" s="30">
        <v>141.66666666666663</v>
      </c>
      <c r="O118" s="30">
        <v>13.583333333333371</v>
      </c>
      <c r="P118" s="30">
        <v>1.598039215686279</v>
      </c>
      <c r="Q118" s="30">
        <v>1.9176470588235346</v>
      </c>
    </row>
    <row r="119">
      <c r="A119" s="47">
        <v>1.1250386791E10</v>
      </c>
      <c r="B119" s="48">
        <v>46161.78178240741</v>
      </c>
      <c r="C119" s="30">
        <v>3.862820942E9</v>
      </c>
      <c r="D119" s="47" t="s">
        <v>1508</v>
      </c>
      <c r="E119" s="30">
        <v>855.0</v>
      </c>
      <c r="F119" s="30">
        <v>0.0</v>
      </c>
      <c r="G119" s="30">
        <v>0.0</v>
      </c>
      <c r="H119" s="30">
        <v>0.0</v>
      </c>
      <c r="I119" s="30">
        <v>106.875</v>
      </c>
      <c r="J119" s="30">
        <v>0.0</v>
      </c>
      <c r="K119" s="30">
        <v>0.0</v>
      </c>
      <c r="L119" s="30">
        <v>0.0</v>
      </c>
      <c r="M119" s="30">
        <v>0.0</v>
      </c>
      <c r="N119" s="30">
        <v>142.5</v>
      </c>
      <c r="O119" s="30">
        <v>605.625</v>
      </c>
      <c r="P119" s="30">
        <v>70.83333333333334</v>
      </c>
      <c r="Q119" s="30">
        <v>85.0</v>
      </c>
    </row>
    <row r="120">
      <c r="A120" s="47">
        <v>1.1240375E10</v>
      </c>
      <c r="B120" s="48">
        <v>46158.74381944445</v>
      </c>
      <c r="C120" s="30">
        <v>3.854510412E9</v>
      </c>
      <c r="D120" s="47" t="s">
        <v>1509</v>
      </c>
      <c r="E120" s="30">
        <v>729.0</v>
      </c>
      <c r="F120" s="30">
        <v>580.0</v>
      </c>
      <c r="G120" s="30">
        <v>0.0</v>
      </c>
      <c r="H120" s="30">
        <v>0.0</v>
      </c>
      <c r="I120" s="30">
        <v>36.0855</v>
      </c>
      <c r="J120" s="30">
        <v>0.0</v>
      </c>
      <c r="K120" s="30">
        <v>0.0</v>
      </c>
      <c r="L120" s="30">
        <v>0.0</v>
      </c>
      <c r="M120" s="30">
        <v>0.0</v>
      </c>
      <c r="N120" s="30">
        <v>121.5</v>
      </c>
      <c r="O120" s="30">
        <v>-8.585499999999996</v>
      </c>
      <c r="P120" s="30">
        <v>-1.177709190672153</v>
      </c>
      <c r="Q120" s="30">
        <v>-1.4132510288065838</v>
      </c>
    </row>
    <row r="121">
      <c r="A121" s="47">
        <v>1.1239539717E10</v>
      </c>
      <c r="B121" s="48">
        <v>46158.55056712963</v>
      </c>
      <c r="C121" s="30">
        <v>3.853793654E9</v>
      </c>
      <c r="D121" s="47" t="s">
        <v>1509</v>
      </c>
      <c r="E121" s="30">
        <v>1267.9</v>
      </c>
      <c r="F121" s="30">
        <v>1160.0</v>
      </c>
      <c r="G121" s="30">
        <v>0.0</v>
      </c>
      <c r="H121" s="30">
        <v>0.0</v>
      </c>
      <c r="I121" s="30">
        <v>57.0555</v>
      </c>
      <c r="J121" s="30">
        <v>0.0</v>
      </c>
      <c r="K121" s="30">
        <v>0.0</v>
      </c>
      <c r="L121" s="30">
        <v>0.0</v>
      </c>
      <c r="M121" s="30">
        <v>0.0</v>
      </c>
      <c r="N121" s="30">
        <v>211.3166666666666</v>
      </c>
      <c r="O121" s="30">
        <v>-160.4721666666665</v>
      </c>
      <c r="P121" s="30">
        <v>-12.656531797986158</v>
      </c>
      <c r="Q121" s="30">
        <v>-15.18783815758339</v>
      </c>
    </row>
    <row r="122">
      <c r="A122" s="47">
        <v>1.1240055381E10</v>
      </c>
      <c r="B122" s="48">
        <v>46158.67831018518</v>
      </c>
      <c r="C122" s="30">
        <v>3.854251285E9</v>
      </c>
      <c r="D122" s="47" t="s">
        <v>1509</v>
      </c>
      <c r="E122" s="30">
        <v>1287.0</v>
      </c>
      <c r="F122" s="30">
        <v>1190.0</v>
      </c>
      <c r="G122" s="30">
        <v>0.0</v>
      </c>
      <c r="H122" s="30">
        <v>0.0</v>
      </c>
      <c r="I122" s="30">
        <v>34.749</v>
      </c>
      <c r="J122" s="30">
        <v>0.0</v>
      </c>
      <c r="K122" s="30">
        <v>0.0</v>
      </c>
      <c r="L122" s="30">
        <v>0.0</v>
      </c>
      <c r="M122" s="30">
        <v>0.0</v>
      </c>
      <c r="N122" s="30">
        <v>214.5</v>
      </c>
      <c r="O122" s="30">
        <v>-152.249</v>
      </c>
      <c r="P122" s="30">
        <v>-11.829759129759129</v>
      </c>
      <c r="Q122" s="30">
        <v>-14.195710955710956</v>
      </c>
    </row>
    <row r="123">
      <c r="A123" s="47">
        <v>1.1241582882E10</v>
      </c>
      <c r="B123" s="48">
        <v>46158.99086805555</v>
      </c>
      <c r="C123" s="30">
        <v>3.855354047E9</v>
      </c>
      <c r="D123" s="47" t="s">
        <v>1509</v>
      </c>
      <c r="E123" s="30">
        <v>1284.0</v>
      </c>
      <c r="F123" s="30">
        <v>1190.0</v>
      </c>
      <c r="G123" s="30">
        <v>0.0</v>
      </c>
      <c r="H123" s="30">
        <v>0.0</v>
      </c>
      <c r="I123" s="30">
        <v>34.668</v>
      </c>
      <c r="J123" s="30">
        <v>0.0</v>
      </c>
      <c r="K123" s="30">
        <v>0.0</v>
      </c>
      <c r="L123" s="30">
        <v>0.0</v>
      </c>
      <c r="M123" s="30">
        <v>0.0</v>
      </c>
      <c r="N123" s="30">
        <v>214.0</v>
      </c>
      <c r="O123" s="30">
        <v>-154.668</v>
      </c>
      <c r="P123" s="30">
        <v>-12.045794392523366</v>
      </c>
      <c r="Q123" s="30">
        <v>-14.454953271028037</v>
      </c>
    </row>
    <row r="124">
      <c r="A124" s="47">
        <v>1.1243546358E10</v>
      </c>
      <c r="B124" s="48">
        <v>46159.75335648148</v>
      </c>
      <c r="C124" s="30">
        <v>3.857035891E9</v>
      </c>
      <c r="D124" s="47" t="s">
        <v>1509</v>
      </c>
      <c r="E124" s="30">
        <v>1458.0</v>
      </c>
      <c r="F124" s="30">
        <v>1160.0</v>
      </c>
      <c r="G124" s="30">
        <v>0.0</v>
      </c>
      <c r="H124" s="30">
        <v>0.0</v>
      </c>
      <c r="I124" s="30">
        <v>72.171</v>
      </c>
      <c r="J124" s="30">
        <v>0.0</v>
      </c>
      <c r="K124" s="30">
        <v>0.0</v>
      </c>
      <c r="L124" s="30">
        <v>0.0</v>
      </c>
      <c r="M124" s="30">
        <v>0.0</v>
      </c>
      <c r="N124" s="30">
        <v>243.0</v>
      </c>
      <c r="O124" s="30">
        <v>-17.170999999999992</v>
      </c>
      <c r="P124" s="30">
        <v>-1.177709190672153</v>
      </c>
      <c r="Q124" s="30">
        <v>-1.4132510288065838</v>
      </c>
    </row>
    <row r="125">
      <c r="A125" s="47">
        <v>1.1244430023E10</v>
      </c>
      <c r="B125" s="48">
        <v>46159.92060185185</v>
      </c>
      <c r="C125" s="30">
        <v>3.857644375E9</v>
      </c>
      <c r="D125" s="47" t="s">
        <v>1509</v>
      </c>
      <c r="E125" s="30">
        <v>729.0</v>
      </c>
      <c r="F125" s="30">
        <v>580.0</v>
      </c>
      <c r="G125" s="30">
        <v>0.0</v>
      </c>
      <c r="H125" s="30">
        <v>0.0</v>
      </c>
      <c r="I125" s="30">
        <v>36.0855</v>
      </c>
      <c r="J125" s="30">
        <v>0.0</v>
      </c>
      <c r="K125" s="30">
        <v>0.0</v>
      </c>
      <c r="L125" s="30">
        <v>0.0</v>
      </c>
      <c r="M125" s="30">
        <v>0.0</v>
      </c>
      <c r="N125" s="30">
        <v>121.5</v>
      </c>
      <c r="O125" s="30">
        <v>-8.585499999999996</v>
      </c>
      <c r="P125" s="30">
        <v>-1.177709190672153</v>
      </c>
      <c r="Q125" s="30">
        <v>-1.4132510288065838</v>
      </c>
    </row>
    <row r="126">
      <c r="A126" s="47">
        <v>1.1240500008E10</v>
      </c>
      <c r="B126" s="48">
        <v>46158.769780092596</v>
      </c>
      <c r="C126" s="30">
        <v>3.854604342E9</v>
      </c>
      <c r="D126" s="47" t="s">
        <v>1509</v>
      </c>
      <c r="E126" s="30">
        <v>1286.0</v>
      </c>
      <c r="F126" s="30">
        <v>1190.0</v>
      </c>
      <c r="G126" s="30">
        <v>0.0</v>
      </c>
      <c r="H126" s="30">
        <v>0.0</v>
      </c>
      <c r="I126" s="30">
        <v>34.722</v>
      </c>
      <c r="J126" s="30">
        <v>0.0</v>
      </c>
      <c r="K126" s="30">
        <v>0.0</v>
      </c>
      <c r="L126" s="30">
        <v>0.0</v>
      </c>
      <c r="M126" s="30">
        <v>0.0</v>
      </c>
      <c r="N126" s="30">
        <v>214.33333333333326</v>
      </c>
      <c r="O126" s="30">
        <v>-153.05533333333327</v>
      </c>
      <c r="P126" s="30">
        <v>-11.901658890616895</v>
      </c>
      <c r="Q126" s="30">
        <v>-14.28199066874027</v>
      </c>
    </row>
    <row r="127">
      <c r="A127" s="47">
        <v>1.1245936491E10</v>
      </c>
      <c r="B127" s="48">
        <v>46160.50188657407</v>
      </c>
      <c r="C127" s="30">
        <v>3.859014933E9</v>
      </c>
      <c r="D127" s="47" t="s">
        <v>1509</v>
      </c>
      <c r="E127" s="30">
        <v>729.0</v>
      </c>
      <c r="F127" s="30">
        <v>580.0</v>
      </c>
      <c r="G127" s="30">
        <v>0.0</v>
      </c>
      <c r="H127" s="30">
        <v>0.0</v>
      </c>
      <c r="I127" s="30">
        <v>36.0855</v>
      </c>
      <c r="J127" s="30">
        <v>0.0</v>
      </c>
      <c r="K127" s="30">
        <v>0.0</v>
      </c>
      <c r="L127" s="30">
        <v>0.0</v>
      </c>
      <c r="M127" s="30">
        <v>0.0</v>
      </c>
      <c r="N127" s="30">
        <v>121.5</v>
      </c>
      <c r="O127" s="30">
        <v>-8.585499999999996</v>
      </c>
      <c r="P127" s="30">
        <v>-1.177709190672153</v>
      </c>
      <c r="Q127" s="30">
        <v>-1.4132510288065838</v>
      </c>
    </row>
    <row r="128">
      <c r="A128" s="47">
        <v>1.1244591782E10</v>
      </c>
      <c r="B128" s="48">
        <v>46159.94982638889</v>
      </c>
      <c r="C128" s="30">
        <v>3.857753629E9</v>
      </c>
      <c r="D128" s="47" t="s">
        <v>1509</v>
      </c>
      <c r="E128" s="30">
        <v>729.0</v>
      </c>
      <c r="F128" s="30">
        <v>580.0</v>
      </c>
      <c r="G128" s="30">
        <v>0.0</v>
      </c>
      <c r="H128" s="30">
        <v>0.0</v>
      </c>
      <c r="I128" s="30">
        <v>32.148900000000005</v>
      </c>
      <c r="J128" s="30">
        <v>0.0</v>
      </c>
      <c r="K128" s="30">
        <v>0.0</v>
      </c>
      <c r="L128" s="30">
        <v>0.0</v>
      </c>
      <c r="M128" s="30">
        <v>0.0</v>
      </c>
      <c r="N128" s="30">
        <v>121.5</v>
      </c>
      <c r="O128" s="30">
        <v>-4.648899999999998</v>
      </c>
      <c r="P128" s="30">
        <v>-0.6377091906721534</v>
      </c>
      <c r="Q128" s="30">
        <v>-0.765251028806584</v>
      </c>
    </row>
    <row r="129">
      <c r="A129" s="47">
        <v>1.1216178071E10</v>
      </c>
      <c r="B129" s="48">
        <v>46151.57072916667</v>
      </c>
      <c r="C129" s="30">
        <v>3.832742717E9</v>
      </c>
      <c r="D129" s="47" t="s">
        <v>1509</v>
      </c>
      <c r="E129" s="30">
        <v>1634.0</v>
      </c>
      <c r="F129" s="30">
        <v>1160.0</v>
      </c>
      <c r="G129" s="30">
        <v>0.0</v>
      </c>
      <c r="H129" s="30">
        <v>0.0</v>
      </c>
      <c r="I129" s="30">
        <v>220.59</v>
      </c>
      <c r="J129" s="30">
        <v>0.0</v>
      </c>
      <c r="K129" s="30">
        <v>0.0</v>
      </c>
      <c r="L129" s="30">
        <v>0.0</v>
      </c>
      <c r="M129" s="30">
        <v>0.0</v>
      </c>
      <c r="N129" s="30">
        <v>272.33333333333326</v>
      </c>
      <c r="O129" s="30">
        <v>-18.92333333333326</v>
      </c>
      <c r="P129" s="30">
        <v>-1.158098735210114</v>
      </c>
      <c r="Q129" s="30">
        <v>-1.3897184822521365</v>
      </c>
    </row>
    <row r="130">
      <c r="A130" s="47">
        <v>1.1241150462E10</v>
      </c>
      <c r="B130" s="48">
        <v>46158.90393518518</v>
      </c>
      <c r="C130" s="30">
        <v>3.855060741E9</v>
      </c>
      <c r="D130" s="47" t="s">
        <v>1512</v>
      </c>
      <c r="E130" s="30">
        <v>729.0</v>
      </c>
      <c r="F130" s="30">
        <v>580.0</v>
      </c>
      <c r="G130" s="30">
        <v>0.0</v>
      </c>
      <c r="H130" s="30">
        <v>0.0</v>
      </c>
      <c r="I130" s="30">
        <v>32.148900000000005</v>
      </c>
      <c r="J130" s="30">
        <v>0.0</v>
      </c>
      <c r="K130" s="30">
        <v>0.0</v>
      </c>
      <c r="L130" s="30">
        <v>0.0</v>
      </c>
      <c r="M130" s="30">
        <v>0.0</v>
      </c>
      <c r="N130" s="30">
        <v>121.5</v>
      </c>
      <c r="O130" s="30">
        <v>-4.648899999999998</v>
      </c>
      <c r="P130" s="30">
        <v>-0.6377091906721534</v>
      </c>
      <c r="Q130" s="30">
        <v>-0.765251028806584</v>
      </c>
    </row>
    <row r="131">
      <c r="A131" s="47">
        <v>1.1240391825E10</v>
      </c>
      <c r="B131" s="48">
        <v>46158.74725694444</v>
      </c>
      <c r="C131" s="30">
        <v>3.854523303E9</v>
      </c>
      <c r="D131" s="47" t="s">
        <v>1509</v>
      </c>
      <c r="E131" s="30">
        <v>1286.0</v>
      </c>
      <c r="F131" s="30">
        <v>1190.0</v>
      </c>
      <c r="G131" s="30">
        <v>0.0</v>
      </c>
      <c r="H131" s="30">
        <v>0.0</v>
      </c>
      <c r="I131" s="30">
        <v>34.722</v>
      </c>
      <c r="J131" s="30">
        <v>0.0</v>
      </c>
      <c r="K131" s="30">
        <v>0.0</v>
      </c>
      <c r="L131" s="30">
        <v>0.0</v>
      </c>
      <c r="M131" s="30">
        <v>0.0</v>
      </c>
      <c r="N131" s="30">
        <v>214.33333333333326</v>
      </c>
      <c r="O131" s="30">
        <v>-153.05533333333327</v>
      </c>
      <c r="P131" s="30">
        <v>-11.901658890616895</v>
      </c>
      <c r="Q131" s="30">
        <v>-14.28199066874027</v>
      </c>
    </row>
    <row r="132">
      <c r="A132" s="47">
        <v>1.12438403E10</v>
      </c>
      <c r="B132" s="48">
        <v>46159.811006944445</v>
      </c>
      <c r="C132" s="30">
        <v>3.857249617E9</v>
      </c>
      <c r="D132" s="47" t="s">
        <v>1509</v>
      </c>
      <c r="E132" s="30">
        <v>1281.0</v>
      </c>
      <c r="F132" s="30">
        <v>1190.0</v>
      </c>
      <c r="G132" s="30">
        <v>0.0</v>
      </c>
      <c r="H132" s="30">
        <v>0.0</v>
      </c>
      <c r="I132" s="30">
        <v>34.587</v>
      </c>
      <c r="J132" s="30">
        <v>0.0</v>
      </c>
      <c r="K132" s="30">
        <v>0.0</v>
      </c>
      <c r="L132" s="30">
        <v>0.0</v>
      </c>
      <c r="M132" s="30">
        <v>0.0</v>
      </c>
      <c r="N132" s="30">
        <v>213.5</v>
      </c>
      <c r="O132" s="30">
        <v>-157.087</v>
      </c>
      <c r="P132" s="30">
        <v>-12.262841530054644</v>
      </c>
      <c r="Q132" s="30">
        <v>-14.715409836065573</v>
      </c>
    </row>
    <row r="133">
      <c r="A133" s="47">
        <v>1.124479015E10</v>
      </c>
      <c r="B133" s="48">
        <v>46159.98553240741</v>
      </c>
      <c r="C133" s="30">
        <v>3.85789809E9</v>
      </c>
      <c r="D133" s="47" t="s">
        <v>1509</v>
      </c>
      <c r="E133" s="30">
        <v>1590.0</v>
      </c>
      <c r="F133" s="30">
        <v>1228.0</v>
      </c>
      <c r="G133" s="30">
        <v>0.0</v>
      </c>
      <c r="H133" s="30">
        <v>0.0</v>
      </c>
      <c r="I133" s="30">
        <v>168.858</v>
      </c>
      <c r="J133" s="30">
        <v>0.0</v>
      </c>
      <c r="K133" s="30">
        <v>0.0</v>
      </c>
      <c r="L133" s="30">
        <v>0.0</v>
      </c>
      <c r="M133" s="30">
        <v>0.0</v>
      </c>
      <c r="N133" s="30">
        <v>265.0</v>
      </c>
      <c r="O133" s="30">
        <v>-71.858</v>
      </c>
      <c r="P133" s="30">
        <v>-4.51937106918239</v>
      </c>
      <c r="Q133" s="30">
        <v>-5.423245283018868</v>
      </c>
    </row>
    <row r="134">
      <c r="A134" s="47">
        <v>1.1240894636E10</v>
      </c>
      <c r="B134" s="48">
        <v>46158.852326388886</v>
      </c>
      <c r="C134" s="30">
        <v>3.854892809E9</v>
      </c>
      <c r="D134" s="47" t="s">
        <v>1509</v>
      </c>
      <c r="E134" s="30">
        <v>729.0</v>
      </c>
      <c r="F134" s="30">
        <v>580.0</v>
      </c>
      <c r="G134" s="30">
        <v>0.0</v>
      </c>
      <c r="H134" s="30">
        <v>0.0</v>
      </c>
      <c r="I134" s="30">
        <v>32.148900000000005</v>
      </c>
      <c r="J134" s="30">
        <v>0.0</v>
      </c>
      <c r="K134" s="30">
        <v>0.0</v>
      </c>
      <c r="L134" s="30">
        <v>0.0</v>
      </c>
      <c r="M134" s="30">
        <v>0.0</v>
      </c>
      <c r="N134" s="30">
        <v>121.5</v>
      </c>
      <c r="O134" s="30">
        <v>-4.648899999999998</v>
      </c>
      <c r="P134" s="30">
        <v>-0.6377091906721534</v>
      </c>
      <c r="Q134" s="30">
        <v>-0.765251028806584</v>
      </c>
    </row>
    <row r="135">
      <c r="A135" s="47">
        <v>1.124410095E10</v>
      </c>
      <c r="B135" s="48">
        <v>46159.86050925926</v>
      </c>
      <c r="C135" s="30">
        <v>3.857430914E9</v>
      </c>
      <c r="D135" s="47" t="s">
        <v>1509</v>
      </c>
      <c r="E135" s="30">
        <v>768.0</v>
      </c>
      <c r="F135" s="30">
        <v>580.0</v>
      </c>
      <c r="G135" s="30">
        <v>0.0</v>
      </c>
      <c r="H135" s="30">
        <v>0.0</v>
      </c>
      <c r="I135" s="30">
        <v>28.3392</v>
      </c>
      <c r="J135" s="30">
        <v>0.0</v>
      </c>
      <c r="K135" s="30">
        <v>0.0</v>
      </c>
      <c r="L135" s="30">
        <v>0.0</v>
      </c>
      <c r="M135" s="30">
        <v>0.0</v>
      </c>
      <c r="N135" s="30">
        <v>128.0</v>
      </c>
      <c r="O135" s="30">
        <v>31.660799999999995</v>
      </c>
      <c r="P135" s="30">
        <v>4.122499999999999</v>
      </c>
      <c r="Q135" s="30">
        <v>4.946999999999999</v>
      </c>
    </row>
    <row r="136">
      <c r="A136" s="47">
        <v>1.124492343E10</v>
      </c>
      <c r="B136" s="48">
        <v>46160.00885416667</v>
      </c>
      <c r="C136" s="30">
        <v>3.858002304E9</v>
      </c>
      <c r="D136" s="47" t="s">
        <v>1509</v>
      </c>
      <c r="E136" s="30">
        <v>768.0</v>
      </c>
      <c r="F136" s="30">
        <v>580.0</v>
      </c>
      <c r="G136" s="30">
        <v>0.0</v>
      </c>
      <c r="H136" s="30">
        <v>0.0</v>
      </c>
      <c r="I136" s="30">
        <v>28.3392</v>
      </c>
      <c r="J136" s="30">
        <v>0.0</v>
      </c>
      <c r="K136" s="30">
        <v>0.0</v>
      </c>
      <c r="L136" s="30">
        <v>0.0</v>
      </c>
      <c r="M136" s="30">
        <v>0.0</v>
      </c>
      <c r="N136" s="30">
        <v>128.0</v>
      </c>
      <c r="O136" s="30">
        <v>31.660799999999995</v>
      </c>
      <c r="P136" s="30">
        <v>4.122499999999999</v>
      </c>
      <c r="Q136" s="30">
        <v>4.946999999999999</v>
      </c>
    </row>
    <row r="137">
      <c r="A137" s="47">
        <v>1.1241927028E10</v>
      </c>
      <c r="B137" s="48">
        <v>46159.060891203706</v>
      </c>
      <c r="C137" s="30">
        <v>3.855634785E9</v>
      </c>
      <c r="D137" s="47" t="s">
        <v>1509</v>
      </c>
      <c r="E137" s="30">
        <v>1284.0</v>
      </c>
      <c r="F137" s="30">
        <v>1190.0</v>
      </c>
      <c r="G137" s="30">
        <v>0.0</v>
      </c>
      <c r="H137" s="30">
        <v>0.0</v>
      </c>
      <c r="I137" s="30">
        <v>34.668</v>
      </c>
      <c r="J137" s="30">
        <v>0.0</v>
      </c>
      <c r="K137" s="30">
        <v>0.0</v>
      </c>
      <c r="L137" s="30">
        <v>0.0</v>
      </c>
      <c r="M137" s="30">
        <v>0.0</v>
      </c>
      <c r="N137" s="30">
        <v>214.0</v>
      </c>
      <c r="O137" s="30">
        <v>-154.668</v>
      </c>
      <c r="P137" s="30">
        <v>-12.045794392523366</v>
      </c>
      <c r="Q137" s="30">
        <v>-14.454953271028037</v>
      </c>
    </row>
    <row r="138">
      <c r="A138" s="47">
        <v>1.1241630526E10</v>
      </c>
      <c r="B138" s="48">
        <v>46159.00056712963</v>
      </c>
      <c r="C138" s="30">
        <v>3.855392863E9</v>
      </c>
      <c r="D138" s="47" t="s">
        <v>1509</v>
      </c>
      <c r="E138" s="30">
        <v>1284.0</v>
      </c>
      <c r="F138" s="30">
        <v>1190.0</v>
      </c>
      <c r="G138" s="30">
        <v>0.0</v>
      </c>
      <c r="H138" s="30">
        <v>0.0</v>
      </c>
      <c r="I138" s="30">
        <v>34.668</v>
      </c>
      <c r="J138" s="30">
        <v>0.0</v>
      </c>
      <c r="K138" s="30">
        <v>0.0</v>
      </c>
      <c r="L138" s="30">
        <v>0.0</v>
      </c>
      <c r="M138" s="30">
        <v>0.0</v>
      </c>
      <c r="N138" s="30">
        <v>214.0</v>
      </c>
      <c r="O138" s="30">
        <v>-154.668</v>
      </c>
      <c r="P138" s="30">
        <v>-12.045794392523366</v>
      </c>
      <c r="Q138" s="30">
        <v>-14.454953271028037</v>
      </c>
    </row>
    <row r="139">
      <c r="A139" s="47">
        <v>1.1250282782E10</v>
      </c>
      <c r="B139" s="48">
        <v>46161.760613425926</v>
      </c>
      <c r="C139" s="30">
        <v>3.862746059E9</v>
      </c>
      <c r="D139" s="47" t="s">
        <v>1508</v>
      </c>
      <c r="E139" s="30">
        <v>1750.0</v>
      </c>
      <c r="F139" s="30">
        <v>1228.0</v>
      </c>
      <c r="G139" s="30">
        <v>0.0</v>
      </c>
      <c r="H139" s="30">
        <v>0.0</v>
      </c>
      <c r="I139" s="30">
        <v>288.75</v>
      </c>
      <c r="J139" s="30">
        <v>0.0</v>
      </c>
      <c r="K139" s="30">
        <v>0.0</v>
      </c>
      <c r="L139" s="30">
        <v>0.0</v>
      </c>
      <c r="M139" s="30">
        <v>0.0</v>
      </c>
      <c r="N139" s="30">
        <v>291.6666666666665</v>
      </c>
      <c r="O139" s="30">
        <v>-58.416666666666515</v>
      </c>
      <c r="P139" s="30">
        <v>-3.33809523809523</v>
      </c>
      <c r="Q139" s="30">
        <v>-4.005714285714275</v>
      </c>
    </row>
    <row r="140">
      <c r="A140" s="47">
        <v>1.1242092779E10</v>
      </c>
      <c r="B140" s="48">
        <v>46159.097037037034</v>
      </c>
      <c r="C140" s="30">
        <v>3.855784077E9</v>
      </c>
      <c r="D140" s="47" t="s">
        <v>1509</v>
      </c>
      <c r="E140" s="30">
        <v>1284.0</v>
      </c>
      <c r="F140" s="30">
        <v>1190.0</v>
      </c>
      <c r="G140" s="30">
        <v>0.0</v>
      </c>
      <c r="H140" s="30">
        <v>0.0</v>
      </c>
      <c r="I140" s="30">
        <v>34.668</v>
      </c>
      <c r="J140" s="30">
        <v>0.0</v>
      </c>
      <c r="K140" s="30">
        <v>0.0</v>
      </c>
      <c r="L140" s="30">
        <v>0.0</v>
      </c>
      <c r="M140" s="30">
        <v>0.0</v>
      </c>
      <c r="N140" s="30">
        <v>214.0</v>
      </c>
      <c r="O140" s="30">
        <v>-154.668</v>
      </c>
      <c r="P140" s="30">
        <v>-12.045794392523366</v>
      </c>
      <c r="Q140" s="30">
        <v>-14.454953271028037</v>
      </c>
    </row>
    <row r="141">
      <c r="A141" s="47">
        <v>1.1245438772E10</v>
      </c>
      <c r="B141" s="48">
        <v>46160.10420138889</v>
      </c>
      <c r="C141" s="30">
        <v>3.858480521E9</v>
      </c>
      <c r="D141" s="47" t="s">
        <v>1509</v>
      </c>
      <c r="E141" s="30">
        <v>729.0</v>
      </c>
      <c r="F141" s="30">
        <v>580.0</v>
      </c>
      <c r="G141" s="30">
        <v>0.0</v>
      </c>
      <c r="H141" s="30">
        <v>0.0</v>
      </c>
      <c r="I141" s="30">
        <v>32.148900000000005</v>
      </c>
      <c r="J141" s="30">
        <v>0.0</v>
      </c>
      <c r="K141" s="30">
        <v>0.0</v>
      </c>
      <c r="L141" s="30">
        <v>0.0</v>
      </c>
      <c r="M141" s="30">
        <v>0.0</v>
      </c>
      <c r="N141" s="30">
        <v>121.5</v>
      </c>
      <c r="O141" s="30">
        <v>-4.648899999999998</v>
      </c>
      <c r="P141" s="30">
        <v>-0.6377091906721534</v>
      </c>
      <c r="Q141" s="30">
        <v>-0.765251028806584</v>
      </c>
    </row>
    <row r="142">
      <c r="A142" s="47">
        <v>1.1243372847E10</v>
      </c>
      <c r="B142" s="48">
        <v>46159.718252314815</v>
      </c>
      <c r="C142" s="30">
        <v>3.856902024E9</v>
      </c>
      <c r="D142" s="47" t="s">
        <v>1509</v>
      </c>
      <c r="E142" s="30">
        <v>1282.0</v>
      </c>
      <c r="F142" s="30">
        <v>1190.0</v>
      </c>
      <c r="G142" s="30">
        <v>0.0</v>
      </c>
      <c r="H142" s="30">
        <v>0.0</v>
      </c>
      <c r="I142" s="30">
        <v>34.614000000000004</v>
      </c>
      <c r="J142" s="30">
        <v>0.0</v>
      </c>
      <c r="K142" s="30">
        <v>0.0</v>
      </c>
      <c r="L142" s="30">
        <v>0.0</v>
      </c>
      <c r="M142" s="30">
        <v>0.0</v>
      </c>
      <c r="N142" s="30">
        <v>213.66666666666652</v>
      </c>
      <c r="O142" s="30">
        <v>-156.28066666666652</v>
      </c>
      <c r="P142" s="30">
        <v>-12.190379615184597</v>
      </c>
      <c r="Q142" s="30">
        <v>-14.628455538221512</v>
      </c>
    </row>
    <row r="143">
      <c r="A143" s="47">
        <v>1.124463496E10</v>
      </c>
      <c r="B143" s="48">
        <v>46159.95778935185</v>
      </c>
      <c r="C143" s="30">
        <v>3.857784761E9</v>
      </c>
      <c r="D143" s="47" t="s">
        <v>1510</v>
      </c>
      <c r="E143" s="30">
        <v>1458.0</v>
      </c>
      <c r="F143" s="30">
        <v>1160.0</v>
      </c>
      <c r="G143" s="30">
        <v>0.0</v>
      </c>
      <c r="H143" s="30">
        <v>0.0</v>
      </c>
      <c r="I143" s="30">
        <v>68.23440000000001</v>
      </c>
      <c r="J143" s="30">
        <v>0.0</v>
      </c>
      <c r="K143" s="30">
        <v>0.0</v>
      </c>
      <c r="L143" s="30">
        <v>0.0</v>
      </c>
      <c r="M143" s="30">
        <v>0.0</v>
      </c>
      <c r="N143" s="30">
        <v>243.0</v>
      </c>
      <c r="O143" s="30">
        <v>-13.234399999999994</v>
      </c>
      <c r="P143" s="30">
        <v>-0.9077091906721532</v>
      </c>
      <c r="Q143" s="30">
        <v>-1.0892510288065838</v>
      </c>
    </row>
    <row r="144">
      <c r="A144" s="47">
        <v>1.1240463423E10</v>
      </c>
      <c r="B144" s="48">
        <v>46158.76186342593</v>
      </c>
      <c r="C144" s="30">
        <v>3.854577086E9</v>
      </c>
      <c r="D144" s="47" t="s">
        <v>1509</v>
      </c>
      <c r="E144" s="30">
        <v>1286.0</v>
      </c>
      <c r="F144" s="30">
        <v>1190.0</v>
      </c>
      <c r="G144" s="30">
        <v>0.0</v>
      </c>
      <c r="H144" s="30">
        <v>0.0</v>
      </c>
      <c r="I144" s="30">
        <v>34.722</v>
      </c>
      <c r="J144" s="30">
        <v>0.0</v>
      </c>
      <c r="K144" s="30">
        <v>0.0</v>
      </c>
      <c r="L144" s="30">
        <v>0.0</v>
      </c>
      <c r="M144" s="30">
        <v>0.0</v>
      </c>
      <c r="N144" s="30">
        <v>214.33333333333326</v>
      </c>
      <c r="O144" s="30">
        <v>-153.05533333333327</v>
      </c>
      <c r="P144" s="30">
        <v>-11.901658890616895</v>
      </c>
      <c r="Q144" s="30">
        <v>-14.28199066874027</v>
      </c>
    </row>
    <row r="145">
      <c r="A145" s="47">
        <v>1.1245091478E10</v>
      </c>
      <c r="B145" s="48">
        <v>46160.03890046296</v>
      </c>
      <c r="C145" s="30">
        <v>3.858147684E9</v>
      </c>
      <c r="D145" s="47" t="s">
        <v>1509</v>
      </c>
      <c r="E145" s="30">
        <v>2139.99</v>
      </c>
      <c r="F145" s="30">
        <v>1359.6</v>
      </c>
      <c r="G145" s="30">
        <v>0.0</v>
      </c>
      <c r="H145" s="30">
        <v>0.0</v>
      </c>
      <c r="I145" s="30">
        <v>254.3562</v>
      </c>
      <c r="J145" s="30">
        <v>0.0</v>
      </c>
      <c r="K145" s="30">
        <v>0.0</v>
      </c>
      <c r="L145" s="30">
        <v>0.0</v>
      </c>
      <c r="M145" s="30">
        <v>0.0</v>
      </c>
      <c r="N145" s="30">
        <v>356.66499999999996</v>
      </c>
      <c r="O145" s="30">
        <v>169.36879999999996</v>
      </c>
      <c r="P145" s="30">
        <v>7.9144668900321955</v>
      </c>
      <c r="Q145" s="30">
        <v>9.497360268038635</v>
      </c>
    </row>
    <row r="146">
      <c r="A146" s="47">
        <v>1.1240816264E10</v>
      </c>
      <c r="B146" s="48">
        <v>46158.83604166667</v>
      </c>
      <c r="C146" s="30">
        <v>3.854836543E9</v>
      </c>
      <c r="D146" s="47" t="s">
        <v>1509</v>
      </c>
      <c r="E146" s="30">
        <v>1285.0</v>
      </c>
      <c r="F146" s="30">
        <v>1190.0</v>
      </c>
      <c r="G146" s="30">
        <v>0.0</v>
      </c>
      <c r="H146" s="30">
        <v>0.0</v>
      </c>
      <c r="I146" s="30">
        <v>34.69500000000001</v>
      </c>
      <c r="J146" s="30">
        <v>0.0</v>
      </c>
      <c r="K146" s="30">
        <v>0.0</v>
      </c>
      <c r="L146" s="30">
        <v>0.0</v>
      </c>
      <c r="M146" s="30">
        <v>0.0</v>
      </c>
      <c r="N146" s="30">
        <v>214.16666666666652</v>
      </c>
      <c r="O146" s="30">
        <v>-153.8616666666665</v>
      </c>
      <c r="P146" s="30">
        <v>-11.973670557717238</v>
      </c>
      <c r="Q146" s="30">
        <v>-14.368404669260684</v>
      </c>
    </row>
    <row r="147">
      <c r="A147" s="47">
        <v>1.1239467268E10</v>
      </c>
      <c r="B147" s="48">
        <v>46158.52306712963</v>
      </c>
      <c r="C147" s="30">
        <v>3.853725709E9</v>
      </c>
      <c r="D147" s="47" t="s">
        <v>1509</v>
      </c>
      <c r="E147" s="30">
        <v>2578.0</v>
      </c>
      <c r="F147" s="30">
        <v>2380.0</v>
      </c>
      <c r="G147" s="30">
        <v>0.0</v>
      </c>
      <c r="H147" s="30">
        <v>0.0</v>
      </c>
      <c r="I147" s="30">
        <v>69.60600000000001</v>
      </c>
      <c r="J147" s="30">
        <v>0.0</v>
      </c>
      <c r="K147" s="30">
        <v>0.0</v>
      </c>
      <c r="L147" s="30">
        <v>0.0</v>
      </c>
      <c r="M147" s="30">
        <v>0.0</v>
      </c>
      <c r="N147" s="30">
        <v>429.6666666666665</v>
      </c>
      <c r="O147" s="30">
        <v>-301.2726666666665</v>
      </c>
      <c r="P147" s="30">
        <v>-11.686294284975427</v>
      </c>
      <c r="Q147" s="30">
        <v>-14.023553141970513</v>
      </c>
    </row>
    <row r="148">
      <c r="A148" s="47">
        <v>1.1240324492E10</v>
      </c>
      <c r="B148" s="48">
        <v>46158.73357638889</v>
      </c>
      <c r="C148" s="30">
        <v>3.854468987E9</v>
      </c>
      <c r="D148" s="47" t="s">
        <v>1509</v>
      </c>
      <c r="E148" s="30">
        <v>1286.0</v>
      </c>
      <c r="F148" s="30">
        <v>1190.0</v>
      </c>
      <c r="G148" s="30">
        <v>0.0</v>
      </c>
      <c r="H148" s="30">
        <v>0.0</v>
      </c>
      <c r="I148" s="30">
        <v>34.722</v>
      </c>
      <c r="J148" s="30">
        <v>0.0</v>
      </c>
      <c r="K148" s="30">
        <v>0.0</v>
      </c>
      <c r="L148" s="30">
        <v>0.0</v>
      </c>
      <c r="M148" s="30">
        <v>0.0</v>
      </c>
      <c r="N148" s="30">
        <v>214.33333333333326</v>
      </c>
      <c r="O148" s="30">
        <v>-153.05533333333327</v>
      </c>
      <c r="P148" s="30">
        <v>-11.901658890616895</v>
      </c>
      <c r="Q148" s="30">
        <v>-14.28199066874027</v>
      </c>
    </row>
    <row r="149">
      <c r="A149" s="47">
        <v>1.1239346325E10</v>
      </c>
      <c r="B149" s="48">
        <v>46158.414768518516</v>
      </c>
      <c r="C149" s="30">
        <v>3.853594945E9</v>
      </c>
      <c r="D149" s="47" t="s">
        <v>1509</v>
      </c>
      <c r="E149" s="30">
        <v>1458.0</v>
      </c>
      <c r="F149" s="30">
        <v>1160.0</v>
      </c>
      <c r="G149" s="30">
        <v>0.0</v>
      </c>
      <c r="H149" s="30">
        <v>0.0</v>
      </c>
      <c r="I149" s="30">
        <v>64.29780000000001</v>
      </c>
      <c r="J149" s="30">
        <v>0.0</v>
      </c>
      <c r="K149" s="30">
        <v>0.0</v>
      </c>
      <c r="L149" s="30">
        <v>0.0</v>
      </c>
      <c r="M149" s="30">
        <v>0.0</v>
      </c>
      <c r="N149" s="30">
        <v>243.0</v>
      </c>
      <c r="O149" s="30">
        <v>-9.297799999999995</v>
      </c>
      <c r="P149" s="30">
        <v>-0.6377091906721534</v>
      </c>
      <c r="Q149" s="30">
        <v>-0.765251028806584</v>
      </c>
    </row>
    <row r="150">
      <c r="A150" s="47">
        <v>1.124198911E10</v>
      </c>
      <c r="B150" s="48">
        <v>46159.07387731481</v>
      </c>
      <c r="C150" s="30">
        <v>3.855689669E9</v>
      </c>
      <c r="D150" s="47" t="s">
        <v>1509</v>
      </c>
      <c r="E150" s="30">
        <v>1600.0</v>
      </c>
      <c r="F150" s="30">
        <v>1228.0</v>
      </c>
      <c r="G150" s="30">
        <v>0.0</v>
      </c>
      <c r="H150" s="30">
        <v>0.0</v>
      </c>
      <c r="I150" s="30">
        <v>169.92</v>
      </c>
      <c r="J150" s="30">
        <v>0.0</v>
      </c>
      <c r="K150" s="30">
        <v>0.0</v>
      </c>
      <c r="L150" s="30">
        <v>0.0</v>
      </c>
      <c r="M150" s="30">
        <v>0.0</v>
      </c>
      <c r="N150" s="30">
        <v>266.6666666666665</v>
      </c>
      <c r="O150" s="30">
        <v>-64.5866666666665</v>
      </c>
      <c r="P150" s="30">
        <v>-4.036666666666656</v>
      </c>
      <c r="Q150" s="30">
        <v>-4.843999999999987</v>
      </c>
    </row>
    <row r="151">
      <c r="A151" s="47">
        <v>1.1240792883E10</v>
      </c>
      <c r="B151" s="48">
        <v>46158.83138888889</v>
      </c>
      <c r="C151" s="30">
        <v>3.854822564E9</v>
      </c>
      <c r="D151" s="47" t="s">
        <v>1509</v>
      </c>
      <c r="E151" s="30">
        <v>1285.0</v>
      </c>
      <c r="F151" s="30">
        <v>1190.0</v>
      </c>
      <c r="G151" s="30">
        <v>0.0</v>
      </c>
      <c r="H151" s="30">
        <v>0.0</v>
      </c>
      <c r="I151" s="30">
        <v>34.69500000000001</v>
      </c>
      <c r="J151" s="30">
        <v>0.0</v>
      </c>
      <c r="K151" s="30">
        <v>0.0</v>
      </c>
      <c r="L151" s="30">
        <v>0.0</v>
      </c>
      <c r="M151" s="30">
        <v>0.0</v>
      </c>
      <c r="N151" s="30">
        <v>214.16666666666652</v>
      </c>
      <c r="O151" s="30">
        <v>-153.8616666666665</v>
      </c>
      <c r="P151" s="30">
        <v>-11.973670557717238</v>
      </c>
      <c r="Q151" s="30">
        <v>-14.368404669260684</v>
      </c>
    </row>
    <row r="152">
      <c r="A152" s="47">
        <v>1.1241467847E10</v>
      </c>
      <c r="B152" s="48">
        <v>46158.96774305555</v>
      </c>
      <c r="C152" s="30">
        <v>3.855273527E9</v>
      </c>
      <c r="D152" s="47" t="s">
        <v>1509</v>
      </c>
      <c r="E152" s="30">
        <v>729.0</v>
      </c>
      <c r="F152" s="30">
        <v>580.0</v>
      </c>
      <c r="G152" s="30">
        <v>0.0</v>
      </c>
      <c r="H152" s="30">
        <v>0.0</v>
      </c>
      <c r="I152" s="30">
        <v>32.148900000000005</v>
      </c>
      <c r="J152" s="30">
        <v>0.0</v>
      </c>
      <c r="K152" s="30">
        <v>0.0</v>
      </c>
      <c r="L152" s="30">
        <v>0.0</v>
      </c>
      <c r="M152" s="30">
        <v>0.0</v>
      </c>
      <c r="N152" s="30">
        <v>121.5</v>
      </c>
      <c r="O152" s="30">
        <v>-4.648899999999998</v>
      </c>
      <c r="P152" s="30">
        <v>-0.6377091906721534</v>
      </c>
      <c r="Q152" s="30">
        <v>-0.765251028806584</v>
      </c>
    </row>
    <row r="153">
      <c r="A153" s="47">
        <v>1.1244126109E10</v>
      </c>
      <c r="B153" s="48">
        <v>46159.8653587963</v>
      </c>
      <c r="C153" s="30">
        <v>3.85744466E9</v>
      </c>
      <c r="D153" s="47" t="s">
        <v>1509</v>
      </c>
      <c r="E153" s="30">
        <v>729.0</v>
      </c>
      <c r="F153" s="30">
        <v>580.0</v>
      </c>
      <c r="G153" s="30">
        <v>0.0</v>
      </c>
      <c r="H153" s="30">
        <v>0.0</v>
      </c>
      <c r="I153" s="30">
        <v>32.148900000000005</v>
      </c>
      <c r="J153" s="30">
        <v>0.0</v>
      </c>
      <c r="K153" s="30">
        <v>0.0</v>
      </c>
      <c r="L153" s="30">
        <v>0.0</v>
      </c>
      <c r="M153" s="30">
        <v>0.0</v>
      </c>
      <c r="N153" s="30">
        <v>121.5</v>
      </c>
      <c r="O153" s="30">
        <v>-4.648899999999998</v>
      </c>
      <c r="P153" s="30">
        <v>-0.6377091906721534</v>
      </c>
      <c r="Q153" s="30">
        <v>-0.765251028806584</v>
      </c>
    </row>
    <row r="154">
      <c r="A154" s="47">
        <v>1.1250214117E10</v>
      </c>
      <c r="B154" s="48">
        <v>46161.74662037037</v>
      </c>
      <c r="C154" s="30">
        <v>3.862693217E9</v>
      </c>
      <c r="D154" s="47" t="s">
        <v>1508</v>
      </c>
      <c r="E154" s="30">
        <v>1562.0</v>
      </c>
      <c r="F154" s="30">
        <v>1160.0</v>
      </c>
      <c r="G154" s="30">
        <v>0.0</v>
      </c>
      <c r="H154" s="30">
        <v>0.0</v>
      </c>
      <c r="I154" s="30">
        <v>0.0</v>
      </c>
      <c r="J154" s="30">
        <v>0.0</v>
      </c>
      <c r="K154" s="30">
        <v>0.0</v>
      </c>
      <c r="L154" s="30">
        <v>0.0</v>
      </c>
      <c r="M154" s="30">
        <v>0.0</v>
      </c>
      <c r="N154" s="30">
        <v>260.33333333333326</v>
      </c>
      <c r="O154" s="30">
        <v>141.66666666666674</v>
      </c>
      <c r="P154" s="30">
        <v>9.069568928723863</v>
      </c>
      <c r="Q154" s="30">
        <v>10.883482714468636</v>
      </c>
    </row>
    <row r="155">
      <c r="A155" s="47">
        <v>1.1238272336E10</v>
      </c>
      <c r="B155" s="48">
        <v>46157.959398148145</v>
      </c>
      <c r="C155" s="30">
        <v>3.852650487E9</v>
      </c>
      <c r="D155" s="47" t="s">
        <v>1509</v>
      </c>
      <c r="E155" s="30">
        <v>1820.0</v>
      </c>
      <c r="F155" s="30">
        <v>1228.0</v>
      </c>
      <c r="G155" s="30">
        <v>0.0</v>
      </c>
      <c r="H155" s="30">
        <v>0.0</v>
      </c>
      <c r="I155" s="30">
        <v>270.27</v>
      </c>
      <c r="J155" s="30">
        <v>0.0</v>
      </c>
      <c r="K155" s="30">
        <v>0.0</v>
      </c>
      <c r="L155" s="30">
        <v>0.0</v>
      </c>
      <c r="M155" s="30">
        <v>0.0</v>
      </c>
      <c r="N155" s="30">
        <v>303.33333333333326</v>
      </c>
      <c r="O155" s="30">
        <v>18.39666666666676</v>
      </c>
      <c r="P155" s="30">
        <v>1.010805860805866</v>
      </c>
      <c r="Q155" s="30">
        <v>1.212967032967039</v>
      </c>
    </row>
    <row r="156">
      <c r="A156" s="47">
        <v>1.1240957291E10</v>
      </c>
      <c r="B156" s="48">
        <v>46158.86519675926</v>
      </c>
      <c r="C156" s="30">
        <v>3.854935556E9</v>
      </c>
      <c r="D156" s="47" t="s">
        <v>1509</v>
      </c>
      <c r="E156" s="30">
        <v>659.0</v>
      </c>
      <c r="F156" s="30">
        <v>420.0</v>
      </c>
      <c r="G156" s="30">
        <v>0.0</v>
      </c>
      <c r="H156" s="30">
        <v>0.0</v>
      </c>
      <c r="I156" s="30">
        <v>97.86149999999999</v>
      </c>
      <c r="J156" s="30">
        <v>0.0</v>
      </c>
      <c r="K156" s="30">
        <v>0.0</v>
      </c>
      <c r="L156" s="30">
        <v>0.0</v>
      </c>
      <c r="M156" s="30">
        <v>0.0</v>
      </c>
      <c r="N156" s="30">
        <v>109.83333333333326</v>
      </c>
      <c r="O156" s="30">
        <v>31.305166666666764</v>
      </c>
      <c r="P156" s="30">
        <v>4.750404653515442</v>
      </c>
      <c r="Q156" s="30">
        <v>5.70048558421853</v>
      </c>
    </row>
    <row r="157">
      <c r="A157" s="47">
        <v>1.1239448423E10</v>
      </c>
      <c r="B157" s="48">
        <v>46158.51429398148</v>
      </c>
      <c r="C157" s="30">
        <v>3.853705982E9</v>
      </c>
      <c r="D157" s="47" t="s">
        <v>1509</v>
      </c>
      <c r="E157" s="30">
        <v>1289.0</v>
      </c>
      <c r="F157" s="30">
        <v>1190.0</v>
      </c>
      <c r="G157" s="30">
        <v>0.0</v>
      </c>
      <c r="H157" s="30">
        <v>0.0</v>
      </c>
      <c r="I157" s="30">
        <v>34.803000000000004</v>
      </c>
      <c r="J157" s="30">
        <v>0.0</v>
      </c>
      <c r="K157" s="30">
        <v>0.0</v>
      </c>
      <c r="L157" s="30">
        <v>0.0</v>
      </c>
      <c r="M157" s="30">
        <v>0.0</v>
      </c>
      <c r="N157" s="30">
        <v>214.83333333333326</v>
      </c>
      <c r="O157" s="30">
        <v>-150.63633333333325</v>
      </c>
      <c r="P157" s="30">
        <v>-11.686294284975427</v>
      </c>
      <c r="Q157" s="30">
        <v>-14.023553141970513</v>
      </c>
    </row>
    <row r="158">
      <c r="A158" s="47">
        <v>1.1241347705E10</v>
      </c>
      <c r="B158" s="48">
        <v>46158.94342592593</v>
      </c>
      <c r="C158" s="30">
        <v>3.855194166E9</v>
      </c>
      <c r="D158" s="47" t="s">
        <v>1509</v>
      </c>
      <c r="E158" s="30">
        <v>729.0</v>
      </c>
      <c r="F158" s="30">
        <v>580.0</v>
      </c>
      <c r="G158" s="30">
        <v>0.0</v>
      </c>
      <c r="H158" s="30">
        <v>0.0</v>
      </c>
      <c r="I158" s="30">
        <v>36.0855</v>
      </c>
      <c r="J158" s="30">
        <v>0.0</v>
      </c>
      <c r="K158" s="30">
        <v>0.0</v>
      </c>
      <c r="L158" s="30">
        <v>0.0</v>
      </c>
      <c r="M158" s="30">
        <v>0.0</v>
      </c>
      <c r="N158" s="30">
        <v>121.5</v>
      </c>
      <c r="O158" s="30">
        <v>-8.585499999999996</v>
      </c>
      <c r="P158" s="30">
        <v>-1.177709190672153</v>
      </c>
      <c r="Q158" s="30">
        <v>-1.4132510288065838</v>
      </c>
    </row>
    <row r="159">
      <c r="A159" s="47">
        <v>1.1241740465E10</v>
      </c>
      <c r="B159" s="48">
        <v>46159.02233796296</v>
      </c>
      <c r="C159" s="30">
        <v>3.855477419E9</v>
      </c>
      <c r="D159" s="47" t="s">
        <v>1509</v>
      </c>
      <c r="E159" s="30">
        <v>1483.0</v>
      </c>
      <c r="F159" s="30">
        <v>1243.0</v>
      </c>
      <c r="G159" s="30">
        <v>0.0</v>
      </c>
      <c r="H159" s="30">
        <v>0.0</v>
      </c>
      <c r="I159" s="30">
        <v>88.64145</v>
      </c>
      <c r="J159" s="30">
        <v>0.0</v>
      </c>
      <c r="K159" s="30">
        <v>0.0</v>
      </c>
      <c r="L159" s="30">
        <v>0.0</v>
      </c>
      <c r="M159" s="30">
        <v>0.0</v>
      </c>
      <c r="N159" s="30">
        <v>247.16666666666657</v>
      </c>
      <c r="O159" s="30">
        <v>-95.80811666666659</v>
      </c>
      <c r="P159" s="30">
        <v>-6.460425938413121</v>
      </c>
      <c r="Q159" s="30">
        <v>-7.752511126095745</v>
      </c>
    </row>
    <row r="160">
      <c r="A160" s="47">
        <v>1.1241057451E10</v>
      </c>
      <c r="B160" s="48">
        <v>46158.88511574074</v>
      </c>
      <c r="C160" s="30">
        <v>3.855001383E9</v>
      </c>
      <c r="D160" s="47" t="s">
        <v>1509</v>
      </c>
      <c r="E160" s="30">
        <v>1285.0</v>
      </c>
      <c r="F160" s="30">
        <v>1190.0</v>
      </c>
      <c r="G160" s="30">
        <v>0.0</v>
      </c>
      <c r="H160" s="30">
        <v>0.0</v>
      </c>
      <c r="I160" s="30">
        <v>34.69500000000001</v>
      </c>
      <c r="J160" s="30">
        <v>0.0</v>
      </c>
      <c r="K160" s="30">
        <v>0.0</v>
      </c>
      <c r="L160" s="30">
        <v>0.0</v>
      </c>
      <c r="M160" s="30">
        <v>0.0</v>
      </c>
      <c r="N160" s="30">
        <v>214.16666666666652</v>
      </c>
      <c r="O160" s="30">
        <v>-153.8616666666665</v>
      </c>
      <c r="P160" s="30">
        <v>-11.973670557717238</v>
      </c>
      <c r="Q160" s="30">
        <v>-14.368404669260684</v>
      </c>
    </row>
    <row r="161">
      <c r="A161" s="47">
        <v>1.1243277525E10</v>
      </c>
      <c r="B161" s="48">
        <v>46159.69855324074</v>
      </c>
      <c r="C161" s="30">
        <v>3.856826407E9</v>
      </c>
      <c r="D161" s="47" t="s">
        <v>1509</v>
      </c>
      <c r="E161" s="30">
        <v>390.0</v>
      </c>
      <c r="F161" s="30">
        <v>180.0</v>
      </c>
      <c r="G161" s="30">
        <v>0.0</v>
      </c>
      <c r="H161" s="30">
        <v>0.0</v>
      </c>
      <c r="I161" s="30">
        <v>49.2885</v>
      </c>
      <c r="J161" s="30">
        <v>0.0</v>
      </c>
      <c r="K161" s="30">
        <v>0.0</v>
      </c>
      <c r="L161" s="30">
        <v>0.0</v>
      </c>
      <c r="M161" s="30">
        <v>0.0</v>
      </c>
      <c r="N161" s="30">
        <v>64.99999999999996</v>
      </c>
      <c r="O161" s="30">
        <v>95.71150000000004</v>
      </c>
      <c r="P161" s="30">
        <v>24.541410256410266</v>
      </c>
      <c r="Q161" s="30">
        <v>29.449692307692317</v>
      </c>
    </row>
    <row r="162">
      <c r="A162" s="47">
        <v>1.1239625603E10</v>
      </c>
      <c r="B162" s="48">
        <v>46158.577893518515</v>
      </c>
      <c r="C162" s="30">
        <v>3.853873467E9</v>
      </c>
      <c r="D162" s="47" t="s">
        <v>1509</v>
      </c>
      <c r="E162" s="30">
        <v>1289.0</v>
      </c>
      <c r="F162" s="30">
        <v>1190.0</v>
      </c>
      <c r="G162" s="30">
        <v>0.0</v>
      </c>
      <c r="H162" s="30">
        <v>0.0</v>
      </c>
      <c r="I162" s="30">
        <v>34.803000000000004</v>
      </c>
      <c r="J162" s="30">
        <v>0.0</v>
      </c>
      <c r="K162" s="30">
        <v>0.0</v>
      </c>
      <c r="L162" s="30">
        <v>0.0</v>
      </c>
      <c r="M162" s="30">
        <v>0.0</v>
      </c>
      <c r="N162" s="30">
        <v>214.83333333333326</v>
      </c>
      <c r="O162" s="30">
        <v>-150.63633333333325</v>
      </c>
      <c r="P162" s="30">
        <v>-11.686294284975427</v>
      </c>
      <c r="Q162" s="30">
        <v>-14.023553141970513</v>
      </c>
    </row>
    <row r="163">
      <c r="A163" s="47">
        <v>1.125015417E10</v>
      </c>
      <c r="B163" s="48">
        <v>46161.734456018516</v>
      </c>
      <c r="C163" s="30">
        <v>3.862645513E9</v>
      </c>
      <c r="D163" s="47" t="s">
        <v>1508</v>
      </c>
      <c r="E163" s="30">
        <v>1728.0</v>
      </c>
      <c r="F163" s="30">
        <v>1260.0</v>
      </c>
      <c r="G163" s="30">
        <v>0.0</v>
      </c>
      <c r="H163" s="30">
        <v>0.0</v>
      </c>
      <c r="I163" s="30">
        <v>264.384</v>
      </c>
      <c r="J163" s="30">
        <v>0.0</v>
      </c>
      <c r="K163" s="30">
        <v>0.0</v>
      </c>
      <c r="L163" s="30">
        <v>0.0</v>
      </c>
      <c r="M163" s="30">
        <v>0.0</v>
      </c>
      <c r="N163" s="30">
        <v>288.0</v>
      </c>
      <c r="O163" s="30">
        <v>-84.38400000000001</v>
      </c>
      <c r="P163" s="30">
        <v>-4.883333333333334</v>
      </c>
      <c r="Q163" s="30">
        <v>-5.860000000000001</v>
      </c>
    </row>
    <row r="164">
      <c r="A164" s="47">
        <v>1.1242154778E10</v>
      </c>
      <c r="B164" s="48">
        <v>46159.11101851852</v>
      </c>
      <c r="C164" s="30">
        <v>3.85584026E9</v>
      </c>
      <c r="D164" s="47" t="s">
        <v>1509</v>
      </c>
      <c r="E164" s="30">
        <v>729.0</v>
      </c>
      <c r="F164" s="30">
        <v>580.0</v>
      </c>
      <c r="G164" s="30">
        <v>0.0</v>
      </c>
      <c r="H164" s="30">
        <v>0.0</v>
      </c>
      <c r="I164" s="30">
        <v>32.148900000000005</v>
      </c>
      <c r="J164" s="30">
        <v>0.0</v>
      </c>
      <c r="K164" s="30">
        <v>0.0</v>
      </c>
      <c r="L164" s="30">
        <v>0.0</v>
      </c>
      <c r="M164" s="30">
        <v>0.0</v>
      </c>
      <c r="N164" s="30">
        <v>121.5</v>
      </c>
      <c r="O164" s="30">
        <v>-4.648899999999998</v>
      </c>
      <c r="P164" s="30">
        <v>-0.6377091906721534</v>
      </c>
      <c r="Q164" s="30">
        <v>-0.765251028806584</v>
      </c>
    </row>
    <row r="165">
      <c r="A165" s="47">
        <v>1.1238017473E10</v>
      </c>
      <c r="B165" s="48">
        <v>46157.911203703705</v>
      </c>
      <c r="C165" s="30">
        <v>3.852475805E9</v>
      </c>
      <c r="D165" s="47" t="s">
        <v>1509</v>
      </c>
      <c r="E165" s="30">
        <v>1291.0</v>
      </c>
      <c r="F165" s="30">
        <v>1190.0</v>
      </c>
      <c r="G165" s="30">
        <v>0.0</v>
      </c>
      <c r="H165" s="30">
        <v>0.0</v>
      </c>
      <c r="I165" s="30">
        <v>34.857</v>
      </c>
      <c r="J165" s="30">
        <v>0.0</v>
      </c>
      <c r="K165" s="30">
        <v>0.0</v>
      </c>
      <c r="L165" s="30">
        <v>0.0</v>
      </c>
      <c r="M165" s="30">
        <v>0.0</v>
      </c>
      <c r="N165" s="30">
        <v>215.16666666666652</v>
      </c>
      <c r="O165" s="30">
        <v>-149.02366666666651</v>
      </c>
      <c r="P165" s="30">
        <v>-11.543273947844037</v>
      </c>
      <c r="Q165" s="30">
        <v>-13.851928737412841</v>
      </c>
    </row>
    <row r="166">
      <c r="A166" s="47">
        <v>1.1239432907E10</v>
      </c>
      <c r="B166" s="48">
        <v>46158.506886574076</v>
      </c>
      <c r="C166" s="30">
        <v>3.853692058E9</v>
      </c>
      <c r="D166" s="47" t="s">
        <v>1509</v>
      </c>
      <c r="E166" s="30">
        <v>1289.0</v>
      </c>
      <c r="F166" s="30">
        <v>1190.0</v>
      </c>
      <c r="G166" s="30">
        <v>0.0</v>
      </c>
      <c r="H166" s="30">
        <v>0.0</v>
      </c>
      <c r="I166" s="30">
        <v>34.803000000000004</v>
      </c>
      <c r="J166" s="30">
        <v>0.0</v>
      </c>
      <c r="K166" s="30">
        <v>0.0</v>
      </c>
      <c r="L166" s="30">
        <v>0.0</v>
      </c>
      <c r="M166" s="30">
        <v>0.0</v>
      </c>
      <c r="N166" s="30">
        <v>214.83333333333326</v>
      </c>
      <c r="O166" s="30">
        <v>-150.63633333333325</v>
      </c>
      <c r="P166" s="30">
        <v>-11.686294284975427</v>
      </c>
      <c r="Q166" s="30">
        <v>-14.023553141970513</v>
      </c>
    </row>
    <row r="167">
      <c r="A167" s="47">
        <v>1.1237482532E10</v>
      </c>
      <c r="B167" s="48">
        <v>46157.8040625</v>
      </c>
      <c r="C167" s="30">
        <v>3.852081387E9</v>
      </c>
      <c r="D167" s="47" t="s">
        <v>1509</v>
      </c>
      <c r="E167" s="30">
        <v>729.0</v>
      </c>
      <c r="F167" s="30">
        <v>580.0</v>
      </c>
      <c r="G167" s="30">
        <v>0.0</v>
      </c>
      <c r="H167" s="30">
        <v>0.0</v>
      </c>
      <c r="I167" s="30">
        <v>36.0855</v>
      </c>
      <c r="J167" s="30">
        <v>0.0</v>
      </c>
      <c r="K167" s="30">
        <v>0.0</v>
      </c>
      <c r="L167" s="30">
        <v>0.0</v>
      </c>
      <c r="M167" s="30">
        <v>0.0</v>
      </c>
      <c r="N167" s="30">
        <v>121.5</v>
      </c>
      <c r="O167" s="30">
        <v>-8.585499999999996</v>
      </c>
      <c r="P167" s="30">
        <v>-1.177709190672153</v>
      </c>
      <c r="Q167" s="30">
        <v>-1.4132510288065838</v>
      </c>
    </row>
    <row r="168">
      <c r="A168" s="47">
        <v>1.1242210931E10</v>
      </c>
      <c r="B168" s="48">
        <v>46159.1253125</v>
      </c>
      <c r="C168" s="30">
        <v>3.85589297E9</v>
      </c>
      <c r="D168" s="47" t="s">
        <v>1509</v>
      </c>
      <c r="E168" s="30">
        <v>1600.0</v>
      </c>
      <c r="F168" s="30">
        <v>1228.0</v>
      </c>
      <c r="G168" s="30">
        <v>0.0</v>
      </c>
      <c r="H168" s="30">
        <v>0.0</v>
      </c>
      <c r="I168" s="30">
        <v>169.92</v>
      </c>
      <c r="J168" s="30">
        <v>0.0</v>
      </c>
      <c r="K168" s="30">
        <v>0.0</v>
      </c>
      <c r="L168" s="30">
        <v>0.0</v>
      </c>
      <c r="M168" s="30">
        <v>0.0</v>
      </c>
      <c r="N168" s="30">
        <v>266.6666666666665</v>
      </c>
      <c r="O168" s="30">
        <v>-64.5866666666665</v>
      </c>
      <c r="P168" s="30">
        <v>-4.036666666666656</v>
      </c>
      <c r="Q168" s="30">
        <v>-4.843999999999987</v>
      </c>
    </row>
    <row r="169">
      <c r="A169" s="47">
        <v>1.1242253393E10</v>
      </c>
      <c r="B169" s="48">
        <v>46159.13689814815</v>
      </c>
      <c r="C169" s="30">
        <v>3.855930972E9</v>
      </c>
      <c r="D169" s="47" t="s">
        <v>1509</v>
      </c>
      <c r="E169" s="30">
        <v>729.0</v>
      </c>
      <c r="F169" s="30">
        <v>580.0</v>
      </c>
      <c r="G169" s="30">
        <v>0.0</v>
      </c>
      <c r="H169" s="30">
        <v>0.0</v>
      </c>
      <c r="I169" s="30">
        <v>36.0855</v>
      </c>
      <c r="J169" s="30">
        <v>0.0</v>
      </c>
      <c r="K169" s="30">
        <v>0.0</v>
      </c>
      <c r="L169" s="30">
        <v>0.0</v>
      </c>
      <c r="M169" s="30">
        <v>0.0</v>
      </c>
      <c r="N169" s="30">
        <v>121.5</v>
      </c>
      <c r="O169" s="30">
        <v>-8.585499999999996</v>
      </c>
      <c r="P169" s="30">
        <v>-1.177709190672153</v>
      </c>
      <c r="Q169" s="30">
        <v>-1.4132510288065838</v>
      </c>
    </row>
    <row r="170">
      <c r="A170" s="47">
        <v>1.1238048427E10</v>
      </c>
      <c r="B170" s="48">
        <v>46157.917083333334</v>
      </c>
      <c r="C170" s="30">
        <v>3.852495916E9</v>
      </c>
      <c r="D170" s="47" t="s">
        <v>1509</v>
      </c>
      <c r="E170" s="30">
        <v>1291.0</v>
      </c>
      <c r="F170" s="30">
        <v>1190.0</v>
      </c>
      <c r="G170" s="30">
        <v>0.0</v>
      </c>
      <c r="H170" s="30">
        <v>0.0</v>
      </c>
      <c r="I170" s="30">
        <v>34.857</v>
      </c>
      <c r="J170" s="30">
        <v>0.0</v>
      </c>
      <c r="K170" s="30">
        <v>0.0</v>
      </c>
      <c r="L170" s="30">
        <v>0.0</v>
      </c>
      <c r="M170" s="30">
        <v>0.0</v>
      </c>
      <c r="N170" s="30">
        <v>215.16666666666652</v>
      </c>
      <c r="O170" s="30">
        <v>-149.02366666666651</v>
      </c>
      <c r="P170" s="30">
        <v>-11.543273947844037</v>
      </c>
      <c r="Q170" s="30">
        <v>-13.851928737412841</v>
      </c>
    </row>
    <row r="171">
      <c r="A171" s="47">
        <v>1.124208138E10</v>
      </c>
      <c r="B171" s="48">
        <v>46159.0943287037</v>
      </c>
      <c r="C171" s="30">
        <v>3.85577311E9</v>
      </c>
      <c r="D171" s="47" t="s">
        <v>1509</v>
      </c>
      <c r="E171" s="30">
        <v>1284.0</v>
      </c>
      <c r="F171" s="30">
        <v>1190.0</v>
      </c>
      <c r="G171" s="30">
        <v>0.0</v>
      </c>
      <c r="H171" s="30">
        <v>0.0</v>
      </c>
      <c r="I171" s="30">
        <v>34.668</v>
      </c>
      <c r="J171" s="30">
        <v>0.0</v>
      </c>
      <c r="K171" s="30">
        <v>0.0</v>
      </c>
      <c r="L171" s="30">
        <v>0.0</v>
      </c>
      <c r="M171" s="30">
        <v>0.0</v>
      </c>
      <c r="N171" s="30">
        <v>214.0</v>
      </c>
      <c r="O171" s="30">
        <v>-154.668</v>
      </c>
      <c r="P171" s="30">
        <v>-12.045794392523366</v>
      </c>
      <c r="Q171" s="30">
        <v>-14.454953271028037</v>
      </c>
    </row>
    <row r="172">
      <c r="A172" s="47">
        <v>1.1240284886E10</v>
      </c>
      <c r="B172" s="48">
        <v>46158.72503472222</v>
      </c>
      <c r="C172" s="30">
        <v>3.854439161E9</v>
      </c>
      <c r="D172" s="47" t="s">
        <v>1509</v>
      </c>
      <c r="E172" s="30">
        <v>1286.0</v>
      </c>
      <c r="F172" s="30">
        <v>1190.0</v>
      </c>
      <c r="G172" s="30">
        <v>0.0</v>
      </c>
      <c r="H172" s="30">
        <v>0.0</v>
      </c>
      <c r="I172" s="30">
        <v>34.722</v>
      </c>
      <c r="J172" s="30">
        <v>0.0</v>
      </c>
      <c r="K172" s="30">
        <v>0.0</v>
      </c>
      <c r="L172" s="30">
        <v>0.0</v>
      </c>
      <c r="M172" s="30">
        <v>0.0</v>
      </c>
      <c r="N172" s="30">
        <v>214.33333333333326</v>
      </c>
      <c r="O172" s="30">
        <v>-153.05533333333327</v>
      </c>
      <c r="P172" s="30">
        <v>-11.901658890616895</v>
      </c>
      <c r="Q172" s="30">
        <v>-14.28199066874027</v>
      </c>
    </row>
    <row r="173">
      <c r="A173" s="47">
        <v>1.125008874E10</v>
      </c>
      <c r="B173" s="48">
        <v>46161.72122685185</v>
      </c>
      <c r="C173" s="30">
        <v>3.862598008E9</v>
      </c>
      <c r="D173" s="47" t="s">
        <v>1508</v>
      </c>
      <c r="E173" s="30">
        <v>852.0</v>
      </c>
      <c r="F173" s="30">
        <v>300.0</v>
      </c>
      <c r="G173" s="30">
        <v>0.0</v>
      </c>
      <c r="H173" s="30">
        <v>0.0</v>
      </c>
      <c r="I173" s="30">
        <v>161.88</v>
      </c>
      <c r="J173" s="30">
        <v>0.0</v>
      </c>
      <c r="K173" s="30">
        <v>0.0</v>
      </c>
      <c r="L173" s="30">
        <v>0.0</v>
      </c>
      <c r="M173" s="30">
        <v>0.0</v>
      </c>
      <c r="N173" s="30">
        <v>142.0</v>
      </c>
      <c r="O173" s="30">
        <v>248.12</v>
      </c>
      <c r="P173" s="30">
        <v>29.122065727699532</v>
      </c>
      <c r="Q173" s="30">
        <v>34.94647887323944</v>
      </c>
    </row>
    <row r="174">
      <c r="A174" s="47">
        <v>1.1242295462E10</v>
      </c>
      <c r="B174" s="48">
        <v>46159.14957175926</v>
      </c>
      <c r="C174" s="30">
        <v>3.855968511E9</v>
      </c>
      <c r="D174" s="47" t="s">
        <v>1509</v>
      </c>
      <c r="E174" s="30">
        <v>1536.0</v>
      </c>
      <c r="F174" s="30">
        <v>1160.0</v>
      </c>
      <c r="G174" s="30">
        <v>0.0</v>
      </c>
      <c r="H174" s="30">
        <v>0.0</v>
      </c>
      <c r="I174" s="30">
        <v>56.6784</v>
      </c>
      <c r="J174" s="30">
        <v>0.0</v>
      </c>
      <c r="K174" s="30">
        <v>0.0</v>
      </c>
      <c r="L174" s="30">
        <v>0.0</v>
      </c>
      <c r="M174" s="30">
        <v>0.0</v>
      </c>
      <c r="N174" s="30">
        <v>256.0</v>
      </c>
      <c r="O174" s="30">
        <v>63.32159999999999</v>
      </c>
      <c r="P174" s="30">
        <v>4.122499999999999</v>
      </c>
      <c r="Q174" s="30">
        <v>4.946999999999999</v>
      </c>
    </row>
    <row r="175">
      <c r="A175" s="47">
        <v>1.1236578453E10</v>
      </c>
      <c r="B175" s="48">
        <v>46157.621886574074</v>
      </c>
      <c r="C175" s="30">
        <v>3.851324355E9</v>
      </c>
      <c r="D175" s="47" t="s">
        <v>1510</v>
      </c>
      <c r="E175" s="30">
        <v>729.0</v>
      </c>
      <c r="F175" s="30">
        <v>580.0</v>
      </c>
      <c r="G175" s="30">
        <v>0.0</v>
      </c>
      <c r="H175" s="30">
        <v>0.0</v>
      </c>
      <c r="I175" s="30">
        <v>36.0855</v>
      </c>
      <c r="J175" s="30">
        <v>0.0</v>
      </c>
      <c r="K175" s="30">
        <v>0.0</v>
      </c>
      <c r="L175" s="30">
        <v>0.0</v>
      </c>
      <c r="M175" s="30">
        <v>0.0</v>
      </c>
      <c r="N175" s="30">
        <v>121.5</v>
      </c>
      <c r="O175" s="30">
        <v>-8.585499999999996</v>
      </c>
      <c r="P175" s="30">
        <v>-1.177709190672153</v>
      </c>
      <c r="Q175" s="30">
        <v>-1.4132510288065838</v>
      </c>
    </row>
    <row r="176">
      <c r="A176" s="47">
        <v>1.1234563166E10</v>
      </c>
      <c r="B176" s="48">
        <v>46156.868263888886</v>
      </c>
      <c r="C176" s="30">
        <v>3.849443612E9</v>
      </c>
      <c r="D176" s="47" t="s">
        <v>1509</v>
      </c>
      <c r="E176" s="30">
        <v>1290.0</v>
      </c>
      <c r="F176" s="30">
        <v>1190.0</v>
      </c>
      <c r="G176" s="30">
        <v>0.0</v>
      </c>
      <c r="H176" s="30">
        <v>0.0</v>
      </c>
      <c r="I176" s="30">
        <v>34.830000000000005</v>
      </c>
      <c r="J176" s="30">
        <v>0.0</v>
      </c>
      <c r="K176" s="30">
        <v>0.0</v>
      </c>
      <c r="L176" s="30">
        <v>0.0</v>
      </c>
      <c r="M176" s="30">
        <v>0.0</v>
      </c>
      <c r="N176" s="30">
        <v>215.0</v>
      </c>
      <c r="O176" s="30">
        <v>-149.83</v>
      </c>
      <c r="P176" s="30">
        <v>-11.614728682170544</v>
      </c>
      <c r="Q176" s="30">
        <v>-13.937674418604654</v>
      </c>
    </row>
    <row r="177">
      <c r="A177" s="47">
        <v>1.1239637562E10</v>
      </c>
      <c r="B177" s="48">
        <v>46158.58131944444</v>
      </c>
      <c r="C177" s="30">
        <v>3.853884557E9</v>
      </c>
      <c r="D177" s="47" t="s">
        <v>1509</v>
      </c>
      <c r="E177" s="30">
        <v>1289.0</v>
      </c>
      <c r="F177" s="30">
        <v>1190.0</v>
      </c>
      <c r="G177" s="30">
        <v>0.0</v>
      </c>
      <c r="H177" s="30">
        <v>0.0</v>
      </c>
      <c r="I177" s="30">
        <v>34.803000000000004</v>
      </c>
      <c r="J177" s="30">
        <v>0.0</v>
      </c>
      <c r="K177" s="30">
        <v>0.0</v>
      </c>
      <c r="L177" s="30">
        <v>0.0</v>
      </c>
      <c r="M177" s="30">
        <v>0.0</v>
      </c>
      <c r="N177" s="30">
        <v>214.83333333333326</v>
      </c>
      <c r="O177" s="30">
        <v>-150.63633333333325</v>
      </c>
      <c r="P177" s="30">
        <v>-11.686294284975427</v>
      </c>
      <c r="Q177" s="30">
        <v>-14.023553141970513</v>
      </c>
    </row>
    <row r="178">
      <c r="A178" s="47">
        <v>1.1239610614E10</v>
      </c>
      <c r="B178" s="48">
        <v>46158.573125</v>
      </c>
      <c r="C178" s="30">
        <v>3.853860053E9</v>
      </c>
      <c r="D178" s="47" t="s">
        <v>1509</v>
      </c>
      <c r="E178" s="30">
        <v>1289.0</v>
      </c>
      <c r="F178" s="30">
        <v>1190.0</v>
      </c>
      <c r="G178" s="30">
        <v>0.0</v>
      </c>
      <c r="H178" s="30">
        <v>0.0</v>
      </c>
      <c r="I178" s="30">
        <v>34.803000000000004</v>
      </c>
      <c r="J178" s="30">
        <v>0.0</v>
      </c>
      <c r="K178" s="30">
        <v>0.0</v>
      </c>
      <c r="L178" s="30">
        <v>0.0</v>
      </c>
      <c r="M178" s="30">
        <v>0.0</v>
      </c>
      <c r="N178" s="30">
        <v>214.83333333333326</v>
      </c>
      <c r="O178" s="30">
        <v>-150.63633333333325</v>
      </c>
      <c r="P178" s="30">
        <v>-11.686294284975427</v>
      </c>
      <c r="Q178" s="30">
        <v>-14.023553141970513</v>
      </c>
    </row>
    <row r="179">
      <c r="A179" s="47">
        <v>1.1244865055E10</v>
      </c>
      <c r="B179" s="48">
        <v>46159.99872685185</v>
      </c>
      <c r="C179" s="30">
        <v>3.85795427E9</v>
      </c>
      <c r="D179" s="47" t="s">
        <v>1509</v>
      </c>
      <c r="E179" s="30">
        <v>1458.0</v>
      </c>
      <c r="F179" s="30">
        <v>1160.0</v>
      </c>
      <c r="G179" s="30">
        <v>0.0</v>
      </c>
      <c r="H179" s="30">
        <v>0.0</v>
      </c>
      <c r="I179" s="30">
        <v>72.171</v>
      </c>
      <c r="J179" s="30">
        <v>0.0</v>
      </c>
      <c r="K179" s="30">
        <v>0.0</v>
      </c>
      <c r="L179" s="30">
        <v>0.0</v>
      </c>
      <c r="M179" s="30">
        <v>0.0</v>
      </c>
      <c r="N179" s="30">
        <v>243.0</v>
      </c>
      <c r="O179" s="30">
        <v>-17.170999999999992</v>
      </c>
      <c r="P179" s="30">
        <v>-1.177709190672153</v>
      </c>
      <c r="Q179" s="30">
        <v>-1.4132510288065838</v>
      </c>
    </row>
    <row r="180">
      <c r="A180" s="47">
        <v>1.1236801763E10</v>
      </c>
      <c r="B180" s="48">
        <v>46157.66540509259</v>
      </c>
      <c r="C180" s="30">
        <v>3.851508249E9</v>
      </c>
      <c r="D180" s="47" t="s">
        <v>1509</v>
      </c>
      <c r="E180" s="30">
        <v>729.0</v>
      </c>
      <c r="F180" s="30">
        <v>580.0</v>
      </c>
      <c r="G180" s="30">
        <v>0.0</v>
      </c>
      <c r="H180" s="30">
        <v>0.0</v>
      </c>
      <c r="I180" s="30">
        <v>36.0855</v>
      </c>
      <c r="J180" s="30">
        <v>0.0</v>
      </c>
      <c r="K180" s="30">
        <v>0.0</v>
      </c>
      <c r="L180" s="30">
        <v>0.0</v>
      </c>
      <c r="M180" s="30">
        <v>0.0</v>
      </c>
      <c r="N180" s="30">
        <v>121.5</v>
      </c>
      <c r="O180" s="30">
        <v>-8.585499999999996</v>
      </c>
      <c r="P180" s="30">
        <v>-1.177709190672153</v>
      </c>
      <c r="Q180" s="30">
        <v>-1.4132510288065838</v>
      </c>
    </row>
    <row r="181">
      <c r="A181" s="47">
        <v>1.125006156E10</v>
      </c>
      <c r="B181" s="48">
        <v>46161.715844907405</v>
      </c>
      <c r="C181" s="30">
        <v>3.862574233E9</v>
      </c>
      <c r="D181" s="47" t="s">
        <v>1508</v>
      </c>
      <c r="E181" s="30">
        <v>1630.0</v>
      </c>
      <c r="F181" s="30">
        <v>1228.0</v>
      </c>
      <c r="G181" s="30">
        <v>0.0</v>
      </c>
      <c r="H181" s="30">
        <v>0.0</v>
      </c>
      <c r="I181" s="30">
        <v>259.17</v>
      </c>
      <c r="J181" s="30">
        <v>0.0</v>
      </c>
      <c r="K181" s="30">
        <v>0.0</v>
      </c>
      <c r="L181" s="30">
        <v>0.0</v>
      </c>
      <c r="M181" s="30">
        <v>0.0</v>
      </c>
      <c r="N181" s="30">
        <v>271.6666666666665</v>
      </c>
      <c r="O181" s="30">
        <v>-128.83666666666653</v>
      </c>
      <c r="P181" s="30">
        <v>-7.904089979550094</v>
      </c>
      <c r="Q181" s="30">
        <v>-9.484907975460112</v>
      </c>
    </row>
    <row r="182">
      <c r="A182" s="47">
        <v>1.1239597433E10</v>
      </c>
      <c r="B182" s="48">
        <v>46158.56945601852</v>
      </c>
      <c r="C182" s="30">
        <v>3.853846966E9</v>
      </c>
      <c r="D182" s="47" t="s">
        <v>1509</v>
      </c>
      <c r="E182" s="30">
        <v>1289.0</v>
      </c>
      <c r="F182" s="30">
        <v>1190.0</v>
      </c>
      <c r="G182" s="30">
        <v>0.0</v>
      </c>
      <c r="H182" s="30">
        <v>0.0</v>
      </c>
      <c r="I182" s="30">
        <v>34.803000000000004</v>
      </c>
      <c r="J182" s="30">
        <v>0.0</v>
      </c>
      <c r="K182" s="30">
        <v>0.0</v>
      </c>
      <c r="L182" s="30">
        <v>0.0</v>
      </c>
      <c r="M182" s="30">
        <v>0.0</v>
      </c>
      <c r="N182" s="30">
        <v>214.83333333333326</v>
      </c>
      <c r="O182" s="30">
        <v>-150.63633333333325</v>
      </c>
      <c r="P182" s="30">
        <v>-11.686294284975427</v>
      </c>
      <c r="Q182" s="30">
        <v>-14.023553141970513</v>
      </c>
    </row>
    <row r="183">
      <c r="A183" s="47">
        <v>1.1244381033E10</v>
      </c>
      <c r="B183" s="48">
        <v>46159.91174768518</v>
      </c>
      <c r="C183" s="30">
        <v>3.857612416E9</v>
      </c>
      <c r="D183" s="47" t="s">
        <v>1509</v>
      </c>
      <c r="E183" s="30">
        <v>1657.0</v>
      </c>
      <c r="F183" s="30">
        <v>1213.0</v>
      </c>
      <c r="G183" s="30">
        <v>0.0</v>
      </c>
      <c r="H183" s="30">
        <v>0.0</v>
      </c>
      <c r="I183" s="30">
        <v>113.98095900000001</v>
      </c>
      <c r="J183" s="30">
        <v>0.0</v>
      </c>
      <c r="K183" s="30">
        <v>0.0</v>
      </c>
      <c r="L183" s="30">
        <v>0.0</v>
      </c>
      <c r="M183" s="30">
        <v>0.0</v>
      </c>
      <c r="N183" s="30">
        <v>276.1666666666665</v>
      </c>
      <c r="O183" s="30">
        <v>53.8523743333335</v>
      </c>
      <c r="P183" s="30">
        <v>3.249992416012885</v>
      </c>
      <c r="Q183" s="30">
        <v>3.8999908992154615</v>
      </c>
    </row>
    <row r="184">
      <c r="A184" s="47">
        <v>1.1242888948E10</v>
      </c>
      <c r="B184" s="48">
        <v>46159.61273148148</v>
      </c>
      <c r="C184" s="30">
        <v>3.856504417E9</v>
      </c>
      <c r="D184" s="47" t="s">
        <v>1509</v>
      </c>
      <c r="E184" s="30">
        <v>4515.0</v>
      </c>
      <c r="F184" s="30">
        <v>3556.0</v>
      </c>
      <c r="G184" s="30">
        <v>0.0</v>
      </c>
      <c r="H184" s="30">
        <v>0.0</v>
      </c>
      <c r="I184" s="30">
        <v>532.3185</v>
      </c>
      <c r="J184" s="30">
        <v>0.0</v>
      </c>
      <c r="K184" s="30">
        <v>0.0</v>
      </c>
      <c r="L184" s="30">
        <v>0.0</v>
      </c>
      <c r="M184" s="30">
        <v>0.0</v>
      </c>
      <c r="N184" s="30">
        <v>752.5</v>
      </c>
      <c r="O184" s="30">
        <v>-325.8185</v>
      </c>
      <c r="P184" s="30">
        <v>-7.216356589147287</v>
      </c>
      <c r="Q184" s="30">
        <v>-8.659627906976745</v>
      </c>
    </row>
    <row r="185">
      <c r="A185" s="47">
        <v>1.1240904706E10</v>
      </c>
      <c r="B185" s="48">
        <v>46158.85449074074</v>
      </c>
      <c r="C185" s="30">
        <v>3.854898612E9</v>
      </c>
      <c r="D185" s="47" t="s">
        <v>1509</v>
      </c>
      <c r="E185" s="30">
        <v>1285.0</v>
      </c>
      <c r="F185" s="30">
        <v>1190.0</v>
      </c>
      <c r="G185" s="30">
        <v>0.0</v>
      </c>
      <c r="H185" s="30">
        <v>0.0</v>
      </c>
      <c r="I185" s="30">
        <v>34.69500000000001</v>
      </c>
      <c r="J185" s="30">
        <v>0.0</v>
      </c>
      <c r="K185" s="30">
        <v>0.0</v>
      </c>
      <c r="L185" s="30">
        <v>0.0</v>
      </c>
      <c r="M185" s="30">
        <v>0.0</v>
      </c>
      <c r="N185" s="30">
        <v>214.16666666666652</v>
      </c>
      <c r="O185" s="30">
        <v>-153.8616666666665</v>
      </c>
      <c r="P185" s="30">
        <v>-11.973670557717238</v>
      </c>
      <c r="Q185" s="30">
        <v>-14.368404669260684</v>
      </c>
    </row>
    <row r="186">
      <c r="A186" s="47">
        <v>1.1240809728E10</v>
      </c>
      <c r="B186" s="48">
        <v>46158.83462962963</v>
      </c>
      <c r="C186" s="30">
        <v>3.85483287E9</v>
      </c>
      <c r="D186" s="47" t="s">
        <v>1509</v>
      </c>
      <c r="E186" s="30">
        <v>1458.0</v>
      </c>
      <c r="F186" s="30">
        <v>1160.0</v>
      </c>
      <c r="G186" s="30">
        <v>0.0</v>
      </c>
      <c r="H186" s="30">
        <v>0.0</v>
      </c>
      <c r="I186" s="30">
        <v>72.171</v>
      </c>
      <c r="J186" s="30">
        <v>0.0</v>
      </c>
      <c r="K186" s="30">
        <v>0.0</v>
      </c>
      <c r="L186" s="30">
        <v>0.0</v>
      </c>
      <c r="M186" s="30">
        <v>0.0</v>
      </c>
      <c r="N186" s="30">
        <v>243.0</v>
      </c>
      <c r="O186" s="30">
        <v>-17.170999999999992</v>
      </c>
      <c r="P186" s="30">
        <v>-1.177709190672153</v>
      </c>
      <c r="Q186" s="30">
        <v>-1.4132510288065838</v>
      </c>
    </row>
    <row r="187">
      <c r="A187" s="47">
        <v>1.1242605774E10</v>
      </c>
      <c r="B187" s="48">
        <v>46159.51150462963</v>
      </c>
      <c r="C187" s="30">
        <v>3.85626493E9</v>
      </c>
      <c r="D187" s="47" t="s">
        <v>1509</v>
      </c>
      <c r="E187" s="30">
        <v>1283.0</v>
      </c>
      <c r="F187" s="30">
        <v>1190.0</v>
      </c>
      <c r="G187" s="30">
        <v>0.0</v>
      </c>
      <c r="H187" s="30">
        <v>0.0</v>
      </c>
      <c r="I187" s="30">
        <v>34.641000000000005</v>
      </c>
      <c r="J187" s="30">
        <v>0.0</v>
      </c>
      <c r="K187" s="30">
        <v>0.0</v>
      </c>
      <c r="L187" s="30">
        <v>0.0</v>
      </c>
      <c r="M187" s="30">
        <v>0.0</v>
      </c>
      <c r="N187" s="30">
        <v>213.83333333333326</v>
      </c>
      <c r="O187" s="30">
        <v>-155.47433333333328</v>
      </c>
      <c r="P187" s="30">
        <v>-12.118030657313582</v>
      </c>
      <c r="Q187" s="30">
        <v>-14.5416367887763</v>
      </c>
    </row>
    <row r="188">
      <c r="A188" s="47">
        <v>1.1240072518E10</v>
      </c>
      <c r="B188" s="48">
        <v>46158.68193287037</v>
      </c>
      <c r="C188" s="30">
        <v>3.854266377E9</v>
      </c>
      <c r="D188" s="47" t="s">
        <v>1509</v>
      </c>
      <c r="E188" s="30">
        <v>768.0</v>
      </c>
      <c r="F188" s="30">
        <v>580.0</v>
      </c>
      <c r="G188" s="30">
        <v>0.0</v>
      </c>
      <c r="H188" s="30">
        <v>0.0</v>
      </c>
      <c r="I188" s="30">
        <v>28.3392</v>
      </c>
      <c r="J188" s="30">
        <v>0.0</v>
      </c>
      <c r="K188" s="30">
        <v>0.0</v>
      </c>
      <c r="L188" s="30">
        <v>0.0</v>
      </c>
      <c r="M188" s="30">
        <v>0.0</v>
      </c>
      <c r="N188" s="30">
        <v>128.0</v>
      </c>
      <c r="O188" s="30">
        <v>31.660799999999995</v>
      </c>
      <c r="P188" s="30">
        <v>4.122499999999999</v>
      </c>
      <c r="Q188" s="30">
        <v>4.946999999999999</v>
      </c>
    </row>
    <row r="189">
      <c r="A189" s="47">
        <v>1.1241313769E10</v>
      </c>
      <c r="B189" s="48">
        <v>46158.93671296296</v>
      </c>
      <c r="C189" s="30">
        <v>3.85517056E9</v>
      </c>
      <c r="D189" s="47" t="s">
        <v>1509</v>
      </c>
      <c r="E189" s="30">
        <v>729.0</v>
      </c>
      <c r="F189" s="30">
        <v>580.0</v>
      </c>
      <c r="G189" s="30">
        <v>0.0</v>
      </c>
      <c r="H189" s="30">
        <v>0.0</v>
      </c>
      <c r="I189" s="30">
        <v>32.148900000000005</v>
      </c>
      <c r="J189" s="30">
        <v>0.0</v>
      </c>
      <c r="K189" s="30">
        <v>0.0</v>
      </c>
      <c r="L189" s="30">
        <v>0.0</v>
      </c>
      <c r="M189" s="30">
        <v>0.0</v>
      </c>
      <c r="N189" s="30">
        <v>121.5</v>
      </c>
      <c r="O189" s="30">
        <v>-4.648899999999998</v>
      </c>
      <c r="P189" s="30">
        <v>-0.6377091906721534</v>
      </c>
      <c r="Q189" s="30">
        <v>-0.765251028806584</v>
      </c>
    </row>
    <row r="190">
      <c r="A190" s="47">
        <v>1.1242436766E10</v>
      </c>
      <c r="B190" s="48">
        <v>46159.2128125</v>
      </c>
      <c r="C190" s="30">
        <v>3.856097107E9</v>
      </c>
      <c r="D190" s="47" t="s">
        <v>1509</v>
      </c>
      <c r="E190" s="30">
        <v>1284.0</v>
      </c>
      <c r="F190" s="30">
        <v>1190.0</v>
      </c>
      <c r="G190" s="30">
        <v>0.0</v>
      </c>
      <c r="H190" s="30">
        <v>0.0</v>
      </c>
      <c r="I190" s="30">
        <v>34.668</v>
      </c>
      <c r="J190" s="30">
        <v>0.0</v>
      </c>
      <c r="K190" s="30">
        <v>0.0</v>
      </c>
      <c r="L190" s="30">
        <v>0.0</v>
      </c>
      <c r="M190" s="30">
        <v>0.0</v>
      </c>
      <c r="N190" s="30">
        <v>214.0</v>
      </c>
      <c r="O190" s="30">
        <v>-154.668</v>
      </c>
      <c r="P190" s="30">
        <v>-12.045794392523366</v>
      </c>
      <c r="Q190" s="30">
        <v>-14.454953271028037</v>
      </c>
    </row>
    <row r="191">
      <c r="A191" s="47">
        <v>1.1237375226E10</v>
      </c>
      <c r="B191" s="48">
        <v>46157.781273148146</v>
      </c>
      <c r="C191" s="30">
        <v>3.851992245E9</v>
      </c>
      <c r="D191" s="47" t="s">
        <v>1509</v>
      </c>
      <c r="E191" s="30">
        <v>1267.9</v>
      </c>
      <c r="F191" s="30">
        <v>1160.0</v>
      </c>
      <c r="G191" s="30">
        <v>0.0</v>
      </c>
      <c r="H191" s="30">
        <v>0.0</v>
      </c>
      <c r="I191" s="30">
        <v>57.0555</v>
      </c>
      <c r="J191" s="30">
        <v>0.0</v>
      </c>
      <c r="K191" s="30">
        <v>0.0</v>
      </c>
      <c r="L191" s="30">
        <v>0.0</v>
      </c>
      <c r="M191" s="30">
        <v>0.0</v>
      </c>
      <c r="N191" s="30">
        <v>211.3166666666666</v>
      </c>
      <c r="O191" s="30">
        <v>-160.4721666666665</v>
      </c>
      <c r="P191" s="30">
        <v>-12.656531797986158</v>
      </c>
      <c r="Q191" s="30">
        <v>-15.18783815758339</v>
      </c>
    </row>
    <row r="192">
      <c r="A192" s="47">
        <v>1.1243261712E10</v>
      </c>
      <c r="B192" s="48">
        <v>46159.695543981485</v>
      </c>
      <c r="C192" s="30">
        <v>3.85681149E9</v>
      </c>
      <c r="D192" s="47" t="s">
        <v>1509</v>
      </c>
      <c r="E192" s="30">
        <v>4515.0</v>
      </c>
      <c r="F192" s="30">
        <v>3556.0</v>
      </c>
      <c r="G192" s="30">
        <v>0.0</v>
      </c>
      <c r="H192" s="30">
        <v>0.0</v>
      </c>
      <c r="I192" s="30">
        <v>532.3185</v>
      </c>
      <c r="J192" s="30">
        <v>0.0</v>
      </c>
      <c r="K192" s="30">
        <v>0.0</v>
      </c>
      <c r="L192" s="30">
        <v>0.0</v>
      </c>
      <c r="M192" s="30">
        <v>0.0</v>
      </c>
      <c r="N192" s="30">
        <v>752.5</v>
      </c>
      <c r="O192" s="30">
        <v>-325.8185</v>
      </c>
      <c r="P192" s="30">
        <v>-7.216356589147287</v>
      </c>
      <c r="Q192" s="30">
        <v>-8.659627906976745</v>
      </c>
    </row>
    <row r="193">
      <c r="A193" s="47">
        <v>1.1241174617E10</v>
      </c>
      <c r="B193" s="48">
        <v>46158.90856481482</v>
      </c>
      <c r="C193" s="30">
        <v>3.855078111E9</v>
      </c>
      <c r="D193" s="47" t="s">
        <v>1509</v>
      </c>
      <c r="E193" s="30">
        <v>1285.0</v>
      </c>
      <c r="F193" s="30">
        <v>1190.0</v>
      </c>
      <c r="G193" s="30">
        <v>0.0</v>
      </c>
      <c r="H193" s="30">
        <v>0.0</v>
      </c>
      <c r="I193" s="30">
        <v>34.69500000000001</v>
      </c>
      <c r="J193" s="30">
        <v>0.0</v>
      </c>
      <c r="K193" s="30">
        <v>0.0</v>
      </c>
      <c r="L193" s="30">
        <v>0.0</v>
      </c>
      <c r="M193" s="30">
        <v>0.0</v>
      </c>
      <c r="N193" s="30">
        <v>214.16666666666652</v>
      </c>
      <c r="O193" s="30">
        <v>-153.8616666666665</v>
      </c>
      <c r="P193" s="30">
        <v>-11.973670557717238</v>
      </c>
      <c r="Q193" s="30">
        <v>-14.368404669260684</v>
      </c>
    </row>
    <row r="194">
      <c r="A194" s="47">
        <v>1.1243962098E10</v>
      </c>
      <c r="B194" s="48">
        <v>46159.8344212963</v>
      </c>
      <c r="C194" s="30">
        <v>3.857333667E9</v>
      </c>
      <c r="D194" s="47" t="s">
        <v>1509</v>
      </c>
      <c r="E194" s="30">
        <v>729.0</v>
      </c>
      <c r="F194" s="30">
        <v>580.0</v>
      </c>
      <c r="G194" s="30">
        <v>0.0</v>
      </c>
      <c r="H194" s="30">
        <v>0.0</v>
      </c>
      <c r="I194" s="30">
        <v>32.148900000000005</v>
      </c>
      <c r="J194" s="30">
        <v>0.0</v>
      </c>
      <c r="K194" s="30">
        <v>0.0</v>
      </c>
      <c r="L194" s="30">
        <v>0.0</v>
      </c>
      <c r="M194" s="30">
        <v>0.0</v>
      </c>
      <c r="N194" s="30">
        <v>121.5</v>
      </c>
      <c r="O194" s="30">
        <v>-4.648899999999998</v>
      </c>
      <c r="P194" s="30">
        <v>-0.6377091906721534</v>
      </c>
      <c r="Q194" s="30">
        <v>-0.765251028806584</v>
      </c>
    </row>
    <row r="195">
      <c r="A195" s="47">
        <v>1.1245485137E10</v>
      </c>
      <c r="B195" s="48">
        <v>46160.114328703705</v>
      </c>
      <c r="C195" s="30">
        <v>3.858525983E9</v>
      </c>
      <c r="D195" s="47" t="s">
        <v>1509</v>
      </c>
      <c r="E195" s="30">
        <v>729.0</v>
      </c>
      <c r="F195" s="30">
        <v>580.0</v>
      </c>
      <c r="G195" s="30">
        <v>0.0</v>
      </c>
      <c r="H195" s="30">
        <v>0.0</v>
      </c>
      <c r="I195" s="30">
        <v>36.0855</v>
      </c>
      <c r="J195" s="30">
        <v>0.0</v>
      </c>
      <c r="K195" s="30">
        <v>0.0</v>
      </c>
      <c r="L195" s="30">
        <v>0.0</v>
      </c>
      <c r="M195" s="30">
        <v>0.0</v>
      </c>
      <c r="N195" s="30">
        <v>121.5</v>
      </c>
      <c r="O195" s="30">
        <v>-8.585499999999996</v>
      </c>
      <c r="P195" s="30">
        <v>-1.177709190672153</v>
      </c>
      <c r="Q195" s="30">
        <v>-1.4132510288065838</v>
      </c>
    </row>
    <row r="196">
      <c r="A196" s="47">
        <v>1.1241831656E10</v>
      </c>
      <c r="B196" s="48">
        <v>46159.04076388889</v>
      </c>
      <c r="C196" s="30">
        <v>3.855553681E9</v>
      </c>
      <c r="D196" s="47" t="s">
        <v>1509</v>
      </c>
      <c r="E196" s="30">
        <v>729.0</v>
      </c>
      <c r="F196" s="30">
        <v>580.0</v>
      </c>
      <c r="G196" s="30">
        <v>0.0</v>
      </c>
      <c r="H196" s="30">
        <v>0.0</v>
      </c>
      <c r="I196" s="30">
        <v>32.148900000000005</v>
      </c>
      <c r="J196" s="30">
        <v>0.0</v>
      </c>
      <c r="K196" s="30">
        <v>0.0</v>
      </c>
      <c r="L196" s="30">
        <v>0.0</v>
      </c>
      <c r="M196" s="30">
        <v>0.0</v>
      </c>
      <c r="N196" s="30">
        <v>121.5</v>
      </c>
      <c r="O196" s="30">
        <v>-4.648899999999998</v>
      </c>
      <c r="P196" s="30">
        <v>-0.6377091906721534</v>
      </c>
      <c r="Q196" s="30">
        <v>-0.765251028806584</v>
      </c>
    </row>
    <row r="197">
      <c r="A197" s="47">
        <v>1.1241910388E10</v>
      </c>
      <c r="B197" s="48">
        <v>46159.05730324074</v>
      </c>
      <c r="C197" s="30">
        <v>3.855621265E9</v>
      </c>
      <c r="D197" s="47" t="s">
        <v>1509</v>
      </c>
      <c r="E197" s="30">
        <v>1284.0</v>
      </c>
      <c r="F197" s="30">
        <v>1190.0</v>
      </c>
      <c r="G197" s="30">
        <v>0.0</v>
      </c>
      <c r="H197" s="30">
        <v>0.0</v>
      </c>
      <c r="I197" s="30">
        <v>34.668</v>
      </c>
      <c r="J197" s="30">
        <v>0.0</v>
      </c>
      <c r="K197" s="30">
        <v>0.0</v>
      </c>
      <c r="L197" s="30">
        <v>0.0</v>
      </c>
      <c r="M197" s="30">
        <v>0.0</v>
      </c>
      <c r="N197" s="30">
        <v>214.0</v>
      </c>
      <c r="O197" s="30">
        <v>-154.668</v>
      </c>
      <c r="P197" s="30">
        <v>-12.045794392523366</v>
      </c>
      <c r="Q197" s="30">
        <v>-14.454953271028037</v>
      </c>
    </row>
    <row r="198">
      <c r="A198" s="47">
        <v>1.1241900226E10</v>
      </c>
      <c r="B198" s="48">
        <v>46159.05510416667</v>
      </c>
      <c r="C198" s="30">
        <v>3.855614956E9</v>
      </c>
      <c r="D198" s="47" t="s">
        <v>1509</v>
      </c>
      <c r="E198" s="30">
        <v>1284.0</v>
      </c>
      <c r="F198" s="30">
        <v>1190.0</v>
      </c>
      <c r="G198" s="30">
        <v>0.0</v>
      </c>
      <c r="H198" s="30">
        <v>0.0</v>
      </c>
      <c r="I198" s="30">
        <v>34.668</v>
      </c>
      <c r="J198" s="30">
        <v>0.0</v>
      </c>
      <c r="K198" s="30">
        <v>0.0</v>
      </c>
      <c r="L198" s="30">
        <v>0.0</v>
      </c>
      <c r="M198" s="30">
        <v>0.0</v>
      </c>
      <c r="N198" s="30">
        <v>214.0</v>
      </c>
      <c r="O198" s="30">
        <v>-154.668</v>
      </c>
      <c r="P198" s="30">
        <v>-12.045794392523366</v>
      </c>
      <c r="Q198" s="30">
        <v>-14.454953271028037</v>
      </c>
    </row>
    <row r="199">
      <c r="A199" s="47">
        <v>1.1239762406E10</v>
      </c>
      <c r="B199" s="48">
        <v>46158.61423611111</v>
      </c>
      <c r="C199" s="30">
        <v>3.853998441E9</v>
      </c>
      <c r="D199" s="47" t="s">
        <v>1509</v>
      </c>
      <c r="E199" s="30">
        <v>1620.0</v>
      </c>
      <c r="F199" s="30">
        <v>1228.0</v>
      </c>
      <c r="G199" s="30">
        <v>0.0</v>
      </c>
      <c r="H199" s="30">
        <v>0.0</v>
      </c>
      <c r="I199" s="30">
        <v>240.57</v>
      </c>
      <c r="J199" s="30">
        <v>0.0</v>
      </c>
      <c r="K199" s="30">
        <v>0.0</v>
      </c>
      <c r="L199" s="30">
        <v>0.0</v>
      </c>
      <c r="M199" s="30">
        <v>0.0</v>
      </c>
      <c r="N199" s="30">
        <v>270.0</v>
      </c>
      <c r="O199" s="30">
        <v>-118.57</v>
      </c>
      <c r="P199" s="30">
        <v>-7.319135802469136</v>
      </c>
      <c r="Q199" s="30">
        <v>-8.782962962962962</v>
      </c>
    </row>
    <row r="200">
      <c r="A200" s="47">
        <v>1.1244346473E10</v>
      </c>
      <c r="B200" s="48">
        <v>46159.90523148148</v>
      </c>
      <c r="C200" s="30">
        <v>3.857586836E9</v>
      </c>
      <c r="D200" s="47" t="s">
        <v>1509</v>
      </c>
      <c r="E200" s="30">
        <v>1530.0</v>
      </c>
      <c r="F200" s="30">
        <v>1190.0</v>
      </c>
      <c r="G200" s="30">
        <v>0.0</v>
      </c>
      <c r="H200" s="30">
        <v>0.0</v>
      </c>
      <c r="I200" s="30">
        <v>96.39</v>
      </c>
      <c r="J200" s="30">
        <v>0.0</v>
      </c>
      <c r="K200" s="30">
        <v>0.0</v>
      </c>
      <c r="L200" s="30">
        <v>0.0</v>
      </c>
      <c r="M200" s="30">
        <v>0.0</v>
      </c>
      <c r="N200" s="30">
        <v>255.0</v>
      </c>
      <c r="O200" s="30">
        <v>-11.389999999999986</v>
      </c>
      <c r="P200" s="30">
        <v>-0.7444444444444436</v>
      </c>
      <c r="Q200" s="30">
        <v>-0.8933333333333323</v>
      </c>
    </row>
    <row r="201">
      <c r="A201" s="47">
        <v>1.1244008385E10</v>
      </c>
      <c r="B201" s="48">
        <v>46159.84296296296</v>
      </c>
      <c r="C201" s="30">
        <v>3.857364339E9</v>
      </c>
      <c r="D201" s="47" t="s">
        <v>1509</v>
      </c>
      <c r="E201" s="30">
        <v>729.0</v>
      </c>
      <c r="F201" s="30">
        <v>580.0</v>
      </c>
      <c r="G201" s="30">
        <v>0.0</v>
      </c>
      <c r="H201" s="30">
        <v>0.0</v>
      </c>
      <c r="I201" s="30">
        <v>32.148900000000005</v>
      </c>
      <c r="J201" s="30">
        <v>0.0</v>
      </c>
      <c r="K201" s="30">
        <v>0.0</v>
      </c>
      <c r="L201" s="30">
        <v>0.0</v>
      </c>
      <c r="M201" s="30">
        <v>0.0</v>
      </c>
      <c r="N201" s="30">
        <v>121.5</v>
      </c>
      <c r="O201" s="30">
        <v>-4.648899999999998</v>
      </c>
      <c r="P201" s="30">
        <v>-0.6377091906721534</v>
      </c>
      <c r="Q201" s="30">
        <v>-0.765251028806584</v>
      </c>
    </row>
    <row r="202">
      <c r="A202" s="47">
        <v>1.1240745333E10</v>
      </c>
      <c r="B202" s="48">
        <v>46158.82104166667</v>
      </c>
      <c r="C202" s="30">
        <v>3.85478724E9</v>
      </c>
      <c r="D202" s="47" t="s">
        <v>1509</v>
      </c>
      <c r="E202" s="30">
        <v>1285.0</v>
      </c>
      <c r="F202" s="30">
        <v>1190.0</v>
      </c>
      <c r="G202" s="30">
        <v>0.0</v>
      </c>
      <c r="H202" s="30">
        <v>0.0</v>
      </c>
      <c r="I202" s="30">
        <v>34.69500000000001</v>
      </c>
      <c r="J202" s="30">
        <v>0.0</v>
      </c>
      <c r="K202" s="30">
        <v>0.0</v>
      </c>
      <c r="L202" s="30">
        <v>0.0</v>
      </c>
      <c r="M202" s="30">
        <v>0.0</v>
      </c>
      <c r="N202" s="30">
        <v>214.16666666666652</v>
      </c>
      <c r="O202" s="30">
        <v>-153.8616666666665</v>
      </c>
      <c r="P202" s="30">
        <v>-11.973670557717238</v>
      </c>
      <c r="Q202" s="30">
        <v>-14.368404669260684</v>
      </c>
    </row>
    <row r="203">
      <c r="A203" s="47">
        <v>1.1235101681E10</v>
      </c>
      <c r="B203" s="48">
        <v>46156.97751157408</v>
      </c>
      <c r="C203" s="30">
        <v>3.849847326E9</v>
      </c>
      <c r="D203" s="47" t="s">
        <v>1509</v>
      </c>
      <c r="E203" s="30">
        <v>1297.9</v>
      </c>
      <c r="F203" s="30">
        <v>1190.0</v>
      </c>
      <c r="G203" s="30">
        <v>0.0</v>
      </c>
      <c r="H203" s="30">
        <v>0.0</v>
      </c>
      <c r="I203" s="30">
        <v>35.0433</v>
      </c>
      <c r="J203" s="30">
        <v>0.0</v>
      </c>
      <c r="K203" s="30">
        <v>0.0</v>
      </c>
      <c r="L203" s="30">
        <v>0.0</v>
      </c>
      <c r="M203" s="30">
        <v>0.0</v>
      </c>
      <c r="N203" s="30">
        <v>216.3166666666666</v>
      </c>
      <c r="O203" s="30">
        <v>-143.4599666666665</v>
      </c>
      <c r="P203" s="30">
        <v>-11.053237280735534</v>
      </c>
      <c r="Q203" s="30">
        <v>-13.26388473688264</v>
      </c>
    </row>
    <row r="204">
      <c r="A204" s="47">
        <v>1.1240834255E10</v>
      </c>
      <c r="B204" s="48">
        <v>46158.839849537035</v>
      </c>
      <c r="C204" s="30">
        <v>3.854849331E9</v>
      </c>
      <c r="D204" s="47" t="s">
        <v>1509</v>
      </c>
      <c r="E204" s="30">
        <v>1285.0</v>
      </c>
      <c r="F204" s="30">
        <v>1190.0</v>
      </c>
      <c r="G204" s="30">
        <v>0.0</v>
      </c>
      <c r="H204" s="30">
        <v>0.0</v>
      </c>
      <c r="I204" s="30">
        <v>34.69500000000001</v>
      </c>
      <c r="J204" s="30">
        <v>0.0</v>
      </c>
      <c r="K204" s="30">
        <v>0.0</v>
      </c>
      <c r="L204" s="30">
        <v>0.0</v>
      </c>
      <c r="M204" s="30">
        <v>0.0</v>
      </c>
      <c r="N204" s="30">
        <v>214.16666666666652</v>
      </c>
      <c r="O204" s="30">
        <v>-153.8616666666665</v>
      </c>
      <c r="P204" s="30">
        <v>-11.973670557717238</v>
      </c>
      <c r="Q204" s="30">
        <v>-14.368404669260684</v>
      </c>
    </row>
    <row r="205">
      <c r="A205" s="47">
        <v>1.1240612812E10</v>
      </c>
      <c r="B205" s="48">
        <v>46158.79351851852</v>
      </c>
      <c r="C205" s="30">
        <v>3.854691305E9</v>
      </c>
      <c r="D205" s="47" t="s">
        <v>1509</v>
      </c>
      <c r="E205" s="30">
        <v>1287.0</v>
      </c>
      <c r="F205" s="30">
        <v>1165.0</v>
      </c>
      <c r="G205" s="30">
        <v>0.0</v>
      </c>
      <c r="H205" s="30">
        <v>0.0</v>
      </c>
      <c r="I205" s="30">
        <v>46.332</v>
      </c>
      <c r="J205" s="30">
        <v>0.0</v>
      </c>
      <c r="K205" s="30">
        <v>0.0</v>
      </c>
      <c r="L205" s="30">
        <v>0.0</v>
      </c>
      <c r="M205" s="30">
        <v>0.0</v>
      </c>
      <c r="N205" s="30">
        <v>214.5</v>
      </c>
      <c r="O205" s="30">
        <v>-138.832</v>
      </c>
      <c r="P205" s="30">
        <v>-10.787257187257186</v>
      </c>
      <c r="Q205" s="30">
        <v>-12.944708624708623</v>
      </c>
    </row>
    <row r="206">
      <c r="A206" s="47">
        <v>1.124168108E10</v>
      </c>
      <c r="B206" s="48">
        <v>46159.01048611111</v>
      </c>
      <c r="C206" s="30">
        <v>3.855429283E9</v>
      </c>
      <c r="D206" s="47" t="s">
        <v>1509</v>
      </c>
      <c r="E206" s="30">
        <v>1284.0</v>
      </c>
      <c r="F206" s="30">
        <v>1190.0</v>
      </c>
      <c r="G206" s="30">
        <v>0.0</v>
      </c>
      <c r="H206" s="30">
        <v>0.0</v>
      </c>
      <c r="I206" s="30">
        <v>34.668</v>
      </c>
      <c r="J206" s="30">
        <v>0.0</v>
      </c>
      <c r="K206" s="30">
        <v>0.0</v>
      </c>
      <c r="L206" s="30">
        <v>0.0</v>
      </c>
      <c r="M206" s="30">
        <v>0.0</v>
      </c>
      <c r="N206" s="30">
        <v>214.0</v>
      </c>
      <c r="O206" s="30">
        <v>-154.668</v>
      </c>
      <c r="P206" s="30">
        <v>-12.045794392523366</v>
      </c>
      <c r="Q206" s="30">
        <v>-14.454953271028037</v>
      </c>
    </row>
    <row r="207">
      <c r="A207" s="47">
        <v>1.1238231689E10</v>
      </c>
      <c r="B207" s="48">
        <v>46157.9516087963</v>
      </c>
      <c r="C207" s="30">
        <v>3.852620689E9</v>
      </c>
      <c r="D207" s="47" t="s">
        <v>1509</v>
      </c>
      <c r="E207" s="30">
        <v>729.0</v>
      </c>
      <c r="F207" s="30">
        <v>580.0</v>
      </c>
      <c r="G207" s="30">
        <v>0.0</v>
      </c>
      <c r="H207" s="30">
        <v>0.0</v>
      </c>
      <c r="I207" s="30">
        <v>32.148900000000005</v>
      </c>
      <c r="J207" s="30">
        <v>0.0</v>
      </c>
      <c r="K207" s="30">
        <v>0.0</v>
      </c>
      <c r="L207" s="30">
        <v>0.0</v>
      </c>
      <c r="M207" s="30">
        <v>0.0</v>
      </c>
      <c r="N207" s="30">
        <v>121.5</v>
      </c>
      <c r="O207" s="30">
        <v>-4.648899999999998</v>
      </c>
      <c r="P207" s="30">
        <v>-0.6377091906721534</v>
      </c>
      <c r="Q207" s="30">
        <v>-0.765251028806584</v>
      </c>
    </row>
    <row r="208">
      <c r="A208" s="47">
        <v>1.1240312387E10</v>
      </c>
      <c r="B208" s="48">
        <v>46158.73096064815</v>
      </c>
      <c r="C208" s="30">
        <v>3.85446199E9</v>
      </c>
      <c r="D208" s="47" t="s">
        <v>1509</v>
      </c>
      <c r="E208" s="30">
        <v>2572.0</v>
      </c>
      <c r="F208" s="30">
        <v>2380.0</v>
      </c>
      <c r="G208" s="30">
        <v>0.0</v>
      </c>
      <c r="H208" s="30">
        <v>0.0</v>
      </c>
      <c r="I208" s="30">
        <v>69.444</v>
      </c>
      <c r="J208" s="30">
        <v>0.0</v>
      </c>
      <c r="K208" s="30">
        <v>0.0</v>
      </c>
      <c r="L208" s="30">
        <v>0.0</v>
      </c>
      <c r="M208" s="30">
        <v>0.0</v>
      </c>
      <c r="N208" s="30">
        <v>428.6666666666665</v>
      </c>
      <c r="O208" s="30">
        <v>-306.11066666666653</v>
      </c>
      <c r="P208" s="30">
        <v>-11.901658890616895</v>
      </c>
      <c r="Q208" s="30">
        <v>-14.28199066874027</v>
      </c>
    </row>
    <row r="209">
      <c r="A209" s="47">
        <v>1.1240926203E10</v>
      </c>
      <c r="B209" s="48">
        <v>46158.85854166667</v>
      </c>
      <c r="C209" s="30">
        <v>3.854912001E9</v>
      </c>
      <c r="D209" s="47" t="s">
        <v>1509</v>
      </c>
      <c r="E209" s="30">
        <v>1285.0</v>
      </c>
      <c r="F209" s="30">
        <v>1190.0</v>
      </c>
      <c r="G209" s="30">
        <v>0.0</v>
      </c>
      <c r="H209" s="30">
        <v>0.0</v>
      </c>
      <c r="I209" s="30">
        <v>34.69500000000001</v>
      </c>
      <c r="J209" s="30">
        <v>0.0</v>
      </c>
      <c r="K209" s="30">
        <v>0.0</v>
      </c>
      <c r="L209" s="30">
        <v>0.0</v>
      </c>
      <c r="M209" s="30">
        <v>0.0</v>
      </c>
      <c r="N209" s="30">
        <v>214.16666666666652</v>
      </c>
      <c r="O209" s="30">
        <v>-153.8616666666665</v>
      </c>
      <c r="P209" s="30">
        <v>-11.973670557717238</v>
      </c>
      <c r="Q209" s="30">
        <v>-14.368404669260684</v>
      </c>
    </row>
    <row r="210">
      <c r="A210" s="47">
        <v>1.1243141002E10</v>
      </c>
      <c r="B210" s="48">
        <v>46159.670798611114</v>
      </c>
      <c r="C210" s="30">
        <v>3.856712321E9</v>
      </c>
      <c r="D210" s="47" t="s">
        <v>1509</v>
      </c>
      <c r="E210" s="30">
        <v>1282.0</v>
      </c>
      <c r="F210" s="30">
        <v>1190.0</v>
      </c>
      <c r="G210" s="30">
        <v>0.0</v>
      </c>
      <c r="H210" s="30">
        <v>0.0</v>
      </c>
      <c r="I210" s="30">
        <v>34.614000000000004</v>
      </c>
      <c r="J210" s="30">
        <v>0.0</v>
      </c>
      <c r="K210" s="30">
        <v>0.0</v>
      </c>
      <c r="L210" s="30">
        <v>0.0</v>
      </c>
      <c r="M210" s="30">
        <v>0.0</v>
      </c>
      <c r="N210" s="30">
        <v>213.66666666666652</v>
      </c>
      <c r="O210" s="30">
        <v>-156.28066666666652</v>
      </c>
      <c r="P210" s="30">
        <v>-12.190379615184597</v>
      </c>
      <c r="Q210" s="30">
        <v>-14.628455538221512</v>
      </c>
    </row>
    <row r="211">
      <c r="A211" s="47">
        <v>1.1249168794E10</v>
      </c>
      <c r="B211" s="48">
        <v>46161.43881944445</v>
      </c>
      <c r="C211" s="30">
        <v>3.861807297E9</v>
      </c>
      <c r="D211" s="47" t="s">
        <v>1512</v>
      </c>
      <c r="E211" s="30">
        <v>1387.0</v>
      </c>
      <c r="F211" s="30">
        <v>1160.0</v>
      </c>
      <c r="G211" s="30">
        <v>0.0</v>
      </c>
      <c r="H211" s="30">
        <v>0.0</v>
      </c>
      <c r="I211" s="30">
        <v>88.6293</v>
      </c>
      <c r="J211" s="30">
        <v>0.0</v>
      </c>
      <c r="K211" s="30">
        <v>0.0</v>
      </c>
      <c r="L211" s="30">
        <v>0.0</v>
      </c>
      <c r="M211" s="30">
        <v>0.0</v>
      </c>
      <c r="N211" s="30">
        <v>231.16666666666652</v>
      </c>
      <c r="O211" s="30">
        <v>-92.79596666666652</v>
      </c>
      <c r="P211" s="30">
        <v>-6.690408555635654</v>
      </c>
      <c r="Q211" s="30">
        <v>-8.028490266762784</v>
      </c>
    </row>
    <row r="212">
      <c r="A212" s="47">
        <v>1.1246661118E10</v>
      </c>
      <c r="B212" s="48">
        <v>46160.677511574075</v>
      </c>
      <c r="C212" s="30">
        <v>3.859685681E9</v>
      </c>
      <c r="D212" s="47" t="s">
        <v>1512</v>
      </c>
      <c r="E212" s="30">
        <v>768.0</v>
      </c>
      <c r="F212" s="30">
        <v>580.0</v>
      </c>
      <c r="G212" s="30">
        <v>0.0</v>
      </c>
      <c r="H212" s="30">
        <v>0.0</v>
      </c>
      <c r="I212" s="30">
        <v>28.3392</v>
      </c>
      <c r="J212" s="30">
        <v>0.0</v>
      </c>
      <c r="K212" s="30">
        <v>0.0</v>
      </c>
      <c r="L212" s="30">
        <v>0.0</v>
      </c>
      <c r="M212" s="30">
        <v>0.0</v>
      </c>
      <c r="N212" s="30">
        <v>128.0</v>
      </c>
      <c r="O212" s="30">
        <v>31.660799999999995</v>
      </c>
      <c r="P212" s="30">
        <v>4.122499999999999</v>
      </c>
      <c r="Q212" s="30">
        <v>4.946999999999999</v>
      </c>
    </row>
    <row r="213">
      <c r="A213" s="47">
        <v>1.1246441845E10</v>
      </c>
      <c r="B213" s="48">
        <v>46160.635729166665</v>
      </c>
      <c r="C213" s="30">
        <v>3.859506706E9</v>
      </c>
      <c r="D213" s="47" t="s">
        <v>1512</v>
      </c>
      <c r="E213" s="30">
        <v>699.98</v>
      </c>
      <c r="F213" s="30">
        <v>212.0</v>
      </c>
      <c r="G213" s="30">
        <v>0.0</v>
      </c>
      <c r="H213" s="30">
        <v>0.0</v>
      </c>
      <c r="I213" s="30">
        <v>125.9964</v>
      </c>
      <c r="J213" s="30">
        <v>0.0</v>
      </c>
      <c r="K213" s="30">
        <v>0.0</v>
      </c>
      <c r="L213" s="30">
        <v>0.0</v>
      </c>
      <c r="M213" s="30">
        <v>0.0</v>
      </c>
      <c r="N213" s="30">
        <v>116.6633333333333</v>
      </c>
      <c r="O213" s="30">
        <v>245.32026666666673</v>
      </c>
      <c r="P213" s="30">
        <v>35.04675371677287</v>
      </c>
      <c r="Q213" s="30">
        <v>42.056104460127436</v>
      </c>
    </row>
    <row r="214">
      <c r="A214" s="47">
        <v>1.1246568727E10</v>
      </c>
      <c r="B214" s="48">
        <v>46160.66013888889</v>
      </c>
      <c r="C214" s="30">
        <v>3.859607149E9</v>
      </c>
      <c r="D214" s="47" t="s">
        <v>1512</v>
      </c>
      <c r="E214" s="30">
        <v>319.0</v>
      </c>
      <c r="F214" s="30">
        <v>180.0</v>
      </c>
      <c r="G214" s="30">
        <v>0.0</v>
      </c>
      <c r="H214" s="30">
        <v>0.0</v>
      </c>
      <c r="I214" s="30">
        <v>47.3715</v>
      </c>
      <c r="J214" s="30">
        <v>0.0</v>
      </c>
      <c r="K214" s="30">
        <v>0.0</v>
      </c>
      <c r="L214" s="30">
        <v>0.0</v>
      </c>
      <c r="M214" s="30">
        <v>0.0</v>
      </c>
      <c r="N214" s="30">
        <v>53.16666666666663</v>
      </c>
      <c r="O214" s="30">
        <v>38.461833333333374</v>
      </c>
      <c r="P214" s="30">
        <v>12.057001044932091</v>
      </c>
      <c r="Q214" s="30">
        <v>14.46840125391851</v>
      </c>
    </row>
    <row r="215">
      <c r="A215" s="47">
        <v>1.124888791E10</v>
      </c>
      <c r="B215" s="48">
        <v>46161.13313657408</v>
      </c>
      <c r="C215" s="30">
        <v>3.861529691E9</v>
      </c>
      <c r="D215" s="47" t="s">
        <v>1512</v>
      </c>
      <c r="E215" s="30">
        <v>1280.0</v>
      </c>
      <c r="F215" s="30">
        <v>1165.0</v>
      </c>
      <c r="G215" s="30">
        <v>0.0</v>
      </c>
      <c r="H215" s="30">
        <v>0.0</v>
      </c>
      <c r="I215" s="30">
        <v>46.08</v>
      </c>
      <c r="J215" s="30">
        <v>0.0</v>
      </c>
      <c r="K215" s="30">
        <v>0.0</v>
      </c>
      <c r="L215" s="30">
        <v>0.0</v>
      </c>
      <c r="M215" s="30">
        <v>0.0</v>
      </c>
      <c r="N215" s="30">
        <v>213.33333333333326</v>
      </c>
      <c r="O215" s="30">
        <v>-144.41333333333324</v>
      </c>
      <c r="P215" s="30">
        <v>-11.282291666666659</v>
      </c>
      <c r="Q215" s="30">
        <v>-13.538749999999991</v>
      </c>
    </row>
    <row r="216">
      <c r="A216" s="47">
        <v>1.1246059015E10</v>
      </c>
      <c r="B216" s="48">
        <v>46160.54640046296</v>
      </c>
      <c r="C216" s="30">
        <v>3.859147507E9</v>
      </c>
      <c r="D216" s="47" t="s">
        <v>1512</v>
      </c>
      <c r="E216" s="30">
        <v>768.0</v>
      </c>
      <c r="F216" s="30">
        <v>580.0</v>
      </c>
      <c r="G216" s="30">
        <v>0.0</v>
      </c>
      <c r="H216" s="30">
        <v>0.0</v>
      </c>
      <c r="I216" s="30">
        <v>38.016000000000005</v>
      </c>
      <c r="J216" s="30">
        <v>0.0</v>
      </c>
      <c r="K216" s="30">
        <v>0.0</v>
      </c>
      <c r="L216" s="30">
        <v>0.0</v>
      </c>
      <c r="M216" s="30">
        <v>0.0</v>
      </c>
      <c r="N216" s="30">
        <v>128.0</v>
      </c>
      <c r="O216" s="30">
        <v>21.98399999999998</v>
      </c>
      <c r="P216" s="30">
        <v>2.862499999999997</v>
      </c>
      <c r="Q216" s="30">
        <v>3.434999999999997</v>
      </c>
    </row>
    <row r="217">
      <c r="A217" s="47">
        <v>1.1247353376E10</v>
      </c>
      <c r="B217" s="48">
        <v>46160.81722222222</v>
      </c>
      <c r="C217" s="30">
        <v>3.860277337E9</v>
      </c>
      <c r="D217" s="47" t="s">
        <v>1512</v>
      </c>
      <c r="E217" s="30">
        <v>768.0</v>
      </c>
      <c r="F217" s="30">
        <v>580.0</v>
      </c>
      <c r="G217" s="30">
        <v>0.0</v>
      </c>
      <c r="H217" s="30">
        <v>0.0</v>
      </c>
      <c r="I217" s="30">
        <v>38.016000000000005</v>
      </c>
      <c r="J217" s="30">
        <v>0.0</v>
      </c>
      <c r="K217" s="30">
        <v>0.0</v>
      </c>
      <c r="L217" s="30">
        <v>0.0</v>
      </c>
      <c r="M217" s="30">
        <v>0.0</v>
      </c>
      <c r="N217" s="30">
        <v>128.0</v>
      </c>
      <c r="O217" s="30">
        <v>21.98399999999998</v>
      </c>
      <c r="P217" s="30">
        <v>2.862499999999997</v>
      </c>
      <c r="Q217" s="30">
        <v>3.434999999999997</v>
      </c>
    </row>
    <row r="218">
      <c r="A218" s="47">
        <v>1.124002824E10</v>
      </c>
      <c r="B218" s="48">
        <v>46158.67304398148</v>
      </c>
      <c r="C218" s="30">
        <v>3.854229365E9</v>
      </c>
      <c r="D218" s="47" t="s">
        <v>1509</v>
      </c>
      <c r="E218" s="30">
        <v>729.0</v>
      </c>
      <c r="F218" s="30">
        <v>580.0</v>
      </c>
      <c r="G218" s="30">
        <v>0.0</v>
      </c>
      <c r="H218" s="30">
        <v>0.0</v>
      </c>
      <c r="I218" s="30">
        <v>32.148900000000005</v>
      </c>
      <c r="J218" s="30">
        <v>0.0</v>
      </c>
      <c r="K218" s="30">
        <v>0.0</v>
      </c>
      <c r="L218" s="30">
        <v>0.0</v>
      </c>
      <c r="M218" s="30">
        <v>0.0</v>
      </c>
      <c r="N218" s="30">
        <v>121.5</v>
      </c>
      <c r="O218" s="30">
        <v>-4.648899999999998</v>
      </c>
      <c r="P218" s="30">
        <v>-0.6377091906721534</v>
      </c>
      <c r="Q218" s="30">
        <v>-0.765251028806584</v>
      </c>
    </row>
    <row r="219">
      <c r="A219" s="47">
        <v>1.1246115047E10</v>
      </c>
      <c r="B219" s="48">
        <v>46160.5625</v>
      </c>
      <c r="C219" s="30">
        <v>3.85920494E9</v>
      </c>
      <c r="D219" s="47" t="s">
        <v>1512</v>
      </c>
      <c r="E219" s="30">
        <v>768.0</v>
      </c>
      <c r="F219" s="30">
        <v>580.0</v>
      </c>
      <c r="G219" s="30">
        <v>0.0</v>
      </c>
      <c r="H219" s="30">
        <v>0.0</v>
      </c>
      <c r="I219" s="30">
        <v>28.3392</v>
      </c>
      <c r="J219" s="30">
        <v>0.0</v>
      </c>
      <c r="K219" s="30">
        <v>0.0</v>
      </c>
      <c r="L219" s="30">
        <v>0.0</v>
      </c>
      <c r="M219" s="30">
        <v>0.0</v>
      </c>
      <c r="N219" s="30">
        <v>128.0</v>
      </c>
      <c r="O219" s="30">
        <v>31.660799999999995</v>
      </c>
      <c r="P219" s="30">
        <v>4.122499999999999</v>
      </c>
      <c r="Q219" s="30">
        <v>4.946999999999999</v>
      </c>
    </row>
    <row r="220">
      <c r="A220" s="47">
        <v>1.1246892317E10</v>
      </c>
      <c r="B220" s="48">
        <v>46160.72251157407</v>
      </c>
      <c r="C220" s="30">
        <v>3.859889218E9</v>
      </c>
      <c r="D220" s="47" t="s">
        <v>1512</v>
      </c>
      <c r="E220" s="30">
        <v>666.2</v>
      </c>
      <c r="F220" s="30">
        <v>580.0</v>
      </c>
      <c r="G220" s="30">
        <v>0.0</v>
      </c>
      <c r="H220" s="30">
        <v>0.0</v>
      </c>
      <c r="I220" s="30">
        <v>24.582780000000003</v>
      </c>
      <c r="J220" s="30">
        <v>0.0</v>
      </c>
      <c r="K220" s="30">
        <v>0.0</v>
      </c>
      <c r="L220" s="30">
        <v>0.0</v>
      </c>
      <c r="M220" s="30">
        <v>0.0</v>
      </c>
      <c r="N220" s="30">
        <v>111.0333333333333</v>
      </c>
      <c r="O220" s="30">
        <v>-49.41611333333326</v>
      </c>
      <c r="P220" s="30">
        <v>-7.4176093265285585</v>
      </c>
      <c r="Q220" s="30">
        <v>-8.901131191834269</v>
      </c>
    </row>
    <row r="221">
      <c r="A221" s="47">
        <v>1.1246162484E10</v>
      </c>
      <c r="B221" s="48">
        <v>46160.57585648148</v>
      </c>
      <c r="C221" s="30">
        <v>3.859253144E9</v>
      </c>
      <c r="D221" s="47" t="s">
        <v>1512</v>
      </c>
      <c r="E221" s="30">
        <v>768.0</v>
      </c>
      <c r="F221" s="30">
        <v>580.0</v>
      </c>
      <c r="G221" s="30">
        <v>0.0</v>
      </c>
      <c r="H221" s="30">
        <v>0.0</v>
      </c>
      <c r="I221" s="30">
        <v>38.016000000000005</v>
      </c>
      <c r="J221" s="30">
        <v>0.0</v>
      </c>
      <c r="K221" s="30">
        <v>0.0</v>
      </c>
      <c r="L221" s="30">
        <v>0.0</v>
      </c>
      <c r="M221" s="30">
        <v>0.0</v>
      </c>
      <c r="N221" s="30">
        <v>128.0</v>
      </c>
      <c r="O221" s="30">
        <v>21.98399999999998</v>
      </c>
      <c r="P221" s="30">
        <v>2.862499999999997</v>
      </c>
      <c r="Q221" s="30">
        <v>3.434999999999997</v>
      </c>
    </row>
    <row r="222">
      <c r="A222" s="47">
        <v>1.1247928041E10</v>
      </c>
      <c r="B222" s="48">
        <v>46160.93381944444</v>
      </c>
      <c r="C222" s="30">
        <v>3.860705832E9</v>
      </c>
      <c r="D222" s="47" t="s">
        <v>1512</v>
      </c>
      <c r="E222" s="30">
        <v>768.0</v>
      </c>
      <c r="F222" s="30">
        <v>580.0</v>
      </c>
      <c r="G222" s="30">
        <v>0.0</v>
      </c>
      <c r="H222" s="30">
        <v>0.0</v>
      </c>
      <c r="I222" s="30">
        <v>28.3392</v>
      </c>
      <c r="J222" s="30">
        <v>0.0</v>
      </c>
      <c r="K222" s="30">
        <v>0.0</v>
      </c>
      <c r="L222" s="30">
        <v>0.0</v>
      </c>
      <c r="M222" s="30">
        <v>0.0</v>
      </c>
      <c r="N222" s="30">
        <v>128.0</v>
      </c>
      <c r="O222" s="30">
        <v>31.660799999999995</v>
      </c>
      <c r="P222" s="30">
        <v>4.122499999999999</v>
      </c>
      <c r="Q222" s="30">
        <v>4.946999999999999</v>
      </c>
    </row>
    <row r="223">
      <c r="A223" s="47">
        <v>1.1246546515E10</v>
      </c>
      <c r="B223" s="48">
        <v>46160.65576388889</v>
      </c>
      <c r="C223" s="30">
        <v>3.85958878E9</v>
      </c>
      <c r="D223" s="47" t="s">
        <v>1512</v>
      </c>
      <c r="E223" s="30">
        <v>768.0</v>
      </c>
      <c r="F223" s="30">
        <v>580.0</v>
      </c>
      <c r="G223" s="30">
        <v>0.0</v>
      </c>
      <c r="H223" s="30">
        <v>0.0</v>
      </c>
      <c r="I223" s="30">
        <v>28.3392</v>
      </c>
      <c r="J223" s="30">
        <v>0.0</v>
      </c>
      <c r="K223" s="30">
        <v>0.0</v>
      </c>
      <c r="L223" s="30">
        <v>0.0</v>
      </c>
      <c r="M223" s="30">
        <v>0.0</v>
      </c>
      <c r="N223" s="30">
        <v>128.0</v>
      </c>
      <c r="O223" s="30">
        <v>31.660799999999995</v>
      </c>
      <c r="P223" s="30">
        <v>4.122499999999999</v>
      </c>
      <c r="Q223" s="30">
        <v>4.946999999999999</v>
      </c>
    </row>
    <row r="224">
      <c r="A224" s="47">
        <v>1.1248188078E10</v>
      </c>
      <c r="B224" s="48">
        <v>46160.985659722224</v>
      </c>
      <c r="C224" s="30">
        <v>3.860901226E9</v>
      </c>
      <c r="D224" s="47" t="s">
        <v>1512</v>
      </c>
      <c r="E224" s="30">
        <v>1280.0</v>
      </c>
      <c r="F224" s="30">
        <v>1165.0</v>
      </c>
      <c r="G224" s="30">
        <v>0.0</v>
      </c>
      <c r="H224" s="30">
        <v>0.0</v>
      </c>
      <c r="I224" s="30">
        <v>46.08</v>
      </c>
      <c r="J224" s="30">
        <v>0.0</v>
      </c>
      <c r="K224" s="30">
        <v>0.0</v>
      </c>
      <c r="L224" s="30">
        <v>0.0</v>
      </c>
      <c r="M224" s="30">
        <v>0.0</v>
      </c>
      <c r="N224" s="30">
        <v>213.33333333333326</v>
      </c>
      <c r="O224" s="30">
        <v>-144.41333333333324</v>
      </c>
      <c r="P224" s="30">
        <v>-11.282291666666659</v>
      </c>
      <c r="Q224" s="30">
        <v>-13.538749999999991</v>
      </c>
    </row>
    <row r="225">
      <c r="A225" s="47">
        <v>1.1248459422E10</v>
      </c>
      <c r="B225" s="48">
        <v>46161.038506944446</v>
      </c>
      <c r="C225" s="30">
        <v>3.86112672E9</v>
      </c>
      <c r="D225" s="47" t="s">
        <v>1512</v>
      </c>
      <c r="E225" s="30">
        <v>768.0</v>
      </c>
      <c r="F225" s="30">
        <v>580.0</v>
      </c>
      <c r="G225" s="30">
        <v>0.0</v>
      </c>
      <c r="H225" s="30">
        <v>0.0</v>
      </c>
      <c r="I225" s="30">
        <v>28.3392</v>
      </c>
      <c r="J225" s="30">
        <v>0.0</v>
      </c>
      <c r="K225" s="30">
        <v>0.0</v>
      </c>
      <c r="L225" s="30">
        <v>0.0</v>
      </c>
      <c r="M225" s="30">
        <v>0.0</v>
      </c>
      <c r="N225" s="30">
        <v>128.0</v>
      </c>
      <c r="O225" s="30">
        <v>31.660799999999995</v>
      </c>
      <c r="P225" s="30">
        <v>4.122499999999999</v>
      </c>
      <c r="Q225" s="30">
        <v>4.946999999999999</v>
      </c>
    </row>
    <row r="226">
      <c r="A226" s="47">
        <v>1.124892785E10</v>
      </c>
      <c r="B226" s="48">
        <v>46161.14505787037</v>
      </c>
      <c r="C226" s="30">
        <v>3.861569128E9</v>
      </c>
      <c r="D226" s="47" t="s">
        <v>1512</v>
      </c>
      <c r="E226" s="30">
        <v>1387.0</v>
      </c>
      <c r="F226" s="30">
        <v>1160.0</v>
      </c>
      <c r="G226" s="30">
        <v>0.0</v>
      </c>
      <c r="H226" s="30">
        <v>0.0</v>
      </c>
      <c r="I226" s="30">
        <v>88.6293</v>
      </c>
      <c r="J226" s="30">
        <v>0.0</v>
      </c>
      <c r="K226" s="30">
        <v>0.0</v>
      </c>
      <c r="L226" s="30">
        <v>0.0</v>
      </c>
      <c r="M226" s="30">
        <v>0.0</v>
      </c>
      <c r="N226" s="30">
        <v>231.16666666666652</v>
      </c>
      <c r="O226" s="30">
        <v>-92.79596666666652</v>
      </c>
      <c r="P226" s="30">
        <v>-6.690408555635654</v>
      </c>
      <c r="Q226" s="30">
        <v>-8.028490266762784</v>
      </c>
    </row>
    <row r="227">
      <c r="A227" s="47">
        <v>1.1246759249E10</v>
      </c>
      <c r="B227" s="48">
        <v>46160.69616898148</v>
      </c>
      <c r="C227" s="30">
        <v>3.859772157E9</v>
      </c>
      <c r="D227" s="47" t="s">
        <v>1512</v>
      </c>
      <c r="E227" s="30">
        <v>768.0</v>
      </c>
      <c r="F227" s="30">
        <v>580.0</v>
      </c>
      <c r="G227" s="30">
        <v>0.0</v>
      </c>
      <c r="H227" s="30">
        <v>0.0</v>
      </c>
      <c r="I227" s="30">
        <v>28.3392</v>
      </c>
      <c r="J227" s="30">
        <v>0.0</v>
      </c>
      <c r="K227" s="30">
        <v>0.0</v>
      </c>
      <c r="L227" s="30">
        <v>0.0</v>
      </c>
      <c r="M227" s="30">
        <v>0.0</v>
      </c>
      <c r="N227" s="30">
        <v>128.0</v>
      </c>
      <c r="O227" s="30">
        <v>31.660799999999995</v>
      </c>
      <c r="P227" s="30">
        <v>4.122499999999999</v>
      </c>
      <c r="Q227" s="30">
        <v>4.946999999999999</v>
      </c>
    </row>
    <row r="228">
      <c r="A228" s="47">
        <v>1.1242589249E10</v>
      </c>
      <c r="B228" s="48">
        <v>46159.50150462963</v>
      </c>
      <c r="C228" s="30">
        <v>3.856250223E9</v>
      </c>
      <c r="D228" s="47" t="s">
        <v>1509</v>
      </c>
      <c r="E228" s="30">
        <v>729.0</v>
      </c>
      <c r="F228" s="30">
        <v>580.0</v>
      </c>
      <c r="G228" s="30">
        <v>0.0</v>
      </c>
      <c r="H228" s="30">
        <v>0.0</v>
      </c>
      <c r="I228" s="30">
        <v>32.148900000000005</v>
      </c>
      <c r="J228" s="30">
        <v>0.0</v>
      </c>
      <c r="K228" s="30">
        <v>0.0</v>
      </c>
      <c r="L228" s="30">
        <v>0.0</v>
      </c>
      <c r="M228" s="30">
        <v>0.0</v>
      </c>
      <c r="N228" s="30">
        <v>121.5</v>
      </c>
      <c r="O228" s="30">
        <v>-4.648899999999998</v>
      </c>
      <c r="P228" s="30">
        <v>-0.6377091906721534</v>
      </c>
      <c r="Q228" s="30">
        <v>-0.765251028806584</v>
      </c>
    </row>
    <row r="229">
      <c r="A229" s="47">
        <v>1.12391843E10</v>
      </c>
      <c r="B229" s="48">
        <v>46158.167291666665</v>
      </c>
      <c r="C229" s="30">
        <v>3.853434835E9</v>
      </c>
      <c r="D229" s="47" t="s">
        <v>1509</v>
      </c>
      <c r="E229" s="30">
        <v>1640.99</v>
      </c>
      <c r="F229" s="30">
        <v>1296.0</v>
      </c>
      <c r="G229" s="30">
        <v>0.0</v>
      </c>
      <c r="H229" s="30">
        <v>0.0</v>
      </c>
      <c r="I229" s="30">
        <v>97.8552</v>
      </c>
      <c r="J229" s="30">
        <v>0.0</v>
      </c>
      <c r="K229" s="30">
        <v>0.0</v>
      </c>
      <c r="L229" s="30">
        <v>0.0</v>
      </c>
      <c r="M229" s="30">
        <v>0.0</v>
      </c>
      <c r="N229" s="30">
        <v>273.49833333333316</v>
      </c>
      <c r="O229" s="30">
        <v>-26.36353333333315</v>
      </c>
      <c r="P229" s="30">
        <v>-1.606562705033739</v>
      </c>
      <c r="Q229" s="30">
        <v>-1.9278752460404864</v>
      </c>
    </row>
    <row r="230">
      <c r="A230" s="47">
        <v>1.1242853916E10</v>
      </c>
      <c r="B230" s="48">
        <v>46159.60306712963</v>
      </c>
      <c r="C230" s="30">
        <v>3.856476065E9</v>
      </c>
      <c r="D230" s="47" t="s">
        <v>1509</v>
      </c>
      <c r="E230" s="30">
        <v>1283.0</v>
      </c>
      <c r="F230" s="30">
        <v>1190.0</v>
      </c>
      <c r="G230" s="30">
        <v>0.0</v>
      </c>
      <c r="H230" s="30">
        <v>0.0</v>
      </c>
      <c r="I230" s="30">
        <v>34.641000000000005</v>
      </c>
      <c r="J230" s="30">
        <v>0.0</v>
      </c>
      <c r="K230" s="30">
        <v>0.0</v>
      </c>
      <c r="L230" s="30">
        <v>0.0</v>
      </c>
      <c r="M230" s="30">
        <v>0.0</v>
      </c>
      <c r="N230" s="30">
        <v>213.83333333333326</v>
      </c>
      <c r="O230" s="30">
        <v>-155.47433333333328</v>
      </c>
      <c r="P230" s="30">
        <v>-12.118030657313582</v>
      </c>
      <c r="Q230" s="30">
        <v>-14.5416367887763</v>
      </c>
    </row>
    <row r="231">
      <c r="A231" s="47">
        <v>1.1243997253E10</v>
      </c>
      <c r="B231" s="48">
        <v>46159.84113425926</v>
      </c>
      <c r="C231" s="30">
        <v>3.857359277E9</v>
      </c>
      <c r="D231" s="47" t="s">
        <v>1509</v>
      </c>
      <c r="E231" s="30">
        <v>852.0</v>
      </c>
      <c r="F231" s="30">
        <v>300.0</v>
      </c>
      <c r="G231" s="30">
        <v>0.0</v>
      </c>
      <c r="H231" s="30">
        <v>0.0</v>
      </c>
      <c r="I231" s="30">
        <v>123.45479999999999</v>
      </c>
      <c r="J231" s="30">
        <v>0.0</v>
      </c>
      <c r="K231" s="30">
        <v>0.0</v>
      </c>
      <c r="L231" s="30">
        <v>0.0</v>
      </c>
      <c r="M231" s="30">
        <v>0.0</v>
      </c>
      <c r="N231" s="30">
        <v>142.0</v>
      </c>
      <c r="O231" s="30">
        <v>286.5452</v>
      </c>
      <c r="P231" s="30">
        <v>33.63206572769953</v>
      </c>
      <c r="Q231" s="30">
        <v>40.35847887323944</v>
      </c>
    </row>
    <row r="232">
      <c r="A232" s="47">
        <v>1.1240478659E10</v>
      </c>
      <c r="B232" s="48">
        <v>46158.765127314815</v>
      </c>
      <c r="C232" s="30">
        <v>3.854590702E9</v>
      </c>
      <c r="D232" s="47" t="s">
        <v>1509</v>
      </c>
      <c r="E232" s="30">
        <v>1287.0</v>
      </c>
      <c r="F232" s="30">
        <v>1165.0</v>
      </c>
      <c r="G232" s="30">
        <v>0.0</v>
      </c>
      <c r="H232" s="30">
        <v>0.0</v>
      </c>
      <c r="I232" s="30">
        <v>46.332</v>
      </c>
      <c r="J232" s="30">
        <v>0.0</v>
      </c>
      <c r="K232" s="30">
        <v>0.0</v>
      </c>
      <c r="L232" s="30">
        <v>0.0</v>
      </c>
      <c r="M232" s="30">
        <v>0.0</v>
      </c>
      <c r="N232" s="30">
        <v>214.5</v>
      </c>
      <c r="O232" s="30">
        <v>-138.832</v>
      </c>
      <c r="P232" s="30">
        <v>-10.787257187257186</v>
      </c>
      <c r="Q232" s="30">
        <v>-12.944708624708623</v>
      </c>
    </row>
    <row r="233">
      <c r="A233" s="47">
        <v>1.1245609916E10</v>
      </c>
      <c r="B233" s="48">
        <v>46160.14641203704</v>
      </c>
      <c r="C233" s="30">
        <v>3.858656906E9</v>
      </c>
      <c r="D233" s="47" t="s">
        <v>1509</v>
      </c>
      <c r="E233" s="30">
        <v>319.0</v>
      </c>
      <c r="F233" s="30">
        <v>180.0</v>
      </c>
      <c r="G233" s="30">
        <v>0.0</v>
      </c>
      <c r="H233" s="30">
        <v>0.0</v>
      </c>
      <c r="I233" s="30">
        <v>47.3715</v>
      </c>
      <c r="J233" s="30">
        <v>0.0</v>
      </c>
      <c r="K233" s="30">
        <v>0.0</v>
      </c>
      <c r="L233" s="30">
        <v>0.0</v>
      </c>
      <c r="M233" s="30">
        <v>0.0</v>
      </c>
      <c r="N233" s="30">
        <v>53.16666666666663</v>
      </c>
      <c r="O233" s="30">
        <v>38.461833333333374</v>
      </c>
      <c r="P233" s="30">
        <v>12.057001044932091</v>
      </c>
      <c r="Q233" s="30">
        <v>14.46840125391851</v>
      </c>
    </row>
    <row r="234">
      <c r="A234" s="47">
        <v>1.1240057846E10</v>
      </c>
      <c r="B234" s="48">
        <v>46158.67884259259</v>
      </c>
      <c r="C234" s="30">
        <v>3.854254515E9</v>
      </c>
      <c r="D234" s="47" t="s">
        <v>1509</v>
      </c>
      <c r="E234" s="30">
        <v>729.0</v>
      </c>
      <c r="F234" s="30">
        <v>580.0</v>
      </c>
      <c r="G234" s="30">
        <v>0.0</v>
      </c>
      <c r="H234" s="30">
        <v>0.0</v>
      </c>
      <c r="I234" s="30">
        <v>32.148900000000005</v>
      </c>
      <c r="J234" s="30">
        <v>0.0</v>
      </c>
      <c r="K234" s="30">
        <v>0.0</v>
      </c>
      <c r="L234" s="30">
        <v>0.0</v>
      </c>
      <c r="M234" s="30">
        <v>0.0</v>
      </c>
      <c r="N234" s="30">
        <v>121.5</v>
      </c>
      <c r="O234" s="30">
        <v>-4.648899999999998</v>
      </c>
      <c r="P234" s="30">
        <v>-0.6377091906721534</v>
      </c>
      <c r="Q234" s="30">
        <v>-0.765251028806584</v>
      </c>
    </row>
    <row r="235">
      <c r="A235" s="47">
        <v>1.1237614227E10</v>
      </c>
      <c r="B235" s="48">
        <v>46157.83133101852</v>
      </c>
      <c r="C235" s="30">
        <v>3.852189894E9</v>
      </c>
      <c r="D235" s="47" t="s">
        <v>1509</v>
      </c>
      <c r="E235" s="30">
        <v>735.0</v>
      </c>
      <c r="F235" s="30">
        <v>580.0</v>
      </c>
      <c r="G235" s="30">
        <v>0.0</v>
      </c>
      <c r="H235" s="30">
        <v>0.0</v>
      </c>
      <c r="I235" s="30">
        <v>32.4135</v>
      </c>
      <c r="J235" s="30">
        <v>0.0</v>
      </c>
      <c r="K235" s="30">
        <v>0.0</v>
      </c>
      <c r="L235" s="30">
        <v>0.0</v>
      </c>
      <c r="M235" s="30">
        <v>0.0</v>
      </c>
      <c r="N235" s="30">
        <v>122.5</v>
      </c>
      <c r="O235" s="30">
        <v>0.08650000000000091</v>
      </c>
      <c r="P235" s="30">
        <v>0.01176870748299332</v>
      </c>
      <c r="Q235" s="30">
        <v>0.014122448979591985</v>
      </c>
    </row>
    <row r="236">
      <c r="A236" s="47">
        <v>1.1239959484E10</v>
      </c>
      <c r="B236" s="48">
        <v>46158.65871527778</v>
      </c>
      <c r="C236" s="30">
        <v>3.854170539E9</v>
      </c>
      <c r="D236" s="47" t="s">
        <v>1509</v>
      </c>
      <c r="E236" s="30">
        <v>3864.0</v>
      </c>
      <c r="F236" s="30">
        <v>3570.0</v>
      </c>
      <c r="G236" s="30">
        <v>0.0</v>
      </c>
      <c r="H236" s="30">
        <v>0.0</v>
      </c>
      <c r="I236" s="30">
        <v>104.32800000000002</v>
      </c>
      <c r="J236" s="30">
        <v>0.0</v>
      </c>
      <c r="K236" s="30">
        <v>0.0</v>
      </c>
      <c r="L236" s="30">
        <v>0.0</v>
      </c>
      <c r="M236" s="30">
        <v>0.0</v>
      </c>
      <c r="N236" s="30">
        <v>644.0</v>
      </c>
      <c r="O236" s="30">
        <v>-454.32800000000003</v>
      </c>
      <c r="P236" s="30">
        <v>-11.757971014492755</v>
      </c>
      <c r="Q236" s="30">
        <v>-14.109565217391307</v>
      </c>
    </row>
    <row r="237">
      <c r="A237" s="47">
        <v>1.1242035071E10</v>
      </c>
      <c r="B237" s="48">
        <v>46159.08405092593</v>
      </c>
      <c r="C237" s="30">
        <v>3.855729595E9</v>
      </c>
      <c r="D237" s="47" t="s">
        <v>1509</v>
      </c>
      <c r="E237" s="30">
        <v>4515.0</v>
      </c>
      <c r="F237" s="30">
        <v>3556.0</v>
      </c>
      <c r="G237" s="30">
        <v>0.0</v>
      </c>
      <c r="H237" s="30">
        <v>0.0</v>
      </c>
      <c r="I237" s="30">
        <v>532.3185</v>
      </c>
      <c r="J237" s="30">
        <v>0.0</v>
      </c>
      <c r="K237" s="30">
        <v>0.0</v>
      </c>
      <c r="L237" s="30">
        <v>0.0</v>
      </c>
      <c r="M237" s="30">
        <v>0.0</v>
      </c>
      <c r="N237" s="30">
        <v>752.5</v>
      </c>
      <c r="O237" s="30">
        <v>-325.8185</v>
      </c>
      <c r="P237" s="30">
        <v>-7.216356589147287</v>
      </c>
      <c r="Q237" s="30">
        <v>-8.659627906976745</v>
      </c>
    </row>
    <row r="238">
      <c r="A238" s="47">
        <v>1.1239463457E10</v>
      </c>
      <c r="B238" s="48">
        <v>46158.52135416667</v>
      </c>
      <c r="C238" s="30">
        <v>3.85372201E9</v>
      </c>
      <c r="D238" s="47" t="s">
        <v>1509</v>
      </c>
      <c r="E238" s="30">
        <v>1267.9</v>
      </c>
      <c r="F238" s="30">
        <v>1160.0</v>
      </c>
      <c r="G238" s="30">
        <v>0.0</v>
      </c>
      <c r="H238" s="30">
        <v>0.0</v>
      </c>
      <c r="I238" s="30">
        <v>57.0555</v>
      </c>
      <c r="J238" s="30">
        <v>0.0</v>
      </c>
      <c r="K238" s="30">
        <v>0.0</v>
      </c>
      <c r="L238" s="30">
        <v>0.0</v>
      </c>
      <c r="M238" s="30">
        <v>0.0</v>
      </c>
      <c r="N238" s="30">
        <v>211.3166666666666</v>
      </c>
      <c r="O238" s="30">
        <v>-160.4721666666665</v>
      </c>
      <c r="P238" s="30">
        <v>-12.656531797986158</v>
      </c>
      <c r="Q238" s="30">
        <v>-15.18783815758339</v>
      </c>
    </row>
    <row r="239">
      <c r="A239" s="47">
        <v>1.1249789232E10</v>
      </c>
      <c r="B239" s="48">
        <v>46161.662094907406</v>
      </c>
      <c r="C239" s="30">
        <v>3.862357261E9</v>
      </c>
      <c r="D239" s="47" t="s">
        <v>1508</v>
      </c>
      <c r="E239" s="30">
        <v>796.0</v>
      </c>
      <c r="F239" s="30">
        <v>580.0</v>
      </c>
      <c r="G239" s="30">
        <v>0.0</v>
      </c>
      <c r="H239" s="30">
        <v>0.0</v>
      </c>
      <c r="I239" s="30">
        <v>55.72</v>
      </c>
      <c r="J239" s="30">
        <v>0.0</v>
      </c>
      <c r="K239" s="30">
        <v>0.0</v>
      </c>
      <c r="L239" s="30">
        <v>0.0</v>
      </c>
      <c r="M239" s="30">
        <v>0.0</v>
      </c>
      <c r="N239" s="30">
        <v>132.66666666666663</v>
      </c>
      <c r="O239" s="30">
        <v>27.613333333333372</v>
      </c>
      <c r="P239" s="30">
        <v>3.469011725293137</v>
      </c>
      <c r="Q239" s="30">
        <v>4.162814070351764</v>
      </c>
    </row>
    <row r="240">
      <c r="A240" s="47">
        <v>1.1239582344E10</v>
      </c>
      <c r="B240" s="48">
        <v>46158.56445601852</v>
      </c>
      <c r="C240" s="30">
        <v>3.853830948E9</v>
      </c>
      <c r="D240" s="47" t="s">
        <v>1509</v>
      </c>
      <c r="E240" s="30">
        <v>1289.0</v>
      </c>
      <c r="F240" s="30">
        <v>1190.0</v>
      </c>
      <c r="G240" s="30">
        <v>0.0</v>
      </c>
      <c r="H240" s="30">
        <v>0.0</v>
      </c>
      <c r="I240" s="30">
        <v>34.803000000000004</v>
      </c>
      <c r="J240" s="30">
        <v>0.0</v>
      </c>
      <c r="K240" s="30">
        <v>0.0</v>
      </c>
      <c r="L240" s="30">
        <v>0.0</v>
      </c>
      <c r="M240" s="30">
        <v>0.0</v>
      </c>
      <c r="N240" s="30">
        <v>214.83333333333326</v>
      </c>
      <c r="O240" s="30">
        <v>-150.63633333333325</v>
      </c>
      <c r="P240" s="30">
        <v>-11.686294284975427</v>
      </c>
      <c r="Q240" s="30">
        <v>-14.023553141970513</v>
      </c>
    </row>
    <row r="241">
      <c r="A241" s="47">
        <v>1.124586439E10</v>
      </c>
      <c r="B241" s="48">
        <v>46160.45300925926</v>
      </c>
      <c r="C241" s="30">
        <v>3.858928847E9</v>
      </c>
      <c r="D241" s="47" t="s">
        <v>1513</v>
      </c>
      <c r="E241" s="30">
        <v>729.0</v>
      </c>
      <c r="F241" s="30">
        <v>580.0</v>
      </c>
      <c r="G241" s="30">
        <v>0.0</v>
      </c>
      <c r="H241" s="30">
        <v>0.0</v>
      </c>
      <c r="I241" s="30">
        <v>32.148900000000005</v>
      </c>
      <c r="J241" s="30">
        <v>0.0</v>
      </c>
      <c r="K241" s="30">
        <v>0.0</v>
      </c>
      <c r="L241" s="30">
        <v>0.0</v>
      </c>
      <c r="M241" s="30">
        <v>0.0</v>
      </c>
      <c r="N241" s="30">
        <v>121.5</v>
      </c>
      <c r="O241" s="30">
        <v>-4.648899999999998</v>
      </c>
      <c r="P241" s="30">
        <v>-0.6377091906721534</v>
      </c>
      <c r="Q241" s="30">
        <v>-0.765251028806584</v>
      </c>
    </row>
    <row r="242">
      <c r="A242" s="47">
        <v>1.1240170109E10</v>
      </c>
      <c r="B242" s="48">
        <v>46158.701516203706</v>
      </c>
      <c r="C242" s="30">
        <v>3.854345933E9</v>
      </c>
      <c r="D242" s="47" t="s">
        <v>1509</v>
      </c>
      <c r="E242" s="30">
        <v>1267.9</v>
      </c>
      <c r="F242" s="30">
        <v>1160.0</v>
      </c>
      <c r="G242" s="30">
        <v>0.0</v>
      </c>
      <c r="H242" s="30">
        <v>0.0</v>
      </c>
      <c r="I242" s="30">
        <v>57.0555</v>
      </c>
      <c r="J242" s="30">
        <v>0.0</v>
      </c>
      <c r="K242" s="30">
        <v>0.0</v>
      </c>
      <c r="L242" s="30">
        <v>0.0</v>
      </c>
      <c r="M242" s="30">
        <v>0.0</v>
      </c>
      <c r="N242" s="30">
        <v>211.3166666666666</v>
      </c>
      <c r="O242" s="30">
        <v>-160.4721666666665</v>
      </c>
      <c r="P242" s="30">
        <v>-12.656531797986158</v>
      </c>
      <c r="Q242" s="30">
        <v>-15.18783815758339</v>
      </c>
    </row>
    <row r="243">
      <c r="A243" s="47">
        <v>1.1239475963E10</v>
      </c>
      <c r="B243" s="48">
        <v>46158.52638888889</v>
      </c>
      <c r="C243" s="30">
        <v>3.853733357E9</v>
      </c>
      <c r="D243" s="47" t="s">
        <v>1509</v>
      </c>
      <c r="E243" s="30">
        <v>729.0</v>
      </c>
      <c r="F243" s="30">
        <v>580.0</v>
      </c>
      <c r="G243" s="30">
        <v>0.0</v>
      </c>
      <c r="H243" s="30">
        <v>0.0</v>
      </c>
      <c r="I243" s="30">
        <v>36.0855</v>
      </c>
      <c r="J243" s="30">
        <v>0.0</v>
      </c>
      <c r="K243" s="30">
        <v>0.0</v>
      </c>
      <c r="L243" s="30">
        <v>0.0</v>
      </c>
      <c r="M243" s="30">
        <v>0.0</v>
      </c>
      <c r="N243" s="30">
        <v>121.5</v>
      </c>
      <c r="O243" s="30">
        <v>-8.585499999999996</v>
      </c>
      <c r="P243" s="30">
        <v>-1.177709190672153</v>
      </c>
      <c r="Q243" s="30">
        <v>-1.4132510288065838</v>
      </c>
    </row>
    <row r="244">
      <c r="A244" s="47">
        <v>1.1241921541E10</v>
      </c>
      <c r="B244" s="48">
        <v>46159.05978009259</v>
      </c>
      <c r="C244" s="30">
        <v>3.855628397E9</v>
      </c>
      <c r="D244" s="47" t="s">
        <v>1509</v>
      </c>
      <c r="E244" s="30">
        <v>1284.0</v>
      </c>
      <c r="F244" s="30">
        <v>1190.0</v>
      </c>
      <c r="G244" s="30">
        <v>0.0</v>
      </c>
      <c r="H244" s="30">
        <v>0.0</v>
      </c>
      <c r="I244" s="30">
        <v>34.668</v>
      </c>
      <c r="J244" s="30">
        <v>0.0</v>
      </c>
      <c r="K244" s="30">
        <v>0.0</v>
      </c>
      <c r="L244" s="30">
        <v>0.0</v>
      </c>
      <c r="M244" s="30">
        <v>0.0</v>
      </c>
      <c r="N244" s="30">
        <v>214.0</v>
      </c>
      <c r="O244" s="30">
        <v>-154.668</v>
      </c>
      <c r="P244" s="30">
        <v>-12.045794392523366</v>
      </c>
      <c r="Q244" s="30">
        <v>-14.454953271028037</v>
      </c>
    </row>
    <row r="245">
      <c r="A245" s="47">
        <v>1.1241976575E10</v>
      </c>
      <c r="B245" s="48">
        <v>46159.07126157408</v>
      </c>
      <c r="C245" s="30">
        <v>3.855680305E9</v>
      </c>
      <c r="D245" s="47" t="s">
        <v>1509</v>
      </c>
      <c r="E245" s="30">
        <v>3072.0</v>
      </c>
      <c r="F245" s="30">
        <v>2320.0</v>
      </c>
      <c r="G245" s="30">
        <v>0.0</v>
      </c>
      <c r="H245" s="30">
        <v>0.0</v>
      </c>
      <c r="I245" s="30">
        <v>152.06400000000002</v>
      </c>
      <c r="J245" s="30">
        <v>0.0</v>
      </c>
      <c r="K245" s="30">
        <v>0.0</v>
      </c>
      <c r="L245" s="30">
        <v>0.0</v>
      </c>
      <c r="M245" s="30">
        <v>0.0</v>
      </c>
      <c r="N245" s="30">
        <v>512.0</v>
      </c>
      <c r="O245" s="30">
        <v>87.93599999999992</v>
      </c>
      <c r="P245" s="30">
        <v>2.862499999999997</v>
      </c>
      <c r="Q245" s="30">
        <v>3.434999999999997</v>
      </c>
    </row>
    <row r="246">
      <c r="A246" s="47">
        <v>1.1238998166E10</v>
      </c>
      <c r="B246" s="48">
        <v>46158.10974537037</v>
      </c>
      <c r="C246" s="30">
        <v>3.853255865E9</v>
      </c>
      <c r="D246" s="47" t="s">
        <v>1509</v>
      </c>
      <c r="E246" s="30">
        <v>729.0</v>
      </c>
      <c r="F246" s="30">
        <v>580.0</v>
      </c>
      <c r="G246" s="30">
        <v>0.0</v>
      </c>
      <c r="H246" s="30">
        <v>0.0</v>
      </c>
      <c r="I246" s="30">
        <v>32.148900000000005</v>
      </c>
      <c r="J246" s="30">
        <v>0.0</v>
      </c>
      <c r="K246" s="30">
        <v>0.0</v>
      </c>
      <c r="L246" s="30">
        <v>0.0</v>
      </c>
      <c r="M246" s="30">
        <v>0.0</v>
      </c>
      <c r="N246" s="30">
        <v>121.5</v>
      </c>
      <c r="O246" s="30">
        <v>-4.648899999999998</v>
      </c>
      <c r="P246" s="30">
        <v>-0.6377091906721534</v>
      </c>
      <c r="Q246" s="30">
        <v>-0.765251028806584</v>
      </c>
    </row>
    <row r="247">
      <c r="A247" s="47">
        <v>1.1240145636E10</v>
      </c>
      <c r="B247" s="48">
        <v>46158.69689814815</v>
      </c>
      <c r="C247" s="30">
        <v>3.854326776E9</v>
      </c>
      <c r="D247" s="47" t="s">
        <v>1509</v>
      </c>
      <c r="E247" s="30">
        <v>1636.99</v>
      </c>
      <c r="F247" s="30">
        <v>1271.0</v>
      </c>
      <c r="G247" s="30">
        <v>0.0</v>
      </c>
      <c r="H247" s="30">
        <v>0.0</v>
      </c>
      <c r="I247" s="30">
        <v>109.3302</v>
      </c>
      <c r="J247" s="30">
        <v>0.0</v>
      </c>
      <c r="K247" s="30">
        <v>0.0</v>
      </c>
      <c r="L247" s="30">
        <v>0.0</v>
      </c>
      <c r="M247" s="30">
        <v>0.0</v>
      </c>
      <c r="N247" s="30">
        <v>272.83166666666665</v>
      </c>
      <c r="O247" s="30">
        <v>-16.17186666666663</v>
      </c>
      <c r="P247" s="30">
        <v>-0.9879025935813066</v>
      </c>
      <c r="Q247" s="30">
        <v>-1.185483112297568</v>
      </c>
    </row>
    <row r="248">
      <c r="A248" s="47">
        <v>1.1243819982E10</v>
      </c>
      <c r="B248" s="48">
        <v>46159.80699074074</v>
      </c>
      <c r="C248" s="30">
        <v>3.857234781E9</v>
      </c>
      <c r="D248" s="47" t="s">
        <v>1509</v>
      </c>
      <c r="E248" s="30">
        <v>1281.0</v>
      </c>
      <c r="F248" s="30">
        <v>1190.0</v>
      </c>
      <c r="G248" s="30">
        <v>0.0</v>
      </c>
      <c r="H248" s="30">
        <v>0.0</v>
      </c>
      <c r="I248" s="30">
        <v>34.587</v>
      </c>
      <c r="J248" s="30">
        <v>0.0</v>
      </c>
      <c r="K248" s="30">
        <v>0.0</v>
      </c>
      <c r="L248" s="30">
        <v>0.0</v>
      </c>
      <c r="M248" s="30">
        <v>0.0</v>
      </c>
      <c r="N248" s="30">
        <v>213.5</v>
      </c>
      <c r="O248" s="30">
        <v>-157.087</v>
      </c>
      <c r="P248" s="30">
        <v>-12.262841530054644</v>
      </c>
      <c r="Q248" s="30">
        <v>-14.715409836065573</v>
      </c>
    </row>
    <row r="249">
      <c r="A249" s="47">
        <v>1.1244297467E10</v>
      </c>
      <c r="B249" s="48">
        <v>46159.89644675926</v>
      </c>
      <c r="C249" s="30">
        <v>3.857554385E9</v>
      </c>
      <c r="D249" s="47" t="s">
        <v>1509</v>
      </c>
      <c r="E249" s="30">
        <v>729.0</v>
      </c>
      <c r="F249" s="30">
        <v>580.0</v>
      </c>
      <c r="G249" s="30">
        <v>0.0</v>
      </c>
      <c r="H249" s="30">
        <v>0.0</v>
      </c>
      <c r="I249" s="30">
        <v>36.0855</v>
      </c>
      <c r="J249" s="30">
        <v>0.0</v>
      </c>
      <c r="K249" s="30">
        <v>0.0</v>
      </c>
      <c r="L249" s="30">
        <v>0.0</v>
      </c>
      <c r="M249" s="30">
        <v>0.0</v>
      </c>
      <c r="N249" s="30">
        <v>121.5</v>
      </c>
      <c r="O249" s="30">
        <v>-8.585499999999996</v>
      </c>
      <c r="P249" s="30">
        <v>-1.177709190672153</v>
      </c>
      <c r="Q249" s="30">
        <v>-1.4132510288065838</v>
      </c>
    </row>
    <row r="250">
      <c r="A250" s="47">
        <v>1.1239231633E10</v>
      </c>
      <c r="B250" s="48">
        <v>46158.190092592595</v>
      </c>
      <c r="C250" s="30">
        <v>3.853480153E9</v>
      </c>
      <c r="D250" s="47" t="s">
        <v>1509</v>
      </c>
      <c r="E250" s="30">
        <v>1267.9</v>
      </c>
      <c r="F250" s="30">
        <v>1160.0</v>
      </c>
      <c r="G250" s="30">
        <v>0.0</v>
      </c>
      <c r="H250" s="30">
        <v>0.0</v>
      </c>
      <c r="I250" s="30">
        <v>57.0555</v>
      </c>
      <c r="J250" s="30">
        <v>0.0</v>
      </c>
      <c r="K250" s="30">
        <v>0.0</v>
      </c>
      <c r="L250" s="30">
        <v>0.0</v>
      </c>
      <c r="M250" s="30">
        <v>0.0</v>
      </c>
      <c r="N250" s="30">
        <v>211.3166666666666</v>
      </c>
      <c r="O250" s="30">
        <v>-160.4721666666665</v>
      </c>
      <c r="P250" s="30">
        <v>-12.656531797986158</v>
      </c>
      <c r="Q250" s="30">
        <v>-15.18783815758339</v>
      </c>
    </row>
    <row r="251">
      <c r="A251" s="47">
        <v>1.1249720379E10</v>
      </c>
      <c r="B251" s="48">
        <v>46161.6478125</v>
      </c>
      <c r="C251" s="30">
        <v>3.862300715E9</v>
      </c>
      <c r="D251" s="47" t="s">
        <v>1508</v>
      </c>
      <c r="E251" s="30">
        <v>1530.0</v>
      </c>
      <c r="F251" s="30">
        <v>1190.0</v>
      </c>
      <c r="G251" s="30">
        <v>0.0</v>
      </c>
      <c r="H251" s="30">
        <v>0.0</v>
      </c>
      <c r="I251" s="30">
        <v>191.25</v>
      </c>
      <c r="J251" s="30">
        <v>0.0</v>
      </c>
      <c r="K251" s="30">
        <v>0.0</v>
      </c>
      <c r="L251" s="30">
        <v>0.0</v>
      </c>
      <c r="M251" s="30">
        <v>0.0</v>
      </c>
      <c r="N251" s="30">
        <v>255.0</v>
      </c>
      <c r="O251" s="30">
        <v>-106.25</v>
      </c>
      <c r="P251" s="30">
        <v>-6.944444444444445</v>
      </c>
      <c r="Q251" s="30">
        <v>-8.333333333333332</v>
      </c>
    </row>
    <row r="252">
      <c r="A252" s="47">
        <v>1.123968653E10</v>
      </c>
      <c r="B252" s="48">
        <v>46158.59459490741</v>
      </c>
      <c r="C252" s="30">
        <v>3.853929044E9</v>
      </c>
      <c r="D252" s="47" t="s">
        <v>1509</v>
      </c>
      <c r="E252" s="30">
        <v>1289.0</v>
      </c>
      <c r="F252" s="30">
        <v>1190.0</v>
      </c>
      <c r="G252" s="30">
        <v>0.0</v>
      </c>
      <c r="H252" s="30">
        <v>0.0</v>
      </c>
      <c r="I252" s="30">
        <v>34.803000000000004</v>
      </c>
      <c r="J252" s="30">
        <v>0.0</v>
      </c>
      <c r="K252" s="30">
        <v>0.0</v>
      </c>
      <c r="L252" s="30">
        <v>0.0</v>
      </c>
      <c r="M252" s="30">
        <v>0.0</v>
      </c>
      <c r="N252" s="30">
        <v>214.83333333333326</v>
      </c>
      <c r="O252" s="30">
        <v>-150.63633333333325</v>
      </c>
      <c r="P252" s="30">
        <v>-11.686294284975427</v>
      </c>
      <c r="Q252" s="30">
        <v>-14.023553141970513</v>
      </c>
    </row>
    <row r="253">
      <c r="A253" s="47">
        <v>1.1228250238E10</v>
      </c>
      <c r="B253" s="48">
        <v>46154.88494212963</v>
      </c>
      <c r="C253" s="30">
        <v>3.843713881E9</v>
      </c>
      <c r="D253" s="47" t="s">
        <v>1509</v>
      </c>
      <c r="E253" s="30">
        <v>1595.0</v>
      </c>
      <c r="F253" s="30">
        <v>1394.04</v>
      </c>
      <c r="G253" s="30">
        <v>0.0</v>
      </c>
      <c r="H253" s="30">
        <v>0.0</v>
      </c>
      <c r="I253" s="30">
        <v>106.227</v>
      </c>
      <c r="J253" s="30">
        <v>0.0</v>
      </c>
      <c r="K253" s="30">
        <v>0.0</v>
      </c>
      <c r="L253" s="30">
        <v>0.0</v>
      </c>
      <c r="M253" s="30">
        <v>0.0</v>
      </c>
      <c r="N253" s="30">
        <v>265.83333333333326</v>
      </c>
      <c r="O253" s="30">
        <v>-171.10033333333323</v>
      </c>
      <c r="P253" s="30">
        <v>-10.727293625914308</v>
      </c>
      <c r="Q253" s="30">
        <v>-12.87275235109717</v>
      </c>
    </row>
    <row r="254">
      <c r="A254" s="47">
        <v>1.1249703491E10</v>
      </c>
      <c r="B254" s="48">
        <v>46161.64417824074</v>
      </c>
      <c r="C254" s="30">
        <v>3.862288627E9</v>
      </c>
      <c r="D254" s="47" t="s">
        <v>1508</v>
      </c>
      <c r="E254" s="30">
        <v>1728.0</v>
      </c>
      <c r="F254" s="30">
        <v>1260.0</v>
      </c>
      <c r="G254" s="30">
        <v>0.0</v>
      </c>
      <c r="H254" s="30">
        <v>0.0</v>
      </c>
      <c r="I254" s="30">
        <v>264.384</v>
      </c>
      <c r="J254" s="30">
        <v>0.0</v>
      </c>
      <c r="K254" s="30">
        <v>0.0</v>
      </c>
      <c r="L254" s="30">
        <v>0.0</v>
      </c>
      <c r="M254" s="30">
        <v>0.0</v>
      </c>
      <c r="N254" s="30">
        <v>288.0</v>
      </c>
      <c r="O254" s="30">
        <v>-84.38400000000001</v>
      </c>
      <c r="P254" s="30">
        <v>-4.883333333333334</v>
      </c>
      <c r="Q254" s="30">
        <v>-5.860000000000001</v>
      </c>
    </row>
    <row r="255">
      <c r="A255" s="47">
        <v>1.1239326227E10</v>
      </c>
      <c r="B255" s="48">
        <v>46158.32271990741</v>
      </c>
      <c r="C255" s="30">
        <v>3.853571424E9</v>
      </c>
      <c r="D255" s="47" t="s">
        <v>1509</v>
      </c>
      <c r="E255" s="30">
        <v>1267.9</v>
      </c>
      <c r="F255" s="30">
        <v>1160.0</v>
      </c>
      <c r="G255" s="30">
        <v>0.0</v>
      </c>
      <c r="H255" s="30">
        <v>0.0</v>
      </c>
      <c r="I255" s="30">
        <v>57.0555</v>
      </c>
      <c r="J255" s="30">
        <v>0.0</v>
      </c>
      <c r="K255" s="30">
        <v>0.0</v>
      </c>
      <c r="L255" s="30">
        <v>0.0</v>
      </c>
      <c r="M255" s="30">
        <v>0.0</v>
      </c>
      <c r="N255" s="30">
        <v>211.3166666666666</v>
      </c>
      <c r="O255" s="30">
        <v>-160.4721666666665</v>
      </c>
      <c r="P255" s="30">
        <v>-12.656531797986158</v>
      </c>
      <c r="Q255" s="30">
        <v>-15.18783815758339</v>
      </c>
    </row>
    <row r="256">
      <c r="A256" s="47">
        <v>1.1241009333E10</v>
      </c>
      <c r="B256" s="48">
        <v>46158.87556712963</v>
      </c>
      <c r="C256" s="30">
        <v>3.854969965E9</v>
      </c>
      <c r="D256" s="47" t="s">
        <v>1513</v>
      </c>
      <c r="E256" s="30">
        <v>729.0</v>
      </c>
      <c r="F256" s="30">
        <v>580.0</v>
      </c>
      <c r="G256" s="30">
        <v>0.0</v>
      </c>
      <c r="H256" s="30">
        <v>0.0</v>
      </c>
      <c r="I256" s="30">
        <v>32.148900000000005</v>
      </c>
      <c r="J256" s="30">
        <v>0.0</v>
      </c>
      <c r="K256" s="30">
        <v>0.0</v>
      </c>
      <c r="L256" s="30">
        <v>0.0</v>
      </c>
      <c r="M256" s="30">
        <v>0.0</v>
      </c>
      <c r="N256" s="30">
        <v>121.5</v>
      </c>
      <c r="O256" s="30">
        <v>-4.648899999999998</v>
      </c>
      <c r="P256" s="30">
        <v>-0.6377091906721534</v>
      </c>
      <c r="Q256" s="30">
        <v>-0.765251028806584</v>
      </c>
    </row>
    <row r="257">
      <c r="A257" s="47">
        <v>1.124357322E10</v>
      </c>
      <c r="B257" s="48">
        <v>46159.758425925924</v>
      </c>
      <c r="C257" s="30">
        <v>3.8570533E9</v>
      </c>
      <c r="D257" s="47" t="s">
        <v>1509</v>
      </c>
      <c r="E257" s="30">
        <v>729.0</v>
      </c>
      <c r="F257" s="30">
        <v>580.0</v>
      </c>
      <c r="G257" s="30">
        <v>0.0</v>
      </c>
      <c r="H257" s="30">
        <v>0.0</v>
      </c>
      <c r="I257" s="30">
        <v>36.0855</v>
      </c>
      <c r="J257" s="30">
        <v>0.0</v>
      </c>
      <c r="K257" s="30">
        <v>0.0</v>
      </c>
      <c r="L257" s="30">
        <v>0.0</v>
      </c>
      <c r="M257" s="30">
        <v>0.0</v>
      </c>
      <c r="N257" s="30">
        <v>121.5</v>
      </c>
      <c r="O257" s="30">
        <v>-8.585499999999996</v>
      </c>
      <c r="P257" s="30">
        <v>-1.177709190672153</v>
      </c>
      <c r="Q257" s="30">
        <v>-1.4132510288065838</v>
      </c>
    </row>
    <row r="258">
      <c r="A258" s="47">
        <v>1.1244725147E10</v>
      </c>
      <c r="B258" s="48">
        <v>46159.97394675926</v>
      </c>
      <c r="C258" s="30">
        <v>3.85784799E9</v>
      </c>
      <c r="D258" s="47" t="s">
        <v>1509</v>
      </c>
      <c r="E258" s="30">
        <v>768.0</v>
      </c>
      <c r="F258" s="30">
        <v>580.0</v>
      </c>
      <c r="G258" s="30">
        <v>0.0</v>
      </c>
      <c r="H258" s="30">
        <v>0.0</v>
      </c>
      <c r="I258" s="30">
        <v>38.016000000000005</v>
      </c>
      <c r="J258" s="30">
        <v>0.0</v>
      </c>
      <c r="K258" s="30">
        <v>0.0</v>
      </c>
      <c r="L258" s="30">
        <v>0.0</v>
      </c>
      <c r="M258" s="30">
        <v>0.0</v>
      </c>
      <c r="N258" s="30">
        <v>128.0</v>
      </c>
      <c r="O258" s="30">
        <v>21.98399999999998</v>
      </c>
      <c r="P258" s="30">
        <v>2.862499999999997</v>
      </c>
      <c r="Q258" s="30">
        <v>3.434999999999997</v>
      </c>
    </row>
    <row r="259">
      <c r="A259" s="47">
        <v>1.1243620147E10</v>
      </c>
      <c r="B259" s="48">
        <v>46159.76773148148</v>
      </c>
      <c r="C259" s="30">
        <v>3.857088682E9</v>
      </c>
      <c r="D259" s="47" t="s">
        <v>1509</v>
      </c>
      <c r="E259" s="30">
        <v>729.0</v>
      </c>
      <c r="F259" s="30">
        <v>580.0</v>
      </c>
      <c r="G259" s="30">
        <v>0.0</v>
      </c>
      <c r="H259" s="30">
        <v>0.0</v>
      </c>
      <c r="I259" s="30">
        <v>36.0855</v>
      </c>
      <c r="J259" s="30">
        <v>0.0</v>
      </c>
      <c r="K259" s="30">
        <v>0.0</v>
      </c>
      <c r="L259" s="30">
        <v>0.0</v>
      </c>
      <c r="M259" s="30">
        <v>0.0</v>
      </c>
      <c r="N259" s="30">
        <v>121.5</v>
      </c>
      <c r="O259" s="30">
        <v>-8.585499999999996</v>
      </c>
      <c r="P259" s="30">
        <v>-1.177709190672153</v>
      </c>
      <c r="Q259" s="30">
        <v>-1.4132510288065838</v>
      </c>
    </row>
    <row r="260">
      <c r="A260" s="47">
        <v>1.124304621E10</v>
      </c>
      <c r="B260" s="48">
        <v>46159.64990740741</v>
      </c>
      <c r="C260" s="30">
        <v>3.856633291E9</v>
      </c>
      <c r="D260" s="47" t="s">
        <v>1509</v>
      </c>
      <c r="E260" s="30">
        <v>1993.9</v>
      </c>
      <c r="F260" s="30">
        <v>1740.0</v>
      </c>
      <c r="G260" s="30">
        <v>0.0</v>
      </c>
      <c r="H260" s="30">
        <v>0.0</v>
      </c>
      <c r="I260" s="30">
        <v>93.006</v>
      </c>
      <c r="J260" s="30">
        <v>0.0</v>
      </c>
      <c r="K260" s="30">
        <v>0.0</v>
      </c>
      <c r="L260" s="30">
        <v>0.0</v>
      </c>
      <c r="M260" s="30">
        <v>0.0</v>
      </c>
      <c r="N260" s="30">
        <v>332.3166666666666</v>
      </c>
      <c r="O260" s="30">
        <v>-171.42266666666652</v>
      </c>
      <c r="P260" s="30">
        <v>-8.597355266897361</v>
      </c>
      <c r="Q260" s="30">
        <v>-10.316826320276833</v>
      </c>
    </row>
    <row r="261">
      <c r="A261" s="47">
        <v>1.1237195532E10</v>
      </c>
      <c r="B261" s="48">
        <v>46157.74375</v>
      </c>
      <c r="C261" s="30">
        <v>3.851843363E9</v>
      </c>
      <c r="D261" s="47" t="s">
        <v>1509</v>
      </c>
      <c r="E261" s="30">
        <v>1267.9</v>
      </c>
      <c r="F261" s="30">
        <v>1160.0</v>
      </c>
      <c r="G261" s="30">
        <v>0.0</v>
      </c>
      <c r="H261" s="30">
        <v>0.0</v>
      </c>
      <c r="I261" s="30">
        <v>57.0555</v>
      </c>
      <c r="J261" s="30">
        <v>0.0</v>
      </c>
      <c r="K261" s="30">
        <v>0.0</v>
      </c>
      <c r="L261" s="30">
        <v>0.0</v>
      </c>
      <c r="M261" s="30">
        <v>0.0</v>
      </c>
      <c r="N261" s="30">
        <v>211.3166666666666</v>
      </c>
      <c r="O261" s="30">
        <v>-160.4721666666665</v>
      </c>
      <c r="P261" s="30">
        <v>-12.656531797986158</v>
      </c>
      <c r="Q261" s="30">
        <v>-15.18783815758339</v>
      </c>
    </row>
    <row r="262">
      <c r="A262" s="47">
        <v>1.1239726951E10</v>
      </c>
      <c r="B262" s="48">
        <v>46158.60523148148</v>
      </c>
      <c r="C262" s="30">
        <v>3.853966338E9</v>
      </c>
      <c r="D262" s="47" t="s">
        <v>1509</v>
      </c>
      <c r="E262" s="30">
        <v>1267.9</v>
      </c>
      <c r="F262" s="30">
        <v>1160.0</v>
      </c>
      <c r="G262" s="30">
        <v>0.0</v>
      </c>
      <c r="H262" s="30">
        <v>0.0</v>
      </c>
      <c r="I262" s="30">
        <v>57.0555</v>
      </c>
      <c r="J262" s="30">
        <v>0.0</v>
      </c>
      <c r="K262" s="30">
        <v>0.0</v>
      </c>
      <c r="L262" s="30">
        <v>0.0</v>
      </c>
      <c r="M262" s="30">
        <v>0.0</v>
      </c>
      <c r="N262" s="30">
        <v>211.3166666666666</v>
      </c>
      <c r="O262" s="30">
        <v>-160.4721666666665</v>
      </c>
      <c r="P262" s="30">
        <v>-12.656531797986158</v>
      </c>
      <c r="Q262" s="30">
        <v>-15.18783815758339</v>
      </c>
    </row>
    <row r="263">
      <c r="A263" s="47">
        <v>1.1240283077E10</v>
      </c>
      <c r="B263" s="48">
        <v>46158.72462962963</v>
      </c>
      <c r="C263" s="30">
        <v>3.854436924E9</v>
      </c>
      <c r="D263" s="47" t="s">
        <v>1509</v>
      </c>
      <c r="E263" s="30">
        <v>1286.0</v>
      </c>
      <c r="F263" s="30">
        <v>1190.0</v>
      </c>
      <c r="G263" s="30">
        <v>0.0</v>
      </c>
      <c r="H263" s="30">
        <v>0.0</v>
      </c>
      <c r="I263" s="30">
        <v>34.722</v>
      </c>
      <c r="J263" s="30">
        <v>0.0</v>
      </c>
      <c r="K263" s="30">
        <v>0.0</v>
      </c>
      <c r="L263" s="30">
        <v>0.0</v>
      </c>
      <c r="M263" s="30">
        <v>0.0</v>
      </c>
      <c r="N263" s="30">
        <v>214.33333333333326</v>
      </c>
      <c r="O263" s="30">
        <v>-153.05533333333327</v>
      </c>
      <c r="P263" s="30">
        <v>-11.901658890616895</v>
      </c>
      <c r="Q263" s="30">
        <v>-14.28199066874027</v>
      </c>
    </row>
    <row r="264">
      <c r="A264" s="47">
        <v>1.1239407384E10</v>
      </c>
      <c r="B264" s="48">
        <v>46158.49136574074</v>
      </c>
      <c r="C264" s="30">
        <v>3.853663833E9</v>
      </c>
      <c r="D264" s="47" t="s">
        <v>1509</v>
      </c>
      <c r="E264" s="30">
        <v>729.0</v>
      </c>
      <c r="F264" s="30">
        <v>580.0</v>
      </c>
      <c r="G264" s="30">
        <v>0.0</v>
      </c>
      <c r="H264" s="30">
        <v>0.0</v>
      </c>
      <c r="I264" s="30">
        <v>32.148900000000005</v>
      </c>
      <c r="J264" s="30">
        <v>0.0</v>
      </c>
      <c r="K264" s="30">
        <v>0.0</v>
      </c>
      <c r="L264" s="30">
        <v>0.0</v>
      </c>
      <c r="M264" s="30">
        <v>0.0</v>
      </c>
      <c r="N264" s="30">
        <v>121.5</v>
      </c>
      <c r="O264" s="30">
        <v>-4.648899999999998</v>
      </c>
      <c r="P264" s="30">
        <v>-0.6377091906721534</v>
      </c>
      <c r="Q264" s="30">
        <v>-0.765251028806584</v>
      </c>
    </row>
    <row r="265">
      <c r="A265" s="47">
        <v>1.1239809331E10</v>
      </c>
      <c r="B265" s="48">
        <v>46158.625451388885</v>
      </c>
      <c r="C265" s="30">
        <v>3.8540394E9</v>
      </c>
      <c r="D265" s="47" t="s">
        <v>1509</v>
      </c>
      <c r="E265" s="30">
        <v>1289.0</v>
      </c>
      <c r="F265" s="30">
        <v>1190.0</v>
      </c>
      <c r="G265" s="30">
        <v>0.0</v>
      </c>
      <c r="H265" s="30">
        <v>0.0</v>
      </c>
      <c r="I265" s="30">
        <v>34.803000000000004</v>
      </c>
      <c r="J265" s="30">
        <v>0.0</v>
      </c>
      <c r="K265" s="30">
        <v>0.0</v>
      </c>
      <c r="L265" s="30">
        <v>0.0</v>
      </c>
      <c r="M265" s="30">
        <v>0.0</v>
      </c>
      <c r="N265" s="30">
        <v>214.83333333333326</v>
      </c>
      <c r="O265" s="30">
        <v>-150.63633333333325</v>
      </c>
      <c r="P265" s="30">
        <v>-11.686294284975427</v>
      </c>
      <c r="Q265" s="30">
        <v>-14.023553141970513</v>
      </c>
    </row>
    <row r="266">
      <c r="A266" s="47">
        <v>1.1239861484E10</v>
      </c>
      <c r="B266" s="48">
        <v>46158.637395833335</v>
      </c>
      <c r="C266" s="30">
        <v>3.854088659E9</v>
      </c>
      <c r="D266" s="47" t="s">
        <v>1509</v>
      </c>
      <c r="E266" s="30">
        <v>2187.0</v>
      </c>
      <c r="F266" s="30">
        <v>1740.0</v>
      </c>
      <c r="G266" s="30">
        <v>0.0</v>
      </c>
      <c r="H266" s="30">
        <v>0.0</v>
      </c>
      <c r="I266" s="30">
        <v>104.31990000000002</v>
      </c>
      <c r="J266" s="30">
        <v>0.0</v>
      </c>
      <c r="K266" s="30">
        <v>0.0</v>
      </c>
      <c r="L266" s="30">
        <v>0.0</v>
      </c>
      <c r="M266" s="30">
        <v>0.0</v>
      </c>
      <c r="N266" s="30">
        <v>364.5</v>
      </c>
      <c r="O266" s="30">
        <v>-21.81990000000002</v>
      </c>
      <c r="P266" s="30">
        <v>-0.9977091906721546</v>
      </c>
      <c r="Q266" s="30">
        <v>-1.1972510288065852</v>
      </c>
    </row>
    <row r="267">
      <c r="A267" s="47">
        <v>1.1245120123E10</v>
      </c>
      <c r="B267" s="48">
        <v>46160.04418981481</v>
      </c>
      <c r="C267" s="30">
        <v>3.858172148E9</v>
      </c>
      <c r="D267" s="47" t="s">
        <v>1509</v>
      </c>
      <c r="E267" s="30">
        <v>768.0</v>
      </c>
      <c r="F267" s="30">
        <v>580.0</v>
      </c>
      <c r="G267" s="30">
        <v>0.0</v>
      </c>
      <c r="H267" s="30">
        <v>0.0</v>
      </c>
      <c r="I267" s="30">
        <v>38.016000000000005</v>
      </c>
      <c r="J267" s="30">
        <v>0.0</v>
      </c>
      <c r="K267" s="30">
        <v>0.0</v>
      </c>
      <c r="L267" s="30">
        <v>0.0</v>
      </c>
      <c r="M267" s="30">
        <v>0.0</v>
      </c>
      <c r="N267" s="30">
        <v>128.0</v>
      </c>
      <c r="O267" s="30">
        <v>21.98399999999998</v>
      </c>
      <c r="P267" s="30">
        <v>2.862499999999997</v>
      </c>
      <c r="Q267" s="30">
        <v>3.434999999999997</v>
      </c>
    </row>
    <row r="268">
      <c r="A268" s="47">
        <v>1.1239422531E10</v>
      </c>
      <c r="B268" s="48">
        <v>46158.50163194445</v>
      </c>
      <c r="C268" s="30">
        <v>3.85368163E9</v>
      </c>
      <c r="D268" s="47" t="s">
        <v>1509</v>
      </c>
      <c r="E268" s="30">
        <v>1289.0</v>
      </c>
      <c r="F268" s="30">
        <v>1190.0</v>
      </c>
      <c r="G268" s="30">
        <v>0.0</v>
      </c>
      <c r="H268" s="30">
        <v>0.0</v>
      </c>
      <c r="I268" s="30">
        <v>34.803000000000004</v>
      </c>
      <c r="J268" s="30">
        <v>0.0</v>
      </c>
      <c r="K268" s="30">
        <v>0.0</v>
      </c>
      <c r="L268" s="30">
        <v>0.0</v>
      </c>
      <c r="M268" s="30">
        <v>0.0</v>
      </c>
      <c r="N268" s="30">
        <v>214.83333333333326</v>
      </c>
      <c r="O268" s="30">
        <v>-150.63633333333325</v>
      </c>
      <c r="P268" s="30">
        <v>-11.686294284975427</v>
      </c>
      <c r="Q268" s="30">
        <v>-14.023553141970513</v>
      </c>
    </row>
    <row r="269">
      <c r="A269" s="47">
        <v>1.1239431788E10</v>
      </c>
      <c r="B269" s="48">
        <v>46158.50633101852</v>
      </c>
      <c r="C269" s="30">
        <v>3.853691717E9</v>
      </c>
      <c r="D269" s="47" t="s">
        <v>1509</v>
      </c>
      <c r="E269" s="30">
        <v>3990.0</v>
      </c>
      <c r="F269" s="30">
        <v>3034.0</v>
      </c>
      <c r="G269" s="30">
        <v>0.0</v>
      </c>
      <c r="H269" s="30">
        <v>0.0</v>
      </c>
      <c r="I269" s="30">
        <v>592.515</v>
      </c>
      <c r="J269" s="30">
        <v>0.0</v>
      </c>
      <c r="K269" s="30">
        <v>0.0</v>
      </c>
      <c r="L269" s="30">
        <v>0.0</v>
      </c>
      <c r="M269" s="30">
        <v>0.0</v>
      </c>
      <c r="N269" s="30">
        <v>665.0</v>
      </c>
      <c r="O269" s="30">
        <v>-301.515</v>
      </c>
      <c r="P269" s="30">
        <v>-7.556766917293232</v>
      </c>
      <c r="Q269" s="30">
        <v>-9.068120300751879</v>
      </c>
    </row>
    <row r="270">
      <c r="A270" s="47">
        <v>1.1241683747E10</v>
      </c>
      <c r="B270" s="48">
        <v>46159.011030092595</v>
      </c>
      <c r="C270" s="30">
        <v>3.855431757E9</v>
      </c>
      <c r="D270" s="47" t="s">
        <v>1509</v>
      </c>
      <c r="E270" s="30">
        <v>1284.0</v>
      </c>
      <c r="F270" s="30">
        <v>1190.0</v>
      </c>
      <c r="G270" s="30">
        <v>0.0</v>
      </c>
      <c r="H270" s="30">
        <v>0.0</v>
      </c>
      <c r="I270" s="30">
        <v>34.668</v>
      </c>
      <c r="J270" s="30">
        <v>0.0</v>
      </c>
      <c r="K270" s="30">
        <v>0.0</v>
      </c>
      <c r="L270" s="30">
        <v>0.0</v>
      </c>
      <c r="M270" s="30">
        <v>0.0</v>
      </c>
      <c r="N270" s="30">
        <v>214.0</v>
      </c>
      <c r="O270" s="30">
        <v>-154.668</v>
      </c>
      <c r="P270" s="30">
        <v>-12.045794392523366</v>
      </c>
      <c r="Q270" s="30">
        <v>-14.454953271028037</v>
      </c>
    </row>
    <row r="271">
      <c r="A271" s="47">
        <v>1.1243070699E10</v>
      </c>
      <c r="B271" s="48">
        <v>46159.65550925926</v>
      </c>
      <c r="C271" s="30">
        <v>3.856655068E9</v>
      </c>
      <c r="D271" s="47" t="s">
        <v>1509</v>
      </c>
      <c r="E271" s="30">
        <v>1282.0</v>
      </c>
      <c r="F271" s="30">
        <v>1190.0</v>
      </c>
      <c r="G271" s="30">
        <v>0.0</v>
      </c>
      <c r="H271" s="30">
        <v>0.0</v>
      </c>
      <c r="I271" s="30">
        <v>34.614000000000004</v>
      </c>
      <c r="J271" s="30">
        <v>0.0</v>
      </c>
      <c r="K271" s="30">
        <v>0.0</v>
      </c>
      <c r="L271" s="30">
        <v>0.0</v>
      </c>
      <c r="M271" s="30">
        <v>0.0</v>
      </c>
      <c r="N271" s="30">
        <v>213.66666666666652</v>
      </c>
      <c r="O271" s="30">
        <v>-156.28066666666652</v>
      </c>
      <c r="P271" s="30">
        <v>-12.190379615184597</v>
      </c>
      <c r="Q271" s="30">
        <v>-14.628455538221512</v>
      </c>
    </row>
    <row r="272">
      <c r="A272" s="47">
        <v>1.1243677201E10</v>
      </c>
      <c r="B272" s="48">
        <v>46159.77912037037</v>
      </c>
      <c r="C272" s="30">
        <v>3.857132526E9</v>
      </c>
      <c r="D272" s="47" t="s">
        <v>1509</v>
      </c>
      <c r="E272" s="30">
        <v>1262.9</v>
      </c>
      <c r="F272" s="30">
        <v>1160.0</v>
      </c>
      <c r="G272" s="30">
        <v>0.0</v>
      </c>
      <c r="H272" s="30">
        <v>0.0</v>
      </c>
      <c r="I272" s="30">
        <v>56.8305</v>
      </c>
      <c r="J272" s="30">
        <v>0.0</v>
      </c>
      <c r="K272" s="30">
        <v>0.0</v>
      </c>
      <c r="L272" s="30">
        <v>0.0</v>
      </c>
      <c r="M272" s="30">
        <v>0.0</v>
      </c>
      <c r="N272" s="30">
        <v>210.48333333333335</v>
      </c>
      <c r="O272" s="30">
        <v>-164.41383333333326</v>
      </c>
      <c r="P272" s="30">
        <v>-13.018753134320473</v>
      </c>
      <c r="Q272" s="30">
        <v>-15.622503761184566</v>
      </c>
    </row>
    <row r="273">
      <c r="A273" s="47">
        <v>1.1240553663E10</v>
      </c>
      <c r="B273" s="48">
        <v>46158.781006944446</v>
      </c>
      <c r="C273" s="30">
        <v>3.854646225E9</v>
      </c>
      <c r="D273" s="47" t="s">
        <v>1509</v>
      </c>
      <c r="E273" s="30">
        <v>1286.0</v>
      </c>
      <c r="F273" s="30">
        <v>1190.0</v>
      </c>
      <c r="G273" s="30">
        <v>0.0</v>
      </c>
      <c r="H273" s="30">
        <v>0.0</v>
      </c>
      <c r="I273" s="30">
        <v>34.722</v>
      </c>
      <c r="J273" s="30">
        <v>0.0</v>
      </c>
      <c r="K273" s="30">
        <v>0.0</v>
      </c>
      <c r="L273" s="30">
        <v>0.0</v>
      </c>
      <c r="M273" s="30">
        <v>0.0</v>
      </c>
      <c r="N273" s="30">
        <v>214.33333333333326</v>
      </c>
      <c r="O273" s="30">
        <v>-153.05533333333327</v>
      </c>
      <c r="P273" s="30">
        <v>-11.901658890616895</v>
      </c>
      <c r="Q273" s="30">
        <v>-14.28199066874027</v>
      </c>
    </row>
    <row r="274">
      <c r="A274" s="47">
        <v>1.1249610717E10</v>
      </c>
      <c r="B274" s="48">
        <v>46161.62373842593</v>
      </c>
      <c r="C274" s="30">
        <v>3.862211017E9</v>
      </c>
      <c r="D274" s="47" t="s">
        <v>1508</v>
      </c>
      <c r="E274" s="30">
        <v>2200.0</v>
      </c>
      <c r="F274" s="30">
        <v>1600.0</v>
      </c>
      <c r="G274" s="30">
        <v>0.0</v>
      </c>
      <c r="H274" s="30">
        <v>0.0</v>
      </c>
      <c r="I274" s="30">
        <v>0.0</v>
      </c>
      <c r="J274" s="30">
        <v>0.0</v>
      </c>
      <c r="K274" s="30">
        <v>0.0</v>
      </c>
      <c r="L274" s="30">
        <v>0.0</v>
      </c>
      <c r="M274" s="30">
        <v>0.0</v>
      </c>
      <c r="N274" s="30">
        <v>366.6666666666665</v>
      </c>
      <c r="O274" s="30">
        <v>233.33333333333348</v>
      </c>
      <c r="P274" s="30">
        <v>10.606060606060613</v>
      </c>
      <c r="Q274" s="30">
        <v>12.727272727272734</v>
      </c>
    </row>
    <row r="275">
      <c r="A275" s="47">
        <v>1.1239964759E10</v>
      </c>
      <c r="B275" s="48">
        <v>46158.659895833334</v>
      </c>
      <c r="C275" s="30">
        <v>3.854176268E9</v>
      </c>
      <c r="D275" s="47" t="s">
        <v>1509</v>
      </c>
      <c r="E275" s="30">
        <v>1288.0</v>
      </c>
      <c r="F275" s="30">
        <v>1190.0</v>
      </c>
      <c r="G275" s="30">
        <v>0.0</v>
      </c>
      <c r="H275" s="30">
        <v>0.0</v>
      </c>
      <c r="I275" s="30">
        <v>34.776</v>
      </c>
      <c r="J275" s="30">
        <v>0.0</v>
      </c>
      <c r="K275" s="30">
        <v>0.0</v>
      </c>
      <c r="L275" s="30">
        <v>0.0</v>
      </c>
      <c r="M275" s="30">
        <v>0.0</v>
      </c>
      <c r="N275" s="30">
        <v>214.66666666666652</v>
      </c>
      <c r="O275" s="30">
        <v>-151.44266666666653</v>
      </c>
      <c r="P275" s="30">
        <v>-11.757971014492743</v>
      </c>
      <c r="Q275" s="30">
        <v>-14.10956521739129</v>
      </c>
    </row>
    <row r="276">
      <c r="A276" s="47">
        <v>1.12396603E10</v>
      </c>
      <c r="B276" s="48">
        <v>46158.58783564815</v>
      </c>
      <c r="C276" s="30">
        <v>3.853908626E9</v>
      </c>
      <c r="D276" s="47" t="s">
        <v>1509</v>
      </c>
      <c r="E276" s="30">
        <v>3239.0</v>
      </c>
      <c r="F276" s="30">
        <v>1368.6</v>
      </c>
      <c r="G276" s="30">
        <v>0.0</v>
      </c>
      <c r="H276" s="30">
        <v>0.0</v>
      </c>
      <c r="I276" s="30">
        <v>372.303</v>
      </c>
      <c r="J276" s="30">
        <v>0.0</v>
      </c>
      <c r="K276" s="30">
        <v>0.0</v>
      </c>
      <c r="L276" s="30">
        <v>0.0</v>
      </c>
      <c r="M276" s="30">
        <v>0.0</v>
      </c>
      <c r="N276" s="30">
        <v>539.833333333333</v>
      </c>
      <c r="O276" s="30">
        <v>958.2636666666672</v>
      </c>
      <c r="P276" s="30">
        <v>29.585170320057646</v>
      </c>
      <c r="Q276" s="30">
        <v>35.502204384069174</v>
      </c>
    </row>
    <row r="277">
      <c r="A277" s="47">
        <v>1.1241604179E10</v>
      </c>
      <c r="B277" s="48">
        <v>46158.99527777778</v>
      </c>
      <c r="C277" s="30">
        <v>3.855370868E9</v>
      </c>
      <c r="D277" s="47" t="s">
        <v>1509</v>
      </c>
      <c r="E277" s="30">
        <v>1633.99</v>
      </c>
      <c r="F277" s="30">
        <v>1296.0</v>
      </c>
      <c r="G277" s="30">
        <v>0.0</v>
      </c>
      <c r="H277" s="30">
        <v>0.0</v>
      </c>
      <c r="I277" s="30">
        <v>97.6662</v>
      </c>
      <c r="J277" s="30">
        <v>0.0</v>
      </c>
      <c r="K277" s="30">
        <v>0.0</v>
      </c>
      <c r="L277" s="30">
        <v>0.0</v>
      </c>
      <c r="M277" s="30">
        <v>0.0</v>
      </c>
      <c r="N277" s="30">
        <v>272.33166666666665</v>
      </c>
      <c r="O277" s="30">
        <v>-32.007866666666644</v>
      </c>
      <c r="P277" s="30">
        <v>-1.9588777573098146</v>
      </c>
      <c r="Q277" s="30">
        <v>-2.350653308771778</v>
      </c>
    </row>
    <row r="278">
      <c r="A278" s="47">
        <v>1.1242200703E10</v>
      </c>
      <c r="B278" s="48">
        <v>46159.12284722222</v>
      </c>
      <c r="C278" s="30">
        <v>3.855884218E9</v>
      </c>
      <c r="D278" s="47" t="s">
        <v>1509</v>
      </c>
      <c r="E278" s="30">
        <v>1640.0</v>
      </c>
      <c r="F278" s="30">
        <v>1228.0</v>
      </c>
      <c r="G278" s="30">
        <v>0.0</v>
      </c>
      <c r="H278" s="30">
        <v>0.0</v>
      </c>
      <c r="I278" s="30">
        <v>199.26</v>
      </c>
      <c r="J278" s="30">
        <v>0.0</v>
      </c>
      <c r="K278" s="30">
        <v>0.0</v>
      </c>
      <c r="L278" s="30">
        <v>0.0</v>
      </c>
      <c r="M278" s="30">
        <v>0.0</v>
      </c>
      <c r="N278" s="30">
        <v>273.33333333333326</v>
      </c>
      <c r="O278" s="30">
        <v>-60.59333333333325</v>
      </c>
      <c r="P278" s="30">
        <v>-3.694715447154466</v>
      </c>
      <c r="Q278" s="30">
        <v>-4.43365853658536</v>
      </c>
    </row>
    <row r="279">
      <c r="A279" s="47">
        <v>1.1249596933E10</v>
      </c>
      <c r="B279" s="48">
        <v>46161.620405092595</v>
      </c>
      <c r="C279" s="30">
        <v>3.862198971E9</v>
      </c>
      <c r="D279" s="47" t="s">
        <v>1508</v>
      </c>
      <c r="E279" s="30">
        <v>855.0</v>
      </c>
      <c r="F279" s="30">
        <v>0.0</v>
      </c>
      <c r="G279" s="30">
        <v>0.0</v>
      </c>
      <c r="H279" s="30">
        <v>0.0</v>
      </c>
      <c r="I279" s="30">
        <v>0.0</v>
      </c>
      <c r="J279" s="30">
        <v>0.0</v>
      </c>
      <c r="K279" s="30">
        <v>0.0</v>
      </c>
      <c r="L279" s="30">
        <v>0.0</v>
      </c>
      <c r="M279" s="30">
        <v>0.0</v>
      </c>
      <c r="N279" s="30">
        <v>142.5</v>
      </c>
      <c r="O279" s="30">
        <v>712.5</v>
      </c>
      <c r="P279" s="30">
        <v>83.33333333333334</v>
      </c>
      <c r="Q279" s="30">
        <v>100.0</v>
      </c>
    </row>
    <row r="280">
      <c r="A280" s="47">
        <v>1.1240597657E10</v>
      </c>
      <c r="B280" s="48">
        <v>46158.79023148148</v>
      </c>
      <c r="C280" s="30">
        <v>3.854680493E9</v>
      </c>
      <c r="D280" s="47" t="s">
        <v>1509</v>
      </c>
      <c r="E280" s="30">
        <v>1536.0</v>
      </c>
      <c r="F280" s="30">
        <v>1160.0</v>
      </c>
      <c r="G280" s="30">
        <v>0.0</v>
      </c>
      <c r="H280" s="30">
        <v>0.0</v>
      </c>
      <c r="I280" s="30">
        <v>76.03200000000001</v>
      </c>
      <c r="J280" s="30">
        <v>0.0</v>
      </c>
      <c r="K280" s="30">
        <v>0.0</v>
      </c>
      <c r="L280" s="30">
        <v>0.0</v>
      </c>
      <c r="M280" s="30">
        <v>0.0</v>
      </c>
      <c r="N280" s="30">
        <v>256.0</v>
      </c>
      <c r="O280" s="30">
        <v>43.96799999999996</v>
      </c>
      <c r="P280" s="30">
        <v>2.862499999999997</v>
      </c>
      <c r="Q280" s="30">
        <v>3.434999999999997</v>
      </c>
    </row>
    <row r="281">
      <c r="A281" s="47">
        <v>1.1239906023E10</v>
      </c>
      <c r="B281" s="48">
        <v>46158.64712962963</v>
      </c>
      <c r="C281" s="30">
        <v>3.854124986E9</v>
      </c>
      <c r="D281" s="47" t="s">
        <v>1513</v>
      </c>
      <c r="E281" s="30">
        <v>729.0</v>
      </c>
      <c r="F281" s="30">
        <v>580.0</v>
      </c>
      <c r="G281" s="30">
        <v>0.0</v>
      </c>
      <c r="H281" s="30">
        <v>0.0</v>
      </c>
      <c r="I281" s="30">
        <v>36.0855</v>
      </c>
      <c r="J281" s="30">
        <v>0.0</v>
      </c>
      <c r="K281" s="30">
        <v>0.0</v>
      </c>
      <c r="L281" s="30">
        <v>0.0</v>
      </c>
      <c r="M281" s="30">
        <v>0.0</v>
      </c>
      <c r="N281" s="30">
        <v>121.5</v>
      </c>
      <c r="O281" s="30">
        <v>-8.585499999999996</v>
      </c>
      <c r="P281" s="30">
        <v>-1.177709190672153</v>
      </c>
      <c r="Q281" s="30">
        <v>-1.4132510288065838</v>
      </c>
    </row>
    <row r="282">
      <c r="A282" s="47">
        <v>1.1243244208E10</v>
      </c>
      <c r="B282" s="48">
        <v>46159.69180555556</v>
      </c>
      <c r="C282" s="30">
        <v>3.856800663E9</v>
      </c>
      <c r="D282" s="47" t="s">
        <v>1509</v>
      </c>
      <c r="E282" s="30">
        <v>855.0</v>
      </c>
      <c r="F282" s="30">
        <v>0.0</v>
      </c>
      <c r="G282" s="30">
        <v>0.0</v>
      </c>
      <c r="H282" s="30">
        <v>0.0</v>
      </c>
      <c r="I282" s="30">
        <v>96.1875</v>
      </c>
      <c r="J282" s="30">
        <v>0.0</v>
      </c>
      <c r="K282" s="30">
        <v>0.0</v>
      </c>
      <c r="L282" s="30">
        <v>0.0</v>
      </c>
      <c r="M282" s="30">
        <v>0.0</v>
      </c>
      <c r="N282" s="30">
        <v>142.5</v>
      </c>
      <c r="O282" s="30">
        <v>616.3125</v>
      </c>
      <c r="P282" s="30">
        <v>72.08333333333333</v>
      </c>
      <c r="Q282" s="30">
        <v>86.5</v>
      </c>
    </row>
    <row r="283">
      <c r="A283" s="47">
        <v>1.1240842579E10</v>
      </c>
      <c r="B283" s="48">
        <v>46158.841631944444</v>
      </c>
      <c r="C283" s="30">
        <v>3.854857507E9</v>
      </c>
      <c r="D283" s="47" t="s">
        <v>1509</v>
      </c>
      <c r="E283" s="30">
        <v>2562.0</v>
      </c>
      <c r="F283" s="30">
        <v>1686.5</v>
      </c>
      <c r="G283" s="30">
        <v>0.0</v>
      </c>
      <c r="H283" s="30">
        <v>0.0</v>
      </c>
      <c r="I283" s="30">
        <v>205.96229999999997</v>
      </c>
      <c r="J283" s="30">
        <v>0.0</v>
      </c>
      <c r="K283" s="30">
        <v>0.0</v>
      </c>
      <c r="L283" s="30">
        <v>0.0</v>
      </c>
      <c r="M283" s="30">
        <v>0.0</v>
      </c>
      <c r="N283" s="30">
        <v>426.99999999999983</v>
      </c>
      <c r="O283" s="30">
        <v>242.53770000000026</v>
      </c>
      <c r="P283" s="30">
        <v>9.466733021077294</v>
      </c>
      <c r="Q283" s="30">
        <v>11.360079625292752</v>
      </c>
    </row>
    <row r="284">
      <c r="A284" s="47">
        <v>1.1245853712E10</v>
      </c>
      <c r="B284" s="48">
        <v>46160.44023148148</v>
      </c>
      <c r="C284" s="30">
        <v>3.858916273E9</v>
      </c>
      <c r="D284" s="47" t="s">
        <v>1509</v>
      </c>
      <c r="E284" s="30">
        <v>768.0</v>
      </c>
      <c r="F284" s="30">
        <v>580.0</v>
      </c>
      <c r="G284" s="30">
        <v>0.0</v>
      </c>
      <c r="H284" s="30">
        <v>0.0</v>
      </c>
      <c r="I284" s="30">
        <v>38.016000000000005</v>
      </c>
      <c r="J284" s="30">
        <v>0.0</v>
      </c>
      <c r="K284" s="30">
        <v>0.0</v>
      </c>
      <c r="L284" s="30">
        <v>0.0</v>
      </c>
      <c r="M284" s="30">
        <v>0.0</v>
      </c>
      <c r="N284" s="30">
        <v>128.0</v>
      </c>
      <c r="O284" s="30">
        <v>21.98399999999998</v>
      </c>
      <c r="P284" s="30">
        <v>2.862499999999997</v>
      </c>
      <c r="Q284" s="30">
        <v>3.434999999999997</v>
      </c>
    </row>
    <row r="285">
      <c r="A285" s="47">
        <v>1.1243905599E10</v>
      </c>
      <c r="B285" s="48">
        <v>46159.823645833334</v>
      </c>
      <c r="C285" s="30">
        <v>3.857294187E9</v>
      </c>
      <c r="D285" s="47" t="s">
        <v>1509</v>
      </c>
      <c r="E285" s="30">
        <v>1281.0</v>
      </c>
      <c r="F285" s="30">
        <v>1190.0</v>
      </c>
      <c r="G285" s="30">
        <v>0.0</v>
      </c>
      <c r="H285" s="30">
        <v>0.0</v>
      </c>
      <c r="I285" s="30">
        <v>34.587</v>
      </c>
      <c r="J285" s="30">
        <v>0.0</v>
      </c>
      <c r="K285" s="30">
        <v>0.0</v>
      </c>
      <c r="L285" s="30">
        <v>0.0</v>
      </c>
      <c r="M285" s="30">
        <v>0.0</v>
      </c>
      <c r="N285" s="30">
        <v>213.5</v>
      </c>
      <c r="O285" s="30">
        <v>-157.087</v>
      </c>
      <c r="P285" s="30">
        <v>-12.262841530054644</v>
      </c>
      <c r="Q285" s="30">
        <v>-14.715409836065573</v>
      </c>
    </row>
    <row r="286">
      <c r="A286" s="47">
        <v>1.1245906372E10</v>
      </c>
      <c r="B286" s="48">
        <v>46160.485671296294</v>
      </c>
      <c r="C286" s="30">
        <v>3.858979448E9</v>
      </c>
      <c r="D286" s="47" t="s">
        <v>1509</v>
      </c>
      <c r="E286" s="30">
        <v>729.0</v>
      </c>
      <c r="F286" s="30">
        <v>580.0</v>
      </c>
      <c r="G286" s="30">
        <v>0.0</v>
      </c>
      <c r="H286" s="30">
        <v>0.0</v>
      </c>
      <c r="I286" s="30">
        <v>32.148900000000005</v>
      </c>
      <c r="J286" s="30">
        <v>0.0</v>
      </c>
      <c r="K286" s="30">
        <v>0.0</v>
      </c>
      <c r="L286" s="30">
        <v>0.0</v>
      </c>
      <c r="M286" s="30">
        <v>0.0</v>
      </c>
      <c r="N286" s="30">
        <v>121.5</v>
      </c>
      <c r="O286" s="30">
        <v>-4.648899999999998</v>
      </c>
      <c r="P286" s="30">
        <v>-0.6377091906721534</v>
      </c>
      <c r="Q286" s="30">
        <v>-0.765251028806584</v>
      </c>
    </row>
    <row r="287">
      <c r="A287" s="47">
        <v>1.1240579209E10</v>
      </c>
      <c r="B287" s="48">
        <v>46158.78612268518</v>
      </c>
      <c r="C287" s="30">
        <v>3.854665969E9</v>
      </c>
      <c r="D287" s="47" t="s">
        <v>1509</v>
      </c>
      <c r="E287" s="30">
        <v>2015.0</v>
      </c>
      <c r="F287" s="30">
        <v>1770.0</v>
      </c>
      <c r="G287" s="30">
        <v>0.0</v>
      </c>
      <c r="H287" s="30">
        <v>0.0</v>
      </c>
      <c r="I287" s="30">
        <v>70.8075</v>
      </c>
      <c r="J287" s="30">
        <v>0.0</v>
      </c>
      <c r="K287" s="30">
        <v>0.0</v>
      </c>
      <c r="L287" s="30">
        <v>0.0</v>
      </c>
      <c r="M287" s="30">
        <v>0.0</v>
      </c>
      <c r="N287" s="30">
        <v>335.83333333333326</v>
      </c>
      <c r="O287" s="30">
        <v>-161.64083333333326</v>
      </c>
      <c r="P287" s="30">
        <v>-8.021877584780807</v>
      </c>
      <c r="Q287" s="30">
        <v>-9.626253101736967</v>
      </c>
    </row>
    <row r="288">
      <c r="A288" s="47">
        <v>1.1239401376E10</v>
      </c>
      <c r="B288" s="48">
        <v>46158.4874537037</v>
      </c>
      <c r="C288" s="30">
        <v>3.853660503E9</v>
      </c>
      <c r="D288" s="47" t="s">
        <v>1509</v>
      </c>
      <c r="E288" s="30">
        <v>729.0</v>
      </c>
      <c r="F288" s="30">
        <v>580.0</v>
      </c>
      <c r="G288" s="30">
        <v>0.0</v>
      </c>
      <c r="H288" s="30">
        <v>0.0</v>
      </c>
      <c r="I288" s="30">
        <v>32.148900000000005</v>
      </c>
      <c r="J288" s="30">
        <v>0.0</v>
      </c>
      <c r="K288" s="30">
        <v>0.0</v>
      </c>
      <c r="L288" s="30">
        <v>0.0</v>
      </c>
      <c r="M288" s="30">
        <v>0.0</v>
      </c>
      <c r="N288" s="30">
        <v>121.5</v>
      </c>
      <c r="O288" s="30">
        <v>-4.648899999999998</v>
      </c>
      <c r="P288" s="30">
        <v>-0.6377091906721534</v>
      </c>
      <c r="Q288" s="30">
        <v>-0.765251028806584</v>
      </c>
    </row>
    <row r="289">
      <c r="A289" s="47">
        <v>1.1249557827E10</v>
      </c>
      <c r="B289" s="48">
        <v>46161.611134259256</v>
      </c>
      <c r="C289" s="30">
        <v>3.862170406E9</v>
      </c>
      <c r="D289" s="47" t="s">
        <v>1508</v>
      </c>
      <c r="E289" s="30">
        <v>1199.0</v>
      </c>
      <c r="F289" s="30">
        <v>792.0</v>
      </c>
      <c r="G289" s="30">
        <v>0.0</v>
      </c>
      <c r="H289" s="30">
        <v>0.0</v>
      </c>
      <c r="I289" s="30">
        <v>0.0</v>
      </c>
      <c r="J289" s="30">
        <v>0.0</v>
      </c>
      <c r="K289" s="30">
        <v>0.0</v>
      </c>
      <c r="L289" s="30">
        <v>0.0</v>
      </c>
      <c r="M289" s="30">
        <v>0.0</v>
      </c>
      <c r="N289" s="30">
        <v>199.83333333333326</v>
      </c>
      <c r="O289" s="30">
        <v>207.16666666666674</v>
      </c>
      <c r="P289" s="30">
        <v>17.278287461773704</v>
      </c>
      <c r="Q289" s="30">
        <v>20.733944954128447</v>
      </c>
    </row>
    <row r="290">
      <c r="A290" s="47">
        <v>1.1240993471E10</v>
      </c>
      <c r="B290" s="48">
        <v>46158.87233796297</v>
      </c>
      <c r="C290" s="30">
        <v>3.854957948E9</v>
      </c>
      <c r="D290" s="47" t="s">
        <v>1509</v>
      </c>
      <c r="E290" s="30">
        <v>729.0</v>
      </c>
      <c r="F290" s="30">
        <v>580.0</v>
      </c>
      <c r="G290" s="30">
        <v>0.0</v>
      </c>
      <c r="H290" s="30">
        <v>0.0</v>
      </c>
      <c r="I290" s="30">
        <v>32.148900000000005</v>
      </c>
      <c r="J290" s="30">
        <v>0.0</v>
      </c>
      <c r="K290" s="30">
        <v>0.0</v>
      </c>
      <c r="L290" s="30">
        <v>0.0</v>
      </c>
      <c r="M290" s="30">
        <v>0.0</v>
      </c>
      <c r="N290" s="30">
        <v>121.5</v>
      </c>
      <c r="O290" s="30">
        <v>-4.648899999999998</v>
      </c>
      <c r="P290" s="30">
        <v>-0.6377091906721534</v>
      </c>
      <c r="Q290" s="30">
        <v>-0.765251028806584</v>
      </c>
    </row>
    <row r="291">
      <c r="A291" s="47">
        <v>1.1243189171E10</v>
      </c>
      <c r="B291" s="48">
        <v>46159.68056712963</v>
      </c>
      <c r="C291" s="30">
        <v>3.856754157E9</v>
      </c>
      <c r="D291" s="47" t="s">
        <v>1509</v>
      </c>
      <c r="E291" s="30">
        <v>729.0</v>
      </c>
      <c r="F291" s="30">
        <v>580.0</v>
      </c>
      <c r="G291" s="30">
        <v>0.0</v>
      </c>
      <c r="H291" s="30">
        <v>0.0</v>
      </c>
      <c r="I291" s="30">
        <v>32.148900000000005</v>
      </c>
      <c r="J291" s="30">
        <v>0.0</v>
      </c>
      <c r="K291" s="30">
        <v>0.0</v>
      </c>
      <c r="L291" s="30">
        <v>0.0</v>
      </c>
      <c r="M291" s="30">
        <v>0.0</v>
      </c>
      <c r="N291" s="30">
        <v>121.5</v>
      </c>
      <c r="O291" s="30">
        <v>-4.648899999999998</v>
      </c>
      <c r="P291" s="30">
        <v>-0.6377091906721534</v>
      </c>
      <c r="Q291" s="30">
        <v>-0.765251028806584</v>
      </c>
    </row>
    <row r="292">
      <c r="A292" s="47">
        <v>1.1242753452E10</v>
      </c>
      <c r="B292" s="48">
        <v>46159.574016203704</v>
      </c>
      <c r="C292" s="30">
        <v>3.856393155E9</v>
      </c>
      <c r="D292" s="47" t="s">
        <v>1509</v>
      </c>
      <c r="E292" s="30">
        <v>729.0</v>
      </c>
      <c r="F292" s="30">
        <v>580.0</v>
      </c>
      <c r="G292" s="30">
        <v>0.0</v>
      </c>
      <c r="H292" s="30">
        <v>0.0</v>
      </c>
      <c r="I292" s="30">
        <v>32.148900000000005</v>
      </c>
      <c r="J292" s="30">
        <v>0.0</v>
      </c>
      <c r="K292" s="30">
        <v>0.0</v>
      </c>
      <c r="L292" s="30">
        <v>0.0</v>
      </c>
      <c r="M292" s="30">
        <v>0.0</v>
      </c>
      <c r="N292" s="30">
        <v>121.5</v>
      </c>
      <c r="O292" s="30">
        <v>-4.648899999999998</v>
      </c>
      <c r="P292" s="30">
        <v>-0.6377091906721534</v>
      </c>
      <c r="Q292" s="30">
        <v>-0.765251028806584</v>
      </c>
    </row>
    <row r="293">
      <c r="A293" s="47">
        <v>1.1242405492E10</v>
      </c>
      <c r="B293" s="48">
        <v>46159.19380787037</v>
      </c>
      <c r="C293" s="30">
        <v>3.856067174E9</v>
      </c>
      <c r="D293" s="47" t="s">
        <v>1509</v>
      </c>
      <c r="E293" s="30">
        <v>729.0</v>
      </c>
      <c r="F293" s="30">
        <v>580.0</v>
      </c>
      <c r="G293" s="30">
        <v>0.0</v>
      </c>
      <c r="H293" s="30">
        <v>0.0</v>
      </c>
      <c r="I293" s="30">
        <v>32.148900000000005</v>
      </c>
      <c r="J293" s="30">
        <v>0.0</v>
      </c>
      <c r="K293" s="30">
        <v>0.0</v>
      </c>
      <c r="L293" s="30">
        <v>0.0</v>
      </c>
      <c r="M293" s="30">
        <v>0.0</v>
      </c>
      <c r="N293" s="30">
        <v>121.5</v>
      </c>
      <c r="O293" s="30">
        <v>-4.648899999999998</v>
      </c>
      <c r="P293" s="30">
        <v>-0.6377091906721534</v>
      </c>
      <c r="Q293" s="30">
        <v>-0.765251028806584</v>
      </c>
    </row>
    <row r="294">
      <c r="A294" s="47">
        <v>1.1244749603E10</v>
      </c>
      <c r="B294" s="48">
        <v>46159.97828703704</v>
      </c>
      <c r="C294" s="30">
        <v>3.857867231E9</v>
      </c>
      <c r="D294" s="47" t="s">
        <v>1509</v>
      </c>
      <c r="E294" s="30">
        <v>729.0</v>
      </c>
      <c r="F294" s="30">
        <v>580.0</v>
      </c>
      <c r="G294" s="30">
        <v>0.0</v>
      </c>
      <c r="H294" s="30">
        <v>0.0</v>
      </c>
      <c r="I294" s="30">
        <v>36.0855</v>
      </c>
      <c r="J294" s="30">
        <v>0.0</v>
      </c>
      <c r="K294" s="30">
        <v>0.0</v>
      </c>
      <c r="L294" s="30">
        <v>0.0</v>
      </c>
      <c r="M294" s="30">
        <v>0.0</v>
      </c>
      <c r="N294" s="30">
        <v>121.5</v>
      </c>
      <c r="O294" s="30">
        <v>-8.585499999999996</v>
      </c>
      <c r="P294" s="30">
        <v>-1.177709190672153</v>
      </c>
      <c r="Q294" s="30">
        <v>-1.4132510288065838</v>
      </c>
    </row>
    <row r="295">
      <c r="A295" s="47">
        <v>1.1235140289E10</v>
      </c>
      <c r="B295" s="48">
        <v>46156.985081018516</v>
      </c>
      <c r="C295" s="30">
        <v>3.849872618E9</v>
      </c>
      <c r="D295" s="47" t="s">
        <v>1509</v>
      </c>
      <c r="E295" s="30">
        <v>1297.9</v>
      </c>
      <c r="F295" s="30">
        <v>1190.0</v>
      </c>
      <c r="G295" s="30">
        <v>0.0</v>
      </c>
      <c r="H295" s="30">
        <v>0.0</v>
      </c>
      <c r="I295" s="30">
        <v>35.0433</v>
      </c>
      <c r="J295" s="30">
        <v>0.0</v>
      </c>
      <c r="K295" s="30">
        <v>0.0</v>
      </c>
      <c r="L295" s="30">
        <v>0.0</v>
      </c>
      <c r="M295" s="30">
        <v>0.0</v>
      </c>
      <c r="N295" s="30">
        <v>216.3166666666666</v>
      </c>
      <c r="O295" s="30">
        <v>-143.4599666666665</v>
      </c>
      <c r="P295" s="30">
        <v>-11.053237280735534</v>
      </c>
      <c r="Q295" s="30">
        <v>-13.26388473688264</v>
      </c>
    </row>
    <row r="296">
      <c r="A296" s="47">
        <v>1.1245962389E10</v>
      </c>
      <c r="B296" s="48">
        <v>46160.5128125</v>
      </c>
      <c r="C296" s="30">
        <v>3.85904302E9</v>
      </c>
      <c r="D296" s="47" t="s">
        <v>1509</v>
      </c>
      <c r="E296" s="30">
        <v>3645.0</v>
      </c>
      <c r="F296" s="30">
        <v>2900.0</v>
      </c>
      <c r="G296" s="30">
        <v>0.0</v>
      </c>
      <c r="H296" s="30">
        <v>0.0</v>
      </c>
      <c r="I296" s="30">
        <v>180.4275</v>
      </c>
      <c r="J296" s="30">
        <v>0.0</v>
      </c>
      <c r="K296" s="30">
        <v>0.0</v>
      </c>
      <c r="L296" s="30">
        <v>0.0</v>
      </c>
      <c r="M296" s="30">
        <v>0.0</v>
      </c>
      <c r="N296" s="30">
        <v>607.5</v>
      </c>
      <c r="O296" s="30">
        <v>-42.92750000000001</v>
      </c>
      <c r="P296" s="30">
        <v>-1.1777091906721537</v>
      </c>
      <c r="Q296" s="30">
        <v>-1.4132510288065847</v>
      </c>
    </row>
    <row r="297">
      <c r="A297" s="47">
        <v>1.1249533485E10</v>
      </c>
      <c r="B297" s="48">
        <v>46161.60530092593</v>
      </c>
      <c r="C297" s="30">
        <v>3.862144441E9</v>
      </c>
      <c r="D297" s="47" t="s">
        <v>1508</v>
      </c>
      <c r="E297" s="30">
        <v>1200.0</v>
      </c>
      <c r="F297" s="30">
        <v>800.0</v>
      </c>
      <c r="G297" s="30">
        <v>0.0</v>
      </c>
      <c r="H297" s="30">
        <v>0.0</v>
      </c>
      <c r="I297" s="30">
        <v>174.0</v>
      </c>
      <c r="J297" s="30">
        <v>0.0</v>
      </c>
      <c r="K297" s="30">
        <v>0.0</v>
      </c>
      <c r="L297" s="30">
        <v>0.0</v>
      </c>
      <c r="M297" s="30">
        <v>0.0</v>
      </c>
      <c r="N297" s="30">
        <v>200.0</v>
      </c>
      <c r="O297" s="30">
        <v>26.0</v>
      </c>
      <c r="P297" s="30">
        <v>2.166666666666667</v>
      </c>
      <c r="Q297" s="30">
        <v>2.6</v>
      </c>
    </row>
    <row r="298">
      <c r="A298" s="47">
        <v>1.1241836361E10</v>
      </c>
      <c r="B298" s="48">
        <v>46159.04179398148</v>
      </c>
      <c r="C298" s="30">
        <v>3.855558603E9</v>
      </c>
      <c r="D298" s="47" t="s">
        <v>1509</v>
      </c>
      <c r="E298" s="30">
        <v>729.0</v>
      </c>
      <c r="F298" s="30">
        <v>580.0</v>
      </c>
      <c r="G298" s="30">
        <v>0.0</v>
      </c>
      <c r="H298" s="30">
        <v>0.0</v>
      </c>
      <c r="I298" s="30">
        <v>36.0855</v>
      </c>
      <c r="J298" s="30">
        <v>0.0</v>
      </c>
      <c r="K298" s="30">
        <v>0.0</v>
      </c>
      <c r="L298" s="30">
        <v>0.0</v>
      </c>
      <c r="M298" s="30">
        <v>0.0</v>
      </c>
      <c r="N298" s="30">
        <v>121.5</v>
      </c>
      <c r="O298" s="30">
        <v>-8.585499999999996</v>
      </c>
      <c r="P298" s="30">
        <v>-1.177709190672153</v>
      </c>
      <c r="Q298" s="30">
        <v>-1.4132510288065838</v>
      </c>
    </row>
    <row r="299">
      <c r="A299" s="47">
        <v>1.1235881775E10</v>
      </c>
      <c r="B299" s="48">
        <v>46157.16496527778</v>
      </c>
      <c r="C299" s="30">
        <v>3.850584451E9</v>
      </c>
      <c r="D299" s="47" t="s">
        <v>1509</v>
      </c>
      <c r="E299" s="30">
        <v>1295.9</v>
      </c>
      <c r="F299" s="30">
        <v>1190.0</v>
      </c>
      <c r="G299" s="30">
        <v>0.0</v>
      </c>
      <c r="H299" s="30">
        <v>0.0</v>
      </c>
      <c r="I299" s="30">
        <v>34.9893</v>
      </c>
      <c r="J299" s="30">
        <v>0.0</v>
      </c>
      <c r="K299" s="30">
        <v>0.0</v>
      </c>
      <c r="L299" s="30">
        <v>0.0</v>
      </c>
      <c r="M299" s="30">
        <v>0.0</v>
      </c>
      <c r="N299" s="30">
        <v>215.98333333333335</v>
      </c>
      <c r="O299" s="30">
        <v>-145.07263333333327</v>
      </c>
      <c r="P299" s="30">
        <v>-11.194739820459391</v>
      </c>
      <c r="Q299" s="30">
        <v>-13.433687784551271</v>
      </c>
    </row>
    <row r="300">
      <c r="A300" s="47">
        <v>1.1240863383E10</v>
      </c>
      <c r="B300" s="48">
        <v>46158.845659722225</v>
      </c>
      <c r="C300" s="30">
        <v>3.854869839E9</v>
      </c>
      <c r="D300" s="47" t="s">
        <v>1509</v>
      </c>
      <c r="E300" s="30">
        <v>1285.0</v>
      </c>
      <c r="F300" s="30">
        <v>1190.0</v>
      </c>
      <c r="G300" s="30">
        <v>0.0</v>
      </c>
      <c r="H300" s="30">
        <v>0.0</v>
      </c>
      <c r="I300" s="30">
        <v>34.69500000000001</v>
      </c>
      <c r="J300" s="30">
        <v>0.0</v>
      </c>
      <c r="K300" s="30">
        <v>0.0</v>
      </c>
      <c r="L300" s="30">
        <v>0.0</v>
      </c>
      <c r="M300" s="30">
        <v>0.0</v>
      </c>
      <c r="N300" s="30">
        <v>214.16666666666652</v>
      </c>
      <c r="O300" s="30">
        <v>-153.8616666666665</v>
      </c>
      <c r="P300" s="30">
        <v>-11.973670557717238</v>
      </c>
      <c r="Q300" s="30">
        <v>-14.368404669260684</v>
      </c>
    </row>
    <row r="301">
      <c r="A301" s="47">
        <v>1.1249519312E10</v>
      </c>
      <c r="B301" s="48">
        <v>46161.601585648146</v>
      </c>
      <c r="C301" s="30">
        <v>3.862131745E9</v>
      </c>
      <c r="D301" s="47" t="s">
        <v>1508</v>
      </c>
      <c r="E301" s="30">
        <v>855.0</v>
      </c>
      <c r="F301" s="30">
        <v>0.0</v>
      </c>
      <c r="G301" s="30">
        <v>0.0</v>
      </c>
      <c r="H301" s="30">
        <v>0.0</v>
      </c>
      <c r="I301" s="30">
        <v>0.0</v>
      </c>
      <c r="J301" s="30">
        <v>0.0</v>
      </c>
      <c r="K301" s="30">
        <v>0.0</v>
      </c>
      <c r="L301" s="30">
        <v>0.0</v>
      </c>
      <c r="M301" s="30">
        <v>0.0</v>
      </c>
      <c r="N301" s="30">
        <v>142.5</v>
      </c>
      <c r="O301" s="30">
        <v>712.5</v>
      </c>
      <c r="P301" s="30">
        <v>83.33333333333334</v>
      </c>
      <c r="Q301" s="30">
        <v>100.0</v>
      </c>
    </row>
    <row r="302">
      <c r="A302" s="47">
        <v>1.1240696454E10</v>
      </c>
      <c r="B302" s="48">
        <v>46158.81077546296</v>
      </c>
      <c r="C302" s="30">
        <v>3.854751E9</v>
      </c>
      <c r="D302" s="47" t="s">
        <v>1509</v>
      </c>
      <c r="E302" s="30">
        <v>1286.0</v>
      </c>
      <c r="F302" s="30">
        <v>1190.0</v>
      </c>
      <c r="G302" s="30">
        <v>0.0</v>
      </c>
      <c r="H302" s="30">
        <v>0.0</v>
      </c>
      <c r="I302" s="30">
        <v>34.722</v>
      </c>
      <c r="J302" s="30">
        <v>0.0</v>
      </c>
      <c r="K302" s="30">
        <v>0.0</v>
      </c>
      <c r="L302" s="30">
        <v>0.0</v>
      </c>
      <c r="M302" s="30">
        <v>0.0</v>
      </c>
      <c r="N302" s="30">
        <v>214.33333333333326</v>
      </c>
      <c r="O302" s="30">
        <v>-153.05533333333327</v>
      </c>
      <c r="P302" s="30">
        <v>-11.901658890616895</v>
      </c>
      <c r="Q302" s="30">
        <v>-14.28199066874027</v>
      </c>
    </row>
    <row r="303">
      <c r="A303" s="47">
        <v>1.1234558706E10</v>
      </c>
      <c r="B303" s="48">
        <v>46156.86729166667</v>
      </c>
      <c r="C303" s="30">
        <v>3.849440954E9</v>
      </c>
      <c r="D303" s="47" t="s">
        <v>1509</v>
      </c>
      <c r="E303" s="30">
        <v>727.0</v>
      </c>
      <c r="F303" s="30">
        <v>580.0</v>
      </c>
      <c r="G303" s="30">
        <v>0.0</v>
      </c>
      <c r="H303" s="30">
        <v>0.0</v>
      </c>
      <c r="I303" s="30">
        <v>32.060700000000004</v>
      </c>
      <c r="J303" s="30">
        <v>0.0</v>
      </c>
      <c r="K303" s="30">
        <v>0.0</v>
      </c>
      <c r="L303" s="30">
        <v>0.0</v>
      </c>
      <c r="M303" s="30">
        <v>0.0</v>
      </c>
      <c r="N303" s="30">
        <v>121.16666666666663</v>
      </c>
      <c r="O303" s="30">
        <v>-6.227366666666626</v>
      </c>
      <c r="P303" s="30">
        <v>-0.8565841357175551</v>
      </c>
      <c r="Q303" s="30">
        <v>-1.027900962861066</v>
      </c>
    </row>
    <row r="304">
      <c r="A304" s="47">
        <v>1.1243032097E10</v>
      </c>
      <c r="B304" s="48">
        <v>46159.647141203706</v>
      </c>
      <c r="C304" s="30">
        <v>3.856622678E9</v>
      </c>
      <c r="D304" s="47" t="s">
        <v>1509</v>
      </c>
      <c r="E304" s="30">
        <v>1600.0</v>
      </c>
      <c r="F304" s="30">
        <v>1228.0</v>
      </c>
      <c r="G304" s="30">
        <v>0.0</v>
      </c>
      <c r="H304" s="30">
        <v>0.0</v>
      </c>
      <c r="I304" s="30">
        <v>169.92</v>
      </c>
      <c r="J304" s="30">
        <v>0.0</v>
      </c>
      <c r="K304" s="30">
        <v>0.0</v>
      </c>
      <c r="L304" s="30">
        <v>0.0</v>
      </c>
      <c r="M304" s="30">
        <v>0.0</v>
      </c>
      <c r="N304" s="30">
        <v>266.6666666666665</v>
      </c>
      <c r="O304" s="30">
        <v>-64.5866666666665</v>
      </c>
      <c r="P304" s="30">
        <v>-4.036666666666656</v>
      </c>
      <c r="Q304" s="30">
        <v>-4.843999999999987</v>
      </c>
    </row>
    <row r="305">
      <c r="A305" s="47">
        <v>1.1239264588E10</v>
      </c>
      <c r="B305" s="48">
        <v>46158.21262731482</v>
      </c>
      <c r="C305" s="30">
        <v>3.853510681E9</v>
      </c>
      <c r="D305" s="47" t="s">
        <v>1509</v>
      </c>
      <c r="E305" s="30">
        <v>613.0</v>
      </c>
      <c r="F305" s="30">
        <v>420.0</v>
      </c>
      <c r="G305" s="30">
        <v>0.0</v>
      </c>
      <c r="H305" s="30">
        <v>0.0</v>
      </c>
      <c r="I305" s="30">
        <v>74.4795</v>
      </c>
      <c r="J305" s="30">
        <v>0.0</v>
      </c>
      <c r="K305" s="30">
        <v>0.0</v>
      </c>
      <c r="L305" s="30">
        <v>0.0</v>
      </c>
      <c r="M305" s="30">
        <v>0.0</v>
      </c>
      <c r="N305" s="30">
        <v>102.16666666666663</v>
      </c>
      <c r="O305" s="30">
        <v>16.35383333333337</v>
      </c>
      <c r="P305" s="30">
        <v>2.6678357803153947</v>
      </c>
      <c r="Q305" s="30">
        <v>3.2014029363784733</v>
      </c>
    </row>
    <row r="306">
      <c r="A306" s="47">
        <v>1.1243726848E10</v>
      </c>
      <c r="B306" s="48">
        <v>46159.78895833333</v>
      </c>
      <c r="C306" s="30">
        <v>3.85716689E9</v>
      </c>
      <c r="D306" s="47" t="s">
        <v>1509</v>
      </c>
      <c r="E306" s="30">
        <v>1480.0</v>
      </c>
      <c r="F306" s="30">
        <v>1243.0</v>
      </c>
      <c r="G306" s="30">
        <v>0.0</v>
      </c>
      <c r="H306" s="30">
        <v>0.0</v>
      </c>
      <c r="I306" s="30">
        <v>88.55127</v>
      </c>
      <c r="J306" s="30">
        <v>0.0</v>
      </c>
      <c r="K306" s="30">
        <v>0.0</v>
      </c>
      <c r="L306" s="30">
        <v>0.0</v>
      </c>
      <c r="M306" s="30">
        <v>0.0</v>
      </c>
      <c r="N306" s="30">
        <v>246.66666666666669</v>
      </c>
      <c r="O306" s="30">
        <v>-98.21793666666667</v>
      </c>
      <c r="P306" s="30">
        <v>-6.6363470720720725</v>
      </c>
      <c r="Q306" s="30">
        <v>-7.963616486486487</v>
      </c>
    </row>
    <row r="307">
      <c r="A307" s="47">
        <v>1.1240204388E10</v>
      </c>
      <c r="B307" s="48">
        <v>46158.70887731481</v>
      </c>
      <c r="C307" s="30">
        <v>3.854373685E9</v>
      </c>
      <c r="D307" s="47" t="s">
        <v>1509</v>
      </c>
      <c r="E307" s="30">
        <v>729.0</v>
      </c>
      <c r="F307" s="30">
        <v>580.0</v>
      </c>
      <c r="G307" s="30">
        <v>0.0</v>
      </c>
      <c r="H307" s="30">
        <v>0.0</v>
      </c>
      <c r="I307" s="30">
        <v>36.0855</v>
      </c>
      <c r="J307" s="30">
        <v>0.0</v>
      </c>
      <c r="K307" s="30">
        <v>0.0</v>
      </c>
      <c r="L307" s="30">
        <v>0.0</v>
      </c>
      <c r="M307" s="30">
        <v>0.0</v>
      </c>
      <c r="N307" s="30">
        <v>121.5</v>
      </c>
      <c r="O307" s="30">
        <v>-8.585499999999996</v>
      </c>
      <c r="P307" s="30">
        <v>-1.177709190672153</v>
      </c>
      <c r="Q307" s="30">
        <v>-1.4132510288065838</v>
      </c>
    </row>
    <row r="308">
      <c r="A308" s="47">
        <v>1.1241188454E10</v>
      </c>
      <c r="B308" s="48">
        <v>46158.91144675926</v>
      </c>
      <c r="C308" s="30">
        <v>3.855086094E9</v>
      </c>
      <c r="D308" s="47" t="s">
        <v>1509</v>
      </c>
      <c r="E308" s="30">
        <v>1458.0</v>
      </c>
      <c r="F308" s="30">
        <v>1160.0</v>
      </c>
      <c r="G308" s="30">
        <v>0.0</v>
      </c>
      <c r="H308" s="30">
        <v>0.0</v>
      </c>
      <c r="I308" s="30">
        <v>64.29780000000001</v>
      </c>
      <c r="J308" s="30">
        <v>0.0</v>
      </c>
      <c r="K308" s="30">
        <v>0.0</v>
      </c>
      <c r="L308" s="30">
        <v>0.0</v>
      </c>
      <c r="M308" s="30">
        <v>0.0</v>
      </c>
      <c r="N308" s="30">
        <v>243.0</v>
      </c>
      <c r="O308" s="30">
        <v>-9.297799999999995</v>
      </c>
      <c r="P308" s="30">
        <v>-0.6377091906721534</v>
      </c>
      <c r="Q308" s="30">
        <v>-0.765251028806584</v>
      </c>
    </row>
    <row r="309">
      <c r="A309" s="47">
        <v>1.1244946884E10</v>
      </c>
      <c r="B309" s="48">
        <v>46160.012870370374</v>
      </c>
      <c r="C309" s="30">
        <v>3.858023271E9</v>
      </c>
      <c r="D309" s="47" t="s">
        <v>1509</v>
      </c>
      <c r="E309" s="30">
        <v>852.0</v>
      </c>
      <c r="F309" s="30">
        <v>300.0</v>
      </c>
      <c r="G309" s="30">
        <v>0.0</v>
      </c>
      <c r="H309" s="30">
        <v>0.0</v>
      </c>
      <c r="I309" s="30">
        <v>123.45479999999999</v>
      </c>
      <c r="J309" s="30">
        <v>0.0</v>
      </c>
      <c r="K309" s="30">
        <v>0.0</v>
      </c>
      <c r="L309" s="30">
        <v>0.0</v>
      </c>
      <c r="M309" s="30">
        <v>0.0</v>
      </c>
      <c r="N309" s="30">
        <v>142.0</v>
      </c>
      <c r="O309" s="30">
        <v>286.5452</v>
      </c>
      <c r="P309" s="30">
        <v>33.63206572769953</v>
      </c>
      <c r="Q309" s="30">
        <v>40.35847887323944</v>
      </c>
    </row>
    <row r="310">
      <c r="A310" s="47">
        <v>1.1240856715E10</v>
      </c>
      <c r="B310" s="48">
        <v>46158.84449074074</v>
      </c>
      <c r="C310" s="30">
        <v>3.854866758E9</v>
      </c>
      <c r="D310" s="47" t="s">
        <v>1509</v>
      </c>
      <c r="E310" s="30">
        <v>1285.0</v>
      </c>
      <c r="F310" s="30">
        <v>1190.0</v>
      </c>
      <c r="G310" s="30">
        <v>0.0</v>
      </c>
      <c r="H310" s="30">
        <v>0.0</v>
      </c>
      <c r="I310" s="30">
        <v>34.69500000000001</v>
      </c>
      <c r="J310" s="30">
        <v>0.0</v>
      </c>
      <c r="K310" s="30">
        <v>0.0</v>
      </c>
      <c r="L310" s="30">
        <v>0.0</v>
      </c>
      <c r="M310" s="30">
        <v>0.0</v>
      </c>
      <c r="N310" s="30">
        <v>214.16666666666652</v>
      </c>
      <c r="O310" s="30">
        <v>-153.8616666666665</v>
      </c>
      <c r="P310" s="30">
        <v>-11.973670557717238</v>
      </c>
      <c r="Q310" s="30">
        <v>-14.368404669260684</v>
      </c>
    </row>
    <row r="311">
      <c r="A311" s="47">
        <v>1.1239110901E10</v>
      </c>
      <c r="B311" s="48">
        <v>46158.1406712963</v>
      </c>
      <c r="C311" s="30">
        <v>3.853363377E9</v>
      </c>
      <c r="D311" s="47" t="s">
        <v>1509</v>
      </c>
      <c r="E311" s="30">
        <v>729.0</v>
      </c>
      <c r="F311" s="30">
        <v>580.0</v>
      </c>
      <c r="G311" s="30">
        <v>0.0</v>
      </c>
      <c r="H311" s="30">
        <v>0.0</v>
      </c>
      <c r="I311" s="30">
        <v>32.148900000000005</v>
      </c>
      <c r="J311" s="30">
        <v>0.0</v>
      </c>
      <c r="K311" s="30">
        <v>0.0</v>
      </c>
      <c r="L311" s="30">
        <v>0.0</v>
      </c>
      <c r="M311" s="30">
        <v>0.0</v>
      </c>
      <c r="N311" s="30">
        <v>121.5</v>
      </c>
      <c r="O311" s="30">
        <v>-4.648899999999998</v>
      </c>
      <c r="P311" s="30">
        <v>-0.6377091906721534</v>
      </c>
      <c r="Q311" s="30">
        <v>-0.765251028806584</v>
      </c>
    </row>
    <row r="312">
      <c r="A312" s="47">
        <v>1.1244249121E10</v>
      </c>
      <c r="B312" s="48">
        <v>46159.88784722222</v>
      </c>
      <c r="C312" s="30">
        <v>3.857522345E9</v>
      </c>
      <c r="D312" s="47" t="s">
        <v>1509</v>
      </c>
      <c r="E312" s="30">
        <v>2916.0</v>
      </c>
      <c r="F312" s="30">
        <v>2320.0</v>
      </c>
      <c r="G312" s="30">
        <v>0.0</v>
      </c>
      <c r="H312" s="30">
        <v>0.0</v>
      </c>
      <c r="I312" s="30">
        <v>144.342</v>
      </c>
      <c r="J312" s="30">
        <v>0.0</v>
      </c>
      <c r="K312" s="30">
        <v>0.0</v>
      </c>
      <c r="L312" s="30">
        <v>0.0</v>
      </c>
      <c r="M312" s="30">
        <v>0.0</v>
      </c>
      <c r="N312" s="30">
        <v>486.0</v>
      </c>
      <c r="O312" s="30">
        <v>-34.341999999999985</v>
      </c>
      <c r="P312" s="30">
        <v>-1.177709190672153</v>
      </c>
      <c r="Q312" s="30">
        <v>-1.4132510288065838</v>
      </c>
    </row>
    <row r="313">
      <c r="A313" s="47">
        <v>1.1243955738E10</v>
      </c>
      <c r="B313" s="48">
        <v>46159.8331712963</v>
      </c>
      <c r="C313" s="30">
        <v>3.857332818E9</v>
      </c>
      <c r="D313" s="47" t="s">
        <v>1509</v>
      </c>
      <c r="E313" s="30">
        <v>4515.0</v>
      </c>
      <c r="F313" s="30">
        <v>3556.0</v>
      </c>
      <c r="G313" s="30">
        <v>0.0</v>
      </c>
      <c r="H313" s="30">
        <v>0.0</v>
      </c>
      <c r="I313" s="30">
        <v>532.3185</v>
      </c>
      <c r="J313" s="30">
        <v>0.0</v>
      </c>
      <c r="K313" s="30">
        <v>0.0</v>
      </c>
      <c r="L313" s="30">
        <v>0.0</v>
      </c>
      <c r="M313" s="30">
        <v>0.0</v>
      </c>
      <c r="N313" s="30">
        <v>752.5</v>
      </c>
      <c r="O313" s="30">
        <v>-325.8185</v>
      </c>
      <c r="P313" s="30">
        <v>-7.216356589147287</v>
      </c>
      <c r="Q313" s="30">
        <v>-8.659627906976745</v>
      </c>
    </row>
    <row r="314">
      <c r="A314" s="47">
        <v>1.124601298E10</v>
      </c>
      <c r="B314" s="48">
        <v>46160.5312037037</v>
      </c>
      <c r="C314" s="30">
        <v>3.85909774E9</v>
      </c>
      <c r="D314" s="47" t="s">
        <v>1509</v>
      </c>
      <c r="E314" s="30">
        <v>729.0</v>
      </c>
      <c r="F314" s="30">
        <v>580.0</v>
      </c>
      <c r="G314" s="30">
        <v>0.0</v>
      </c>
      <c r="H314" s="30">
        <v>0.0</v>
      </c>
      <c r="I314" s="30">
        <v>32.148900000000005</v>
      </c>
      <c r="J314" s="30">
        <v>0.0</v>
      </c>
      <c r="K314" s="30">
        <v>0.0</v>
      </c>
      <c r="L314" s="30">
        <v>0.0</v>
      </c>
      <c r="M314" s="30">
        <v>0.0</v>
      </c>
      <c r="N314" s="30">
        <v>121.5</v>
      </c>
      <c r="O314" s="30">
        <v>-4.648899999999998</v>
      </c>
      <c r="P314" s="30">
        <v>-0.6377091906721534</v>
      </c>
      <c r="Q314" s="30">
        <v>-0.765251028806584</v>
      </c>
    </row>
    <row r="315">
      <c r="A315" s="47">
        <v>1.1239941401E10</v>
      </c>
      <c r="B315" s="48">
        <v>46158.654641203706</v>
      </c>
      <c r="C315" s="30">
        <v>3.854156161E9</v>
      </c>
      <c r="D315" s="47" t="s">
        <v>1509</v>
      </c>
      <c r="E315" s="30">
        <v>1267.9</v>
      </c>
      <c r="F315" s="30">
        <v>1160.0</v>
      </c>
      <c r="G315" s="30">
        <v>0.0</v>
      </c>
      <c r="H315" s="30">
        <v>0.0</v>
      </c>
      <c r="I315" s="30">
        <v>57.0555</v>
      </c>
      <c r="J315" s="30">
        <v>0.0</v>
      </c>
      <c r="K315" s="30">
        <v>0.0</v>
      </c>
      <c r="L315" s="30">
        <v>0.0</v>
      </c>
      <c r="M315" s="30">
        <v>0.0</v>
      </c>
      <c r="N315" s="30">
        <v>211.3166666666666</v>
      </c>
      <c r="O315" s="30">
        <v>-160.4721666666665</v>
      </c>
      <c r="P315" s="30">
        <v>-12.656531797986158</v>
      </c>
      <c r="Q315" s="30">
        <v>-15.18783815758339</v>
      </c>
    </row>
    <row r="316">
      <c r="A316" s="47">
        <v>1.1249446994E10</v>
      </c>
      <c r="B316" s="48">
        <v>46161.58226851852</v>
      </c>
      <c r="C316" s="30">
        <v>3.86207032E9</v>
      </c>
      <c r="D316" s="47" t="s">
        <v>1508</v>
      </c>
      <c r="E316" s="30">
        <v>796.0</v>
      </c>
      <c r="F316" s="30">
        <v>580.0</v>
      </c>
      <c r="G316" s="30">
        <v>0.0</v>
      </c>
      <c r="H316" s="30">
        <v>0.0</v>
      </c>
      <c r="I316" s="30">
        <v>55.72</v>
      </c>
      <c r="J316" s="30">
        <v>0.0</v>
      </c>
      <c r="K316" s="30">
        <v>0.0</v>
      </c>
      <c r="L316" s="30">
        <v>0.0</v>
      </c>
      <c r="M316" s="30">
        <v>0.0</v>
      </c>
      <c r="N316" s="30">
        <v>132.66666666666663</v>
      </c>
      <c r="O316" s="30">
        <v>27.613333333333372</v>
      </c>
      <c r="P316" s="30">
        <v>3.469011725293137</v>
      </c>
      <c r="Q316" s="30">
        <v>4.162814070351764</v>
      </c>
    </row>
    <row r="317">
      <c r="A317" s="47">
        <v>1.1245151137E10</v>
      </c>
      <c r="B317" s="48">
        <v>46160.049791666665</v>
      </c>
      <c r="C317" s="30">
        <v>3.858203172E9</v>
      </c>
      <c r="D317" s="47" t="s">
        <v>1509</v>
      </c>
      <c r="E317" s="30">
        <v>729.0</v>
      </c>
      <c r="F317" s="30">
        <v>580.0</v>
      </c>
      <c r="G317" s="30">
        <v>0.0</v>
      </c>
      <c r="H317" s="30">
        <v>0.0</v>
      </c>
      <c r="I317" s="30">
        <v>36.0855</v>
      </c>
      <c r="J317" s="30">
        <v>0.0</v>
      </c>
      <c r="K317" s="30">
        <v>0.0</v>
      </c>
      <c r="L317" s="30">
        <v>0.0</v>
      </c>
      <c r="M317" s="30">
        <v>0.0</v>
      </c>
      <c r="N317" s="30">
        <v>121.5</v>
      </c>
      <c r="O317" s="30">
        <v>-8.585499999999996</v>
      </c>
      <c r="P317" s="30">
        <v>-1.177709190672153</v>
      </c>
      <c r="Q317" s="30">
        <v>-1.4132510288065838</v>
      </c>
    </row>
    <row r="318">
      <c r="A318" s="47">
        <v>1.1242537503E10</v>
      </c>
      <c r="B318" s="48">
        <v>46159.44394675926</v>
      </c>
      <c r="C318" s="30">
        <v>3.856197602E9</v>
      </c>
      <c r="D318" s="47" t="s">
        <v>1509</v>
      </c>
      <c r="E318" s="30">
        <v>1264.9</v>
      </c>
      <c r="F318" s="30">
        <v>1160.0</v>
      </c>
      <c r="G318" s="30">
        <v>0.0</v>
      </c>
      <c r="H318" s="30">
        <v>0.0</v>
      </c>
      <c r="I318" s="30">
        <v>56.920500000000004</v>
      </c>
      <c r="J318" s="30">
        <v>0.0</v>
      </c>
      <c r="K318" s="30">
        <v>0.0</v>
      </c>
      <c r="L318" s="30">
        <v>0.0</v>
      </c>
      <c r="M318" s="30">
        <v>0.0</v>
      </c>
      <c r="N318" s="30">
        <v>210.8166666666666</v>
      </c>
      <c r="O318" s="30">
        <v>-162.83716666666652</v>
      </c>
      <c r="P318" s="30">
        <v>-12.873520963449009</v>
      </c>
      <c r="Q318" s="30">
        <v>-15.44822515613881</v>
      </c>
    </row>
    <row r="319">
      <c r="A319" s="47">
        <v>1.1239609994E10</v>
      </c>
      <c r="B319" s="48">
        <v>46158.57292824074</v>
      </c>
      <c r="C319" s="30">
        <v>3.853857874E9</v>
      </c>
      <c r="D319" s="47" t="s">
        <v>1509</v>
      </c>
      <c r="E319" s="30">
        <v>729.0</v>
      </c>
      <c r="F319" s="30">
        <v>580.0</v>
      </c>
      <c r="G319" s="30">
        <v>0.0</v>
      </c>
      <c r="H319" s="30">
        <v>0.0</v>
      </c>
      <c r="I319" s="30">
        <v>36.0855</v>
      </c>
      <c r="J319" s="30">
        <v>0.0</v>
      </c>
      <c r="K319" s="30">
        <v>0.0</v>
      </c>
      <c r="L319" s="30">
        <v>0.0</v>
      </c>
      <c r="M319" s="30">
        <v>0.0</v>
      </c>
      <c r="N319" s="30">
        <v>121.5</v>
      </c>
      <c r="O319" s="30">
        <v>-8.585499999999996</v>
      </c>
      <c r="P319" s="30">
        <v>-1.177709190672153</v>
      </c>
      <c r="Q319" s="30">
        <v>-1.4132510288065838</v>
      </c>
    </row>
    <row r="320">
      <c r="A320" s="47">
        <v>1.1240038363E10</v>
      </c>
      <c r="B320" s="48">
        <v>46158.675046296295</v>
      </c>
      <c r="C320" s="30">
        <v>3.854237468E9</v>
      </c>
      <c r="D320" s="47" t="s">
        <v>1509</v>
      </c>
      <c r="E320" s="30">
        <v>768.0</v>
      </c>
      <c r="F320" s="30">
        <v>580.0</v>
      </c>
      <c r="G320" s="30">
        <v>0.0</v>
      </c>
      <c r="H320" s="30">
        <v>0.0</v>
      </c>
      <c r="I320" s="30">
        <v>28.3392</v>
      </c>
      <c r="J320" s="30">
        <v>0.0</v>
      </c>
      <c r="K320" s="30">
        <v>0.0</v>
      </c>
      <c r="L320" s="30">
        <v>0.0</v>
      </c>
      <c r="M320" s="30">
        <v>0.0</v>
      </c>
      <c r="N320" s="30">
        <v>128.0</v>
      </c>
      <c r="O320" s="30">
        <v>31.660799999999995</v>
      </c>
      <c r="P320" s="30">
        <v>4.122499999999999</v>
      </c>
      <c r="Q320" s="30">
        <v>4.946999999999999</v>
      </c>
    </row>
    <row r="321">
      <c r="A321" s="47">
        <v>1.1240230991E10</v>
      </c>
      <c r="B321" s="48">
        <v>46158.714050925926</v>
      </c>
      <c r="C321" s="30">
        <v>3.854395049E9</v>
      </c>
      <c r="D321" s="47" t="s">
        <v>1509</v>
      </c>
      <c r="E321" s="30">
        <v>1286.0</v>
      </c>
      <c r="F321" s="30">
        <v>1190.0</v>
      </c>
      <c r="G321" s="30">
        <v>0.0</v>
      </c>
      <c r="H321" s="30">
        <v>0.0</v>
      </c>
      <c r="I321" s="30">
        <v>34.722</v>
      </c>
      <c r="J321" s="30">
        <v>0.0</v>
      </c>
      <c r="K321" s="30">
        <v>0.0</v>
      </c>
      <c r="L321" s="30">
        <v>0.0</v>
      </c>
      <c r="M321" s="30">
        <v>0.0</v>
      </c>
      <c r="N321" s="30">
        <v>214.33333333333326</v>
      </c>
      <c r="O321" s="30">
        <v>-153.05533333333327</v>
      </c>
      <c r="P321" s="30">
        <v>-11.901658890616895</v>
      </c>
      <c r="Q321" s="30">
        <v>-14.28199066874027</v>
      </c>
    </row>
    <row r="322">
      <c r="A322" s="47">
        <v>1.1240921625E10</v>
      </c>
      <c r="B322" s="48">
        <v>46158.85778935185</v>
      </c>
      <c r="C322" s="30">
        <v>3.854909828E9</v>
      </c>
      <c r="D322" s="47" t="s">
        <v>1509</v>
      </c>
      <c r="E322" s="30">
        <v>1285.0</v>
      </c>
      <c r="F322" s="30">
        <v>1190.0</v>
      </c>
      <c r="G322" s="30">
        <v>0.0</v>
      </c>
      <c r="H322" s="30">
        <v>0.0</v>
      </c>
      <c r="I322" s="30">
        <v>34.69500000000001</v>
      </c>
      <c r="J322" s="30">
        <v>0.0</v>
      </c>
      <c r="K322" s="30">
        <v>0.0</v>
      </c>
      <c r="L322" s="30">
        <v>0.0</v>
      </c>
      <c r="M322" s="30">
        <v>0.0</v>
      </c>
      <c r="N322" s="30">
        <v>214.16666666666652</v>
      </c>
      <c r="O322" s="30">
        <v>-153.8616666666665</v>
      </c>
      <c r="P322" s="30">
        <v>-11.973670557717238</v>
      </c>
      <c r="Q322" s="30">
        <v>-14.368404669260684</v>
      </c>
    </row>
    <row r="323">
      <c r="A323" s="47">
        <v>1.1240237917E10</v>
      </c>
      <c r="B323" s="48">
        <v>46158.715532407405</v>
      </c>
      <c r="C323" s="30">
        <v>3.854404953E9</v>
      </c>
      <c r="D323" s="47" t="s">
        <v>1509</v>
      </c>
      <c r="E323" s="30">
        <v>1286.0</v>
      </c>
      <c r="F323" s="30">
        <v>1190.0</v>
      </c>
      <c r="G323" s="30">
        <v>0.0</v>
      </c>
      <c r="H323" s="30">
        <v>0.0</v>
      </c>
      <c r="I323" s="30">
        <v>34.722</v>
      </c>
      <c r="J323" s="30">
        <v>0.0</v>
      </c>
      <c r="K323" s="30">
        <v>0.0</v>
      </c>
      <c r="L323" s="30">
        <v>0.0</v>
      </c>
      <c r="M323" s="30">
        <v>0.0</v>
      </c>
      <c r="N323" s="30">
        <v>214.33333333333326</v>
      </c>
      <c r="O323" s="30">
        <v>-153.05533333333327</v>
      </c>
      <c r="P323" s="30">
        <v>-11.901658890616895</v>
      </c>
      <c r="Q323" s="30">
        <v>-14.28199066874027</v>
      </c>
    </row>
    <row r="324">
      <c r="A324" s="47">
        <v>1.1239659191E10</v>
      </c>
      <c r="B324" s="48">
        <v>46158.5875</v>
      </c>
      <c r="C324" s="30">
        <v>3.853902247E9</v>
      </c>
      <c r="D324" s="47" t="s">
        <v>1509</v>
      </c>
      <c r="E324" s="30">
        <v>1289.0</v>
      </c>
      <c r="F324" s="30">
        <v>1190.0</v>
      </c>
      <c r="G324" s="30">
        <v>0.0</v>
      </c>
      <c r="H324" s="30">
        <v>0.0</v>
      </c>
      <c r="I324" s="30">
        <v>34.803000000000004</v>
      </c>
      <c r="J324" s="30">
        <v>0.0</v>
      </c>
      <c r="K324" s="30">
        <v>0.0</v>
      </c>
      <c r="L324" s="30">
        <v>0.0</v>
      </c>
      <c r="M324" s="30">
        <v>0.0</v>
      </c>
      <c r="N324" s="30">
        <v>214.83333333333326</v>
      </c>
      <c r="O324" s="30">
        <v>-150.63633333333325</v>
      </c>
      <c r="P324" s="30">
        <v>-11.686294284975427</v>
      </c>
      <c r="Q324" s="30">
        <v>-14.023553141970513</v>
      </c>
    </row>
    <row r="325">
      <c r="A325" s="47">
        <v>1.1246091211E10</v>
      </c>
      <c r="B325" s="48">
        <v>46160.555810185186</v>
      </c>
      <c r="C325" s="30">
        <v>3.859179441E9</v>
      </c>
      <c r="D325" s="47" t="s">
        <v>1514</v>
      </c>
      <c r="E325" s="30">
        <v>1729.0</v>
      </c>
      <c r="F325" s="30">
        <v>1243.0</v>
      </c>
      <c r="G325" s="30">
        <v>0.0</v>
      </c>
      <c r="H325" s="30">
        <v>0.0</v>
      </c>
      <c r="I325" s="30">
        <v>146.58696</v>
      </c>
      <c r="J325" s="30">
        <v>0.0</v>
      </c>
      <c r="K325" s="30">
        <v>0.0</v>
      </c>
      <c r="L325" s="30">
        <v>0.0</v>
      </c>
      <c r="M325" s="30">
        <v>0.0</v>
      </c>
      <c r="N325" s="30">
        <v>288.16666666666663</v>
      </c>
      <c r="O325" s="30">
        <v>51.246373333333395</v>
      </c>
      <c r="P325" s="30">
        <v>2.9639313668787386</v>
      </c>
      <c r="Q325" s="30">
        <v>3.5567176402544867</v>
      </c>
    </row>
    <row r="326">
      <c r="A326" s="47">
        <v>1.1248544629E10</v>
      </c>
      <c r="B326" s="48">
        <v>46161.05546296296</v>
      </c>
      <c r="C326" s="30">
        <v>3.86120379E9</v>
      </c>
      <c r="D326" s="47" t="s">
        <v>1514</v>
      </c>
      <c r="E326" s="30">
        <v>3456.0</v>
      </c>
      <c r="F326" s="30">
        <v>2520.0</v>
      </c>
      <c r="G326" s="30">
        <v>0.0</v>
      </c>
      <c r="H326" s="30">
        <v>0.0</v>
      </c>
      <c r="I326" s="30">
        <v>401.24159999999995</v>
      </c>
      <c r="J326" s="30">
        <v>0.0</v>
      </c>
      <c r="K326" s="30">
        <v>0.0</v>
      </c>
      <c r="L326" s="30">
        <v>0.0</v>
      </c>
      <c r="M326" s="30">
        <v>0.0</v>
      </c>
      <c r="N326" s="30">
        <v>576.0</v>
      </c>
      <c r="O326" s="30">
        <v>-41.24159999999995</v>
      </c>
      <c r="P326" s="30">
        <v>-1.1933333333333318</v>
      </c>
      <c r="Q326" s="30">
        <v>-1.4319999999999982</v>
      </c>
    </row>
    <row r="327">
      <c r="A327" s="47">
        <v>1.1248303185E10</v>
      </c>
      <c r="B327" s="48">
        <v>46161.007939814815</v>
      </c>
      <c r="C327" s="30">
        <v>3.860993388E9</v>
      </c>
      <c r="D327" s="47" t="s">
        <v>1514</v>
      </c>
      <c r="E327" s="30">
        <v>1530.0</v>
      </c>
      <c r="F327" s="30">
        <v>1190.0</v>
      </c>
      <c r="G327" s="30">
        <v>0.0</v>
      </c>
      <c r="H327" s="30">
        <v>0.0</v>
      </c>
      <c r="I327" s="30">
        <v>96.39</v>
      </c>
      <c r="J327" s="30">
        <v>0.0</v>
      </c>
      <c r="K327" s="30">
        <v>0.0</v>
      </c>
      <c r="L327" s="30">
        <v>0.0</v>
      </c>
      <c r="M327" s="30">
        <v>0.0</v>
      </c>
      <c r="N327" s="30">
        <v>255.0</v>
      </c>
      <c r="O327" s="30">
        <v>-11.389999999999986</v>
      </c>
      <c r="P327" s="30">
        <v>-0.7444444444444436</v>
      </c>
      <c r="Q327" s="30">
        <v>-0.8933333333333323</v>
      </c>
    </row>
    <row r="328">
      <c r="A328" s="47">
        <v>1.1247337367E10</v>
      </c>
      <c r="B328" s="48">
        <v>46160.81377314815</v>
      </c>
      <c r="C328" s="30">
        <v>3.860264916E9</v>
      </c>
      <c r="D328" s="47" t="s">
        <v>1514</v>
      </c>
      <c r="E328" s="30">
        <v>1630.0</v>
      </c>
      <c r="F328" s="30">
        <v>1228.0</v>
      </c>
      <c r="G328" s="30">
        <v>0.0</v>
      </c>
      <c r="H328" s="30">
        <v>0.0</v>
      </c>
      <c r="I328" s="30">
        <v>198.045</v>
      </c>
      <c r="J328" s="30">
        <v>0.0</v>
      </c>
      <c r="K328" s="30">
        <v>0.0</v>
      </c>
      <c r="L328" s="30">
        <v>0.0</v>
      </c>
      <c r="M328" s="30">
        <v>0.0</v>
      </c>
      <c r="N328" s="30">
        <v>271.6666666666665</v>
      </c>
      <c r="O328" s="30">
        <v>-67.7116666666665</v>
      </c>
      <c r="P328" s="30">
        <v>-4.1540899795500925</v>
      </c>
      <c r="Q328" s="30">
        <v>-4.98490797546011</v>
      </c>
    </row>
    <row r="329">
      <c r="A329" s="47">
        <v>1.1249287152E10</v>
      </c>
      <c r="B329" s="48">
        <v>46161.52668981482</v>
      </c>
      <c r="C329" s="30">
        <v>3.861927933E9</v>
      </c>
      <c r="D329" s="47" t="s">
        <v>1514</v>
      </c>
      <c r="E329" s="30">
        <v>1199.0</v>
      </c>
      <c r="F329" s="30">
        <v>792.0</v>
      </c>
      <c r="G329" s="30">
        <v>0.0</v>
      </c>
      <c r="H329" s="30">
        <v>0.0</v>
      </c>
      <c r="I329" s="30">
        <v>161.865</v>
      </c>
      <c r="J329" s="30">
        <v>0.0</v>
      </c>
      <c r="K329" s="30">
        <v>0.0</v>
      </c>
      <c r="L329" s="30">
        <v>0.0</v>
      </c>
      <c r="M329" s="30">
        <v>0.0</v>
      </c>
      <c r="N329" s="30">
        <v>199.83333333333326</v>
      </c>
      <c r="O329" s="30">
        <v>45.30166666666673</v>
      </c>
      <c r="P329" s="30">
        <v>3.7782874617737057</v>
      </c>
      <c r="Q329" s="30">
        <v>4.5339449541284464</v>
      </c>
    </row>
    <row r="330">
      <c r="A330" s="47">
        <v>1.1247395238E10</v>
      </c>
      <c r="B330" s="48">
        <v>46160.825833333336</v>
      </c>
      <c r="C330" s="30">
        <v>3.860311858E9</v>
      </c>
      <c r="D330" s="47" t="s">
        <v>1514</v>
      </c>
      <c r="E330" s="30">
        <v>1199.0</v>
      </c>
      <c r="F330" s="30">
        <v>792.0</v>
      </c>
      <c r="G330" s="30">
        <v>0.0</v>
      </c>
      <c r="H330" s="30">
        <v>0.0</v>
      </c>
      <c r="I330" s="30">
        <v>145.6785</v>
      </c>
      <c r="J330" s="30">
        <v>0.0</v>
      </c>
      <c r="K330" s="30">
        <v>0.0</v>
      </c>
      <c r="L330" s="30">
        <v>0.0</v>
      </c>
      <c r="M330" s="30">
        <v>0.0</v>
      </c>
      <c r="N330" s="30">
        <v>199.83333333333326</v>
      </c>
      <c r="O330" s="30">
        <v>61.48816666666676</v>
      </c>
      <c r="P330" s="30">
        <v>5.1282874617737075</v>
      </c>
      <c r="Q330" s="30">
        <v>6.153944954128449</v>
      </c>
    </row>
    <row r="331">
      <c r="A331" s="47">
        <v>1.1249304224E10</v>
      </c>
      <c r="B331" s="48">
        <v>46161.53396990741</v>
      </c>
      <c r="C331" s="30">
        <v>3.861941248E9</v>
      </c>
      <c r="D331" s="47" t="s">
        <v>1514</v>
      </c>
      <c r="E331" s="30">
        <v>1630.0</v>
      </c>
      <c r="F331" s="30">
        <v>1228.0</v>
      </c>
      <c r="G331" s="30">
        <v>0.0</v>
      </c>
      <c r="H331" s="30">
        <v>0.0</v>
      </c>
      <c r="I331" s="30">
        <v>259.17</v>
      </c>
      <c r="J331" s="30">
        <v>0.0</v>
      </c>
      <c r="K331" s="30">
        <v>0.0</v>
      </c>
      <c r="L331" s="30">
        <v>0.0</v>
      </c>
      <c r="M331" s="30">
        <v>0.0</v>
      </c>
      <c r="N331" s="30">
        <v>271.6666666666665</v>
      </c>
      <c r="O331" s="30">
        <v>-128.83666666666653</v>
      </c>
      <c r="P331" s="30">
        <v>-7.904089979550094</v>
      </c>
      <c r="Q331" s="30">
        <v>-9.484907975460112</v>
      </c>
    </row>
    <row r="332">
      <c r="A332" s="47">
        <v>1.1246501964E10</v>
      </c>
      <c r="B332" s="48">
        <v>46160.64730324074</v>
      </c>
      <c r="C332" s="30">
        <v>3.859552456E9</v>
      </c>
      <c r="D332" s="47" t="s">
        <v>1514</v>
      </c>
      <c r="E332" s="30">
        <v>1630.0</v>
      </c>
      <c r="F332" s="30">
        <v>1228.0</v>
      </c>
      <c r="G332" s="30">
        <v>0.0</v>
      </c>
      <c r="H332" s="30">
        <v>0.0</v>
      </c>
      <c r="I332" s="30">
        <v>198.045</v>
      </c>
      <c r="J332" s="30">
        <v>0.0</v>
      </c>
      <c r="K332" s="30">
        <v>0.0</v>
      </c>
      <c r="L332" s="30">
        <v>0.0</v>
      </c>
      <c r="M332" s="30">
        <v>0.0</v>
      </c>
      <c r="N332" s="30">
        <v>271.6666666666665</v>
      </c>
      <c r="O332" s="30">
        <v>-67.7116666666665</v>
      </c>
      <c r="P332" s="30">
        <v>-4.1540899795500925</v>
      </c>
      <c r="Q332" s="30">
        <v>-4.98490797546011</v>
      </c>
    </row>
    <row r="333">
      <c r="A333" s="47">
        <v>1.1246313863E10</v>
      </c>
      <c r="B333" s="48">
        <v>46160.610810185186</v>
      </c>
      <c r="C333" s="30">
        <v>3.859395746E9</v>
      </c>
      <c r="D333" s="47" t="s">
        <v>1514</v>
      </c>
      <c r="E333" s="30">
        <v>1054.0</v>
      </c>
      <c r="F333" s="30">
        <v>53.0</v>
      </c>
      <c r="G333" s="30">
        <v>0.0</v>
      </c>
      <c r="H333" s="30">
        <v>0.0</v>
      </c>
      <c r="I333" s="30">
        <v>139.238775</v>
      </c>
      <c r="J333" s="30">
        <v>0.0</v>
      </c>
      <c r="K333" s="30">
        <v>0.0</v>
      </c>
      <c r="L333" s="30">
        <v>0.0</v>
      </c>
      <c r="M333" s="30">
        <v>0.0</v>
      </c>
      <c r="N333" s="30">
        <v>175.66666666666663</v>
      </c>
      <c r="O333" s="30">
        <v>686.0945583333333</v>
      </c>
      <c r="P333" s="30">
        <v>65.09436037318153</v>
      </c>
      <c r="Q333" s="30">
        <v>78.11323244781784</v>
      </c>
    </row>
    <row r="334">
      <c r="A334" s="47">
        <v>1.1247414187E10</v>
      </c>
      <c r="B334" s="48">
        <v>46160.83002314815</v>
      </c>
      <c r="C334" s="30">
        <v>3.860326568E9</v>
      </c>
      <c r="D334" s="47" t="s">
        <v>1514</v>
      </c>
      <c r="E334" s="30">
        <v>852.0</v>
      </c>
      <c r="F334" s="30">
        <v>300.0</v>
      </c>
      <c r="G334" s="30">
        <v>0.0</v>
      </c>
      <c r="H334" s="30">
        <v>0.0</v>
      </c>
      <c r="I334" s="30">
        <v>123.45479999999999</v>
      </c>
      <c r="J334" s="30">
        <v>0.0</v>
      </c>
      <c r="K334" s="30">
        <v>0.0</v>
      </c>
      <c r="L334" s="30">
        <v>0.0</v>
      </c>
      <c r="M334" s="30">
        <v>0.0</v>
      </c>
      <c r="N334" s="30">
        <v>142.0</v>
      </c>
      <c r="O334" s="30">
        <v>286.5452</v>
      </c>
      <c r="P334" s="30">
        <v>33.63206572769953</v>
      </c>
      <c r="Q334" s="30">
        <v>40.35847887323944</v>
      </c>
    </row>
    <row r="335">
      <c r="A335" s="47">
        <v>1.1247295086E10</v>
      </c>
      <c r="B335" s="48">
        <v>46160.805127314816</v>
      </c>
      <c r="C335" s="30">
        <v>3.86023003E9</v>
      </c>
      <c r="D335" s="47" t="s">
        <v>1514</v>
      </c>
      <c r="E335" s="30">
        <v>859.0</v>
      </c>
      <c r="F335" s="30">
        <v>1.0</v>
      </c>
      <c r="G335" s="30">
        <v>0.0</v>
      </c>
      <c r="H335" s="30">
        <v>0.0</v>
      </c>
      <c r="I335" s="30">
        <v>104.3685</v>
      </c>
      <c r="J335" s="30">
        <v>0.0</v>
      </c>
      <c r="K335" s="30">
        <v>0.0</v>
      </c>
      <c r="L335" s="30">
        <v>0.0</v>
      </c>
      <c r="M335" s="30">
        <v>0.0</v>
      </c>
      <c r="N335" s="30">
        <v>143.16666666666663</v>
      </c>
      <c r="O335" s="30">
        <v>610.4648333333333</v>
      </c>
      <c r="P335" s="30">
        <v>71.06691889794334</v>
      </c>
      <c r="Q335" s="30">
        <v>85.280302677532</v>
      </c>
    </row>
    <row r="336">
      <c r="A336" s="47">
        <v>1.1246606432E10</v>
      </c>
      <c r="B336" s="48">
        <v>46160.66725694444</v>
      </c>
      <c r="C336" s="30">
        <v>3.859640834E9</v>
      </c>
      <c r="D336" s="47" t="s">
        <v>1514</v>
      </c>
      <c r="E336" s="30">
        <v>1536.0</v>
      </c>
      <c r="F336" s="30">
        <v>1160.0</v>
      </c>
      <c r="G336" s="30">
        <v>0.0</v>
      </c>
      <c r="H336" s="30">
        <v>0.0</v>
      </c>
      <c r="I336" s="30">
        <v>76.03200000000001</v>
      </c>
      <c r="J336" s="30">
        <v>0.0</v>
      </c>
      <c r="K336" s="30">
        <v>0.0</v>
      </c>
      <c r="L336" s="30">
        <v>0.0</v>
      </c>
      <c r="M336" s="30">
        <v>0.0</v>
      </c>
      <c r="N336" s="30">
        <v>256.0</v>
      </c>
      <c r="O336" s="30">
        <v>43.96799999999996</v>
      </c>
      <c r="P336" s="30">
        <v>2.862499999999997</v>
      </c>
      <c r="Q336" s="30">
        <v>3.434999999999997</v>
      </c>
    </row>
    <row r="337">
      <c r="A337" s="47">
        <v>1.124791403E10</v>
      </c>
      <c r="B337" s="48">
        <v>46160.93094907407</v>
      </c>
      <c r="C337" s="30">
        <v>3.860697511E9</v>
      </c>
      <c r="D337" s="47" t="s">
        <v>1514</v>
      </c>
      <c r="E337" s="30">
        <v>3072.0</v>
      </c>
      <c r="F337" s="30">
        <v>2320.0</v>
      </c>
      <c r="G337" s="30">
        <v>0.0</v>
      </c>
      <c r="H337" s="30">
        <v>0.0</v>
      </c>
      <c r="I337" s="30">
        <v>152.06400000000002</v>
      </c>
      <c r="J337" s="30">
        <v>0.0</v>
      </c>
      <c r="K337" s="30">
        <v>0.0</v>
      </c>
      <c r="L337" s="30">
        <v>0.0</v>
      </c>
      <c r="M337" s="30">
        <v>0.0</v>
      </c>
      <c r="N337" s="30">
        <v>512.0</v>
      </c>
      <c r="O337" s="30">
        <v>87.93599999999992</v>
      </c>
      <c r="P337" s="30">
        <v>2.862499999999997</v>
      </c>
      <c r="Q337" s="30">
        <v>3.434999999999997</v>
      </c>
    </row>
    <row r="338">
      <c r="A338" s="47">
        <v>1.1246347787E10</v>
      </c>
      <c r="B338" s="48">
        <v>46160.617743055554</v>
      </c>
      <c r="C338" s="30">
        <v>3.859428513E9</v>
      </c>
      <c r="D338" s="47" t="s">
        <v>1514</v>
      </c>
      <c r="E338" s="30">
        <v>1536.0</v>
      </c>
      <c r="F338" s="30">
        <v>1160.0</v>
      </c>
      <c r="G338" s="30">
        <v>0.0</v>
      </c>
      <c r="H338" s="30">
        <v>0.0</v>
      </c>
      <c r="I338" s="30">
        <v>56.6784</v>
      </c>
      <c r="J338" s="30">
        <v>0.0</v>
      </c>
      <c r="K338" s="30">
        <v>0.0</v>
      </c>
      <c r="L338" s="30">
        <v>0.0</v>
      </c>
      <c r="M338" s="30">
        <v>0.0</v>
      </c>
      <c r="N338" s="30">
        <v>256.0</v>
      </c>
      <c r="O338" s="30">
        <v>63.32159999999999</v>
      </c>
      <c r="P338" s="30">
        <v>4.122499999999999</v>
      </c>
      <c r="Q338" s="30">
        <v>4.946999999999999</v>
      </c>
    </row>
    <row r="339">
      <c r="A339" s="47">
        <v>1.1248423627E10</v>
      </c>
      <c r="B339" s="48">
        <v>46161.03152777778</v>
      </c>
      <c r="C339" s="30">
        <v>3.861096459E9</v>
      </c>
      <c r="D339" s="47" t="s">
        <v>1514</v>
      </c>
      <c r="E339" s="30">
        <v>1458.0</v>
      </c>
      <c r="F339" s="30">
        <v>1160.0</v>
      </c>
      <c r="G339" s="30">
        <v>0.0</v>
      </c>
      <c r="H339" s="30">
        <v>0.0</v>
      </c>
      <c r="I339" s="30">
        <v>72.171</v>
      </c>
      <c r="J339" s="30">
        <v>0.0</v>
      </c>
      <c r="K339" s="30">
        <v>0.0</v>
      </c>
      <c r="L339" s="30">
        <v>0.0</v>
      </c>
      <c r="M339" s="30">
        <v>0.0</v>
      </c>
      <c r="N339" s="30">
        <v>243.0</v>
      </c>
      <c r="O339" s="30">
        <v>-17.170999999999992</v>
      </c>
      <c r="P339" s="30">
        <v>-1.177709190672153</v>
      </c>
      <c r="Q339" s="30">
        <v>-1.4132510288065838</v>
      </c>
    </row>
    <row r="340">
      <c r="A340" s="47">
        <v>1.1247503787E10</v>
      </c>
      <c r="B340" s="48">
        <v>46160.84853009259</v>
      </c>
      <c r="C340" s="30">
        <v>3.860400577E9</v>
      </c>
      <c r="D340" s="47" t="s">
        <v>1514</v>
      </c>
      <c r="E340" s="30">
        <v>1458.0</v>
      </c>
      <c r="F340" s="30">
        <v>1160.0</v>
      </c>
      <c r="G340" s="30">
        <v>0.0</v>
      </c>
      <c r="H340" s="30">
        <v>0.0</v>
      </c>
      <c r="I340" s="30">
        <v>72.171</v>
      </c>
      <c r="J340" s="30">
        <v>0.0</v>
      </c>
      <c r="K340" s="30">
        <v>0.0</v>
      </c>
      <c r="L340" s="30">
        <v>0.0</v>
      </c>
      <c r="M340" s="30">
        <v>0.0</v>
      </c>
      <c r="N340" s="30">
        <v>243.0</v>
      </c>
      <c r="O340" s="30">
        <v>-17.170999999999992</v>
      </c>
      <c r="P340" s="30">
        <v>-1.177709190672153</v>
      </c>
      <c r="Q340" s="30">
        <v>-1.4132510288065838</v>
      </c>
    </row>
    <row r="341">
      <c r="A341" s="47">
        <v>1.1248643961E10</v>
      </c>
      <c r="B341" s="48">
        <v>46161.07534722222</v>
      </c>
      <c r="C341" s="30">
        <v>3.861294975E9</v>
      </c>
      <c r="D341" s="47" t="s">
        <v>1514</v>
      </c>
      <c r="E341" s="30">
        <v>729.0</v>
      </c>
      <c r="F341" s="30">
        <v>580.0</v>
      </c>
      <c r="G341" s="30">
        <v>0.0</v>
      </c>
      <c r="H341" s="30">
        <v>0.0</v>
      </c>
      <c r="I341" s="30">
        <v>36.0855</v>
      </c>
      <c r="J341" s="30">
        <v>0.0</v>
      </c>
      <c r="K341" s="30">
        <v>0.0</v>
      </c>
      <c r="L341" s="30">
        <v>0.0</v>
      </c>
      <c r="M341" s="30">
        <v>0.0</v>
      </c>
      <c r="N341" s="30">
        <v>121.5</v>
      </c>
      <c r="O341" s="30">
        <v>-8.585499999999996</v>
      </c>
      <c r="P341" s="30">
        <v>-1.177709190672153</v>
      </c>
      <c r="Q341" s="30">
        <v>-1.4132510288065838</v>
      </c>
    </row>
    <row r="342">
      <c r="A342" s="47">
        <v>1.1246746284E10</v>
      </c>
      <c r="B342" s="48">
        <v>46160.69358796296</v>
      </c>
      <c r="C342" s="30">
        <v>3.859760871E9</v>
      </c>
      <c r="D342" s="47" t="s">
        <v>1514</v>
      </c>
      <c r="E342" s="30">
        <v>1458.0</v>
      </c>
      <c r="F342" s="30">
        <v>1160.0</v>
      </c>
      <c r="G342" s="30">
        <v>0.0</v>
      </c>
      <c r="H342" s="30">
        <v>0.0</v>
      </c>
      <c r="I342" s="30">
        <v>72.171</v>
      </c>
      <c r="J342" s="30">
        <v>0.0</v>
      </c>
      <c r="K342" s="30">
        <v>0.0</v>
      </c>
      <c r="L342" s="30">
        <v>0.0</v>
      </c>
      <c r="M342" s="30">
        <v>0.0</v>
      </c>
      <c r="N342" s="30">
        <v>243.0</v>
      </c>
      <c r="O342" s="30">
        <v>-17.170999999999992</v>
      </c>
      <c r="P342" s="30">
        <v>-1.177709190672153</v>
      </c>
      <c r="Q342" s="30">
        <v>-1.4132510288065838</v>
      </c>
    </row>
    <row r="343">
      <c r="A343" s="47">
        <v>1.1247127143E10</v>
      </c>
      <c r="B343" s="48">
        <v>46160.77045138889</v>
      </c>
      <c r="C343" s="30">
        <v>3.860089806E9</v>
      </c>
      <c r="D343" s="47" t="s">
        <v>1514</v>
      </c>
      <c r="E343" s="30">
        <v>2355.0</v>
      </c>
      <c r="F343" s="30">
        <v>1573.0</v>
      </c>
      <c r="G343" s="30">
        <v>0.0</v>
      </c>
      <c r="H343" s="30">
        <v>0.0</v>
      </c>
      <c r="I343" s="30">
        <v>197.208315</v>
      </c>
      <c r="J343" s="30">
        <v>0.0</v>
      </c>
      <c r="K343" s="30">
        <v>0.0</v>
      </c>
      <c r="L343" s="30">
        <v>0.0</v>
      </c>
      <c r="M343" s="30">
        <v>0.0</v>
      </c>
      <c r="N343" s="30">
        <v>392.5</v>
      </c>
      <c r="O343" s="30">
        <v>192.29168500000003</v>
      </c>
      <c r="P343" s="30">
        <v>8.16525201698514</v>
      </c>
      <c r="Q343" s="30">
        <v>9.798302420382168</v>
      </c>
    </row>
    <row r="344">
      <c r="A344" s="47">
        <v>1.1248774331E10</v>
      </c>
      <c r="B344" s="48">
        <v>46161.10430555556</v>
      </c>
      <c r="C344" s="30">
        <v>3.861418491E9</v>
      </c>
      <c r="D344" s="47" t="s">
        <v>1514</v>
      </c>
      <c r="E344" s="30">
        <v>729.0</v>
      </c>
      <c r="F344" s="30">
        <v>580.0</v>
      </c>
      <c r="G344" s="30">
        <v>0.0</v>
      </c>
      <c r="H344" s="30">
        <v>0.0</v>
      </c>
      <c r="I344" s="30">
        <v>36.0855</v>
      </c>
      <c r="J344" s="30">
        <v>0.0</v>
      </c>
      <c r="K344" s="30">
        <v>0.0</v>
      </c>
      <c r="L344" s="30">
        <v>0.0</v>
      </c>
      <c r="M344" s="30">
        <v>0.0</v>
      </c>
      <c r="N344" s="30">
        <v>121.5</v>
      </c>
      <c r="O344" s="30">
        <v>-8.585499999999996</v>
      </c>
      <c r="P344" s="30">
        <v>-1.177709190672153</v>
      </c>
      <c r="Q344" s="30">
        <v>-1.4132510288065838</v>
      </c>
    </row>
    <row r="345">
      <c r="A345" s="47">
        <v>1.1248717964E10</v>
      </c>
      <c r="B345" s="48">
        <v>46161.09133101852</v>
      </c>
      <c r="C345" s="30">
        <v>3.8613664E9</v>
      </c>
      <c r="D345" s="47" t="s">
        <v>1514</v>
      </c>
      <c r="E345" s="30">
        <v>1458.0</v>
      </c>
      <c r="F345" s="30">
        <v>1160.0</v>
      </c>
      <c r="G345" s="30">
        <v>0.0</v>
      </c>
      <c r="H345" s="30">
        <v>0.0</v>
      </c>
      <c r="I345" s="30">
        <v>72.171</v>
      </c>
      <c r="J345" s="30">
        <v>0.0</v>
      </c>
      <c r="K345" s="30">
        <v>0.0</v>
      </c>
      <c r="L345" s="30">
        <v>0.0</v>
      </c>
      <c r="M345" s="30">
        <v>0.0</v>
      </c>
      <c r="N345" s="30">
        <v>243.0</v>
      </c>
      <c r="O345" s="30">
        <v>-17.170999999999992</v>
      </c>
      <c r="P345" s="30">
        <v>-1.177709190672153</v>
      </c>
      <c r="Q345" s="30">
        <v>-1.4132510288065838</v>
      </c>
    </row>
    <row r="346">
      <c r="A346" s="47">
        <v>1.1247336876E10</v>
      </c>
      <c r="B346" s="48">
        <v>46160.81366898148</v>
      </c>
      <c r="C346" s="30">
        <v>3.860262398E9</v>
      </c>
      <c r="D346" s="47" t="s">
        <v>1514</v>
      </c>
      <c r="E346" s="30">
        <v>729.0</v>
      </c>
      <c r="F346" s="30">
        <v>580.0</v>
      </c>
      <c r="G346" s="30">
        <v>0.0</v>
      </c>
      <c r="H346" s="30">
        <v>0.0</v>
      </c>
      <c r="I346" s="30">
        <v>36.0855</v>
      </c>
      <c r="J346" s="30">
        <v>0.0</v>
      </c>
      <c r="K346" s="30">
        <v>0.0</v>
      </c>
      <c r="L346" s="30">
        <v>0.0</v>
      </c>
      <c r="M346" s="30">
        <v>0.0</v>
      </c>
      <c r="N346" s="30">
        <v>121.5</v>
      </c>
      <c r="O346" s="30">
        <v>-8.585499999999996</v>
      </c>
      <c r="P346" s="30">
        <v>-1.177709190672153</v>
      </c>
      <c r="Q346" s="30">
        <v>-1.4132510288065838</v>
      </c>
    </row>
    <row r="347">
      <c r="A347" s="47">
        <v>1.124673395E10</v>
      </c>
      <c r="B347" s="48">
        <v>46160.69119212963</v>
      </c>
      <c r="C347" s="30">
        <v>3.859749972E9</v>
      </c>
      <c r="D347" s="47" t="s">
        <v>1514</v>
      </c>
      <c r="E347" s="30">
        <v>1458.0</v>
      </c>
      <c r="F347" s="30">
        <v>1160.0</v>
      </c>
      <c r="G347" s="30">
        <v>0.0</v>
      </c>
      <c r="H347" s="30">
        <v>0.0</v>
      </c>
      <c r="I347" s="30">
        <v>72.171</v>
      </c>
      <c r="J347" s="30">
        <v>0.0</v>
      </c>
      <c r="K347" s="30">
        <v>0.0</v>
      </c>
      <c r="L347" s="30">
        <v>0.0</v>
      </c>
      <c r="M347" s="30">
        <v>0.0</v>
      </c>
      <c r="N347" s="30">
        <v>243.0</v>
      </c>
      <c r="O347" s="30">
        <v>-17.170999999999992</v>
      </c>
      <c r="P347" s="30">
        <v>-1.177709190672153</v>
      </c>
      <c r="Q347" s="30">
        <v>-1.4132510288065838</v>
      </c>
    </row>
    <row r="348">
      <c r="A348" s="47">
        <v>1.1247684863E10</v>
      </c>
      <c r="B348" s="48">
        <v>46160.88548611111</v>
      </c>
      <c r="C348" s="30">
        <v>3.860531362E9</v>
      </c>
      <c r="D348" s="47" t="s">
        <v>1514</v>
      </c>
      <c r="E348" s="30">
        <v>729.0</v>
      </c>
      <c r="F348" s="30">
        <v>580.0</v>
      </c>
      <c r="G348" s="30">
        <v>0.0</v>
      </c>
      <c r="H348" s="30">
        <v>0.0</v>
      </c>
      <c r="I348" s="30">
        <v>36.0855</v>
      </c>
      <c r="J348" s="30">
        <v>0.0</v>
      </c>
      <c r="K348" s="30">
        <v>0.0</v>
      </c>
      <c r="L348" s="30">
        <v>0.0</v>
      </c>
      <c r="M348" s="30">
        <v>0.0</v>
      </c>
      <c r="N348" s="30">
        <v>121.5</v>
      </c>
      <c r="O348" s="30">
        <v>-8.585499999999996</v>
      </c>
      <c r="P348" s="30">
        <v>-1.177709190672153</v>
      </c>
      <c r="Q348" s="30">
        <v>-1.4132510288065838</v>
      </c>
    </row>
    <row r="349">
      <c r="A349" s="47">
        <v>1.1248690335E10</v>
      </c>
      <c r="B349" s="48">
        <v>46161.084965277776</v>
      </c>
      <c r="C349" s="30">
        <v>3.8613375E9</v>
      </c>
      <c r="D349" s="47" t="s">
        <v>1514</v>
      </c>
      <c r="E349" s="30">
        <v>729.0</v>
      </c>
      <c r="F349" s="30">
        <v>580.0</v>
      </c>
      <c r="G349" s="30">
        <v>0.0</v>
      </c>
      <c r="H349" s="30">
        <v>0.0</v>
      </c>
      <c r="I349" s="30">
        <v>36.0855</v>
      </c>
      <c r="J349" s="30">
        <v>0.0</v>
      </c>
      <c r="K349" s="30">
        <v>0.0</v>
      </c>
      <c r="L349" s="30">
        <v>0.0</v>
      </c>
      <c r="M349" s="30">
        <v>0.0</v>
      </c>
      <c r="N349" s="30">
        <v>121.5</v>
      </c>
      <c r="O349" s="30">
        <v>-8.585499999999996</v>
      </c>
      <c r="P349" s="30">
        <v>-1.177709190672153</v>
      </c>
      <c r="Q349" s="30">
        <v>-1.4132510288065838</v>
      </c>
    </row>
    <row r="350">
      <c r="A350" s="47">
        <v>1.1248508004E10</v>
      </c>
      <c r="B350" s="48">
        <v>46161.048263888886</v>
      </c>
      <c r="C350" s="30">
        <v>3.861169589E9</v>
      </c>
      <c r="D350" s="47" t="s">
        <v>1514</v>
      </c>
      <c r="E350" s="30">
        <v>729.0</v>
      </c>
      <c r="F350" s="30">
        <v>580.0</v>
      </c>
      <c r="G350" s="30">
        <v>0.0</v>
      </c>
      <c r="H350" s="30">
        <v>0.0</v>
      </c>
      <c r="I350" s="30">
        <v>36.0855</v>
      </c>
      <c r="J350" s="30">
        <v>0.0</v>
      </c>
      <c r="K350" s="30">
        <v>0.0</v>
      </c>
      <c r="L350" s="30">
        <v>0.0</v>
      </c>
      <c r="M350" s="30">
        <v>0.0</v>
      </c>
      <c r="N350" s="30">
        <v>121.5</v>
      </c>
      <c r="O350" s="30">
        <v>-8.585499999999996</v>
      </c>
      <c r="P350" s="30">
        <v>-1.177709190672153</v>
      </c>
      <c r="Q350" s="30">
        <v>-1.4132510288065838</v>
      </c>
    </row>
    <row r="351">
      <c r="A351" s="47">
        <v>1.1247928526E10</v>
      </c>
      <c r="B351" s="48">
        <v>46160.933912037035</v>
      </c>
      <c r="C351" s="30">
        <v>3.860706953E9</v>
      </c>
      <c r="D351" s="47" t="s">
        <v>1514</v>
      </c>
      <c r="E351" s="30">
        <v>729.0</v>
      </c>
      <c r="F351" s="30">
        <v>580.0</v>
      </c>
      <c r="G351" s="30">
        <v>0.0</v>
      </c>
      <c r="H351" s="30">
        <v>0.0</v>
      </c>
      <c r="I351" s="30">
        <v>36.0855</v>
      </c>
      <c r="J351" s="30">
        <v>0.0</v>
      </c>
      <c r="K351" s="30">
        <v>0.0</v>
      </c>
      <c r="L351" s="30">
        <v>0.0</v>
      </c>
      <c r="M351" s="30">
        <v>0.0</v>
      </c>
      <c r="N351" s="30">
        <v>121.5</v>
      </c>
      <c r="O351" s="30">
        <v>-8.585499999999996</v>
      </c>
      <c r="P351" s="30">
        <v>-1.177709190672153</v>
      </c>
      <c r="Q351" s="30">
        <v>-1.4132510288065838</v>
      </c>
    </row>
    <row r="352">
      <c r="A352" s="47">
        <v>1.1247711802E10</v>
      </c>
      <c r="B352" s="48">
        <v>46160.891076388885</v>
      </c>
      <c r="C352" s="30">
        <v>3.86054964E9</v>
      </c>
      <c r="D352" s="47" t="s">
        <v>1514</v>
      </c>
      <c r="E352" s="30">
        <v>729.0</v>
      </c>
      <c r="F352" s="30">
        <v>580.0</v>
      </c>
      <c r="G352" s="30">
        <v>0.0</v>
      </c>
      <c r="H352" s="30">
        <v>0.0</v>
      </c>
      <c r="I352" s="30">
        <v>36.0855</v>
      </c>
      <c r="J352" s="30">
        <v>0.0</v>
      </c>
      <c r="K352" s="30">
        <v>0.0</v>
      </c>
      <c r="L352" s="30">
        <v>0.0</v>
      </c>
      <c r="M352" s="30">
        <v>0.0</v>
      </c>
      <c r="N352" s="30">
        <v>121.5</v>
      </c>
      <c r="O352" s="30">
        <v>-8.585499999999996</v>
      </c>
      <c r="P352" s="30">
        <v>-1.177709190672153</v>
      </c>
      <c r="Q352" s="30">
        <v>-1.4132510288065838</v>
      </c>
    </row>
    <row r="353">
      <c r="A353" s="47">
        <v>1.1247146159E10</v>
      </c>
      <c r="B353" s="48">
        <v>46160.77407407408</v>
      </c>
      <c r="C353" s="30">
        <v>3.860103394E9</v>
      </c>
      <c r="D353" s="47" t="s">
        <v>1514</v>
      </c>
      <c r="E353" s="30">
        <v>729.0</v>
      </c>
      <c r="F353" s="30">
        <v>580.0</v>
      </c>
      <c r="G353" s="30">
        <v>0.0</v>
      </c>
      <c r="H353" s="30">
        <v>0.0</v>
      </c>
      <c r="I353" s="30">
        <v>36.0855</v>
      </c>
      <c r="J353" s="30">
        <v>0.0</v>
      </c>
      <c r="K353" s="30">
        <v>0.0</v>
      </c>
      <c r="L353" s="30">
        <v>0.0</v>
      </c>
      <c r="M353" s="30">
        <v>0.0</v>
      </c>
      <c r="N353" s="30">
        <v>121.5</v>
      </c>
      <c r="O353" s="30">
        <v>-8.585499999999996</v>
      </c>
      <c r="P353" s="30">
        <v>-1.177709190672153</v>
      </c>
      <c r="Q353" s="30">
        <v>-1.4132510288065838</v>
      </c>
    </row>
    <row r="354">
      <c r="A354" s="47">
        <v>1.1247211567E10</v>
      </c>
      <c r="B354" s="48">
        <v>46160.78775462963</v>
      </c>
      <c r="C354" s="30">
        <v>3.860159034E9</v>
      </c>
      <c r="D354" s="47" t="s">
        <v>1514</v>
      </c>
      <c r="E354" s="30">
        <v>729.0</v>
      </c>
      <c r="F354" s="30">
        <v>580.0</v>
      </c>
      <c r="G354" s="30">
        <v>0.0</v>
      </c>
      <c r="H354" s="30">
        <v>0.0</v>
      </c>
      <c r="I354" s="30">
        <v>36.0855</v>
      </c>
      <c r="J354" s="30">
        <v>0.0</v>
      </c>
      <c r="K354" s="30">
        <v>0.0</v>
      </c>
      <c r="L354" s="30">
        <v>0.0</v>
      </c>
      <c r="M354" s="30">
        <v>0.0</v>
      </c>
      <c r="N354" s="30">
        <v>121.5</v>
      </c>
      <c r="O354" s="30">
        <v>-8.585499999999996</v>
      </c>
      <c r="P354" s="30">
        <v>-1.177709190672153</v>
      </c>
      <c r="Q354" s="30">
        <v>-1.4132510288065838</v>
      </c>
    </row>
    <row r="355">
      <c r="A355" s="47">
        <v>1.1248488749E10</v>
      </c>
      <c r="B355" s="48">
        <v>46161.04456018518</v>
      </c>
      <c r="C355" s="30">
        <v>3.861152742E9</v>
      </c>
      <c r="D355" s="47" t="s">
        <v>1514</v>
      </c>
      <c r="E355" s="30">
        <v>729.0</v>
      </c>
      <c r="F355" s="30">
        <v>580.0</v>
      </c>
      <c r="G355" s="30">
        <v>0.0</v>
      </c>
      <c r="H355" s="30">
        <v>0.0</v>
      </c>
      <c r="I355" s="30">
        <v>36.0855</v>
      </c>
      <c r="J355" s="30">
        <v>0.0</v>
      </c>
      <c r="K355" s="30">
        <v>0.0</v>
      </c>
      <c r="L355" s="30">
        <v>0.0</v>
      </c>
      <c r="M355" s="30">
        <v>0.0</v>
      </c>
      <c r="N355" s="30">
        <v>121.5</v>
      </c>
      <c r="O355" s="30">
        <v>-8.585499999999996</v>
      </c>
      <c r="P355" s="30">
        <v>-1.177709190672153</v>
      </c>
      <c r="Q355" s="30">
        <v>-1.4132510288065838</v>
      </c>
    </row>
    <row r="356">
      <c r="A356" s="47">
        <v>1.1247875209E10</v>
      </c>
      <c r="B356" s="48">
        <v>46160.92340277778</v>
      </c>
      <c r="C356" s="30">
        <v>3.860665492E9</v>
      </c>
      <c r="D356" s="47" t="s">
        <v>1514</v>
      </c>
      <c r="E356" s="30">
        <v>729.0</v>
      </c>
      <c r="F356" s="30">
        <v>580.0</v>
      </c>
      <c r="G356" s="30">
        <v>0.0</v>
      </c>
      <c r="H356" s="30">
        <v>0.0</v>
      </c>
      <c r="I356" s="30">
        <v>36.0855</v>
      </c>
      <c r="J356" s="30">
        <v>0.0</v>
      </c>
      <c r="K356" s="30">
        <v>0.0</v>
      </c>
      <c r="L356" s="30">
        <v>0.0</v>
      </c>
      <c r="M356" s="30">
        <v>0.0</v>
      </c>
      <c r="N356" s="30">
        <v>121.5</v>
      </c>
      <c r="O356" s="30">
        <v>-8.585499999999996</v>
      </c>
      <c r="P356" s="30">
        <v>-1.177709190672153</v>
      </c>
      <c r="Q356" s="30">
        <v>-1.4132510288065838</v>
      </c>
    </row>
    <row r="357">
      <c r="A357" s="47">
        <v>1.1248107492E10</v>
      </c>
      <c r="B357" s="48">
        <v>46160.969502314816</v>
      </c>
      <c r="C357" s="30">
        <v>3.860840262E9</v>
      </c>
      <c r="D357" s="47" t="s">
        <v>1514</v>
      </c>
      <c r="E357" s="30">
        <v>729.0</v>
      </c>
      <c r="F357" s="30">
        <v>580.0</v>
      </c>
      <c r="G357" s="30">
        <v>0.0</v>
      </c>
      <c r="H357" s="30">
        <v>0.0</v>
      </c>
      <c r="I357" s="30">
        <v>36.0855</v>
      </c>
      <c r="J357" s="30">
        <v>0.0</v>
      </c>
      <c r="K357" s="30">
        <v>0.0</v>
      </c>
      <c r="L357" s="30">
        <v>0.0</v>
      </c>
      <c r="M357" s="30">
        <v>0.0</v>
      </c>
      <c r="N357" s="30">
        <v>121.5</v>
      </c>
      <c r="O357" s="30">
        <v>-8.585499999999996</v>
      </c>
      <c r="P357" s="30">
        <v>-1.177709190672153</v>
      </c>
      <c r="Q357" s="30">
        <v>-1.4132510288065838</v>
      </c>
    </row>
    <row r="358">
      <c r="A358" s="47">
        <v>1.1248344307E10</v>
      </c>
      <c r="B358" s="48">
        <v>46161.01574074074</v>
      </c>
      <c r="C358" s="30">
        <v>3.861024951E9</v>
      </c>
      <c r="D358" s="47" t="s">
        <v>1514</v>
      </c>
      <c r="E358" s="30">
        <v>729.0</v>
      </c>
      <c r="F358" s="30">
        <v>580.0</v>
      </c>
      <c r="G358" s="30">
        <v>0.0</v>
      </c>
      <c r="H358" s="30">
        <v>0.0</v>
      </c>
      <c r="I358" s="30">
        <v>36.0855</v>
      </c>
      <c r="J358" s="30">
        <v>0.0</v>
      </c>
      <c r="K358" s="30">
        <v>0.0</v>
      </c>
      <c r="L358" s="30">
        <v>0.0</v>
      </c>
      <c r="M358" s="30">
        <v>0.0</v>
      </c>
      <c r="N358" s="30">
        <v>121.5</v>
      </c>
      <c r="O358" s="30">
        <v>-8.585499999999996</v>
      </c>
      <c r="P358" s="30">
        <v>-1.177709190672153</v>
      </c>
      <c r="Q358" s="30">
        <v>-1.4132510288065838</v>
      </c>
    </row>
    <row r="359">
      <c r="A359" s="47">
        <v>1.1247541495E10</v>
      </c>
      <c r="B359" s="48">
        <v>46160.8565625</v>
      </c>
      <c r="C359" s="30">
        <v>3.860426702E9</v>
      </c>
      <c r="D359" s="47" t="s">
        <v>1514</v>
      </c>
      <c r="E359" s="30">
        <v>729.0</v>
      </c>
      <c r="F359" s="30">
        <v>580.0</v>
      </c>
      <c r="G359" s="30">
        <v>0.0</v>
      </c>
      <c r="H359" s="30">
        <v>0.0</v>
      </c>
      <c r="I359" s="30">
        <v>36.0855</v>
      </c>
      <c r="J359" s="30">
        <v>0.0</v>
      </c>
      <c r="K359" s="30">
        <v>0.0</v>
      </c>
      <c r="L359" s="30">
        <v>0.0</v>
      </c>
      <c r="M359" s="30">
        <v>0.0</v>
      </c>
      <c r="N359" s="30">
        <v>121.5</v>
      </c>
      <c r="O359" s="30">
        <v>-8.585499999999996</v>
      </c>
      <c r="P359" s="30">
        <v>-1.177709190672153</v>
      </c>
      <c r="Q359" s="30">
        <v>-1.4132510288065838</v>
      </c>
    </row>
    <row r="360">
      <c r="A360" s="47">
        <v>1.1246859563E10</v>
      </c>
      <c r="B360" s="48">
        <v>46160.71565972222</v>
      </c>
      <c r="C360" s="30">
        <v>3.859856591E9</v>
      </c>
      <c r="D360" s="47" t="s">
        <v>1514</v>
      </c>
      <c r="E360" s="30">
        <v>729.0</v>
      </c>
      <c r="F360" s="30">
        <v>580.0</v>
      </c>
      <c r="G360" s="30">
        <v>0.0</v>
      </c>
      <c r="H360" s="30">
        <v>0.0</v>
      </c>
      <c r="I360" s="30">
        <v>36.0855</v>
      </c>
      <c r="J360" s="30">
        <v>0.0</v>
      </c>
      <c r="K360" s="30">
        <v>0.0</v>
      </c>
      <c r="L360" s="30">
        <v>0.0</v>
      </c>
      <c r="M360" s="30">
        <v>0.0</v>
      </c>
      <c r="N360" s="30">
        <v>121.5</v>
      </c>
      <c r="O360" s="30">
        <v>-8.585499999999996</v>
      </c>
      <c r="P360" s="30">
        <v>-1.177709190672153</v>
      </c>
      <c r="Q360" s="30">
        <v>-1.4132510288065838</v>
      </c>
    </row>
    <row r="361">
      <c r="A361" s="47">
        <v>1.1246935064E10</v>
      </c>
      <c r="B361" s="48">
        <v>46160.73094907407</v>
      </c>
      <c r="C361" s="30">
        <v>3.859923719E9</v>
      </c>
      <c r="D361" s="47" t="s">
        <v>1514</v>
      </c>
      <c r="E361" s="30">
        <v>729.0</v>
      </c>
      <c r="F361" s="30">
        <v>580.0</v>
      </c>
      <c r="G361" s="30">
        <v>0.0</v>
      </c>
      <c r="H361" s="30">
        <v>0.0</v>
      </c>
      <c r="I361" s="30">
        <v>36.0855</v>
      </c>
      <c r="J361" s="30">
        <v>0.0</v>
      </c>
      <c r="K361" s="30">
        <v>0.0</v>
      </c>
      <c r="L361" s="30">
        <v>0.0</v>
      </c>
      <c r="M361" s="30">
        <v>0.0</v>
      </c>
      <c r="N361" s="30">
        <v>121.5</v>
      </c>
      <c r="O361" s="30">
        <v>-8.585499999999996</v>
      </c>
      <c r="P361" s="30">
        <v>-1.177709190672153</v>
      </c>
      <c r="Q361" s="30">
        <v>-1.4132510288065838</v>
      </c>
    </row>
    <row r="362">
      <c r="A362" s="47">
        <v>1.1246923084E10</v>
      </c>
      <c r="B362" s="48">
        <v>46160.728425925925</v>
      </c>
      <c r="C362" s="30">
        <v>3.85991441E9</v>
      </c>
      <c r="D362" s="47" t="s">
        <v>1514</v>
      </c>
      <c r="E362" s="30">
        <v>729.0</v>
      </c>
      <c r="F362" s="30">
        <v>580.0</v>
      </c>
      <c r="G362" s="30">
        <v>0.0</v>
      </c>
      <c r="H362" s="30">
        <v>0.0</v>
      </c>
      <c r="I362" s="30">
        <v>36.0855</v>
      </c>
      <c r="J362" s="30">
        <v>0.0</v>
      </c>
      <c r="K362" s="30">
        <v>0.0</v>
      </c>
      <c r="L362" s="30">
        <v>0.0</v>
      </c>
      <c r="M362" s="30">
        <v>0.0</v>
      </c>
      <c r="N362" s="30">
        <v>121.5</v>
      </c>
      <c r="O362" s="30">
        <v>-8.585499999999996</v>
      </c>
      <c r="P362" s="30">
        <v>-1.177709190672153</v>
      </c>
      <c r="Q362" s="30">
        <v>-1.4132510288065838</v>
      </c>
    </row>
    <row r="363">
      <c r="A363" s="47">
        <v>1.1246815382E10</v>
      </c>
      <c r="B363" s="48">
        <v>46160.70700231481</v>
      </c>
      <c r="C363" s="30">
        <v>3.859820246E9</v>
      </c>
      <c r="D363" s="47" t="s">
        <v>1514</v>
      </c>
      <c r="E363" s="30">
        <v>729.0</v>
      </c>
      <c r="F363" s="30">
        <v>580.0</v>
      </c>
      <c r="G363" s="30">
        <v>0.0</v>
      </c>
      <c r="H363" s="30">
        <v>0.0</v>
      </c>
      <c r="I363" s="30">
        <v>36.0855</v>
      </c>
      <c r="J363" s="30">
        <v>0.0</v>
      </c>
      <c r="K363" s="30">
        <v>0.0</v>
      </c>
      <c r="L363" s="30">
        <v>0.0</v>
      </c>
      <c r="M363" s="30">
        <v>0.0</v>
      </c>
      <c r="N363" s="30">
        <v>121.5</v>
      </c>
      <c r="O363" s="30">
        <v>-8.585499999999996</v>
      </c>
      <c r="P363" s="30">
        <v>-1.177709190672153</v>
      </c>
      <c r="Q363" s="30">
        <v>-1.4132510288065838</v>
      </c>
    </row>
    <row r="364">
      <c r="A364" s="47">
        <v>1.1246678955E10</v>
      </c>
      <c r="B364" s="48">
        <v>46160.68087962963</v>
      </c>
      <c r="C364" s="30">
        <v>3.859701534E9</v>
      </c>
      <c r="D364" s="47" t="s">
        <v>1514</v>
      </c>
      <c r="E364" s="30">
        <v>729.0</v>
      </c>
      <c r="F364" s="30">
        <v>580.0</v>
      </c>
      <c r="G364" s="30">
        <v>0.0</v>
      </c>
      <c r="H364" s="30">
        <v>0.0</v>
      </c>
      <c r="I364" s="30">
        <v>36.0855</v>
      </c>
      <c r="J364" s="30">
        <v>0.0</v>
      </c>
      <c r="K364" s="30">
        <v>0.0</v>
      </c>
      <c r="L364" s="30">
        <v>0.0</v>
      </c>
      <c r="M364" s="30">
        <v>0.0</v>
      </c>
      <c r="N364" s="30">
        <v>121.5</v>
      </c>
      <c r="O364" s="30">
        <v>-8.585499999999996</v>
      </c>
      <c r="P364" s="30">
        <v>-1.177709190672153</v>
      </c>
      <c r="Q364" s="30">
        <v>-1.4132510288065838</v>
      </c>
    </row>
    <row r="365">
      <c r="A365" s="47">
        <v>1.1246626772E10</v>
      </c>
      <c r="B365" s="48">
        <v>46160.67119212963</v>
      </c>
      <c r="C365" s="30">
        <v>3.859657812E9</v>
      </c>
      <c r="D365" s="47" t="s">
        <v>1514</v>
      </c>
      <c r="E365" s="30">
        <v>729.0</v>
      </c>
      <c r="F365" s="30">
        <v>580.0</v>
      </c>
      <c r="G365" s="30">
        <v>0.0</v>
      </c>
      <c r="H365" s="30">
        <v>0.0</v>
      </c>
      <c r="I365" s="30">
        <v>36.0855</v>
      </c>
      <c r="J365" s="30">
        <v>0.0</v>
      </c>
      <c r="K365" s="30">
        <v>0.0</v>
      </c>
      <c r="L365" s="30">
        <v>0.0</v>
      </c>
      <c r="M365" s="30">
        <v>0.0</v>
      </c>
      <c r="N365" s="30">
        <v>121.5</v>
      </c>
      <c r="O365" s="30">
        <v>-8.585499999999996</v>
      </c>
      <c r="P365" s="30">
        <v>-1.177709190672153</v>
      </c>
      <c r="Q365" s="30">
        <v>-1.4132510288065838</v>
      </c>
    </row>
    <row r="366">
      <c r="A366" s="47">
        <v>1.1246631127E10</v>
      </c>
      <c r="B366" s="48">
        <v>46160.67204861111</v>
      </c>
      <c r="C366" s="30">
        <v>3.859661968E9</v>
      </c>
      <c r="D366" s="47" t="s">
        <v>1514</v>
      </c>
      <c r="E366" s="30">
        <v>729.0</v>
      </c>
      <c r="F366" s="30">
        <v>580.0</v>
      </c>
      <c r="G366" s="30">
        <v>0.0</v>
      </c>
      <c r="H366" s="30">
        <v>0.0</v>
      </c>
      <c r="I366" s="30">
        <v>36.0855</v>
      </c>
      <c r="J366" s="30">
        <v>0.0</v>
      </c>
      <c r="K366" s="30">
        <v>0.0</v>
      </c>
      <c r="L366" s="30">
        <v>0.0</v>
      </c>
      <c r="M366" s="30">
        <v>0.0</v>
      </c>
      <c r="N366" s="30">
        <v>121.5</v>
      </c>
      <c r="O366" s="30">
        <v>-8.585499999999996</v>
      </c>
      <c r="P366" s="30">
        <v>-1.177709190672153</v>
      </c>
      <c r="Q366" s="30">
        <v>-1.4132510288065838</v>
      </c>
    </row>
    <row r="367">
      <c r="A367" s="47">
        <v>1.1246222289E10</v>
      </c>
      <c r="B367" s="48">
        <v>46160.590995370374</v>
      </c>
      <c r="C367" s="30">
        <v>3.859313939E9</v>
      </c>
      <c r="D367" s="47" t="s">
        <v>1514</v>
      </c>
      <c r="E367" s="30">
        <v>729.0</v>
      </c>
      <c r="F367" s="30">
        <v>580.0</v>
      </c>
      <c r="G367" s="30">
        <v>0.0</v>
      </c>
      <c r="H367" s="30">
        <v>0.0</v>
      </c>
      <c r="I367" s="30">
        <v>36.0855</v>
      </c>
      <c r="J367" s="30">
        <v>0.0</v>
      </c>
      <c r="K367" s="30">
        <v>0.0</v>
      </c>
      <c r="L367" s="30">
        <v>0.0</v>
      </c>
      <c r="M367" s="30">
        <v>0.0</v>
      </c>
      <c r="N367" s="30">
        <v>121.5</v>
      </c>
      <c r="O367" s="30">
        <v>-8.585499999999996</v>
      </c>
      <c r="P367" s="30">
        <v>-1.177709190672153</v>
      </c>
      <c r="Q367" s="30">
        <v>-1.4132510288065838</v>
      </c>
    </row>
    <row r="368">
      <c r="A368" s="47">
        <v>1.1246097383E10</v>
      </c>
      <c r="B368" s="48">
        <v>46160.55767361111</v>
      </c>
      <c r="C368" s="30">
        <v>3.859186289E9</v>
      </c>
      <c r="D368" s="47" t="s">
        <v>1514</v>
      </c>
      <c r="E368" s="30">
        <v>729.0</v>
      </c>
      <c r="F368" s="30">
        <v>580.0</v>
      </c>
      <c r="G368" s="30">
        <v>0.0</v>
      </c>
      <c r="H368" s="30">
        <v>0.0</v>
      </c>
      <c r="I368" s="30">
        <v>36.0855</v>
      </c>
      <c r="J368" s="30">
        <v>0.0</v>
      </c>
      <c r="K368" s="30">
        <v>0.0</v>
      </c>
      <c r="L368" s="30">
        <v>0.0</v>
      </c>
      <c r="M368" s="30">
        <v>0.0</v>
      </c>
      <c r="N368" s="30">
        <v>121.5</v>
      </c>
      <c r="O368" s="30">
        <v>-8.585499999999996</v>
      </c>
      <c r="P368" s="30">
        <v>-1.177709190672153</v>
      </c>
      <c r="Q368" s="30">
        <v>-1.4132510288065838</v>
      </c>
    </row>
    <row r="369">
      <c r="A369" s="47">
        <v>1.1246511287E10</v>
      </c>
      <c r="B369" s="48">
        <v>46160.649143518516</v>
      </c>
      <c r="C369" s="30">
        <v>3.85955913E9</v>
      </c>
      <c r="D369" s="47" t="s">
        <v>1514</v>
      </c>
      <c r="E369" s="30">
        <v>729.0</v>
      </c>
      <c r="F369" s="30">
        <v>580.0</v>
      </c>
      <c r="G369" s="30">
        <v>0.0</v>
      </c>
      <c r="H369" s="30">
        <v>0.0</v>
      </c>
      <c r="I369" s="30">
        <v>36.0855</v>
      </c>
      <c r="J369" s="30">
        <v>0.0</v>
      </c>
      <c r="K369" s="30">
        <v>0.0</v>
      </c>
      <c r="L369" s="30">
        <v>0.0</v>
      </c>
      <c r="M369" s="30">
        <v>0.0</v>
      </c>
      <c r="N369" s="30">
        <v>121.5</v>
      </c>
      <c r="O369" s="30">
        <v>-8.585499999999996</v>
      </c>
      <c r="P369" s="30">
        <v>-1.177709190672153</v>
      </c>
      <c r="Q369" s="30">
        <v>-1.4132510288065838</v>
      </c>
    </row>
    <row r="370">
      <c r="A370" s="47">
        <v>1.1246436496E10</v>
      </c>
      <c r="B370" s="48">
        <v>46160.634675925925</v>
      </c>
      <c r="C370" s="30">
        <v>3.859500321E9</v>
      </c>
      <c r="D370" s="47" t="s">
        <v>1514</v>
      </c>
      <c r="E370" s="30">
        <v>729.0</v>
      </c>
      <c r="F370" s="30">
        <v>580.0</v>
      </c>
      <c r="G370" s="30">
        <v>0.0</v>
      </c>
      <c r="H370" s="30">
        <v>0.0</v>
      </c>
      <c r="I370" s="30">
        <v>36.0855</v>
      </c>
      <c r="J370" s="30">
        <v>0.0</v>
      </c>
      <c r="K370" s="30">
        <v>0.0</v>
      </c>
      <c r="L370" s="30">
        <v>0.0</v>
      </c>
      <c r="M370" s="30">
        <v>0.0</v>
      </c>
      <c r="N370" s="30">
        <v>121.5</v>
      </c>
      <c r="O370" s="30">
        <v>-8.585499999999996</v>
      </c>
      <c r="P370" s="30">
        <v>-1.177709190672153</v>
      </c>
      <c r="Q370" s="30">
        <v>-1.4132510288065838</v>
      </c>
    </row>
    <row r="371">
      <c r="A371" s="47">
        <v>1.1248518374E10</v>
      </c>
      <c r="B371" s="48">
        <v>46161.050104166665</v>
      </c>
      <c r="C371" s="30">
        <v>3.861180427E9</v>
      </c>
      <c r="D371" s="47" t="s">
        <v>1514</v>
      </c>
      <c r="E371" s="30">
        <v>2187.0</v>
      </c>
      <c r="F371" s="30">
        <v>1740.0</v>
      </c>
      <c r="G371" s="30">
        <v>0.0</v>
      </c>
      <c r="H371" s="30">
        <v>0.0</v>
      </c>
      <c r="I371" s="30">
        <v>96.4467</v>
      </c>
      <c r="J371" s="30">
        <v>0.0</v>
      </c>
      <c r="K371" s="30">
        <v>0.0</v>
      </c>
      <c r="L371" s="30">
        <v>0.0</v>
      </c>
      <c r="M371" s="30">
        <v>0.0</v>
      </c>
      <c r="N371" s="30">
        <v>364.5</v>
      </c>
      <c r="O371" s="30">
        <v>-13.946700000000021</v>
      </c>
      <c r="P371" s="30">
        <v>-0.6377091906721546</v>
      </c>
      <c r="Q371" s="30">
        <v>-0.7652510288065856</v>
      </c>
    </row>
    <row r="372">
      <c r="A372" s="47">
        <v>1.124751981E10</v>
      </c>
      <c r="B372" s="48">
        <v>46160.85189814815</v>
      </c>
      <c r="C372" s="30">
        <v>3.860407667E9</v>
      </c>
      <c r="D372" s="47" t="s">
        <v>1514</v>
      </c>
      <c r="E372" s="30">
        <v>1458.0</v>
      </c>
      <c r="F372" s="30">
        <v>1160.0</v>
      </c>
      <c r="G372" s="30">
        <v>0.0</v>
      </c>
      <c r="H372" s="30">
        <v>0.0</v>
      </c>
      <c r="I372" s="30">
        <v>64.29780000000001</v>
      </c>
      <c r="J372" s="30">
        <v>0.0</v>
      </c>
      <c r="K372" s="30">
        <v>0.0</v>
      </c>
      <c r="L372" s="30">
        <v>0.0</v>
      </c>
      <c r="M372" s="30">
        <v>0.0</v>
      </c>
      <c r="N372" s="30">
        <v>243.0</v>
      </c>
      <c r="O372" s="30">
        <v>-9.297799999999995</v>
      </c>
      <c r="P372" s="30">
        <v>-0.6377091906721534</v>
      </c>
      <c r="Q372" s="30">
        <v>-0.765251028806584</v>
      </c>
    </row>
    <row r="373">
      <c r="A373" s="47">
        <v>1.1248618014E10</v>
      </c>
      <c r="B373" s="48">
        <v>46161.07034722222</v>
      </c>
      <c r="C373" s="30">
        <v>3.861270722E9</v>
      </c>
      <c r="D373" s="47" t="s">
        <v>1514</v>
      </c>
      <c r="E373" s="30">
        <v>1458.0</v>
      </c>
      <c r="F373" s="30">
        <v>1160.0</v>
      </c>
      <c r="G373" s="30">
        <v>0.0</v>
      </c>
      <c r="H373" s="30">
        <v>0.0</v>
      </c>
      <c r="I373" s="30">
        <v>64.29780000000001</v>
      </c>
      <c r="J373" s="30">
        <v>0.0</v>
      </c>
      <c r="K373" s="30">
        <v>0.0</v>
      </c>
      <c r="L373" s="30">
        <v>0.0</v>
      </c>
      <c r="M373" s="30">
        <v>0.0</v>
      </c>
      <c r="N373" s="30">
        <v>243.0</v>
      </c>
      <c r="O373" s="30">
        <v>-9.297799999999995</v>
      </c>
      <c r="P373" s="30">
        <v>-0.6377091906721534</v>
      </c>
      <c r="Q373" s="30">
        <v>-0.765251028806584</v>
      </c>
    </row>
    <row r="374">
      <c r="A374" s="47">
        <v>1.1247495451E10</v>
      </c>
      <c r="B374" s="48">
        <v>46160.84675925926</v>
      </c>
      <c r="C374" s="30">
        <v>3.860387148E9</v>
      </c>
      <c r="D374" s="47" t="s">
        <v>1514</v>
      </c>
      <c r="E374" s="30">
        <v>729.0</v>
      </c>
      <c r="F374" s="30">
        <v>580.0</v>
      </c>
      <c r="G374" s="30">
        <v>0.0</v>
      </c>
      <c r="H374" s="30">
        <v>0.0</v>
      </c>
      <c r="I374" s="30">
        <v>32.148900000000005</v>
      </c>
      <c r="J374" s="30">
        <v>0.0</v>
      </c>
      <c r="K374" s="30">
        <v>0.0</v>
      </c>
      <c r="L374" s="30">
        <v>0.0</v>
      </c>
      <c r="M374" s="30">
        <v>0.0</v>
      </c>
      <c r="N374" s="30">
        <v>121.5</v>
      </c>
      <c r="O374" s="30">
        <v>-4.648899999999998</v>
      </c>
      <c r="P374" s="30">
        <v>-0.6377091906721534</v>
      </c>
      <c r="Q374" s="30">
        <v>-0.765251028806584</v>
      </c>
    </row>
    <row r="375">
      <c r="A375" s="47">
        <v>1.1247295604E10</v>
      </c>
      <c r="B375" s="48">
        <v>46160.805243055554</v>
      </c>
      <c r="C375" s="30">
        <v>3.860230586E9</v>
      </c>
      <c r="D375" s="47" t="s">
        <v>1514</v>
      </c>
      <c r="E375" s="30">
        <v>1458.0</v>
      </c>
      <c r="F375" s="30">
        <v>1160.0</v>
      </c>
      <c r="G375" s="30">
        <v>0.0</v>
      </c>
      <c r="H375" s="30">
        <v>0.0</v>
      </c>
      <c r="I375" s="30">
        <v>64.29780000000001</v>
      </c>
      <c r="J375" s="30">
        <v>0.0</v>
      </c>
      <c r="K375" s="30">
        <v>0.0</v>
      </c>
      <c r="L375" s="30">
        <v>0.0</v>
      </c>
      <c r="M375" s="30">
        <v>0.0</v>
      </c>
      <c r="N375" s="30">
        <v>243.0</v>
      </c>
      <c r="O375" s="30">
        <v>-9.297799999999995</v>
      </c>
      <c r="P375" s="30">
        <v>-0.6377091906721534</v>
      </c>
      <c r="Q375" s="30">
        <v>-0.765251028806584</v>
      </c>
    </row>
    <row r="376">
      <c r="A376" s="47">
        <v>1.1246085974E10</v>
      </c>
      <c r="B376" s="48">
        <v>46160.55425925926</v>
      </c>
      <c r="C376" s="30">
        <v>3.859174599E9</v>
      </c>
      <c r="D376" s="47" t="s">
        <v>1514</v>
      </c>
      <c r="E376" s="30">
        <v>1458.0</v>
      </c>
      <c r="F376" s="30">
        <v>1160.0</v>
      </c>
      <c r="G376" s="30">
        <v>0.0</v>
      </c>
      <c r="H376" s="30">
        <v>0.0</v>
      </c>
      <c r="I376" s="30">
        <v>64.29780000000001</v>
      </c>
      <c r="J376" s="30">
        <v>0.0</v>
      </c>
      <c r="K376" s="30">
        <v>0.0</v>
      </c>
      <c r="L376" s="30">
        <v>0.0</v>
      </c>
      <c r="M376" s="30">
        <v>0.0</v>
      </c>
      <c r="N376" s="30">
        <v>243.0</v>
      </c>
      <c r="O376" s="30">
        <v>-9.297799999999995</v>
      </c>
      <c r="P376" s="30">
        <v>-0.6377091906721534</v>
      </c>
      <c r="Q376" s="30">
        <v>-0.765251028806584</v>
      </c>
    </row>
    <row r="377">
      <c r="A377" s="47">
        <v>1.1246231602E10</v>
      </c>
      <c r="B377" s="48">
        <v>46160.59324074074</v>
      </c>
      <c r="C377" s="30">
        <v>3.85932665E9</v>
      </c>
      <c r="D377" s="47" t="s">
        <v>1514</v>
      </c>
      <c r="E377" s="30">
        <v>2916.0</v>
      </c>
      <c r="F377" s="30">
        <v>2320.0</v>
      </c>
      <c r="G377" s="30">
        <v>0.0</v>
      </c>
      <c r="H377" s="30">
        <v>0.0</v>
      </c>
      <c r="I377" s="30">
        <v>128.59560000000002</v>
      </c>
      <c r="J377" s="30">
        <v>0.0</v>
      </c>
      <c r="K377" s="30">
        <v>0.0</v>
      </c>
      <c r="L377" s="30">
        <v>0.0</v>
      </c>
      <c r="M377" s="30">
        <v>0.0</v>
      </c>
      <c r="N377" s="30">
        <v>486.0</v>
      </c>
      <c r="O377" s="30">
        <v>-18.59559999999999</v>
      </c>
      <c r="P377" s="30">
        <v>-0.6377091906721534</v>
      </c>
      <c r="Q377" s="30">
        <v>-0.765251028806584</v>
      </c>
    </row>
    <row r="378">
      <c r="A378" s="47">
        <v>1.1248136937E10</v>
      </c>
      <c r="B378" s="48">
        <v>46160.975497685184</v>
      </c>
      <c r="C378" s="30">
        <v>3.860879148E9</v>
      </c>
      <c r="D378" s="47" t="s">
        <v>1514</v>
      </c>
      <c r="E378" s="30">
        <v>2916.0</v>
      </c>
      <c r="F378" s="30">
        <v>2320.0</v>
      </c>
      <c r="G378" s="30">
        <v>0.0</v>
      </c>
      <c r="H378" s="30">
        <v>0.0</v>
      </c>
      <c r="I378" s="30">
        <v>128.59560000000002</v>
      </c>
      <c r="J378" s="30">
        <v>0.0</v>
      </c>
      <c r="K378" s="30">
        <v>0.0</v>
      </c>
      <c r="L378" s="30">
        <v>0.0</v>
      </c>
      <c r="M378" s="30">
        <v>0.0</v>
      </c>
      <c r="N378" s="30">
        <v>486.0</v>
      </c>
      <c r="O378" s="30">
        <v>-18.59559999999999</v>
      </c>
      <c r="P378" s="30">
        <v>-0.6377091906721534</v>
      </c>
      <c r="Q378" s="30">
        <v>-0.765251028806584</v>
      </c>
    </row>
    <row r="379">
      <c r="A379" s="47">
        <v>1.1246080169E10</v>
      </c>
      <c r="B379" s="48">
        <v>46160.552511574075</v>
      </c>
      <c r="C379" s="30">
        <v>3.859168488E9</v>
      </c>
      <c r="D379" s="47" t="s">
        <v>1514</v>
      </c>
      <c r="E379" s="30">
        <v>1458.0</v>
      </c>
      <c r="F379" s="30">
        <v>1160.0</v>
      </c>
      <c r="G379" s="30">
        <v>0.0</v>
      </c>
      <c r="H379" s="30">
        <v>0.0</v>
      </c>
      <c r="I379" s="30">
        <v>64.29780000000001</v>
      </c>
      <c r="J379" s="30">
        <v>0.0</v>
      </c>
      <c r="K379" s="30">
        <v>0.0</v>
      </c>
      <c r="L379" s="30">
        <v>0.0</v>
      </c>
      <c r="M379" s="30">
        <v>0.0</v>
      </c>
      <c r="N379" s="30">
        <v>243.0</v>
      </c>
      <c r="O379" s="30">
        <v>-9.297799999999995</v>
      </c>
      <c r="P379" s="30">
        <v>-0.6377091906721534</v>
      </c>
      <c r="Q379" s="30">
        <v>-0.765251028806584</v>
      </c>
    </row>
    <row r="380">
      <c r="A380" s="47">
        <v>1.1248444508E10</v>
      </c>
      <c r="B380" s="48">
        <v>46161.035775462966</v>
      </c>
      <c r="C380" s="30">
        <v>3.861114477E9</v>
      </c>
      <c r="D380" s="47" t="s">
        <v>1514</v>
      </c>
      <c r="E380" s="30">
        <v>1458.0</v>
      </c>
      <c r="F380" s="30">
        <v>1160.0</v>
      </c>
      <c r="G380" s="30">
        <v>0.0</v>
      </c>
      <c r="H380" s="30">
        <v>0.0</v>
      </c>
      <c r="I380" s="30">
        <v>64.29780000000001</v>
      </c>
      <c r="J380" s="30">
        <v>0.0</v>
      </c>
      <c r="K380" s="30">
        <v>0.0</v>
      </c>
      <c r="L380" s="30">
        <v>0.0</v>
      </c>
      <c r="M380" s="30">
        <v>0.0</v>
      </c>
      <c r="N380" s="30">
        <v>243.0</v>
      </c>
      <c r="O380" s="30">
        <v>-9.297799999999995</v>
      </c>
      <c r="P380" s="30">
        <v>-0.6377091906721534</v>
      </c>
      <c r="Q380" s="30">
        <v>-0.765251028806584</v>
      </c>
    </row>
    <row r="381">
      <c r="A381" s="47">
        <v>1.1248487102E10</v>
      </c>
      <c r="B381" s="48">
        <v>46161.044224537036</v>
      </c>
      <c r="C381" s="30">
        <v>3.861151336E9</v>
      </c>
      <c r="D381" s="47" t="s">
        <v>1514</v>
      </c>
      <c r="E381" s="30">
        <v>729.0</v>
      </c>
      <c r="F381" s="30">
        <v>580.0</v>
      </c>
      <c r="G381" s="30">
        <v>0.0</v>
      </c>
      <c r="H381" s="30">
        <v>0.0</v>
      </c>
      <c r="I381" s="30">
        <v>32.148900000000005</v>
      </c>
      <c r="J381" s="30">
        <v>0.0</v>
      </c>
      <c r="K381" s="30">
        <v>0.0</v>
      </c>
      <c r="L381" s="30">
        <v>0.0</v>
      </c>
      <c r="M381" s="30">
        <v>0.0</v>
      </c>
      <c r="N381" s="30">
        <v>121.5</v>
      </c>
      <c r="O381" s="30">
        <v>-4.648899999999998</v>
      </c>
      <c r="P381" s="30">
        <v>-0.6377091906721534</v>
      </c>
      <c r="Q381" s="30">
        <v>-0.765251028806584</v>
      </c>
    </row>
    <row r="382">
      <c r="A382" s="47">
        <v>1.1247016925E10</v>
      </c>
      <c r="B382" s="48">
        <v>46160.74784722222</v>
      </c>
      <c r="C382" s="30">
        <v>3.859995563E9</v>
      </c>
      <c r="D382" s="47" t="s">
        <v>1514</v>
      </c>
      <c r="E382" s="30">
        <v>1458.0</v>
      </c>
      <c r="F382" s="30">
        <v>1160.0</v>
      </c>
      <c r="G382" s="30">
        <v>0.0</v>
      </c>
      <c r="H382" s="30">
        <v>0.0</v>
      </c>
      <c r="I382" s="30">
        <v>64.29780000000001</v>
      </c>
      <c r="J382" s="30">
        <v>0.0</v>
      </c>
      <c r="K382" s="30">
        <v>0.0</v>
      </c>
      <c r="L382" s="30">
        <v>0.0</v>
      </c>
      <c r="M382" s="30">
        <v>0.0</v>
      </c>
      <c r="N382" s="30">
        <v>243.0</v>
      </c>
      <c r="O382" s="30">
        <v>-9.297799999999995</v>
      </c>
      <c r="P382" s="30">
        <v>-0.6377091906721534</v>
      </c>
      <c r="Q382" s="30">
        <v>-0.765251028806584</v>
      </c>
    </row>
    <row r="383">
      <c r="A383" s="47">
        <v>1.1248406304E10</v>
      </c>
      <c r="B383" s="48">
        <v>46161.02795138889</v>
      </c>
      <c r="C383" s="30">
        <v>3.861079233E9</v>
      </c>
      <c r="D383" s="47" t="s">
        <v>1514</v>
      </c>
      <c r="E383" s="30">
        <v>729.0</v>
      </c>
      <c r="F383" s="30">
        <v>580.0</v>
      </c>
      <c r="G383" s="30">
        <v>0.0</v>
      </c>
      <c r="H383" s="30">
        <v>0.0</v>
      </c>
      <c r="I383" s="30">
        <v>32.148900000000005</v>
      </c>
      <c r="J383" s="30">
        <v>0.0</v>
      </c>
      <c r="K383" s="30">
        <v>0.0</v>
      </c>
      <c r="L383" s="30">
        <v>0.0</v>
      </c>
      <c r="M383" s="30">
        <v>0.0</v>
      </c>
      <c r="N383" s="30">
        <v>121.5</v>
      </c>
      <c r="O383" s="30">
        <v>-4.648899999999998</v>
      </c>
      <c r="P383" s="30">
        <v>-0.6377091906721534</v>
      </c>
      <c r="Q383" s="30">
        <v>-0.765251028806584</v>
      </c>
    </row>
    <row r="384">
      <c r="A384" s="47">
        <v>1.1246049087E10</v>
      </c>
      <c r="B384" s="48">
        <v>46160.54319444444</v>
      </c>
      <c r="C384" s="30">
        <v>3.859134047E9</v>
      </c>
      <c r="D384" s="47" t="s">
        <v>1514</v>
      </c>
      <c r="E384" s="30">
        <v>1458.0</v>
      </c>
      <c r="F384" s="30">
        <v>1160.0</v>
      </c>
      <c r="G384" s="30">
        <v>0.0</v>
      </c>
      <c r="H384" s="30">
        <v>0.0</v>
      </c>
      <c r="I384" s="30">
        <v>64.29780000000001</v>
      </c>
      <c r="J384" s="30">
        <v>0.0</v>
      </c>
      <c r="K384" s="30">
        <v>0.0</v>
      </c>
      <c r="L384" s="30">
        <v>0.0</v>
      </c>
      <c r="M384" s="30">
        <v>0.0</v>
      </c>
      <c r="N384" s="30">
        <v>243.0</v>
      </c>
      <c r="O384" s="30">
        <v>-9.297799999999995</v>
      </c>
      <c r="P384" s="30">
        <v>-0.6377091906721534</v>
      </c>
      <c r="Q384" s="30">
        <v>-0.765251028806584</v>
      </c>
    </row>
    <row r="385">
      <c r="A385" s="47">
        <v>1.1246376001E10</v>
      </c>
      <c r="B385" s="48">
        <v>46160.62293981481</v>
      </c>
      <c r="C385" s="30">
        <v>3.859450518E9</v>
      </c>
      <c r="D385" s="47" t="s">
        <v>1514</v>
      </c>
      <c r="E385" s="30">
        <v>1458.0</v>
      </c>
      <c r="F385" s="30">
        <v>1160.0</v>
      </c>
      <c r="G385" s="30">
        <v>0.0</v>
      </c>
      <c r="H385" s="30">
        <v>0.0</v>
      </c>
      <c r="I385" s="30">
        <v>64.29780000000001</v>
      </c>
      <c r="J385" s="30">
        <v>0.0</v>
      </c>
      <c r="K385" s="30">
        <v>0.0</v>
      </c>
      <c r="L385" s="30">
        <v>0.0</v>
      </c>
      <c r="M385" s="30">
        <v>0.0</v>
      </c>
      <c r="N385" s="30">
        <v>243.0</v>
      </c>
      <c r="O385" s="30">
        <v>-9.297799999999995</v>
      </c>
      <c r="P385" s="30">
        <v>-0.6377091906721534</v>
      </c>
      <c r="Q385" s="30">
        <v>-0.765251028806584</v>
      </c>
    </row>
    <row r="386">
      <c r="A386" s="47">
        <v>1.1248308276E10</v>
      </c>
      <c r="B386" s="48">
        <v>46161.008935185186</v>
      </c>
      <c r="C386" s="30">
        <v>3.860998989E9</v>
      </c>
      <c r="D386" s="47" t="s">
        <v>1514</v>
      </c>
      <c r="E386" s="30">
        <v>729.0</v>
      </c>
      <c r="F386" s="30">
        <v>580.0</v>
      </c>
      <c r="G386" s="30">
        <v>0.0</v>
      </c>
      <c r="H386" s="30">
        <v>0.0</v>
      </c>
      <c r="I386" s="30">
        <v>32.148900000000005</v>
      </c>
      <c r="J386" s="30">
        <v>0.0</v>
      </c>
      <c r="K386" s="30">
        <v>0.0</v>
      </c>
      <c r="L386" s="30">
        <v>0.0</v>
      </c>
      <c r="M386" s="30">
        <v>0.0</v>
      </c>
      <c r="N386" s="30">
        <v>121.5</v>
      </c>
      <c r="O386" s="30">
        <v>-4.648899999999998</v>
      </c>
      <c r="P386" s="30">
        <v>-0.6377091906721534</v>
      </c>
      <c r="Q386" s="30">
        <v>-0.765251028806584</v>
      </c>
    </row>
    <row r="387">
      <c r="A387" s="47">
        <v>1.1247958854E10</v>
      </c>
      <c r="B387" s="48">
        <v>46160.94017361111</v>
      </c>
      <c r="C387" s="30">
        <v>3.860729278E9</v>
      </c>
      <c r="D387" s="47" t="s">
        <v>1514</v>
      </c>
      <c r="E387" s="30">
        <v>729.0</v>
      </c>
      <c r="F387" s="30">
        <v>580.0</v>
      </c>
      <c r="G387" s="30">
        <v>0.0</v>
      </c>
      <c r="H387" s="30">
        <v>0.0</v>
      </c>
      <c r="I387" s="30">
        <v>32.148900000000005</v>
      </c>
      <c r="J387" s="30">
        <v>0.0</v>
      </c>
      <c r="K387" s="30">
        <v>0.0</v>
      </c>
      <c r="L387" s="30">
        <v>0.0</v>
      </c>
      <c r="M387" s="30">
        <v>0.0</v>
      </c>
      <c r="N387" s="30">
        <v>121.5</v>
      </c>
      <c r="O387" s="30">
        <v>-4.648899999999998</v>
      </c>
      <c r="P387" s="30">
        <v>-0.6377091906721534</v>
      </c>
      <c r="Q387" s="30">
        <v>-0.765251028806584</v>
      </c>
    </row>
    <row r="388">
      <c r="A388" s="47">
        <v>1.1248293601E10</v>
      </c>
      <c r="B388" s="48">
        <v>46161.00603009259</v>
      </c>
      <c r="C388" s="30">
        <v>3.860985863E9</v>
      </c>
      <c r="D388" s="47" t="s">
        <v>1514</v>
      </c>
      <c r="E388" s="30">
        <v>729.0</v>
      </c>
      <c r="F388" s="30">
        <v>580.0</v>
      </c>
      <c r="G388" s="30">
        <v>0.0</v>
      </c>
      <c r="H388" s="30">
        <v>0.0</v>
      </c>
      <c r="I388" s="30">
        <v>32.148900000000005</v>
      </c>
      <c r="J388" s="30">
        <v>0.0</v>
      </c>
      <c r="K388" s="30">
        <v>0.0</v>
      </c>
      <c r="L388" s="30">
        <v>0.0</v>
      </c>
      <c r="M388" s="30">
        <v>0.0</v>
      </c>
      <c r="N388" s="30">
        <v>121.5</v>
      </c>
      <c r="O388" s="30">
        <v>-4.648899999999998</v>
      </c>
      <c r="P388" s="30">
        <v>-0.6377091906721534</v>
      </c>
      <c r="Q388" s="30">
        <v>-0.765251028806584</v>
      </c>
    </row>
    <row r="389">
      <c r="A389" s="47">
        <v>1.1247416304E10</v>
      </c>
      <c r="B389" s="48">
        <v>46160.83049768519</v>
      </c>
      <c r="C389" s="30">
        <v>3.860326639E9</v>
      </c>
      <c r="D389" s="47" t="s">
        <v>1514</v>
      </c>
      <c r="E389" s="30">
        <v>729.0</v>
      </c>
      <c r="F389" s="30">
        <v>580.0</v>
      </c>
      <c r="G389" s="30">
        <v>0.0</v>
      </c>
      <c r="H389" s="30">
        <v>0.0</v>
      </c>
      <c r="I389" s="30">
        <v>32.148900000000005</v>
      </c>
      <c r="J389" s="30">
        <v>0.0</v>
      </c>
      <c r="K389" s="30">
        <v>0.0</v>
      </c>
      <c r="L389" s="30">
        <v>0.0</v>
      </c>
      <c r="M389" s="30">
        <v>0.0</v>
      </c>
      <c r="N389" s="30">
        <v>121.5</v>
      </c>
      <c r="O389" s="30">
        <v>-4.648899999999998</v>
      </c>
      <c r="P389" s="30">
        <v>-0.6377091906721534</v>
      </c>
      <c r="Q389" s="30">
        <v>-0.765251028806584</v>
      </c>
    </row>
    <row r="390">
      <c r="A390" s="47">
        <v>1.1248644943E10</v>
      </c>
      <c r="B390" s="48">
        <v>46161.07554398148</v>
      </c>
      <c r="C390" s="30">
        <v>3.861296916E9</v>
      </c>
      <c r="D390" s="47" t="s">
        <v>1514</v>
      </c>
      <c r="E390" s="30">
        <v>729.0</v>
      </c>
      <c r="F390" s="30">
        <v>580.0</v>
      </c>
      <c r="G390" s="30">
        <v>0.0</v>
      </c>
      <c r="H390" s="30">
        <v>0.0</v>
      </c>
      <c r="I390" s="30">
        <v>32.148900000000005</v>
      </c>
      <c r="J390" s="30">
        <v>0.0</v>
      </c>
      <c r="K390" s="30">
        <v>0.0</v>
      </c>
      <c r="L390" s="30">
        <v>0.0</v>
      </c>
      <c r="M390" s="30">
        <v>0.0</v>
      </c>
      <c r="N390" s="30">
        <v>121.5</v>
      </c>
      <c r="O390" s="30">
        <v>-4.648899999999998</v>
      </c>
      <c r="P390" s="30">
        <v>-0.6377091906721534</v>
      </c>
      <c r="Q390" s="30">
        <v>-0.765251028806584</v>
      </c>
    </row>
    <row r="391">
      <c r="A391" s="47">
        <v>1.1247885751E10</v>
      </c>
      <c r="B391" s="48">
        <v>46160.92559027778</v>
      </c>
      <c r="C391" s="30">
        <v>3.860672849E9</v>
      </c>
      <c r="D391" s="47" t="s">
        <v>1514</v>
      </c>
      <c r="E391" s="30">
        <v>729.0</v>
      </c>
      <c r="F391" s="30">
        <v>580.0</v>
      </c>
      <c r="G391" s="30">
        <v>0.0</v>
      </c>
      <c r="H391" s="30">
        <v>0.0</v>
      </c>
      <c r="I391" s="30">
        <v>32.148900000000005</v>
      </c>
      <c r="J391" s="30">
        <v>0.0</v>
      </c>
      <c r="K391" s="30">
        <v>0.0</v>
      </c>
      <c r="L391" s="30">
        <v>0.0</v>
      </c>
      <c r="M391" s="30">
        <v>0.0</v>
      </c>
      <c r="N391" s="30">
        <v>121.5</v>
      </c>
      <c r="O391" s="30">
        <v>-4.648899999999998</v>
      </c>
      <c r="P391" s="30">
        <v>-0.6377091906721534</v>
      </c>
      <c r="Q391" s="30">
        <v>-0.765251028806584</v>
      </c>
    </row>
    <row r="392">
      <c r="A392" s="47">
        <v>1.1247349603E10</v>
      </c>
      <c r="B392" s="48">
        <v>46160.816412037035</v>
      </c>
      <c r="C392" s="30">
        <v>3.860274169E9</v>
      </c>
      <c r="D392" s="47" t="s">
        <v>1514</v>
      </c>
      <c r="E392" s="30">
        <v>729.0</v>
      </c>
      <c r="F392" s="30">
        <v>580.0</v>
      </c>
      <c r="G392" s="30">
        <v>0.0</v>
      </c>
      <c r="H392" s="30">
        <v>0.0</v>
      </c>
      <c r="I392" s="30">
        <v>32.148900000000005</v>
      </c>
      <c r="J392" s="30">
        <v>0.0</v>
      </c>
      <c r="K392" s="30">
        <v>0.0</v>
      </c>
      <c r="L392" s="30">
        <v>0.0</v>
      </c>
      <c r="M392" s="30">
        <v>0.0</v>
      </c>
      <c r="N392" s="30">
        <v>121.5</v>
      </c>
      <c r="O392" s="30">
        <v>-4.648899999999998</v>
      </c>
      <c r="P392" s="30">
        <v>-0.6377091906721534</v>
      </c>
      <c r="Q392" s="30">
        <v>-0.765251028806584</v>
      </c>
    </row>
    <row r="393">
      <c r="A393" s="47">
        <v>1.1247920605E10</v>
      </c>
      <c r="B393" s="48">
        <v>46160.93230324074</v>
      </c>
      <c r="C393" s="30">
        <v>3.860700429E9</v>
      </c>
      <c r="D393" s="47" t="s">
        <v>1514</v>
      </c>
      <c r="E393" s="30">
        <v>729.0</v>
      </c>
      <c r="F393" s="30">
        <v>580.0</v>
      </c>
      <c r="G393" s="30">
        <v>0.0</v>
      </c>
      <c r="H393" s="30">
        <v>0.0</v>
      </c>
      <c r="I393" s="30">
        <v>32.148900000000005</v>
      </c>
      <c r="J393" s="30">
        <v>0.0</v>
      </c>
      <c r="K393" s="30">
        <v>0.0</v>
      </c>
      <c r="L393" s="30">
        <v>0.0</v>
      </c>
      <c r="M393" s="30">
        <v>0.0</v>
      </c>
      <c r="N393" s="30">
        <v>121.5</v>
      </c>
      <c r="O393" s="30">
        <v>-4.648899999999998</v>
      </c>
      <c r="P393" s="30">
        <v>-0.6377091906721534</v>
      </c>
      <c r="Q393" s="30">
        <v>-0.765251028806584</v>
      </c>
    </row>
    <row r="394">
      <c r="A394" s="47">
        <v>1.1247942891E10</v>
      </c>
      <c r="B394" s="48">
        <v>46160.936898148146</v>
      </c>
      <c r="C394" s="30">
        <v>3.860717022E9</v>
      </c>
      <c r="D394" s="47" t="s">
        <v>1514</v>
      </c>
      <c r="E394" s="30">
        <v>729.0</v>
      </c>
      <c r="F394" s="30">
        <v>580.0</v>
      </c>
      <c r="G394" s="30">
        <v>0.0</v>
      </c>
      <c r="H394" s="30">
        <v>0.0</v>
      </c>
      <c r="I394" s="30">
        <v>32.148900000000005</v>
      </c>
      <c r="J394" s="30">
        <v>0.0</v>
      </c>
      <c r="K394" s="30">
        <v>0.0</v>
      </c>
      <c r="L394" s="30">
        <v>0.0</v>
      </c>
      <c r="M394" s="30">
        <v>0.0</v>
      </c>
      <c r="N394" s="30">
        <v>121.5</v>
      </c>
      <c r="O394" s="30">
        <v>-4.648899999999998</v>
      </c>
      <c r="P394" s="30">
        <v>-0.6377091906721534</v>
      </c>
      <c r="Q394" s="30">
        <v>-0.765251028806584</v>
      </c>
    </row>
    <row r="395">
      <c r="A395" s="47">
        <v>1.1248220213E10</v>
      </c>
      <c r="B395" s="48">
        <v>46160.99184027778</v>
      </c>
      <c r="C395" s="30">
        <v>3.860926194E9</v>
      </c>
      <c r="D395" s="47" t="s">
        <v>1514</v>
      </c>
      <c r="E395" s="30">
        <v>729.0</v>
      </c>
      <c r="F395" s="30">
        <v>580.0</v>
      </c>
      <c r="G395" s="30">
        <v>0.0</v>
      </c>
      <c r="H395" s="30">
        <v>0.0</v>
      </c>
      <c r="I395" s="30">
        <v>32.148900000000005</v>
      </c>
      <c r="J395" s="30">
        <v>0.0</v>
      </c>
      <c r="K395" s="30">
        <v>0.0</v>
      </c>
      <c r="L395" s="30">
        <v>0.0</v>
      </c>
      <c r="M395" s="30">
        <v>0.0</v>
      </c>
      <c r="N395" s="30">
        <v>121.5</v>
      </c>
      <c r="O395" s="30">
        <v>-4.648899999999998</v>
      </c>
      <c r="P395" s="30">
        <v>-0.6377091906721534</v>
      </c>
      <c r="Q395" s="30">
        <v>-0.765251028806584</v>
      </c>
    </row>
    <row r="396">
      <c r="A396" s="47">
        <v>1.1248070535E10</v>
      </c>
      <c r="B396" s="48">
        <v>46160.96236111111</v>
      </c>
      <c r="C396" s="30">
        <v>3.860810874E9</v>
      </c>
      <c r="D396" s="47" t="s">
        <v>1514</v>
      </c>
      <c r="E396" s="30">
        <v>729.0</v>
      </c>
      <c r="F396" s="30">
        <v>580.0</v>
      </c>
      <c r="G396" s="30">
        <v>0.0</v>
      </c>
      <c r="H396" s="30">
        <v>0.0</v>
      </c>
      <c r="I396" s="30">
        <v>32.148900000000005</v>
      </c>
      <c r="J396" s="30">
        <v>0.0</v>
      </c>
      <c r="K396" s="30">
        <v>0.0</v>
      </c>
      <c r="L396" s="30">
        <v>0.0</v>
      </c>
      <c r="M396" s="30">
        <v>0.0</v>
      </c>
      <c r="N396" s="30">
        <v>121.5</v>
      </c>
      <c r="O396" s="30">
        <v>-4.648899999999998</v>
      </c>
      <c r="P396" s="30">
        <v>-0.6377091906721534</v>
      </c>
      <c r="Q396" s="30">
        <v>-0.765251028806584</v>
      </c>
    </row>
    <row r="397">
      <c r="A397" s="47">
        <v>1.1246748386E10</v>
      </c>
      <c r="B397" s="48">
        <v>46160.69399305555</v>
      </c>
      <c r="C397" s="30">
        <v>3.859763942E9</v>
      </c>
      <c r="D397" s="47" t="s">
        <v>1514</v>
      </c>
      <c r="E397" s="30">
        <v>729.0</v>
      </c>
      <c r="F397" s="30">
        <v>580.0</v>
      </c>
      <c r="G397" s="30">
        <v>0.0</v>
      </c>
      <c r="H397" s="30">
        <v>0.0</v>
      </c>
      <c r="I397" s="30">
        <v>32.148900000000005</v>
      </c>
      <c r="J397" s="30">
        <v>0.0</v>
      </c>
      <c r="K397" s="30">
        <v>0.0</v>
      </c>
      <c r="L397" s="30">
        <v>0.0</v>
      </c>
      <c r="M397" s="30">
        <v>0.0</v>
      </c>
      <c r="N397" s="30">
        <v>121.5</v>
      </c>
      <c r="O397" s="30">
        <v>-4.648899999999998</v>
      </c>
      <c r="P397" s="30">
        <v>-0.6377091906721534</v>
      </c>
      <c r="Q397" s="30">
        <v>-0.765251028806584</v>
      </c>
    </row>
    <row r="398">
      <c r="A398" s="47">
        <v>1.1247305261E10</v>
      </c>
      <c r="B398" s="48">
        <v>46160.80732638889</v>
      </c>
      <c r="C398" s="30">
        <v>3.860236917E9</v>
      </c>
      <c r="D398" s="47" t="s">
        <v>1514</v>
      </c>
      <c r="E398" s="30">
        <v>729.0</v>
      </c>
      <c r="F398" s="30">
        <v>580.0</v>
      </c>
      <c r="G398" s="30">
        <v>0.0</v>
      </c>
      <c r="H398" s="30">
        <v>0.0</v>
      </c>
      <c r="I398" s="30">
        <v>32.148900000000005</v>
      </c>
      <c r="J398" s="30">
        <v>0.0</v>
      </c>
      <c r="K398" s="30">
        <v>0.0</v>
      </c>
      <c r="L398" s="30">
        <v>0.0</v>
      </c>
      <c r="M398" s="30">
        <v>0.0</v>
      </c>
      <c r="N398" s="30">
        <v>121.5</v>
      </c>
      <c r="O398" s="30">
        <v>-4.648899999999998</v>
      </c>
      <c r="P398" s="30">
        <v>-0.6377091906721534</v>
      </c>
      <c r="Q398" s="30">
        <v>-0.765251028806584</v>
      </c>
    </row>
    <row r="399">
      <c r="A399" s="47">
        <v>1.1247144398E10</v>
      </c>
      <c r="B399" s="48">
        <v>46160.7737037037</v>
      </c>
      <c r="C399" s="30">
        <v>3.860100351E9</v>
      </c>
      <c r="D399" s="47" t="s">
        <v>1514</v>
      </c>
      <c r="E399" s="30">
        <v>729.0</v>
      </c>
      <c r="F399" s="30">
        <v>580.0</v>
      </c>
      <c r="G399" s="30">
        <v>0.0</v>
      </c>
      <c r="H399" s="30">
        <v>0.0</v>
      </c>
      <c r="I399" s="30">
        <v>32.148900000000005</v>
      </c>
      <c r="J399" s="30">
        <v>0.0</v>
      </c>
      <c r="K399" s="30">
        <v>0.0</v>
      </c>
      <c r="L399" s="30">
        <v>0.0</v>
      </c>
      <c r="M399" s="30">
        <v>0.0</v>
      </c>
      <c r="N399" s="30">
        <v>121.5</v>
      </c>
      <c r="O399" s="30">
        <v>-4.648899999999998</v>
      </c>
      <c r="P399" s="30">
        <v>-0.6377091906721534</v>
      </c>
      <c r="Q399" s="30">
        <v>-0.765251028806584</v>
      </c>
    </row>
    <row r="400">
      <c r="A400" s="47">
        <v>1.124659319E10</v>
      </c>
      <c r="B400" s="48">
        <v>46160.66490740741</v>
      </c>
      <c r="C400" s="30">
        <v>3.859626594E9</v>
      </c>
      <c r="D400" s="47" t="s">
        <v>1514</v>
      </c>
      <c r="E400" s="30">
        <v>729.0</v>
      </c>
      <c r="F400" s="30">
        <v>580.0</v>
      </c>
      <c r="G400" s="30">
        <v>0.0</v>
      </c>
      <c r="H400" s="30">
        <v>0.0</v>
      </c>
      <c r="I400" s="30">
        <v>32.148900000000005</v>
      </c>
      <c r="J400" s="30">
        <v>0.0</v>
      </c>
      <c r="K400" s="30">
        <v>0.0</v>
      </c>
      <c r="L400" s="30">
        <v>0.0</v>
      </c>
      <c r="M400" s="30">
        <v>0.0</v>
      </c>
      <c r="N400" s="30">
        <v>121.5</v>
      </c>
      <c r="O400" s="30">
        <v>-4.648899999999998</v>
      </c>
      <c r="P400" s="30">
        <v>-0.6377091906721534</v>
      </c>
      <c r="Q400" s="30">
        <v>-0.765251028806584</v>
      </c>
    </row>
    <row r="401">
      <c r="A401" s="47">
        <v>1.1247359066E10</v>
      </c>
      <c r="B401" s="48">
        <v>46160.818449074075</v>
      </c>
      <c r="C401" s="30">
        <v>3.86028122E9</v>
      </c>
      <c r="D401" s="47" t="s">
        <v>1514</v>
      </c>
      <c r="E401" s="30">
        <v>729.0</v>
      </c>
      <c r="F401" s="30">
        <v>580.0</v>
      </c>
      <c r="G401" s="30">
        <v>0.0</v>
      </c>
      <c r="H401" s="30">
        <v>0.0</v>
      </c>
      <c r="I401" s="30">
        <v>32.148900000000005</v>
      </c>
      <c r="J401" s="30">
        <v>0.0</v>
      </c>
      <c r="K401" s="30">
        <v>0.0</v>
      </c>
      <c r="L401" s="30">
        <v>0.0</v>
      </c>
      <c r="M401" s="30">
        <v>0.0</v>
      </c>
      <c r="N401" s="30">
        <v>121.5</v>
      </c>
      <c r="O401" s="30">
        <v>-4.648899999999998</v>
      </c>
      <c r="P401" s="30">
        <v>-0.6377091906721534</v>
      </c>
      <c r="Q401" s="30">
        <v>-0.765251028806584</v>
      </c>
    </row>
    <row r="402">
      <c r="A402" s="47">
        <v>1.1246948457E10</v>
      </c>
      <c r="B402" s="48">
        <v>46160.733761574076</v>
      </c>
      <c r="C402" s="30">
        <v>3.859934293E9</v>
      </c>
      <c r="D402" s="47" t="s">
        <v>1514</v>
      </c>
      <c r="E402" s="30">
        <v>729.0</v>
      </c>
      <c r="F402" s="30">
        <v>580.0</v>
      </c>
      <c r="G402" s="30">
        <v>0.0</v>
      </c>
      <c r="H402" s="30">
        <v>0.0</v>
      </c>
      <c r="I402" s="30">
        <v>32.148900000000005</v>
      </c>
      <c r="J402" s="30">
        <v>0.0</v>
      </c>
      <c r="K402" s="30">
        <v>0.0</v>
      </c>
      <c r="L402" s="30">
        <v>0.0</v>
      </c>
      <c r="M402" s="30">
        <v>0.0</v>
      </c>
      <c r="N402" s="30">
        <v>121.5</v>
      </c>
      <c r="O402" s="30">
        <v>-4.648899999999998</v>
      </c>
      <c r="P402" s="30">
        <v>-0.6377091906721534</v>
      </c>
      <c r="Q402" s="30">
        <v>-0.765251028806584</v>
      </c>
    </row>
    <row r="403">
      <c r="A403" s="47">
        <v>1.1246920817E10</v>
      </c>
      <c r="B403" s="48">
        <v>46160.727951388886</v>
      </c>
      <c r="C403" s="30">
        <v>3.859911706E9</v>
      </c>
      <c r="D403" s="47" t="s">
        <v>1514</v>
      </c>
      <c r="E403" s="30">
        <v>729.0</v>
      </c>
      <c r="F403" s="30">
        <v>580.0</v>
      </c>
      <c r="G403" s="30">
        <v>0.0</v>
      </c>
      <c r="H403" s="30">
        <v>0.0</v>
      </c>
      <c r="I403" s="30">
        <v>32.148900000000005</v>
      </c>
      <c r="J403" s="30">
        <v>0.0</v>
      </c>
      <c r="K403" s="30">
        <v>0.0</v>
      </c>
      <c r="L403" s="30">
        <v>0.0</v>
      </c>
      <c r="M403" s="30">
        <v>0.0</v>
      </c>
      <c r="N403" s="30">
        <v>121.5</v>
      </c>
      <c r="O403" s="30">
        <v>-4.648899999999998</v>
      </c>
      <c r="P403" s="30">
        <v>-0.6377091906721534</v>
      </c>
      <c r="Q403" s="30">
        <v>-0.765251028806584</v>
      </c>
    </row>
    <row r="404">
      <c r="A404" s="47">
        <v>1.1246196879E10</v>
      </c>
      <c r="B404" s="48">
        <v>46160.58476851852</v>
      </c>
      <c r="C404" s="30">
        <v>3.859290033E9</v>
      </c>
      <c r="D404" s="47" t="s">
        <v>1514</v>
      </c>
      <c r="E404" s="30">
        <v>729.0</v>
      </c>
      <c r="F404" s="30">
        <v>580.0</v>
      </c>
      <c r="G404" s="30">
        <v>0.0</v>
      </c>
      <c r="H404" s="30">
        <v>0.0</v>
      </c>
      <c r="I404" s="30">
        <v>32.148900000000005</v>
      </c>
      <c r="J404" s="30">
        <v>0.0</v>
      </c>
      <c r="K404" s="30">
        <v>0.0</v>
      </c>
      <c r="L404" s="30">
        <v>0.0</v>
      </c>
      <c r="M404" s="30">
        <v>0.0</v>
      </c>
      <c r="N404" s="30">
        <v>121.5</v>
      </c>
      <c r="O404" s="30">
        <v>-4.648899999999998</v>
      </c>
      <c r="P404" s="30">
        <v>-0.6377091906721534</v>
      </c>
      <c r="Q404" s="30">
        <v>-0.765251028806584</v>
      </c>
    </row>
    <row r="405">
      <c r="A405" s="47">
        <v>1.1246758965E10</v>
      </c>
      <c r="B405" s="48">
        <v>46160.69613425926</v>
      </c>
      <c r="C405" s="30">
        <v>3.8597693E9</v>
      </c>
      <c r="D405" s="47" t="s">
        <v>1514</v>
      </c>
      <c r="E405" s="30">
        <v>729.0</v>
      </c>
      <c r="F405" s="30">
        <v>580.0</v>
      </c>
      <c r="G405" s="30">
        <v>0.0</v>
      </c>
      <c r="H405" s="30">
        <v>0.0</v>
      </c>
      <c r="I405" s="30">
        <v>32.148900000000005</v>
      </c>
      <c r="J405" s="30">
        <v>0.0</v>
      </c>
      <c r="K405" s="30">
        <v>0.0</v>
      </c>
      <c r="L405" s="30">
        <v>0.0</v>
      </c>
      <c r="M405" s="30">
        <v>0.0</v>
      </c>
      <c r="N405" s="30">
        <v>121.5</v>
      </c>
      <c r="O405" s="30">
        <v>-4.648899999999998</v>
      </c>
      <c r="P405" s="30">
        <v>-0.6377091906721534</v>
      </c>
      <c r="Q405" s="30">
        <v>-0.765251028806584</v>
      </c>
    </row>
    <row r="406">
      <c r="A406" s="47">
        <v>1.1246147517E10</v>
      </c>
      <c r="B406" s="48">
        <v>46160.57172453704</v>
      </c>
      <c r="C406" s="30">
        <v>3.859239467E9</v>
      </c>
      <c r="D406" s="47" t="s">
        <v>1514</v>
      </c>
      <c r="E406" s="30">
        <v>729.0</v>
      </c>
      <c r="F406" s="30">
        <v>580.0</v>
      </c>
      <c r="G406" s="30">
        <v>0.0</v>
      </c>
      <c r="H406" s="30">
        <v>0.0</v>
      </c>
      <c r="I406" s="30">
        <v>32.148900000000005</v>
      </c>
      <c r="J406" s="30">
        <v>0.0</v>
      </c>
      <c r="K406" s="30">
        <v>0.0</v>
      </c>
      <c r="L406" s="30">
        <v>0.0</v>
      </c>
      <c r="M406" s="30">
        <v>0.0</v>
      </c>
      <c r="N406" s="30">
        <v>121.5</v>
      </c>
      <c r="O406" s="30">
        <v>-4.648899999999998</v>
      </c>
      <c r="P406" s="30">
        <v>-0.6377091906721534</v>
      </c>
      <c r="Q406" s="30">
        <v>-0.765251028806584</v>
      </c>
    </row>
    <row r="407">
      <c r="A407" s="47">
        <v>1.1246670656E10</v>
      </c>
      <c r="B407" s="48">
        <v>46160.67934027778</v>
      </c>
      <c r="C407" s="30">
        <v>3.859696858E9</v>
      </c>
      <c r="D407" s="47" t="s">
        <v>1514</v>
      </c>
      <c r="E407" s="30">
        <v>729.0</v>
      </c>
      <c r="F407" s="30">
        <v>580.0</v>
      </c>
      <c r="G407" s="30">
        <v>0.0</v>
      </c>
      <c r="H407" s="30">
        <v>0.0</v>
      </c>
      <c r="I407" s="30">
        <v>32.148900000000005</v>
      </c>
      <c r="J407" s="30">
        <v>0.0</v>
      </c>
      <c r="K407" s="30">
        <v>0.0</v>
      </c>
      <c r="L407" s="30">
        <v>0.0</v>
      </c>
      <c r="M407" s="30">
        <v>0.0</v>
      </c>
      <c r="N407" s="30">
        <v>121.5</v>
      </c>
      <c r="O407" s="30">
        <v>-4.648899999999998</v>
      </c>
      <c r="P407" s="30">
        <v>-0.6377091906721534</v>
      </c>
      <c r="Q407" s="30">
        <v>-0.765251028806584</v>
      </c>
    </row>
    <row r="408">
      <c r="A408" s="47">
        <v>1.1246484151E10</v>
      </c>
      <c r="B408" s="48">
        <v>46160.64381944444</v>
      </c>
      <c r="C408" s="30">
        <v>3.859538454E9</v>
      </c>
      <c r="D408" s="47" t="s">
        <v>1514</v>
      </c>
      <c r="E408" s="30">
        <v>729.0</v>
      </c>
      <c r="F408" s="30">
        <v>580.0</v>
      </c>
      <c r="G408" s="30">
        <v>0.0</v>
      </c>
      <c r="H408" s="30">
        <v>0.0</v>
      </c>
      <c r="I408" s="30">
        <v>32.148900000000005</v>
      </c>
      <c r="J408" s="30">
        <v>0.0</v>
      </c>
      <c r="K408" s="30">
        <v>0.0</v>
      </c>
      <c r="L408" s="30">
        <v>0.0</v>
      </c>
      <c r="M408" s="30">
        <v>0.0</v>
      </c>
      <c r="N408" s="30">
        <v>121.5</v>
      </c>
      <c r="O408" s="30">
        <v>-4.648899999999998</v>
      </c>
      <c r="P408" s="30">
        <v>-0.6377091906721534</v>
      </c>
      <c r="Q408" s="30">
        <v>-0.765251028806584</v>
      </c>
    </row>
    <row r="409">
      <c r="A409" s="47">
        <v>1.1246794583E10</v>
      </c>
      <c r="B409" s="48">
        <v>46160.7028125</v>
      </c>
      <c r="C409" s="30">
        <v>3.859805071E9</v>
      </c>
      <c r="D409" s="47" t="s">
        <v>1514</v>
      </c>
      <c r="E409" s="30">
        <v>729.0</v>
      </c>
      <c r="F409" s="30">
        <v>580.0</v>
      </c>
      <c r="G409" s="30">
        <v>0.0</v>
      </c>
      <c r="H409" s="30">
        <v>0.0</v>
      </c>
      <c r="I409" s="30">
        <v>32.148900000000005</v>
      </c>
      <c r="J409" s="30">
        <v>0.0</v>
      </c>
      <c r="K409" s="30">
        <v>0.0</v>
      </c>
      <c r="L409" s="30">
        <v>0.0</v>
      </c>
      <c r="M409" s="30">
        <v>0.0</v>
      </c>
      <c r="N409" s="30">
        <v>121.5</v>
      </c>
      <c r="O409" s="30">
        <v>-4.648899999999998</v>
      </c>
      <c r="P409" s="30">
        <v>-0.6377091906721534</v>
      </c>
      <c r="Q409" s="30">
        <v>-0.765251028806584</v>
      </c>
    </row>
    <row r="410">
      <c r="A410" s="47">
        <v>1.1246360239E10</v>
      </c>
      <c r="B410" s="48">
        <v>46160.61989583333</v>
      </c>
      <c r="C410" s="30">
        <v>3.859437222E9</v>
      </c>
      <c r="D410" s="47" t="s">
        <v>1514</v>
      </c>
      <c r="E410" s="30">
        <v>729.0</v>
      </c>
      <c r="F410" s="30">
        <v>580.0</v>
      </c>
      <c r="G410" s="30">
        <v>0.0</v>
      </c>
      <c r="H410" s="30">
        <v>0.0</v>
      </c>
      <c r="I410" s="30">
        <v>32.148900000000005</v>
      </c>
      <c r="J410" s="30">
        <v>0.0</v>
      </c>
      <c r="K410" s="30">
        <v>0.0</v>
      </c>
      <c r="L410" s="30">
        <v>0.0</v>
      </c>
      <c r="M410" s="30">
        <v>0.0</v>
      </c>
      <c r="N410" s="30">
        <v>121.5</v>
      </c>
      <c r="O410" s="30">
        <v>-4.648899999999998</v>
      </c>
      <c r="P410" s="30">
        <v>-0.6377091906721534</v>
      </c>
      <c r="Q410" s="30">
        <v>-0.765251028806584</v>
      </c>
    </row>
    <row r="411">
      <c r="A411" s="47">
        <v>1.1246051635E10</v>
      </c>
      <c r="B411" s="48">
        <v>46160.54403935185</v>
      </c>
      <c r="C411" s="30">
        <v>3.859139325E9</v>
      </c>
      <c r="D411" s="47" t="s">
        <v>1514</v>
      </c>
      <c r="E411" s="30">
        <v>729.0</v>
      </c>
      <c r="F411" s="30">
        <v>580.0</v>
      </c>
      <c r="G411" s="30">
        <v>0.0</v>
      </c>
      <c r="H411" s="30">
        <v>0.0</v>
      </c>
      <c r="I411" s="30">
        <v>32.148900000000005</v>
      </c>
      <c r="J411" s="30">
        <v>0.0</v>
      </c>
      <c r="K411" s="30">
        <v>0.0</v>
      </c>
      <c r="L411" s="30">
        <v>0.0</v>
      </c>
      <c r="M411" s="30">
        <v>0.0</v>
      </c>
      <c r="N411" s="30">
        <v>121.5</v>
      </c>
      <c r="O411" s="30">
        <v>-4.648899999999998</v>
      </c>
      <c r="P411" s="30">
        <v>-0.6377091906721534</v>
      </c>
      <c r="Q411" s="30">
        <v>-0.765251028806584</v>
      </c>
    </row>
    <row r="412">
      <c r="A412" s="47">
        <v>1.1246239132E10</v>
      </c>
      <c r="B412" s="48">
        <v>46160.59488425926</v>
      </c>
      <c r="C412" s="30">
        <v>3.859331722E9</v>
      </c>
      <c r="D412" s="47" t="s">
        <v>1514</v>
      </c>
      <c r="E412" s="30">
        <v>729.0</v>
      </c>
      <c r="F412" s="30">
        <v>580.0</v>
      </c>
      <c r="G412" s="30">
        <v>0.0</v>
      </c>
      <c r="H412" s="30">
        <v>0.0</v>
      </c>
      <c r="I412" s="30">
        <v>32.148900000000005</v>
      </c>
      <c r="J412" s="30">
        <v>0.0</v>
      </c>
      <c r="K412" s="30">
        <v>0.0</v>
      </c>
      <c r="L412" s="30">
        <v>0.0</v>
      </c>
      <c r="M412" s="30">
        <v>0.0</v>
      </c>
      <c r="N412" s="30">
        <v>121.5</v>
      </c>
      <c r="O412" s="30">
        <v>-4.648899999999998</v>
      </c>
      <c r="P412" s="30">
        <v>-0.6377091906721534</v>
      </c>
      <c r="Q412" s="30">
        <v>-0.765251028806584</v>
      </c>
    </row>
    <row r="413">
      <c r="A413" s="47">
        <v>1.1246366685E10</v>
      </c>
      <c r="B413" s="48">
        <v>46160.62113425926</v>
      </c>
      <c r="C413" s="30">
        <v>3.859442817E9</v>
      </c>
      <c r="D413" s="47" t="s">
        <v>1514</v>
      </c>
      <c r="E413" s="30">
        <v>729.0</v>
      </c>
      <c r="F413" s="30">
        <v>580.0</v>
      </c>
      <c r="G413" s="30">
        <v>0.0</v>
      </c>
      <c r="H413" s="30">
        <v>0.0</v>
      </c>
      <c r="I413" s="30">
        <v>32.148900000000005</v>
      </c>
      <c r="J413" s="30">
        <v>0.0</v>
      </c>
      <c r="K413" s="30">
        <v>0.0</v>
      </c>
      <c r="L413" s="30">
        <v>0.0</v>
      </c>
      <c r="M413" s="30">
        <v>0.0</v>
      </c>
      <c r="N413" s="30">
        <v>121.5</v>
      </c>
      <c r="O413" s="30">
        <v>-4.648899999999998</v>
      </c>
      <c r="P413" s="30">
        <v>-0.6377091906721534</v>
      </c>
      <c r="Q413" s="30">
        <v>-0.765251028806584</v>
      </c>
    </row>
    <row r="414">
      <c r="A414" s="47">
        <v>1.1246317785E10</v>
      </c>
      <c r="B414" s="48">
        <v>46160.61162037037</v>
      </c>
      <c r="C414" s="30">
        <v>3.859401412E9</v>
      </c>
      <c r="D414" s="47" t="s">
        <v>1514</v>
      </c>
      <c r="E414" s="30">
        <v>729.0</v>
      </c>
      <c r="F414" s="30">
        <v>580.0</v>
      </c>
      <c r="G414" s="30">
        <v>0.0</v>
      </c>
      <c r="H414" s="30">
        <v>0.0</v>
      </c>
      <c r="I414" s="30">
        <v>32.148900000000005</v>
      </c>
      <c r="J414" s="30">
        <v>0.0</v>
      </c>
      <c r="K414" s="30">
        <v>0.0</v>
      </c>
      <c r="L414" s="30">
        <v>0.0</v>
      </c>
      <c r="M414" s="30">
        <v>0.0</v>
      </c>
      <c r="N414" s="30">
        <v>121.5</v>
      </c>
      <c r="O414" s="30">
        <v>-4.648899999999998</v>
      </c>
      <c r="P414" s="30">
        <v>-0.6377091906721534</v>
      </c>
      <c r="Q414" s="30">
        <v>-0.765251028806584</v>
      </c>
    </row>
    <row r="415">
      <c r="A415" s="47">
        <v>1.1246275494E10</v>
      </c>
      <c r="B415" s="48">
        <v>46160.60288194445</v>
      </c>
      <c r="C415" s="30">
        <v>3.859367156E9</v>
      </c>
      <c r="D415" s="47" t="s">
        <v>1514</v>
      </c>
      <c r="E415" s="30">
        <v>729.0</v>
      </c>
      <c r="F415" s="30">
        <v>580.0</v>
      </c>
      <c r="G415" s="30">
        <v>0.0</v>
      </c>
      <c r="H415" s="30">
        <v>0.0</v>
      </c>
      <c r="I415" s="30">
        <v>32.148900000000005</v>
      </c>
      <c r="J415" s="30">
        <v>0.0</v>
      </c>
      <c r="K415" s="30">
        <v>0.0</v>
      </c>
      <c r="L415" s="30">
        <v>0.0</v>
      </c>
      <c r="M415" s="30">
        <v>0.0</v>
      </c>
      <c r="N415" s="30">
        <v>121.5</v>
      </c>
      <c r="O415" s="30">
        <v>-4.648899999999998</v>
      </c>
      <c r="P415" s="30">
        <v>-0.6377091906721534</v>
      </c>
      <c r="Q415" s="30">
        <v>-0.765251028806584</v>
      </c>
    </row>
    <row r="416">
      <c r="A416" s="47">
        <v>1.1248305755E10</v>
      </c>
      <c r="B416" s="48">
        <v>46161.0084375</v>
      </c>
      <c r="C416" s="30">
        <v>3.860995747E9</v>
      </c>
      <c r="D416" s="47" t="s">
        <v>1514</v>
      </c>
      <c r="E416" s="30">
        <v>729.0</v>
      </c>
      <c r="F416" s="30">
        <v>580.0</v>
      </c>
      <c r="G416" s="30">
        <v>0.0</v>
      </c>
      <c r="H416" s="30">
        <v>0.0</v>
      </c>
      <c r="I416" s="30">
        <v>32.148900000000005</v>
      </c>
      <c r="J416" s="30">
        <v>0.0</v>
      </c>
      <c r="K416" s="30">
        <v>0.0</v>
      </c>
      <c r="L416" s="30">
        <v>0.0</v>
      </c>
      <c r="M416" s="30">
        <v>0.0</v>
      </c>
      <c r="N416" s="30">
        <v>121.5</v>
      </c>
      <c r="O416" s="30">
        <v>-4.648899999999998</v>
      </c>
      <c r="P416" s="30">
        <v>-0.6377091906721534</v>
      </c>
      <c r="Q416" s="30">
        <v>-0.765251028806584</v>
      </c>
    </row>
    <row r="417">
      <c r="A417" s="47">
        <v>1.1247703649E10</v>
      </c>
      <c r="B417" s="48">
        <v>46160.88936342593</v>
      </c>
      <c r="C417" s="30">
        <v>3.860547168E9</v>
      </c>
      <c r="D417" s="47" t="s">
        <v>1514</v>
      </c>
      <c r="E417" s="30">
        <v>2583.0</v>
      </c>
      <c r="F417" s="30">
        <v>1260.0</v>
      </c>
      <c r="G417" s="30">
        <v>0.0</v>
      </c>
      <c r="H417" s="30">
        <v>0.0</v>
      </c>
      <c r="I417" s="30">
        <v>296.8083</v>
      </c>
      <c r="J417" s="30">
        <v>0.0</v>
      </c>
      <c r="K417" s="30">
        <v>0.0</v>
      </c>
      <c r="L417" s="30">
        <v>0.0</v>
      </c>
      <c r="M417" s="30">
        <v>0.0</v>
      </c>
      <c r="N417" s="30">
        <v>430.5</v>
      </c>
      <c r="O417" s="30">
        <v>595.6917000000001</v>
      </c>
      <c r="P417" s="30">
        <v>23.06200929152149</v>
      </c>
      <c r="Q417" s="30">
        <v>27.67441114982579</v>
      </c>
    </row>
    <row r="418">
      <c r="A418" s="47">
        <v>1.1246049592E10</v>
      </c>
      <c r="B418" s="48">
        <v>46160.54336805556</v>
      </c>
      <c r="C418" s="30">
        <v>3.859137241E9</v>
      </c>
      <c r="D418" s="47" t="s">
        <v>1514</v>
      </c>
      <c r="E418" s="30">
        <v>142.0</v>
      </c>
      <c r="F418" s="30">
        <v>0.0</v>
      </c>
      <c r="G418" s="30">
        <v>0.0</v>
      </c>
      <c r="H418" s="30">
        <v>0.0</v>
      </c>
      <c r="I418" s="30">
        <v>3.8340000000000005</v>
      </c>
      <c r="J418" s="30">
        <v>0.0</v>
      </c>
      <c r="K418" s="30">
        <v>0.0</v>
      </c>
      <c r="L418" s="30">
        <v>0.0</v>
      </c>
      <c r="M418" s="30">
        <v>0.0</v>
      </c>
      <c r="N418" s="30">
        <v>23.666666666666657</v>
      </c>
      <c r="O418" s="30">
        <v>114.49933333333334</v>
      </c>
      <c r="P418" s="30">
        <v>80.63333333333334</v>
      </c>
      <c r="Q418" s="30">
        <v>96.76</v>
      </c>
    </row>
    <row r="419">
      <c r="A419" s="47">
        <v>1.1246165962E10</v>
      </c>
      <c r="B419" s="48">
        <v>46160.57685185185</v>
      </c>
      <c r="C419" s="30">
        <v>3.859258509E9</v>
      </c>
      <c r="D419" s="47" t="s">
        <v>1514</v>
      </c>
      <c r="E419" s="30">
        <v>948.94</v>
      </c>
      <c r="F419" s="30">
        <v>260.0</v>
      </c>
      <c r="G419" s="30">
        <v>0.0</v>
      </c>
      <c r="H419" s="30">
        <v>0.0</v>
      </c>
      <c r="I419" s="30">
        <v>170.80920000000003</v>
      </c>
      <c r="J419" s="30">
        <v>0.0</v>
      </c>
      <c r="K419" s="30">
        <v>0.0</v>
      </c>
      <c r="L419" s="30">
        <v>0.0</v>
      </c>
      <c r="M419" s="30">
        <v>0.0</v>
      </c>
      <c r="N419" s="30">
        <v>158.15666666666664</v>
      </c>
      <c r="O419" s="30">
        <v>359.9741333333334</v>
      </c>
      <c r="P419" s="30">
        <v>37.93434077321363</v>
      </c>
      <c r="Q419" s="30">
        <v>45.52120892785635</v>
      </c>
    </row>
    <row r="420">
      <c r="A420" s="47">
        <v>1.124611956E10</v>
      </c>
      <c r="B420" s="48">
        <v>46160.56381944445</v>
      </c>
      <c r="C420" s="30">
        <v>3.859210745E9</v>
      </c>
      <c r="D420" s="47" t="s">
        <v>1514</v>
      </c>
      <c r="E420" s="30">
        <v>729.0</v>
      </c>
      <c r="F420" s="30">
        <v>580.0</v>
      </c>
      <c r="G420" s="30">
        <v>0.0</v>
      </c>
      <c r="H420" s="30">
        <v>0.0</v>
      </c>
      <c r="I420" s="30">
        <v>36.0855</v>
      </c>
      <c r="J420" s="30">
        <v>0.0</v>
      </c>
      <c r="K420" s="30">
        <v>0.0</v>
      </c>
      <c r="L420" s="30">
        <v>0.0</v>
      </c>
      <c r="M420" s="30">
        <v>0.0</v>
      </c>
      <c r="N420" s="30">
        <v>121.5</v>
      </c>
      <c r="O420" s="30">
        <v>-8.585499999999996</v>
      </c>
      <c r="P420" s="30">
        <v>-1.177709190672153</v>
      </c>
      <c r="Q420" s="30">
        <v>-1.4132510288065838</v>
      </c>
    </row>
    <row r="421">
      <c r="A421" s="47">
        <v>1.1247962492E10</v>
      </c>
      <c r="B421" s="48">
        <v>46160.9405787037</v>
      </c>
      <c r="C421" s="30">
        <v>3.860729617E9</v>
      </c>
      <c r="D421" s="47" t="s">
        <v>1514</v>
      </c>
      <c r="E421" s="30">
        <v>99.0</v>
      </c>
      <c r="F421" s="30">
        <v>0.0</v>
      </c>
      <c r="G421" s="30">
        <v>0.0</v>
      </c>
      <c r="H421" s="30">
        <v>0.0</v>
      </c>
      <c r="I421" s="30">
        <v>11.1375</v>
      </c>
      <c r="J421" s="30">
        <v>0.0</v>
      </c>
      <c r="K421" s="30">
        <v>0.0</v>
      </c>
      <c r="L421" s="30">
        <v>0.0</v>
      </c>
      <c r="M421" s="30">
        <v>0.0</v>
      </c>
      <c r="N421" s="30">
        <v>16.5</v>
      </c>
      <c r="O421" s="30">
        <v>71.3625</v>
      </c>
      <c r="P421" s="30">
        <v>72.08333333333333</v>
      </c>
      <c r="Q421" s="30">
        <v>86.5</v>
      </c>
    </row>
    <row r="422">
      <c r="A422" s="47">
        <v>1.1248730983E10</v>
      </c>
      <c r="B422" s="48">
        <v>46161.094375</v>
      </c>
      <c r="C422" s="30">
        <v>3.861379413E9</v>
      </c>
      <c r="D422" s="47" t="s">
        <v>1514</v>
      </c>
      <c r="E422" s="30">
        <v>349.99</v>
      </c>
      <c r="F422" s="30">
        <v>106.0</v>
      </c>
      <c r="G422" s="30">
        <v>0.0</v>
      </c>
      <c r="H422" s="30">
        <v>0.0</v>
      </c>
      <c r="I422" s="30">
        <v>62.9982</v>
      </c>
      <c r="J422" s="30">
        <v>0.0</v>
      </c>
      <c r="K422" s="30">
        <v>0.0</v>
      </c>
      <c r="L422" s="30">
        <v>0.0</v>
      </c>
      <c r="M422" s="30">
        <v>0.0</v>
      </c>
      <c r="N422" s="30">
        <v>58.33166666666665</v>
      </c>
      <c r="O422" s="30">
        <v>122.66013333333336</v>
      </c>
      <c r="P422" s="30">
        <v>35.04675371677287</v>
      </c>
      <c r="Q422" s="30">
        <v>42.056104460127436</v>
      </c>
    </row>
    <row r="423">
      <c r="A423" s="47">
        <v>1.1249050836E10</v>
      </c>
      <c r="B423" s="48">
        <v>46161.197905092595</v>
      </c>
      <c r="C423" s="30">
        <v>3.861685975E9</v>
      </c>
      <c r="D423" s="47" t="s">
        <v>1514</v>
      </c>
      <c r="E423" s="30">
        <v>729.0</v>
      </c>
      <c r="F423" s="30">
        <v>580.0</v>
      </c>
      <c r="G423" s="30">
        <v>0.0</v>
      </c>
      <c r="H423" s="30">
        <v>0.0</v>
      </c>
      <c r="I423" s="30">
        <v>32.148900000000005</v>
      </c>
      <c r="J423" s="30">
        <v>0.0</v>
      </c>
      <c r="K423" s="30">
        <v>0.0</v>
      </c>
      <c r="L423" s="30">
        <v>0.0</v>
      </c>
      <c r="M423" s="30">
        <v>0.0</v>
      </c>
      <c r="N423" s="30">
        <v>121.5</v>
      </c>
      <c r="O423" s="30">
        <v>-4.648899999999998</v>
      </c>
      <c r="P423" s="30">
        <v>-0.6377091906721534</v>
      </c>
      <c r="Q423" s="30">
        <v>-0.765251028806584</v>
      </c>
    </row>
    <row r="424">
      <c r="A424" s="47">
        <v>1.1245931884E10</v>
      </c>
      <c r="B424" s="48">
        <v>46160.4996875</v>
      </c>
      <c r="C424" s="30">
        <v>3.859009183E9</v>
      </c>
      <c r="D424" s="47" t="s">
        <v>1509</v>
      </c>
      <c r="E424" s="30">
        <v>729.0</v>
      </c>
      <c r="F424" s="30">
        <v>580.0</v>
      </c>
      <c r="G424" s="30">
        <v>0.0</v>
      </c>
      <c r="H424" s="30">
        <v>0.0</v>
      </c>
      <c r="I424" s="30">
        <v>36.0855</v>
      </c>
      <c r="J424" s="30">
        <v>0.0</v>
      </c>
      <c r="K424" s="30">
        <v>0.0</v>
      </c>
      <c r="L424" s="30">
        <v>0.0</v>
      </c>
      <c r="M424" s="30">
        <v>0.0</v>
      </c>
      <c r="N424" s="30">
        <v>121.5</v>
      </c>
      <c r="O424" s="30">
        <v>-8.585499999999996</v>
      </c>
      <c r="P424" s="30">
        <v>-1.177709190672153</v>
      </c>
      <c r="Q424" s="30">
        <v>-1.4132510288065838</v>
      </c>
    </row>
    <row r="425">
      <c r="A425" s="47">
        <v>1.1242916091E10</v>
      </c>
      <c r="B425" s="48">
        <v>46159.619467592594</v>
      </c>
      <c r="C425" s="30">
        <v>3.856526932E9</v>
      </c>
      <c r="D425" s="47" t="s">
        <v>1509</v>
      </c>
      <c r="E425" s="30">
        <v>3200.0</v>
      </c>
      <c r="F425" s="30">
        <v>2456.0</v>
      </c>
      <c r="G425" s="30">
        <v>0.0</v>
      </c>
      <c r="H425" s="30">
        <v>0.0</v>
      </c>
      <c r="I425" s="30">
        <v>339.84</v>
      </c>
      <c r="J425" s="30">
        <v>0.0</v>
      </c>
      <c r="K425" s="30">
        <v>0.0</v>
      </c>
      <c r="L425" s="30">
        <v>0.0</v>
      </c>
      <c r="M425" s="30">
        <v>0.0</v>
      </c>
      <c r="N425" s="30">
        <v>533.333333333333</v>
      </c>
      <c r="O425" s="30">
        <v>-129.173333333333</v>
      </c>
      <c r="P425" s="30">
        <v>-4.036666666666656</v>
      </c>
      <c r="Q425" s="30">
        <v>-4.843999999999987</v>
      </c>
    </row>
    <row r="426">
      <c r="A426" s="47">
        <v>1.1238062765E10</v>
      </c>
      <c r="B426" s="48">
        <v>46157.919895833336</v>
      </c>
      <c r="C426" s="30">
        <v>3.852506391E9</v>
      </c>
      <c r="D426" s="47" t="s">
        <v>1509</v>
      </c>
      <c r="E426" s="30">
        <v>1291.0</v>
      </c>
      <c r="F426" s="30">
        <v>1190.0</v>
      </c>
      <c r="G426" s="30">
        <v>0.0</v>
      </c>
      <c r="H426" s="30">
        <v>0.0</v>
      </c>
      <c r="I426" s="30">
        <v>34.857</v>
      </c>
      <c r="J426" s="30">
        <v>0.0</v>
      </c>
      <c r="K426" s="30">
        <v>0.0</v>
      </c>
      <c r="L426" s="30">
        <v>0.0</v>
      </c>
      <c r="M426" s="30">
        <v>0.0</v>
      </c>
      <c r="N426" s="30">
        <v>215.16666666666652</v>
      </c>
      <c r="O426" s="30">
        <v>-149.02366666666651</v>
      </c>
      <c r="P426" s="30">
        <v>-11.543273947844037</v>
      </c>
      <c r="Q426" s="30">
        <v>-13.851928737412841</v>
      </c>
    </row>
    <row r="427">
      <c r="A427" s="47">
        <v>1.1236328814E10</v>
      </c>
      <c r="B427" s="48">
        <v>46157.56366898148</v>
      </c>
      <c r="C427" s="30">
        <v>3.851087508E9</v>
      </c>
      <c r="D427" s="47" t="s">
        <v>1509</v>
      </c>
      <c r="E427" s="30">
        <v>1295.9</v>
      </c>
      <c r="F427" s="30">
        <v>1190.0</v>
      </c>
      <c r="G427" s="30">
        <v>0.0</v>
      </c>
      <c r="H427" s="30">
        <v>0.0</v>
      </c>
      <c r="I427" s="30">
        <v>34.9893</v>
      </c>
      <c r="J427" s="30">
        <v>0.0</v>
      </c>
      <c r="K427" s="30">
        <v>0.0</v>
      </c>
      <c r="L427" s="30">
        <v>0.0</v>
      </c>
      <c r="M427" s="30">
        <v>0.0</v>
      </c>
      <c r="N427" s="30">
        <v>215.98333333333335</v>
      </c>
      <c r="O427" s="30">
        <v>-145.07263333333327</v>
      </c>
      <c r="P427" s="30">
        <v>-11.194739820459391</v>
      </c>
      <c r="Q427" s="30">
        <v>-13.433687784551271</v>
      </c>
    </row>
    <row r="428">
      <c r="A428" s="47">
        <v>1.123501968E10</v>
      </c>
      <c r="B428" s="48">
        <v>46156.960960648146</v>
      </c>
      <c r="C428" s="30">
        <v>3.849778163E9</v>
      </c>
      <c r="D428" s="47" t="s">
        <v>1509</v>
      </c>
      <c r="E428" s="30">
        <v>1620.0</v>
      </c>
      <c r="F428" s="30">
        <v>1228.0</v>
      </c>
      <c r="G428" s="30">
        <v>0.0</v>
      </c>
      <c r="H428" s="30">
        <v>0.0</v>
      </c>
      <c r="I428" s="30">
        <v>240.57</v>
      </c>
      <c r="J428" s="30">
        <v>0.0</v>
      </c>
      <c r="K428" s="30">
        <v>0.0</v>
      </c>
      <c r="L428" s="30">
        <v>0.0</v>
      </c>
      <c r="M428" s="30">
        <v>0.0</v>
      </c>
      <c r="N428" s="30">
        <v>270.0</v>
      </c>
      <c r="O428" s="30">
        <v>-118.57</v>
      </c>
      <c r="P428" s="30">
        <v>-7.319135802469136</v>
      </c>
      <c r="Q428" s="30">
        <v>-8.782962962962962</v>
      </c>
    </row>
    <row r="429">
      <c r="A429" s="47">
        <v>1.1237455923E10</v>
      </c>
      <c r="B429" s="48">
        <v>46157.79834490741</v>
      </c>
      <c r="C429" s="30">
        <v>3.852060742E9</v>
      </c>
      <c r="D429" s="47" t="s">
        <v>1509</v>
      </c>
      <c r="E429" s="30">
        <v>1267.9</v>
      </c>
      <c r="F429" s="30">
        <v>1160.0</v>
      </c>
      <c r="G429" s="30">
        <v>0.0</v>
      </c>
      <c r="H429" s="30">
        <v>0.0</v>
      </c>
      <c r="I429" s="30">
        <v>57.0555</v>
      </c>
      <c r="J429" s="30">
        <v>0.0</v>
      </c>
      <c r="K429" s="30">
        <v>0.0</v>
      </c>
      <c r="L429" s="30">
        <v>0.0</v>
      </c>
      <c r="M429" s="30">
        <v>0.0</v>
      </c>
      <c r="N429" s="30">
        <v>211.3166666666666</v>
      </c>
      <c r="O429" s="30">
        <v>-160.4721666666665</v>
      </c>
      <c r="P429" s="30">
        <v>-12.656531797986158</v>
      </c>
      <c r="Q429" s="30">
        <v>-15.18783815758339</v>
      </c>
    </row>
    <row r="430">
      <c r="A430" s="47">
        <v>1.1237957505E10</v>
      </c>
      <c r="B430" s="48">
        <v>46157.90005787037</v>
      </c>
      <c r="C430" s="30">
        <v>3.852434769E9</v>
      </c>
      <c r="D430" s="47" t="s">
        <v>1509</v>
      </c>
      <c r="E430" s="30">
        <v>1291.0</v>
      </c>
      <c r="F430" s="30">
        <v>1190.0</v>
      </c>
      <c r="G430" s="30">
        <v>0.0</v>
      </c>
      <c r="H430" s="30">
        <v>0.0</v>
      </c>
      <c r="I430" s="30">
        <v>34.857</v>
      </c>
      <c r="J430" s="30">
        <v>0.0</v>
      </c>
      <c r="K430" s="30">
        <v>0.0</v>
      </c>
      <c r="L430" s="30">
        <v>0.0</v>
      </c>
      <c r="M430" s="30">
        <v>0.0</v>
      </c>
      <c r="N430" s="30">
        <v>215.16666666666652</v>
      </c>
      <c r="O430" s="30">
        <v>-149.02366666666651</v>
      </c>
      <c r="P430" s="30">
        <v>-11.543273947844037</v>
      </c>
      <c r="Q430" s="30">
        <v>-13.851928737412841</v>
      </c>
    </row>
    <row r="431">
      <c r="A431" s="47">
        <v>1.1238611604E10</v>
      </c>
      <c r="B431" s="48">
        <v>46158.02425925926</v>
      </c>
      <c r="C431" s="30">
        <v>3.852910014E9</v>
      </c>
      <c r="D431" s="47" t="s">
        <v>1509</v>
      </c>
      <c r="E431" s="30">
        <v>3645.0</v>
      </c>
      <c r="F431" s="30">
        <v>2900.0</v>
      </c>
      <c r="G431" s="30">
        <v>0.0</v>
      </c>
      <c r="H431" s="30">
        <v>0.0</v>
      </c>
      <c r="I431" s="30">
        <v>180.4275</v>
      </c>
      <c r="J431" s="30">
        <v>0.0</v>
      </c>
      <c r="K431" s="30">
        <v>0.0</v>
      </c>
      <c r="L431" s="30">
        <v>0.0</v>
      </c>
      <c r="M431" s="30">
        <v>0.0</v>
      </c>
      <c r="N431" s="30">
        <v>607.5</v>
      </c>
      <c r="O431" s="30">
        <v>-42.92750000000001</v>
      </c>
      <c r="P431" s="30">
        <v>-1.1777091906721537</v>
      </c>
      <c r="Q431" s="30">
        <v>-1.4132510288065847</v>
      </c>
    </row>
    <row r="432">
      <c r="A432" s="47">
        <v>1.1236731022E10</v>
      </c>
      <c r="B432" s="48">
        <v>46157.65133101852</v>
      </c>
      <c r="C432" s="30">
        <v>3.851451256E9</v>
      </c>
      <c r="D432" s="47" t="s">
        <v>1509</v>
      </c>
      <c r="E432" s="30">
        <v>1454.0</v>
      </c>
      <c r="F432" s="30">
        <v>1160.0</v>
      </c>
      <c r="G432" s="30">
        <v>0.0</v>
      </c>
      <c r="H432" s="30">
        <v>0.0</v>
      </c>
      <c r="I432" s="30">
        <v>64.12140000000001</v>
      </c>
      <c r="J432" s="30">
        <v>0.0</v>
      </c>
      <c r="K432" s="30">
        <v>0.0</v>
      </c>
      <c r="L432" s="30">
        <v>0.0</v>
      </c>
      <c r="M432" s="30">
        <v>0.0</v>
      </c>
      <c r="N432" s="30">
        <v>242.33333333333326</v>
      </c>
      <c r="O432" s="30">
        <v>-12.454733333333252</v>
      </c>
      <c r="P432" s="30">
        <v>-0.8565841357175551</v>
      </c>
      <c r="Q432" s="30">
        <v>-1.027900962861066</v>
      </c>
    </row>
    <row r="433">
      <c r="A433" s="47">
        <v>1.1236626905E10</v>
      </c>
      <c r="B433" s="48">
        <v>46157.631377314814</v>
      </c>
      <c r="C433" s="30">
        <v>3.851361191E9</v>
      </c>
      <c r="D433" s="47" t="s">
        <v>1509</v>
      </c>
      <c r="E433" s="30">
        <v>1295.9</v>
      </c>
      <c r="F433" s="30">
        <v>1190.0</v>
      </c>
      <c r="G433" s="30">
        <v>0.0</v>
      </c>
      <c r="H433" s="30">
        <v>0.0</v>
      </c>
      <c r="I433" s="30">
        <v>34.9893</v>
      </c>
      <c r="J433" s="30">
        <v>0.0</v>
      </c>
      <c r="K433" s="30">
        <v>0.0</v>
      </c>
      <c r="L433" s="30">
        <v>0.0</v>
      </c>
      <c r="M433" s="30">
        <v>0.0</v>
      </c>
      <c r="N433" s="30">
        <v>215.98333333333335</v>
      </c>
      <c r="O433" s="30">
        <v>-145.07263333333327</v>
      </c>
      <c r="P433" s="30">
        <v>-11.194739820459391</v>
      </c>
      <c r="Q433" s="30">
        <v>-13.433687784551271</v>
      </c>
    </row>
    <row r="434">
      <c r="A434" s="47">
        <v>1.1244724618E10</v>
      </c>
      <c r="B434" s="48">
        <v>46159.97386574074</v>
      </c>
      <c r="C434" s="30">
        <v>3.857849554E9</v>
      </c>
      <c r="D434" s="47" t="s">
        <v>1512</v>
      </c>
      <c r="E434" s="30">
        <v>729.0</v>
      </c>
      <c r="F434" s="30">
        <v>580.0</v>
      </c>
      <c r="G434" s="30">
        <v>0.0</v>
      </c>
      <c r="H434" s="30">
        <v>0.0</v>
      </c>
      <c r="I434" s="30">
        <v>32.148900000000005</v>
      </c>
      <c r="J434" s="30">
        <v>0.0</v>
      </c>
      <c r="K434" s="30">
        <v>0.0</v>
      </c>
      <c r="L434" s="30">
        <v>0.0</v>
      </c>
      <c r="M434" s="30">
        <v>0.0</v>
      </c>
      <c r="N434" s="30">
        <v>121.5</v>
      </c>
      <c r="O434" s="30">
        <v>-4.648899999999998</v>
      </c>
      <c r="P434" s="30">
        <v>-0.6377091906721534</v>
      </c>
      <c r="Q434" s="30">
        <v>-0.765251028806584</v>
      </c>
    </row>
    <row r="435">
      <c r="A435" s="47">
        <v>1.1242334703E10</v>
      </c>
      <c r="B435" s="48">
        <v>46159.162939814814</v>
      </c>
      <c r="C435" s="30">
        <v>3.856003489E9</v>
      </c>
      <c r="D435" s="47" t="s">
        <v>1512</v>
      </c>
      <c r="E435" s="30">
        <v>1284.0</v>
      </c>
      <c r="F435" s="30">
        <v>1190.0</v>
      </c>
      <c r="G435" s="30">
        <v>0.0</v>
      </c>
      <c r="H435" s="30">
        <v>0.0</v>
      </c>
      <c r="I435" s="30">
        <v>34.668</v>
      </c>
      <c r="J435" s="30">
        <v>0.0</v>
      </c>
      <c r="K435" s="30">
        <v>0.0</v>
      </c>
      <c r="L435" s="30">
        <v>0.0</v>
      </c>
      <c r="M435" s="30">
        <v>0.0</v>
      </c>
      <c r="N435" s="30">
        <v>214.0</v>
      </c>
      <c r="O435" s="30">
        <v>-154.668</v>
      </c>
      <c r="P435" s="30">
        <v>-12.045794392523366</v>
      </c>
      <c r="Q435" s="30">
        <v>-14.454953271028037</v>
      </c>
    </row>
    <row r="436">
      <c r="A436" s="47">
        <v>1.1237657742E10</v>
      </c>
      <c r="B436" s="48">
        <v>46157.84032407407</v>
      </c>
      <c r="C436" s="30">
        <v>3.852219001E9</v>
      </c>
      <c r="D436" s="47" t="s">
        <v>1509</v>
      </c>
      <c r="E436" s="30">
        <v>1458.0</v>
      </c>
      <c r="F436" s="30">
        <v>1160.0</v>
      </c>
      <c r="G436" s="30">
        <v>0.0</v>
      </c>
      <c r="H436" s="30">
        <v>0.0</v>
      </c>
      <c r="I436" s="30">
        <v>72.171</v>
      </c>
      <c r="J436" s="30">
        <v>0.0</v>
      </c>
      <c r="K436" s="30">
        <v>0.0</v>
      </c>
      <c r="L436" s="30">
        <v>0.0</v>
      </c>
      <c r="M436" s="30">
        <v>0.0</v>
      </c>
      <c r="N436" s="30">
        <v>243.0</v>
      </c>
      <c r="O436" s="30">
        <v>-17.170999999999992</v>
      </c>
      <c r="P436" s="30">
        <v>-1.177709190672153</v>
      </c>
      <c r="Q436" s="30">
        <v>-1.4132510288065838</v>
      </c>
    </row>
    <row r="437">
      <c r="A437" s="47">
        <v>1.1238938535E10</v>
      </c>
      <c r="B437" s="48">
        <v>46158.09491898148</v>
      </c>
      <c r="C437" s="30">
        <v>3.853199203E9</v>
      </c>
      <c r="D437" s="47" t="s">
        <v>1509</v>
      </c>
      <c r="E437" s="30">
        <v>1078.99</v>
      </c>
      <c r="F437" s="30">
        <v>686.0</v>
      </c>
      <c r="G437" s="30">
        <v>0.0</v>
      </c>
      <c r="H437" s="30">
        <v>0.0</v>
      </c>
      <c r="I437" s="30">
        <v>95.1471</v>
      </c>
      <c r="J437" s="30">
        <v>0.0</v>
      </c>
      <c r="K437" s="30">
        <v>0.0</v>
      </c>
      <c r="L437" s="30">
        <v>0.0</v>
      </c>
      <c r="M437" s="30">
        <v>0.0</v>
      </c>
      <c r="N437" s="30">
        <v>179.83166666666665</v>
      </c>
      <c r="O437" s="30">
        <v>118.01123333333334</v>
      </c>
      <c r="P437" s="30">
        <v>10.937194351507737</v>
      </c>
      <c r="Q437" s="30">
        <v>13.124633221809285</v>
      </c>
    </row>
    <row r="438">
      <c r="A438" s="47">
        <v>1.123744625E10</v>
      </c>
      <c r="B438" s="48">
        <v>46157.79623842592</v>
      </c>
      <c r="C438" s="30">
        <v>3.85205458E9</v>
      </c>
      <c r="D438" s="47" t="s">
        <v>1509</v>
      </c>
      <c r="E438" s="30">
        <v>729.0</v>
      </c>
      <c r="F438" s="30">
        <v>580.0</v>
      </c>
      <c r="G438" s="30">
        <v>0.0</v>
      </c>
      <c r="H438" s="30">
        <v>0.0</v>
      </c>
      <c r="I438" s="30">
        <v>36.0855</v>
      </c>
      <c r="J438" s="30">
        <v>0.0</v>
      </c>
      <c r="K438" s="30">
        <v>0.0</v>
      </c>
      <c r="L438" s="30">
        <v>0.0</v>
      </c>
      <c r="M438" s="30">
        <v>0.0</v>
      </c>
      <c r="N438" s="30">
        <v>121.5</v>
      </c>
      <c r="O438" s="30">
        <v>-8.585499999999996</v>
      </c>
      <c r="P438" s="30">
        <v>-1.177709190672153</v>
      </c>
      <c r="Q438" s="30">
        <v>-1.4132510288065838</v>
      </c>
    </row>
    <row r="439">
      <c r="A439" s="47">
        <v>1.1241414837E10</v>
      </c>
      <c r="B439" s="48">
        <v>46158.957083333335</v>
      </c>
      <c r="C439" s="30">
        <v>3.855237076E9</v>
      </c>
      <c r="D439" s="47" t="s">
        <v>1512</v>
      </c>
      <c r="E439" s="30">
        <v>852.0</v>
      </c>
      <c r="F439" s="30">
        <v>300.0</v>
      </c>
      <c r="G439" s="30">
        <v>0.0</v>
      </c>
      <c r="H439" s="30">
        <v>0.0</v>
      </c>
      <c r="I439" s="30">
        <v>123.45479999999999</v>
      </c>
      <c r="J439" s="30">
        <v>0.0</v>
      </c>
      <c r="K439" s="30">
        <v>0.0</v>
      </c>
      <c r="L439" s="30">
        <v>0.0</v>
      </c>
      <c r="M439" s="30">
        <v>0.0</v>
      </c>
      <c r="N439" s="30">
        <v>142.0</v>
      </c>
      <c r="O439" s="30">
        <v>286.5452</v>
      </c>
      <c r="P439" s="30">
        <v>33.63206572769953</v>
      </c>
      <c r="Q439" s="30">
        <v>40.35847887323944</v>
      </c>
    </row>
    <row r="440">
      <c r="A440" s="47">
        <v>1.1236030635E10</v>
      </c>
      <c r="B440" s="48">
        <v>46157.36885416666</v>
      </c>
      <c r="C440" s="30">
        <v>3.850742744E9</v>
      </c>
      <c r="D440" s="47" t="s">
        <v>1509</v>
      </c>
      <c r="E440" s="30">
        <v>1454.0</v>
      </c>
      <c r="F440" s="30">
        <v>1160.0</v>
      </c>
      <c r="G440" s="30">
        <v>0.0</v>
      </c>
      <c r="H440" s="30">
        <v>0.0</v>
      </c>
      <c r="I440" s="30">
        <v>64.12140000000001</v>
      </c>
      <c r="J440" s="30">
        <v>0.0</v>
      </c>
      <c r="K440" s="30">
        <v>0.0</v>
      </c>
      <c r="L440" s="30">
        <v>0.0</v>
      </c>
      <c r="M440" s="30">
        <v>0.0</v>
      </c>
      <c r="N440" s="30">
        <v>242.33333333333326</v>
      </c>
      <c r="O440" s="30">
        <v>-12.454733333333252</v>
      </c>
      <c r="P440" s="30">
        <v>-0.8565841357175551</v>
      </c>
      <c r="Q440" s="30">
        <v>-1.027900962861066</v>
      </c>
    </row>
    <row r="441">
      <c r="A441" s="47">
        <v>1.1240653404E10</v>
      </c>
      <c r="B441" s="48">
        <v>46158.80185185185</v>
      </c>
      <c r="C441" s="30">
        <v>3.85472076E9</v>
      </c>
      <c r="D441" s="47" t="s">
        <v>1512</v>
      </c>
      <c r="E441" s="30">
        <v>852.0</v>
      </c>
      <c r="F441" s="30">
        <v>300.0</v>
      </c>
      <c r="G441" s="30">
        <v>0.0</v>
      </c>
      <c r="H441" s="30">
        <v>0.0</v>
      </c>
      <c r="I441" s="30">
        <v>123.45479999999999</v>
      </c>
      <c r="J441" s="30">
        <v>0.0</v>
      </c>
      <c r="K441" s="30">
        <v>0.0</v>
      </c>
      <c r="L441" s="30">
        <v>0.0</v>
      </c>
      <c r="M441" s="30">
        <v>0.0</v>
      </c>
      <c r="N441" s="30">
        <v>142.0</v>
      </c>
      <c r="O441" s="30">
        <v>286.5452</v>
      </c>
      <c r="P441" s="30">
        <v>33.63206572769953</v>
      </c>
      <c r="Q441" s="30">
        <v>40.35847887323944</v>
      </c>
    </row>
    <row r="442">
      <c r="A442" s="47">
        <v>1.1237550695E10</v>
      </c>
      <c r="B442" s="48">
        <v>46157.81821759259</v>
      </c>
      <c r="C442" s="30">
        <v>3.852137272E9</v>
      </c>
      <c r="D442" s="47" t="s">
        <v>1509</v>
      </c>
      <c r="E442" s="30">
        <v>729.0</v>
      </c>
      <c r="F442" s="30">
        <v>580.0</v>
      </c>
      <c r="G442" s="30">
        <v>0.0</v>
      </c>
      <c r="H442" s="30">
        <v>0.0</v>
      </c>
      <c r="I442" s="30">
        <v>36.0855</v>
      </c>
      <c r="J442" s="30">
        <v>0.0</v>
      </c>
      <c r="K442" s="30">
        <v>0.0</v>
      </c>
      <c r="L442" s="30">
        <v>0.0</v>
      </c>
      <c r="M442" s="30">
        <v>0.0</v>
      </c>
      <c r="N442" s="30">
        <v>121.5</v>
      </c>
      <c r="O442" s="30">
        <v>-8.585499999999996</v>
      </c>
      <c r="P442" s="30">
        <v>-1.177709190672153</v>
      </c>
      <c r="Q442" s="30">
        <v>-1.4132510288065838</v>
      </c>
    </row>
    <row r="443">
      <c r="A443" s="47">
        <v>1.1238314998E10</v>
      </c>
      <c r="B443" s="48">
        <v>46157.96769675926</v>
      </c>
      <c r="C443" s="30">
        <v>3.852679633E9</v>
      </c>
      <c r="D443" s="47" t="s">
        <v>1509</v>
      </c>
      <c r="E443" s="30">
        <v>729.0</v>
      </c>
      <c r="F443" s="30">
        <v>580.0</v>
      </c>
      <c r="G443" s="30">
        <v>0.0</v>
      </c>
      <c r="H443" s="30">
        <v>0.0</v>
      </c>
      <c r="I443" s="30">
        <v>32.148900000000005</v>
      </c>
      <c r="J443" s="30">
        <v>0.0</v>
      </c>
      <c r="K443" s="30">
        <v>0.0</v>
      </c>
      <c r="L443" s="30">
        <v>0.0</v>
      </c>
      <c r="M443" s="30">
        <v>0.0</v>
      </c>
      <c r="N443" s="30">
        <v>121.5</v>
      </c>
      <c r="O443" s="30">
        <v>-4.648899999999998</v>
      </c>
      <c r="P443" s="30">
        <v>-0.6377091906721534</v>
      </c>
      <c r="Q443" s="30">
        <v>-0.765251028806584</v>
      </c>
    </row>
    <row r="444">
      <c r="A444" s="47">
        <v>1.1230804455E10</v>
      </c>
      <c r="B444" s="48">
        <v>46155.73855324074</v>
      </c>
      <c r="C444" s="30">
        <v>3.846097865E9</v>
      </c>
      <c r="D444" s="47" t="s">
        <v>1509</v>
      </c>
      <c r="E444" s="30">
        <v>5880.0</v>
      </c>
      <c r="F444" s="30">
        <v>4640.0</v>
      </c>
      <c r="G444" s="30">
        <v>0.0</v>
      </c>
      <c r="H444" s="30">
        <v>0.0</v>
      </c>
      <c r="I444" s="30">
        <v>259.308</v>
      </c>
      <c r="J444" s="30">
        <v>0.0</v>
      </c>
      <c r="K444" s="30">
        <v>0.0</v>
      </c>
      <c r="L444" s="30">
        <v>0.0</v>
      </c>
      <c r="M444" s="30">
        <v>0.0</v>
      </c>
      <c r="N444" s="30">
        <v>980.0</v>
      </c>
      <c r="O444" s="30">
        <v>0.6920000000000073</v>
      </c>
      <c r="P444" s="30">
        <v>0.01176870748299332</v>
      </c>
      <c r="Q444" s="30">
        <v>0.014122448979591985</v>
      </c>
    </row>
    <row r="445">
      <c r="A445" s="47">
        <v>1.1237241631E10</v>
      </c>
      <c r="B445" s="48">
        <v>46157.75313657407</v>
      </c>
      <c r="C445" s="30">
        <v>3.851879883E9</v>
      </c>
      <c r="D445" s="47" t="s">
        <v>1509</v>
      </c>
      <c r="E445" s="30">
        <v>1458.0</v>
      </c>
      <c r="F445" s="30">
        <v>1160.0</v>
      </c>
      <c r="G445" s="30">
        <v>0.0</v>
      </c>
      <c r="H445" s="30">
        <v>0.0</v>
      </c>
      <c r="I445" s="30">
        <v>72.171</v>
      </c>
      <c r="J445" s="30">
        <v>0.0</v>
      </c>
      <c r="K445" s="30">
        <v>0.0</v>
      </c>
      <c r="L445" s="30">
        <v>0.0</v>
      </c>
      <c r="M445" s="30">
        <v>0.0</v>
      </c>
      <c r="N445" s="30">
        <v>243.0</v>
      </c>
      <c r="O445" s="30">
        <v>-17.170999999999992</v>
      </c>
      <c r="P445" s="30">
        <v>-1.177709190672153</v>
      </c>
      <c r="Q445" s="30">
        <v>-1.4132510288065838</v>
      </c>
    </row>
    <row r="446">
      <c r="A446" s="47">
        <v>1.1236650381E10</v>
      </c>
      <c r="B446" s="48">
        <v>46157.63618055556</v>
      </c>
      <c r="C446" s="30">
        <v>3.85137835E9</v>
      </c>
      <c r="D446" s="47" t="s">
        <v>1509</v>
      </c>
      <c r="E446" s="30">
        <v>1458.0</v>
      </c>
      <c r="F446" s="30">
        <v>1160.0</v>
      </c>
      <c r="G446" s="30">
        <v>0.0</v>
      </c>
      <c r="H446" s="30">
        <v>0.0</v>
      </c>
      <c r="I446" s="30">
        <v>72.171</v>
      </c>
      <c r="J446" s="30">
        <v>0.0</v>
      </c>
      <c r="K446" s="30">
        <v>0.0</v>
      </c>
      <c r="L446" s="30">
        <v>0.0</v>
      </c>
      <c r="M446" s="30">
        <v>0.0</v>
      </c>
      <c r="N446" s="30">
        <v>243.0</v>
      </c>
      <c r="O446" s="30">
        <v>-17.170999999999992</v>
      </c>
      <c r="P446" s="30">
        <v>-1.177709190672153</v>
      </c>
      <c r="Q446" s="30">
        <v>-1.4132510288065838</v>
      </c>
    </row>
    <row r="447">
      <c r="A447" s="47">
        <v>1.1235368485E10</v>
      </c>
      <c r="B447" s="48">
        <v>46157.03135416667</v>
      </c>
      <c r="C447" s="30">
        <v>3.850071693E9</v>
      </c>
      <c r="D447" s="47" t="s">
        <v>1509</v>
      </c>
      <c r="E447" s="30">
        <v>1620.0</v>
      </c>
      <c r="F447" s="30">
        <v>1228.0</v>
      </c>
      <c r="G447" s="30">
        <v>0.0</v>
      </c>
      <c r="H447" s="30">
        <v>0.0</v>
      </c>
      <c r="I447" s="30">
        <v>240.57</v>
      </c>
      <c r="J447" s="30">
        <v>0.0</v>
      </c>
      <c r="K447" s="30">
        <v>0.0</v>
      </c>
      <c r="L447" s="30">
        <v>0.0</v>
      </c>
      <c r="M447" s="30">
        <v>0.0</v>
      </c>
      <c r="N447" s="30">
        <v>270.0</v>
      </c>
      <c r="O447" s="30">
        <v>-118.57</v>
      </c>
      <c r="P447" s="30">
        <v>-7.319135802469136</v>
      </c>
      <c r="Q447" s="30">
        <v>-8.782962962962962</v>
      </c>
    </row>
    <row r="448">
      <c r="A448" s="47">
        <v>1.1238840556E10</v>
      </c>
      <c r="B448" s="48">
        <v>46158.072534722225</v>
      </c>
      <c r="C448" s="30">
        <v>3.853109582E9</v>
      </c>
      <c r="D448" s="47" t="s">
        <v>1510</v>
      </c>
      <c r="E448" s="30">
        <v>729.0</v>
      </c>
      <c r="F448" s="30">
        <v>580.0</v>
      </c>
      <c r="G448" s="30">
        <v>0.0</v>
      </c>
      <c r="H448" s="30">
        <v>0.0</v>
      </c>
      <c r="I448" s="30">
        <v>32.148900000000005</v>
      </c>
      <c r="J448" s="30">
        <v>0.0</v>
      </c>
      <c r="K448" s="30">
        <v>0.0</v>
      </c>
      <c r="L448" s="30">
        <v>0.0</v>
      </c>
      <c r="M448" s="30">
        <v>0.0</v>
      </c>
      <c r="N448" s="30">
        <v>121.5</v>
      </c>
      <c r="O448" s="30">
        <v>-4.648899999999998</v>
      </c>
      <c r="P448" s="30">
        <v>-0.6377091906721534</v>
      </c>
      <c r="Q448" s="30">
        <v>-0.765251028806584</v>
      </c>
    </row>
    <row r="449">
      <c r="A449" s="47">
        <v>1.1235613241E10</v>
      </c>
      <c r="B449" s="48">
        <v>46157.084814814814</v>
      </c>
      <c r="C449" s="30">
        <v>3.85030881E9</v>
      </c>
      <c r="D449" s="47" t="s">
        <v>1509</v>
      </c>
      <c r="E449" s="30">
        <v>727.0</v>
      </c>
      <c r="F449" s="30">
        <v>580.0</v>
      </c>
      <c r="G449" s="30">
        <v>0.0</v>
      </c>
      <c r="H449" s="30">
        <v>0.0</v>
      </c>
      <c r="I449" s="30">
        <v>32.060700000000004</v>
      </c>
      <c r="J449" s="30">
        <v>0.0</v>
      </c>
      <c r="K449" s="30">
        <v>0.0</v>
      </c>
      <c r="L449" s="30">
        <v>0.0</v>
      </c>
      <c r="M449" s="30">
        <v>0.0</v>
      </c>
      <c r="N449" s="30">
        <v>121.16666666666663</v>
      </c>
      <c r="O449" s="30">
        <v>-6.227366666666626</v>
      </c>
      <c r="P449" s="30">
        <v>-0.8565841357175551</v>
      </c>
      <c r="Q449" s="30">
        <v>-1.027900962861066</v>
      </c>
    </row>
    <row r="450">
      <c r="A450" s="47">
        <v>1.1238202762E10</v>
      </c>
      <c r="B450" s="48">
        <v>46157.94627314815</v>
      </c>
      <c r="C450" s="30">
        <v>3.852602556E9</v>
      </c>
      <c r="D450" s="47" t="s">
        <v>1509</v>
      </c>
      <c r="E450" s="30">
        <v>1458.0</v>
      </c>
      <c r="F450" s="30">
        <v>1160.0</v>
      </c>
      <c r="G450" s="30">
        <v>0.0</v>
      </c>
      <c r="H450" s="30">
        <v>0.0</v>
      </c>
      <c r="I450" s="30">
        <v>72.171</v>
      </c>
      <c r="J450" s="30">
        <v>0.0</v>
      </c>
      <c r="K450" s="30">
        <v>0.0</v>
      </c>
      <c r="L450" s="30">
        <v>0.0</v>
      </c>
      <c r="M450" s="30">
        <v>0.0</v>
      </c>
      <c r="N450" s="30">
        <v>243.0</v>
      </c>
      <c r="O450" s="30">
        <v>-17.170999999999992</v>
      </c>
      <c r="P450" s="30">
        <v>-1.177709190672153</v>
      </c>
      <c r="Q450" s="30">
        <v>-1.4132510288065838</v>
      </c>
    </row>
    <row r="451">
      <c r="A451" s="47">
        <v>1.1236938804E10</v>
      </c>
      <c r="B451" s="48">
        <v>46157.692245370374</v>
      </c>
      <c r="C451" s="30">
        <v>3.851625559E9</v>
      </c>
      <c r="D451" s="47" t="s">
        <v>1509</v>
      </c>
      <c r="E451" s="30">
        <v>1458.0</v>
      </c>
      <c r="F451" s="30">
        <v>1160.0</v>
      </c>
      <c r="G451" s="30">
        <v>0.0</v>
      </c>
      <c r="H451" s="30">
        <v>0.0</v>
      </c>
      <c r="I451" s="30">
        <v>72.171</v>
      </c>
      <c r="J451" s="30">
        <v>0.0</v>
      </c>
      <c r="K451" s="30">
        <v>0.0</v>
      </c>
      <c r="L451" s="30">
        <v>0.0</v>
      </c>
      <c r="M451" s="30">
        <v>0.0</v>
      </c>
      <c r="N451" s="30">
        <v>243.0</v>
      </c>
      <c r="O451" s="30">
        <v>-17.170999999999992</v>
      </c>
      <c r="P451" s="30">
        <v>-1.177709190672153</v>
      </c>
      <c r="Q451" s="30">
        <v>-1.4132510288065838</v>
      </c>
    </row>
    <row r="452">
      <c r="A452" s="47">
        <v>1.1238358366E10</v>
      </c>
      <c r="B452" s="48">
        <v>46157.97582175926</v>
      </c>
      <c r="C452" s="30">
        <v>3.852712186E9</v>
      </c>
      <c r="D452" s="47" t="s">
        <v>1509</v>
      </c>
      <c r="E452" s="30">
        <v>2582.0</v>
      </c>
      <c r="F452" s="30">
        <v>2380.0</v>
      </c>
      <c r="G452" s="30">
        <v>0.0</v>
      </c>
      <c r="H452" s="30">
        <v>0.0</v>
      </c>
      <c r="I452" s="30">
        <v>69.714</v>
      </c>
      <c r="J452" s="30">
        <v>0.0</v>
      </c>
      <c r="K452" s="30">
        <v>0.0</v>
      </c>
      <c r="L452" s="30">
        <v>0.0</v>
      </c>
      <c r="M452" s="30">
        <v>0.0</v>
      </c>
      <c r="N452" s="30">
        <v>430.33333333333303</v>
      </c>
      <c r="O452" s="30">
        <v>-298.04733333333303</v>
      </c>
      <c r="P452" s="30">
        <v>-11.543273947844037</v>
      </c>
      <c r="Q452" s="30">
        <v>-13.851928737412841</v>
      </c>
    </row>
    <row r="453">
      <c r="A453" s="47">
        <v>1.123784757E10</v>
      </c>
      <c r="B453" s="48">
        <v>46157.878483796296</v>
      </c>
      <c r="C453" s="30">
        <v>3.852360768E9</v>
      </c>
      <c r="D453" s="47" t="s">
        <v>1509</v>
      </c>
      <c r="E453" s="30">
        <v>1291.0</v>
      </c>
      <c r="F453" s="30">
        <v>1190.0</v>
      </c>
      <c r="G453" s="30">
        <v>0.0</v>
      </c>
      <c r="H453" s="30">
        <v>0.0</v>
      </c>
      <c r="I453" s="30">
        <v>34.857</v>
      </c>
      <c r="J453" s="30">
        <v>0.0</v>
      </c>
      <c r="K453" s="30">
        <v>0.0</v>
      </c>
      <c r="L453" s="30">
        <v>0.0</v>
      </c>
      <c r="M453" s="30">
        <v>0.0</v>
      </c>
      <c r="N453" s="30">
        <v>215.16666666666652</v>
      </c>
      <c r="O453" s="30">
        <v>-149.02366666666651</v>
      </c>
      <c r="P453" s="30">
        <v>-11.543273947844037</v>
      </c>
      <c r="Q453" s="30">
        <v>-13.851928737412841</v>
      </c>
    </row>
    <row r="454">
      <c r="A454" s="47">
        <v>1.123666951E10</v>
      </c>
      <c r="B454" s="48">
        <v>46157.63953703704</v>
      </c>
      <c r="C454" s="30">
        <v>3.851399108E9</v>
      </c>
      <c r="D454" s="47" t="s">
        <v>1509</v>
      </c>
      <c r="E454" s="30">
        <v>727.0</v>
      </c>
      <c r="F454" s="30">
        <v>580.0</v>
      </c>
      <c r="G454" s="30">
        <v>0.0</v>
      </c>
      <c r="H454" s="30">
        <v>0.0</v>
      </c>
      <c r="I454" s="30">
        <v>32.060700000000004</v>
      </c>
      <c r="J454" s="30">
        <v>0.0</v>
      </c>
      <c r="K454" s="30">
        <v>0.0</v>
      </c>
      <c r="L454" s="30">
        <v>0.0</v>
      </c>
      <c r="M454" s="30">
        <v>0.0</v>
      </c>
      <c r="N454" s="30">
        <v>121.16666666666663</v>
      </c>
      <c r="O454" s="30">
        <v>-6.227366666666626</v>
      </c>
      <c r="P454" s="30">
        <v>-0.8565841357175551</v>
      </c>
      <c r="Q454" s="30">
        <v>-1.027900962861066</v>
      </c>
    </row>
    <row r="455">
      <c r="A455" s="47">
        <v>1.1237218236E10</v>
      </c>
      <c r="B455" s="48">
        <v>46157.74827546296</v>
      </c>
      <c r="C455" s="30">
        <v>3.851861527E9</v>
      </c>
      <c r="D455" s="47" t="s">
        <v>1509</v>
      </c>
      <c r="E455" s="30">
        <v>727.0</v>
      </c>
      <c r="F455" s="30">
        <v>580.0</v>
      </c>
      <c r="G455" s="30">
        <v>0.0</v>
      </c>
      <c r="H455" s="30">
        <v>0.0</v>
      </c>
      <c r="I455" s="30">
        <v>32.060700000000004</v>
      </c>
      <c r="J455" s="30">
        <v>0.0</v>
      </c>
      <c r="K455" s="30">
        <v>0.0</v>
      </c>
      <c r="L455" s="30">
        <v>0.0</v>
      </c>
      <c r="M455" s="30">
        <v>0.0</v>
      </c>
      <c r="N455" s="30">
        <v>121.16666666666663</v>
      </c>
      <c r="O455" s="30">
        <v>-6.227366666666626</v>
      </c>
      <c r="P455" s="30">
        <v>-0.8565841357175551</v>
      </c>
      <c r="Q455" s="30">
        <v>-1.027900962861066</v>
      </c>
    </row>
    <row r="456">
      <c r="A456" s="47">
        <v>1.1233326107E10</v>
      </c>
      <c r="B456" s="48">
        <v>46156.60527777778</v>
      </c>
      <c r="C456" s="30">
        <v>3.848426366E9</v>
      </c>
      <c r="D456" s="47" t="s">
        <v>1509</v>
      </c>
      <c r="E456" s="30">
        <v>1640.0</v>
      </c>
      <c r="F456" s="30">
        <v>1228.0</v>
      </c>
      <c r="G456" s="30">
        <v>0.0</v>
      </c>
      <c r="H456" s="30">
        <v>0.0</v>
      </c>
      <c r="I456" s="30">
        <v>243.54</v>
      </c>
      <c r="J456" s="30">
        <v>0.0</v>
      </c>
      <c r="K456" s="30">
        <v>0.0</v>
      </c>
      <c r="L456" s="30">
        <v>0.0</v>
      </c>
      <c r="M456" s="30">
        <v>0.0</v>
      </c>
      <c r="N456" s="30">
        <v>273.33333333333326</v>
      </c>
      <c r="O456" s="30">
        <v>-104.87333333333325</v>
      </c>
      <c r="P456" s="30">
        <v>-6.394715447154467</v>
      </c>
      <c r="Q456" s="30">
        <v>-7.673658536585359</v>
      </c>
    </row>
    <row r="457">
      <c r="A457" s="47">
        <v>1.1239003787E10</v>
      </c>
      <c r="B457" s="48">
        <v>46158.11127314815</v>
      </c>
      <c r="C457" s="30">
        <v>3.85325862E9</v>
      </c>
      <c r="D457" s="47" t="s">
        <v>1509</v>
      </c>
      <c r="E457" s="30">
        <v>729.0</v>
      </c>
      <c r="F457" s="30">
        <v>580.0</v>
      </c>
      <c r="G457" s="30">
        <v>0.0</v>
      </c>
      <c r="H457" s="30">
        <v>0.0</v>
      </c>
      <c r="I457" s="30">
        <v>32.148900000000005</v>
      </c>
      <c r="J457" s="30">
        <v>0.0</v>
      </c>
      <c r="K457" s="30">
        <v>0.0</v>
      </c>
      <c r="L457" s="30">
        <v>0.0</v>
      </c>
      <c r="M457" s="30">
        <v>0.0</v>
      </c>
      <c r="N457" s="30">
        <v>121.5</v>
      </c>
      <c r="O457" s="30">
        <v>-4.648899999999998</v>
      </c>
      <c r="P457" s="30">
        <v>-0.6377091906721534</v>
      </c>
      <c r="Q457" s="30">
        <v>-0.765251028806584</v>
      </c>
    </row>
    <row r="458">
      <c r="A458" s="47">
        <v>1.1246315781E10</v>
      </c>
      <c r="B458" s="48">
        <v>46160.61121527778</v>
      </c>
      <c r="C458" s="30">
        <v>3.85939981E9</v>
      </c>
      <c r="D458" s="47" t="s">
        <v>1511</v>
      </c>
      <c r="E458" s="30">
        <v>1054.0</v>
      </c>
      <c r="F458" s="30">
        <v>53.0</v>
      </c>
      <c r="G458" s="30">
        <v>0.0</v>
      </c>
      <c r="H458" s="30">
        <v>0.0</v>
      </c>
      <c r="I458" s="30">
        <v>0.0</v>
      </c>
      <c r="J458" s="30">
        <v>0.0</v>
      </c>
      <c r="K458" s="30">
        <v>0.0</v>
      </c>
      <c r="L458" s="30">
        <v>0.0</v>
      </c>
      <c r="M458" s="30">
        <v>0.0</v>
      </c>
      <c r="N458" s="30">
        <v>175.66666666666663</v>
      </c>
      <c r="O458" s="30">
        <v>825.3333333333334</v>
      </c>
      <c r="P458" s="30">
        <v>78.30487033523087</v>
      </c>
      <c r="Q458" s="30">
        <v>93.96584440227704</v>
      </c>
    </row>
    <row r="459">
      <c r="A459" s="47">
        <v>1.1238358326E10</v>
      </c>
      <c r="B459" s="48">
        <v>46157.975810185184</v>
      </c>
      <c r="C459" s="30">
        <v>3.852713218E9</v>
      </c>
      <c r="D459" s="47" t="s">
        <v>1509</v>
      </c>
      <c r="E459" s="30">
        <v>1291.0</v>
      </c>
      <c r="F459" s="30">
        <v>1190.0</v>
      </c>
      <c r="G459" s="30">
        <v>0.0</v>
      </c>
      <c r="H459" s="30">
        <v>0.0</v>
      </c>
      <c r="I459" s="30">
        <v>34.857</v>
      </c>
      <c r="J459" s="30">
        <v>0.0</v>
      </c>
      <c r="K459" s="30">
        <v>0.0</v>
      </c>
      <c r="L459" s="30">
        <v>0.0</v>
      </c>
      <c r="M459" s="30">
        <v>0.0</v>
      </c>
      <c r="N459" s="30">
        <v>215.16666666666652</v>
      </c>
      <c r="O459" s="30">
        <v>-149.02366666666651</v>
      </c>
      <c r="P459" s="30">
        <v>-11.543273947844037</v>
      </c>
      <c r="Q459" s="30">
        <v>-13.851928737412841</v>
      </c>
    </row>
    <row r="460">
      <c r="A460" s="47">
        <v>1.1238100284E10</v>
      </c>
      <c r="B460" s="48">
        <v>46157.926724537036</v>
      </c>
      <c r="C460" s="30">
        <v>3.852534318E9</v>
      </c>
      <c r="D460" s="47" t="s">
        <v>1509</v>
      </c>
      <c r="E460" s="30">
        <v>1267.9</v>
      </c>
      <c r="F460" s="30">
        <v>1160.0</v>
      </c>
      <c r="G460" s="30">
        <v>0.0</v>
      </c>
      <c r="H460" s="30">
        <v>0.0</v>
      </c>
      <c r="I460" s="30">
        <v>57.0555</v>
      </c>
      <c r="J460" s="30">
        <v>0.0</v>
      </c>
      <c r="K460" s="30">
        <v>0.0</v>
      </c>
      <c r="L460" s="30">
        <v>0.0</v>
      </c>
      <c r="M460" s="30">
        <v>0.0</v>
      </c>
      <c r="N460" s="30">
        <v>211.3166666666666</v>
      </c>
      <c r="O460" s="30">
        <v>-160.4721666666665</v>
      </c>
      <c r="P460" s="30">
        <v>-12.656531797986158</v>
      </c>
      <c r="Q460" s="30">
        <v>-15.18783815758339</v>
      </c>
    </row>
    <row r="461">
      <c r="A461" s="47">
        <v>1.1235407287E10</v>
      </c>
      <c r="B461" s="48">
        <v>46157.03921296296</v>
      </c>
      <c r="C461" s="30">
        <v>3.850107954E9</v>
      </c>
      <c r="D461" s="47" t="s">
        <v>1509</v>
      </c>
      <c r="E461" s="30">
        <v>727.0</v>
      </c>
      <c r="F461" s="30">
        <v>580.0</v>
      </c>
      <c r="G461" s="30">
        <v>0.0</v>
      </c>
      <c r="H461" s="30">
        <v>0.0</v>
      </c>
      <c r="I461" s="30">
        <v>32.060700000000004</v>
      </c>
      <c r="J461" s="30">
        <v>0.0</v>
      </c>
      <c r="K461" s="30">
        <v>0.0</v>
      </c>
      <c r="L461" s="30">
        <v>0.0</v>
      </c>
      <c r="M461" s="30">
        <v>0.0</v>
      </c>
      <c r="N461" s="30">
        <v>121.16666666666663</v>
      </c>
      <c r="O461" s="30">
        <v>-6.227366666666626</v>
      </c>
      <c r="P461" s="30">
        <v>-0.8565841357175551</v>
      </c>
      <c r="Q461" s="30">
        <v>-1.027900962861066</v>
      </c>
    </row>
    <row r="462">
      <c r="A462" s="47">
        <v>1.1239039318E10</v>
      </c>
      <c r="B462" s="48">
        <v>46158.12038194444</v>
      </c>
      <c r="C462" s="30">
        <v>3.853293181E9</v>
      </c>
      <c r="D462" s="47" t="s">
        <v>1509</v>
      </c>
      <c r="E462" s="30">
        <v>729.0</v>
      </c>
      <c r="F462" s="30">
        <v>580.0</v>
      </c>
      <c r="G462" s="30">
        <v>0.0</v>
      </c>
      <c r="H462" s="30">
        <v>0.0</v>
      </c>
      <c r="I462" s="30">
        <v>32.148900000000005</v>
      </c>
      <c r="J462" s="30">
        <v>0.0</v>
      </c>
      <c r="K462" s="30">
        <v>0.0</v>
      </c>
      <c r="L462" s="30">
        <v>0.0</v>
      </c>
      <c r="M462" s="30">
        <v>0.0</v>
      </c>
      <c r="N462" s="30">
        <v>121.5</v>
      </c>
      <c r="O462" s="30">
        <v>-4.648899999999998</v>
      </c>
      <c r="P462" s="30">
        <v>-0.6377091906721534</v>
      </c>
      <c r="Q462" s="30">
        <v>-0.765251028806584</v>
      </c>
    </row>
    <row r="463">
      <c r="A463" s="47">
        <v>1.123848114E10</v>
      </c>
      <c r="B463" s="48">
        <v>46157.999386574076</v>
      </c>
      <c r="C463" s="30">
        <v>3.852805207E9</v>
      </c>
      <c r="D463" s="47" t="s">
        <v>1509</v>
      </c>
      <c r="E463" s="30">
        <v>729.0</v>
      </c>
      <c r="F463" s="30">
        <v>580.0</v>
      </c>
      <c r="G463" s="30">
        <v>0.0</v>
      </c>
      <c r="H463" s="30">
        <v>0.0</v>
      </c>
      <c r="I463" s="30">
        <v>32.148900000000005</v>
      </c>
      <c r="J463" s="30">
        <v>0.0</v>
      </c>
      <c r="K463" s="30">
        <v>0.0</v>
      </c>
      <c r="L463" s="30">
        <v>0.0</v>
      </c>
      <c r="M463" s="30">
        <v>0.0</v>
      </c>
      <c r="N463" s="30">
        <v>121.5</v>
      </c>
      <c r="O463" s="30">
        <v>-4.648899999999998</v>
      </c>
      <c r="P463" s="30">
        <v>-0.6377091906721534</v>
      </c>
      <c r="Q463" s="30">
        <v>-0.765251028806584</v>
      </c>
    </row>
    <row r="464">
      <c r="A464" s="47">
        <v>1.1238282889E10</v>
      </c>
      <c r="B464" s="48">
        <v>46157.96134259259</v>
      </c>
      <c r="C464" s="30">
        <v>3.852659301E9</v>
      </c>
      <c r="D464" s="47" t="s">
        <v>1509</v>
      </c>
      <c r="E464" s="30">
        <v>1291.0</v>
      </c>
      <c r="F464" s="30">
        <v>1190.0</v>
      </c>
      <c r="G464" s="30">
        <v>0.0</v>
      </c>
      <c r="H464" s="30">
        <v>0.0</v>
      </c>
      <c r="I464" s="30">
        <v>34.857</v>
      </c>
      <c r="J464" s="30">
        <v>0.0</v>
      </c>
      <c r="K464" s="30">
        <v>0.0</v>
      </c>
      <c r="L464" s="30">
        <v>0.0</v>
      </c>
      <c r="M464" s="30">
        <v>0.0</v>
      </c>
      <c r="N464" s="30">
        <v>215.16666666666652</v>
      </c>
      <c r="O464" s="30">
        <v>-149.02366666666651</v>
      </c>
      <c r="P464" s="30">
        <v>-11.543273947844037</v>
      </c>
      <c r="Q464" s="30">
        <v>-13.851928737412841</v>
      </c>
    </row>
    <row r="465">
      <c r="A465" s="47">
        <v>1.1237468033E10</v>
      </c>
      <c r="B465" s="48">
        <v>46157.801030092596</v>
      </c>
      <c r="C465" s="30">
        <v>3.852069495E9</v>
      </c>
      <c r="D465" s="47" t="s">
        <v>1509</v>
      </c>
      <c r="E465" s="30">
        <v>735.0</v>
      </c>
      <c r="F465" s="30">
        <v>580.0</v>
      </c>
      <c r="G465" s="30">
        <v>0.0</v>
      </c>
      <c r="H465" s="30">
        <v>0.0</v>
      </c>
      <c r="I465" s="30">
        <v>32.4135</v>
      </c>
      <c r="J465" s="30">
        <v>0.0</v>
      </c>
      <c r="K465" s="30">
        <v>0.0</v>
      </c>
      <c r="L465" s="30">
        <v>0.0</v>
      </c>
      <c r="M465" s="30">
        <v>0.0</v>
      </c>
      <c r="N465" s="30">
        <v>122.5</v>
      </c>
      <c r="O465" s="30">
        <v>0.08650000000000091</v>
      </c>
      <c r="P465" s="30">
        <v>0.01176870748299332</v>
      </c>
      <c r="Q465" s="30">
        <v>0.014122448979591985</v>
      </c>
    </row>
    <row r="466">
      <c r="A466" s="47">
        <v>1.1238190734E10</v>
      </c>
      <c r="B466" s="48">
        <v>46157.94398148148</v>
      </c>
      <c r="C466" s="30">
        <v>3.85259305E9</v>
      </c>
      <c r="D466" s="47" t="s">
        <v>1509</v>
      </c>
      <c r="E466" s="30">
        <v>1291.0</v>
      </c>
      <c r="F466" s="30">
        <v>1190.0</v>
      </c>
      <c r="G466" s="30">
        <v>0.0</v>
      </c>
      <c r="H466" s="30">
        <v>0.0</v>
      </c>
      <c r="I466" s="30">
        <v>34.857</v>
      </c>
      <c r="J466" s="30">
        <v>0.0</v>
      </c>
      <c r="K466" s="30">
        <v>0.0</v>
      </c>
      <c r="L466" s="30">
        <v>0.0</v>
      </c>
      <c r="M466" s="30">
        <v>0.0</v>
      </c>
      <c r="N466" s="30">
        <v>215.16666666666652</v>
      </c>
      <c r="O466" s="30">
        <v>-149.02366666666651</v>
      </c>
      <c r="P466" s="30">
        <v>-11.543273947844037</v>
      </c>
      <c r="Q466" s="30">
        <v>-13.851928737412841</v>
      </c>
    </row>
    <row r="467">
      <c r="A467" s="47">
        <v>1.1234735769E10</v>
      </c>
      <c r="B467" s="48">
        <v>46156.9034375</v>
      </c>
      <c r="C467" s="30">
        <v>3.849567919E9</v>
      </c>
      <c r="D467" s="47" t="s">
        <v>1509</v>
      </c>
      <c r="E467" s="30">
        <v>1299.0</v>
      </c>
      <c r="F467" s="30">
        <v>1190.0</v>
      </c>
      <c r="G467" s="30">
        <v>0.0</v>
      </c>
      <c r="H467" s="30">
        <v>0.0</v>
      </c>
      <c r="I467" s="30">
        <v>35.073</v>
      </c>
      <c r="J467" s="30">
        <v>0.0</v>
      </c>
      <c r="K467" s="30">
        <v>0.0</v>
      </c>
      <c r="L467" s="30">
        <v>0.0</v>
      </c>
      <c r="M467" s="30">
        <v>0.0</v>
      </c>
      <c r="N467" s="30">
        <v>216.5</v>
      </c>
      <c r="O467" s="30">
        <v>-142.573</v>
      </c>
      <c r="P467" s="30">
        <v>-10.97559661277906</v>
      </c>
      <c r="Q467" s="30">
        <v>-13.170715935334872</v>
      </c>
    </row>
    <row r="468">
      <c r="A468" s="47">
        <v>1.1236261629E10</v>
      </c>
      <c r="B468" s="48">
        <v>46157.543391203704</v>
      </c>
      <c r="C468" s="30">
        <v>3.851015701E9</v>
      </c>
      <c r="D468" s="47" t="s">
        <v>1509</v>
      </c>
      <c r="E468" s="30">
        <v>727.0</v>
      </c>
      <c r="F468" s="30">
        <v>580.0</v>
      </c>
      <c r="G468" s="30">
        <v>0.0</v>
      </c>
      <c r="H468" s="30">
        <v>0.0</v>
      </c>
      <c r="I468" s="30">
        <v>32.060700000000004</v>
      </c>
      <c r="J468" s="30">
        <v>0.0</v>
      </c>
      <c r="K468" s="30">
        <v>0.0</v>
      </c>
      <c r="L468" s="30">
        <v>0.0</v>
      </c>
      <c r="M468" s="30">
        <v>0.0</v>
      </c>
      <c r="N468" s="30">
        <v>121.16666666666663</v>
      </c>
      <c r="O468" s="30">
        <v>-6.227366666666626</v>
      </c>
      <c r="P468" s="30">
        <v>-0.8565841357175551</v>
      </c>
      <c r="Q468" s="30">
        <v>-1.027900962861066</v>
      </c>
    </row>
    <row r="469">
      <c r="A469" s="47">
        <v>1.1237196091E10</v>
      </c>
      <c r="B469" s="48">
        <v>46157.74387731482</v>
      </c>
      <c r="C469" s="30">
        <v>3.851843154E9</v>
      </c>
      <c r="D469" s="47" t="s">
        <v>1510</v>
      </c>
      <c r="E469" s="30">
        <v>474.47</v>
      </c>
      <c r="F469" s="30">
        <v>130.0</v>
      </c>
      <c r="G469" s="30">
        <v>0.0</v>
      </c>
      <c r="H469" s="30">
        <v>0.0</v>
      </c>
      <c r="I469" s="30">
        <v>85.40460000000002</v>
      </c>
      <c r="J469" s="30">
        <v>0.0</v>
      </c>
      <c r="K469" s="30">
        <v>0.0</v>
      </c>
      <c r="L469" s="30">
        <v>0.0</v>
      </c>
      <c r="M469" s="30">
        <v>0.0</v>
      </c>
      <c r="N469" s="30">
        <v>79.07833333333332</v>
      </c>
      <c r="O469" s="30">
        <v>179.9870666666667</v>
      </c>
      <c r="P469" s="30">
        <v>37.93434077321363</v>
      </c>
      <c r="Q469" s="30">
        <v>45.52120892785635</v>
      </c>
    </row>
    <row r="470">
      <c r="A470" s="47">
        <v>1.1238057884E10</v>
      </c>
      <c r="B470" s="48">
        <v>46157.91894675926</v>
      </c>
      <c r="C470" s="30">
        <v>3.852501477E9</v>
      </c>
      <c r="D470" s="47" t="s">
        <v>1509</v>
      </c>
      <c r="E470" s="30">
        <v>729.0</v>
      </c>
      <c r="F470" s="30">
        <v>580.0</v>
      </c>
      <c r="G470" s="30">
        <v>0.0</v>
      </c>
      <c r="H470" s="30">
        <v>0.0</v>
      </c>
      <c r="I470" s="30">
        <v>32.148900000000005</v>
      </c>
      <c r="J470" s="30">
        <v>0.0</v>
      </c>
      <c r="K470" s="30">
        <v>0.0</v>
      </c>
      <c r="L470" s="30">
        <v>0.0</v>
      </c>
      <c r="M470" s="30">
        <v>0.0</v>
      </c>
      <c r="N470" s="30">
        <v>121.5</v>
      </c>
      <c r="O470" s="30">
        <v>-4.648899999999998</v>
      </c>
      <c r="P470" s="30">
        <v>-0.6377091906721534</v>
      </c>
      <c r="Q470" s="30">
        <v>-0.765251028806584</v>
      </c>
    </row>
    <row r="471">
      <c r="A471" s="47">
        <v>1.1238607211E10</v>
      </c>
      <c r="B471" s="48">
        <v>46158.023368055554</v>
      </c>
      <c r="C471" s="30">
        <v>3.852904872E9</v>
      </c>
      <c r="D471" s="47" t="s">
        <v>1509</v>
      </c>
      <c r="E471" s="30">
        <v>1267.9</v>
      </c>
      <c r="F471" s="30">
        <v>1160.0</v>
      </c>
      <c r="G471" s="30">
        <v>0.0</v>
      </c>
      <c r="H471" s="30">
        <v>0.0</v>
      </c>
      <c r="I471" s="30">
        <v>57.0555</v>
      </c>
      <c r="J471" s="30">
        <v>0.0</v>
      </c>
      <c r="K471" s="30">
        <v>0.0</v>
      </c>
      <c r="L471" s="30">
        <v>0.0</v>
      </c>
      <c r="M471" s="30">
        <v>0.0</v>
      </c>
      <c r="N471" s="30">
        <v>211.3166666666666</v>
      </c>
      <c r="O471" s="30">
        <v>-160.4721666666665</v>
      </c>
      <c r="P471" s="30">
        <v>-12.656531797986158</v>
      </c>
      <c r="Q471" s="30">
        <v>-15.18783815758339</v>
      </c>
    </row>
    <row r="472">
      <c r="A472" s="47">
        <v>1.1239632711E10</v>
      </c>
      <c r="B472" s="48">
        <v>46158.58017361111</v>
      </c>
      <c r="C472" s="30">
        <v>3.853879332E9</v>
      </c>
      <c r="D472" s="47" t="s">
        <v>1512</v>
      </c>
      <c r="E472" s="30">
        <v>1289.0</v>
      </c>
      <c r="F472" s="30">
        <v>1190.0</v>
      </c>
      <c r="G472" s="30">
        <v>0.0</v>
      </c>
      <c r="H472" s="30">
        <v>0.0</v>
      </c>
      <c r="I472" s="30">
        <v>34.803000000000004</v>
      </c>
      <c r="J472" s="30">
        <v>0.0</v>
      </c>
      <c r="K472" s="30">
        <v>0.0</v>
      </c>
      <c r="L472" s="30">
        <v>0.0</v>
      </c>
      <c r="M472" s="30">
        <v>0.0</v>
      </c>
      <c r="N472" s="30">
        <v>214.83333333333326</v>
      </c>
      <c r="O472" s="30">
        <v>-150.63633333333325</v>
      </c>
      <c r="P472" s="30">
        <v>-11.686294284975427</v>
      </c>
      <c r="Q472" s="30">
        <v>-14.023553141970513</v>
      </c>
    </row>
    <row r="473">
      <c r="A473" s="47">
        <v>1.1243709522E10</v>
      </c>
      <c r="B473" s="48">
        <v>46159.78533564815</v>
      </c>
      <c r="C473" s="30">
        <v>3.857156956E9</v>
      </c>
      <c r="D473" s="47" t="s">
        <v>1512</v>
      </c>
      <c r="E473" s="30">
        <v>4515.0</v>
      </c>
      <c r="F473" s="30">
        <v>3556.0</v>
      </c>
      <c r="G473" s="30">
        <v>0.0</v>
      </c>
      <c r="H473" s="30">
        <v>0.0</v>
      </c>
      <c r="I473" s="30">
        <v>532.3185</v>
      </c>
      <c r="J473" s="30">
        <v>0.0</v>
      </c>
      <c r="K473" s="30">
        <v>0.0</v>
      </c>
      <c r="L473" s="30">
        <v>0.0</v>
      </c>
      <c r="M473" s="30">
        <v>0.0</v>
      </c>
      <c r="N473" s="30">
        <v>752.5</v>
      </c>
      <c r="O473" s="30">
        <v>-325.8185</v>
      </c>
      <c r="P473" s="30">
        <v>-7.216356589147287</v>
      </c>
      <c r="Q473" s="30">
        <v>-8.659627906976745</v>
      </c>
    </row>
    <row r="474">
      <c r="A474" s="47">
        <v>1.1241693618E10</v>
      </c>
      <c r="B474" s="48">
        <v>46159.01273148148</v>
      </c>
      <c r="C474" s="30">
        <v>3.85543916E9</v>
      </c>
      <c r="D474" s="47" t="s">
        <v>1512</v>
      </c>
      <c r="E474" s="30">
        <v>1284.0</v>
      </c>
      <c r="F474" s="30">
        <v>1190.0</v>
      </c>
      <c r="G474" s="30">
        <v>0.0</v>
      </c>
      <c r="H474" s="30">
        <v>0.0</v>
      </c>
      <c r="I474" s="30">
        <v>34.668</v>
      </c>
      <c r="J474" s="30">
        <v>0.0</v>
      </c>
      <c r="K474" s="30">
        <v>0.0</v>
      </c>
      <c r="L474" s="30">
        <v>0.0</v>
      </c>
      <c r="M474" s="30">
        <v>0.0</v>
      </c>
      <c r="N474" s="30">
        <v>214.0</v>
      </c>
      <c r="O474" s="30">
        <v>-154.668</v>
      </c>
      <c r="P474" s="30">
        <v>-12.045794392523366</v>
      </c>
      <c r="Q474" s="30">
        <v>-14.454953271028037</v>
      </c>
    </row>
    <row r="475">
      <c r="A475" s="47">
        <v>1.1243713233E10</v>
      </c>
      <c r="B475" s="48">
        <v>46159.78612268518</v>
      </c>
      <c r="C475" s="30">
        <v>3.857158331E9</v>
      </c>
      <c r="D475" s="47" t="s">
        <v>1512</v>
      </c>
      <c r="E475" s="30">
        <v>1281.0</v>
      </c>
      <c r="F475" s="30">
        <v>1190.0</v>
      </c>
      <c r="G475" s="30">
        <v>0.0</v>
      </c>
      <c r="H475" s="30">
        <v>0.0</v>
      </c>
      <c r="I475" s="30">
        <v>34.587</v>
      </c>
      <c r="J475" s="30">
        <v>0.0</v>
      </c>
      <c r="K475" s="30">
        <v>0.0</v>
      </c>
      <c r="L475" s="30">
        <v>0.0</v>
      </c>
      <c r="M475" s="30">
        <v>0.0</v>
      </c>
      <c r="N475" s="30">
        <v>213.5</v>
      </c>
      <c r="O475" s="30">
        <v>-157.087</v>
      </c>
      <c r="P475" s="30">
        <v>-12.262841530054644</v>
      </c>
      <c r="Q475" s="30">
        <v>-14.715409836065573</v>
      </c>
    </row>
    <row r="476">
      <c r="A476" s="47">
        <v>1.1239432328E10</v>
      </c>
      <c r="B476" s="48">
        <v>46158.50659722222</v>
      </c>
      <c r="C476" s="30">
        <v>3.853691677E9</v>
      </c>
      <c r="D476" s="47" t="s">
        <v>1512</v>
      </c>
      <c r="E476" s="30">
        <v>1289.0</v>
      </c>
      <c r="F476" s="30">
        <v>1190.0</v>
      </c>
      <c r="G476" s="30">
        <v>0.0</v>
      </c>
      <c r="H476" s="30">
        <v>0.0</v>
      </c>
      <c r="I476" s="30">
        <v>34.803000000000004</v>
      </c>
      <c r="J476" s="30">
        <v>0.0</v>
      </c>
      <c r="K476" s="30">
        <v>0.0</v>
      </c>
      <c r="L476" s="30">
        <v>0.0</v>
      </c>
      <c r="M476" s="30">
        <v>0.0</v>
      </c>
      <c r="N476" s="30">
        <v>214.83333333333326</v>
      </c>
      <c r="O476" s="30">
        <v>-150.63633333333325</v>
      </c>
      <c r="P476" s="30">
        <v>-11.686294284975427</v>
      </c>
      <c r="Q476" s="30">
        <v>-14.023553141970513</v>
      </c>
    </row>
    <row r="477">
      <c r="A477" s="47">
        <v>1.1242736965E10</v>
      </c>
      <c r="B477" s="48">
        <v>46159.56815972222</v>
      </c>
      <c r="C477" s="30">
        <v>3.856379095E9</v>
      </c>
      <c r="D477" s="47" t="s">
        <v>1512</v>
      </c>
      <c r="E477" s="30">
        <v>1283.0</v>
      </c>
      <c r="F477" s="30">
        <v>1190.0</v>
      </c>
      <c r="G477" s="30">
        <v>0.0</v>
      </c>
      <c r="H477" s="30">
        <v>0.0</v>
      </c>
      <c r="I477" s="30">
        <v>34.641000000000005</v>
      </c>
      <c r="J477" s="30">
        <v>0.0</v>
      </c>
      <c r="K477" s="30">
        <v>0.0</v>
      </c>
      <c r="L477" s="30">
        <v>0.0</v>
      </c>
      <c r="M477" s="30">
        <v>0.0</v>
      </c>
      <c r="N477" s="30">
        <v>213.83333333333326</v>
      </c>
      <c r="O477" s="30">
        <v>-155.47433333333328</v>
      </c>
      <c r="P477" s="30">
        <v>-12.118030657313582</v>
      </c>
      <c r="Q477" s="30">
        <v>-14.5416367887763</v>
      </c>
    </row>
    <row r="478">
      <c r="A478" s="47">
        <v>1.124082808E10</v>
      </c>
      <c r="B478" s="48">
        <v>46158.83855324074</v>
      </c>
      <c r="C478" s="30">
        <v>3.854847685E9</v>
      </c>
      <c r="D478" s="47" t="s">
        <v>1512</v>
      </c>
      <c r="E478" s="30">
        <v>1285.0</v>
      </c>
      <c r="F478" s="30">
        <v>1190.0</v>
      </c>
      <c r="G478" s="30">
        <v>0.0</v>
      </c>
      <c r="H478" s="30">
        <v>0.0</v>
      </c>
      <c r="I478" s="30">
        <v>34.69500000000001</v>
      </c>
      <c r="J478" s="30">
        <v>0.0</v>
      </c>
      <c r="K478" s="30">
        <v>0.0</v>
      </c>
      <c r="L478" s="30">
        <v>0.0</v>
      </c>
      <c r="M478" s="30">
        <v>0.0</v>
      </c>
      <c r="N478" s="30">
        <v>214.16666666666652</v>
      </c>
      <c r="O478" s="30">
        <v>-153.8616666666665</v>
      </c>
      <c r="P478" s="30">
        <v>-11.973670557717238</v>
      </c>
      <c r="Q478" s="30">
        <v>-14.368404669260684</v>
      </c>
    </row>
    <row r="479">
      <c r="A479" s="47">
        <v>1.1243047194E10</v>
      </c>
      <c r="B479" s="48">
        <v>46159.65015046296</v>
      </c>
      <c r="C479" s="30">
        <v>3.856635682E9</v>
      </c>
      <c r="D479" s="47" t="s">
        <v>1512</v>
      </c>
      <c r="E479" s="30">
        <v>729.0</v>
      </c>
      <c r="F479" s="30">
        <v>580.0</v>
      </c>
      <c r="G479" s="30">
        <v>0.0</v>
      </c>
      <c r="H479" s="30">
        <v>0.0</v>
      </c>
      <c r="I479" s="30">
        <v>32.148900000000005</v>
      </c>
      <c r="J479" s="30">
        <v>0.0</v>
      </c>
      <c r="K479" s="30">
        <v>0.0</v>
      </c>
      <c r="L479" s="30">
        <v>0.0</v>
      </c>
      <c r="M479" s="30">
        <v>0.0</v>
      </c>
      <c r="N479" s="30">
        <v>121.5</v>
      </c>
      <c r="O479" s="30">
        <v>-4.648899999999998</v>
      </c>
      <c r="P479" s="30">
        <v>-0.6377091906721534</v>
      </c>
      <c r="Q479" s="30">
        <v>-0.765251028806584</v>
      </c>
    </row>
    <row r="480">
      <c r="A480" s="47">
        <v>1.1239740444E10</v>
      </c>
      <c r="B480" s="48">
        <v>46158.60851851852</v>
      </c>
      <c r="C480" s="30">
        <v>3.853978435E9</v>
      </c>
      <c r="D480" s="47" t="s">
        <v>1512</v>
      </c>
      <c r="E480" s="30">
        <v>729.0</v>
      </c>
      <c r="F480" s="30">
        <v>580.0</v>
      </c>
      <c r="G480" s="30">
        <v>0.0</v>
      </c>
      <c r="H480" s="30">
        <v>0.0</v>
      </c>
      <c r="I480" s="30">
        <v>32.148900000000005</v>
      </c>
      <c r="J480" s="30">
        <v>0.0</v>
      </c>
      <c r="K480" s="30">
        <v>0.0</v>
      </c>
      <c r="L480" s="30">
        <v>0.0</v>
      </c>
      <c r="M480" s="30">
        <v>0.0</v>
      </c>
      <c r="N480" s="30">
        <v>121.5</v>
      </c>
      <c r="O480" s="30">
        <v>-4.648899999999998</v>
      </c>
      <c r="P480" s="30">
        <v>-0.6377091906721534</v>
      </c>
      <c r="Q480" s="30">
        <v>-0.765251028806584</v>
      </c>
    </row>
    <row r="481">
      <c r="A481" s="47">
        <v>1.1244349896E10</v>
      </c>
      <c r="B481" s="48">
        <v>46159.905856481484</v>
      </c>
      <c r="C481" s="30">
        <v>3.857594485E9</v>
      </c>
      <c r="D481" s="47" t="s">
        <v>1512</v>
      </c>
      <c r="E481" s="30">
        <v>1530.0</v>
      </c>
      <c r="F481" s="30">
        <v>1190.0</v>
      </c>
      <c r="G481" s="30">
        <v>0.0</v>
      </c>
      <c r="H481" s="30">
        <v>0.0</v>
      </c>
      <c r="I481" s="30">
        <v>96.39</v>
      </c>
      <c r="J481" s="30">
        <v>0.0</v>
      </c>
      <c r="K481" s="30">
        <v>0.0</v>
      </c>
      <c r="L481" s="30">
        <v>0.0</v>
      </c>
      <c r="M481" s="30">
        <v>0.0</v>
      </c>
      <c r="N481" s="30">
        <v>255.0</v>
      </c>
      <c r="O481" s="30">
        <v>-11.389999999999986</v>
      </c>
      <c r="P481" s="30">
        <v>-0.7444444444444436</v>
      </c>
      <c r="Q481" s="30">
        <v>-0.8933333333333323</v>
      </c>
    </row>
    <row r="482">
      <c r="A482" s="47">
        <v>1.123523436E10</v>
      </c>
      <c r="B482" s="48">
        <v>46157.003796296296</v>
      </c>
      <c r="C482" s="30">
        <v>3.849954522E9</v>
      </c>
      <c r="D482" s="47" t="s">
        <v>1509</v>
      </c>
      <c r="E482" s="30">
        <v>727.0</v>
      </c>
      <c r="F482" s="30">
        <v>580.0</v>
      </c>
      <c r="G482" s="30">
        <v>0.0</v>
      </c>
      <c r="H482" s="30">
        <v>0.0</v>
      </c>
      <c r="I482" s="30">
        <v>32.060700000000004</v>
      </c>
      <c r="J482" s="30">
        <v>0.0</v>
      </c>
      <c r="K482" s="30">
        <v>0.0</v>
      </c>
      <c r="L482" s="30">
        <v>0.0</v>
      </c>
      <c r="M482" s="30">
        <v>0.0</v>
      </c>
      <c r="N482" s="30">
        <v>121.16666666666663</v>
      </c>
      <c r="O482" s="30">
        <v>-6.227366666666626</v>
      </c>
      <c r="P482" s="30">
        <v>-0.8565841357175551</v>
      </c>
      <c r="Q482" s="30">
        <v>-1.027900962861066</v>
      </c>
    </row>
    <row r="483">
      <c r="A483" s="47">
        <v>1.1245594712E10</v>
      </c>
      <c r="B483" s="48">
        <v>46160.14173611111</v>
      </c>
      <c r="C483" s="30">
        <v>3.858641517E9</v>
      </c>
      <c r="D483" s="47" t="s">
        <v>1512</v>
      </c>
      <c r="E483" s="30">
        <v>1530.0</v>
      </c>
      <c r="F483" s="30">
        <v>1190.0</v>
      </c>
      <c r="G483" s="30">
        <v>0.0</v>
      </c>
      <c r="H483" s="30">
        <v>0.0</v>
      </c>
      <c r="I483" s="30">
        <v>96.39</v>
      </c>
      <c r="J483" s="30">
        <v>0.0</v>
      </c>
      <c r="K483" s="30">
        <v>0.0</v>
      </c>
      <c r="L483" s="30">
        <v>0.0</v>
      </c>
      <c r="M483" s="30">
        <v>0.0</v>
      </c>
      <c r="N483" s="30">
        <v>255.0</v>
      </c>
      <c r="O483" s="30">
        <v>-11.389999999999986</v>
      </c>
      <c r="P483" s="30">
        <v>-0.7444444444444436</v>
      </c>
      <c r="Q483" s="30">
        <v>-0.8933333333333323</v>
      </c>
    </row>
    <row r="484">
      <c r="A484" s="47">
        <v>1.1241609667E10</v>
      </c>
      <c r="B484" s="48">
        <v>46158.99642361111</v>
      </c>
      <c r="C484" s="30">
        <v>3.855375224E9</v>
      </c>
      <c r="D484" s="47" t="s">
        <v>1512</v>
      </c>
      <c r="E484" s="30">
        <v>1640.0</v>
      </c>
      <c r="F484" s="30">
        <v>1228.0</v>
      </c>
      <c r="G484" s="30">
        <v>0.0</v>
      </c>
      <c r="H484" s="30">
        <v>0.0</v>
      </c>
      <c r="I484" s="30">
        <v>199.26</v>
      </c>
      <c r="J484" s="30">
        <v>0.0</v>
      </c>
      <c r="K484" s="30">
        <v>0.0</v>
      </c>
      <c r="L484" s="30">
        <v>0.0</v>
      </c>
      <c r="M484" s="30">
        <v>0.0</v>
      </c>
      <c r="N484" s="30">
        <v>273.33333333333326</v>
      </c>
      <c r="O484" s="30">
        <v>-60.59333333333325</v>
      </c>
      <c r="P484" s="30">
        <v>-3.694715447154466</v>
      </c>
      <c r="Q484" s="30">
        <v>-4.43365853658536</v>
      </c>
    </row>
    <row r="485">
      <c r="A485" s="47">
        <v>1.1242207237E10</v>
      </c>
      <c r="B485" s="48">
        <v>46159.12425925926</v>
      </c>
      <c r="C485" s="30">
        <v>3.855886644E9</v>
      </c>
      <c r="D485" s="47" t="s">
        <v>1512</v>
      </c>
      <c r="E485" s="30">
        <v>1284.0</v>
      </c>
      <c r="F485" s="30">
        <v>1190.0</v>
      </c>
      <c r="G485" s="30">
        <v>0.0</v>
      </c>
      <c r="H485" s="30">
        <v>0.0</v>
      </c>
      <c r="I485" s="30">
        <v>34.668</v>
      </c>
      <c r="J485" s="30">
        <v>0.0</v>
      </c>
      <c r="K485" s="30">
        <v>0.0</v>
      </c>
      <c r="L485" s="30">
        <v>0.0</v>
      </c>
      <c r="M485" s="30">
        <v>0.0</v>
      </c>
      <c r="N485" s="30">
        <v>214.0</v>
      </c>
      <c r="O485" s="30">
        <v>-154.668</v>
      </c>
      <c r="P485" s="30">
        <v>-12.045794392523366</v>
      </c>
      <c r="Q485" s="30">
        <v>-14.454953271028037</v>
      </c>
    </row>
    <row r="486">
      <c r="A486" s="47">
        <v>1.124231363E10</v>
      </c>
      <c r="B486" s="48">
        <v>46159.15584490741</v>
      </c>
      <c r="C486" s="30">
        <v>3.855983131E9</v>
      </c>
      <c r="D486" s="47" t="s">
        <v>1512</v>
      </c>
      <c r="E486" s="30">
        <v>1284.0</v>
      </c>
      <c r="F486" s="30">
        <v>1190.0</v>
      </c>
      <c r="G486" s="30">
        <v>0.0</v>
      </c>
      <c r="H486" s="30">
        <v>0.0</v>
      </c>
      <c r="I486" s="30">
        <v>34.668</v>
      </c>
      <c r="J486" s="30">
        <v>0.0</v>
      </c>
      <c r="K486" s="30">
        <v>0.0</v>
      </c>
      <c r="L486" s="30">
        <v>0.0</v>
      </c>
      <c r="M486" s="30">
        <v>0.0</v>
      </c>
      <c r="N486" s="30">
        <v>214.0</v>
      </c>
      <c r="O486" s="30">
        <v>-154.668</v>
      </c>
      <c r="P486" s="30">
        <v>-12.045794392523366</v>
      </c>
      <c r="Q486" s="30">
        <v>-14.454953271028037</v>
      </c>
    </row>
    <row r="487">
      <c r="A487" s="47">
        <v>1.1242525737E10</v>
      </c>
      <c r="B487" s="48">
        <v>46159.41059027778</v>
      </c>
      <c r="C487" s="30">
        <v>3.856182821E9</v>
      </c>
      <c r="D487" s="47" t="s">
        <v>1512</v>
      </c>
      <c r="E487" s="30">
        <v>729.0</v>
      </c>
      <c r="F487" s="30">
        <v>580.0</v>
      </c>
      <c r="G487" s="30">
        <v>0.0</v>
      </c>
      <c r="H487" s="30">
        <v>0.0</v>
      </c>
      <c r="I487" s="30">
        <v>36.0855</v>
      </c>
      <c r="J487" s="30">
        <v>0.0</v>
      </c>
      <c r="K487" s="30">
        <v>0.0</v>
      </c>
      <c r="L487" s="30">
        <v>0.0</v>
      </c>
      <c r="M487" s="30">
        <v>0.0</v>
      </c>
      <c r="N487" s="30">
        <v>121.5</v>
      </c>
      <c r="O487" s="30">
        <v>-8.585499999999996</v>
      </c>
      <c r="P487" s="30">
        <v>-1.177709190672153</v>
      </c>
      <c r="Q487" s="30">
        <v>-1.4132510288065838</v>
      </c>
    </row>
    <row r="488">
      <c r="A488" s="47">
        <v>1.1242581636E10</v>
      </c>
      <c r="B488" s="48">
        <v>46159.49616898148</v>
      </c>
      <c r="C488" s="30">
        <v>3.856242585E9</v>
      </c>
      <c r="D488" s="47" t="s">
        <v>1512</v>
      </c>
      <c r="E488" s="30">
        <v>729.0</v>
      </c>
      <c r="F488" s="30">
        <v>580.0</v>
      </c>
      <c r="G488" s="30">
        <v>0.0</v>
      </c>
      <c r="H488" s="30">
        <v>0.0</v>
      </c>
      <c r="I488" s="30">
        <v>32.148900000000005</v>
      </c>
      <c r="J488" s="30">
        <v>0.0</v>
      </c>
      <c r="K488" s="30">
        <v>0.0</v>
      </c>
      <c r="L488" s="30">
        <v>0.0</v>
      </c>
      <c r="M488" s="30">
        <v>0.0</v>
      </c>
      <c r="N488" s="30">
        <v>121.5</v>
      </c>
      <c r="O488" s="30">
        <v>-4.648899999999998</v>
      </c>
      <c r="P488" s="30">
        <v>-0.6377091906721534</v>
      </c>
      <c r="Q488" s="30">
        <v>-0.765251028806584</v>
      </c>
    </row>
    <row r="489">
      <c r="A489" s="47">
        <v>1.123802089E10</v>
      </c>
      <c r="B489" s="48">
        <v>46157.911875</v>
      </c>
      <c r="C489" s="30">
        <v>3.852478448E9</v>
      </c>
      <c r="D489" s="47" t="s">
        <v>1509</v>
      </c>
      <c r="E489" s="30">
        <v>1291.0</v>
      </c>
      <c r="F489" s="30">
        <v>1190.0</v>
      </c>
      <c r="G489" s="30">
        <v>0.0</v>
      </c>
      <c r="H489" s="30">
        <v>0.0</v>
      </c>
      <c r="I489" s="30">
        <v>34.857</v>
      </c>
      <c r="J489" s="30">
        <v>0.0</v>
      </c>
      <c r="K489" s="30">
        <v>0.0</v>
      </c>
      <c r="L489" s="30">
        <v>0.0</v>
      </c>
      <c r="M489" s="30">
        <v>0.0</v>
      </c>
      <c r="N489" s="30">
        <v>215.16666666666652</v>
      </c>
      <c r="O489" s="30">
        <v>-149.02366666666651</v>
      </c>
      <c r="P489" s="30">
        <v>-11.543273947844037</v>
      </c>
      <c r="Q489" s="30">
        <v>-13.851928737412841</v>
      </c>
    </row>
    <row r="490">
      <c r="A490" s="47">
        <v>1.1239169643E10</v>
      </c>
      <c r="B490" s="48">
        <v>46158.161782407406</v>
      </c>
      <c r="C490" s="30">
        <v>3.853418981E9</v>
      </c>
      <c r="D490" s="47" t="s">
        <v>1512</v>
      </c>
      <c r="E490" s="30">
        <v>1291.0</v>
      </c>
      <c r="F490" s="30">
        <v>1190.0</v>
      </c>
      <c r="G490" s="30">
        <v>0.0</v>
      </c>
      <c r="H490" s="30">
        <v>0.0</v>
      </c>
      <c r="I490" s="30">
        <v>34.857</v>
      </c>
      <c r="J490" s="30">
        <v>0.0</v>
      </c>
      <c r="K490" s="30">
        <v>0.0</v>
      </c>
      <c r="L490" s="30">
        <v>0.0</v>
      </c>
      <c r="M490" s="30">
        <v>0.0</v>
      </c>
      <c r="N490" s="30">
        <v>215.16666666666652</v>
      </c>
      <c r="O490" s="30">
        <v>-149.02366666666651</v>
      </c>
      <c r="P490" s="30">
        <v>-11.543273947844037</v>
      </c>
      <c r="Q490" s="30">
        <v>-13.851928737412841</v>
      </c>
    </row>
    <row r="491">
      <c r="A491" s="47">
        <v>1.1239747481E10</v>
      </c>
      <c r="B491" s="48">
        <v>46158.610347222224</v>
      </c>
      <c r="C491" s="30">
        <v>3.853984993E9</v>
      </c>
      <c r="D491" s="47" t="s">
        <v>1512</v>
      </c>
      <c r="E491" s="30">
        <v>99.0</v>
      </c>
      <c r="F491" s="30">
        <v>0.0</v>
      </c>
      <c r="G491" s="30">
        <v>0.0</v>
      </c>
      <c r="H491" s="30">
        <v>0.0</v>
      </c>
      <c r="I491" s="30">
        <v>11.1375</v>
      </c>
      <c r="J491" s="30">
        <v>0.0</v>
      </c>
      <c r="K491" s="30">
        <v>0.0</v>
      </c>
      <c r="L491" s="30">
        <v>0.0</v>
      </c>
      <c r="M491" s="30">
        <v>0.0</v>
      </c>
      <c r="N491" s="30">
        <v>16.5</v>
      </c>
      <c r="O491" s="30">
        <v>71.3625</v>
      </c>
      <c r="P491" s="30">
        <v>72.08333333333333</v>
      </c>
      <c r="Q491" s="30">
        <v>86.5</v>
      </c>
    </row>
    <row r="492">
      <c r="A492" s="47">
        <v>1.1240425969E10</v>
      </c>
      <c r="B492" s="48">
        <v>46158.75423611111</v>
      </c>
      <c r="C492" s="30">
        <v>3.854548338E9</v>
      </c>
      <c r="D492" s="47" t="s">
        <v>1512</v>
      </c>
      <c r="E492" s="30">
        <v>1286.0</v>
      </c>
      <c r="F492" s="30">
        <v>1190.0</v>
      </c>
      <c r="G492" s="30">
        <v>0.0</v>
      </c>
      <c r="H492" s="30">
        <v>0.0</v>
      </c>
      <c r="I492" s="30">
        <v>34.722</v>
      </c>
      <c r="J492" s="30">
        <v>0.0</v>
      </c>
      <c r="K492" s="30">
        <v>0.0</v>
      </c>
      <c r="L492" s="30">
        <v>0.0</v>
      </c>
      <c r="M492" s="30">
        <v>0.0</v>
      </c>
      <c r="N492" s="30">
        <v>214.33333333333326</v>
      </c>
      <c r="O492" s="30">
        <v>-153.05533333333327</v>
      </c>
      <c r="P492" s="30">
        <v>-11.901658890616895</v>
      </c>
      <c r="Q492" s="30">
        <v>-14.28199066874027</v>
      </c>
    </row>
    <row r="493">
      <c r="A493" s="47">
        <v>1.1242709717E10</v>
      </c>
      <c r="B493" s="48">
        <v>46159.55863425926</v>
      </c>
      <c r="C493" s="30">
        <v>3.856356174E9</v>
      </c>
      <c r="D493" s="47" t="s">
        <v>1512</v>
      </c>
      <c r="E493" s="30">
        <v>1728.0</v>
      </c>
      <c r="F493" s="30">
        <v>1260.0</v>
      </c>
      <c r="G493" s="30">
        <v>0.0</v>
      </c>
      <c r="H493" s="30">
        <v>0.0</v>
      </c>
      <c r="I493" s="30">
        <v>200.62079999999997</v>
      </c>
      <c r="J493" s="30">
        <v>0.0</v>
      </c>
      <c r="K493" s="30">
        <v>0.0</v>
      </c>
      <c r="L493" s="30">
        <v>0.0</v>
      </c>
      <c r="M493" s="30">
        <v>0.0</v>
      </c>
      <c r="N493" s="30">
        <v>288.0</v>
      </c>
      <c r="O493" s="30">
        <v>-20.620799999999974</v>
      </c>
      <c r="P493" s="30">
        <v>-1.1933333333333318</v>
      </c>
      <c r="Q493" s="30">
        <v>-1.4319999999999982</v>
      </c>
    </row>
    <row r="494">
      <c r="A494" s="47">
        <v>1.1239453219E10</v>
      </c>
      <c r="B494" s="48">
        <v>46158.516550925924</v>
      </c>
      <c r="C494" s="30">
        <v>3.853710367E9</v>
      </c>
      <c r="D494" s="47" t="s">
        <v>1512</v>
      </c>
      <c r="E494" s="30">
        <v>1289.0</v>
      </c>
      <c r="F494" s="30">
        <v>1190.0</v>
      </c>
      <c r="G494" s="30">
        <v>0.0</v>
      </c>
      <c r="H494" s="30">
        <v>0.0</v>
      </c>
      <c r="I494" s="30">
        <v>34.803000000000004</v>
      </c>
      <c r="J494" s="30">
        <v>0.0</v>
      </c>
      <c r="K494" s="30">
        <v>0.0</v>
      </c>
      <c r="L494" s="30">
        <v>0.0</v>
      </c>
      <c r="M494" s="30">
        <v>0.0</v>
      </c>
      <c r="N494" s="30">
        <v>214.83333333333326</v>
      </c>
      <c r="O494" s="30">
        <v>-150.63633333333325</v>
      </c>
      <c r="P494" s="30">
        <v>-11.686294284975427</v>
      </c>
      <c r="Q494" s="30">
        <v>-14.023553141970513</v>
      </c>
    </row>
    <row r="495">
      <c r="A495" s="47">
        <v>1.1239409451E10</v>
      </c>
      <c r="B495" s="48">
        <v>46158.49285879629</v>
      </c>
      <c r="C495" s="30">
        <v>3.853667678E9</v>
      </c>
      <c r="D495" s="47" t="s">
        <v>1512</v>
      </c>
      <c r="E495" s="30">
        <v>1289.0</v>
      </c>
      <c r="F495" s="30">
        <v>1190.0</v>
      </c>
      <c r="G495" s="30">
        <v>0.0</v>
      </c>
      <c r="H495" s="30">
        <v>0.0</v>
      </c>
      <c r="I495" s="30">
        <v>34.803000000000004</v>
      </c>
      <c r="J495" s="30">
        <v>0.0</v>
      </c>
      <c r="K495" s="30">
        <v>0.0</v>
      </c>
      <c r="L495" s="30">
        <v>0.0</v>
      </c>
      <c r="M495" s="30">
        <v>0.0</v>
      </c>
      <c r="N495" s="30">
        <v>214.83333333333326</v>
      </c>
      <c r="O495" s="30">
        <v>-150.63633333333325</v>
      </c>
      <c r="P495" s="30">
        <v>-11.686294284975427</v>
      </c>
      <c r="Q495" s="30">
        <v>-14.023553141970513</v>
      </c>
    </row>
    <row r="496">
      <c r="A496" s="47">
        <v>1.1239657332E10</v>
      </c>
      <c r="B496" s="48">
        <v>46158.58696759259</v>
      </c>
      <c r="C496" s="30">
        <v>3.853904914E9</v>
      </c>
      <c r="D496" s="47" t="s">
        <v>1512</v>
      </c>
      <c r="E496" s="30">
        <v>1289.0</v>
      </c>
      <c r="F496" s="30">
        <v>1190.0</v>
      </c>
      <c r="G496" s="30">
        <v>0.0</v>
      </c>
      <c r="H496" s="30">
        <v>0.0</v>
      </c>
      <c r="I496" s="30">
        <v>34.803000000000004</v>
      </c>
      <c r="J496" s="30">
        <v>0.0</v>
      </c>
      <c r="K496" s="30">
        <v>0.0</v>
      </c>
      <c r="L496" s="30">
        <v>0.0</v>
      </c>
      <c r="M496" s="30">
        <v>0.0</v>
      </c>
      <c r="N496" s="30">
        <v>214.83333333333326</v>
      </c>
      <c r="O496" s="30">
        <v>-150.63633333333325</v>
      </c>
      <c r="P496" s="30">
        <v>-11.686294284975427</v>
      </c>
      <c r="Q496" s="30">
        <v>-14.023553141970513</v>
      </c>
    </row>
    <row r="497">
      <c r="A497" s="47">
        <v>1.1239705916E10</v>
      </c>
      <c r="B497" s="48">
        <v>46158.59983796296</v>
      </c>
      <c r="C497" s="30">
        <v>3.853948148E9</v>
      </c>
      <c r="D497" s="47" t="s">
        <v>1512</v>
      </c>
      <c r="E497" s="30">
        <v>1289.0</v>
      </c>
      <c r="F497" s="30">
        <v>1190.0</v>
      </c>
      <c r="G497" s="30">
        <v>0.0</v>
      </c>
      <c r="H497" s="30">
        <v>0.0</v>
      </c>
      <c r="I497" s="30">
        <v>34.803000000000004</v>
      </c>
      <c r="J497" s="30">
        <v>0.0</v>
      </c>
      <c r="K497" s="30">
        <v>0.0</v>
      </c>
      <c r="L497" s="30">
        <v>0.0</v>
      </c>
      <c r="M497" s="30">
        <v>0.0</v>
      </c>
      <c r="N497" s="30">
        <v>214.83333333333326</v>
      </c>
      <c r="O497" s="30">
        <v>-150.63633333333325</v>
      </c>
      <c r="P497" s="30">
        <v>-11.686294284975427</v>
      </c>
      <c r="Q497" s="30">
        <v>-14.023553141970513</v>
      </c>
    </row>
    <row r="498">
      <c r="A498" s="47">
        <v>1.124253737E10</v>
      </c>
      <c r="B498" s="48">
        <v>46159.44366898148</v>
      </c>
      <c r="C498" s="30">
        <v>3.856196378E9</v>
      </c>
      <c r="D498" s="47" t="s">
        <v>1512</v>
      </c>
      <c r="E498" s="30">
        <v>729.0</v>
      </c>
      <c r="F498" s="30">
        <v>580.0</v>
      </c>
      <c r="G498" s="30">
        <v>0.0</v>
      </c>
      <c r="H498" s="30">
        <v>0.0</v>
      </c>
      <c r="I498" s="30">
        <v>32.148900000000005</v>
      </c>
      <c r="J498" s="30">
        <v>0.0</v>
      </c>
      <c r="K498" s="30">
        <v>0.0</v>
      </c>
      <c r="L498" s="30">
        <v>0.0</v>
      </c>
      <c r="M498" s="30">
        <v>0.0</v>
      </c>
      <c r="N498" s="30">
        <v>121.5</v>
      </c>
      <c r="O498" s="30">
        <v>-4.648899999999998</v>
      </c>
      <c r="P498" s="30">
        <v>-0.6377091906721534</v>
      </c>
      <c r="Q498" s="30">
        <v>-0.765251028806584</v>
      </c>
    </row>
    <row r="499">
      <c r="A499" s="47">
        <v>1.1239945632E10</v>
      </c>
      <c r="B499" s="48">
        <v>46158.65560185185</v>
      </c>
      <c r="C499" s="30">
        <v>3.854158837E9</v>
      </c>
      <c r="D499" s="47" t="s">
        <v>1512</v>
      </c>
      <c r="E499" s="30">
        <v>1288.0</v>
      </c>
      <c r="F499" s="30">
        <v>1190.0</v>
      </c>
      <c r="G499" s="30">
        <v>0.0</v>
      </c>
      <c r="H499" s="30">
        <v>0.0</v>
      </c>
      <c r="I499" s="30">
        <v>34.776</v>
      </c>
      <c r="J499" s="30">
        <v>0.0</v>
      </c>
      <c r="K499" s="30">
        <v>0.0</v>
      </c>
      <c r="L499" s="30">
        <v>0.0</v>
      </c>
      <c r="M499" s="30">
        <v>0.0</v>
      </c>
      <c r="N499" s="30">
        <v>214.66666666666652</v>
      </c>
      <c r="O499" s="30">
        <v>-151.44266666666653</v>
      </c>
      <c r="P499" s="30">
        <v>-11.757971014492743</v>
      </c>
      <c r="Q499" s="30">
        <v>-14.10956521739129</v>
      </c>
    </row>
    <row r="500">
      <c r="A500" s="47">
        <v>1.1244900458E10</v>
      </c>
      <c r="B500" s="48">
        <v>46160.004965277774</v>
      </c>
      <c r="C500" s="30">
        <v>3.857988005E9</v>
      </c>
      <c r="D500" s="47" t="s">
        <v>1512</v>
      </c>
      <c r="E500" s="30">
        <v>1590.0</v>
      </c>
      <c r="F500" s="30">
        <v>1228.0</v>
      </c>
      <c r="G500" s="30">
        <v>0.0</v>
      </c>
      <c r="H500" s="30">
        <v>0.0</v>
      </c>
      <c r="I500" s="30">
        <v>168.858</v>
      </c>
      <c r="J500" s="30">
        <v>0.0</v>
      </c>
      <c r="K500" s="30">
        <v>0.0</v>
      </c>
      <c r="L500" s="30">
        <v>0.0</v>
      </c>
      <c r="M500" s="30">
        <v>0.0</v>
      </c>
      <c r="N500" s="30">
        <v>265.0</v>
      </c>
      <c r="O500" s="30">
        <v>-71.858</v>
      </c>
      <c r="P500" s="30">
        <v>-4.51937106918239</v>
      </c>
      <c r="Q500" s="30">
        <v>-5.423245283018868</v>
      </c>
    </row>
    <row r="501">
      <c r="A501" s="47">
        <v>1.1242263082E10</v>
      </c>
      <c r="B501" s="48">
        <v>46159.13988425926</v>
      </c>
      <c r="C501" s="30">
        <v>3.855937597E9</v>
      </c>
      <c r="D501" s="47" t="s">
        <v>1512</v>
      </c>
      <c r="E501" s="30">
        <v>729.0</v>
      </c>
      <c r="F501" s="30">
        <v>580.0</v>
      </c>
      <c r="G501" s="30">
        <v>0.0</v>
      </c>
      <c r="H501" s="30">
        <v>0.0</v>
      </c>
      <c r="I501" s="30">
        <v>32.148900000000005</v>
      </c>
      <c r="J501" s="30">
        <v>0.0</v>
      </c>
      <c r="K501" s="30">
        <v>0.0</v>
      </c>
      <c r="L501" s="30">
        <v>0.0</v>
      </c>
      <c r="M501" s="30">
        <v>0.0</v>
      </c>
      <c r="N501" s="30">
        <v>121.5</v>
      </c>
      <c r="O501" s="30">
        <v>-4.648899999999998</v>
      </c>
      <c r="P501" s="30">
        <v>-0.6377091906721534</v>
      </c>
      <c r="Q501" s="30">
        <v>-0.765251028806584</v>
      </c>
    </row>
    <row r="502">
      <c r="A502" s="47">
        <v>1.1241884836E10</v>
      </c>
      <c r="B502" s="48">
        <v>46159.051828703705</v>
      </c>
      <c r="C502" s="30">
        <v>3.855600024E9</v>
      </c>
      <c r="D502" s="47" t="s">
        <v>1512</v>
      </c>
      <c r="E502" s="30">
        <v>1284.0</v>
      </c>
      <c r="F502" s="30">
        <v>1190.0</v>
      </c>
      <c r="G502" s="30">
        <v>0.0</v>
      </c>
      <c r="H502" s="30">
        <v>0.0</v>
      </c>
      <c r="I502" s="30">
        <v>34.668</v>
      </c>
      <c r="J502" s="30">
        <v>0.0</v>
      </c>
      <c r="K502" s="30">
        <v>0.0</v>
      </c>
      <c r="L502" s="30">
        <v>0.0</v>
      </c>
      <c r="M502" s="30">
        <v>0.0</v>
      </c>
      <c r="N502" s="30">
        <v>214.0</v>
      </c>
      <c r="O502" s="30">
        <v>-154.668</v>
      </c>
      <c r="P502" s="30">
        <v>-12.045794392523366</v>
      </c>
      <c r="Q502" s="30">
        <v>-14.454953271028037</v>
      </c>
    </row>
    <row r="503">
      <c r="A503" s="47">
        <v>1.1241610215E10</v>
      </c>
      <c r="B503" s="48">
        <v>46158.99652777778</v>
      </c>
      <c r="C503" s="30">
        <v>3.855375886E9</v>
      </c>
      <c r="D503" s="47" t="s">
        <v>1512</v>
      </c>
      <c r="E503" s="30">
        <v>1284.0</v>
      </c>
      <c r="F503" s="30">
        <v>1190.0</v>
      </c>
      <c r="G503" s="30">
        <v>0.0</v>
      </c>
      <c r="H503" s="30">
        <v>0.0</v>
      </c>
      <c r="I503" s="30">
        <v>34.668</v>
      </c>
      <c r="J503" s="30">
        <v>0.0</v>
      </c>
      <c r="K503" s="30">
        <v>0.0</v>
      </c>
      <c r="L503" s="30">
        <v>0.0</v>
      </c>
      <c r="M503" s="30">
        <v>0.0</v>
      </c>
      <c r="N503" s="30">
        <v>214.0</v>
      </c>
      <c r="O503" s="30">
        <v>-154.668</v>
      </c>
      <c r="P503" s="30">
        <v>-12.045794392523366</v>
      </c>
      <c r="Q503" s="30">
        <v>-14.454953271028037</v>
      </c>
    </row>
    <row r="504">
      <c r="A504" s="47">
        <v>1.1235180524E10</v>
      </c>
      <c r="B504" s="48">
        <v>46156.99309027778</v>
      </c>
      <c r="C504" s="30">
        <v>3.84990315E9</v>
      </c>
      <c r="D504" s="47" t="s">
        <v>1509</v>
      </c>
      <c r="E504" s="30">
        <v>729.0</v>
      </c>
      <c r="F504" s="30">
        <v>580.0</v>
      </c>
      <c r="G504" s="30">
        <v>0.0</v>
      </c>
      <c r="H504" s="30">
        <v>0.0</v>
      </c>
      <c r="I504" s="30">
        <v>36.0855</v>
      </c>
      <c r="J504" s="30">
        <v>0.0</v>
      </c>
      <c r="K504" s="30">
        <v>0.0</v>
      </c>
      <c r="L504" s="30">
        <v>0.0</v>
      </c>
      <c r="M504" s="30">
        <v>0.0</v>
      </c>
      <c r="N504" s="30">
        <v>121.5</v>
      </c>
      <c r="O504" s="30">
        <v>-8.585499999999996</v>
      </c>
      <c r="P504" s="30">
        <v>-1.177709190672153</v>
      </c>
      <c r="Q504" s="30">
        <v>-1.4132510288065838</v>
      </c>
    </row>
    <row r="505">
      <c r="A505" s="47">
        <v>1.1241624382E10</v>
      </c>
      <c r="B505" s="48">
        <v>46158.99943287037</v>
      </c>
      <c r="C505" s="30">
        <v>3.855386013E9</v>
      </c>
      <c r="D505" s="47" t="s">
        <v>1512</v>
      </c>
      <c r="E505" s="30">
        <v>1284.0</v>
      </c>
      <c r="F505" s="30">
        <v>1190.0</v>
      </c>
      <c r="G505" s="30">
        <v>0.0</v>
      </c>
      <c r="H505" s="30">
        <v>0.0</v>
      </c>
      <c r="I505" s="30">
        <v>34.668</v>
      </c>
      <c r="J505" s="30">
        <v>0.0</v>
      </c>
      <c r="K505" s="30">
        <v>0.0</v>
      </c>
      <c r="L505" s="30">
        <v>0.0</v>
      </c>
      <c r="M505" s="30">
        <v>0.0</v>
      </c>
      <c r="N505" s="30">
        <v>214.0</v>
      </c>
      <c r="O505" s="30">
        <v>-154.668</v>
      </c>
      <c r="P505" s="30">
        <v>-12.045794392523366</v>
      </c>
      <c r="Q505" s="30">
        <v>-14.454953271028037</v>
      </c>
    </row>
    <row r="506">
      <c r="A506" s="47">
        <v>1.1240989899E10</v>
      </c>
      <c r="B506" s="48">
        <v>46158.87159722222</v>
      </c>
      <c r="C506" s="30">
        <v>3.854957603E9</v>
      </c>
      <c r="D506" s="47" t="s">
        <v>1512</v>
      </c>
      <c r="E506" s="30">
        <v>1285.0</v>
      </c>
      <c r="F506" s="30">
        <v>1190.0</v>
      </c>
      <c r="G506" s="30">
        <v>0.0</v>
      </c>
      <c r="H506" s="30">
        <v>0.0</v>
      </c>
      <c r="I506" s="30">
        <v>34.69500000000001</v>
      </c>
      <c r="J506" s="30">
        <v>0.0</v>
      </c>
      <c r="K506" s="30">
        <v>0.0</v>
      </c>
      <c r="L506" s="30">
        <v>0.0</v>
      </c>
      <c r="M506" s="30">
        <v>0.0</v>
      </c>
      <c r="N506" s="30">
        <v>214.16666666666652</v>
      </c>
      <c r="O506" s="30">
        <v>-153.8616666666665</v>
      </c>
      <c r="P506" s="30">
        <v>-11.973670557717238</v>
      </c>
      <c r="Q506" s="30">
        <v>-14.368404669260684</v>
      </c>
    </row>
    <row r="507">
      <c r="A507" s="47">
        <v>1.1242924038E10</v>
      </c>
      <c r="B507" s="48">
        <v>46159.62149305556</v>
      </c>
      <c r="C507" s="30">
        <v>3.856534781E9</v>
      </c>
      <c r="D507" s="47" t="s">
        <v>1512</v>
      </c>
      <c r="E507" s="30">
        <v>1283.0</v>
      </c>
      <c r="F507" s="30">
        <v>1190.0</v>
      </c>
      <c r="G507" s="30">
        <v>0.0</v>
      </c>
      <c r="H507" s="30">
        <v>0.0</v>
      </c>
      <c r="I507" s="30">
        <v>34.641000000000005</v>
      </c>
      <c r="J507" s="30">
        <v>0.0</v>
      </c>
      <c r="K507" s="30">
        <v>0.0</v>
      </c>
      <c r="L507" s="30">
        <v>0.0</v>
      </c>
      <c r="M507" s="30">
        <v>0.0</v>
      </c>
      <c r="N507" s="30">
        <v>213.83333333333326</v>
      </c>
      <c r="O507" s="30">
        <v>-155.47433333333328</v>
      </c>
      <c r="P507" s="30">
        <v>-12.118030657313582</v>
      </c>
      <c r="Q507" s="30">
        <v>-14.5416367887763</v>
      </c>
    </row>
    <row r="508">
      <c r="A508" s="47">
        <v>1.1234982719E10</v>
      </c>
      <c r="B508" s="48">
        <v>46156.95321759259</v>
      </c>
      <c r="C508" s="30">
        <v>3.849747795E9</v>
      </c>
      <c r="D508" s="47" t="s">
        <v>1509</v>
      </c>
      <c r="E508" s="30">
        <v>727.0</v>
      </c>
      <c r="F508" s="30">
        <v>580.0</v>
      </c>
      <c r="G508" s="30">
        <v>0.0</v>
      </c>
      <c r="H508" s="30">
        <v>0.0</v>
      </c>
      <c r="I508" s="30">
        <v>32.060700000000004</v>
      </c>
      <c r="J508" s="30">
        <v>0.0</v>
      </c>
      <c r="K508" s="30">
        <v>0.0</v>
      </c>
      <c r="L508" s="30">
        <v>0.0</v>
      </c>
      <c r="M508" s="30">
        <v>0.0</v>
      </c>
      <c r="N508" s="30">
        <v>121.16666666666663</v>
      </c>
      <c r="O508" s="30">
        <v>-6.227366666666626</v>
      </c>
      <c r="P508" s="30">
        <v>-0.8565841357175551</v>
      </c>
      <c r="Q508" s="30">
        <v>-1.027900962861066</v>
      </c>
    </row>
    <row r="509">
      <c r="A509" s="47">
        <v>1.1239894786E10</v>
      </c>
      <c r="B509" s="48">
        <v>46158.644594907404</v>
      </c>
      <c r="C509" s="30">
        <v>3.854115721E9</v>
      </c>
      <c r="D509" s="47" t="s">
        <v>1512</v>
      </c>
      <c r="E509" s="30">
        <v>729.0</v>
      </c>
      <c r="F509" s="30">
        <v>580.0</v>
      </c>
      <c r="G509" s="30">
        <v>0.0</v>
      </c>
      <c r="H509" s="30">
        <v>0.0</v>
      </c>
      <c r="I509" s="30">
        <v>32.148900000000005</v>
      </c>
      <c r="J509" s="30">
        <v>0.0</v>
      </c>
      <c r="K509" s="30">
        <v>0.0</v>
      </c>
      <c r="L509" s="30">
        <v>0.0</v>
      </c>
      <c r="M509" s="30">
        <v>0.0</v>
      </c>
      <c r="N509" s="30">
        <v>121.5</v>
      </c>
      <c r="O509" s="30">
        <v>-4.648899999999998</v>
      </c>
      <c r="P509" s="30">
        <v>-0.6377091906721534</v>
      </c>
      <c r="Q509" s="30">
        <v>-0.765251028806584</v>
      </c>
    </row>
    <row r="510">
      <c r="A510" s="47">
        <v>1.1239967247E10</v>
      </c>
      <c r="B510" s="48">
        <v>46158.660462962966</v>
      </c>
      <c r="C510" s="30">
        <v>3.854177965E9</v>
      </c>
      <c r="D510" s="47" t="s">
        <v>1512</v>
      </c>
      <c r="E510" s="30">
        <v>1288.0</v>
      </c>
      <c r="F510" s="30">
        <v>1190.0</v>
      </c>
      <c r="G510" s="30">
        <v>0.0</v>
      </c>
      <c r="H510" s="30">
        <v>0.0</v>
      </c>
      <c r="I510" s="30">
        <v>34.776</v>
      </c>
      <c r="J510" s="30">
        <v>0.0</v>
      </c>
      <c r="K510" s="30">
        <v>0.0</v>
      </c>
      <c r="L510" s="30">
        <v>0.0</v>
      </c>
      <c r="M510" s="30">
        <v>0.0</v>
      </c>
      <c r="N510" s="30">
        <v>214.66666666666652</v>
      </c>
      <c r="O510" s="30">
        <v>-151.44266666666653</v>
      </c>
      <c r="P510" s="30">
        <v>-11.757971014492743</v>
      </c>
      <c r="Q510" s="30">
        <v>-14.10956521739129</v>
      </c>
    </row>
    <row r="511">
      <c r="A511" s="47">
        <v>1.1241739545E10</v>
      </c>
      <c r="B511" s="48">
        <v>46159.022152777776</v>
      </c>
      <c r="C511" s="30">
        <v>3.855476171E9</v>
      </c>
      <c r="D511" s="47" t="s">
        <v>1512</v>
      </c>
      <c r="E511" s="30">
        <v>1284.0</v>
      </c>
      <c r="F511" s="30">
        <v>1190.0</v>
      </c>
      <c r="G511" s="30">
        <v>0.0</v>
      </c>
      <c r="H511" s="30">
        <v>0.0</v>
      </c>
      <c r="I511" s="30">
        <v>34.668</v>
      </c>
      <c r="J511" s="30">
        <v>0.0</v>
      </c>
      <c r="K511" s="30">
        <v>0.0</v>
      </c>
      <c r="L511" s="30">
        <v>0.0</v>
      </c>
      <c r="M511" s="30">
        <v>0.0</v>
      </c>
      <c r="N511" s="30">
        <v>214.0</v>
      </c>
      <c r="O511" s="30">
        <v>-154.668</v>
      </c>
      <c r="P511" s="30">
        <v>-12.045794392523366</v>
      </c>
      <c r="Q511" s="30">
        <v>-14.454953271028037</v>
      </c>
    </row>
    <row r="512">
      <c r="A512" s="47">
        <v>1.1240784603E10</v>
      </c>
      <c r="B512" s="48">
        <v>46158.829664351855</v>
      </c>
      <c r="C512" s="30">
        <v>3.854815967E9</v>
      </c>
      <c r="D512" s="47" t="s">
        <v>1512</v>
      </c>
      <c r="E512" s="30">
        <v>1285.0</v>
      </c>
      <c r="F512" s="30">
        <v>1190.0</v>
      </c>
      <c r="G512" s="30">
        <v>0.0</v>
      </c>
      <c r="H512" s="30">
        <v>0.0</v>
      </c>
      <c r="I512" s="30">
        <v>34.69500000000001</v>
      </c>
      <c r="J512" s="30">
        <v>0.0</v>
      </c>
      <c r="K512" s="30">
        <v>0.0</v>
      </c>
      <c r="L512" s="30">
        <v>0.0</v>
      </c>
      <c r="M512" s="30">
        <v>0.0</v>
      </c>
      <c r="N512" s="30">
        <v>214.16666666666652</v>
      </c>
      <c r="O512" s="30">
        <v>-153.8616666666665</v>
      </c>
      <c r="P512" s="30">
        <v>-11.973670557717238</v>
      </c>
      <c r="Q512" s="30">
        <v>-14.368404669260684</v>
      </c>
    </row>
    <row r="513">
      <c r="A513" s="47">
        <v>1.1240934151E10</v>
      </c>
      <c r="B513" s="48">
        <v>46158.86021990741</v>
      </c>
      <c r="C513" s="30">
        <v>3.854918882E9</v>
      </c>
      <c r="D513" s="47" t="s">
        <v>1512</v>
      </c>
      <c r="E513" s="30">
        <v>1285.0</v>
      </c>
      <c r="F513" s="30">
        <v>1190.0</v>
      </c>
      <c r="G513" s="30">
        <v>0.0</v>
      </c>
      <c r="H513" s="30">
        <v>0.0</v>
      </c>
      <c r="I513" s="30">
        <v>34.69500000000001</v>
      </c>
      <c r="J513" s="30">
        <v>0.0</v>
      </c>
      <c r="K513" s="30">
        <v>0.0</v>
      </c>
      <c r="L513" s="30">
        <v>0.0</v>
      </c>
      <c r="M513" s="30">
        <v>0.0</v>
      </c>
      <c r="N513" s="30">
        <v>214.16666666666652</v>
      </c>
      <c r="O513" s="30">
        <v>-153.8616666666665</v>
      </c>
      <c r="P513" s="30">
        <v>-11.973670557717238</v>
      </c>
      <c r="Q513" s="30">
        <v>-14.368404669260684</v>
      </c>
    </row>
    <row r="514">
      <c r="A514" s="47">
        <v>1.1239195781E10</v>
      </c>
      <c r="B514" s="48">
        <v>46158.17260416667</v>
      </c>
      <c r="C514" s="30">
        <v>3.853444093E9</v>
      </c>
      <c r="D514" s="47" t="s">
        <v>1512</v>
      </c>
      <c r="E514" s="30">
        <v>1290.0</v>
      </c>
      <c r="F514" s="30">
        <v>1190.0</v>
      </c>
      <c r="G514" s="30">
        <v>0.0</v>
      </c>
      <c r="H514" s="30">
        <v>0.0</v>
      </c>
      <c r="I514" s="30">
        <v>34.830000000000005</v>
      </c>
      <c r="J514" s="30">
        <v>0.0</v>
      </c>
      <c r="K514" s="30">
        <v>0.0</v>
      </c>
      <c r="L514" s="30">
        <v>0.0</v>
      </c>
      <c r="M514" s="30">
        <v>0.0</v>
      </c>
      <c r="N514" s="30">
        <v>215.0</v>
      </c>
      <c r="O514" s="30">
        <v>-149.83</v>
      </c>
      <c r="P514" s="30">
        <v>-11.614728682170544</v>
      </c>
      <c r="Q514" s="30">
        <v>-13.937674418604654</v>
      </c>
    </row>
    <row r="515">
      <c r="A515" s="47">
        <v>1.1241177282E10</v>
      </c>
      <c r="B515" s="48">
        <v>46158.90913194444</v>
      </c>
      <c r="C515" s="30">
        <v>3.855078096E9</v>
      </c>
      <c r="D515" s="47" t="s">
        <v>1512</v>
      </c>
      <c r="E515" s="30">
        <v>1285.0</v>
      </c>
      <c r="F515" s="30">
        <v>1190.0</v>
      </c>
      <c r="G515" s="30">
        <v>0.0</v>
      </c>
      <c r="H515" s="30">
        <v>0.0</v>
      </c>
      <c r="I515" s="30">
        <v>34.69500000000001</v>
      </c>
      <c r="J515" s="30">
        <v>0.0</v>
      </c>
      <c r="K515" s="30">
        <v>0.0</v>
      </c>
      <c r="L515" s="30">
        <v>0.0</v>
      </c>
      <c r="M515" s="30">
        <v>0.0</v>
      </c>
      <c r="N515" s="30">
        <v>214.16666666666652</v>
      </c>
      <c r="O515" s="30">
        <v>-153.8616666666665</v>
      </c>
      <c r="P515" s="30">
        <v>-11.973670557717238</v>
      </c>
      <c r="Q515" s="30">
        <v>-14.368404669260684</v>
      </c>
    </row>
    <row r="516">
      <c r="A516" s="47">
        <v>1.1238231882E10</v>
      </c>
      <c r="B516" s="48">
        <v>46157.95165509259</v>
      </c>
      <c r="C516" s="30">
        <v>3.852624819E9</v>
      </c>
      <c r="D516" s="47" t="s">
        <v>1509</v>
      </c>
      <c r="E516" s="30">
        <v>1291.0</v>
      </c>
      <c r="F516" s="30">
        <v>1190.0</v>
      </c>
      <c r="G516" s="30">
        <v>0.0</v>
      </c>
      <c r="H516" s="30">
        <v>0.0</v>
      </c>
      <c r="I516" s="30">
        <v>34.857</v>
      </c>
      <c r="J516" s="30">
        <v>0.0</v>
      </c>
      <c r="K516" s="30">
        <v>0.0</v>
      </c>
      <c r="L516" s="30">
        <v>0.0</v>
      </c>
      <c r="M516" s="30">
        <v>0.0</v>
      </c>
      <c r="N516" s="30">
        <v>215.16666666666652</v>
      </c>
      <c r="O516" s="30">
        <v>-149.02366666666651</v>
      </c>
      <c r="P516" s="30">
        <v>-11.543273947844037</v>
      </c>
      <c r="Q516" s="30">
        <v>-13.851928737412841</v>
      </c>
    </row>
    <row r="517">
      <c r="A517" s="47">
        <v>1.1242440048E10</v>
      </c>
      <c r="B517" s="48">
        <v>46159.215474537035</v>
      </c>
      <c r="C517" s="30">
        <v>3.856099471E9</v>
      </c>
      <c r="D517" s="47" t="s">
        <v>1512</v>
      </c>
      <c r="E517" s="30">
        <v>729.0</v>
      </c>
      <c r="F517" s="30">
        <v>580.0</v>
      </c>
      <c r="G517" s="30">
        <v>0.0</v>
      </c>
      <c r="H517" s="30">
        <v>0.0</v>
      </c>
      <c r="I517" s="30">
        <v>32.148900000000005</v>
      </c>
      <c r="J517" s="30">
        <v>0.0</v>
      </c>
      <c r="K517" s="30">
        <v>0.0</v>
      </c>
      <c r="L517" s="30">
        <v>0.0</v>
      </c>
      <c r="M517" s="30">
        <v>0.0</v>
      </c>
      <c r="N517" s="30">
        <v>121.5</v>
      </c>
      <c r="O517" s="30">
        <v>-4.648899999999998</v>
      </c>
      <c r="P517" s="30">
        <v>-0.6377091906721534</v>
      </c>
      <c r="Q517" s="30">
        <v>-0.765251028806584</v>
      </c>
    </row>
    <row r="518">
      <c r="A518" s="47">
        <v>1.1239347083E10</v>
      </c>
      <c r="B518" s="48">
        <v>46158.416354166664</v>
      </c>
      <c r="C518" s="30">
        <v>3.853597269E9</v>
      </c>
      <c r="D518" s="47" t="s">
        <v>1512</v>
      </c>
      <c r="E518" s="30">
        <v>1289.0</v>
      </c>
      <c r="F518" s="30">
        <v>1190.0</v>
      </c>
      <c r="G518" s="30">
        <v>0.0</v>
      </c>
      <c r="H518" s="30">
        <v>0.0</v>
      </c>
      <c r="I518" s="30">
        <v>34.803000000000004</v>
      </c>
      <c r="J518" s="30">
        <v>0.0</v>
      </c>
      <c r="K518" s="30">
        <v>0.0</v>
      </c>
      <c r="L518" s="30">
        <v>0.0</v>
      </c>
      <c r="M518" s="30">
        <v>0.0</v>
      </c>
      <c r="N518" s="30">
        <v>214.83333333333326</v>
      </c>
      <c r="O518" s="30">
        <v>-150.63633333333325</v>
      </c>
      <c r="P518" s="30">
        <v>-11.686294284975427</v>
      </c>
      <c r="Q518" s="30">
        <v>-14.023553141970513</v>
      </c>
    </row>
    <row r="519">
      <c r="A519" s="47">
        <v>1.1242047913E10</v>
      </c>
      <c r="B519" s="48">
        <v>46159.08673611111</v>
      </c>
      <c r="C519" s="30">
        <v>3.855741197E9</v>
      </c>
      <c r="D519" s="47" t="s">
        <v>1512</v>
      </c>
      <c r="E519" s="30">
        <v>1284.0</v>
      </c>
      <c r="F519" s="30">
        <v>1190.0</v>
      </c>
      <c r="G519" s="30">
        <v>0.0</v>
      </c>
      <c r="H519" s="30">
        <v>0.0</v>
      </c>
      <c r="I519" s="30">
        <v>34.668</v>
      </c>
      <c r="J519" s="30">
        <v>0.0</v>
      </c>
      <c r="K519" s="30">
        <v>0.0</v>
      </c>
      <c r="L519" s="30">
        <v>0.0</v>
      </c>
      <c r="M519" s="30">
        <v>0.0</v>
      </c>
      <c r="N519" s="30">
        <v>214.0</v>
      </c>
      <c r="O519" s="30">
        <v>-154.668</v>
      </c>
      <c r="P519" s="30">
        <v>-12.045794392523366</v>
      </c>
      <c r="Q519" s="30">
        <v>-14.454953271028037</v>
      </c>
    </row>
    <row r="520">
      <c r="A520" s="47">
        <v>1.1239310544E10</v>
      </c>
      <c r="B520" s="48">
        <v>46158.27274305555</v>
      </c>
      <c r="C520" s="30">
        <v>3.853555166E9</v>
      </c>
      <c r="D520" s="47" t="s">
        <v>1512</v>
      </c>
      <c r="E520" s="30">
        <v>1289.0</v>
      </c>
      <c r="F520" s="30">
        <v>1190.0</v>
      </c>
      <c r="G520" s="30">
        <v>0.0</v>
      </c>
      <c r="H520" s="30">
        <v>0.0</v>
      </c>
      <c r="I520" s="30">
        <v>34.803000000000004</v>
      </c>
      <c r="J520" s="30">
        <v>0.0</v>
      </c>
      <c r="K520" s="30">
        <v>0.0</v>
      </c>
      <c r="L520" s="30">
        <v>0.0</v>
      </c>
      <c r="M520" s="30">
        <v>0.0</v>
      </c>
      <c r="N520" s="30">
        <v>214.83333333333326</v>
      </c>
      <c r="O520" s="30">
        <v>-150.63633333333325</v>
      </c>
      <c r="P520" s="30">
        <v>-11.686294284975427</v>
      </c>
      <c r="Q520" s="30">
        <v>-14.023553141970513</v>
      </c>
    </row>
    <row r="521">
      <c r="A521" s="47">
        <v>1.1242161054E10</v>
      </c>
      <c r="B521" s="48">
        <v>46159.112662037034</v>
      </c>
      <c r="C521" s="30">
        <v>3.855845867E9</v>
      </c>
      <c r="D521" s="47" t="s">
        <v>1512</v>
      </c>
      <c r="E521" s="30">
        <v>1284.0</v>
      </c>
      <c r="F521" s="30">
        <v>1190.0</v>
      </c>
      <c r="G521" s="30">
        <v>0.0</v>
      </c>
      <c r="H521" s="30">
        <v>0.0</v>
      </c>
      <c r="I521" s="30">
        <v>34.668</v>
      </c>
      <c r="J521" s="30">
        <v>0.0</v>
      </c>
      <c r="K521" s="30">
        <v>0.0</v>
      </c>
      <c r="L521" s="30">
        <v>0.0</v>
      </c>
      <c r="M521" s="30">
        <v>0.0</v>
      </c>
      <c r="N521" s="30">
        <v>214.0</v>
      </c>
      <c r="O521" s="30">
        <v>-154.668</v>
      </c>
      <c r="P521" s="30">
        <v>-12.045794392523366</v>
      </c>
      <c r="Q521" s="30">
        <v>-14.454953271028037</v>
      </c>
    </row>
    <row r="522">
      <c r="A522" s="47">
        <v>1.1241739227E10</v>
      </c>
      <c r="B522" s="48">
        <v>46159.02208333334</v>
      </c>
      <c r="C522" s="30">
        <v>3.855477918E9</v>
      </c>
      <c r="D522" s="47" t="s">
        <v>1512</v>
      </c>
      <c r="E522" s="30">
        <v>1284.0</v>
      </c>
      <c r="F522" s="30">
        <v>1190.0</v>
      </c>
      <c r="G522" s="30">
        <v>0.0</v>
      </c>
      <c r="H522" s="30">
        <v>0.0</v>
      </c>
      <c r="I522" s="30">
        <v>34.668</v>
      </c>
      <c r="J522" s="30">
        <v>0.0</v>
      </c>
      <c r="K522" s="30">
        <v>0.0</v>
      </c>
      <c r="L522" s="30">
        <v>0.0</v>
      </c>
      <c r="M522" s="30">
        <v>0.0</v>
      </c>
      <c r="N522" s="30">
        <v>214.0</v>
      </c>
      <c r="O522" s="30">
        <v>-154.668</v>
      </c>
      <c r="P522" s="30">
        <v>-12.045794392523366</v>
      </c>
      <c r="Q522" s="30">
        <v>-14.454953271028037</v>
      </c>
    </row>
    <row r="523">
      <c r="A523" s="47">
        <v>1.1240968972E10</v>
      </c>
      <c r="B523" s="48">
        <v>46158.86767361111</v>
      </c>
      <c r="C523" s="30">
        <v>3.854943607E9</v>
      </c>
      <c r="D523" s="47" t="s">
        <v>1512</v>
      </c>
      <c r="E523" s="30">
        <v>1285.0</v>
      </c>
      <c r="F523" s="30">
        <v>1190.0</v>
      </c>
      <c r="G523" s="30">
        <v>0.0</v>
      </c>
      <c r="H523" s="30">
        <v>0.0</v>
      </c>
      <c r="I523" s="30">
        <v>34.69500000000001</v>
      </c>
      <c r="J523" s="30">
        <v>0.0</v>
      </c>
      <c r="K523" s="30">
        <v>0.0</v>
      </c>
      <c r="L523" s="30">
        <v>0.0</v>
      </c>
      <c r="M523" s="30">
        <v>0.0</v>
      </c>
      <c r="N523" s="30">
        <v>214.16666666666652</v>
      </c>
      <c r="O523" s="30">
        <v>-153.8616666666665</v>
      </c>
      <c r="P523" s="30">
        <v>-11.973670557717238</v>
      </c>
      <c r="Q523" s="30">
        <v>-14.368404669260684</v>
      </c>
    </row>
    <row r="524">
      <c r="A524" s="47">
        <v>1.123815185E10</v>
      </c>
      <c r="B524" s="48">
        <v>46157.93638888889</v>
      </c>
      <c r="C524" s="30">
        <v>3.852565629E9</v>
      </c>
      <c r="D524" s="47" t="s">
        <v>1509</v>
      </c>
      <c r="E524" s="30">
        <v>1291.0</v>
      </c>
      <c r="F524" s="30">
        <v>1190.0</v>
      </c>
      <c r="G524" s="30">
        <v>0.0</v>
      </c>
      <c r="H524" s="30">
        <v>0.0</v>
      </c>
      <c r="I524" s="30">
        <v>34.857</v>
      </c>
      <c r="J524" s="30">
        <v>0.0</v>
      </c>
      <c r="K524" s="30">
        <v>0.0</v>
      </c>
      <c r="L524" s="30">
        <v>0.0</v>
      </c>
      <c r="M524" s="30">
        <v>0.0</v>
      </c>
      <c r="N524" s="30">
        <v>215.16666666666652</v>
      </c>
      <c r="O524" s="30">
        <v>-149.02366666666651</v>
      </c>
      <c r="P524" s="30">
        <v>-11.543273947844037</v>
      </c>
      <c r="Q524" s="30">
        <v>-13.851928737412841</v>
      </c>
    </row>
    <row r="525">
      <c r="A525" s="47">
        <v>1.123933132E10</v>
      </c>
      <c r="B525" s="48">
        <v>46158.34924768518</v>
      </c>
      <c r="C525" s="30">
        <v>3.853576144E9</v>
      </c>
      <c r="D525" s="47" t="s">
        <v>1512</v>
      </c>
      <c r="E525" s="30">
        <v>729.0</v>
      </c>
      <c r="F525" s="30">
        <v>580.0</v>
      </c>
      <c r="G525" s="30">
        <v>0.0</v>
      </c>
      <c r="H525" s="30">
        <v>0.0</v>
      </c>
      <c r="I525" s="30">
        <v>36.0855</v>
      </c>
      <c r="J525" s="30">
        <v>0.0</v>
      </c>
      <c r="K525" s="30">
        <v>0.0</v>
      </c>
      <c r="L525" s="30">
        <v>0.0</v>
      </c>
      <c r="M525" s="30">
        <v>0.0</v>
      </c>
      <c r="N525" s="30">
        <v>121.5</v>
      </c>
      <c r="O525" s="30">
        <v>-8.585499999999996</v>
      </c>
      <c r="P525" s="30">
        <v>-1.177709190672153</v>
      </c>
      <c r="Q525" s="30">
        <v>-1.4132510288065838</v>
      </c>
    </row>
    <row r="526">
      <c r="A526" s="47">
        <v>1.1240830776E10</v>
      </c>
      <c r="B526" s="48">
        <v>46158.839108796295</v>
      </c>
      <c r="C526" s="30">
        <v>3.854847872E9</v>
      </c>
      <c r="D526" s="47" t="s">
        <v>1512</v>
      </c>
      <c r="E526" s="30">
        <v>729.0</v>
      </c>
      <c r="F526" s="30">
        <v>580.0</v>
      </c>
      <c r="G526" s="30">
        <v>0.0</v>
      </c>
      <c r="H526" s="30">
        <v>0.0</v>
      </c>
      <c r="I526" s="30">
        <v>32.148900000000005</v>
      </c>
      <c r="J526" s="30">
        <v>0.0</v>
      </c>
      <c r="K526" s="30">
        <v>0.0</v>
      </c>
      <c r="L526" s="30">
        <v>0.0</v>
      </c>
      <c r="M526" s="30">
        <v>0.0</v>
      </c>
      <c r="N526" s="30">
        <v>121.5</v>
      </c>
      <c r="O526" s="30">
        <v>-4.648899999999998</v>
      </c>
      <c r="P526" s="30">
        <v>-0.6377091906721534</v>
      </c>
      <c r="Q526" s="30">
        <v>-0.765251028806584</v>
      </c>
    </row>
    <row r="527">
      <c r="A527" s="47">
        <v>1.1245296997E10</v>
      </c>
      <c r="B527" s="48">
        <v>46160.07659722222</v>
      </c>
      <c r="C527" s="30">
        <v>3.858343064E9</v>
      </c>
      <c r="D527" s="47" t="s">
        <v>1512</v>
      </c>
      <c r="E527" s="30">
        <v>729.0</v>
      </c>
      <c r="F527" s="30">
        <v>580.0</v>
      </c>
      <c r="G527" s="30">
        <v>0.0</v>
      </c>
      <c r="H527" s="30">
        <v>0.0</v>
      </c>
      <c r="I527" s="30">
        <v>36.0855</v>
      </c>
      <c r="J527" s="30">
        <v>0.0</v>
      </c>
      <c r="K527" s="30">
        <v>0.0</v>
      </c>
      <c r="L527" s="30">
        <v>0.0</v>
      </c>
      <c r="M527" s="30">
        <v>0.0</v>
      </c>
      <c r="N527" s="30">
        <v>121.5</v>
      </c>
      <c r="O527" s="30">
        <v>-8.585499999999996</v>
      </c>
      <c r="P527" s="30">
        <v>-1.177709190672153</v>
      </c>
      <c r="Q527" s="30">
        <v>-1.4132510288065838</v>
      </c>
    </row>
    <row r="528">
      <c r="A528" s="47">
        <v>1.123805998E10</v>
      </c>
      <c r="B528" s="48">
        <v>46157.91935185185</v>
      </c>
      <c r="C528" s="30">
        <v>3.852503369E9</v>
      </c>
      <c r="D528" s="47" t="s">
        <v>1509</v>
      </c>
      <c r="E528" s="30">
        <v>1291.0</v>
      </c>
      <c r="F528" s="30">
        <v>1190.0</v>
      </c>
      <c r="G528" s="30">
        <v>0.0</v>
      </c>
      <c r="H528" s="30">
        <v>0.0</v>
      </c>
      <c r="I528" s="30">
        <v>34.857</v>
      </c>
      <c r="J528" s="30">
        <v>0.0</v>
      </c>
      <c r="K528" s="30">
        <v>0.0</v>
      </c>
      <c r="L528" s="30">
        <v>0.0</v>
      </c>
      <c r="M528" s="30">
        <v>0.0</v>
      </c>
      <c r="N528" s="30">
        <v>215.16666666666652</v>
      </c>
      <c r="O528" s="30">
        <v>-149.02366666666651</v>
      </c>
      <c r="P528" s="30">
        <v>-11.543273947844037</v>
      </c>
      <c r="Q528" s="30">
        <v>-13.851928737412841</v>
      </c>
    </row>
    <row r="529">
      <c r="A529" s="47">
        <v>1.1236871863E10</v>
      </c>
      <c r="B529" s="48">
        <v>46157.6791087963</v>
      </c>
      <c r="C529" s="30">
        <v>3.851567373E9</v>
      </c>
      <c r="D529" s="47" t="s">
        <v>1509</v>
      </c>
      <c r="E529" s="30">
        <v>729.0</v>
      </c>
      <c r="F529" s="30">
        <v>580.0</v>
      </c>
      <c r="G529" s="30">
        <v>0.0</v>
      </c>
      <c r="H529" s="30">
        <v>0.0</v>
      </c>
      <c r="I529" s="30">
        <v>36.0855</v>
      </c>
      <c r="J529" s="30">
        <v>0.0</v>
      </c>
      <c r="K529" s="30">
        <v>0.0</v>
      </c>
      <c r="L529" s="30">
        <v>0.0</v>
      </c>
      <c r="M529" s="30">
        <v>0.0</v>
      </c>
      <c r="N529" s="30">
        <v>121.5</v>
      </c>
      <c r="O529" s="30">
        <v>-8.585499999999996</v>
      </c>
      <c r="P529" s="30">
        <v>-1.177709190672153</v>
      </c>
      <c r="Q529" s="30">
        <v>-1.4132510288065838</v>
      </c>
    </row>
    <row r="530">
      <c r="A530" s="47">
        <v>1.1241568843E10</v>
      </c>
      <c r="B530" s="48">
        <v>46158.98841435185</v>
      </c>
      <c r="C530" s="30">
        <v>3.855344578E9</v>
      </c>
      <c r="D530" s="47" t="s">
        <v>1512</v>
      </c>
      <c r="E530" s="30">
        <v>1284.0</v>
      </c>
      <c r="F530" s="30">
        <v>1190.0</v>
      </c>
      <c r="G530" s="30">
        <v>0.0</v>
      </c>
      <c r="H530" s="30">
        <v>0.0</v>
      </c>
      <c r="I530" s="30">
        <v>34.668</v>
      </c>
      <c r="J530" s="30">
        <v>0.0</v>
      </c>
      <c r="K530" s="30">
        <v>0.0</v>
      </c>
      <c r="L530" s="30">
        <v>0.0</v>
      </c>
      <c r="M530" s="30">
        <v>0.0</v>
      </c>
      <c r="N530" s="30">
        <v>214.0</v>
      </c>
      <c r="O530" s="30">
        <v>-154.668</v>
      </c>
      <c r="P530" s="30">
        <v>-12.045794392523366</v>
      </c>
      <c r="Q530" s="30">
        <v>-14.454953271028037</v>
      </c>
    </row>
    <row r="531">
      <c r="A531" s="47">
        <v>1.1240925075E10</v>
      </c>
      <c r="B531" s="48">
        <v>46158.858298611114</v>
      </c>
      <c r="C531" s="30">
        <v>3.854912028E9</v>
      </c>
      <c r="D531" s="47" t="s">
        <v>1512</v>
      </c>
      <c r="E531" s="30">
        <v>1285.0</v>
      </c>
      <c r="F531" s="30">
        <v>1190.0</v>
      </c>
      <c r="G531" s="30">
        <v>0.0</v>
      </c>
      <c r="H531" s="30">
        <v>0.0</v>
      </c>
      <c r="I531" s="30">
        <v>34.69500000000001</v>
      </c>
      <c r="J531" s="30">
        <v>0.0</v>
      </c>
      <c r="K531" s="30">
        <v>0.0</v>
      </c>
      <c r="L531" s="30">
        <v>0.0</v>
      </c>
      <c r="M531" s="30">
        <v>0.0</v>
      </c>
      <c r="N531" s="30">
        <v>214.16666666666652</v>
      </c>
      <c r="O531" s="30">
        <v>-153.8616666666665</v>
      </c>
      <c r="P531" s="30">
        <v>-11.973670557717238</v>
      </c>
      <c r="Q531" s="30">
        <v>-14.368404669260684</v>
      </c>
    </row>
    <row r="532">
      <c r="A532" s="47">
        <v>1.1243065529E10</v>
      </c>
      <c r="B532" s="48">
        <v>46159.654328703706</v>
      </c>
      <c r="C532" s="30">
        <v>3.856650767E9</v>
      </c>
      <c r="D532" s="47" t="s">
        <v>1512</v>
      </c>
      <c r="E532" s="30">
        <v>1282.0</v>
      </c>
      <c r="F532" s="30">
        <v>1190.0</v>
      </c>
      <c r="G532" s="30">
        <v>0.0</v>
      </c>
      <c r="H532" s="30">
        <v>0.0</v>
      </c>
      <c r="I532" s="30">
        <v>34.614000000000004</v>
      </c>
      <c r="J532" s="30">
        <v>0.0</v>
      </c>
      <c r="K532" s="30">
        <v>0.0</v>
      </c>
      <c r="L532" s="30">
        <v>0.0</v>
      </c>
      <c r="M532" s="30">
        <v>0.0</v>
      </c>
      <c r="N532" s="30">
        <v>213.66666666666652</v>
      </c>
      <c r="O532" s="30">
        <v>-156.28066666666652</v>
      </c>
      <c r="P532" s="30">
        <v>-12.190379615184597</v>
      </c>
      <c r="Q532" s="30">
        <v>-14.628455538221512</v>
      </c>
    </row>
    <row r="533">
      <c r="A533" s="47">
        <v>1.1243840647E10</v>
      </c>
      <c r="B533" s="48">
        <v>46159.811064814814</v>
      </c>
      <c r="C533" s="30">
        <v>3.8572473E9</v>
      </c>
      <c r="D533" s="47" t="s">
        <v>1512</v>
      </c>
      <c r="E533" s="30">
        <v>1281.0</v>
      </c>
      <c r="F533" s="30">
        <v>1190.0</v>
      </c>
      <c r="G533" s="30">
        <v>0.0</v>
      </c>
      <c r="H533" s="30">
        <v>0.0</v>
      </c>
      <c r="I533" s="30">
        <v>34.587</v>
      </c>
      <c r="J533" s="30">
        <v>0.0</v>
      </c>
      <c r="K533" s="30">
        <v>0.0</v>
      </c>
      <c r="L533" s="30">
        <v>0.0</v>
      </c>
      <c r="M533" s="30">
        <v>0.0</v>
      </c>
      <c r="N533" s="30">
        <v>213.5</v>
      </c>
      <c r="O533" s="30">
        <v>-157.087</v>
      </c>
      <c r="P533" s="30">
        <v>-12.262841530054644</v>
      </c>
      <c r="Q533" s="30">
        <v>-14.715409836065573</v>
      </c>
    </row>
    <row r="534">
      <c r="A534" s="47">
        <v>1.1240331278E10</v>
      </c>
      <c r="B534" s="48">
        <v>46158.734918981485</v>
      </c>
      <c r="C534" s="30">
        <v>3.854477531E9</v>
      </c>
      <c r="D534" s="47" t="s">
        <v>1512</v>
      </c>
      <c r="E534" s="30">
        <v>1286.0</v>
      </c>
      <c r="F534" s="30">
        <v>1190.0</v>
      </c>
      <c r="G534" s="30">
        <v>0.0</v>
      </c>
      <c r="H534" s="30">
        <v>0.0</v>
      </c>
      <c r="I534" s="30">
        <v>34.722</v>
      </c>
      <c r="J534" s="30">
        <v>0.0</v>
      </c>
      <c r="K534" s="30">
        <v>0.0</v>
      </c>
      <c r="L534" s="30">
        <v>0.0</v>
      </c>
      <c r="M534" s="30">
        <v>0.0</v>
      </c>
      <c r="N534" s="30">
        <v>214.33333333333326</v>
      </c>
      <c r="O534" s="30">
        <v>-153.05533333333327</v>
      </c>
      <c r="P534" s="30">
        <v>-11.901658890616895</v>
      </c>
      <c r="Q534" s="30">
        <v>-14.28199066874027</v>
      </c>
    </row>
    <row r="535">
      <c r="A535" s="47">
        <v>1.1245647568E10</v>
      </c>
      <c r="B535" s="48">
        <v>46160.15856481482</v>
      </c>
      <c r="C535" s="30">
        <v>3.858695208E9</v>
      </c>
      <c r="D535" s="47" t="s">
        <v>1512</v>
      </c>
      <c r="E535" s="30">
        <v>1590.0</v>
      </c>
      <c r="F535" s="30">
        <v>1228.0</v>
      </c>
      <c r="G535" s="30">
        <v>0.0</v>
      </c>
      <c r="H535" s="30">
        <v>0.0</v>
      </c>
      <c r="I535" s="30">
        <v>168.858</v>
      </c>
      <c r="J535" s="30">
        <v>0.0</v>
      </c>
      <c r="K535" s="30">
        <v>0.0</v>
      </c>
      <c r="L535" s="30">
        <v>0.0</v>
      </c>
      <c r="M535" s="30">
        <v>0.0</v>
      </c>
      <c r="N535" s="30">
        <v>265.0</v>
      </c>
      <c r="O535" s="30">
        <v>-71.858</v>
      </c>
      <c r="P535" s="30">
        <v>-4.51937106918239</v>
      </c>
      <c r="Q535" s="30">
        <v>-5.423245283018868</v>
      </c>
    </row>
    <row r="536">
      <c r="A536" s="47">
        <v>1.1241895868E10</v>
      </c>
      <c r="B536" s="48">
        <v>46159.05415509259</v>
      </c>
      <c r="C536" s="30">
        <v>3.855608811E9</v>
      </c>
      <c r="D536" s="47" t="s">
        <v>1512</v>
      </c>
      <c r="E536" s="30">
        <v>1284.0</v>
      </c>
      <c r="F536" s="30">
        <v>1190.0</v>
      </c>
      <c r="G536" s="30">
        <v>0.0</v>
      </c>
      <c r="H536" s="30">
        <v>0.0</v>
      </c>
      <c r="I536" s="30">
        <v>34.668</v>
      </c>
      <c r="J536" s="30">
        <v>0.0</v>
      </c>
      <c r="K536" s="30">
        <v>0.0</v>
      </c>
      <c r="L536" s="30">
        <v>0.0</v>
      </c>
      <c r="M536" s="30">
        <v>0.0</v>
      </c>
      <c r="N536" s="30">
        <v>214.0</v>
      </c>
      <c r="O536" s="30">
        <v>-154.668</v>
      </c>
      <c r="P536" s="30">
        <v>-12.045794392523366</v>
      </c>
      <c r="Q536" s="30">
        <v>-14.454953271028037</v>
      </c>
    </row>
    <row r="537">
      <c r="A537" s="47">
        <v>1.1241059169E10</v>
      </c>
      <c r="B537" s="48">
        <v>46158.88548611111</v>
      </c>
      <c r="C537" s="30">
        <v>3.855002613E9</v>
      </c>
      <c r="D537" s="47" t="s">
        <v>1512</v>
      </c>
      <c r="E537" s="30">
        <v>1285.0</v>
      </c>
      <c r="F537" s="30">
        <v>1190.0</v>
      </c>
      <c r="G537" s="30">
        <v>0.0</v>
      </c>
      <c r="H537" s="30">
        <v>0.0</v>
      </c>
      <c r="I537" s="30">
        <v>34.69500000000001</v>
      </c>
      <c r="J537" s="30">
        <v>0.0</v>
      </c>
      <c r="K537" s="30">
        <v>0.0</v>
      </c>
      <c r="L537" s="30">
        <v>0.0</v>
      </c>
      <c r="M537" s="30">
        <v>0.0</v>
      </c>
      <c r="N537" s="30">
        <v>214.16666666666652</v>
      </c>
      <c r="O537" s="30">
        <v>-153.8616666666665</v>
      </c>
      <c r="P537" s="30">
        <v>-11.973670557717238</v>
      </c>
      <c r="Q537" s="30">
        <v>-14.368404669260684</v>
      </c>
    </row>
    <row r="538">
      <c r="A538" s="47">
        <v>1.1243241367E10</v>
      </c>
      <c r="B538" s="48">
        <v>46159.691203703704</v>
      </c>
      <c r="C538" s="30">
        <v>3.856795871E9</v>
      </c>
      <c r="D538" s="47" t="s">
        <v>1512</v>
      </c>
      <c r="E538" s="30">
        <v>1282.0</v>
      </c>
      <c r="F538" s="30">
        <v>1190.0</v>
      </c>
      <c r="G538" s="30">
        <v>0.0</v>
      </c>
      <c r="H538" s="30">
        <v>0.0</v>
      </c>
      <c r="I538" s="30">
        <v>34.614000000000004</v>
      </c>
      <c r="J538" s="30">
        <v>0.0</v>
      </c>
      <c r="K538" s="30">
        <v>0.0</v>
      </c>
      <c r="L538" s="30">
        <v>0.0</v>
      </c>
      <c r="M538" s="30">
        <v>0.0</v>
      </c>
      <c r="N538" s="30">
        <v>213.66666666666652</v>
      </c>
      <c r="O538" s="30">
        <v>-156.28066666666652</v>
      </c>
      <c r="P538" s="30">
        <v>-12.190379615184597</v>
      </c>
      <c r="Q538" s="30">
        <v>-14.628455538221512</v>
      </c>
    </row>
    <row r="539">
      <c r="A539" s="47">
        <v>1.1239480834E10</v>
      </c>
      <c r="B539" s="48">
        <v>46158.52850694444</v>
      </c>
      <c r="C539" s="30">
        <v>3.85373697E9</v>
      </c>
      <c r="D539" s="47" t="s">
        <v>1512</v>
      </c>
      <c r="E539" s="30">
        <v>1289.0</v>
      </c>
      <c r="F539" s="30">
        <v>1190.0</v>
      </c>
      <c r="G539" s="30">
        <v>0.0</v>
      </c>
      <c r="H539" s="30">
        <v>0.0</v>
      </c>
      <c r="I539" s="30">
        <v>34.803000000000004</v>
      </c>
      <c r="J539" s="30">
        <v>0.0</v>
      </c>
      <c r="K539" s="30">
        <v>0.0</v>
      </c>
      <c r="L539" s="30">
        <v>0.0</v>
      </c>
      <c r="M539" s="30">
        <v>0.0</v>
      </c>
      <c r="N539" s="30">
        <v>214.83333333333326</v>
      </c>
      <c r="O539" s="30">
        <v>-150.63633333333325</v>
      </c>
      <c r="P539" s="30">
        <v>-11.686294284975427</v>
      </c>
      <c r="Q539" s="30">
        <v>-14.023553141970513</v>
      </c>
    </row>
    <row r="540">
      <c r="A540" s="47">
        <v>1.1242668073E10</v>
      </c>
      <c r="B540" s="48">
        <v>46159.54274305556</v>
      </c>
      <c r="C540" s="30">
        <v>3.856320127E9</v>
      </c>
      <c r="D540" s="47" t="s">
        <v>1512</v>
      </c>
      <c r="E540" s="30">
        <v>1640.0</v>
      </c>
      <c r="F540" s="30">
        <v>1228.0</v>
      </c>
      <c r="G540" s="30">
        <v>0.0</v>
      </c>
      <c r="H540" s="30">
        <v>0.0</v>
      </c>
      <c r="I540" s="30">
        <v>199.26</v>
      </c>
      <c r="J540" s="30">
        <v>0.0</v>
      </c>
      <c r="K540" s="30">
        <v>0.0</v>
      </c>
      <c r="L540" s="30">
        <v>0.0</v>
      </c>
      <c r="M540" s="30">
        <v>0.0</v>
      </c>
      <c r="N540" s="30">
        <v>273.33333333333326</v>
      </c>
      <c r="O540" s="30">
        <v>-60.59333333333325</v>
      </c>
      <c r="P540" s="30">
        <v>-3.694715447154466</v>
      </c>
      <c r="Q540" s="30">
        <v>-4.43365853658536</v>
      </c>
    </row>
    <row r="541">
      <c r="A541" s="47">
        <v>1.1239135983E10</v>
      </c>
      <c r="B541" s="48">
        <v>46158.14944444445</v>
      </c>
      <c r="C541" s="30">
        <v>3.853387677E9</v>
      </c>
      <c r="D541" s="47" t="s">
        <v>1512</v>
      </c>
      <c r="E541" s="30">
        <v>1267.9</v>
      </c>
      <c r="F541" s="30">
        <v>1160.0</v>
      </c>
      <c r="G541" s="30">
        <v>0.0</v>
      </c>
      <c r="H541" s="30">
        <v>0.0</v>
      </c>
      <c r="I541" s="30">
        <v>57.0555</v>
      </c>
      <c r="J541" s="30">
        <v>0.0</v>
      </c>
      <c r="K541" s="30">
        <v>0.0</v>
      </c>
      <c r="L541" s="30">
        <v>0.0</v>
      </c>
      <c r="M541" s="30">
        <v>0.0</v>
      </c>
      <c r="N541" s="30">
        <v>211.3166666666666</v>
      </c>
      <c r="O541" s="30">
        <v>-160.4721666666665</v>
      </c>
      <c r="P541" s="30">
        <v>-12.656531797986158</v>
      </c>
      <c r="Q541" s="30">
        <v>-15.18783815758339</v>
      </c>
    </row>
    <row r="542">
      <c r="A542" s="47">
        <v>1.1239381567E10</v>
      </c>
      <c r="B542" s="48">
        <v>46158.470625</v>
      </c>
      <c r="C542" s="30">
        <v>3.853637529E9</v>
      </c>
      <c r="D542" s="47" t="s">
        <v>1512</v>
      </c>
      <c r="E542" s="30">
        <v>1267.9</v>
      </c>
      <c r="F542" s="30">
        <v>1160.0</v>
      </c>
      <c r="G542" s="30">
        <v>0.0</v>
      </c>
      <c r="H542" s="30">
        <v>0.0</v>
      </c>
      <c r="I542" s="30">
        <v>57.0555</v>
      </c>
      <c r="J542" s="30">
        <v>0.0</v>
      </c>
      <c r="K542" s="30">
        <v>0.0</v>
      </c>
      <c r="L542" s="30">
        <v>0.0</v>
      </c>
      <c r="M542" s="30">
        <v>0.0</v>
      </c>
      <c r="N542" s="30">
        <v>211.3166666666666</v>
      </c>
      <c r="O542" s="30">
        <v>-160.4721666666665</v>
      </c>
      <c r="P542" s="30">
        <v>-12.656531797986158</v>
      </c>
      <c r="Q542" s="30">
        <v>-15.18783815758339</v>
      </c>
    </row>
    <row r="543">
      <c r="A543" s="47">
        <v>1.1242592714E10</v>
      </c>
      <c r="B543" s="48">
        <v>46159.503900462965</v>
      </c>
      <c r="C543" s="30">
        <v>3.856253091E9</v>
      </c>
      <c r="D543" s="47" t="s">
        <v>1512</v>
      </c>
      <c r="E543" s="30">
        <v>1600.0</v>
      </c>
      <c r="F543" s="30">
        <v>1228.0</v>
      </c>
      <c r="G543" s="30">
        <v>0.0</v>
      </c>
      <c r="H543" s="30">
        <v>0.0</v>
      </c>
      <c r="I543" s="30">
        <v>169.92</v>
      </c>
      <c r="J543" s="30">
        <v>0.0</v>
      </c>
      <c r="K543" s="30">
        <v>0.0</v>
      </c>
      <c r="L543" s="30">
        <v>0.0</v>
      </c>
      <c r="M543" s="30">
        <v>0.0</v>
      </c>
      <c r="N543" s="30">
        <v>266.6666666666665</v>
      </c>
      <c r="O543" s="30">
        <v>-64.5866666666665</v>
      </c>
      <c r="P543" s="30">
        <v>-4.036666666666656</v>
      </c>
      <c r="Q543" s="30">
        <v>-4.843999999999987</v>
      </c>
    </row>
    <row r="544">
      <c r="A544" s="47">
        <v>1.1240073278E10</v>
      </c>
      <c r="B544" s="48">
        <v>46158.68209490741</v>
      </c>
      <c r="C544" s="30">
        <v>3.854266039E9</v>
      </c>
      <c r="D544" s="47" t="s">
        <v>1512</v>
      </c>
      <c r="E544" s="30">
        <v>1287.0</v>
      </c>
      <c r="F544" s="30">
        <v>1190.0</v>
      </c>
      <c r="G544" s="30">
        <v>0.0</v>
      </c>
      <c r="H544" s="30">
        <v>0.0</v>
      </c>
      <c r="I544" s="30">
        <v>34.749</v>
      </c>
      <c r="J544" s="30">
        <v>0.0</v>
      </c>
      <c r="K544" s="30">
        <v>0.0</v>
      </c>
      <c r="L544" s="30">
        <v>0.0</v>
      </c>
      <c r="M544" s="30">
        <v>0.0</v>
      </c>
      <c r="N544" s="30">
        <v>214.5</v>
      </c>
      <c r="O544" s="30">
        <v>-152.249</v>
      </c>
      <c r="P544" s="30">
        <v>-11.829759129759129</v>
      </c>
      <c r="Q544" s="30">
        <v>-14.195710955710956</v>
      </c>
    </row>
    <row r="545">
      <c r="A545" s="47">
        <v>1.1238086069E10</v>
      </c>
      <c r="B545" s="48">
        <v>46157.924097222225</v>
      </c>
      <c r="C545" s="30">
        <v>3.852520983E9</v>
      </c>
      <c r="D545" s="47" t="s">
        <v>1509</v>
      </c>
      <c r="E545" s="30">
        <v>1267.9</v>
      </c>
      <c r="F545" s="30">
        <v>1160.0</v>
      </c>
      <c r="G545" s="30">
        <v>0.0</v>
      </c>
      <c r="H545" s="30">
        <v>0.0</v>
      </c>
      <c r="I545" s="30">
        <v>57.0555</v>
      </c>
      <c r="J545" s="30">
        <v>0.0</v>
      </c>
      <c r="K545" s="30">
        <v>0.0</v>
      </c>
      <c r="L545" s="30">
        <v>0.0</v>
      </c>
      <c r="M545" s="30">
        <v>0.0</v>
      </c>
      <c r="N545" s="30">
        <v>211.3166666666666</v>
      </c>
      <c r="O545" s="30">
        <v>-160.4721666666665</v>
      </c>
      <c r="P545" s="30">
        <v>-12.656531797986158</v>
      </c>
      <c r="Q545" s="30">
        <v>-15.18783815758339</v>
      </c>
    </row>
    <row r="546">
      <c r="A546" s="47">
        <v>1.1239927597E10</v>
      </c>
      <c r="B546" s="48">
        <v>46158.6515625</v>
      </c>
      <c r="C546" s="30">
        <v>3.85414045E9</v>
      </c>
      <c r="D546" s="47" t="s">
        <v>1512</v>
      </c>
      <c r="E546" s="30">
        <v>1458.0</v>
      </c>
      <c r="F546" s="30">
        <v>1160.0</v>
      </c>
      <c r="G546" s="30">
        <v>0.0</v>
      </c>
      <c r="H546" s="30">
        <v>0.0</v>
      </c>
      <c r="I546" s="30">
        <v>72.171</v>
      </c>
      <c r="J546" s="30">
        <v>0.0</v>
      </c>
      <c r="K546" s="30">
        <v>0.0</v>
      </c>
      <c r="L546" s="30">
        <v>0.0</v>
      </c>
      <c r="M546" s="30">
        <v>0.0</v>
      </c>
      <c r="N546" s="30">
        <v>243.0</v>
      </c>
      <c r="O546" s="30">
        <v>-17.170999999999992</v>
      </c>
      <c r="P546" s="30">
        <v>-1.177709190672153</v>
      </c>
      <c r="Q546" s="30">
        <v>-1.4132510288065838</v>
      </c>
    </row>
    <row r="547">
      <c r="A547" s="47">
        <v>1.1242116824E10</v>
      </c>
      <c r="B547" s="48">
        <v>46159.10225694445</v>
      </c>
      <c r="C547" s="30">
        <v>3.855804825E9</v>
      </c>
      <c r="D547" s="47" t="s">
        <v>1512</v>
      </c>
      <c r="E547" s="30">
        <v>1284.0</v>
      </c>
      <c r="F547" s="30">
        <v>1190.0</v>
      </c>
      <c r="G547" s="30">
        <v>0.0</v>
      </c>
      <c r="H547" s="30">
        <v>0.0</v>
      </c>
      <c r="I547" s="30">
        <v>34.668</v>
      </c>
      <c r="J547" s="30">
        <v>0.0</v>
      </c>
      <c r="K547" s="30">
        <v>0.0</v>
      </c>
      <c r="L547" s="30">
        <v>0.0</v>
      </c>
      <c r="M547" s="30">
        <v>0.0</v>
      </c>
      <c r="N547" s="30">
        <v>214.0</v>
      </c>
      <c r="O547" s="30">
        <v>-154.668</v>
      </c>
      <c r="P547" s="30">
        <v>-12.045794392523366</v>
      </c>
      <c r="Q547" s="30">
        <v>-14.454953271028037</v>
      </c>
    </row>
    <row r="548">
      <c r="A548" s="47">
        <v>1.1241454874E10</v>
      </c>
      <c r="B548" s="48">
        <v>46158.96545138889</v>
      </c>
      <c r="C548" s="30">
        <v>3.855265259E9</v>
      </c>
      <c r="D548" s="47" t="s">
        <v>1512</v>
      </c>
      <c r="E548" s="30">
        <v>1285.0</v>
      </c>
      <c r="F548" s="30">
        <v>1190.0</v>
      </c>
      <c r="G548" s="30">
        <v>0.0</v>
      </c>
      <c r="H548" s="30">
        <v>0.0</v>
      </c>
      <c r="I548" s="30">
        <v>34.69500000000001</v>
      </c>
      <c r="J548" s="30">
        <v>0.0</v>
      </c>
      <c r="K548" s="30">
        <v>0.0</v>
      </c>
      <c r="L548" s="30">
        <v>0.0</v>
      </c>
      <c r="M548" s="30">
        <v>0.0</v>
      </c>
      <c r="N548" s="30">
        <v>214.16666666666652</v>
      </c>
      <c r="O548" s="30">
        <v>-153.8616666666665</v>
      </c>
      <c r="P548" s="30">
        <v>-11.973670557717238</v>
      </c>
      <c r="Q548" s="30">
        <v>-14.368404669260684</v>
      </c>
    </row>
    <row r="549">
      <c r="A549" s="47">
        <v>1.1242841187E10</v>
      </c>
      <c r="B549" s="48">
        <v>46159.59997685185</v>
      </c>
      <c r="C549" s="30">
        <v>3.856466902E9</v>
      </c>
      <c r="D549" s="47" t="s">
        <v>1512</v>
      </c>
      <c r="E549" s="30">
        <v>1600.0</v>
      </c>
      <c r="F549" s="30">
        <v>1228.0</v>
      </c>
      <c r="G549" s="30">
        <v>0.0</v>
      </c>
      <c r="H549" s="30">
        <v>0.0</v>
      </c>
      <c r="I549" s="30">
        <v>169.92</v>
      </c>
      <c r="J549" s="30">
        <v>0.0</v>
      </c>
      <c r="K549" s="30">
        <v>0.0</v>
      </c>
      <c r="L549" s="30">
        <v>0.0</v>
      </c>
      <c r="M549" s="30">
        <v>0.0</v>
      </c>
      <c r="N549" s="30">
        <v>266.6666666666665</v>
      </c>
      <c r="O549" s="30">
        <v>-64.5866666666665</v>
      </c>
      <c r="P549" s="30">
        <v>-4.036666666666656</v>
      </c>
      <c r="Q549" s="30">
        <v>-4.843999999999987</v>
      </c>
    </row>
    <row r="550">
      <c r="A550" s="47">
        <v>1.12429158E10</v>
      </c>
      <c r="B550" s="48">
        <v>46159.61938657407</v>
      </c>
      <c r="C550" s="30">
        <v>3.856526027E9</v>
      </c>
      <c r="D550" s="47" t="s">
        <v>1512</v>
      </c>
      <c r="E550" s="30">
        <v>1283.0</v>
      </c>
      <c r="F550" s="30">
        <v>1190.0</v>
      </c>
      <c r="G550" s="30">
        <v>0.0</v>
      </c>
      <c r="H550" s="30">
        <v>0.0</v>
      </c>
      <c r="I550" s="30">
        <v>34.641000000000005</v>
      </c>
      <c r="J550" s="30">
        <v>0.0</v>
      </c>
      <c r="K550" s="30">
        <v>0.0</v>
      </c>
      <c r="L550" s="30">
        <v>0.0</v>
      </c>
      <c r="M550" s="30">
        <v>0.0</v>
      </c>
      <c r="N550" s="30">
        <v>213.83333333333326</v>
      </c>
      <c r="O550" s="30">
        <v>-155.47433333333328</v>
      </c>
      <c r="P550" s="30">
        <v>-12.118030657313582</v>
      </c>
      <c r="Q550" s="30">
        <v>-14.5416367887763</v>
      </c>
    </row>
    <row r="551">
      <c r="A551" s="47">
        <v>1.1244615321E10</v>
      </c>
      <c r="B551" s="48">
        <v>46159.954189814816</v>
      </c>
      <c r="C551" s="30">
        <v>3.85776959E9</v>
      </c>
      <c r="D551" s="47" t="s">
        <v>1512</v>
      </c>
      <c r="E551" s="30">
        <v>1590.0</v>
      </c>
      <c r="F551" s="30">
        <v>1228.0</v>
      </c>
      <c r="G551" s="30">
        <v>0.0</v>
      </c>
      <c r="H551" s="30">
        <v>0.0</v>
      </c>
      <c r="I551" s="30">
        <v>168.858</v>
      </c>
      <c r="J551" s="30">
        <v>0.0</v>
      </c>
      <c r="K551" s="30">
        <v>0.0</v>
      </c>
      <c r="L551" s="30">
        <v>0.0</v>
      </c>
      <c r="M551" s="30">
        <v>0.0</v>
      </c>
      <c r="N551" s="30">
        <v>265.0</v>
      </c>
      <c r="O551" s="30">
        <v>-71.858</v>
      </c>
      <c r="P551" s="30">
        <v>-4.51937106918239</v>
      </c>
      <c r="Q551" s="30">
        <v>-5.423245283018868</v>
      </c>
    </row>
    <row r="552">
      <c r="A552" s="47">
        <v>1.1240393347E10</v>
      </c>
      <c r="B552" s="48">
        <v>46158.747453703705</v>
      </c>
      <c r="C552" s="30">
        <v>3.854521833E9</v>
      </c>
      <c r="D552" s="47" t="s">
        <v>1512</v>
      </c>
      <c r="E552" s="30">
        <v>1286.0</v>
      </c>
      <c r="F552" s="30">
        <v>1190.0</v>
      </c>
      <c r="G552" s="30">
        <v>0.0</v>
      </c>
      <c r="H552" s="30">
        <v>0.0</v>
      </c>
      <c r="I552" s="30">
        <v>34.722</v>
      </c>
      <c r="J552" s="30">
        <v>0.0</v>
      </c>
      <c r="K552" s="30">
        <v>0.0</v>
      </c>
      <c r="L552" s="30">
        <v>0.0</v>
      </c>
      <c r="M552" s="30">
        <v>0.0</v>
      </c>
      <c r="N552" s="30">
        <v>214.33333333333326</v>
      </c>
      <c r="O552" s="30">
        <v>-153.05533333333327</v>
      </c>
      <c r="P552" s="30">
        <v>-11.901658890616895</v>
      </c>
      <c r="Q552" s="30">
        <v>-14.28199066874027</v>
      </c>
    </row>
    <row r="553">
      <c r="A553" s="47">
        <v>1.1240056498E10</v>
      </c>
      <c r="B553" s="48">
        <v>46158.67855324074</v>
      </c>
      <c r="C553" s="30">
        <v>3.85425234E9</v>
      </c>
      <c r="D553" s="47" t="s">
        <v>1512</v>
      </c>
      <c r="E553" s="30">
        <v>729.0</v>
      </c>
      <c r="F553" s="30">
        <v>580.0</v>
      </c>
      <c r="G553" s="30">
        <v>0.0</v>
      </c>
      <c r="H553" s="30">
        <v>0.0</v>
      </c>
      <c r="I553" s="30">
        <v>32.148900000000005</v>
      </c>
      <c r="J553" s="30">
        <v>0.0</v>
      </c>
      <c r="K553" s="30">
        <v>0.0</v>
      </c>
      <c r="L553" s="30">
        <v>0.0</v>
      </c>
      <c r="M553" s="30">
        <v>0.0</v>
      </c>
      <c r="N553" s="30">
        <v>121.5</v>
      </c>
      <c r="O553" s="30">
        <v>-4.648899999999998</v>
      </c>
      <c r="P553" s="30">
        <v>-0.6377091906721534</v>
      </c>
      <c r="Q553" s="30">
        <v>-0.765251028806584</v>
      </c>
    </row>
    <row r="554">
      <c r="A554" s="47">
        <v>1.1241483539E10</v>
      </c>
      <c r="B554" s="48">
        <v>46158.97099537037</v>
      </c>
      <c r="C554" s="30">
        <v>3.855283849E9</v>
      </c>
      <c r="D554" s="47" t="s">
        <v>1512</v>
      </c>
      <c r="E554" s="30">
        <v>729.0</v>
      </c>
      <c r="F554" s="30">
        <v>580.0</v>
      </c>
      <c r="G554" s="30">
        <v>0.0</v>
      </c>
      <c r="H554" s="30">
        <v>0.0</v>
      </c>
      <c r="I554" s="30">
        <v>32.148900000000005</v>
      </c>
      <c r="J554" s="30">
        <v>0.0</v>
      </c>
      <c r="K554" s="30">
        <v>0.0</v>
      </c>
      <c r="L554" s="30">
        <v>0.0</v>
      </c>
      <c r="M554" s="30">
        <v>0.0</v>
      </c>
      <c r="N554" s="30">
        <v>121.5</v>
      </c>
      <c r="O554" s="30">
        <v>-4.648899999999998</v>
      </c>
      <c r="P554" s="30">
        <v>-0.6377091906721534</v>
      </c>
      <c r="Q554" s="30">
        <v>-0.765251028806584</v>
      </c>
    </row>
    <row r="555">
      <c r="A555" s="47">
        <v>1.124116632E10</v>
      </c>
      <c r="B555" s="48">
        <v>46158.9068287037</v>
      </c>
      <c r="C555" s="30">
        <v>3.855071497E9</v>
      </c>
      <c r="D555" s="47" t="s">
        <v>1512</v>
      </c>
      <c r="E555" s="30">
        <v>1285.0</v>
      </c>
      <c r="F555" s="30">
        <v>1190.0</v>
      </c>
      <c r="G555" s="30">
        <v>0.0</v>
      </c>
      <c r="H555" s="30">
        <v>0.0</v>
      </c>
      <c r="I555" s="30">
        <v>34.69500000000001</v>
      </c>
      <c r="J555" s="30">
        <v>0.0</v>
      </c>
      <c r="K555" s="30">
        <v>0.0</v>
      </c>
      <c r="L555" s="30">
        <v>0.0</v>
      </c>
      <c r="M555" s="30">
        <v>0.0</v>
      </c>
      <c r="N555" s="30">
        <v>214.16666666666652</v>
      </c>
      <c r="O555" s="30">
        <v>-153.8616666666665</v>
      </c>
      <c r="P555" s="30">
        <v>-11.973670557717238</v>
      </c>
      <c r="Q555" s="30">
        <v>-14.368404669260684</v>
      </c>
    </row>
    <row r="556">
      <c r="A556" s="47">
        <v>1.1242624235E10</v>
      </c>
      <c r="B556" s="48">
        <v>46159.52193287037</v>
      </c>
      <c r="C556" s="30">
        <v>3.856280496E9</v>
      </c>
      <c r="D556" s="47" t="s">
        <v>1512</v>
      </c>
      <c r="E556" s="30">
        <v>1482.0</v>
      </c>
      <c r="F556" s="30">
        <v>1243.0</v>
      </c>
      <c r="G556" s="30">
        <v>0.0</v>
      </c>
      <c r="H556" s="30">
        <v>0.0</v>
      </c>
      <c r="I556" s="30">
        <v>88.61139</v>
      </c>
      <c r="J556" s="30">
        <v>0.0</v>
      </c>
      <c r="K556" s="30">
        <v>0.0</v>
      </c>
      <c r="L556" s="30">
        <v>0.0</v>
      </c>
      <c r="M556" s="30">
        <v>0.0</v>
      </c>
      <c r="N556" s="30">
        <v>246.99999999999994</v>
      </c>
      <c r="O556" s="30">
        <v>-96.61138999999994</v>
      </c>
      <c r="P556" s="30">
        <v>-6.518987179487176</v>
      </c>
      <c r="Q556" s="30">
        <v>-7.82278461538461</v>
      </c>
    </row>
    <row r="557">
      <c r="A557" s="47">
        <v>1.1240963146E10</v>
      </c>
      <c r="B557" s="48">
        <v>46158.866435185184</v>
      </c>
      <c r="C557" s="30">
        <v>3.854939304E9</v>
      </c>
      <c r="D557" s="47" t="s">
        <v>1512</v>
      </c>
      <c r="E557" s="30">
        <v>1285.0</v>
      </c>
      <c r="F557" s="30">
        <v>1190.0</v>
      </c>
      <c r="G557" s="30">
        <v>0.0</v>
      </c>
      <c r="H557" s="30">
        <v>0.0</v>
      </c>
      <c r="I557" s="30">
        <v>34.69500000000001</v>
      </c>
      <c r="J557" s="30">
        <v>0.0</v>
      </c>
      <c r="K557" s="30">
        <v>0.0</v>
      </c>
      <c r="L557" s="30">
        <v>0.0</v>
      </c>
      <c r="M557" s="30">
        <v>0.0</v>
      </c>
      <c r="N557" s="30">
        <v>214.16666666666652</v>
      </c>
      <c r="O557" s="30">
        <v>-153.8616666666665</v>
      </c>
      <c r="P557" s="30">
        <v>-11.973670557717238</v>
      </c>
      <c r="Q557" s="30">
        <v>-14.368404669260684</v>
      </c>
    </row>
    <row r="558">
      <c r="A558" s="47">
        <v>1.1240276207E10</v>
      </c>
      <c r="B558" s="48">
        <v>46158.72369212963</v>
      </c>
      <c r="C558" s="30">
        <v>3.854433657E9</v>
      </c>
      <c r="D558" s="47" t="s">
        <v>1512</v>
      </c>
      <c r="E558" s="30">
        <v>1286.0</v>
      </c>
      <c r="F558" s="30">
        <v>1190.0</v>
      </c>
      <c r="G558" s="30">
        <v>0.0</v>
      </c>
      <c r="H558" s="30">
        <v>0.0</v>
      </c>
      <c r="I558" s="30">
        <v>34.722</v>
      </c>
      <c r="J558" s="30">
        <v>0.0</v>
      </c>
      <c r="K558" s="30">
        <v>0.0</v>
      </c>
      <c r="L558" s="30">
        <v>0.0</v>
      </c>
      <c r="M558" s="30">
        <v>0.0</v>
      </c>
      <c r="N558" s="30">
        <v>214.33333333333326</v>
      </c>
      <c r="O558" s="30">
        <v>-153.05533333333327</v>
      </c>
      <c r="P558" s="30">
        <v>-11.901658890616895</v>
      </c>
      <c r="Q558" s="30">
        <v>-14.28199066874027</v>
      </c>
    </row>
    <row r="559">
      <c r="A559" s="47">
        <v>1.1241194134E10</v>
      </c>
      <c r="B559" s="48">
        <v>46158.912627314814</v>
      </c>
      <c r="C559" s="30">
        <v>3.855089995E9</v>
      </c>
      <c r="D559" s="47" t="s">
        <v>1512</v>
      </c>
      <c r="E559" s="30">
        <v>1285.0</v>
      </c>
      <c r="F559" s="30">
        <v>1190.0</v>
      </c>
      <c r="G559" s="30">
        <v>0.0</v>
      </c>
      <c r="H559" s="30">
        <v>0.0</v>
      </c>
      <c r="I559" s="30">
        <v>34.69500000000001</v>
      </c>
      <c r="J559" s="30">
        <v>0.0</v>
      </c>
      <c r="K559" s="30">
        <v>0.0</v>
      </c>
      <c r="L559" s="30">
        <v>0.0</v>
      </c>
      <c r="M559" s="30">
        <v>0.0</v>
      </c>
      <c r="N559" s="30">
        <v>214.16666666666652</v>
      </c>
      <c r="O559" s="30">
        <v>-153.8616666666665</v>
      </c>
      <c r="P559" s="30">
        <v>-11.973670557717238</v>
      </c>
      <c r="Q559" s="30">
        <v>-14.368404669260684</v>
      </c>
    </row>
    <row r="560">
      <c r="A560" s="47">
        <v>1.1240032485E10</v>
      </c>
      <c r="B560" s="48">
        <v>46158.67395833333</v>
      </c>
      <c r="C560" s="30">
        <v>3.854235047E9</v>
      </c>
      <c r="D560" s="47" t="s">
        <v>1512</v>
      </c>
      <c r="E560" s="30">
        <v>1267.9</v>
      </c>
      <c r="F560" s="30">
        <v>1160.0</v>
      </c>
      <c r="G560" s="30">
        <v>0.0</v>
      </c>
      <c r="H560" s="30">
        <v>0.0</v>
      </c>
      <c r="I560" s="30">
        <v>57.0555</v>
      </c>
      <c r="J560" s="30">
        <v>0.0</v>
      </c>
      <c r="K560" s="30">
        <v>0.0</v>
      </c>
      <c r="L560" s="30">
        <v>0.0</v>
      </c>
      <c r="M560" s="30">
        <v>0.0</v>
      </c>
      <c r="N560" s="30">
        <v>211.3166666666666</v>
      </c>
      <c r="O560" s="30">
        <v>-160.4721666666665</v>
      </c>
      <c r="P560" s="30">
        <v>-12.656531797986158</v>
      </c>
      <c r="Q560" s="30">
        <v>-15.18783815758339</v>
      </c>
    </row>
    <row r="561">
      <c r="A561" s="47">
        <v>1.1243678078E10</v>
      </c>
      <c r="B561" s="48">
        <v>46159.77930555555</v>
      </c>
      <c r="C561" s="30">
        <v>3.857131787E9</v>
      </c>
      <c r="D561" s="47" t="s">
        <v>1512</v>
      </c>
      <c r="E561" s="30">
        <v>1281.0</v>
      </c>
      <c r="F561" s="30">
        <v>1190.0</v>
      </c>
      <c r="G561" s="30">
        <v>0.0</v>
      </c>
      <c r="H561" s="30">
        <v>0.0</v>
      </c>
      <c r="I561" s="30">
        <v>34.587</v>
      </c>
      <c r="J561" s="30">
        <v>0.0</v>
      </c>
      <c r="K561" s="30">
        <v>0.0</v>
      </c>
      <c r="L561" s="30">
        <v>0.0</v>
      </c>
      <c r="M561" s="30">
        <v>0.0</v>
      </c>
      <c r="N561" s="30">
        <v>213.5</v>
      </c>
      <c r="O561" s="30">
        <v>-157.087</v>
      </c>
      <c r="P561" s="30">
        <v>-12.262841530054644</v>
      </c>
      <c r="Q561" s="30">
        <v>-14.715409836065573</v>
      </c>
    </row>
    <row r="562">
      <c r="A562" s="47">
        <v>1.1239676761E10</v>
      </c>
      <c r="B562" s="48">
        <v>46158.59247685185</v>
      </c>
      <c r="C562" s="30">
        <v>3.853922529E9</v>
      </c>
      <c r="D562" s="47" t="s">
        <v>1512</v>
      </c>
      <c r="E562" s="30">
        <v>1458.0</v>
      </c>
      <c r="F562" s="30">
        <v>1160.0</v>
      </c>
      <c r="G562" s="30">
        <v>0.0</v>
      </c>
      <c r="H562" s="30">
        <v>0.0</v>
      </c>
      <c r="I562" s="30">
        <v>72.171</v>
      </c>
      <c r="J562" s="30">
        <v>0.0</v>
      </c>
      <c r="K562" s="30">
        <v>0.0</v>
      </c>
      <c r="L562" s="30">
        <v>0.0</v>
      </c>
      <c r="M562" s="30">
        <v>0.0</v>
      </c>
      <c r="N562" s="30">
        <v>243.0</v>
      </c>
      <c r="O562" s="30">
        <v>-17.170999999999992</v>
      </c>
      <c r="P562" s="30">
        <v>-1.177709190672153</v>
      </c>
      <c r="Q562" s="30">
        <v>-1.4132510288065838</v>
      </c>
    </row>
    <row r="563">
      <c r="A563" s="47">
        <v>1.1239354734E10</v>
      </c>
      <c r="B563" s="48">
        <v>46158.43431712963</v>
      </c>
      <c r="C563" s="30">
        <v>3.853604495E9</v>
      </c>
      <c r="D563" s="47" t="s">
        <v>1512</v>
      </c>
      <c r="E563" s="30">
        <v>1267.9</v>
      </c>
      <c r="F563" s="30">
        <v>1160.0</v>
      </c>
      <c r="G563" s="30">
        <v>0.0</v>
      </c>
      <c r="H563" s="30">
        <v>0.0</v>
      </c>
      <c r="I563" s="30">
        <v>57.0555</v>
      </c>
      <c r="J563" s="30">
        <v>0.0</v>
      </c>
      <c r="K563" s="30">
        <v>0.0</v>
      </c>
      <c r="L563" s="30">
        <v>0.0</v>
      </c>
      <c r="M563" s="30">
        <v>0.0</v>
      </c>
      <c r="N563" s="30">
        <v>211.3166666666666</v>
      </c>
      <c r="O563" s="30">
        <v>-160.4721666666665</v>
      </c>
      <c r="P563" s="30">
        <v>-12.656531797986158</v>
      </c>
      <c r="Q563" s="30">
        <v>-15.18783815758339</v>
      </c>
    </row>
    <row r="564">
      <c r="A564" s="47">
        <v>1.1241079294E10</v>
      </c>
      <c r="B564" s="48">
        <v>46158.889652777776</v>
      </c>
      <c r="C564" s="30">
        <v>3.855016008E9</v>
      </c>
      <c r="D564" s="47" t="s">
        <v>1512</v>
      </c>
      <c r="E564" s="30">
        <v>1285.0</v>
      </c>
      <c r="F564" s="30">
        <v>1190.0</v>
      </c>
      <c r="G564" s="30">
        <v>0.0</v>
      </c>
      <c r="H564" s="30">
        <v>0.0</v>
      </c>
      <c r="I564" s="30">
        <v>34.69500000000001</v>
      </c>
      <c r="J564" s="30">
        <v>0.0</v>
      </c>
      <c r="K564" s="30">
        <v>0.0</v>
      </c>
      <c r="L564" s="30">
        <v>0.0</v>
      </c>
      <c r="M564" s="30">
        <v>0.0</v>
      </c>
      <c r="N564" s="30">
        <v>214.16666666666652</v>
      </c>
      <c r="O564" s="30">
        <v>-153.8616666666665</v>
      </c>
      <c r="P564" s="30">
        <v>-11.973670557717238</v>
      </c>
      <c r="Q564" s="30">
        <v>-14.368404669260684</v>
      </c>
    </row>
    <row r="565">
      <c r="A565" s="47">
        <v>1.124060558E10</v>
      </c>
      <c r="B565" s="48">
        <v>46158.79194444444</v>
      </c>
      <c r="C565" s="30">
        <v>3.854686563E9</v>
      </c>
      <c r="D565" s="47" t="s">
        <v>1512</v>
      </c>
      <c r="E565" s="30">
        <v>1458.0</v>
      </c>
      <c r="F565" s="30">
        <v>1160.0</v>
      </c>
      <c r="G565" s="30">
        <v>0.0</v>
      </c>
      <c r="H565" s="30">
        <v>0.0</v>
      </c>
      <c r="I565" s="30">
        <v>72.171</v>
      </c>
      <c r="J565" s="30">
        <v>0.0</v>
      </c>
      <c r="K565" s="30">
        <v>0.0</v>
      </c>
      <c r="L565" s="30">
        <v>0.0</v>
      </c>
      <c r="M565" s="30">
        <v>0.0</v>
      </c>
      <c r="N565" s="30">
        <v>243.0</v>
      </c>
      <c r="O565" s="30">
        <v>-17.170999999999992</v>
      </c>
      <c r="P565" s="30">
        <v>-1.177709190672153</v>
      </c>
      <c r="Q565" s="30">
        <v>-1.4132510288065838</v>
      </c>
    </row>
    <row r="566">
      <c r="A566" s="47">
        <v>1.1239470902E10</v>
      </c>
      <c r="B566" s="48">
        <v>46158.52415509259</v>
      </c>
      <c r="C566" s="30">
        <v>3.853726874E9</v>
      </c>
      <c r="D566" s="47" t="s">
        <v>1512</v>
      </c>
      <c r="E566" s="30">
        <v>1289.0</v>
      </c>
      <c r="F566" s="30">
        <v>1190.0</v>
      </c>
      <c r="G566" s="30">
        <v>0.0</v>
      </c>
      <c r="H566" s="30">
        <v>0.0</v>
      </c>
      <c r="I566" s="30">
        <v>34.803000000000004</v>
      </c>
      <c r="J566" s="30">
        <v>0.0</v>
      </c>
      <c r="K566" s="30">
        <v>0.0</v>
      </c>
      <c r="L566" s="30">
        <v>0.0</v>
      </c>
      <c r="M566" s="30">
        <v>0.0</v>
      </c>
      <c r="N566" s="30">
        <v>214.83333333333326</v>
      </c>
      <c r="O566" s="30">
        <v>-150.63633333333325</v>
      </c>
      <c r="P566" s="30">
        <v>-11.686294284975427</v>
      </c>
      <c r="Q566" s="30">
        <v>-14.023553141970513</v>
      </c>
    </row>
    <row r="567">
      <c r="A567" s="47">
        <v>1.1241456059E10</v>
      </c>
      <c r="B567" s="48">
        <v>46158.96569444444</v>
      </c>
      <c r="C567" s="30">
        <v>3.855266164E9</v>
      </c>
      <c r="D567" s="47" t="s">
        <v>1512</v>
      </c>
      <c r="E567" s="30">
        <v>729.0</v>
      </c>
      <c r="F567" s="30">
        <v>580.0</v>
      </c>
      <c r="G567" s="30">
        <v>0.0</v>
      </c>
      <c r="H567" s="30">
        <v>0.0</v>
      </c>
      <c r="I567" s="30">
        <v>36.0855</v>
      </c>
      <c r="J567" s="30">
        <v>0.0</v>
      </c>
      <c r="K567" s="30">
        <v>0.0</v>
      </c>
      <c r="L567" s="30">
        <v>0.0</v>
      </c>
      <c r="M567" s="30">
        <v>0.0</v>
      </c>
      <c r="N567" s="30">
        <v>121.5</v>
      </c>
      <c r="O567" s="30">
        <v>-8.585499999999996</v>
      </c>
      <c r="P567" s="30">
        <v>-1.177709190672153</v>
      </c>
      <c r="Q567" s="30">
        <v>-1.4132510288065838</v>
      </c>
    </row>
    <row r="568">
      <c r="A568" s="47">
        <v>1.1240839099E10</v>
      </c>
      <c r="B568" s="48">
        <v>46158.84087962963</v>
      </c>
      <c r="C568" s="30">
        <v>3.854853127E9</v>
      </c>
      <c r="D568" s="47" t="s">
        <v>1512</v>
      </c>
      <c r="E568" s="30">
        <v>1285.0</v>
      </c>
      <c r="F568" s="30">
        <v>1190.0</v>
      </c>
      <c r="G568" s="30">
        <v>0.0</v>
      </c>
      <c r="H568" s="30">
        <v>0.0</v>
      </c>
      <c r="I568" s="30">
        <v>34.69500000000001</v>
      </c>
      <c r="J568" s="30">
        <v>0.0</v>
      </c>
      <c r="K568" s="30">
        <v>0.0</v>
      </c>
      <c r="L568" s="30">
        <v>0.0</v>
      </c>
      <c r="M568" s="30">
        <v>0.0</v>
      </c>
      <c r="N568" s="30">
        <v>214.16666666666652</v>
      </c>
      <c r="O568" s="30">
        <v>-153.8616666666665</v>
      </c>
      <c r="P568" s="30">
        <v>-11.973670557717238</v>
      </c>
      <c r="Q568" s="30">
        <v>-14.368404669260684</v>
      </c>
    </row>
    <row r="569">
      <c r="A569" s="47">
        <v>1.1239443774E10</v>
      </c>
      <c r="B569" s="48">
        <v>46158.512557870374</v>
      </c>
      <c r="C569" s="30">
        <v>3.853703427E9</v>
      </c>
      <c r="D569" s="47" t="s">
        <v>1512</v>
      </c>
      <c r="E569" s="30">
        <v>2578.0</v>
      </c>
      <c r="F569" s="30">
        <v>2380.0</v>
      </c>
      <c r="G569" s="30">
        <v>0.0</v>
      </c>
      <c r="H569" s="30">
        <v>0.0</v>
      </c>
      <c r="I569" s="30">
        <v>69.60600000000001</v>
      </c>
      <c r="J569" s="30">
        <v>0.0</v>
      </c>
      <c r="K569" s="30">
        <v>0.0</v>
      </c>
      <c r="L569" s="30">
        <v>0.0</v>
      </c>
      <c r="M569" s="30">
        <v>0.0</v>
      </c>
      <c r="N569" s="30">
        <v>429.6666666666665</v>
      </c>
      <c r="O569" s="30">
        <v>-301.2726666666665</v>
      </c>
      <c r="P569" s="30">
        <v>-11.686294284975427</v>
      </c>
      <c r="Q569" s="30">
        <v>-14.023553141970513</v>
      </c>
    </row>
    <row r="570">
      <c r="A570" s="47">
        <v>1.1242906386E10</v>
      </c>
      <c r="B570" s="48">
        <v>46159.61688657408</v>
      </c>
      <c r="C570" s="30">
        <v>3.856518427E9</v>
      </c>
      <c r="D570" s="47" t="s">
        <v>1512</v>
      </c>
      <c r="E570" s="30">
        <v>729.0</v>
      </c>
      <c r="F570" s="30">
        <v>580.0</v>
      </c>
      <c r="G570" s="30">
        <v>0.0</v>
      </c>
      <c r="H570" s="30">
        <v>0.0</v>
      </c>
      <c r="I570" s="30">
        <v>32.148900000000005</v>
      </c>
      <c r="J570" s="30">
        <v>0.0</v>
      </c>
      <c r="K570" s="30">
        <v>0.0</v>
      </c>
      <c r="L570" s="30">
        <v>0.0</v>
      </c>
      <c r="M570" s="30">
        <v>0.0</v>
      </c>
      <c r="N570" s="30">
        <v>121.5</v>
      </c>
      <c r="O570" s="30">
        <v>-4.648899999999998</v>
      </c>
      <c r="P570" s="30">
        <v>-0.6377091906721534</v>
      </c>
      <c r="Q570" s="30">
        <v>-0.765251028806584</v>
      </c>
    </row>
    <row r="571">
      <c r="A571" s="47">
        <v>1.1245154261E10</v>
      </c>
      <c r="B571" s="48">
        <v>46160.050358796296</v>
      </c>
      <c r="C571" s="30">
        <v>3.858208006E9</v>
      </c>
      <c r="D571" s="47" t="s">
        <v>1512</v>
      </c>
      <c r="E571" s="30">
        <v>1813.0</v>
      </c>
      <c r="F571" s="30">
        <v>1.0</v>
      </c>
      <c r="G571" s="30">
        <v>0.0</v>
      </c>
      <c r="H571" s="30">
        <v>0.0</v>
      </c>
      <c r="I571" s="30">
        <v>203.9625</v>
      </c>
      <c r="J571" s="30">
        <v>0.0</v>
      </c>
      <c r="K571" s="30">
        <v>0.0</v>
      </c>
      <c r="L571" s="30">
        <v>0.0</v>
      </c>
      <c r="M571" s="30">
        <v>0.0</v>
      </c>
      <c r="N571" s="30">
        <v>302.16666666666663</v>
      </c>
      <c r="O571" s="30">
        <v>1305.8708333333334</v>
      </c>
      <c r="P571" s="30">
        <v>72.028176135319</v>
      </c>
      <c r="Q571" s="30">
        <v>86.43381136238278</v>
      </c>
    </row>
    <row r="572">
      <c r="A572" s="47">
        <v>1.1242035414E10</v>
      </c>
      <c r="B572" s="48">
        <v>46159.08412037037</v>
      </c>
      <c r="C572" s="30">
        <v>3.85572975E9</v>
      </c>
      <c r="D572" s="47" t="s">
        <v>1512</v>
      </c>
      <c r="E572" s="30">
        <v>1284.0</v>
      </c>
      <c r="F572" s="30">
        <v>1190.0</v>
      </c>
      <c r="G572" s="30">
        <v>0.0</v>
      </c>
      <c r="H572" s="30">
        <v>0.0</v>
      </c>
      <c r="I572" s="30">
        <v>34.668</v>
      </c>
      <c r="J572" s="30">
        <v>0.0</v>
      </c>
      <c r="K572" s="30">
        <v>0.0</v>
      </c>
      <c r="L572" s="30">
        <v>0.0</v>
      </c>
      <c r="M572" s="30">
        <v>0.0</v>
      </c>
      <c r="N572" s="30">
        <v>214.0</v>
      </c>
      <c r="O572" s="30">
        <v>-154.668</v>
      </c>
      <c r="P572" s="30">
        <v>-12.045794392523366</v>
      </c>
      <c r="Q572" s="30">
        <v>-14.454953271028037</v>
      </c>
    </row>
    <row r="573">
      <c r="A573" s="47">
        <v>1.1243795624E10</v>
      </c>
      <c r="B573" s="48">
        <v>46159.80243055556</v>
      </c>
      <c r="C573" s="30">
        <v>3.857219417E9</v>
      </c>
      <c r="D573" s="47" t="s">
        <v>1512</v>
      </c>
      <c r="E573" s="30">
        <v>729.0</v>
      </c>
      <c r="F573" s="30">
        <v>580.0</v>
      </c>
      <c r="G573" s="30">
        <v>0.0</v>
      </c>
      <c r="H573" s="30">
        <v>0.0</v>
      </c>
      <c r="I573" s="30">
        <v>36.0855</v>
      </c>
      <c r="J573" s="30">
        <v>0.0</v>
      </c>
      <c r="K573" s="30">
        <v>0.0</v>
      </c>
      <c r="L573" s="30">
        <v>0.0</v>
      </c>
      <c r="M573" s="30">
        <v>0.0</v>
      </c>
      <c r="N573" s="30">
        <v>121.5</v>
      </c>
      <c r="O573" s="30">
        <v>-8.585499999999996</v>
      </c>
      <c r="P573" s="30">
        <v>-1.177709190672153</v>
      </c>
      <c r="Q573" s="30">
        <v>-1.4132510288065838</v>
      </c>
    </row>
    <row r="574">
      <c r="A574" s="47">
        <v>1.1245582484E10</v>
      </c>
      <c r="B574" s="48">
        <v>46160.138703703706</v>
      </c>
      <c r="C574" s="30">
        <v>3.858629552E9</v>
      </c>
      <c r="D574" s="47" t="s">
        <v>1512</v>
      </c>
      <c r="E574" s="30">
        <v>1458.0</v>
      </c>
      <c r="F574" s="30">
        <v>1160.0</v>
      </c>
      <c r="G574" s="30">
        <v>0.0</v>
      </c>
      <c r="H574" s="30">
        <v>0.0</v>
      </c>
      <c r="I574" s="30">
        <v>72.171</v>
      </c>
      <c r="J574" s="30">
        <v>0.0</v>
      </c>
      <c r="K574" s="30">
        <v>0.0</v>
      </c>
      <c r="L574" s="30">
        <v>0.0</v>
      </c>
      <c r="M574" s="30">
        <v>0.0</v>
      </c>
      <c r="N574" s="30">
        <v>243.0</v>
      </c>
      <c r="O574" s="30">
        <v>-17.170999999999992</v>
      </c>
      <c r="P574" s="30">
        <v>-1.177709190672153</v>
      </c>
      <c r="Q574" s="30">
        <v>-1.4132510288065838</v>
      </c>
    </row>
    <row r="575">
      <c r="A575" s="47">
        <v>1.1244548423E10</v>
      </c>
      <c r="B575" s="48">
        <v>46159.94206018518</v>
      </c>
      <c r="C575" s="30">
        <v>3.857723959E9</v>
      </c>
      <c r="D575" s="47" t="s">
        <v>1512</v>
      </c>
      <c r="E575" s="30">
        <v>729.0</v>
      </c>
      <c r="F575" s="30">
        <v>580.0</v>
      </c>
      <c r="G575" s="30">
        <v>0.0</v>
      </c>
      <c r="H575" s="30">
        <v>0.0</v>
      </c>
      <c r="I575" s="30">
        <v>32.148900000000005</v>
      </c>
      <c r="J575" s="30">
        <v>0.0</v>
      </c>
      <c r="K575" s="30">
        <v>0.0</v>
      </c>
      <c r="L575" s="30">
        <v>0.0</v>
      </c>
      <c r="M575" s="30">
        <v>0.0</v>
      </c>
      <c r="N575" s="30">
        <v>121.5</v>
      </c>
      <c r="O575" s="30">
        <v>-4.648899999999998</v>
      </c>
      <c r="P575" s="30">
        <v>-0.6377091906721534</v>
      </c>
      <c r="Q575" s="30">
        <v>-0.765251028806584</v>
      </c>
    </row>
    <row r="576">
      <c r="A576" s="47">
        <v>1.124014043E10</v>
      </c>
      <c r="B576" s="48">
        <v>46158.69579861111</v>
      </c>
      <c r="C576" s="30">
        <v>3.854323856E9</v>
      </c>
      <c r="D576" s="47" t="s">
        <v>1512</v>
      </c>
      <c r="E576" s="30">
        <v>729.0</v>
      </c>
      <c r="F576" s="30">
        <v>580.0</v>
      </c>
      <c r="G576" s="30">
        <v>0.0</v>
      </c>
      <c r="H576" s="30">
        <v>0.0</v>
      </c>
      <c r="I576" s="30">
        <v>32.148900000000005</v>
      </c>
      <c r="J576" s="30">
        <v>0.0</v>
      </c>
      <c r="K576" s="30">
        <v>0.0</v>
      </c>
      <c r="L576" s="30">
        <v>0.0</v>
      </c>
      <c r="M576" s="30">
        <v>0.0</v>
      </c>
      <c r="N576" s="30">
        <v>121.5</v>
      </c>
      <c r="O576" s="30">
        <v>-4.648899999999998</v>
      </c>
      <c r="P576" s="30">
        <v>-0.6377091906721534</v>
      </c>
      <c r="Q576" s="30">
        <v>-0.765251028806584</v>
      </c>
    </row>
    <row r="577">
      <c r="A577" s="47">
        <v>1.1242230403E10</v>
      </c>
      <c r="B577" s="48">
        <v>46159.13104166667</v>
      </c>
      <c r="C577" s="30">
        <v>3.855911786E9</v>
      </c>
      <c r="D577" s="47" t="s">
        <v>1512</v>
      </c>
      <c r="E577" s="30">
        <v>729.0</v>
      </c>
      <c r="F577" s="30">
        <v>580.0</v>
      </c>
      <c r="G577" s="30">
        <v>0.0</v>
      </c>
      <c r="H577" s="30">
        <v>0.0</v>
      </c>
      <c r="I577" s="30">
        <v>36.0855</v>
      </c>
      <c r="J577" s="30">
        <v>0.0</v>
      </c>
      <c r="K577" s="30">
        <v>0.0</v>
      </c>
      <c r="L577" s="30">
        <v>0.0</v>
      </c>
      <c r="M577" s="30">
        <v>0.0</v>
      </c>
      <c r="N577" s="30">
        <v>121.5</v>
      </c>
      <c r="O577" s="30">
        <v>-8.585499999999996</v>
      </c>
      <c r="P577" s="30">
        <v>-1.177709190672153</v>
      </c>
      <c r="Q577" s="30">
        <v>-1.4132510288065838</v>
      </c>
    </row>
    <row r="578">
      <c r="A578" s="47">
        <v>1.1239536042E10</v>
      </c>
      <c r="B578" s="48">
        <v>46158.549259259256</v>
      </c>
      <c r="C578" s="30">
        <v>3.853788346E9</v>
      </c>
      <c r="D578" s="47" t="s">
        <v>1512</v>
      </c>
      <c r="E578" s="30">
        <v>729.0</v>
      </c>
      <c r="F578" s="30">
        <v>580.0</v>
      </c>
      <c r="G578" s="30">
        <v>0.0</v>
      </c>
      <c r="H578" s="30">
        <v>0.0</v>
      </c>
      <c r="I578" s="30">
        <v>32.148900000000005</v>
      </c>
      <c r="J578" s="30">
        <v>0.0</v>
      </c>
      <c r="K578" s="30">
        <v>0.0</v>
      </c>
      <c r="L578" s="30">
        <v>0.0</v>
      </c>
      <c r="M578" s="30">
        <v>0.0</v>
      </c>
      <c r="N578" s="30">
        <v>121.5</v>
      </c>
      <c r="O578" s="30">
        <v>-4.648899999999998</v>
      </c>
      <c r="P578" s="30">
        <v>-0.6377091906721534</v>
      </c>
      <c r="Q578" s="30">
        <v>-0.765251028806584</v>
      </c>
    </row>
    <row r="579">
      <c r="A579" s="47">
        <v>1.1242832002E10</v>
      </c>
      <c r="B579" s="48">
        <v>46159.597337962965</v>
      </c>
      <c r="C579" s="30">
        <v>3.856459059E9</v>
      </c>
      <c r="D579" s="47" t="s">
        <v>1512</v>
      </c>
      <c r="E579" s="30">
        <v>768.0</v>
      </c>
      <c r="F579" s="30">
        <v>580.0</v>
      </c>
      <c r="G579" s="30">
        <v>0.0</v>
      </c>
      <c r="H579" s="30">
        <v>0.0</v>
      </c>
      <c r="I579" s="30">
        <v>38.016000000000005</v>
      </c>
      <c r="J579" s="30">
        <v>0.0</v>
      </c>
      <c r="K579" s="30">
        <v>0.0</v>
      </c>
      <c r="L579" s="30">
        <v>0.0</v>
      </c>
      <c r="M579" s="30">
        <v>0.0</v>
      </c>
      <c r="N579" s="30">
        <v>128.0</v>
      </c>
      <c r="O579" s="30">
        <v>21.98399999999998</v>
      </c>
      <c r="P579" s="30">
        <v>2.862499999999997</v>
      </c>
      <c r="Q579" s="30">
        <v>3.434999999999997</v>
      </c>
    </row>
    <row r="580">
      <c r="A580" s="47">
        <v>1.1239382604E10</v>
      </c>
      <c r="B580" s="48">
        <v>46158.471712962964</v>
      </c>
      <c r="C580" s="30">
        <v>3.853638643E9</v>
      </c>
      <c r="D580" s="47" t="s">
        <v>1512</v>
      </c>
      <c r="E580" s="30">
        <v>729.0</v>
      </c>
      <c r="F580" s="30">
        <v>580.0</v>
      </c>
      <c r="G580" s="30">
        <v>0.0</v>
      </c>
      <c r="H580" s="30">
        <v>0.0</v>
      </c>
      <c r="I580" s="30">
        <v>36.0855</v>
      </c>
      <c r="J580" s="30">
        <v>0.0</v>
      </c>
      <c r="K580" s="30">
        <v>0.0</v>
      </c>
      <c r="L580" s="30">
        <v>0.0</v>
      </c>
      <c r="M580" s="30">
        <v>0.0</v>
      </c>
      <c r="N580" s="30">
        <v>121.5</v>
      </c>
      <c r="O580" s="30">
        <v>-8.585499999999996</v>
      </c>
      <c r="P580" s="30">
        <v>-1.177709190672153</v>
      </c>
      <c r="Q580" s="30">
        <v>-1.4132510288065838</v>
      </c>
    </row>
    <row r="581">
      <c r="A581" s="47">
        <v>1.1245856749E10</v>
      </c>
      <c r="B581" s="48">
        <v>46160.44417824074</v>
      </c>
      <c r="C581" s="30">
        <v>3.858920415E9</v>
      </c>
      <c r="D581" s="47" t="s">
        <v>1512</v>
      </c>
      <c r="E581" s="30">
        <v>1458.0</v>
      </c>
      <c r="F581" s="30">
        <v>1160.0</v>
      </c>
      <c r="G581" s="30">
        <v>0.0</v>
      </c>
      <c r="H581" s="30">
        <v>0.0</v>
      </c>
      <c r="I581" s="30">
        <v>72.171</v>
      </c>
      <c r="J581" s="30">
        <v>0.0</v>
      </c>
      <c r="K581" s="30">
        <v>0.0</v>
      </c>
      <c r="L581" s="30">
        <v>0.0</v>
      </c>
      <c r="M581" s="30">
        <v>0.0</v>
      </c>
      <c r="N581" s="30">
        <v>243.0</v>
      </c>
      <c r="O581" s="30">
        <v>-17.170999999999992</v>
      </c>
      <c r="P581" s="30">
        <v>-1.177709190672153</v>
      </c>
      <c r="Q581" s="30">
        <v>-1.4132510288065838</v>
      </c>
    </row>
    <row r="582">
      <c r="A582" s="47">
        <v>1.1242810522E10</v>
      </c>
      <c r="B582" s="48">
        <v>46159.59108796297</v>
      </c>
      <c r="C582" s="30">
        <v>3.85643888E9</v>
      </c>
      <c r="D582" s="47" t="s">
        <v>1512</v>
      </c>
      <c r="E582" s="30">
        <v>729.0</v>
      </c>
      <c r="F582" s="30">
        <v>580.0</v>
      </c>
      <c r="G582" s="30">
        <v>0.0</v>
      </c>
      <c r="H582" s="30">
        <v>0.0</v>
      </c>
      <c r="I582" s="30">
        <v>32.148900000000005</v>
      </c>
      <c r="J582" s="30">
        <v>0.0</v>
      </c>
      <c r="K582" s="30">
        <v>0.0</v>
      </c>
      <c r="L582" s="30">
        <v>0.0</v>
      </c>
      <c r="M582" s="30">
        <v>0.0</v>
      </c>
      <c r="N582" s="30">
        <v>121.5</v>
      </c>
      <c r="O582" s="30">
        <v>-4.648899999999998</v>
      </c>
      <c r="P582" s="30">
        <v>-0.6377091906721534</v>
      </c>
      <c r="Q582" s="30">
        <v>-0.765251028806584</v>
      </c>
    </row>
    <row r="583">
      <c r="A583" s="47">
        <v>1.1239418048E10</v>
      </c>
      <c r="B583" s="48">
        <v>46158.49891203704</v>
      </c>
      <c r="C583" s="30">
        <v>3.853676332E9</v>
      </c>
      <c r="D583" s="47" t="s">
        <v>1512</v>
      </c>
      <c r="E583" s="30">
        <v>1289.0</v>
      </c>
      <c r="F583" s="30">
        <v>1190.0</v>
      </c>
      <c r="G583" s="30">
        <v>0.0</v>
      </c>
      <c r="H583" s="30">
        <v>0.0</v>
      </c>
      <c r="I583" s="30">
        <v>34.803000000000004</v>
      </c>
      <c r="J583" s="30">
        <v>0.0</v>
      </c>
      <c r="K583" s="30">
        <v>0.0</v>
      </c>
      <c r="L583" s="30">
        <v>0.0</v>
      </c>
      <c r="M583" s="30">
        <v>0.0</v>
      </c>
      <c r="N583" s="30">
        <v>214.83333333333326</v>
      </c>
      <c r="O583" s="30">
        <v>-150.63633333333325</v>
      </c>
      <c r="P583" s="30">
        <v>-11.686294284975427</v>
      </c>
      <c r="Q583" s="30">
        <v>-14.023553141970513</v>
      </c>
    </row>
    <row r="584">
      <c r="A584" s="47">
        <v>1.1243546956E10</v>
      </c>
      <c r="B584" s="48">
        <v>46159.753483796296</v>
      </c>
      <c r="C584" s="30">
        <v>3.857037069E9</v>
      </c>
      <c r="D584" s="47" t="s">
        <v>1512</v>
      </c>
      <c r="E584" s="30">
        <v>729.0</v>
      </c>
      <c r="F584" s="30">
        <v>580.0</v>
      </c>
      <c r="G584" s="30">
        <v>0.0</v>
      </c>
      <c r="H584" s="30">
        <v>0.0</v>
      </c>
      <c r="I584" s="30">
        <v>36.0855</v>
      </c>
      <c r="J584" s="30">
        <v>0.0</v>
      </c>
      <c r="K584" s="30">
        <v>0.0</v>
      </c>
      <c r="L584" s="30">
        <v>0.0</v>
      </c>
      <c r="M584" s="30">
        <v>0.0</v>
      </c>
      <c r="N584" s="30">
        <v>121.5</v>
      </c>
      <c r="O584" s="30">
        <v>-8.585499999999996</v>
      </c>
      <c r="P584" s="30">
        <v>-1.177709190672153</v>
      </c>
      <c r="Q584" s="30">
        <v>-1.4132510288065838</v>
      </c>
    </row>
    <row r="585">
      <c r="A585" s="47">
        <v>1.1242710747E10</v>
      </c>
      <c r="B585" s="48">
        <v>46159.55902777778</v>
      </c>
      <c r="C585" s="30">
        <v>3.856356825E9</v>
      </c>
      <c r="D585" s="47" t="s">
        <v>1512</v>
      </c>
      <c r="E585" s="30">
        <v>729.0</v>
      </c>
      <c r="F585" s="30">
        <v>580.0</v>
      </c>
      <c r="G585" s="30">
        <v>0.0</v>
      </c>
      <c r="H585" s="30">
        <v>0.0</v>
      </c>
      <c r="I585" s="30">
        <v>32.148900000000005</v>
      </c>
      <c r="J585" s="30">
        <v>0.0</v>
      </c>
      <c r="K585" s="30">
        <v>0.0</v>
      </c>
      <c r="L585" s="30">
        <v>0.0</v>
      </c>
      <c r="M585" s="30">
        <v>0.0</v>
      </c>
      <c r="N585" s="30">
        <v>121.5</v>
      </c>
      <c r="O585" s="30">
        <v>-4.648899999999998</v>
      </c>
      <c r="P585" s="30">
        <v>-0.6377091906721534</v>
      </c>
      <c r="Q585" s="30">
        <v>-0.765251028806584</v>
      </c>
    </row>
    <row r="586">
      <c r="A586" s="47">
        <v>1.1244164064E10</v>
      </c>
      <c r="B586" s="48">
        <v>46159.87229166667</v>
      </c>
      <c r="C586" s="30">
        <v>3.857466639E9</v>
      </c>
      <c r="D586" s="47" t="s">
        <v>1512</v>
      </c>
      <c r="E586" s="30">
        <v>729.0</v>
      </c>
      <c r="F586" s="30">
        <v>580.0</v>
      </c>
      <c r="G586" s="30">
        <v>0.0</v>
      </c>
      <c r="H586" s="30">
        <v>0.0</v>
      </c>
      <c r="I586" s="30">
        <v>36.0855</v>
      </c>
      <c r="J586" s="30">
        <v>0.0</v>
      </c>
      <c r="K586" s="30">
        <v>0.0</v>
      </c>
      <c r="L586" s="30">
        <v>0.0</v>
      </c>
      <c r="M586" s="30">
        <v>0.0</v>
      </c>
      <c r="N586" s="30">
        <v>121.5</v>
      </c>
      <c r="O586" s="30">
        <v>-8.585499999999996</v>
      </c>
      <c r="P586" s="30">
        <v>-1.177709190672153</v>
      </c>
      <c r="Q586" s="30">
        <v>-1.4132510288065838</v>
      </c>
    </row>
    <row r="587">
      <c r="A587" s="47">
        <v>1.1241591746E10</v>
      </c>
      <c r="B587" s="48">
        <v>46158.992685185185</v>
      </c>
      <c r="C587" s="30">
        <v>3.855361672E9</v>
      </c>
      <c r="D587" s="47" t="s">
        <v>1512</v>
      </c>
      <c r="E587" s="30">
        <v>729.0</v>
      </c>
      <c r="F587" s="30">
        <v>580.0</v>
      </c>
      <c r="G587" s="30">
        <v>0.0</v>
      </c>
      <c r="H587" s="30">
        <v>0.0</v>
      </c>
      <c r="I587" s="30">
        <v>32.148900000000005</v>
      </c>
      <c r="J587" s="30">
        <v>0.0</v>
      </c>
      <c r="K587" s="30">
        <v>0.0</v>
      </c>
      <c r="L587" s="30">
        <v>0.0</v>
      </c>
      <c r="M587" s="30">
        <v>0.0</v>
      </c>
      <c r="N587" s="30">
        <v>121.5</v>
      </c>
      <c r="O587" s="30">
        <v>-4.648899999999998</v>
      </c>
      <c r="P587" s="30">
        <v>-0.6377091906721534</v>
      </c>
      <c r="Q587" s="30">
        <v>-0.765251028806584</v>
      </c>
    </row>
    <row r="588">
      <c r="A588" s="47">
        <v>1.124418802E10</v>
      </c>
      <c r="B588" s="48">
        <v>46159.87672453704</v>
      </c>
      <c r="C588" s="30">
        <v>3.857482381E9</v>
      </c>
      <c r="D588" s="47" t="s">
        <v>1512</v>
      </c>
      <c r="E588" s="30">
        <v>729.0</v>
      </c>
      <c r="F588" s="30">
        <v>580.0</v>
      </c>
      <c r="G588" s="30">
        <v>0.0</v>
      </c>
      <c r="H588" s="30">
        <v>0.0</v>
      </c>
      <c r="I588" s="30">
        <v>36.0855</v>
      </c>
      <c r="J588" s="30">
        <v>0.0</v>
      </c>
      <c r="K588" s="30">
        <v>0.0</v>
      </c>
      <c r="L588" s="30">
        <v>0.0</v>
      </c>
      <c r="M588" s="30">
        <v>0.0</v>
      </c>
      <c r="N588" s="30">
        <v>121.5</v>
      </c>
      <c r="O588" s="30">
        <v>-8.585499999999996</v>
      </c>
      <c r="P588" s="30">
        <v>-1.177709190672153</v>
      </c>
      <c r="Q588" s="30">
        <v>-1.4132510288065838</v>
      </c>
    </row>
    <row r="589">
      <c r="A589" s="47">
        <v>1.1240055061E10</v>
      </c>
      <c r="B589" s="48">
        <v>46158.678252314814</v>
      </c>
      <c r="C589" s="30">
        <v>3.854250497E9</v>
      </c>
      <c r="D589" s="47" t="s">
        <v>1512</v>
      </c>
      <c r="E589" s="30">
        <v>768.0</v>
      </c>
      <c r="F589" s="30">
        <v>580.0</v>
      </c>
      <c r="G589" s="30">
        <v>0.0</v>
      </c>
      <c r="H589" s="30">
        <v>0.0</v>
      </c>
      <c r="I589" s="30">
        <v>38.016000000000005</v>
      </c>
      <c r="J589" s="30">
        <v>0.0</v>
      </c>
      <c r="K589" s="30">
        <v>0.0</v>
      </c>
      <c r="L589" s="30">
        <v>0.0</v>
      </c>
      <c r="M589" s="30">
        <v>0.0</v>
      </c>
      <c r="N589" s="30">
        <v>128.0</v>
      </c>
      <c r="O589" s="30">
        <v>21.98399999999998</v>
      </c>
      <c r="P589" s="30">
        <v>2.862499999999997</v>
      </c>
      <c r="Q589" s="30">
        <v>3.434999999999997</v>
      </c>
    </row>
    <row r="590">
      <c r="A590" s="47">
        <v>1.1244816452E10</v>
      </c>
      <c r="B590" s="48">
        <v>46159.990266203706</v>
      </c>
      <c r="C590" s="30">
        <v>3.857916187E9</v>
      </c>
      <c r="D590" s="47" t="s">
        <v>1512</v>
      </c>
      <c r="E590" s="30">
        <v>1590.0</v>
      </c>
      <c r="F590" s="30">
        <v>1228.0</v>
      </c>
      <c r="G590" s="30">
        <v>0.0</v>
      </c>
      <c r="H590" s="30">
        <v>0.0</v>
      </c>
      <c r="I590" s="30">
        <v>168.858</v>
      </c>
      <c r="J590" s="30">
        <v>0.0</v>
      </c>
      <c r="K590" s="30">
        <v>0.0</v>
      </c>
      <c r="L590" s="30">
        <v>0.0</v>
      </c>
      <c r="M590" s="30">
        <v>0.0</v>
      </c>
      <c r="N590" s="30">
        <v>265.0</v>
      </c>
      <c r="O590" s="30">
        <v>-71.858</v>
      </c>
      <c r="P590" s="30">
        <v>-4.51937106918239</v>
      </c>
      <c r="Q590" s="30">
        <v>-5.423245283018868</v>
      </c>
    </row>
    <row r="591">
      <c r="A591" s="47">
        <v>1.1240917458E10</v>
      </c>
      <c r="B591" s="48">
        <v>46158.85690972222</v>
      </c>
      <c r="C591" s="30">
        <v>3.854907718E9</v>
      </c>
      <c r="D591" s="47" t="s">
        <v>1512</v>
      </c>
      <c r="E591" s="30">
        <v>1266.9</v>
      </c>
      <c r="F591" s="30">
        <v>1160.0</v>
      </c>
      <c r="G591" s="30">
        <v>0.0</v>
      </c>
      <c r="H591" s="30">
        <v>0.0</v>
      </c>
      <c r="I591" s="30">
        <v>57.0105</v>
      </c>
      <c r="J591" s="30">
        <v>0.0</v>
      </c>
      <c r="K591" s="30">
        <v>0.0</v>
      </c>
      <c r="L591" s="30">
        <v>0.0</v>
      </c>
      <c r="M591" s="30">
        <v>0.0</v>
      </c>
      <c r="N591" s="30">
        <v>211.14999999999986</v>
      </c>
      <c r="O591" s="30">
        <v>-161.26049999999978</v>
      </c>
      <c r="P591" s="30">
        <v>-12.728747336017033</v>
      </c>
      <c r="Q591" s="30">
        <v>-15.274496803220435</v>
      </c>
    </row>
    <row r="592">
      <c r="A592" s="47">
        <v>1.1243651284E10</v>
      </c>
      <c r="B592" s="48">
        <v>46159.773726851854</v>
      </c>
      <c r="C592" s="30">
        <v>3.857111895E9</v>
      </c>
      <c r="D592" s="47" t="s">
        <v>1512</v>
      </c>
      <c r="E592" s="30">
        <v>1458.0</v>
      </c>
      <c r="F592" s="30">
        <v>1160.0</v>
      </c>
      <c r="G592" s="30">
        <v>0.0</v>
      </c>
      <c r="H592" s="30">
        <v>0.0</v>
      </c>
      <c r="I592" s="30">
        <v>64.29780000000001</v>
      </c>
      <c r="J592" s="30">
        <v>0.0</v>
      </c>
      <c r="K592" s="30">
        <v>0.0</v>
      </c>
      <c r="L592" s="30">
        <v>0.0</v>
      </c>
      <c r="M592" s="30">
        <v>0.0</v>
      </c>
      <c r="N592" s="30">
        <v>243.0</v>
      </c>
      <c r="O592" s="30">
        <v>-9.297799999999995</v>
      </c>
      <c r="P592" s="30">
        <v>-0.6377091906721534</v>
      </c>
      <c r="Q592" s="30">
        <v>-0.765251028806584</v>
      </c>
    </row>
    <row r="593">
      <c r="A593" s="47">
        <v>1.1239143312E10</v>
      </c>
      <c r="B593" s="48">
        <v>46158.151354166665</v>
      </c>
      <c r="C593" s="30">
        <v>3.853395164E9</v>
      </c>
      <c r="D593" s="47" t="s">
        <v>1512</v>
      </c>
      <c r="E593" s="30">
        <v>729.0</v>
      </c>
      <c r="F593" s="30">
        <v>580.0</v>
      </c>
      <c r="G593" s="30">
        <v>0.0</v>
      </c>
      <c r="H593" s="30">
        <v>0.0</v>
      </c>
      <c r="I593" s="30">
        <v>32.148900000000005</v>
      </c>
      <c r="J593" s="30">
        <v>0.0</v>
      </c>
      <c r="K593" s="30">
        <v>0.0</v>
      </c>
      <c r="L593" s="30">
        <v>0.0</v>
      </c>
      <c r="M593" s="30">
        <v>0.0</v>
      </c>
      <c r="N593" s="30">
        <v>121.5</v>
      </c>
      <c r="O593" s="30">
        <v>-4.648899999999998</v>
      </c>
      <c r="P593" s="30">
        <v>-0.6377091906721534</v>
      </c>
      <c r="Q593" s="30">
        <v>-0.765251028806584</v>
      </c>
    </row>
    <row r="594">
      <c r="A594" s="47">
        <v>1.1244163254E10</v>
      </c>
      <c r="B594" s="48">
        <v>46159.872141203705</v>
      </c>
      <c r="C594" s="30">
        <v>3.857467656E9</v>
      </c>
      <c r="D594" s="47" t="s">
        <v>1512</v>
      </c>
      <c r="E594" s="30">
        <v>729.0</v>
      </c>
      <c r="F594" s="30">
        <v>580.0</v>
      </c>
      <c r="G594" s="30">
        <v>0.0</v>
      </c>
      <c r="H594" s="30">
        <v>0.0</v>
      </c>
      <c r="I594" s="30">
        <v>32.148900000000005</v>
      </c>
      <c r="J594" s="30">
        <v>0.0</v>
      </c>
      <c r="K594" s="30">
        <v>0.0</v>
      </c>
      <c r="L594" s="30">
        <v>0.0</v>
      </c>
      <c r="M594" s="30">
        <v>0.0</v>
      </c>
      <c r="N594" s="30">
        <v>121.5</v>
      </c>
      <c r="O594" s="30">
        <v>-4.648899999999998</v>
      </c>
      <c r="P594" s="30">
        <v>-0.6377091906721534</v>
      </c>
      <c r="Q594" s="30">
        <v>-0.765251028806584</v>
      </c>
    </row>
    <row r="595">
      <c r="A595" s="47">
        <v>1.1244204261E10</v>
      </c>
      <c r="B595" s="48">
        <v>46159.87946759259</v>
      </c>
      <c r="C595" s="30">
        <v>3.857492692E9</v>
      </c>
      <c r="D595" s="47" t="s">
        <v>1512</v>
      </c>
      <c r="E595" s="30">
        <v>729.0</v>
      </c>
      <c r="F595" s="30">
        <v>580.0</v>
      </c>
      <c r="G595" s="30">
        <v>0.0</v>
      </c>
      <c r="H595" s="30">
        <v>0.0</v>
      </c>
      <c r="I595" s="30">
        <v>32.148900000000005</v>
      </c>
      <c r="J595" s="30">
        <v>0.0</v>
      </c>
      <c r="K595" s="30">
        <v>0.0</v>
      </c>
      <c r="L595" s="30">
        <v>0.0</v>
      </c>
      <c r="M595" s="30">
        <v>0.0</v>
      </c>
      <c r="N595" s="30">
        <v>121.5</v>
      </c>
      <c r="O595" s="30">
        <v>-4.648899999999998</v>
      </c>
      <c r="P595" s="30">
        <v>-0.6377091906721534</v>
      </c>
      <c r="Q595" s="30">
        <v>-0.765251028806584</v>
      </c>
    </row>
    <row r="596">
      <c r="A596" s="47">
        <v>1.1242632795E10</v>
      </c>
      <c r="B596" s="48">
        <v>46159.52614583333</v>
      </c>
      <c r="C596" s="30">
        <v>3.856288181E9</v>
      </c>
      <c r="D596" s="47" t="s">
        <v>1512</v>
      </c>
      <c r="E596" s="30">
        <v>1264.9</v>
      </c>
      <c r="F596" s="30">
        <v>1160.0</v>
      </c>
      <c r="G596" s="30">
        <v>0.0</v>
      </c>
      <c r="H596" s="30">
        <v>0.0</v>
      </c>
      <c r="I596" s="30">
        <v>56.920500000000004</v>
      </c>
      <c r="J596" s="30">
        <v>0.0</v>
      </c>
      <c r="K596" s="30">
        <v>0.0</v>
      </c>
      <c r="L596" s="30">
        <v>0.0</v>
      </c>
      <c r="M596" s="30">
        <v>0.0</v>
      </c>
      <c r="N596" s="30">
        <v>210.8166666666666</v>
      </c>
      <c r="O596" s="30">
        <v>-162.83716666666652</v>
      </c>
      <c r="P596" s="30">
        <v>-12.873520963449009</v>
      </c>
      <c r="Q596" s="30">
        <v>-15.44822515613881</v>
      </c>
    </row>
    <row r="597">
      <c r="A597" s="47">
        <v>1.1244019288E10</v>
      </c>
      <c r="B597" s="48">
        <v>46159.84505787037</v>
      </c>
      <c r="C597" s="30">
        <v>3.857373302E9</v>
      </c>
      <c r="D597" s="47" t="s">
        <v>1512</v>
      </c>
      <c r="E597" s="30">
        <v>1458.0</v>
      </c>
      <c r="F597" s="30">
        <v>1160.0</v>
      </c>
      <c r="G597" s="30">
        <v>0.0</v>
      </c>
      <c r="H597" s="30">
        <v>0.0</v>
      </c>
      <c r="I597" s="30">
        <v>72.171</v>
      </c>
      <c r="J597" s="30">
        <v>0.0</v>
      </c>
      <c r="K597" s="30">
        <v>0.0</v>
      </c>
      <c r="L597" s="30">
        <v>0.0</v>
      </c>
      <c r="M597" s="30">
        <v>0.0</v>
      </c>
      <c r="N597" s="30">
        <v>243.0</v>
      </c>
      <c r="O597" s="30">
        <v>-17.170999999999992</v>
      </c>
      <c r="P597" s="30">
        <v>-1.177709190672153</v>
      </c>
      <c r="Q597" s="30">
        <v>-1.4132510288065838</v>
      </c>
    </row>
    <row r="598">
      <c r="A598" s="47">
        <v>1.1245878058E10</v>
      </c>
      <c r="B598" s="48">
        <v>46160.465729166666</v>
      </c>
      <c r="C598" s="30">
        <v>3.85894618E9</v>
      </c>
      <c r="D598" s="47" t="s">
        <v>1512</v>
      </c>
      <c r="E598" s="30">
        <v>729.0</v>
      </c>
      <c r="F598" s="30">
        <v>580.0</v>
      </c>
      <c r="G598" s="30">
        <v>0.0</v>
      </c>
      <c r="H598" s="30">
        <v>0.0</v>
      </c>
      <c r="I598" s="30">
        <v>32.148900000000005</v>
      </c>
      <c r="J598" s="30">
        <v>0.0</v>
      </c>
      <c r="K598" s="30">
        <v>0.0</v>
      </c>
      <c r="L598" s="30">
        <v>0.0</v>
      </c>
      <c r="M598" s="30">
        <v>0.0</v>
      </c>
      <c r="N598" s="30">
        <v>121.5</v>
      </c>
      <c r="O598" s="30">
        <v>-4.648899999999998</v>
      </c>
      <c r="P598" s="30">
        <v>-0.6377091906721534</v>
      </c>
      <c r="Q598" s="30">
        <v>-0.765251028806584</v>
      </c>
    </row>
    <row r="599">
      <c r="A599" s="47">
        <v>1.1245864939E10</v>
      </c>
      <c r="B599" s="48">
        <v>46160.453680555554</v>
      </c>
      <c r="C599" s="30">
        <v>3.858930183E9</v>
      </c>
      <c r="D599" s="47" t="s">
        <v>1512</v>
      </c>
      <c r="E599" s="30">
        <v>729.0</v>
      </c>
      <c r="F599" s="30">
        <v>580.0</v>
      </c>
      <c r="G599" s="30">
        <v>0.0</v>
      </c>
      <c r="H599" s="30">
        <v>0.0</v>
      </c>
      <c r="I599" s="30">
        <v>32.148900000000005</v>
      </c>
      <c r="J599" s="30">
        <v>0.0</v>
      </c>
      <c r="K599" s="30">
        <v>0.0</v>
      </c>
      <c r="L599" s="30">
        <v>0.0</v>
      </c>
      <c r="M599" s="30">
        <v>0.0</v>
      </c>
      <c r="N599" s="30">
        <v>121.5</v>
      </c>
      <c r="O599" s="30">
        <v>-4.648899999999998</v>
      </c>
      <c r="P599" s="30">
        <v>-0.6377091906721534</v>
      </c>
      <c r="Q599" s="30">
        <v>-0.765251028806584</v>
      </c>
    </row>
    <row r="600">
      <c r="A600" s="47">
        <v>1.1242614381E10</v>
      </c>
      <c r="B600" s="48">
        <v>46159.516689814816</v>
      </c>
      <c r="C600" s="30">
        <v>3.856272968E9</v>
      </c>
      <c r="D600" s="47" t="s">
        <v>1512</v>
      </c>
      <c r="E600" s="30">
        <v>928.0</v>
      </c>
      <c r="F600" s="30">
        <v>633.0</v>
      </c>
      <c r="G600" s="30">
        <v>0.0</v>
      </c>
      <c r="H600" s="30">
        <v>0.0</v>
      </c>
      <c r="I600" s="30">
        <v>85.217805</v>
      </c>
      <c r="J600" s="30">
        <v>0.0</v>
      </c>
      <c r="K600" s="30">
        <v>0.0</v>
      </c>
      <c r="L600" s="30">
        <v>0.0</v>
      </c>
      <c r="M600" s="30">
        <v>0.0</v>
      </c>
      <c r="N600" s="30">
        <v>154.66666666666666</v>
      </c>
      <c r="O600" s="30">
        <v>55.115528333333344</v>
      </c>
      <c r="P600" s="30">
        <v>5.939173311781611</v>
      </c>
      <c r="Q600" s="30">
        <v>7.127007974137932</v>
      </c>
    </row>
    <row r="601">
      <c r="A601" s="47">
        <v>1.124181983E10</v>
      </c>
      <c r="B601" s="48">
        <v>46159.03839120371</v>
      </c>
      <c r="C601" s="30">
        <v>3.855543819E9</v>
      </c>
      <c r="D601" s="47" t="s">
        <v>1512</v>
      </c>
      <c r="E601" s="30">
        <v>1483.0</v>
      </c>
      <c r="F601" s="30">
        <v>1243.0</v>
      </c>
      <c r="G601" s="30">
        <v>0.0</v>
      </c>
      <c r="H601" s="30">
        <v>0.0</v>
      </c>
      <c r="I601" s="30">
        <v>88.64145</v>
      </c>
      <c r="J601" s="30">
        <v>0.0</v>
      </c>
      <c r="K601" s="30">
        <v>0.0</v>
      </c>
      <c r="L601" s="30">
        <v>0.0</v>
      </c>
      <c r="M601" s="30">
        <v>0.0</v>
      </c>
      <c r="N601" s="30">
        <v>247.16666666666657</v>
      </c>
      <c r="O601" s="30">
        <v>-95.80811666666659</v>
      </c>
      <c r="P601" s="30">
        <v>-6.460425938413121</v>
      </c>
      <c r="Q601" s="30">
        <v>-7.752511126095745</v>
      </c>
    </row>
    <row r="602">
      <c r="A602" s="47">
        <v>1.1239130088E10</v>
      </c>
      <c r="B602" s="48">
        <v>46158.14732638889</v>
      </c>
      <c r="C602" s="30">
        <v>3.853382883E9</v>
      </c>
      <c r="D602" s="47" t="s">
        <v>1512</v>
      </c>
      <c r="E602" s="30">
        <v>852.0</v>
      </c>
      <c r="F602" s="30">
        <v>300.0</v>
      </c>
      <c r="G602" s="30">
        <v>0.0</v>
      </c>
      <c r="H602" s="30">
        <v>0.0</v>
      </c>
      <c r="I602" s="30">
        <v>123.45479999999999</v>
      </c>
      <c r="J602" s="30">
        <v>0.0</v>
      </c>
      <c r="K602" s="30">
        <v>0.0</v>
      </c>
      <c r="L602" s="30">
        <v>0.0</v>
      </c>
      <c r="M602" s="30">
        <v>0.0</v>
      </c>
      <c r="N602" s="30">
        <v>142.0</v>
      </c>
      <c r="O602" s="30">
        <v>286.5452</v>
      </c>
      <c r="P602" s="30">
        <v>33.63206572769953</v>
      </c>
      <c r="Q602" s="30">
        <v>40.35847887323944</v>
      </c>
    </row>
    <row r="603">
      <c r="A603" s="47">
        <v>1.1243805627E10</v>
      </c>
      <c r="B603" s="48">
        <v>46159.80440972222</v>
      </c>
      <c r="C603" s="30">
        <v>3.857224371E9</v>
      </c>
      <c r="D603" s="47" t="s">
        <v>1512</v>
      </c>
      <c r="E603" s="30">
        <v>1262.9</v>
      </c>
      <c r="F603" s="30">
        <v>1160.0</v>
      </c>
      <c r="G603" s="30">
        <v>0.0</v>
      </c>
      <c r="H603" s="30">
        <v>0.0</v>
      </c>
      <c r="I603" s="30">
        <v>56.8305</v>
      </c>
      <c r="J603" s="30">
        <v>0.0</v>
      </c>
      <c r="K603" s="30">
        <v>0.0</v>
      </c>
      <c r="L603" s="30">
        <v>0.0</v>
      </c>
      <c r="M603" s="30">
        <v>0.0</v>
      </c>
      <c r="N603" s="30">
        <v>210.48333333333335</v>
      </c>
      <c r="O603" s="30">
        <v>-164.41383333333326</v>
      </c>
      <c r="P603" s="30">
        <v>-13.018753134320473</v>
      </c>
      <c r="Q603" s="30">
        <v>-15.622503761184566</v>
      </c>
    </row>
    <row r="604">
      <c r="A604" s="47">
        <v>1.1245809509E10</v>
      </c>
      <c r="B604" s="48">
        <v>46160.299942129626</v>
      </c>
      <c r="C604" s="30">
        <v>3.858862456E9</v>
      </c>
      <c r="D604" s="47" t="s">
        <v>1512</v>
      </c>
      <c r="E604" s="30">
        <v>1428.98</v>
      </c>
      <c r="F604" s="30">
        <v>792.0</v>
      </c>
      <c r="G604" s="30">
        <v>0.0</v>
      </c>
      <c r="H604" s="30">
        <v>0.0</v>
      </c>
      <c r="I604" s="30">
        <v>158.1453</v>
      </c>
      <c r="J604" s="30">
        <v>0.0</v>
      </c>
      <c r="K604" s="30">
        <v>0.0</v>
      </c>
      <c r="L604" s="30">
        <v>0.0</v>
      </c>
      <c r="M604" s="30">
        <v>0.0</v>
      </c>
      <c r="N604" s="30">
        <v>238.1633333333333</v>
      </c>
      <c r="O604" s="30">
        <v>240.6713666666667</v>
      </c>
      <c r="P604" s="30">
        <v>16.84217880352886</v>
      </c>
      <c r="Q604" s="30">
        <v>20.210614564234632</v>
      </c>
    </row>
    <row r="605">
      <c r="A605" s="47">
        <v>1.1245450478E10</v>
      </c>
      <c r="B605" s="48">
        <v>46160.106782407405</v>
      </c>
      <c r="C605" s="30">
        <v>3.858490831E9</v>
      </c>
      <c r="D605" s="47" t="s">
        <v>1512</v>
      </c>
      <c r="E605" s="30">
        <v>928.0</v>
      </c>
      <c r="F605" s="30">
        <v>633.0</v>
      </c>
      <c r="G605" s="30">
        <v>0.0</v>
      </c>
      <c r="H605" s="30">
        <v>0.0</v>
      </c>
      <c r="I605" s="30">
        <v>81.832059</v>
      </c>
      <c r="J605" s="30">
        <v>0.0</v>
      </c>
      <c r="K605" s="30">
        <v>0.0</v>
      </c>
      <c r="L605" s="30">
        <v>0.0</v>
      </c>
      <c r="M605" s="30">
        <v>0.0</v>
      </c>
      <c r="N605" s="30">
        <v>154.66666666666666</v>
      </c>
      <c r="O605" s="30">
        <v>58.50127433333333</v>
      </c>
      <c r="P605" s="30">
        <v>6.3040166307471255</v>
      </c>
      <c r="Q605" s="30">
        <v>7.564819956896551</v>
      </c>
    </row>
    <row r="606">
      <c r="A606" s="47">
        <v>1.1240781801E10</v>
      </c>
      <c r="B606" s="48">
        <v>46158.829050925924</v>
      </c>
      <c r="C606" s="30">
        <v>3.854814055E9</v>
      </c>
      <c r="D606" s="47" t="s">
        <v>1512</v>
      </c>
      <c r="E606" s="30">
        <v>768.0</v>
      </c>
      <c r="F606" s="30">
        <v>580.0</v>
      </c>
      <c r="G606" s="30">
        <v>0.0</v>
      </c>
      <c r="H606" s="30">
        <v>0.0</v>
      </c>
      <c r="I606" s="30">
        <v>28.3392</v>
      </c>
      <c r="J606" s="30">
        <v>0.0</v>
      </c>
      <c r="K606" s="30">
        <v>0.0</v>
      </c>
      <c r="L606" s="30">
        <v>0.0</v>
      </c>
      <c r="M606" s="30">
        <v>0.0</v>
      </c>
      <c r="N606" s="30">
        <v>128.0</v>
      </c>
      <c r="O606" s="30">
        <v>31.660799999999995</v>
      </c>
      <c r="P606" s="30">
        <v>4.122499999999999</v>
      </c>
      <c r="Q606" s="30">
        <v>4.946999999999999</v>
      </c>
    </row>
    <row r="607">
      <c r="A607" s="47">
        <v>1.1239575504E10</v>
      </c>
      <c r="B607" s="48">
        <v>46158.5621875</v>
      </c>
      <c r="C607" s="30">
        <v>3.853825331E9</v>
      </c>
      <c r="D607" s="47" t="s">
        <v>1512</v>
      </c>
      <c r="E607" s="30">
        <v>1289.0</v>
      </c>
      <c r="F607" s="30">
        <v>1190.0</v>
      </c>
      <c r="G607" s="30">
        <v>0.0</v>
      </c>
      <c r="H607" s="30">
        <v>0.0</v>
      </c>
      <c r="I607" s="30">
        <v>34.803000000000004</v>
      </c>
      <c r="J607" s="30">
        <v>0.0</v>
      </c>
      <c r="K607" s="30">
        <v>0.0</v>
      </c>
      <c r="L607" s="30">
        <v>0.0</v>
      </c>
      <c r="M607" s="30">
        <v>0.0</v>
      </c>
      <c r="N607" s="30">
        <v>214.83333333333326</v>
      </c>
      <c r="O607" s="30">
        <v>-150.63633333333325</v>
      </c>
      <c r="P607" s="30">
        <v>-11.686294284975427</v>
      </c>
      <c r="Q607" s="30">
        <v>-14.023553141970513</v>
      </c>
    </row>
    <row r="608">
      <c r="A608" s="47">
        <v>1.1243211841E10</v>
      </c>
      <c r="B608" s="48">
        <v>46159.685219907406</v>
      </c>
      <c r="C608" s="30">
        <v>3.856772663E9</v>
      </c>
      <c r="D608" s="47" t="s">
        <v>1512</v>
      </c>
      <c r="E608" s="30">
        <v>729.0</v>
      </c>
      <c r="F608" s="30">
        <v>580.0</v>
      </c>
      <c r="G608" s="30">
        <v>0.0</v>
      </c>
      <c r="H608" s="30">
        <v>0.0</v>
      </c>
      <c r="I608" s="30">
        <v>32.148900000000005</v>
      </c>
      <c r="J608" s="30">
        <v>0.0</v>
      </c>
      <c r="K608" s="30">
        <v>0.0</v>
      </c>
      <c r="L608" s="30">
        <v>0.0</v>
      </c>
      <c r="M608" s="30">
        <v>0.0</v>
      </c>
      <c r="N608" s="30">
        <v>121.5</v>
      </c>
      <c r="O608" s="30">
        <v>-4.648899999999998</v>
      </c>
      <c r="P608" s="30">
        <v>-0.6377091906721534</v>
      </c>
      <c r="Q608" s="30">
        <v>-0.765251028806584</v>
      </c>
    </row>
    <row r="609">
      <c r="A609" s="47">
        <v>1.1243165568E10</v>
      </c>
      <c r="B609" s="48">
        <v>46159.67549768519</v>
      </c>
      <c r="C609" s="30">
        <v>3.856731649E9</v>
      </c>
      <c r="D609" s="47" t="s">
        <v>1512</v>
      </c>
      <c r="E609" s="30">
        <v>729.0</v>
      </c>
      <c r="F609" s="30">
        <v>580.0</v>
      </c>
      <c r="G609" s="30">
        <v>0.0</v>
      </c>
      <c r="H609" s="30">
        <v>0.0</v>
      </c>
      <c r="I609" s="30">
        <v>32.148900000000005</v>
      </c>
      <c r="J609" s="30">
        <v>0.0</v>
      </c>
      <c r="K609" s="30">
        <v>0.0</v>
      </c>
      <c r="L609" s="30">
        <v>0.0</v>
      </c>
      <c r="M609" s="30">
        <v>0.0</v>
      </c>
      <c r="N609" s="30">
        <v>121.5</v>
      </c>
      <c r="O609" s="30">
        <v>-4.648899999999998</v>
      </c>
      <c r="P609" s="30">
        <v>-0.6377091906721534</v>
      </c>
      <c r="Q609" s="30">
        <v>-0.765251028806584</v>
      </c>
    </row>
    <row r="610">
      <c r="A610" s="47">
        <v>1.1245852102E10</v>
      </c>
      <c r="B610" s="48">
        <v>46160.43824074074</v>
      </c>
      <c r="C610" s="30">
        <v>3.858914507E9</v>
      </c>
      <c r="D610" s="47" t="s">
        <v>1512</v>
      </c>
      <c r="E610" s="30">
        <v>729.0</v>
      </c>
      <c r="F610" s="30">
        <v>580.0</v>
      </c>
      <c r="G610" s="30">
        <v>0.0</v>
      </c>
      <c r="H610" s="30">
        <v>0.0</v>
      </c>
      <c r="I610" s="30">
        <v>32.148900000000005</v>
      </c>
      <c r="J610" s="30">
        <v>0.0</v>
      </c>
      <c r="K610" s="30">
        <v>0.0</v>
      </c>
      <c r="L610" s="30">
        <v>0.0</v>
      </c>
      <c r="M610" s="30">
        <v>0.0</v>
      </c>
      <c r="N610" s="30">
        <v>121.5</v>
      </c>
      <c r="O610" s="30">
        <v>-4.648899999999998</v>
      </c>
      <c r="P610" s="30">
        <v>-0.6377091906721534</v>
      </c>
      <c r="Q610" s="30">
        <v>-0.765251028806584</v>
      </c>
    </row>
    <row r="611">
      <c r="A611" s="47">
        <v>1.1245183343E10</v>
      </c>
      <c r="B611" s="48">
        <v>46160.055659722224</v>
      </c>
      <c r="C611" s="30">
        <v>3.858233227E9</v>
      </c>
      <c r="D611" s="47" t="s">
        <v>1512</v>
      </c>
      <c r="E611" s="30">
        <v>729.0</v>
      </c>
      <c r="F611" s="30">
        <v>580.0</v>
      </c>
      <c r="G611" s="30">
        <v>0.0</v>
      </c>
      <c r="H611" s="30">
        <v>0.0</v>
      </c>
      <c r="I611" s="30">
        <v>32.148900000000005</v>
      </c>
      <c r="J611" s="30">
        <v>0.0</v>
      </c>
      <c r="K611" s="30">
        <v>0.0</v>
      </c>
      <c r="L611" s="30">
        <v>0.0</v>
      </c>
      <c r="M611" s="30">
        <v>0.0</v>
      </c>
      <c r="N611" s="30">
        <v>121.5</v>
      </c>
      <c r="O611" s="30">
        <v>-4.648899999999998</v>
      </c>
      <c r="P611" s="30">
        <v>-0.6377091906721534</v>
      </c>
      <c r="Q611" s="30">
        <v>-0.765251028806584</v>
      </c>
    </row>
    <row r="612">
      <c r="A612" s="47">
        <v>1.1244970203E10</v>
      </c>
      <c r="B612" s="48">
        <v>46160.01712962963</v>
      </c>
      <c r="C612" s="30">
        <v>3.858040687E9</v>
      </c>
      <c r="D612" s="47" t="s">
        <v>1512</v>
      </c>
      <c r="E612" s="30">
        <v>729.0</v>
      </c>
      <c r="F612" s="30">
        <v>580.0</v>
      </c>
      <c r="G612" s="30">
        <v>0.0</v>
      </c>
      <c r="H612" s="30">
        <v>0.0</v>
      </c>
      <c r="I612" s="30">
        <v>32.148900000000005</v>
      </c>
      <c r="J612" s="30">
        <v>0.0</v>
      </c>
      <c r="K612" s="30">
        <v>0.0</v>
      </c>
      <c r="L612" s="30">
        <v>0.0</v>
      </c>
      <c r="M612" s="30">
        <v>0.0</v>
      </c>
      <c r="N612" s="30">
        <v>121.5</v>
      </c>
      <c r="O612" s="30">
        <v>-4.648899999999998</v>
      </c>
      <c r="P612" s="30">
        <v>-0.6377091906721534</v>
      </c>
      <c r="Q612" s="30">
        <v>-0.765251028806584</v>
      </c>
    </row>
    <row r="613">
      <c r="A613" s="47">
        <v>1.1240381131E10</v>
      </c>
      <c r="B613" s="48">
        <v>46158.745150462964</v>
      </c>
      <c r="C613" s="30">
        <v>3.854514383E9</v>
      </c>
      <c r="D613" s="47" t="s">
        <v>1512</v>
      </c>
      <c r="E613" s="30">
        <v>2187.0</v>
      </c>
      <c r="F613" s="30">
        <v>1740.0</v>
      </c>
      <c r="G613" s="30">
        <v>0.0</v>
      </c>
      <c r="H613" s="30">
        <v>0.0</v>
      </c>
      <c r="I613" s="30">
        <v>108.2565</v>
      </c>
      <c r="J613" s="30">
        <v>0.0</v>
      </c>
      <c r="K613" s="30">
        <v>0.0</v>
      </c>
      <c r="L613" s="30">
        <v>0.0</v>
      </c>
      <c r="M613" s="30">
        <v>0.0</v>
      </c>
      <c r="N613" s="30">
        <v>364.5</v>
      </c>
      <c r="O613" s="30">
        <v>-25.756500000000017</v>
      </c>
      <c r="P613" s="30">
        <v>-1.1777091906721544</v>
      </c>
      <c r="Q613" s="30">
        <v>-1.4132510288065854</v>
      </c>
    </row>
    <row r="614">
      <c r="A614" s="47">
        <v>1.1244829226E10</v>
      </c>
      <c r="B614" s="48">
        <v>46159.99260416667</v>
      </c>
      <c r="C614" s="30">
        <v>3.85990429E9</v>
      </c>
      <c r="D614" s="47" t="s">
        <v>1512</v>
      </c>
      <c r="E614" s="30">
        <v>1536.0</v>
      </c>
      <c r="F614" s="30">
        <v>1160.0</v>
      </c>
      <c r="G614" s="30">
        <v>0.0</v>
      </c>
      <c r="H614" s="30">
        <v>0.0</v>
      </c>
      <c r="I614" s="30">
        <v>56.6784</v>
      </c>
      <c r="J614" s="30">
        <v>0.0</v>
      </c>
      <c r="K614" s="30">
        <v>0.0</v>
      </c>
      <c r="L614" s="30">
        <v>0.0</v>
      </c>
      <c r="M614" s="30">
        <v>0.0</v>
      </c>
      <c r="N614" s="30">
        <v>256.0</v>
      </c>
      <c r="O614" s="30">
        <v>63.32159999999999</v>
      </c>
      <c r="P614" s="30">
        <v>4.122499999999999</v>
      </c>
      <c r="Q614" s="30">
        <v>4.946999999999999</v>
      </c>
    </row>
    <row r="615">
      <c r="A615" s="47">
        <v>1.12400383E10</v>
      </c>
      <c r="B615" s="48">
        <v>46158.67503472222</v>
      </c>
      <c r="C615" s="30">
        <v>3.854238365E9</v>
      </c>
      <c r="D615" s="47" t="s">
        <v>1512</v>
      </c>
      <c r="E615" s="30">
        <v>2916.0</v>
      </c>
      <c r="F615" s="30">
        <v>2320.0</v>
      </c>
      <c r="G615" s="30">
        <v>0.0</v>
      </c>
      <c r="H615" s="30">
        <v>0.0</v>
      </c>
      <c r="I615" s="30">
        <v>128.59560000000002</v>
      </c>
      <c r="J615" s="30">
        <v>0.0</v>
      </c>
      <c r="K615" s="30">
        <v>0.0</v>
      </c>
      <c r="L615" s="30">
        <v>0.0</v>
      </c>
      <c r="M615" s="30">
        <v>0.0</v>
      </c>
      <c r="N615" s="30">
        <v>486.0</v>
      </c>
      <c r="O615" s="30">
        <v>-18.59559999999999</v>
      </c>
      <c r="P615" s="30">
        <v>-0.6377091906721534</v>
      </c>
      <c r="Q615" s="30">
        <v>-0.765251028806584</v>
      </c>
    </row>
    <row r="616">
      <c r="A616" s="47">
        <v>1.1242066439E10</v>
      </c>
      <c r="B616" s="48">
        <v>46159.09075231481</v>
      </c>
      <c r="C616" s="30">
        <v>3.855759695E9</v>
      </c>
      <c r="D616" s="47" t="s">
        <v>1512</v>
      </c>
      <c r="E616" s="30">
        <v>2568.0</v>
      </c>
      <c r="F616" s="30">
        <v>2380.0</v>
      </c>
      <c r="G616" s="30">
        <v>0.0</v>
      </c>
      <c r="H616" s="30">
        <v>0.0</v>
      </c>
      <c r="I616" s="30">
        <v>69.336</v>
      </c>
      <c r="J616" s="30">
        <v>0.0</v>
      </c>
      <c r="K616" s="30">
        <v>0.0</v>
      </c>
      <c r="L616" s="30">
        <v>0.0</v>
      </c>
      <c r="M616" s="30">
        <v>0.0</v>
      </c>
      <c r="N616" s="30">
        <v>428.0</v>
      </c>
      <c r="O616" s="30">
        <v>-309.336</v>
      </c>
      <c r="P616" s="30">
        <v>-12.045794392523366</v>
      </c>
      <c r="Q616" s="30">
        <v>-14.454953271028037</v>
      </c>
    </row>
    <row r="617">
      <c r="A617" s="47">
        <v>1.1239870802E10</v>
      </c>
      <c r="B617" s="48">
        <v>46158.63928240741</v>
      </c>
      <c r="C617" s="30">
        <v>3.854095421E9</v>
      </c>
      <c r="D617" s="47" t="s">
        <v>1512</v>
      </c>
      <c r="E617" s="30">
        <v>2187.0</v>
      </c>
      <c r="F617" s="30">
        <v>1740.0</v>
      </c>
      <c r="G617" s="30">
        <v>0.0</v>
      </c>
      <c r="H617" s="30">
        <v>0.0</v>
      </c>
      <c r="I617" s="30">
        <v>108.2565</v>
      </c>
      <c r="J617" s="30">
        <v>0.0</v>
      </c>
      <c r="K617" s="30">
        <v>0.0</v>
      </c>
      <c r="L617" s="30">
        <v>0.0</v>
      </c>
      <c r="M617" s="30">
        <v>0.0</v>
      </c>
      <c r="N617" s="30">
        <v>364.5</v>
      </c>
      <c r="O617" s="30">
        <v>-25.756500000000017</v>
      </c>
      <c r="P617" s="30">
        <v>-1.1777091906721544</v>
      </c>
      <c r="Q617" s="30">
        <v>-1.4132510288065854</v>
      </c>
    </row>
    <row r="618">
      <c r="A618" s="47">
        <v>1.1239458746E10</v>
      </c>
      <c r="B618" s="48">
        <v>46158.51917824074</v>
      </c>
      <c r="C618" s="30">
        <v>3.853715193E9</v>
      </c>
      <c r="D618" s="47" t="s">
        <v>1512</v>
      </c>
      <c r="E618" s="30">
        <v>5103.0</v>
      </c>
      <c r="F618" s="30">
        <v>4060.0</v>
      </c>
      <c r="G618" s="30">
        <v>0.0</v>
      </c>
      <c r="H618" s="30">
        <v>0.0</v>
      </c>
      <c r="I618" s="30">
        <v>225.04229999999998</v>
      </c>
      <c r="J618" s="30">
        <v>0.0</v>
      </c>
      <c r="K618" s="30">
        <v>0.0</v>
      </c>
      <c r="L618" s="30">
        <v>0.0</v>
      </c>
      <c r="M618" s="30">
        <v>0.0</v>
      </c>
      <c r="N618" s="30">
        <v>850.5</v>
      </c>
      <c r="O618" s="30">
        <v>-32.542299999999955</v>
      </c>
      <c r="P618" s="30">
        <v>-0.6377091906721527</v>
      </c>
      <c r="Q618" s="30">
        <v>-0.7652510288065832</v>
      </c>
    </row>
    <row r="619">
      <c r="A619" s="47">
        <v>1.1243812675E10</v>
      </c>
      <c r="B619" s="48">
        <v>46159.805497685185</v>
      </c>
      <c r="C619" s="30">
        <v>3.857230707E9</v>
      </c>
      <c r="D619" s="47" t="s">
        <v>1512</v>
      </c>
      <c r="E619" s="30">
        <v>768.0</v>
      </c>
      <c r="F619" s="30">
        <v>580.0</v>
      </c>
      <c r="G619" s="30">
        <v>0.0</v>
      </c>
      <c r="H619" s="30">
        <v>0.0</v>
      </c>
      <c r="I619" s="30">
        <v>38.016000000000005</v>
      </c>
      <c r="J619" s="30">
        <v>0.0</v>
      </c>
      <c r="K619" s="30">
        <v>0.0</v>
      </c>
      <c r="L619" s="30">
        <v>0.0</v>
      </c>
      <c r="M619" s="30">
        <v>0.0</v>
      </c>
      <c r="N619" s="30">
        <v>128.0</v>
      </c>
      <c r="O619" s="30">
        <v>21.98399999999998</v>
      </c>
      <c r="P619" s="30">
        <v>2.862499999999997</v>
      </c>
      <c r="Q619" s="30">
        <v>3.434999999999997</v>
      </c>
    </row>
    <row r="620">
      <c r="A620" s="47">
        <v>1.1244533862E10</v>
      </c>
      <c r="B620" s="48">
        <v>46159.939409722225</v>
      </c>
      <c r="C620" s="30">
        <v>3.85771228E9</v>
      </c>
      <c r="D620" s="47" t="s">
        <v>1512</v>
      </c>
      <c r="E620" s="30">
        <v>1458.0</v>
      </c>
      <c r="F620" s="30">
        <v>1160.0</v>
      </c>
      <c r="G620" s="30">
        <v>0.0</v>
      </c>
      <c r="H620" s="30">
        <v>0.0</v>
      </c>
      <c r="I620" s="30">
        <v>64.29780000000001</v>
      </c>
      <c r="J620" s="30">
        <v>0.0</v>
      </c>
      <c r="K620" s="30">
        <v>0.0</v>
      </c>
      <c r="L620" s="30">
        <v>0.0</v>
      </c>
      <c r="M620" s="30">
        <v>0.0</v>
      </c>
      <c r="N620" s="30">
        <v>243.0</v>
      </c>
      <c r="O620" s="30">
        <v>-9.297799999999995</v>
      </c>
      <c r="P620" s="30">
        <v>-0.6377091906721534</v>
      </c>
      <c r="Q620" s="30">
        <v>-0.765251028806584</v>
      </c>
    </row>
    <row r="621">
      <c r="A621" s="47">
        <v>1.1244829226E10</v>
      </c>
      <c r="B621" s="48">
        <v>46159.99260416667</v>
      </c>
      <c r="C621" s="30">
        <v>3.859904291E9</v>
      </c>
      <c r="D621" s="47" t="s">
        <v>1512</v>
      </c>
      <c r="E621" s="30">
        <v>6144.0</v>
      </c>
      <c r="F621" s="30">
        <v>4640.0</v>
      </c>
      <c r="G621" s="30">
        <v>0.0</v>
      </c>
      <c r="H621" s="30">
        <v>0.0</v>
      </c>
      <c r="I621" s="30">
        <v>226.7136</v>
      </c>
      <c r="J621" s="30">
        <v>0.0</v>
      </c>
      <c r="K621" s="30">
        <v>0.0</v>
      </c>
      <c r="L621" s="30">
        <v>0.0</v>
      </c>
      <c r="M621" s="30">
        <v>0.0</v>
      </c>
      <c r="N621" s="30">
        <v>1024.0</v>
      </c>
      <c r="O621" s="30">
        <v>253.28639999999996</v>
      </c>
      <c r="P621" s="30">
        <v>4.122499999999999</v>
      </c>
      <c r="Q621" s="30">
        <v>4.946999999999999</v>
      </c>
    </row>
    <row r="622">
      <c r="A622" s="47">
        <v>1.124077908E10</v>
      </c>
      <c r="B622" s="48">
        <v>46158.82846064815</v>
      </c>
      <c r="C622" s="30">
        <v>3.854811741E9</v>
      </c>
      <c r="D622" s="47" t="s">
        <v>1512</v>
      </c>
      <c r="E622" s="30">
        <v>5144.0</v>
      </c>
      <c r="F622" s="30">
        <v>4710.0</v>
      </c>
      <c r="G622" s="30">
        <v>0.0</v>
      </c>
      <c r="H622" s="30">
        <v>0.0</v>
      </c>
      <c r="I622" s="30">
        <v>162.05400000000003</v>
      </c>
      <c r="J622" s="30">
        <v>0.0</v>
      </c>
      <c r="K622" s="30">
        <v>0.0</v>
      </c>
      <c r="L622" s="30">
        <v>0.0</v>
      </c>
      <c r="M622" s="30">
        <v>0.0</v>
      </c>
      <c r="N622" s="30">
        <v>857.333333333333</v>
      </c>
      <c r="O622" s="30">
        <v>-585.3873333333331</v>
      </c>
      <c r="P622" s="30">
        <v>-11.380002592016584</v>
      </c>
      <c r="Q622" s="30">
        <v>-13.656003110419901</v>
      </c>
    </row>
    <row r="623">
      <c r="A623" s="47">
        <v>1.1240389325E10</v>
      </c>
      <c r="B623" s="48">
        <v>46158.74689814815</v>
      </c>
      <c r="C623" s="30">
        <v>3.854519929E9</v>
      </c>
      <c r="D623" s="47" t="s">
        <v>1512</v>
      </c>
      <c r="E623" s="30">
        <v>1635.99</v>
      </c>
      <c r="F623" s="30">
        <v>1296.0</v>
      </c>
      <c r="G623" s="30">
        <v>0.0</v>
      </c>
      <c r="H623" s="30">
        <v>0.0</v>
      </c>
      <c r="I623" s="30">
        <v>97.7202</v>
      </c>
      <c r="J623" s="30">
        <v>0.0</v>
      </c>
      <c r="K623" s="30">
        <v>0.0</v>
      </c>
      <c r="L623" s="30">
        <v>0.0</v>
      </c>
      <c r="M623" s="30">
        <v>0.0</v>
      </c>
      <c r="N623" s="30">
        <v>272.6649999999999</v>
      </c>
      <c r="O623" s="30">
        <v>-30.395199999999903</v>
      </c>
      <c r="P623" s="30">
        <v>-1.8579086669233862</v>
      </c>
      <c r="Q623" s="30">
        <v>-2.229490400308063</v>
      </c>
    </row>
    <row r="624">
      <c r="A624" s="47">
        <v>1.1238330896E10</v>
      </c>
      <c r="B624" s="48">
        <v>46157.97087962963</v>
      </c>
      <c r="C624" s="30">
        <v>3.852690842E9</v>
      </c>
      <c r="D624" s="47" t="s">
        <v>1509</v>
      </c>
      <c r="E624" s="30">
        <v>1291.0</v>
      </c>
      <c r="F624" s="30">
        <v>1190.0</v>
      </c>
      <c r="G624" s="30">
        <v>0.0</v>
      </c>
      <c r="H624" s="30">
        <v>0.0</v>
      </c>
      <c r="I624" s="30">
        <v>34.857</v>
      </c>
      <c r="J624" s="30">
        <v>0.0</v>
      </c>
      <c r="K624" s="30">
        <v>0.0</v>
      </c>
      <c r="L624" s="30">
        <v>0.0</v>
      </c>
      <c r="M624" s="30">
        <v>0.0</v>
      </c>
      <c r="N624" s="30">
        <v>215.16666666666652</v>
      </c>
      <c r="O624" s="30">
        <v>-149.02366666666651</v>
      </c>
      <c r="P624" s="30">
        <v>-11.543273947844037</v>
      </c>
      <c r="Q624" s="30">
        <v>-13.851928737412841</v>
      </c>
    </row>
    <row r="625">
      <c r="A625" s="47">
        <v>1.1236078482E10</v>
      </c>
      <c r="B625" s="48">
        <v>46157.45675925926</v>
      </c>
      <c r="C625" s="30">
        <v>3.850808785E9</v>
      </c>
      <c r="D625" s="47" t="s">
        <v>1509</v>
      </c>
      <c r="E625" s="30">
        <v>729.0</v>
      </c>
      <c r="F625" s="30">
        <v>580.0</v>
      </c>
      <c r="G625" s="30">
        <v>0.0</v>
      </c>
      <c r="H625" s="30">
        <v>0.0</v>
      </c>
      <c r="I625" s="30">
        <v>36.0855</v>
      </c>
      <c r="J625" s="30">
        <v>0.0</v>
      </c>
      <c r="K625" s="30">
        <v>0.0</v>
      </c>
      <c r="L625" s="30">
        <v>0.0</v>
      </c>
      <c r="M625" s="30">
        <v>0.0</v>
      </c>
      <c r="N625" s="30">
        <v>121.5</v>
      </c>
      <c r="O625" s="30">
        <v>-8.585499999999996</v>
      </c>
      <c r="P625" s="30">
        <v>-1.177709190672153</v>
      </c>
      <c r="Q625" s="30">
        <v>-1.4132510288065838</v>
      </c>
    </row>
    <row r="626">
      <c r="A626" s="47">
        <v>1.1234610095E10</v>
      </c>
      <c r="B626" s="48">
        <v>46156.878067129626</v>
      </c>
      <c r="C626" s="30">
        <v>3.849478902E9</v>
      </c>
      <c r="D626" s="47" t="s">
        <v>1509</v>
      </c>
      <c r="E626" s="30">
        <v>729.0</v>
      </c>
      <c r="F626" s="30">
        <v>580.0</v>
      </c>
      <c r="G626" s="30">
        <v>0.0</v>
      </c>
      <c r="H626" s="30">
        <v>0.0</v>
      </c>
      <c r="I626" s="30">
        <v>36.0855</v>
      </c>
      <c r="J626" s="30">
        <v>0.0</v>
      </c>
      <c r="K626" s="30">
        <v>0.0</v>
      </c>
      <c r="L626" s="30">
        <v>0.0</v>
      </c>
      <c r="M626" s="30">
        <v>0.0</v>
      </c>
      <c r="N626" s="30">
        <v>121.5</v>
      </c>
      <c r="O626" s="30">
        <v>-8.585499999999996</v>
      </c>
      <c r="P626" s="30">
        <v>-1.177709190672153</v>
      </c>
      <c r="Q626" s="30">
        <v>-1.4132510288065838</v>
      </c>
    </row>
    <row r="627">
      <c r="A627" s="47">
        <v>1.1235111563E10</v>
      </c>
      <c r="B627" s="48">
        <v>46156.97920138889</v>
      </c>
      <c r="C627" s="30">
        <v>3.849848778E9</v>
      </c>
      <c r="D627" s="47" t="s">
        <v>1509</v>
      </c>
      <c r="E627" s="30">
        <v>1297.9</v>
      </c>
      <c r="F627" s="30">
        <v>1190.0</v>
      </c>
      <c r="G627" s="30">
        <v>0.0</v>
      </c>
      <c r="H627" s="30">
        <v>0.0</v>
      </c>
      <c r="I627" s="30">
        <v>35.0433</v>
      </c>
      <c r="J627" s="30">
        <v>0.0</v>
      </c>
      <c r="K627" s="30">
        <v>0.0</v>
      </c>
      <c r="L627" s="30">
        <v>0.0</v>
      </c>
      <c r="M627" s="30">
        <v>0.0</v>
      </c>
      <c r="N627" s="30">
        <v>216.3166666666666</v>
      </c>
      <c r="O627" s="30">
        <v>-143.4599666666665</v>
      </c>
      <c r="P627" s="30">
        <v>-11.053237280735534</v>
      </c>
      <c r="Q627" s="30">
        <v>-13.26388473688264</v>
      </c>
    </row>
    <row r="628">
      <c r="A628" s="47">
        <v>1.1238187444E10</v>
      </c>
      <c r="B628" s="48">
        <v>46157.943333333336</v>
      </c>
      <c r="C628" s="30">
        <v>3.852590911E9</v>
      </c>
      <c r="D628" s="47" t="s">
        <v>1509</v>
      </c>
      <c r="E628" s="30">
        <v>1291.0</v>
      </c>
      <c r="F628" s="30">
        <v>1190.0</v>
      </c>
      <c r="G628" s="30">
        <v>0.0</v>
      </c>
      <c r="H628" s="30">
        <v>0.0</v>
      </c>
      <c r="I628" s="30">
        <v>34.857</v>
      </c>
      <c r="J628" s="30">
        <v>0.0</v>
      </c>
      <c r="K628" s="30">
        <v>0.0</v>
      </c>
      <c r="L628" s="30">
        <v>0.0</v>
      </c>
      <c r="M628" s="30">
        <v>0.0</v>
      </c>
      <c r="N628" s="30">
        <v>215.16666666666652</v>
      </c>
      <c r="O628" s="30">
        <v>-149.02366666666651</v>
      </c>
      <c r="P628" s="30">
        <v>-11.543273947844037</v>
      </c>
      <c r="Q628" s="30">
        <v>-13.851928737412841</v>
      </c>
    </row>
    <row r="629">
      <c r="A629" s="47">
        <v>1.1237854512E10</v>
      </c>
      <c r="B629" s="48">
        <v>46157.87986111111</v>
      </c>
      <c r="C629" s="30">
        <v>3.852366764E9</v>
      </c>
      <c r="D629" s="47" t="s">
        <v>1509</v>
      </c>
      <c r="E629" s="30">
        <v>1291.0</v>
      </c>
      <c r="F629" s="30">
        <v>1190.0</v>
      </c>
      <c r="G629" s="30">
        <v>0.0</v>
      </c>
      <c r="H629" s="30">
        <v>0.0</v>
      </c>
      <c r="I629" s="30">
        <v>34.857</v>
      </c>
      <c r="J629" s="30">
        <v>0.0</v>
      </c>
      <c r="K629" s="30">
        <v>0.0</v>
      </c>
      <c r="L629" s="30">
        <v>0.0</v>
      </c>
      <c r="M629" s="30">
        <v>0.0</v>
      </c>
      <c r="N629" s="30">
        <v>215.16666666666652</v>
      </c>
      <c r="O629" s="30">
        <v>-149.02366666666651</v>
      </c>
      <c r="P629" s="30">
        <v>-11.543273947844037</v>
      </c>
      <c r="Q629" s="30">
        <v>-13.851928737412841</v>
      </c>
    </row>
    <row r="630">
      <c r="A630" s="47">
        <v>1.1232234293E10</v>
      </c>
      <c r="B630" s="48">
        <v>46156.03873842592</v>
      </c>
      <c r="C630" s="30">
        <v>3.847277586E9</v>
      </c>
      <c r="D630" s="47" t="s">
        <v>1509</v>
      </c>
      <c r="E630" s="30">
        <v>1261.99</v>
      </c>
      <c r="F630" s="30">
        <v>1165.0</v>
      </c>
      <c r="G630" s="30">
        <v>0.0</v>
      </c>
      <c r="H630" s="30">
        <v>0.0</v>
      </c>
      <c r="I630" s="30">
        <v>45.431639999999994</v>
      </c>
      <c r="J630" s="30">
        <v>0.0</v>
      </c>
      <c r="K630" s="30">
        <v>0.0</v>
      </c>
      <c r="L630" s="30">
        <v>0.0</v>
      </c>
      <c r="M630" s="30">
        <v>0.0</v>
      </c>
      <c r="N630" s="30">
        <v>210.3316666666667</v>
      </c>
      <c r="O630" s="30">
        <v>-158.77330666666668</v>
      </c>
      <c r="P630" s="30">
        <v>-12.58118579914791</v>
      </c>
      <c r="Q630" s="30">
        <v>-15.097422958977491</v>
      </c>
    </row>
    <row r="631">
      <c r="A631" s="47">
        <v>1.1244734653E10</v>
      </c>
      <c r="B631" s="48">
        <v>46159.97550925926</v>
      </c>
      <c r="C631" s="30">
        <v>3.857857055E9</v>
      </c>
      <c r="D631" s="47" t="s">
        <v>1512</v>
      </c>
      <c r="E631" s="30">
        <v>319.0</v>
      </c>
      <c r="F631" s="30">
        <v>180.0</v>
      </c>
      <c r="G631" s="30">
        <v>0.0</v>
      </c>
      <c r="H631" s="30">
        <v>0.0</v>
      </c>
      <c r="I631" s="30">
        <v>47.3715</v>
      </c>
      <c r="J631" s="30">
        <v>0.0</v>
      </c>
      <c r="K631" s="30">
        <v>0.0</v>
      </c>
      <c r="L631" s="30">
        <v>0.0</v>
      </c>
      <c r="M631" s="30">
        <v>0.0</v>
      </c>
      <c r="N631" s="30">
        <v>53.16666666666663</v>
      </c>
      <c r="O631" s="30">
        <v>38.461833333333374</v>
      </c>
      <c r="P631" s="30">
        <v>12.057001044932091</v>
      </c>
      <c r="Q631" s="30">
        <v>14.46840125391851</v>
      </c>
    </row>
    <row r="632">
      <c r="A632" s="47">
        <v>1.1241015659E10</v>
      </c>
      <c r="B632" s="48">
        <v>46158.87688657407</v>
      </c>
      <c r="C632" s="30">
        <v>3.854974406E9</v>
      </c>
      <c r="D632" s="47" t="s">
        <v>1512</v>
      </c>
      <c r="E632" s="30">
        <v>319.0</v>
      </c>
      <c r="F632" s="30">
        <v>180.0</v>
      </c>
      <c r="G632" s="30">
        <v>0.0</v>
      </c>
      <c r="H632" s="30">
        <v>0.0</v>
      </c>
      <c r="I632" s="30">
        <v>47.3715</v>
      </c>
      <c r="J632" s="30">
        <v>0.0</v>
      </c>
      <c r="K632" s="30">
        <v>0.0</v>
      </c>
      <c r="L632" s="30">
        <v>0.0</v>
      </c>
      <c r="M632" s="30">
        <v>0.0</v>
      </c>
      <c r="N632" s="30">
        <v>53.16666666666663</v>
      </c>
      <c r="O632" s="30">
        <v>38.461833333333374</v>
      </c>
      <c r="P632" s="30">
        <v>12.057001044932091</v>
      </c>
      <c r="Q632" s="30">
        <v>14.46840125391851</v>
      </c>
    </row>
    <row r="633">
      <c r="A633" s="47">
        <v>1.1244008018E10</v>
      </c>
      <c r="B633" s="48">
        <v>46159.84290509259</v>
      </c>
      <c r="C633" s="30">
        <v>3.857366065E9</v>
      </c>
      <c r="D633" s="47" t="s">
        <v>1512</v>
      </c>
      <c r="E633" s="30">
        <v>71.0</v>
      </c>
      <c r="F633" s="30">
        <v>0.0</v>
      </c>
      <c r="G633" s="30">
        <v>0.0</v>
      </c>
      <c r="H633" s="30">
        <v>0.0</v>
      </c>
      <c r="I633" s="30">
        <v>1.9170000000000003</v>
      </c>
      <c r="J633" s="30">
        <v>0.0</v>
      </c>
      <c r="K633" s="30">
        <v>0.0</v>
      </c>
      <c r="L633" s="30">
        <v>0.0</v>
      </c>
      <c r="M633" s="30">
        <v>0.0</v>
      </c>
      <c r="N633" s="30">
        <v>11.833333333333329</v>
      </c>
      <c r="O633" s="30">
        <v>57.24966666666667</v>
      </c>
      <c r="P633" s="30">
        <v>80.63333333333334</v>
      </c>
      <c r="Q633" s="30">
        <v>96.76</v>
      </c>
    </row>
    <row r="634">
      <c r="A634" s="47">
        <v>1.1245048369E10</v>
      </c>
      <c r="B634" s="48">
        <v>46160.03103009259</v>
      </c>
      <c r="C634" s="30">
        <v>3.858107966E9</v>
      </c>
      <c r="D634" s="47" t="s">
        <v>1512</v>
      </c>
      <c r="E634" s="30">
        <v>729.0</v>
      </c>
      <c r="F634" s="30">
        <v>580.0</v>
      </c>
      <c r="G634" s="30">
        <v>0.0</v>
      </c>
      <c r="H634" s="30">
        <v>0.0</v>
      </c>
      <c r="I634" s="30">
        <v>32.148900000000005</v>
      </c>
      <c r="J634" s="30">
        <v>0.0</v>
      </c>
      <c r="K634" s="30">
        <v>0.0</v>
      </c>
      <c r="L634" s="30">
        <v>0.0</v>
      </c>
      <c r="M634" s="30">
        <v>0.0</v>
      </c>
      <c r="N634" s="30">
        <v>121.5</v>
      </c>
      <c r="O634" s="30">
        <v>-4.648899999999998</v>
      </c>
      <c r="P634" s="30">
        <v>-0.6377091906721534</v>
      </c>
      <c r="Q634" s="30">
        <v>-0.765251028806584</v>
      </c>
    </row>
    <row r="635">
      <c r="A635" s="47">
        <v>1.1239581374E10</v>
      </c>
      <c r="B635" s="48">
        <v>46158.56414351852</v>
      </c>
      <c r="C635" s="30">
        <v>3.853833543E9</v>
      </c>
      <c r="D635" s="47" t="s">
        <v>1512</v>
      </c>
      <c r="E635" s="30">
        <v>729.0</v>
      </c>
      <c r="F635" s="30">
        <v>580.0</v>
      </c>
      <c r="G635" s="30">
        <v>0.0</v>
      </c>
      <c r="H635" s="30">
        <v>0.0</v>
      </c>
      <c r="I635" s="30">
        <v>32.148900000000005</v>
      </c>
      <c r="J635" s="30">
        <v>0.0</v>
      </c>
      <c r="K635" s="30">
        <v>0.0</v>
      </c>
      <c r="L635" s="30">
        <v>0.0</v>
      </c>
      <c r="M635" s="30">
        <v>0.0</v>
      </c>
      <c r="N635" s="30">
        <v>121.5</v>
      </c>
      <c r="O635" s="30">
        <v>-4.648899999999998</v>
      </c>
      <c r="P635" s="30">
        <v>-0.6377091906721534</v>
      </c>
      <c r="Q635" s="30">
        <v>-0.765251028806584</v>
      </c>
    </row>
    <row r="636">
      <c r="A636" s="47">
        <v>1.1243172942E10</v>
      </c>
      <c r="B636" s="48">
        <v>46159.67704861111</v>
      </c>
      <c r="C636" s="30">
        <v>3.85674011E9</v>
      </c>
      <c r="D636" s="47" t="s">
        <v>1512</v>
      </c>
      <c r="E636" s="30">
        <v>729.0</v>
      </c>
      <c r="F636" s="30">
        <v>580.0</v>
      </c>
      <c r="G636" s="30">
        <v>0.0</v>
      </c>
      <c r="H636" s="30">
        <v>0.0</v>
      </c>
      <c r="I636" s="30">
        <v>32.148900000000005</v>
      </c>
      <c r="J636" s="30">
        <v>0.0</v>
      </c>
      <c r="K636" s="30">
        <v>0.0</v>
      </c>
      <c r="L636" s="30">
        <v>0.0</v>
      </c>
      <c r="M636" s="30">
        <v>0.0</v>
      </c>
      <c r="N636" s="30">
        <v>121.5</v>
      </c>
      <c r="O636" s="30">
        <v>-4.648899999999998</v>
      </c>
      <c r="P636" s="30">
        <v>-0.6377091906721534</v>
      </c>
      <c r="Q636" s="30">
        <v>-0.765251028806584</v>
      </c>
    </row>
    <row r="637">
      <c r="A637" s="47">
        <v>1.1239738868E10</v>
      </c>
      <c r="B637" s="48">
        <v>46158.60811342593</v>
      </c>
      <c r="C637" s="30">
        <v>3.85397871E9</v>
      </c>
      <c r="D637" s="47" t="s">
        <v>1512</v>
      </c>
      <c r="E637" s="30">
        <v>729.0</v>
      </c>
      <c r="F637" s="30">
        <v>580.0</v>
      </c>
      <c r="G637" s="30">
        <v>0.0</v>
      </c>
      <c r="H637" s="30">
        <v>0.0</v>
      </c>
      <c r="I637" s="30">
        <v>32.148900000000005</v>
      </c>
      <c r="J637" s="30">
        <v>0.0</v>
      </c>
      <c r="K637" s="30">
        <v>0.0</v>
      </c>
      <c r="L637" s="30">
        <v>0.0</v>
      </c>
      <c r="M637" s="30">
        <v>0.0</v>
      </c>
      <c r="N637" s="30">
        <v>121.5</v>
      </c>
      <c r="O637" s="30">
        <v>-4.648899999999998</v>
      </c>
      <c r="P637" s="30">
        <v>-0.6377091906721534</v>
      </c>
      <c r="Q637" s="30">
        <v>-0.765251028806584</v>
      </c>
    </row>
    <row r="638">
      <c r="A638" s="47">
        <v>1.1241746253E10</v>
      </c>
      <c r="B638" s="48">
        <v>46159.02355324074</v>
      </c>
      <c r="C638" s="30">
        <v>3.85548149E9</v>
      </c>
      <c r="D638" s="47" t="s">
        <v>1512</v>
      </c>
      <c r="E638" s="30">
        <v>1284.0</v>
      </c>
      <c r="F638" s="30">
        <v>1190.0</v>
      </c>
      <c r="G638" s="30">
        <v>0.0</v>
      </c>
      <c r="H638" s="30">
        <v>0.0</v>
      </c>
      <c r="I638" s="30">
        <v>34.668</v>
      </c>
      <c r="J638" s="30">
        <v>0.0</v>
      </c>
      <c r="K638" s="30">
        <v>0.0</v>
      </c>
      <c r="L638" s="30">
        <v>0.0</v>
      </c>
      <c r="M638" s="30">
        <v>0.0</v>
      </c>
      <c r="N638" s="30">
        <v>214.0</v>
      </c>
      <c r="O638" s="30">
        <v>-154.668</v>
      </c>
      <c r="P638" s="30">
        <v>-12.045794392523366</v>
      </c>
      <c r="Q638" s="30">
        <v>-14.454953271028037</v>
      </c>
    </row>
    <row r="639">
      <c r="A639" s="47">
        <v>1.124229819E10</v>
      </c>
      <c r="B639" s="48">
        <v>46159.15048611111</v>
      </c>
      <c r="C639" s="30">
        <v>3.855970569E9</v>
      </c>
      <c r="D639" s="47" t="s">
        <v>1512</v>
      </c>
      <c r="E639" s="30">
        <v>1458.0</v>
      </c>
      <c r="F639" s="30">
        <v>1160.0</v>
      </c>
      <c r="G639" s="30">
        <v>0.0</v>
      </c>
      <c r="H639" s="30">
        <v>0.0</v>
      </c>
      <c r="I639" s="30">
        <v>64.29780000000001</v>
      </c>
      <c r="J639" s="30">
        <v>0.0</v>
      </c>
      <c r="K639" s="30">
        <v>0.0</v>
      </c>
      <c r="L639" s="30">
        <v>0.0</v>
      </c>
      <c r="M639" s="30">
        <v>0.0</v>
      </c>
      <c r="N639" s="30">
        <v>243.0</v>
      </c>
      <c r="O639" s="30">
        <v>-9.297799999999995</v>
      </c>
      <c r="P639" s="30">
        <v>-0.6377091906721534</v>
      </c>
      <c r="Q639" s="30">
        <v>-0.765251028806584</v>
      </c>
    </row>
    <row r="640">
      <c r="A640" s="47">
        <v>1.1243270003E10</v>
      </c>
      <c r="B640" s="48">
        <v>46159.69693287037</v>
      </c>
      <c r="C640" s="30">
        <v>3.856819611E9</v>
      </c>
      <c r="D640" s="47" t="s">
        <v>1512</v>
      </c>
      <c r="E640" s="30">
        <v>768.0</v>
      </c>
      <c r="F640" s="30">
        <v>580.0</v>
      </c>
      <c r="G640" s="30">
        <v>0.0</v>
      </c>
      <c r="H640" s="30">
        <v>0.0</v>
      </c>
      <c r="I640" s="30">
        <v>38.016000000000005</v>
      </c>
      <c r="J640" s="30">
        <v>0.0</v>
      </c>
      <c r="K640" s="30">
        <v>0.0</v>
      </c>
      <c r="L640" s="30">
        <v>0.0</v>
      </c>
      <c r="M640" s="30">
        <v>0.0</v>
      </c>
      <c r="N640" s="30">
        <v>128.0</v>
      </c>
      <c r="O640" s="30">
        <v>21.98399999999998</v>
      </c>
      <c r="P640" s="30">
        <v>2.862499999999997</v>
      </c>
      <c r="Q640" s="30">
        <v>3.434999999999997</v>
      </c>
    </row>
    <row r="641">
      <c r="A641" s="47">
        <v>1.1237832873E10</v>
      </c>
      <c r="B641" s="48">
        <v>46157.875868055555</v>
      </c>
      <c r="C641" s="30">
        <v>3.852349324E9</v>
      </c>
      <c r="D641" s="47" t="s">
        <v>1509</v>
      </c>
      <c r="E641" s="30">
        <v>1291.0</v>
      </c>
      <c r="F641" s="30">
        <v>1190.0</v>
      </c>
      <c r="G641" s="30">
        <v>0.0</v>
      </c>
      <c r="H641" s="30">
        <v>0.0</v>
      </c>
      <c r="I641" s="30">
        <v>34.857</v>
      </c>
      <c r="J641" s="30">
        <v>0.0</v>
      </c>
      <c r="K641" s="30">
        <v>0.0</v>
      </c>
      <c r="L641" s="30">
        <v>0.0</v>
      </c>
      <c r="M641" s="30">
        <v>0.0</v>
      </c>
      <c r="N641" s="30">
        <v>215.16666666666652</v>
      </c>
      <c r="O641" s="30">
        <v>-149.02366666666651</v>
      </c>
      <c r="P641" s="30">
        <v>-11.543273947844037</v>
      </c>
      <c r="Q641" s="30">
        <v>-13.851928737412841</v>
      </c>
    </row>
    <row r="642">
      <c r="A642" s="47">
        <v>1.1238019481E10</v>
      </c>
      <c r="B642" s="48">
        <v>46157.91159722222</v>
      </c>
      <c r="C642" s="30">
        <v>3.852474801E9</v>
      </c>
      <c r="D642" s="47" t="s">
        <v>1509</v>
      </c>
      <c r="E642" s="30">
        <v>852.0</v>
      </c>
      <c r="F642" s="30">
        <v>300.0</v>
      </c>
      <c r="G642" s="30">
        <v>0.0</v>
      </c>
      <c r="H642" s="30">
        <v>0.0</v>
      </c>
      <c r="I642" s="30">
        <v>123.45479999999999</v>
      </c>
      <c r="J642" s="30">
        <v>0.0</v>
      </c>
      <c r="K642" s="30">
        <v>0.0</v>
      </c>
      <c r="L642" s="30">
        <v>0.0</v>
      </c>
      <c r="M642" s="30">
        <v>0.0</v>
      </c>
      <c r="N642" s="30">
        <v>142.0</v>
      </c>
      <c r="O642" s="30">
        <v>286.5452</v>
      </c>
      <c r="P642" s="30">
        <v>33.63206572769953</v>
      </c>
      <c r="Q642" s="30">
        <v>40.35847887323944</v>
      </c>
    </row>
    <row r="643">
      <c r="A643" s="47">
        <v>1.1233157164E10</v>
      </c>
      <c r="B643" s="48">
        <v>46156.56083333334</v>
      </c>
      <c r="C643" s="30">
        <v>3.851685573E9</v>
      </c>
      <c r="D643" s="47" t="s">
        <v>1509</v>
      </c>
      <c r="E643" s="30">
        <v>5832.0</v>
      </c>
      <c r="F643" s="30">
        <v>4640.0</v>
      </c>
      <c r="G643" s="30">
        <v>0.0</v>
      </c>
      <c r="H643" s="30">
        <v>0.0</v>
      </c>
      <c r="I643" s="30">
        <v>288.684</v>
      </c>
      <c r="J643" s="30">
        <v>0.0</v>
      </c>
      <c r="K643" s="30">
        <v>0.0</v>
      </c>
      <c r="L643" s="30">
        <v>0.0</v>
      </c>
      <c r="M643" s="30">
        <v>0.0</v>
      </c>
      <c r="N643" s="30">
        <v>972.0</v>
      </c>
      <c r="O643" s="30">
        <v>-68.68399999999997</v>
      </c>
      <c r="P643" s="30">
        <v>-1.177709190672153</v>
      </c>
      <c r="Q643" s="30">
        <v>-1.4132510288065838</v>
      </c>
    </row>
    <row r="644">
      <c r="A644" s="47">
        <v>1.1233157164E10</v>
      </c>
      <c r="B644" s="48">
        <v>46156.56083333334</v>
      </c>
      <c r="C644" s="30">
        <v>3.851684952E9</v>
      </c>
      <c r="D644" s="47" t="s">
        <v>1509</v>
      </c>
      <c r="E644" s="30">
        <v>3645.0</v>
      </c>
      <c r="F644" s="30">
        <v>2900.0</v>
      </c>
      <c r="G644" s="30">
        <v>0.0</v>
      </c>
      <c r="H644" s="30">
        <v>0.0</v>
      </c>
      <c r="I644" s="30">
        <v>180.4275</v>
      </c>
      <c r="J644" s="30">
        <v>0.0</v>
      </c>
      <c r="K644" s="30">
        <v>0.0</v>
      </c>
      <c r="L644" s="30">
        <v>0.0</v>
      </c>
      <c r="M644" s="30">
        <v>0.0</v>
      </c>
      <c r="N644" s="30">
        <v>607.5</v>
      </c>
      <c r="O644" s="30">
        <v>-42.92750000000001</v>
      </c>
      <c r="P644" s="30">
        <v>-1.1777091906721537</v>
      </c>
      <c r="Q644" s="30">
        <v>-1.4132510288065847</v>
      </c>
    </row>
    <row r="645">
      <c r="A645" s="47">
        <v>1.1233157164E10</v>
      </c>
      <c r="B645" s="48">
        <v>46156.56083333334</v>
      </c>
      <c r="C645" s="30">
        <v>3.851685574E9</v>
      </c>
      <c r="D645" s="47" t="s">
        <v>1509</v>
      </c>
      <c r="E645" s="30">
        <v>5832.0</v>
      </c>
      <c r="F645" s="30">
        <v>4640.0</v>
      </c>
      <c r="G645" s="30">
        <v>0.0</v>
      </c>
      <c r="H645" s="30">
        <v>0.0</v>
      </c>
      <c r="I645" s="30">
        <v>288.684</v>
      </c>
      <c r="J645" s="30">
        <v>0.0</v>
      </c>
      <c r="K645" s="30">
        <v>0.0</v>
      </c>
      <c r="L645" s="30">
        <v>0.0</v>
      </c>
      <c r="M645" s="30">
        <v>0.0</v>
      </c>
      <c r="N645" s="30">
        <v>972.0</v>
      </c>
      <c r="O645" s="30">
        <v>-68.68399999999997</v>
      </c>
      <c r="P645" s="30">
        <v>-1.177709190672153</v>
      </c>
      <c r="Q645" s="30">
        <v>-1.4132510288065838</v>
      </c>
    </row>
    <row r="646">
      <c r="A646" s="47">
        <v>1.123706484E10</v>
      </c>
      <c r="B646" s="48">
        <v>46157.71690972222</v>
      </c>
      <c r="C646" s="30">
        <v>3.85172709E9</v>
      </c>
      <c r="D646" s="47" t="s">
        <v>1509</v>
      </c>
      <c r="E646" s="30">
        <v>727.0</v>
      </c>
      <c r="F646" s="30">
        <v>580.0</v>
      </c>
      <c r="G646" s="30">
        <v>0.0</v>
      </c>
      <c r="H646" s="30">
        <v>0.0</v>
      </c>
      <c r="I646" s="30">
        <v>32.060700000000004</v>
      </c>
      <c r="J646" s="30">
        <v>0.0</v>
      </c>
      <c r="K646" s="30">
        <v>0.0</v>
      </c>
      <c r="L646" s="30">
        <v>0.0</v>
      </c>
      <c r="M646" s="30">
        <v>0.0</v>
      </c>
      <c r="N646" s="30">
        <v>121.16666666666663</v>
      </c>
      <c r="O646" s="30">
        <v>-6.227366666666626</v>
      </c>
      <c r="P646" s="30">
        <v>-0.8565841357175551</v>
      </c>
      <c r="Q646" s="30">
        <v>-1.027900962861066</v>
      </c>
    </row>
    <row r="647">
      <c r="A647" s="47">
        <v>1.1237239413E10</v>
      </c>
      <c r="B647" s="48">
        <v>46157.75266203703</v>
      </c>
      <c r="C647" s="30">
        <v>3.851878787E9</v>
      </c>
      <c r="D647" s="47" t="s">
        <v>1509</v>
      </c>
      <c r="E647" s="30">
        <v>1458.0</v>
      </c>
      <c r="F647" s="30">
        <v>1160.0</v>
      </c>
      <c r="G647" s="30">
        <v>0.0</v>
      </c>
      <c r="H647" s="30">
        <v>0.0</v>
      </c>
      <c r="I647" s="30">
        <v>72.171</v>
      </c>
      <c r="J647" s="30">
        <v>0.0</v>
      </c>
      <c r="K647" s="30">
        <v>0.0</v>
      </c>
      <c r="L647" s="30">
        <v>0.0</v>
      </c>
      <c r="M647" s="30">
        <v>0.0</v>
      </c>
      <c r="N647" s="30">
        <v>243.0</v>
      </c>
      <c r="O647" s="30">
        <v>-17.170999999999992</v>
      </c>
      <c r="P647" s="30">
        <v>-1.177709190672153</v>
      </c>
      <c r="Q647" s="30">
        <v>-1.4132510288065838</v>
      </c>
    </row>
    <row r="648">
      <c r="A648" s="47">
        <v>1.1234745215E10</v>
      </c>
      <c r="B648" s="48">
        <v>46156.90511574074</v>
      </c>
      <c r="C648" s="30">
        <v>3.849574946E9</v>
      </c>
      <c r="D648" s="47" t="s">
        <v>1509</v>
      </c>
      <c r="E648" s="30">
        <v>727.0</v>
      </c>
      <c r="F648" s="30">
        <v>580.0</v>
      </c>
      <c r="G648" s="30">
        <v>0.0</v>
      </c>
      <c r="H648" s="30">
        <v>0.0</v>
      </c>
      <c r="I648" s="30">
        <v>32.060700000000004</v>
      </c>
      <c r="J648" s="30">
        <v>0.0</v>
      </c>
      <c r="K648" s="30">
        <v>0.0</v>
      </c>
      <c r="L648" s="30">
        <v>0.0</v>
      </c>
      <c r="M648" s="30">
        <v>0.0</v>
      </c>
      <c r="N648" s="30">
        <v>121.16666666666663</v>
      </c>
      <c r="O648" s="30">
        <v>-6.227366666666626</v>
      </c>
      <c r="P648" s="30">
        <v>-0.8565841357175551</v>
      </c>
      <c r="Q648" s="30">
        <v>-1.027900962861066</v>
      </c>
    </row>
    <row r="649">
      <c r="A649" s="47">
        <v>1.1244829226E10</v>
      </c>
      <c r="B649" s="48">
        <v>46159.99260416667</v>
      </c>
      <c r="C649" s="30">
        <v>3.857928782E9</v>
      </c>
      <c r="D649" s="47" t="s">
        <v>1515</v>
      </c>
      <c r="E649" s="30">
        <v>7680.0</v>
      </c>
      <c r="F649" s="30">
        <v>5800.0</v>
      </c>
      <c r="G649" s="30">
        <v>0.0</v>
      </c>
      <c r="H649" s="30">
        <v>0.0</v>
      </c>
      <c r="I649" s="30">
        <v>283.392</v>
      </c>
      <c r="J649" s="30">
        <v>0.0</v>
      </c>
      <c r="K649" s="30">
        <v>0.0</v>
      </c>
      <c r="L649" s="30">
        <v>0.0</v>
      </c>
      <c r="M649" s="30">
        <v>0.0</v>
      </c>
      <c r="N649" s="30">
        <v>1280.0</v>
      </c>
      <c r="O649" s="30">
        <v>316.60799999999995</v>
      </c>
      <c r="P649" s="30">
        <v>4.122499999999999</v>
      </c>
      <c r="Q649" s="30">
        <v>4.946999999999999</v>
      </c>
    </row>
    <row r="650">
      <c r="A650" s="47">
        <v>1.1238642306E10</v>
      </c>
      <c r="B650" s="48">
        <v>46158.03040509259</v>
      </c>
      <c r="C650" s="30">
        <v>3.852933487E9</v>
      </c>
      <c r="D650" s="47" t="s">
        <v>1510</v>
      </c>
      <c r="E650" s="30">
        <v>1280.0</v>
      </c>
      <c r="F650" s="30">
        <v>1165.0</v>
      </c>
      <c r="G650" s="30">
        <v>0.0</v>
      </c>
      <c r="H650" s="30">
        <v>0.0</v>
      </c>
      <c r="I650" s="30">
        <v>46.08</v>
      </c>
      <c r="J650" s="30">
        <v>0.0</v>
      </c>
      <c r="K650" s="30">
        <v>0.0</v>
      </c>
      <c r="L650" s="30">
        <v>0.0</v>
      </c>
      <c r="M650" s="30">
        <v>0.0</v>
      </c>
      <c r="N650" s="30">
        <v>213.33333333333326</v>
      </c>
      <c r="O650" s="30">
        <v>-144.41333333333324</v>
      </c>
      <c r="P650" s="30">
        <v>-11.282291666666659</v>
      </c>
      <c r="Q650" s="30">
        <v>-13.538749999999991</v>
      </c>
    </row>
    <row r="651">
      <c r="A651" s="47">
        <v>1.1238533921E10</v>
      </c>
      <c r="B651" s="48">
        <v>46158.00925925926</v>
      </c>
      <c r="C651" s="30">
        <v>3.852846467E9</v>
      </c>
      <c r="D651" s="47" t="s">
        <v>1509</v>
      </c>
      <c r="E651" s="30">
        <v>545.0</v>
      </c>
      <c r="F651" s="30">
        <v>290.0</v>
      </c>
      <c r="G651" s="30">
        <v>0.0</v>
      </c>
      <c r="H651" s="30">
        <v>0.0</v>
      </c>
      <c r="I651" s="30">
        <v>66.2175</v>
      </c>
      <c r="J651" s="30">
        <v>0.0</v>
      </c>
      <c r="K651" s="30">
        <v>0.0</v>
      </c>
      <c r="L651" s="30">
        <v>0.0</v>
      </c>
      <c r="M651" s="30">
        <v>0.0</v>
      </c>
      <c r="N651" s="30">
        <v>90.83333333333331</v>
      </c>
      <c r="O651" s="30">
        <v>97.94916666666668</v>
      </c>
      <c r="P651" s="30">
        <v>17.97232415902141</v>
      </c>
      <c r="Q651" s="30">
        <v>21.566788990825692</v>
      </c>
    </row>
    <row r="652">
      <c r="A652" s="47">
        <v>1.1230082121E10</v>
      </c>
      <c r="B652" s="48">
        <v>46155.58949074074</v>
      </c>
      <c r="C652" s="30">
        <v>3.845469327E9</v>
      </c>
      <c r="D652" s="47" t="s">
        <v>1509</v>
      </c>
      <c r="E652" s="30">
        <v>1880.0</v>
      </c>
      <c r="F652" s="30">
        <v>1535.52</v>
      </c>
      <c r="G652" s="30">
        <v>0.0</v>
      </c>
      <c r="H652" s="30">
        <v>0.0</v>
      </c>
      <c r="I652" s="30">
        <v>81.21600000000001</v>
      </c>
      <c r="J652" s="30">
        <v>0.0</v>
      </c>
      <c r="K652" s="30">
        <v>0.0</v>
      </c>
      <c r="L652" s="30">
        <v>0.0</v>
      </c>
      <c r="M652" s="30">
        <v>0.0</v>
      </c>
      <c r="N652" s="30">
        <v>313.33333333333326</v>
      </c>
      <c r="O652" s="30">
        <v>-50.06933333333325</v>
      </c>
      <c r="P652" s="30">
        <v>-2.6632624113475134</v>
      </c>
      <c r="Q652" s="30">
        <v>-3.1959148936170156</v>
      </c>
    </row>
    <row r="653">
      <c r="A653" s="47">
        <v>1.1236373398E10</v>
      </c>
      <c r="B653" s="48">
        <v>46157.576273148145</v>
      </c>
      <c r="C653" s="30">
        <v>3.851135557E9</v>
      </c>
      <c r="D653" s="47" t="s">
        <v>1509</v>
      </c>
      <c r="E653" s="30">
        <v>659.0</v>
      </c>
      <c r="F653" s="30">
        <v>420.0</v>
      </c>
      <c r="G653" s="30">
        <v>0.0</v>
      </c>
      <c r="H653" s="30">
        <v>0.0</v>
      </c>
      <c r="I653" s="30">
        <v>97.86149999999999</v>
      </c>
      <c r="J653" s="30">
        <v>0.0</v>
      </c>
      <c r="K653" s="30">
        <v>0.0</v>
      </c>
      <c r="L653" s="30">
        <v>0.0</v>
      </c>
      <c r="M653" s="30">
        <v>0.0</v>
      </c>
      <c r="N653" s="30">
        <v>109.83333333333326</v>
      </c>
      <c r="O653" s="30">
        <v>31.305166666666764</v>
      </c>
      <c r="P653" s="30">
        <v>4.750404653515442</v>
      </c>
      <c r="Q653" s="30">
        <v>5.70048558421853</v>
      </c>
    </row>
    <row r="654">
      <c r="A654" s="47">
        <v>1.1233967614E10</v>
      </c>
      <c r="B654" s="48">
        <v>46156.73777777778</v>
      </c>
      <c r="C654" s="30">
        <v>3.84895992E9</v>
      </c>
      <c r="D654" s="47" t="s">
        <v>1509</v>
      </c>
      <c r="E654" s="30">
        <v>727.0</v>
      </c>
      <c r="F654" s="30">
        <v>580.0</v>
      </c>
      <c r="G654" s="30">
        <v>0.0</v>
      </c>
      <c r="H654" s="30">
        <v>0.0</v>
      </c>
      <c r="I654" s="30">
        <v>32.060700000000004</v>
      </c>
      <c r="J654" s="30">
        <v>0.0</v>
      </c>
      <c r="K654" s="30">
        <v>0.0</v>
      </c>
      <c r="L654" s="30">
        <v>0.0</v>
      </c>
      <c r="M654" s="30">
        <v>0.0</v>
      </c>
      <c r="N654" s="30">
        <v>121.16666666666663</v>
      </c>
      <c r="O654" s="30">
        <v>-6.227366666666626</v>
      </c>
      <c r="P654" s="30">
        <v>-0.8565841357175551</v>
      </c>
      <c r="Q654" s="30">
        <v>-1.027900962861066</v>
      </c>
    </row>
    <row r="655">
      <c r="A655" s="47">
        <v>1.1238823859E10</v>
      </c>
      <c r="B655" s="48">
        <v>46158.06861111111</v>
      </c>
      <c r="C655" s="30">
        <v>3.853094118E9</v>
      </c>
      <c r="D655" s="47" t="s">
        <v>1509</v>
      </c>
      <c r="E655" s="30">
        <v>729.0</v>
      </c>
      <c r="F655" s="30">
        <v>580.0</v>
      </c>
      <c r="G655" s="30">
        <v>0.0</v>
      </c>
      <c r="H655" s="30">
        <v>0.0</v>
      </c>
      <c r="I655" s="30">
        <v>36.0855</v>
      </c>
      <c r="J655" s="30">
        <v>0.0</v>
      </c>
      <c r="K655" s="30">
        <v>0.0</v>
      </c>
      <c r="L655" s="30">
        <v>0.0</v>
      </c>
      <c r="M655" s="30">
        <v>0.0</v>
      </c>
      <c r="N655" s="30">
        <v>121.5</v>
      </c>
      <c r="O655" s="30">
        <v>-8.585499999999996</v>
      </c>
      <c r="P655" s="30">
        <v>-1.177709190672153</v>
      </c>
      <c r="Q655" s="30">
        <v>-1.4132510288065838</v>
      </c>
    </row>
    <row r="656">
      <c r="A656" s="47">
        <v>1.1237717345E10</v>
      </c>
      <c r="B656" s="48">
        <v>46157.852326388886</v>
      </c>
      <c r="C656" s="30">
        <v>3.852268063E9</v>
      </c>
      <c r="D656" s="47" t="s">
        <v>1509</v>
      </c>
      <c r="E656" s="30">
        <v>729.0</v>
      </c>
      <c r="F656" s="30">
        <v>580.0</v>
      </c>
      <c r="G656" s="30">
        <v>0.0</v>
      </c>
      <c r="H656" s="30">
        <v>0.0</v>
      </c>
      <c r="I656" s="30">
        <v>36.0855</v>
      </c>
      <c r="J656" s="30">
        <v>0.0</v>
      </c>
      <c r="K656" s="30">
        <v>0.0</v>
      </c>
      <c r="L656" s="30">
        <v>0.0</v>
      </c>
      <c r="M656" s="30">
        <v>0.0</v>
      </c>
      <c r="N656" s="30">
        <v>121.5</v>
      </c>
      <c r="O656" s="30">
        <v>-8.585499999999996</v>
      </c>
      <c r="P656" s="30">
        <v>-1.177709190672153</v>
      </c>
      <c r="Q656" s="30">
        <v>-1.4132510288065838</v>
      </c>
    </row>
    <row r="657">
      <c r="A657" s="47">
        <v>1.1237921852E10</v>
      </c>
      <c r="B657" s="48">
        <v>46157.89304398148</v>
      </c>
      <c r="C657" s="30">
        <v>3.852412423E9</v>
      </c>
      <c r="D657" s="47" t="s">
        <v>1509</v>
      </c>
      <c r="E657" s="30">
        <v>768.0</v>
      </c>
      <c r="F657" s="30">
        <v>580.0</v>
      </c>
      <c r="G657" s="30">
        <v>0.0</v>
      </c>
      <c r="H657" s="30">
        <v>0.0</v>
      </c>
      <c r="I657" s="30">
        <v>38.016000000000005</v>
      </c>
      <c r="J657" s="30">
        <v>0.0</v>
      </c>
      <c r="K657" s="30">
        <v>0.0</v>
      </c>
      <c r="L657" s="30">
        <v>0.0</v>
      </c>
      <c r="M657" s="30">
        <v>0.0</v>
      </c>
      <c r="N657" s="30">
        <v>128.0</v>
      </c>
      <c r="O657" s="30">
        <v>21.98399999999998</v>
      </c>
      <c r="P657" s="30">
        <v>2.862499999999997</v>
      </c>
      <c r="Q657" s="30">
        <v>3.434999999999997</v>
      </c>
    </row>
    <row r="658">
      <c r="A658" s="47">
        <v>1.1238120911E10</v>
      </c>
      <c r="B658" s="48">
        <v>46157.93071759259</v>
      </c>
      <c r="C658" s="30">
        <v>3.852544915E9</v>
      </c>
      <c r="D658" s="47" t="s">
        <v>1509</v>
      </c>
      <c r="E658" s="30">
        <v>1291.0</v>
      </c>
      <c r="F658" s="30">
        <v>1190.0</v>
      </c>
      <c r="G658" s="30">
        <v>0.0</v>
      </c>
      <c r="H658" s="30">
        <v>0.0</v>
      </c>
      <c r="I658" s="30">
        <v>34.857</v>
      </c>
      <c r="J658" s="30">
        <v>0.0</v>
      </c>
      <c r="K658" s="30">
        <v>0.0</v>
      </c>
      <c r="L658" s="30">
        <v>0.0</v>
      </c>
      <c r="M658" s="30">
        <v>0.0</v>
      </c>
      <c r="N658" s="30">
        <v>215.16666666666652</v>
      </c>
      <c r="O658" s="30">
        <v>-149.02366666666651</v>
      </c>
      <c r="P658" s="30">
        <v>-11.543273947844037</v>
      </c>
      <c r="Q658" s="30">
        <v>-13.851928737412841</v>
      </c>
    </row>
    <row r="659">
      <c r="A659" s="47">
        <v>1.1238663595E10</v>
      </c>
      <c r="B659" s="48">
        <v>46158.034780092596</v>
      </c>
      <c r="C659" s="30">
        <v>3.852955315E9</v>
      </c>
      <c r="D659" s="47" t="s">
        <v>1509</v>
      </c>
      <c r="E659" s="30">
        <v>1291.0</v>
      </c>
      <c r="F659" s="30">
        <v>1190.0</v>
      </c>
      <c r="G659" s="30">
        <v>0.0</v>
      </c>
      <c r="H659" s="30">
        <v>0.0</v>
      </c>
      <c r="I659" s="30">
        <v>34.857</v>
      </c>
      <c r="J659" s="30">
        <v>0.0</v>
      </c>
      <c r="K659" s="30">
        <v>0.0</v>
      </c>
      <c r="L659" s="30">
        <v>0.0</v>
      </c>
      <c r="M659" s="30">
        <v>0.0</v>
      </c>
      <c r="N659" s="30">
        <v>215.16666666666652</v>
      </c>
      <c r="O659" s="30">
        <v>-149.02366666666651</v>
      </c>
      <c r="P659" s="30">
        <v>-11.543273947844037</v>
      </c>
      <c r="Q659" s="30">
        <v>-13.851928737412841</v>
      </c>
    </row>
    <row r="660">
      <c r="A660" s="47">
        <v>1.1237018785E10</v>
      </c>
      <c r="B660" s="48">
        <v>46157.70783564815</v>
      </c>
      <c r="C660" s="30">
        <v>3.851692208E9</v>
      </c>
      <c r="D660" s="47" t="s">
        <v>1509</v>
      </c>
      <c r="E660" s="30">
        <v>1458.0</v>
      </c>
      <c r="F660" s="30">
        <v>1160.0</v>
      </c>
      <c r="G660" s="30">
        <v>0.0</v>
      </c>
      <c r="H660" s="30">
        <v>0.0</v>
      </c>
      <c r="I660" s="30">
        <v>72.171</v>
      </c>
      <c r="J660" s="30">
        <v>0.0</v>
      </c>
      <c r="K660" s="30">
        <v>0.0</v>
      </c>
      <c r="L660" s="30">
        <v>0.0</v>
      </c>
      <c r="M660" s="30">
        <v>0.0</v>
      </c>
      <c r="N660" s="30">
        <v>243.0</v>
      </c>
      <c r="O660" s="30">
        <v>-17.170999999999992</v>
      </c>
      <c r="P660" s="30">
        <v>-1.177709190672153</v>
      </c>
      <c r="Q660" s="30">
        <v>-1.4132510288065838</v>
      </c>
    </row>
    <row r="661">
      <c r="A661" s="47">
        <v>1.1238126865E10</v>
      </c>
      <c r="B661" s="48">
        <v>46157.931875</v>
      </c>
      <c r="C661" s="30">
        <v>3.852551464E9</v>
      </c>
      <c r="D661" s="47" t="s">
        <v>1509</v>
      </c>
      <c r="E661" s="30">
        <v>729.0</v>
      </c>
      <c r="F661" s="30">
        <v>580.0</v>
      </c>
      <c r="G661" s="30">
        <v>0.0</v>
      </c>
      <c r="H661" s="30">
        <v>0.0</v>
      </c>
      <c r="I661" s="30">
        <v>32.148900000000005</v>
      </c>
      <c r="J661" s="30">
        <v>0.0</v>
      </c>
      <c r="K661" s="30">
        <v>0.0</v>
      </c>
      <c r="L661" s="30">
        <v>0.0</v>
      </c>
      <c r="M661" s="30">
        <v>0.0</v>
      </c>
      <c r="N661" s="30">
        <v>121.5</v>
      </c>
      <c r="O661" s="30">
        <v>-4.648899999999998</v>
      </c>
      <c r="P661" s="30">
        <v>-0.6377091906721534</v>
      </c>
      <c r="Q661" s="30">
        <v>-0.765251028806584</v>
      </c>
    </row>
    <row r="662">
      <c r="A662" s="47">
        <v>1.1229100686E10</v>
      </c>
      <c r="B662" s="48">
        <v>46155.05447916667</v>
      </c>
      <c r="C662" s="30">
        <v>3.844427758E9</v>
      </c>
      <c r="D662" s="47" t="s">
        <v>1509</v>
      </c>
      <c r="E662" s="30">
        <v>3760.0</v>
      </c>
      <c r="F662" s="30">
        <v>3071.04</v>
      </c>
      <c r="G662" s="30">
        <v>0.0</v>
      </c>
      <c r="H662" s="30">
        <v>0.0</v>
      </c>
      <c r="I662" s="30">
        <v>162.43200000000002</v>
      </c>
      <c r="J662" s="30">
        <v>0.0</v>
      </c>
      <c r="K662" s="30">
        <v>0.0</v>
      </c>
      <c r="L662" s="30">
        <v>0.0</v>
      </c>
      <c r="M662" s="30">
        <v>0.0</v>
      </c>
      <c r="N662" s="30">
        <v>626.6666666666665</v>
      </c>
      <c r="O662" s="30">
        <v>-100.1386666666665</v>
      </c>
      <c r="P662" s="30">
        <v>-2.6632624113475134</v>
      </c>
      <c r="Q662" s="30">
        <v>-3.1959148936170156</v>
      </c>
    </row>
    <row r="663">
      <c r="A663" s="47">
        <v>1.1238931043E10</v>
      </c>
      <c r="B663" s="48">
        <v>46158.09310185185</v>
      </c>
      <c r="C663" s="30">
        <v>3.853191332E9</v>
      </c>
      <c r="D663" s="47" t="s">
        <v>1509</v>
      </c>
      <c r="E663" s="30">
        <v>1078.99</v>
      </c>
      <c r="F663" s="30">
        <v>686.0</v>
      </c>
      <c r="G663" s="30">
        <v>0.0</v>
      </c>
      <c r="H663" s="30">
        <v>0.0</v>
      </c>
      <c r="I663" s="30">
        <v>95.1471</v>
      </c>
      <c r="J663" s="30">
        <v>0.0</v>
      </c>
      <c r="K663" s="30">
        <v>0.0</v>
      </c>
      <c r="L663" s="30">
        <v>0.0</v>
      </c>
      <c r="M663" s="30">
        <v>0.0</v>
      </c>
      <c r="N663" s="30">
        <v>179.83166666666665</v>
      </c>
      <c r="O663" s="30">
        <v>118.01123333333334</v>
      </c>
      <c r="P663" s="30">
        <v>10.937194351507737</v>
      </c>
      <c r="Q663" s="30">
        <v>13.124633221809285</v>
      </c>
    </row>
    <row r="664">
      <c r="A664" s="47">
        <v>1.1235027727E10</v>
      </c>
      <c r="B664" s="48">
        <v>46156.96266203704</v>
      </c>
      <c r="C664" s="30">
        <v>3.849782777E9</v>
      </c>
      <c r="D664" s="47" t="s">
        <v>1509</v>
      </c>
      <c r="E664" s="30">
        <v>1297.9</v>
      </c>
      <c r="F664" s="30">
        <v>1190.0</v>
      </c>
      <c r="G664" s="30">
        <v>0.0</v>
      </c>
      <c r="H664" s="30">
        <v>0.0</v>
      </c>
      <c r="I664" s="30">
        <v>35.0433</v>
      </c>
      <c r="J664" s="30">
        <v>0.0</v>
      </c>
      <c r="K664" s="30">
        <v>0.0</v>
      </c>
      <c r="L664" s="30">
        <v>0.0</v>
      </c>
      <c r="M664" s="30">
        <v>0.0</v>
      </c>
      <c r="N664" s="30">
        <v>216.3166666666666</v>
      </c>
      <c r="O664" s="30">
        <v>-143.4599666666665</v>
      </c>
      <c r="P664" s="30">
        <v>-11.053237280735534</v>
      </c>
      <c r="Q664" s="30">
        <v>-13.26388473688264</v>
      </c>
    </row>
    <row r="665">
      <c r="A665" s="47">
        <v>1.1237927887E10</v>
      </c>
      <c r="B665" s="48">
        <v>46157.89424768519</v>
      </c>
      <c r="C665" s="30">
        <v>3.852414974E9</v>
      </c>
      <c r="D665" s="47" t="s">
        <v>1509</v>
      </c>
      <c r="E665" s="30">
        <v>1291.0</v>
      </c>
      <c r="F665" s="30">
        <v>1190.0</v>
      </c>
      <c r="G665" s="30">
        <v>0.0</v>
      </c>
      <c r="H665" s="30">
        <v>0.0</v>
      </c>
      <c r="I665" s="30">
        <v>34.857</v>
      </c>
      <c r="J665" s="30">
        <v>0.0</v>
      </c>
      <c r="K665" s="30">
        <v>0.0</v>
      </c>
      <c r="L665" s="30">
        <v>0.0</v>
      </c>
      <c r="M665" s="30">
        <v>0.0</v>
      </c>
      <c r="N665" s="30">
        <v>215.16666666666652</v>
      </c>
      <c r="O665" s="30">
        <v>-149.02366666666651</v>
      </c>
      <c r="P665" s="30">
        <v>-11.543273947844037</v>
      </c>
      <c r="Q665" s="30">
        <v>-13.851928737412841</v>
      </c>
    </row>
    <row r="666">
      <c r="A666" s="47">
        <v>1.123835101E10</v>
      </c>
      <c r="B666" s="48">
        <v>46157.974375</v>
      </c>
      <c r="C666" s="30">
        <v>3.852708615E9</v>
      </c>
      <c r="D666" s="47" t="s">
        <v>1509</v>
      </c>
      <c r="E666" s="30">
        <v>2582.0</v>
      </c>
      <c r="F666" s="30">
        <v>2380.0</v>
      </c>
      <c r="G666" s="30">
        <v>0.0</v>
      </c>
      <c r="H666" s="30">
        <v>0.0</v>
      </c>
      <c r="I666" s="30">
        <v>69.714</v>
      </c>
      <c r="J666" s="30">
        <v>0.0</v>
      </c>
      <c r="K666" s="30">
        <v>0.0</v>
      </c>
      <c r="L666" s="30">
        <v>0.0</v>
      </c>
      <c r="M666" s="30">
        <v>0.0</v>
      </c>
      <c r="N666" s="30">
        <v>430.33333333333303</v>
      </c>
      <c r="O666" s="30">
        <v>-298.04733333333303</v>
      </c>
      <c r="P666" s="30">
        <v>-11.543273947844037</v>
      </c>
      <c r="Q666" s="30">
        <v>-13.851928737412841</v>
      </c>
    </row>
    <row r="667">
      <c r="A667" s="47">
        <v>1.1237892392E10</v>
      </c>
      <c r="B667" s="48">
        <v>46157.88753472222</v>
      </c>
      <c r="C667" s="30">
        <v>3.852390811E9</v>
      </c>
      <c r="D667" s="47" t="s">
        <v>1509</v>
      </c>
      <c r="E667" s="30">
        <v>1490.0</v>
      </c>
      <c r="F667" s="30">
        <v>1243.0</v>
      </c>
      <c r="G667" s="30">
        <v>0.0</v>
      </c>
      <c r="H667" s="30">
        <v>0.0</v>
      </c>
      <c r="I667" s="30">
        <v>88.85187</v>
      </c>
      <c r="J667" s="30">
        <v>0.0</v>
      </c>
      <c r="K667" s="30">
        <v>0.0</v>
      </c>
      <c r="L667" s="30">
        <v>0.0</v>
      </c>
      <c r="M667" s="30">
        <v>0.0</v>
      </c>
      <c r="N667" s="30">
        <v>248.33333333333331</v>
      </c>
      <c r="O667" s="30">
        <v>-90.18520333333333</v>
      </c>
      <c r="P667" s="30">
        <v>-6.052698210290828</v>
      </c>
      <c r="Q667" s="30">
        <v>-7.263237852348993</v>
      </c>
    </row>
    <row r="668">
      <c r="A668" s="47">
        <v>1.1237094061E10</v>
      </c>
      <c r="B668" s="48">
        <v>46157.722592592596</v>
      </c>
      <c r="C668" s="30">
        <v>3.851755368E9</v>
      </c>
      <c r="D668" s="47" t="s">
        <v>1509</v>
      </c>
      <c r="E668" s="30">
        <v>727.0</v>
      </c>
      <c r="F668" s="30">
        <v>580.0</v>
      </c>
      <c r="G668" s="30">
        <v>0.0</v>
      </c>
      <c r="H668" s="30">
        <v>0.0</v>
      </c>
      <c r="I668" s="30">
        <v>32.060700000000004</v>
      </c>
      <c r="J668" s="30">
        <v>0.0</v>
      </c>
      <c r="K668" s="30">
        <v>0.0</v>
      </c>
      <c r="L668" s="30">
        <v>0.0</v>
      </c>
      <c r="M668" s="30">
        <v>0.0</v>
      </c>
      <c r="N668" s="30">
        <v>121.16666666666663</v>
      </c>
      <c r="O668" s="30">
        <v>-6.227366666666626</v>
      </c>
      <c r="P668" s="30">
        <v>-0.8565841357175551</v>
      </c>
      <c r="Q668" s="30">
        <v>-1.027900962861066</v>
      </c>
    </row>
    <row r="669">
      <c r="A669" s="47">
        <v>1.1233165231E10</v>
      </c>
      <c r="B669" s="48">
        <v>46156.5633912037</v>
      </c>
      <c r="C669" s="30">
        <v>3.848270253E9</v>
      </c>
      <c r="D669" s="47" t="s">
        <v>1509</v>
      </c>
      <c r="E669" s="30">
        <v>350.0</v>
      </c>
      <c r="F669" s="30">
        <v>0.0</v>
      </c>
      <c r="G669" s="30">
        <v>0.0</v>
      </c>
      <c r="H669" s="30">
        <v>0.0</v>
      </c>
      <c r="I669" s="30">
        <v>51.975</v>
      </c>
      <c r="J669" s="30">
        <v>0.0</v>
      </c>
      <c r="K669" s="30">
        <v>0.0</v>
      </c>
      <c r="L669" s="30">
        <v>0.0</v>
      </c>
      <c r="M669" s="30">
        <v>0.0</v>
      </c>
      <c r="N669" s="30">
        <v>58.333333333333314</v>
      </c>
      <c r="O669" s="30">
        <v>239.69166666666666</v>
      </c>
      <c r="P669" s="30">
        <v>68.48333333333333</v>
      </c>
      <c r="Q669" s="30">
        <v>82.17999999999999</v>
      </c>
    </row>
    <row r="670">
      <c r="A670" s="47">
        <v>1.123745075E10</v>
      </c>
      <c r="B670" s="48">
        <v>46157.79722222222</v>
      </c>
      <c r="C670" s="30">
        <v>3.852059162E9</v>
      </c>
      <c r="D670" s="47" t="s">
        <v>1509</v>
      </c>
      <c r="E670" s="30">
        <v>738.0</v>
      </c>
      <c r="F670" s="30">
        <v>580.0</v>
      </c>
      <c r="G670" s="30">
        <v>0.0</v>
      </c>
      <c r="H670" s="30">
        <v>0.0</v>
      </c>
      <c r="I670" s="30">
        <v>32.5458</v>
      </c>
      <c r="J670" s="30">
        <v>0.0</v>
      </c>
      <c r="K670" s="30">
        <v>0.0</v>
      </c>
      <c r="L670" s="30">
        <v>0.0</v>
      </c>
      <c r="M670" s="30">
        <v>0.0</v>
      </c>
      <c r="N670" s="30">
        <v>123.0</v>
      </c>
      <c r="O670" s="30">
        <v>2.4542</v>
      </c>
      <c r="P670" s="30">
        <v>0.33254742547425475</v>
      </c>
      <c r="Q670" s="30">
        <v>0.3990569105691057</v>
      </c>
    </row>
    <row r="671">
      <c r="A671" s="47">
        <v>1.1233786604E10</v>
      </c>
      <c r="B671" s="48">
        <v>46156.69954861111</v>
      </c>
      <c r="C671" s="30">
        <v>3.848806921E9</v>
      </c>
      <c r="D671" s="47" t="s">
        <v>1509</v>
      </c>
      <c r="E671" s="30">
        <v>1454.0</v>
      </c>
      <c r="F671" s="30">
        <v>1160.0</v>
      </c>
      <c r="G671" s="30">
        <v>0.0</v>
      </c>
      <c r="H671" s="30">
        <v>0.0</v>
      </c>
      <c r="I671" s="30">
        <v>64.12140000000001</v>
      </c>
      <c r="J671" s="30">
        <v>0.0</v>
      </c>
      <c r="K671" s="30">
        <v>0.0</v>
      </c>
      <c r="L671" s="30">
        <v>0.0</v>
      </c>
      <c r="M671" s="30">
        <v>0.0</v>
      </c>
      <c r="N671" s="30">
        <v>242.33333333333326</v>
      </c>
      <c r="O671" s="30">
        <v>-12.454733333333252</v>
      </c>
      <c r="P671" s="30">
        <v>-0.8565841357175551</v>
      </c>
      <c r="Q671" s="30">
        <v>-1.027900962861066</v>
      </c>
    </row>
    <row r="672">
      <c r="A672" s="47">
        <v>1.1237971474E10</v>
      </c>
      <c r="B672" s="48">
        <v>46157.90241898148</v>
      </c>
      <c r="C672" s="30">
        <v>3.852445261E9</v>
      </c>
      <c r="D672" s="47" t="s">
        <v>1509</v>
      </c>
      <c r="E672" s="30">
        <v>963.47</v>
      </c>
      <c r="F672" s="30">
        <v>260.0</v>
      </c>
      <c r="G672" s="30">
        <v>0.0</v>
      </c>
      <c r="H672" s="30">
        <v>0.0</v>
      </c>
      <c r="I672" s="30">
        <v>173.4246</v>
      </c>
      <c r="J672" s="30">
        <v>0.0</v>
      </c>
      <c r="K672" s="30">
        <v>0.0</v>
      </c>
      <c r="L672" s="30">
        <v>0.0</v>
      </c>
      <c r="M672" s="30">
        <v>0.0</v>
      </c>
      <c r="N672" s="30">
        <v>160.57833333333332</v>
      </c>
      <c r="O672" s="30">
        <v>369.46706666666665</v>
      </c>
      <c r="P672" s="30">
        <v>38.34754239017994</v>
      </c>
      <c r="Q672" s="30">
        <v>46.017050868215925</v>
      </c>
    </row>
    <row r="673">
      <c r="A673" s="47">
        <v>1.1235855116E10</v>
      </c>
      <c r="B673" s="48">
        <v>46157.15430555555</v>
      </c>
      <c r="C673" s="30">
        <v>3.850557504E9</v>
      </c>
      <c r="D673" s="47" t="s">
        <v>1509</v>
      </c>
      <c r="E673" s="30">
        <v>1295.9</v>
      </c>
      <c r="F673" s="30">
        <v>1190.0</v>
      </c>
      <c r="G673" s="30">
        <v>0.0</v>
      </c>
      <c r="H673" s="30">
        <v>0.0</v>
      </c>
      <c r="I673" s="30">
        <v>34.9893</v>
      </c>
      <c r="J673" s="30">
        <v>0.0</v>
      </c>
      <c r="K673" s="30">
        <v>0.0</v>
      </c>
      <c r="L673" s="30">
        <v>0.0</v>
      </c>
      <c r="M673" s="30">
        <v>0.0</v>
      </c>
      <c r="N673" s="30">
        <v>215.98333333333335</v>
      </c>
      <c r="O673" s="30">
        <v>-145.07263333333327</v>
      </c>
      <c r="P673" s="30">
        <v>-11.194739820459391</v>
      </c>
      <c r="Q673" s="30">
        <v>-13.433687784551271</v>
      </c>
    </row>
    <row r="674">
      <c r="A674" s="47">
        <v>1.1236007938E10</v>
      </c>
      <c r="B674" s="48">
        <v>46157.27614583333</v>
      </c>
      <c r="C674" s="30">
        <v>3.850717027E9</v>
      </c>
      <c r="D674" s="47" t="s">
        <v>1509</v>
      </c>
      <c r="E674" s="30">
        <v>729.0</v>
      </c>
      <c r="F674" s="30">
        <v>580.0</v>
      </c>
      <c r="G674" s="30">
        <v>0.0</v>
      </c>
      <c r="H674" s="30">
        <v>0.0</v>
      </c>
      <c r="I674" s="30">
        <v>36.0855</v>
      </c>
      <c r="J674" s="30">
        <v>0.0</v>
      </c>
      <c r="K674" s="30">
        <v>0.0</v>
      </c>
      <c r="L674" s="30">
        <v>0.0</v>
      </c>
      <c r="M674" s="30">
        <v>0.0</v>
      </c>
      <c r="N674" s="30">
        <v>121.5</v>
      </c>
      <c r="O674" s="30">
        <v>-8.585499999999996</v>
      </c>
      <c r="P674" s="30">
        <v>-1.177709190672153</v>
      </c>
      <c r="Q674" s="30">
        <v>-1.4132510288065838</v>
      </c>
    </row>
    <row r="675">
      <c r="A675" s="47">
        <v>1.1233286106E10</v>
      </c>
      <c r="B675" s="48">
        <v>46156.59626157407</v>
      </c>
      <c r="C675" s="30">
        <v>3.848389823E9</v>
      </c>
      <c r="D675" s="47" t="s">
        <v>1509</v>
      </c>
      <c r="E675" s="30">
        <v>729.0</v>
      </c>
      <c r="F675" s="30">
        <v>580.0</v>
      </c>
      <c r="G675" s="30">
        <v>0.0</v>
      </c>
      <c r="H675" s="30">
        <v>0.0</v>
      </c>
      <c r="I675" s="30">
        <v>36.0855</v>
      </c>
      <c r="J675" s="30">
        <v>0.0</v>
      </c>
      <c r="K675" s="30">
        <v>0.0</v>
      </c>
      <c r="L675" s="30">
        <v>0.0</v>
      </c>
      <c r="M675" s="30">
        <v>0.0</v>
      </c>
      <c r="N675" s="30">
        <v>121.5</v>
      </c>
      <c r="O675" s="30">
        <v>-8.585499999999996</v>
      </c>
      <c r="P675" s="30">
        <v>-1.177709190672153</v>
      </c>
      <c r="Q675" s="30">
        <v>-1.4132510288065838</v>
      </c>
    </row>
    <row r="676">
      <c r="A676" s="47">
        <v>1.123344206E10</v>
      </c>
      <c r="B676" s="48">
        <v>46156.62920138889</v>
      </c>
      <c r="C676" s="30">
        <v>3.848518946E9</v>
      </c>
      <c r="D676" s="47" t="s">
        <v>1509</v>
      </c>
      <c r="E676" s="30">
        <v>727.0</v>
      </c>
      <c r="F676" s="30">
        <v>580.0</v>
      </c>
      <c r="G676" s="30">
        <v>0.0</v>
      </c>
      <c r="H676" s="30">
        <v>0.0</v>
      </c>
      <c r="I676" s="30">
        <v>32.060700000000004</v>
      </c>
      <c r="J676" s="30">
        <v>0.0</v>
      </c>
      <c r="K676" s="30">
        <v>0.0</v>
      </c>
      <c r="L676" s="30">
        <v>0.0</v>
      </c>
      <c r="M676" s="30">
        <v>0.0</v>
      </c>
      <c r="N676" s="30">
        <v>121.16666666666663</v>
      </c>
      <c r="O676" s="30">
        <v>-6.227366666666626</v>
      </c>
      <c r="P676" s="30">
        <v>-0.8565841357175551</v>
      </c>
      <c r="Q676" s="30">
        <v>-1.027900962861066</v>
      </c>
    </row>
    <row r="677">
      <c r="A677" s="47">
        <v>1.123885905E10</v>
      </c>
      <c r="B677" s="48">
        <v>46158.07696759259</v>
      </c>
      <c r="C677" s="30">
        <v>3.853125035E9</v>
      </c>
      <c r="D677" s="47" t="s">
        <v>1509</v>
      </c>
      <c r="E677" s="30">
        <v>1280.0</v>
      </c>
      <c r="F677" s="30">
        <v>1165.0</v>
      </c>
      <c r="G677" s="30">
        <v>0.0</v>
      </c>
      <c r="H677" s="30">
        <v>0.0</v>
      </c>
      <c r="I677" s="30">
        <v>46.08</v>
      </c>
      <c r="J677" s="30">
        <v>0.0</v>
      </c>
      <c r="K677" s="30">
        <v>0.0</v>
      </c>
      <c r="L677" s="30">
        <v>0.0</v>
      </c>
      <c r="M677" s="30">
        <v>0.0</v>
      </c>
      <c r="N677" s="30">
        <v>213.33333333333326</v>
      </c>
      <c r="O677" s="30">
        <v>-144.41333333333324</v>
      </c>
      <c r="P677" s="30">
        <v>-11.282291666666659</v>
      </c>
      <c r="Q677" s="30">
        <v>-13.538749999999991</v>
      </c>
    </row>
    <row r="678">
      <c r="A678" s="47">
        <v>1.1236834097E10</v>
      </c>
      <c r="B678" s="48">
        <v>46157.6719212963</v>
      </c>
      <c r="C678" s="30">
        <v>3.851533791E9</v>
      </c>
      <c r="D678" s="47" t="s">
        <v>1509</v>
      </c>
      <c r="E678" s="30">
        <v>729.0</v>
      </c>
      <c r="F678" s="30">
        <v>580.0</v>
      </c>
      <c r="G678" s="30">
        <v>0.0</v>
      </c>
      <c r="H678" s="30">
        <v>0.0</v>
      </c>
      <c r="I678" s="30">
        <v>36.0855</v>
      </c>
      <c r="J678" s="30">
        <v>0.0</v>
      </c>
      <c r="K678" s="30">
        <v>0.0</v>
      </c>
      <c r="L678" s="30">
        <v>0.0</v>
      </c>
      <c r="M678" s="30">
        <v>0.0</v>
      </c>
      <c r="N678" s="30">
        <v>121.5</v>
      </c>
      <c r="O678" s="30">
        <v>-8.585499999999996</v>
      </c>
      <c r="P678" s="30">
        <v>-1.177709190672153</v>
      </c>
      <c r="Q678" s="30">
        <v>-1.4132510288065838</v>
      </c>
    </row>
    <row r="679">
      <c r="A679" s="47">
        <v>1.1238546825E10</v>
      </c>
      <c r="B679" s="48">
        <v>46158.011782407404</v>
      </c>
      <c r="C679" s="30">
        <v>3.85285617E9</v>
      </c>
      <c r="D679" s="47" t="s">
        <v>1509</v>
      </c>
      <c r="E679" s="30">
        <v>1291.0</v>
      </c>
      <c r="F679" s="30">
        <v>1190.0</v>
      </c>
      <c r="G679" s="30">
        <v>0.0</v>
      </c>
      <c r="H679" s="30">
        <v>0.0</v>
      </c>
      <c r="I679" s="30">
        <v>34.857</v>
      </c>
      <c r="J679" s="30">
        <v>0.0</v>
      </c>
      <c r="K679" s="30">
        <v>0.0</v>
      </c>
      <c r="L679" s="30">
        <v>0.0</v>
      </c>
      <c r="M679" s="30">
        <v>0.0</v>
      </c>
      <c r="N679" s="30">
        <v>215.16666666666652</v>
      </c>
      <c r="O679" s="30">
        <v>-149.02366666666651</v>
      </c>
      <c r="P679" s="30">
        <v>-11.543273947844037</v>
      </c>
      <c r="Q679" s="30">
        <v>-13.851928737412841</v>
      </c>
    </row>
    <row r="680">
      <c r="A680" s="47">
        <v>1.123919592E10</v>
      </c>
      <c r="B680" s="48">
        <v>46158.17267361111</v>
      </c>
      <c r="C680" s="30">
        <v>3.853443847E9</v>
      </c>
      <c r="D680" s="47" t="s">
        <v>1511</v>
      </c>
      <c r="E680" s="30">
        <v>1458.0</v>
      </c>
      <c r="F680" s="30">
        <v>1160.0</v>
      </c>
      <c r="G680" s="30">
        <v>0.0</v>
      </c>
      <c r="H680" s="30">
        <v>0.0</v>
      </c>
      <c r="I680" s="30">
        <v>72.171</v>
      </c>
      <c r="J680" s="30">
        <v>0.0</v>
      </c>
      <c r="K680" s="30">
        <v>0.0</v>
      </c>
      <c r="L680" s="30">
        <v>0.0</v>
      </c>
      <c r="M680" s="30">
        <v>0.0</v>
      </c>
      <c r="N680" s="30">
        <v>243.0</v>
      </c>
      <c r="O680" s="30">
        <v>-17.170999999999992</v>
      </c>
      <c r="P680" s="30">
        <v>-1.177709190672153</v>
      </c>
      <c r="Q680" s="30">
        <v>-1.4132510288065838</v>
      </c>
    </row>
    <row r="681">
      <c r="A681" s="47">
        <v>1.1238337483E10</v>
      </c>
      <c r="B681" s="48">
        <v>46157.97185185185</v>
      </c>
      <c r="C681" s="30">
        <v>3.852697034E9</v>
      </c>
      <c r="D681" s="47" t="s">
        <v>1509</v>
      </c>
      <c r="E681" s="30">
        <v>729.0</v>
      </c>
      <c r="F681" s="30">
        <v>580.0</v>
      </c>
      <c r="G681" s="30">
        <v>0.0</v>
      </c>
      <c r="H681" s="30">
        <v>0.0</v>
      </c>
      <c r="I681" s="30">
        <v>36.0855</v>
      </c>
      <c r="J681" s="30">
        <v>0.0</v>
      </c>
      <c r="K681" s="30">
        <v>0.0</v>
      </c>
      <c r="L681" s="30">
        <v>0.0</v>
      </c>
      <c r="M681" s="30">
        <v>0.0</v>
      </c>
      <c r="N681" s="30">
        <v>121.5</v>
      </c>
      <c r="O681" s="30">
        <v>-8.585499999999996</v>
      </c>
      <c r="P681" s="30">
        <v>-1.177709190672153</v>
      </c>
      <c r="Q681" s="30">
        <v>-1.4132510288065838</v>
      </c>
    </row>
    <row r="682">
      <c r="A682" s="47">
        <v>1.123672357E10</v>
      </c>
      <c r="B682" s="48">
        <v>46157.64983796296</v>
      </c>
      <c r="C682" s="30">
        <v>3.851440224E9</v>
      </c>
      <c r="D682" s="47" t="s">
        <v>1509</v>
      </c>
      <c r="E682" s="30">
        <v>1699.0</v>
      </c>
      <c r="F682" s="30">
        <v>750.0</v>
      </c>
      <c r="G682" s="30">
        <v>0.0</v>
      </c>
      <c r="H682" s="30">
        <v>0.0</v>
      </c>
      <c r="I682" s="30">
        <v>191.1375</v>
      </c>
      <c r="J682" s="30">
        <v>0.0</v>
      </c>
      <c r="K682" s="30">
        <v>0.0</v>
      </c>
      <c r="L682" s="30">
        <v>0.0</v>
      </c>
      <c r="M682" s="30">
        <v>0.0</v>
      </c>
      <c r="N682" s="30">
        <v>283.1666666666665</v>
      </c>
      <c r="O682" s="30">
        <v>474.69583333333344</v>
      </c>
      <c r="P682" s="30">
        <v>27.9397194428095</v>
      </c>
      <c r="Q682" s="30">
        <v>33.5276633313714</v>
      </c>
    </row>
    <row r="683">
      <c r="A683" s="47">
        <v>1.1238225641E10</v>
      </c>
      <c r="B683" s="48">
        <v>46157.95042824074</v>
      </c>
      <c r="C683" s="30">
        <v>3.852617181E9</v>
      </c>
      <c r="D683" s="47" t="s">
        <v>1509</v>
      </c>
      <c r="E683" s="30">
        <v>1291.0</v>
      </c>
      <c r="F683" s="30">
        <v>1190.0</v>
      </c>
      <c r="G683" s="30">
        <v>0.0</v>
      </c>
      <c r="H683" s="30">
        <v>0.0</v>
      </c>
      <c r="I683" s="30">
        <v>34.857</v>
      </c>
      <c r="J683" s="30">
        <v>0.0</v>
      </c>
      <c r="K683" s="30">
        <v>0.0</v>
      </c>
      <c r="L683" s="30">
        <v>0.0</v>
      </c>
      <c r="M683" s="30">
        <v>0.0</v>
      </c>
      <c r="N683" s="30">
        <v>215.16666666666652</v>
      </c>
      <c r="O683" s="30">
        <v>-149.02366666666651</v>
      </c>
      <c r="P683" s="30">
        <v>-11.543273947844037</v>
      </c>
      <c r="Q683" s="30">
        <v>-13.851928737412841</v>
      </c>
    </row>
    <row r="684">
      <c r="A684" s="47">
        <v>1.1237319401E10</v>
      </c>
      <c r="B684" s="48">
        <v>46157.76935185185</v>
      </c>
      <c r="C684" s="30">
        <v>3.851948265E9</v>
      </c>
      <c r="D684" s="47" t="s">
        <v>1509</v>
      </c>
      <c r="E684" s="30">
        <v>719.0</v>
      </c>
      <c r="F684" s="30">
        <v>377.0</v>
      </c>
      <c r="G684" s="30">
        <v>0.0</v>
      </c>
      <c r="H684" s="30">
        <v>0.0</v>
      </c>
      <c r="I684" s="30">
        <v>106.7715</v>
      </c>
      <c r="J684" s="30">
        <v>0.0</v>
      </c>
      <c r="K684" s="30">
        <v>0.0</v>
      </c>
      <c r="L684" s="30">
        <v>0.0</v>
      </c>
      <c r="M684" s="30">
        <v>0.0</v>
      </c>
      <c r="N684" s="30">
        <v>119.83333333333326</v>
      </c>
      <c r="O684" s="30">
        <v>115.39516666666674</v>
      </c>
      <c r="P684" s="30">
        <v>16.049397311080213</v>
      </c>
      <c r="Q684" s="30">
        <v>19.259276773296254</v>
      </c>
    </row>
    <row r="685">
      <c r="A685" s="47">
        <v>1.1232796969E10</v>
      </c>
      <c r="B685" s="48">
        <v>46156.198159722226</v>
      </c>
      <c r="C685" s="30">
        <v>3.847862515E9</v>
      </c>
      <c r="D685" s="47" t="s">
        <v>1509</v>
      </c>
      <c r="E685" s="30">
        <v>1454.0</v>
      </c>
      <c r="F685" s="30">
        <v>1160.0</v>
      </c>
      <c r="G685" s="30">
        <v>0.0</v>
      </c>
      <c r="H685" s="30">
        <v>0.0</v>
      </c>
      <c r="I685" s="30">
        <v>64.12140000000001</v>
      </c>
      <c r="J685" s="30">
        <v>0.0</v>
      </c>
      <c r="K685" s="30">
        <v>0.0</v>
      </c>
      <c r="L685" s="30">
        <v>0.0</v>
      </c>
      <c r="M685" s="30">
        <v>0.0</v>
      </c>
      <c r="N685" s="30">
        <v>242.33333333333326</v>
      </c>
      <c r="O685" s="30">
        <v>-12.454733333333252</v>
      </c>
      <c r="P685" s="30">
        <v>-0.8565841357175551</v>
      </c>
      <c r="Q685" s="30">
        <v>-1.027900962861066</v>
      </c>
    </row>
    <row r="686">
      <c r="A686" s="47">
        <v>1.1238663813E10</v>
      </c>
      <c r="B686" s="48">
        <v>46158.03482638889</v>
      </c>
      <c r="C686" s="30">
        <v>3.852954403E9</v>
      </c>
      <c r="D686" s="47" t="s">
        <v>1509</v>
      </c>
      <c r="E686" s="30">
        <v>1458.0</v>
      </c>
      <c r="F686" s="30">
        <v>1160.0</v>
      </c>
      <c r="G686" s="30">
        <v>0.0</v>
      </c>
      <c r="H686" s="30">
        <v>0.0</v>
      </c>
      <c r="I686" s="30">
        <v>64.29780000000001</v>
      </c>
      <c r="J686" s="30">
        <v>0.0</v>
      </c>
      <c r="K686" s="30">
        <v>0.0</v>
      </c>
      <c r="L686" s="30">
        <v>0.0</v>
      </c>
      <c r="M686" s="30">
        <v>0.0</v>
      </c>
      <c r="N686" s="30">
        <v>243.0</v>
      </c>
      <c r="O686" s="30">
        <v>-9.297799999999995</v>
      </c>
      <c r="P686" s="30">
        <v>-0.6377091906721534</v>
      </c>
      <c r="Q686" s="30">
        <v>-0.765251028806584</v>
      </c>
    </row>
    <row r="687">
      <c r="A687" s="47">
        <v>1.1236631946E10</v>
      </c>
      <c r="B687" s="48">
        <v>46157.63240740741</v>
      </c>
      <c r="C687" s="30">
        <v>3.851366048E9</v>
      </c>
      <c r="D687" s="47" t="s">
        <v>1509</v>
      </c>
      <c r="E687" s="30">
        <v>2070.8900000000003</v>
      </c>
      <c r="F687" s="30">
        <v>1492.5</v>
      </c>
      <c r="G687" s="30">
        <v>0.0</v>
      </c>
      <c r="H687" s="30">
        <v>0.0</v>
      </c>
      <c r="I687" s="30">
        <v>145.8</v>
      </c>
      <c r="J687" s="30">
        <v>0.0</v>
      </c>
      <c r="K687" s="30">
        <v>0.0</v>
      </c>
      <c r="L687" s="30">
        <v>0.0</v>
      </c>
      <c r="M687" s="30">
        <v>0.0</v>
      </c>
      <c r="N687" s="30">
        <v>345.1483333333333</v>
      </c>
      <c r="O687" s="30">
        <v>87.441666666667</v>
      </c>
      <c r="P687" s="30">
        <v>4.222419668194206</v>
      </c>
      <c r="Q687" s="30">
        <v>5.066903601833047</v>
      </c>
    </row>
    <row r="688">
      <c r="A688" s="47">
        <v>1.1236996125E10</v>
      </c>
      <c r="B688" s="48">
        <v>46157.703310185185</v>
      </c>
      <c r="C688" s="30">
        <v>3.851670481E9</v>
      </c>
      <c r="D688" s="47" t="s">
        <v>1509</v>
      </c>
      <c r="E688" s="30">
        <v>1458.0</v>
      </c>
      <c r="F688" s="30">
        <v>1160.0</v>
      </c>
      <c r="G688" s="30">
        <v>0.0</v>
      </c>
      <c r="H688" s="30">
        <v>0.0</v>
      </c>
      <c r="I688" s="30">
        <v>72.171</v>
      </c>
      <c r="J688" s="30">
        <v>0.0</v>
      </c>
      <c r="K688" s="30">
        <v>0.0</v>
      </c>
      <c r="L688" s="30">
        <v>0.0</v>
      </c>
      <c r="M688" s="30">
        <v>0.0</v>
      </c>
      <c r="N688" s="30">
        <v>243.0</v>
      </c>
      <c r="O688" s="30">
        <v>-17.170999999999992</v>
      </c>
      <c r="P688" s="30">
        <v>-1.177709190672153</v>
      </c>
      <c r="Q688" s="30">
        <v>-1.4132510288065838</v>
      </c>
    </row>
    <row r="689">
      <c r="A689" s="47">
        <v>1.1237208129E10</v>
      </c>
      <c r="B689" s="48">
        <v>46157.746145833335</v>
      </c>
      <c r="C689" s="30">
        <v>3.851851685E9</v>
      </c>
      <c r="D689" s="47" t="s">
        <v>1509</v>
      </c>
      <c r="E689" s="30">
        <v>1267.9</v>
      </c>
      <c r="F689" s="30">
        <v>1160.0</v>
      </c>
      <c r="G689" s="30">
        <v>0.0</v>
      </c>
      <c r="H689" s="30">
        <v>0.0</v>
      </c>
      <c r="I689" s="30">
        <v>57.0555</v>
      </c>
      <c r="J689" s="30">
        <v>0.0</v>
      </c>
      <c r="K689" s="30">
        <v>0.0</v>
      </c>
      <c r="L689" s="30">
        <v>0.0</v>
      </c>
      <c r="M689" s="30">
        <v>0.0</v>
      </c>
      <c r="N689" s="30">
        <v>211.3166666666666</v>
      </c>
      <c r="O689" s="30">
        <v>-160.4721666666665</v>
      </c>
      <c r="P689" s="30">
        <v>-12.656531797986158</v>
      </c>
      <c r="Q689" s="30">
        <v>-15.18783815758339</v>
      </c>
    </row>
    <row r="690">
      <c r="A690" s="47">
        <v>1.1238693318E10</v>
      </c>
      <c r="B690" s="48">
        <v>46158.04116898148</v>
      </c>
      <c r="C690" s="30">
        <v>3.852980168E9</v>
      </c>
      <c r="D690" s="47" t="s">
        <v>1509</v>
      </c>
      <c r="E690" s="30">
        <v>1291.0</v>
      </c>
      <c r="F690" s="30">
        <v>1190.0</v>
      </c>
      <c r="G690" s="30">
        <v>0.0</v>
      </c>
      <c r="H690" s="30">
        <v>0.0</v>
      </c>
      <c r="I690" s="30">
        <v>34.857</v>
      </c>
      <c r="J690" s="30">
        <v>0.0</v>
      </c>
      <c r="K690" s="30">
        <v>0.0</v>
      </c>
      <c r="L690" s="30">
        <v>0.0</v>
      </c>
      <c r="M690" s="30">
        <v>0.0</v>
      </c>
      <c r="N690" s="30">
        <v>215.16666666666652</v>
      </c>
      <c r="O690" s="30">
        <v>-149.02366666666651</v>
      </c>
      <c r="P690" s="30">
        <v>-11.543273947844037</v>
      </c>
      <c r="Q690" s="30">
        <v>-13.851928737412841</v>
      </c>
    </row>
    <row r="691">
      <c r="A691" s="47">
        <v>1.1236018986E10</v>
      </c>
      <c r="B691" s="48">
        <v>46157.31317129629</v>
      </c>
      <c r="C691" s="30">
        <v>3.85072978E9</v>
      </c>
      <c r="D691" s="47" t="s">
        <v>1509</v>
      </c>
      <c r="E691" s="30">
        <v>729.0</v>
      </c>
      <c r="F691" s="30">
        <v>580.0</v>
      </c>
      <c r="G691" s="30">
        <v>0.0</v>
      </c>
      <c r="H691" s="30">
        <v>0.0</v>
      </c>
      <c r="I691" s="30">
        <v>36.0855</v>
      </c>
      <c r="J691" s="30">
        <v>0.0</v>
      </c>
      <c r="K691" s="30">
        <v>0.0</v>
      </c>
      <c r="L691" s="30">
        <v>0.0</v>
      </c>
      <c r="M691" s="30">
        <v>0.0</v>
      </c>
      <c r="N691" s="30">
        <v>121.5</v>
      </c>
      <c r="O691" s="30">
        <v>-8.585499999999996</v>
      </c>
      <c r="P691" s="30">
        <v>-1.177709190672153</v>
      </c>
      <c r="Q691" s="30">
        <v>-1.4132510288065838</v>
      </c>
    </row>
    <row r="692">
      <c r="A692" s="47">
        <v>1.1238362334E10</v>
      </c>
      <c r="B692" s="48">
        <v>46157.97657407408</v>
      </c>
      <c r="C692" s="30">
        <v>3.852719206E9</v>
      </c>
      <c r="D692" s="47" t="s">
        <v>1509</v>
      </c>
      <c r="E692" s="30">
        <v>1291.0</v>
      </c>
      <c r="F692" s="30">
        <v>1190.0</v>
      </c>
      <c r="G692" s="30">
        <v>0.0</v>
      </c>
      <c r="H692" s="30">
        <v>0.0</v>
      </c>
      <c r="I692" s="30">
        <v>34.857</v>
      </c>
      <c r="J692" s="30">
        <v>0.0</v>
      </c>
      <c r="K692" s="30">
        <v>0.0</v>
      </c>
      <c r="L692" s="30">
        <v>0.0</v>
      </c>
      <c r="M692" s="30">
        <v>0.0</v>
      </c>
      <c r="N692" s="30">
        <v>215.16666666666652</v>
      </c>
      <c r="O692" s="30">
        <v>-149.02366666666651</v>
      </c>
      <c r="P692" s="30">
        <v>-11.543273947844037</v>
      </c>
      <c r="Q692" s="30">
        <v>-13.851928737412841</v>
      </c>
    </row>
    <row r="693">
      <c r="A693" s="47">
        <v>1.1237781541E10</v>
      </c>
      <c r="B693" s="48">
        <v>46157.86545138889</v>
      </c>
      <c r="C693" s="30">
        <v>3.852314327E9</v>
      </c>
      <c r="D693" s="47" t="s">
        <v>1509</v>
      </c>
      <c r="E693" s="30">
        <v>349.99</v>
      </c>
      <c r="F693" s="30">
        <v>106.0</v>
      </c>
      <c r="G693" s="30">
        <v>0.0</v>
      </c>
      <c r="H693" s="30">
        <v>0.0</v>
      </c>
      <c r="I693" s="30">
        <v>62.9982</v>
      </c>
      <c r="J693" s="30">
        <v>0.0</v>
      </c>
      <c r="K693" s="30">
        <v>0.0</v>
      </c>
      <c r="L693" s="30">
        <v>0.0</v>
      </c>
      <c r="M693" s="30">
        <v>0.0</v>
      </c>
      <c r="N693" s="30">
        <v>58.33166666666665</v>
      </c>
      <c r="O693" s="30">
        <v>122.66013333333336</v>
      </c>
      <c r="P693" s="30">
        <v>35.04675371677287</v>
      </c>
      <c r="Q693" s="30">
        <v>42.056104460127436</v>
      </c>
    </row>
    <row r="694">
      <c r="A694" s="47">
        <v>1.1236863553E10</v>
      </c>
      <c r="B694" s="48">
        <v>46157.67743055556</v>
      </c>
      <c r="C694" s="30">
        <v>3.851560709E9</v>
      </c>
      <c r="D694" s="47" t="s">
        <v>1509</v>
      </c>
      <c r="E694" s="30">
        <v>727.0</v>
      </c>
      <c r="F694" s="30">
        <v>580.0</v>
      </c>
      <c r="G694" s="30">
        <v>0.0</v>
      </c>
      <c r="H694" s="30">
        <v>0.0</v>
      </c>
      <c r="I694" s="30">
        <v>32.060700000000004</v>
      </c>
      <c r="J694" s="30">
        <v>0.0</v>
      </c>
      <c r="K694" s="30">
        <v>0.0</v>
      </c>
      <c r="L694" s="30">
        <v>0.0</v>
      </c>
      <c r="M694" s="30">
        <v>0.0</v>
      </c>
      <c r="N694" s="30">
        <v>121.16666666666663</v>
      </c>
      <c r="O694" s="30">
        <v>-6.227366666666626</v>
      </c>
      <c r="P694" s="30">
        <v>-0.8565841357175551</v>
      </c>
      <c r="Q694" s="30">
        <v>-1.027900962861066</v>
      </c>
    </row>
    <row r="695">
      <c r="A695" s="47">
        <v>1.1236656014E10</v>
      </c>
      <c r="B695" s="48">
        <v>46157.63700231481</v>
      </c>
      <c r="C695" s="30">
        <v>3.851384473E9</v>
      </c>
      <c r="D695" s="47" t="s">
        <v>1509</v>
      </c>
      <c r="E695" s="30">
        <v>1454.0</v>
      </c>
      <c r="F695" s="30">
        <v>1160.0</v>
      </c>
      <c r="G695" s="30">
        <v>0.0</v>
      </c>
      <c r="H695" s="30">
        <v>0.0</v>
      </c>
      <c r="I695" s="30">
        <v>64.12140000000001</v>
      </c>
      <c r="J695" s="30">
        <v>0.0</v>
      </c>
      <c r="K695" s="30">
        <v>0.0</v>
      </c>
      <c r="L695" s="30">
        <v>0.0</v>
      </c>
      <c r="M695" s="30">
        <v>0.0</v>
      </c>
      <c r="N695" s="30">
        <v>242.33333333333326</v>
      </c>
      <c r="O695" s="30">
        <v>-12.454733333333252</v>
      </c>
      <c r="P695" s="30">
        <v>-0.8565841357175551</v>
      </c>
      <c r="Q695" s="30">
        <v>-1.027900962861066</v>
      </c>
    </row>
    <row r="696">
      <c r="A696" s="47">
        <v>1.1238487582E10</v>
      </c>
      <c r="B696" s="48">
        <v>46158.000706018516</v>
      </c>
      <c r="C696" s="30">
        <v>3.85280868E9</v>
      </c>
      <c r="D696" s="47" t="s">
        <v>1509</v>
      </c>
      <c r="E696" s="30">
        <v>1291.0</v>
      </c>
      <c r="F696" s="30">
        <v>1190.0</v>
      </c>
      <c r="G696" s="30">
        <v>0.0</v>
      </c>
      <c r="H696" s="30">
        <v>0.0</v>
      </c>
      <c r="I696" s="30">
        <v>34.857</v>
      </c>
      <c r="J696" s="30">
        <v>0.0</v>
      </c>
      <c r="K696" s="30">
        <v>0.0</v>
      </c>
      <c r="L696" s="30">
        <v>0.0</v>
      </c>
      <c r="M696" s="30">
        <v>0.0</v>
      </c>
      <c r="N696" s="30">
        <v>215.16666666666652</v>
      </c>
      <c r="O696" s="30">
        <v>-149.02366666666651</v>
      </c>
      <c r="P696" s="30">
        <v>-11.543273947844037</v>
      </c>
      <c r="Q696" s="30">
        <v>-13.851928737412841</v>
      </c>
    </row>
    <row r="697">
      <c r="A697" s="47">
        <v>1.1236521956E10</v>
      </c>
      <c r="B697" s="48">
        <v>46157.61056712963</v>
      </c>
      <c r="C697" s="30">
        <v>3.851276335E9</v>
      </c>
      <c r="D697" s="47" t="s">
        <v>1509</v>
      </c>
      <c r="E697" s="30">
        <v>727.0</v>
      </c>
      <c r="F697" s="30">
        <v>580.0</v>
      </c>
      <c r="G697" s="30">
        <v>0.0</v>
      </c>
      <c r="H697" s="30">
        <v>0.0</v>
      </c>
      <c r="I697" s="30">
        <v>32.060700000000004</v>
      </c>
      <c r="J697" s="30">
        <v>0.0</v>
      </c>
      <c r="K697" s="30">
        <v>0.0</v>
      </c>
      <c r="L697" s="30">
        <v>0.0</v>
      </c>
      <c r="M697" s="30">
        <v>0.0</v>
      </c>
      <c r="N697" s="30">
        <v>121.16666666666663</v>
      </c>
      <c r="O697" s="30">
        <v>-6.227366666666626</v>
      </c>
      <c r="P697" s="30">
        <v>-0.8565841357175551</v>
      </c>
      <c r="Q697" s="30">
        <v>-1.027900962861066</v>
      </c>
    </row>
    <row r="698">
      <c r="A698" s="47">
        <v>1.1237218179E10</v>
      </c>
      <c r="B698" s="48">
        <v>46157.74826388889</v>
      </c>
      <c r="C698" s="30">
        <v>3.85186035E9</v>
      </c>
      <c r="D698" s="47" t="s">
        <v>1509</v>
      </c>
      <c r="E698" s="30">
        <v>659.0</v>
      </c>
      <c r="F698" s="30">
        <v>420.0</v>
      </c>
      <c r="G698" s="30">
        <v>0.0</v>
      </c>
      <c r="H698" s="30">
        <v>0.0</v>
      </c>
      <c r="I698" s="30">
        <v>97.86149999999999</v>
      </c>
      <c r="J698" s="30">
        <v>0.0</v>
      </c>
      <c r="K698" s="30">
        <v>0.0</v>
      </c>
      <c r="L698" s="30">
        <v>0.0</v>
      </c>
      <c r="M698" s="30">
        <v>0.0</v>
      </c>
      <c r="N698" s="30">
        <v>109.83333333333326</v>
      </c>
      <c r="O698" s="30">
        <v>31.305166666666764</v>
      </c>
      <c r="P698" s="30">
        <v>4.750404653515442</v>
      </c>
      <c r="Q698" s="30">
        <v>5.70048558421853</v>
      </c>
    </row>
    <row r="699">
      <c r="A699" s="47">
        <v>1.1236722977E10</v>
      </c>
      <c r="B699" s="48">
        <v>46157.64971064815</v>
      </c>
      <c r="C699" s="30">
        <v>3.851440555E9</v>
      </c>
      <c r="D699" s="47" t="s">
        <v>1509</v>
      </c>
      <c r="E699" s="30">
        <v>1458.0</v>
      </c>
      <c r="F699" s="30">
        <v>1160.0</v>
      </c>
      <c r="G699" s="30">
        <v>0.0</v>
      </c>
      <c r="H699" s="30">
        <v>0.0</v>
      </c>
      <c r="I699" s="30">
        <v>72.171</v>
      </c>
      <c r="J699" s="30">
        <v>0.0</v>
      </c>
      <c r="K699" s="30">
        <v>0.0</v>
      </c>
      <c r="L699" s="30">
        <v>0.0</v>
      </c>
      <c r="M699" s="30">
        <v>0.0</v>
      </c>
      <c r="N699" s="30">
        <v>243.0</v>
      </c>
      <c r="O699" s="30">
        <v>-17.170999999999992</v>
      </c>
      <c r="P699" s="30">
        <v>-1.177709190672153</v>
      </c>
      <c r="Q699" s="30">
        <v>-1.4132510288065838</v>
      </c>
    </row>
    <row r="700">
      <c r="A700" s="47">
        <v>1.1235539973E10</v>
      </c>
      <c r="B700" s="48">
        <v>46157.06800925926</v>
      </c>
      <c r="C700" s="30">
        <v>3.850236255E9</v>
      </c>
      <c r="D700" s="47" t="s">
        <v>1509</v>
      </c>
      <c r="E700" s="30">
        <v>575.0</v>
      </c>
      <c r="F700" s="30">
        <v>240.0</v>
      </c>
      <c r="G700" s="30">
        <v>0.0</v>
      </c>
      <c r="H700" s="30">
        <v>0.0</v>
      </c>
      <c r="I700" s="30">
        <v>103.5</v>
      </c>
      <c r="J700" s="30">
        <v>0.0</v>
      </c>
      <c r="K700" s="30">
        <v>0.0</v>
      </c>
      <c r="L700" s="30">
        <v>0.0</v>
      </c>
      <c r="M700" s="30">
        <v>0.0</v>
      </c>
      <c r="N700" s="30">
        <v>95.83333333333331</v>
      </c>
      <c r="O700" s="30">
        <v>135.66666666666669</v>
      </c>
      <c r="P700" s="30">
        <v>23.59420289855073</v>
      </c>
      <c r="Q700" s="30">
        <v>28.313043478260873</v>
      </c>
    </row>
    <row r="701">
      <c r="A701" s="47">
        <v>1.1235384657E10</v>
      </c>
      <c r="B701" s="48">
        <v>46157.03493055556</v>
      </c>
      <c r="C701" s="30">
        <v>3.850088204E9</v>
      </c>
      <c r="D701" s="47" t="s">
        <v>1509</v>
      </c>
      <c r="E701" s="30">
        <v>2908.0</v>
      </c>
      <c r="F701" s="30">
        <v>2320.0</v>
      </c>
      <c r="G701" s="30">
        <v>0.0</v>
      </c>
      <c r="H701" s="30">
        <v>0.0</v>
      </c>
      <c r="I701" s="30">
        <v>128.24280000000002</v>
      </c>
      <c r="J701" s="30">
        <v>0.0</v>
      </c>
      <c r="K701" s="30">
        <v>0.0</v>
      </c>
      <c r="L701" s="30">
        <v>0.0</v>
      </c>
      <c r="M701" s="30">
        <v>0.0</v>
      </c>
      <c r="N701" s="30">
        <v>484.6666666666665</v>
      </c>
      <c r="O701" s="30">
        <v>-24.909466666666503</v>
      </c>
      <c r="P701" s="30">
        <v>-0.8565841357175551</v>
      </c>
      <c r="Q701" s="30">
        <v>-1.027900962861066</v>
      </c>
    </row>
    <row r="702">
      <c r="A702" s="47">
        <v>1.1235023269E10</v>
      </c>
      <c r="B702" s="48">
        <v>46156.96171296296</v>
      </c>
      <c r="C702" s="30">
        <v>3.849778822E9</v>
      </c>
      <c r="D702" s="47" t="s">
        <v>1509</v>
      </c>
      <c r="E702" s="30">
        <v>727.0</v>
      </c>
      <c r="F702" s="30">
        <v>580.0</v>
      </c>
      <c r="G702" s="30">
        <v>0.0</v>
      </c>
      <c r="H702" s="30">
        <v>0.0</v>
      </c>
      <c r="I702" s="30">
        <v>32.060700000000004</v>
      </c>
      <c r="J702" s="30">
        <v>0.0</v>
      </c>
      <c r="K702" s="30">
        <v>0.0</v>
      </c>
      <c r="L702" s="30">
        <v>0.0</v>
      </c>
      <c r="M702" s="30">
        <v>0.0</v>
      </c>
      <c r="N702" s="30">
        <v>121.16666666666663</v>
      </c>
      <c r="O702" s="30">
        <v>-6.227366666666626</v>
      </c>
      <c r="P702" s="30">
        <v>-0.8565841357175551</v>
      </c>
      <c r="Q702" s="30">
        <v>-1.027900962861066</v>
      </c>
    </row>
    <row r="703">
      <c r="A703" s="47">
        <v>1.1238307259E10</v>
      </c>
      <c r="B703" s="48">
        <v>46157.96618055556</v>
      </c>
      <c r="C703" s="30">
        <v>3.85267616E9</v>
      </c>
      <c r="D703" s="47" t="s">
        <v>1513</v>
      </c>
      <c r="E703" s="30">
        <v>1291.0</v>
      </c>
      <c r="F703" s="30">
        <v>1190.0</v>
      </c>
      <c r="G703" s="30">
        <v>0.0</v>
      </c>
      <c r="H703" s="30">
        <v>0.0</v>
      </c>
      <c r="I703" s="30">
        <v>34.857</v>
      </c>
      <c r="J703" s="30">
        <v>0.0</v>
      </c>
      <c r="K703" s="30">
        <v>0.0</v>
      </c>
      <c r="L703" s="30">
        <v>0.0</v>
      </c>
      <c r="M703" s="30">
        <v>0.0</v>
      </c>
      <c r="N703" s="30">
        <v>215.16666666666652</v>
      </c>
      <c r="O703" s="30">
        <v>-149.02366666666651</v>
      </c>
      <c r="P703" s="30">
        <v>-11.543273947844037</v>
      </c>
      <c r="Q703" s="30">
        <v>-13.851928737412841</v>
      </c>
    </row>
    <row r="704">
      <c r="A704" s="47">
        <v>1.1238851445E10</v>
      </c>
      <c r="B704" s="48">
        <v>46158.075162037036</v>
      </c>
      <c r="C704" s="30">
        <v>3.853118478E9</v>
      </c>
      <c r="D704" s="47" t="s">
        <v>1509</v>
      </c>
      <c r="E704" s="30">
        <v>1267.9</v>
      </c>
      <c r="F704" s="30">
        <v>1160.0</v>
      </c>
      <c r="G704" s="30">
        <v>0.0</v>
      </c>
      <c r="H704" s="30">
        <v>0.0</v>
      </c>
      <c r="I704" s="30">
        <v>57.0555</v>
      </c>
      <c r="J704" s="30">
        <v>0.0</v>
      </c>
      <c r="K704" s="30">
        <v>0.0</v>
      </c>
      <c r="L704" s="30">
        <v>0.0</v>
      </c>
      <c r="M704" s="30">
        <v>0.0</v>
      </c>
      <c r="N704" s="30">
        <v>211.3166666666666</v>
      </c>
      <c r="O704" s="30">
        <v>-160.4721666666665</v>
      </c>
      <c r="P704" s="30">
        <v>-12.656531797986158</v>
      </c>
      <c r="Q704" s="30">
        <v>-15.18783815758339</v>
      </c>
    </row>
    <row r="705">
      <c r="A705" s="47">
        <v>1.1246441845E10</v>
      </c>
      <c r="B705" s="48">
        <v>46160.635729166665</v>
      </c>
      <c r="C705" s="30">
        <v>3.859504659E9</v>
      </c>
      <c r="D705" s="47" t="s">
        <v>1511</v>
      </c>
      <c r="E705" s="30">
        <v>1428.98</v>
      </c>
      <c r="F705" s="30">
        <v>792.0</v>
      </c>
      <c r="G705" s="30">
        <v>0.0</v>
      </c>
      <c r="H705" s="30">
        <v>0.0</v>
      </c>
      <c r="I705" s="30">
        <v>162.0819</v>
      </c>
      <c r="J705" s="30">
        <v>0.0</v>
      </c>
      <c r="K705" s="30">
        <v>0.0</v>
      </c>
      <c r="L705" s="30">
        <v>0.0</v>
      </c>
      <c r="M705" s="30">
        <v>0.0</v>
      </c>
      <c r="N705" s="30">
        <v>238.1633333333333</v>
      </c>
      <c r="O705" s="30">
        <v>236.7347666666667</v>
      </c>
      <c r="P705" s="30">
        <v>16.566695591727434</v>
      </c>
      <c r="Q705" s="30">
        <v>19.880034710072923</v>
      </c>
    </row>
    <row r="706">
      <c r="A706" s="47">
        <v>1.1238612291E10</v>
      </c>
      <c r="B706" s="48">
        <v>46158.02439814815</v>
      </c>
      <c r="C706" s="30">
        <v>3.852909458E9</v>
      </c>
      <c r="D706" s="47" t="s">
        <v>1509</v>
      </c>
      <c r="E706" s="30">
        <v>729.0</v>
      </c>
      <c r="F706" s="30">
        <v>580.0</v>
      </c>
      <c r="G706" s="30">
        <v>0.0</v>
      </c>
      <c r="H706" s="30">
        <v>0.0</v>
      </c>
      <c r="I706" s="30">
        <v>36.0855</v>
      </c>
      <c r="J706" s="30">
        <v>0.0</v>
      </c>
      <c r="K706" s="30">
        <v>0.0</v>
      </c>
      <c r="L706" s="30">
        <v>0.0</v>
      </c>
      <c r="M706" s="30">
        <v>0.0</v>
      </c>
      <c r="N706" s="30">
        <v>121.5</v>
      </c>
      <c r="O706" s="30">
        <v>-8.585499999999996</v>
      </c>
      <c r="P706" s="30">
        <v>-1.177709190672153</v>
      </c>
      <c r="Q706" s="30">
        <v>-1.4132510288065838</v>
      </c>
    </row>
    <row r="707">
      <c r="A707" s="47">
        <v>1.1237767383E10</v>
      </c>
      <c r="B707" s="48">
        <v>46157.86283564815</v>
      </c>
      <c r="C707" s="30">
        <v>3.852304676E9</v>
      </c>
      <c r="D707" s="47" t="s">
        <v>1509</v>
      </c>
      <c r="E707" s="30">
        <v>1291.0</v>
      </c>
      <c r="F707" s="30">
        <v>1190.0</v>
      </c>
      <c r="G707" s="30">
        <v>0.0</v>
      </c>
      <c r="H707" s="30">
        <v>0.0</v>
      </c>
      <c r="I707" s="30">
        <v>34.857</v>
      </c>
      <c r="J707" s="30">
        <v>0.0</v>
      </c>
      <c r="K707" s="30">
        <v>0.0</v>
      </c>
      <c r="L707" s="30">
        <v>0.0</v>
      </c>
      <c r="M707" s="30">
        <v>0.0</v>
      </c>
      <c r="N707" s="30">
        <v>215.16666666666652</v>
      </c>
      <c r="O707" s="30">
        <v>-149.02366666666651</v>
      </c>
      <c r="P707" s="30">
        <v>-11.543273947844037</v>
      </c>
      <c r="Q707" s="30">
        <v>-13.851928737412841</v>
      </c>
    </row>
    <row r="708">
      <c r="A708" s="47">
        <v>1.1238428335E10</v>
      </c>
      <c r="B708" s="48">
        <v>46157.989282407405</v>
      </c>
      <c r="C708" s="30">
        <v>3.852763336E9</v>
      </c>
      <c r="D708" s="47" t="s">
        <v>1509</v>
      </c>
      <c r="E708" s="30">
        <v>729.0</v>
      </c>
      <c r="F708" s="30">
        <v>580.0</v>
      </c>
      <c r="G708" s="30">
        <v>0.0</v>
      </c>
      <c r="H708" s="30">
        <v>0.0</v>
      </c>
      <c r="I708" s="30">
        <v>36.0855</v>
      </c>
      <c r="J708" s="30">
        <v>0.0</v>
      </c>
      <c r="K708" s="30">
        <v>0.0</v>
      </c>
      <c r="L708" s="30">
        <v>0.0</v>
      </c>
      <c r="M708" s="30">
        <v>0.0</v>
      </c>
      <c r="N708" s="30">
        <v>121.5</v>
      </c>
      <c r="O708" s="30">
        <v>-8.585499999999996</v>
      </c>
      <c r="P708" s="30">
        <v>-1.177709190672153</v>
      </c>
      <c r="Q708" s="30">
        <v>-1.4132510288065838</v>
      </c>
    </row>
    <row r="709">
      <c r="A709" s="47">
        <v>1.1238430503E10</v>
      </c>
      <c r="B709" s="48">
        <v>46157.98971064815</v>
      </c>
      <c r="C709" s="30">
        <v>3.852766958E9</v>
      </c>
      <c r="D709" s="47" t="s">
        <v>1509</v>
      </c>
      <c r="E709" s="30">
        <v>729.0</v>
      </c>
      <c r="F709" s="30">
        <v>580.0</v>
      </c>
      <c r="G709" s="30">
        <v>0.0</v>
      </c>
      <c r="H709" s="30">
        <v>0.0</v>
      </c>
      <c r="I709" s="30">
        <v>36.0855</v>
      </c>
      <c r="J709" s="30">
        <v>0.0</v>
      </c>
      <c r="K709" s="30">
        <v>0.0</v>
      </c>
      <c r="L709" s="30">
        <v>0.0</v>
      </c>
      <c r="M709" s="30">
        <v>0.0</v>
      </c>
      <c r="N709" s="30">
        <v>121.5</v>
      </c>
      <c r="O709" s="30">
        <v>-8.585499999999996</v>
      </c>
      <c r="P709" s="30">
        <v>-1.177709190672153</v>
      </c>
      <c r="Q709" s="30">
        <v>-1.4132510288065838</v>
      </c>
    </row>
    <row r="710">
      <c r="A710" s="47">
        <v>1.1231306587E10</v>
      </c>
      <c r="B710" s="48">
        <v>46155.853483796294</v>
      </c>
      <c r="C710" s="30">
        <v>3.846519057E9</v>
      </c>
      <c r="D710" s="47" t="s">
        <v>1509</v>
      </c>
      <c r="E710" s="30">
        <v>1864.0</v>
      </c>
      <c r="F710" s="30">
        <v>1535.52</v>
      </c>
      <c r="G710" s="30">
        <v>0.0</v>
      </c>
      <c r="H710" s="30">
        <v>0.0</v>
      </c>
      <c r="I710" s="30">
        <v>80.5248</v>
      </c>
      <c r="J710" s="30">
        <v>0.0</v>
      </c>
      <c r="K710" s="30">
        <v>0.0</v>
      </c>
      <c r="L710" s="30">
        <v>0.0</v>
      </c>
      <c r="M710" s="30">
        <v>0.0</v>
      </c>
      <c r="N710" s="30">
        <v>310.6666666666665</v>
      </c>
      <c r="O710" s="30">
        <v>-62.711466666666496</v>
      </c>
      <c r="P710" s="30">
        <v>-3.364349070100134</v>
      </c>
      <c r="Q710" s="30">
        <v>-4.03721888412016</v>
      </c>
    </row>
    <row r="711">
      <c r="A711" s="47">
        <v>1.1238626227E10</v>
      </c>
      <c r="B711" s="48">
        <v>46158.02730324074</v>
      </c>
      <c r="C711" s="30">
        <v>3.852921452E9</v>
      </c>
      <c r="D711" s="47" t="s">
        <v>1509</v>
      </c>
      <c r="E711" s="30">
        <v>1291.0</v>
      </c>
      <c r="F711" s="30">
        <v>1190.0</v>
      </c>
      <c r="G711" s="30">
        <v>0.0</v>
      </c>
      <c r="H711" s="30">
        <v>0.0</v>
      </c>
      <c r="I711" s="30">
        <v>34.857</v>
      </c>
      <c r="J711" s="30">
        <v>0.0</v>
      </c>
      <c r="K711" s="30">
        <v>0.0</v>
      </c>
      <c r="L711" s="30">
        <v>0.0</v>
      </c>
      <c r="M711" s="30">
        <v>0.0</v>
      </c>
      <c r="N711" s="30">
        <v>215.16666666666652</v>
      </c>
      <c r="O711" s="30">
        <v>-149.02366666666651</v>
      </c>
      <c r="P711" s="30">
        <v>-11.543273947844037</v>
      </c>
      <c r="Q711" s="30">
        <v>-13.851928737412841</v>
      </c>
    </row>
    <row r="712">
      <c r="A712" s="47">
        <v>1.1237983735E10</v>
      </c>
      <c r="B712" s="48">
        <v>46157.90482638889</v>
      </c>
      <c r="C712" s="30">
        <v>3.852451239E9</v>
      </c>
      <c r="D712" s="47" t="s">
        <v>1509</v>
      </c>
      <c r="E712" s="30">
        <v>1291.0</v>
      </c>
      <c r="F712" s="30">
        <v>1190.0</v>
      </c>
      <c r="G712" s="30">
        <v>0.0</v>
      </c>
      <c r="H712" s="30">
        <v>0.0</v>
      </c>
      <c r="I712" s="30">
        <v>34.857</v>
      </c>
      <c r="J712" s="30">
        <v>0.0</v>
      </c>
      <c r="K712" s="30">
        <v>0.0</v>
      </c>
      <c r="L712" s="30">
        <v>0.0</v>
      </c>
      <c r="M712" s="30">
        <v>0.0</v>
      </c>
      <c r="N712" s="30">
        <v>215.16666666666652</v>
      </c>
      <c r="O712" s="30">
        <v>-149.02366666666651</v>
      </c>
      <c r="P712" s="30">
        <v>-11.543273947844037</v>
      </c>
      <c r="Q712" s="30">
        <v>-13.851928737412841</v>
      </c>
    </row>
    <row r="713">
      <c r="A713" s="47">
        <v>1.1238478328E10</v>
      </c>
      <c r="B713" s="48">
        <v>46157.99884259259</v>
      </c>
      <c r="C713" s="30">
        <v>3.852801139E9</v>
      </c>
      <c r="D713" s="47" t="s">
        <v>1509</v>
      </c>
      <c r="E713" s="30">
        <v>1291.0</v>
      </c>
      <c r="F713" s="30">
        <v>1190.0</v>
      </c>
      <c r="G713" s="30">
        <v>0.0</v>
      </c>
      <c r="H713" s="30">
        <v>0.0</v>
      </c>
      <c r="I713" s="30">
        <v>34.857</v>
      </c>
      <c r="J713" s="30">
        <v>0.0</v>
      </c>
      <c r="K713" s="30">
        <v>0.0</v>
      </c>
      <c r="L713" s="30">
        <v>0.0</v>
      </c>
      <c r="M713" s="30">
        <v>0.0</v>
      </c>
      <c r="N713" s="30">
        <v>215.16666666666652</v>
      </c>
      <c r="O713" s="30">
        <v>-149.02366666666651</v>
      </c>
      <c r="P713" s="30">
        <v>-11.543273947844037</v>
      </c>
      <c r="Q713" s="30">
        <v>-13.851928737412841</v>
      </c>
    </row>
    <row r="714">
      <c r="A714" s="47">
        <v>1.1238065783E10</v>
      </c>
      <c r="B714" s="48">
        <v>46157.92047453704</v>
      </c>
      <c r="C714" s="30">
        <v>3.852505945E9</v>
      </c>
      <c r="D714" s="47" t="s">
        <v>1509</v>
      </c>
      <c r="E714" s="30">
        <v>659.0</v>
      </c>
      <c r="F714" s="30">
        <v>420.0</v>
      </c>
      <c r="G714" s="30">
        <v>0.0</v>
      </c>
      <c r="H714" s="30">
        <v>0.0</v>
      </c>
      <c r="I714" s="30">
        <v>97.86149999999999</v>
      </c>
      <c r="J714" s="30">
        <v>0.0</v>
      </c>
      <c r="K714" s="30">
        <v>0.0</v>
      </c>
      <c r="L714" s="30">
        <v>0.0</v>
      </c>
      <c r="M714" s="30">
        <v>0.0</v>
      </c>
      <c r="N714" s="30">
        <v>109.83333333333326</v>
      </c>
      <c r="O714" s="30">
        <v>31.305166666666764</v>
      </c>
      <c r="P714" s="30">
        <v>4.750404653515442</v>
      </c>
      <c r="Q714" s="30">
        <v>5.70048558421853</v>
      </c>
    </row>
    <row r="715">
      <c r="A715" s="47">
        <v>1.1238868211E10</v>
      </c>
      <c r="B715" s="48">
        <v>46158.07894675926</v>
      </c>
      <c r="C715" s="30">
        <v>3.853134092E9</v>
      </c>
      <c r="D715" s="47" t="s">
        <v>1509</v>
      </c>
      <c r="E715" s="30">
        <v>729.0</v>
      </c>
      <c r="F715" s="30">
        <v>580.0</v>
      </c>
      <c r="G715" s="30">
        <v>0.0</v>
      </c>
      <c r="H715" s="30">
        <v>0.0</v>
      </c>
      <c r="I715" s="30">
        <v>36.0855</v>
      </c>
      <c r="J715" s="30">
        <v>0.0</v>
      </c>
      <c r="K715" s="30">
        <v>0.0</v>
      </c>
      <c r="L715" s="30">
        <v>0.0</v>
      </c>
      <c r="M715" s="30">
        <v>0.0</v>
      </c>
      <c r="N715" s="30">
        <v>121.5</v>
      </c>
      <c r="O715" s="30">
        <v>-8.585499999999996</v>
      </c>
      <c r="P715" s="30">
        <v>-1.177709190672153</v>
      </c>
      <c r="Q715" s="30">
        <v>-1.4132510288065838</v>
      </c>
    </row>
    <row r="716">
      <c r="A716" s="47">
        <v>1.1237825699E10</v>
      </c>
      <c r="B716" s="48">
        <v>46157.874456018515</v>
      </c>
      <c r="C716" s="30">
        <v>3.852347165E9</v>
      </c>
      <c r="D716" s="47" t="s">
        <v>1509</v>
      </c>
      <c r="E716" s="30">
        <v>1291.0</v>
      </c>
      <c r="F716" s="30">
        <v>1190.0</v>
      </c>
      <c r="G716" s="30">
        <v>0.0</v>
      </c>
      <c r="H716" s="30">
        <v>0.0</v>
      </c>
      <c r="I716" s="30">
        <v>34.857</v>
      </c>
      <c r="J716" s="30">
        <v>0.0</v>
      </c>
      <c r="K716" s="30">
        <v>0.0</v>
      </c>
      <c r="L716" s="30">
        <v>0.0</v>
      </c>
      <c r="M716" s="30">
        <v>0.0</v>
      </c>
      <c r="N716" s="30">
        <v>215.16666666666652</v>
      </c>
      <c r="O716" s="30">
        <v>-149.02366666666651</v>
      </c>
      <c r="P716" s="30">
        <v>-11.543273947844037</v>
      </c>
      <c r="Q716" s="30">
        <v>-13.851928737412841</v>
      </c>
    </row>
    <row r="717">
      <c r="A717" s="47">
        <v>1.1237447159E10</v>
      </c>
      <c r="B717" s="48">
        <v>46157.796423611115</v>
      </c>
      <c r="C717" s="30">
        <v>3.852054469E9</v>
      </c>
      <c r="D717" s="47" t="s">
        <v>1509</v>
      </c>
      <c r="E717" s="30">
        <v>729.0</v>
      </c>
      <c r="F717" s="30">
        <v>580.0</v>
      </c>
      <c r="G717" s="30">
        <v>0.0</v>
      </c>
      <c r="H717" s="30">
        <v>0.0</v>
      </c>
      <c r="I717" s="30">
        <v>36.0855</v>
      </c>
      <c r="J717" s="30">
        <v>0.0</v>
      </c>
      <c r="K717" s="30">
        <v>0.0</v>
      </c>
      <c r="L717" s="30">
        <v>0.0</v>
      </c>
      <c r="M717" s="30">
        <v>0.0</v>
      </c>
      <c r="N717" s="30">
        <v>121.5</v>
      </c>
      <c r="O717" s="30">
        <v>-8.585499999999996</v>
      </c>
      <c r="P717" s="30">
        <v>-1.177709190672153</v>
      </c>
      <c r="Q717" s="30">
        <v>-1.4132510288065838</v>
      </c>
    </row>
    <row r="718">
      <c r="A718" s="47">
        <v>1.1234730744E10</v>
      </c>
      <c r="B718" s="48">
        <v>46156.902407407404</v>
      </c>
      <c r="C718" s="30">
        <v>3.849564865E9</v>
      </c>
      <c r="D718" s="47" t="s">
        <v>1509</v>
      </c>
      <c r="E718" s="30">
        <v>1299.0</v>
      </c>
      <c r="F718" s="30">
        <v>1190.0</v>
      </c>
      <c r="G718" s="30">
        <v>0.0</v>
      </c>
      <c r="H718" s="30">
        <v>0.0</v>
      </c>
      <c r="I718" s="30">
        <v>35.073</v>
      </c>
      <c r="J718" s="30">
        <v>0.0</v>
      </c>
      <c r="K718" s="30">
        <v>0.0</v>
      </c>
      <c r="L718" s="30">
        <v>0.0</v>
      </c>
      <c r="M718" s="30">
        <v>0.0</v>
      </c>
      <c r="N718" s="30">
        <v>216.5</v>
      </c>
      <c r="O718" s="30">
        <v>-142.573</v>
      </c>
      <c r="P718" s="30">
        <v>-10.97559661277906</v>
      </c>
      <c r="Q718" s="30">
        <v>-13.170715935334872</v>
      </c>
    </row>
    <row r="719">
      <c r="A719" s="47">
        <v>1.1236668059E10</v>
      </c>
      <c r="B719" s="48">
        <v>46157.63924768518</v>
      </c>
      <c r="C719" s="30">
        <v>3.851396902E9</v>
      </c>
      <c r="D719" s="47" t="s">
        <v>1509</v>
      </c>
      <c r="E719" s="30">
        <v>1454.0</v>
      </c>
      <c r="F719" s="30">
        <v>1160.0</v>
      </c>
      <c r="G719" s="30">
        <v>0.0</v>
      </c>
      <c r="H719" s="30">
        <v>0.0</v>
      </c>
      <c r="I719" s="30">
        <v>64.12140000000001</v>
      </c>
      <c r="J719" s="30">
        <v>0.0</v>
      </c>
      <c r="K719" s="30">
        <v>0.0</v>
      </c>
      <c r="L719" s="30">
        <v>0.0</v>
      </c>
      <c r="M719" s="30">
        <v>0.0</v>
      </c>
      <c r="N719" s="30">
        <v>242.33333333333326</v>
      </c>
      <c r="O719" s="30">
        <v>-12.454733333333252</v>
      </c>
      <c r="P719" s="30">
        <v>-0.8565841357175551</v>
      </c>
      <c r="Q719" s="30">
        <v>-1.027900962861066</v>
      </c>
    </row>
    <row r="720">
      <c r="A720" s="47">
        <v>1.1237212963E10</v>
      </c>
      <c r="B720" s="48">
        <v>46157.7471875</v>
      </c>
      <c r="C720" s="30">
        <v>3.851855847E9</v>
      </c>
      <c r="D720" s="47" t="s">
        <v>1509</v>
      </c>
      <c r="E720" s="30">
        <v>926.0</v>
      </c>
      <c r="F720" s="30">
        <v>633.0</v>
      </c>
      <c r="G720" s="30">
        <v>0.0</v>
      </c>
      <c r="H720" s="30">
        <v>0.0</v>
      </c>
      <c r="I720" s="30">
        <v>81.731628</v>
      </c>
      <c r="J720" s="30">
        <v>0.0</v>
      </c>
      <c r="K720" s="30">
        <v>0.0</v>
      </c>
      <c r="L720" s="30">
        <v>0.0</v>
      </c>
      <c r="M720" s="30">
        <v>0.0</v>
      </c>
      <c r="N720" s="30">
        <v>154.3333333333333</v>
      </c>
      <c r="O720" s="30">
        <v>56.93503866666671</v>
      </c>
      <c r="P720" s="30">
        <v>6.148492296616276</v>
      </c>
      <c r="Q720" s="30">
        <v>7.3781907559395306</v>
      </c>
    </row>
    <row r="721">
      <c r="A721" s="47">
        <v>1.1238452686E10</v>
      </c>
      <c r="B721" s="48">
        <v>46157.9940625</v>
      </c>
      <c r="C721" s="30">
        <v>3.85278634E9</v>
      </c>
      <c r="D721" s="47" t="s">
        <v>1509</v>
      </c>
      <c r="E721" s="30">
        <v>729.0</v>
      </c>
      <c r="F721" s="30">
        <v>580.0</v>
      </c>
      <c r="G721" s="30">
        <v>0.0</v>
      </c>
      <c r="H721" s="30">
        <v>0.0</v>
      </c>
      <c r="I721" s="30">
        <v>36.0855</v>
      </c>
      <c r="J721" s="30">
        <v>0.0</v>
      </c>
      <c r="K721" s="30">
        <v>0.0</v>
      </c>
      <c r="L721" s="30">
        <v>0.0</v>
      </c>
      <c r="M721" s="30">
        <v>0.0</v>
      </c>
      <c r="N721" s="30">
        <v>121.5</v>
      </c>
      <c r="O721" s="30">
        <v>-8.585499999999996</v>
      </c>
      <c r="P721" s="30">
        <v>-1.177709190672153</v>
      </c>
      <c r="Q721" s="30">
        <v>-1.4132510288065838</v>
      </c>
    </row>
    <row r="722">
      <c r="A722" s="47">
        <v>1.1238912676E10</v>
      </c>
      <c r="B722" s="48">
        <v>46158.08918981482</v>
      </c>
      <c r="C722" s="30">
        <v>3.853172639E9</v>
      </c>
      <c r="D722" s="47" t="s">
        <v>1509</v>
      </c>
      <c r="E722" s="30">
        <v>1267.9</v>
      </c>
      <c r="F722" s="30">
        <v>1160.0</v>
      </c>
      <c r="G722" s="30">
        <v>0.0</v>
      </c>
      <c r="H722" s="30">
        <v>0.0</v>
      </c>
      <c r="I722" s="30">
        <v>57.0555</v>
      </c>
      <c r="J722" s="30">
        <v>0.0</v>
      </c>
      <c r="K722" s="30">
        <v>0.0</v>
      </c>
      <c r="L722" s="30">
        <v>0.0</v>
      </c>
      <c r="M722" s="30">
        <v>0.0</v>
      </c>
      <c r="N722" s="30">
        <v>211.3166666666666</v>
      </c>
      <c r="O722" s="30">
        <v>-160.4721666666665</v>
      </c>
      <c r="P722" s="30">
        <v>-12.656531797986158</v>
      </c>
      <c r="Q722" s="30">
        <v>-15.18783815758339</v>
      </c>
    </row>
    <row r="723">
      <c r="A723" s="47">
        <v>1.123444308E10</v>
      </c>
      <c r="B723" s="48">
        <v>46156.842673611114</v>
      </c>
      <c r="C723" s="30">
        <v>3.84935133E9</v>
      </c>
      <c r="D723" s="47" t="s">
        <v>1509</v>
      </c>
      <c r="E723" s="30">
        <v>948.0</v>
      </c>
      <c r="F723" s="30">
        <v>580.0</v>
      </c>
      <c r="G723" s="30">
        <v>0.0</v>
      </c>
      <c r="H723" s="30">
        <v>0.0</v>
      </c>
      <c r="I723" s="30">
        <v>115.182</v>
      </c>
      <c r="J723" s="30">
        <v>0.0</v>
      </c>
      <c r="K723" s="30">
        <v>0.0</v>
      </c>
      <c r="L723" s="30">
        <v>0.0</v>
      </c>
      <c r="M723" s="30">
        <v>0.0</v>
      </c>
      <c r="N723" s="30">
        <v>158.0</v>
      </c>
      <c r="O723" s="30">
        <v>94.81799999999998</v>
      </c>
      <c r="P723" s="30">
        <v>10.001898734177212</v>
      </c>
      <c r="Q723" s="30">
        <v>12.002278481012656</v>
      </c>
    </row>
    <row r="724">
      <c r="A724" s="47">
        <v>1.1238669753E10</v>
      </c>
      <c r="B724" s="48">
        <v>46158.036099537036</v>
      </c>
      <c r="C724" s="30">
        <v>3.852963166E9</v>
      </c>
      <c r="D724" s="47" t="s">
        <v>1509</v>
      </c>
      <c r="E724" s="30">
        <v>1536.0</v>
      </c>
      <c r="F724" s="30">
        <v>1160.0</v>
      </c>
      <c r="G724" s="30">
        <v>0.0</v>
      </c>
      <c r="H724" s="30">
        <v>0.0</v>
      </c>
      <c r="I724" s="30">
        <v>56.6784</v>
      </c>
      <c r="J724" s="30">
        <v>0.0</v>
      </c>
      <c r="K724" s="30">
        <v>0.0</v>
      </c>
      <c r="L724" s="30">
        <v>0.0</v>
      </c>
      <c r="M724" s="30">
        <v>0.0</v>
      </c>
      <c r="N724" s="30">
        <v>256.0</v>
      </c>
      <c r="O724" s="30">
        <v>63.32159999999999</v>
      </c>
      <c r="P724" s="30">
        <v>4.122499999999999</v>
      </c>
      <c r="Q724" s="30">
        <v>4.946999999999999</v>
      </c>
    </row>
    <row r="725">
      <c r="A725" s="47">
        <v>1.1234898411E10</v>
      </c>
      <c r="B725" s="48">
        <v>46156.93618055555</v>
      </c>
      <c r="C725" s="30">
        <v>3.849685353E9</v>
      </c>
      <c r="D725" s="47" t="s">
        <v>1509</v>
      </c>
      <c r="E725" s="30">
        <v>727.0</v>
      </c>
      <c r="F725" s="30">
        <v>580.0</v>
      </c>
      <c r="G725" s="30">
        <v>0.0</v>
      </c>
      <c r="H725" s="30">
        <v>0.0</v>
      </c>
      <c r="I725" s="30">
        <v>32.060700000000004</v>
      </c>
      <c r="J725" s="30">
        <v>0.0</v>
      </c>
      <c r="K725" s="30">
        <v>0.0</v>
      </c>
      <c r="L725" s="30">
        <v>0.0</v>
      </c>
      <c r="M725" s="30">
        <v>0.0</v>
      </c>
      <c r="N725" s="30">
        <v>121.16666666666663</v>
      </c>
      <c r="O725" s="30">
        <v>-6.227366666666626</v>
      </c>
      <c r="P725" s="30">
        <v>-0.8565841357175551</v>
      </c>
      <c r="Q725" s="30">
        <v>-1.027900962861066</v>
      </c>
    </row>
    <row r="726">
      <c r="A726" s="47">
        <v>1.1236896524E10</v>
      </c>
      <c r="B726" s="48">
        <v>46157.68409722222</v>
      </c>
      <c r="C726" s="30">
        <v>3.851587477E9</v>
      </c>
      <c r="D726" s="47" t="s">
        <v>1509</v>
      </c>
      <c r="E726" s="30">
        <v>1267.9</v>
      </c>
      <c r="F726" s="30">
        <v>1160.0</v>
      </c>
      <c r="G726" s="30">
        <v>0.0</v>
      </c>
      <c r="H726" s="30">
        <v>0.0</v>
      </c>
      <c r="I726" s="30">
        <v>57.0555</v>
      </c>
      <c r="J726" s="30">
        <v>0.0</v>
      </c>
      <c r="K726" s="30">
        <v>0.0</v>
      </c>
      <c r="L726" s="30">
        <v>0.0</v>
      </c>
      <c r="M726" s="30">
        <v>0.0</v>
      </c>
      <c r="N726" s="30">
        <v>211.3166666666666</v>
      </c>
      <c r="O726" s="30">
        <v>-160.4721666666665</v>
      </c>
      <c r="P726" s="30">
        <v>-12.656531797986158</v>
      </c>
      <c r="Q726" s="30">
        <v>-15.18783815758339</v>
      </c>
    </row>
    <row r="727">
      <c r="A727" s="47">
        <v>1.1238763329E10</v>
      </c>
      <c r="B727" s="48">
        <v>46158.055439814816</v>
      </c>
      <c r="C727" s="30">
        <v>3.853040315E9</v>
      </c>
      <c r="D727" s="47" t="s">
        <v>1509</v>
      </c>
      <c r="E727" s="30">
        <v>729.0</v>
      </c>
      <c r="F727" s="30">
        <v>580.0</v>
      </c>
      <c r="G727" s="30">
        <v>0.0</v>
      </c>
      <c r="H727" s="30">
        <v>0.0</v>
      </c>
      <c r="I727" s="30">
        <v>36.0855</v>
      </c>
      <c r="J727" s="30">
        <v>0.0</v>
      </c>
      <c r="K727" s="30">
        <v>0.0</v>
      </c>
      <c r="L727" s="30">
        <v>0.0</v>
      </c>
      <c r="M727" s="30">
        <v>0.0</v>
      </c>
      <c r="N727" s="30">
        <v>121.5</v>
      </c>
      <c r="O727" s="30">
        <v>-8.585499999999996</v>
      </c>
      <c r="P727" s="30">
        <v>-1.177709190672153</v>
      </c>
      <c r="Q727" s="30">
        <v>-1.4132510288065838</v>
      </c>
    </row>
    <row r="728">
      <c r="A728" s="47">
        <v>1.1246161159E10</v>
      </c>
      <c r="B728" s="48">
        <v>46160.57548611111</v>
      </c>
      <c r="C728" s="30">
        <v>3.859251334E9</v>
      </c>
      <c r="D728" s="47" t="s">
        <v>1511</v>
      </c>
      <c r="E728" s="30">
        <v>948.94</v>
      </c>
      <c r="F728" s="30">
        <v>260.0</v>
      </c>
      <c r="G728" s="30">
        <v>0.0</v>
      </c>
      <c r="H728" s="30">
        <v>0.0</v>
      </c>
      <c r="I728" s="30">
        <v>170.80920000000003</v>
      </c>
      <c r="J728" s="30">
        <v>0.0</v>
      </c>
      <c r="K728" s="30">
        <v>0.0</v>
      </c>
      <c r="L728" s="30">
        <v>0.0</v>
      </c>
      <c r="M728" s="30">
        <v>0.0</v>
      </c>
      <c r="N728" s="30">
        <v>158.15666666666664</v>
      </c>
      <c r="O728" s="30">
        <v>359.9741333333334</v>
      </c>
      <c r="P728" s="30">
        <v>37.93434077321363</v>
      </c>
      <c r="Q728" s="30">
        <v>45.52120892785635</v>
      </c>
    </row>
    <row r="729">
      <c r="A729" s="47">
        <v>1.1236851071E10</v>
      </c>
      <c r="B729" s="48">
        <v>46157.67491898148</v>
      </c>
      <c r="C729" s="30">
        <v>3.851550772E9</v>
      </c>
      <c r="D729" s="47" t="s">
        <v>1509</v>
      </c>
      <c r="E729" s="30">
        <v>727.0</v>
      </c>
      <c r="F729" s="30">
        <v>580.0</v>
      </c>
      <c r="G729" s="30">
        <v>0.0</v>
      </c>
      <c r="H729" s="30">
        <v>0.0</v>
      </c>
      <c r="I729" s="30">
        <v>32.060700000000004</v>
      </c>
      <c r="J729" s="30">
        <v>0.0</v>
      </c>
      <c r="K729" s="30">
        <v>0.0</v>
      </c>
      <c r="L729" s="30">
        <v>0.0</v>
      </c>
      <c r="M729" s="30">
        <v>0.0</v>
      </c>
      <c r="N729" s="30">
        <v>121.16666666666663</v>
      </c>
      <c r="O729" s="30">
        <v>-6.227366666666626</v>
      </c>
      <c r="P729" s="30">
        <v>-0.8565841357175551</v>
      </c>
      <c r="Q729" s="30">
        <v>-1.027900962861066</v>
      </c>
    </row>
    <row r="730">
      <c r="A730" s="47">
        <v>1.1235233439E10</v>
      </c>
      <c r="B730" s="48">
        <v>46157.00361111111</v>
      </c>
      <c r="C730" s="30">
        <v>3.84995008E9</v>
      </c>
      <c r="D730" s="47" t="s">
        <v>1509</v>
      </c>
      <c r="E730" s="30">
        <v>2187.0</v>
      </c>
      <c r="F730" s="30">
        <v>1740.0</v>
      </c>
      <c r="G730" s="30">
        <v>0.0</v>
      </c>
      <c r="H730" s="30">
        <v>0.0</v>
      </c>
      <c r="I730" s="30">
        <v>108.2565</v>
      </c>
      <c r="J730" s="30">
        <v>0.0</v>
      </c>
      <c r="K730" s="30">
        <v>0.0</v>
      </c>
      <c r="L730" s="30">
        <v>0.0</v>
      </c>
      <c r="M730" s="30">
        <v>0.0</v>
      </c>
      <c r="N730" s="30">
        <v>364.5</v>
      </c>
      <c r="O730" s="30">
        <v>-25.756500000000017</v>
      </c>
      <c r="P730" s="30">
        <v>-1.1777091906721544</v>
      </c>
      <c r="Q730" s="30">
        <v>-1.4132510288065854</v>
      </c>
    </row>
    <row r="731">
      <c r="A731" s="47">
        <v>1.1238227918E10</v>
      </c>
      <c r="B731" s="48">
        <v>46157.95087962963</v>
      </c>
      <c r="C731" s="30">
        <v>3.852620159E9</v>
      </c>
      <c r="D731" s="47" t="s">
        <v>1509</v>
      </c>
      <c r="E731" s="30">
        <v>1640.99</v>
      </c>
      <c r="F731" s="30">
        <v>1296.0</v>
      </c>
      <c r="G731" s="30">
        <v>0.0</v>
      </c>
      <c r="H731" s="30">
        <v>0.0</v>
      </c>
      <c r="I731" s="30">
        <v>97.8552</v>
      </c>
      <c r="J731" s="30">
        <v>0.0</v>
      </c>
      <c r="K731" s="30">
        <v>0.0</v>
      </c>
      <c r="L731" s="30">
        <v>0.0</v>
      </c>
      <c r="M731" s="30">
        <v>0.0</v>
      </c>
      <c r="N731" s="30">
        <v>273.49833333333316</v>
      </c>
      <c r="O731" s="30">
        <v>-26.36353333333315</v>
      </c>
      <c r="P731" s="30">
        <v>-1.606562705033739</v>
      </c>
      <c r="Q731" s="30">
        <v>-1.9278752460404864</v>
      </c>
    </row>
    <row r="732">
      <c r="A732" s="47">
        <v>1.1235252973E10</v>
      </c>
      <c r="B732" s="48">
        <v>46157.00766203704</v>
      </c>
      <c r="C732" s="30">
        <v>3.84996658E9</v>
      </c>
      <c r="D732" s="47" t="s">
        <v>1509</v>
      </c>
      <c r="E732" s="30">
        <v>1278.0</v>
      </c>
      <c r="F732" s="30">
        <v>1165.0</v>
      </c>
      <c r="G732" s="30">
        <v>0.0</v>
      </c>
      <c r="H732" s="30">
        <v>0.0</v>
      </c>
      <c r="I732" s="30">
        <v>46.008</v>
      </c>
      <c r="J732" s="30">
        <v>0.0</v>
      </c>
      <c r="K732" s="30">
        <v>0.0</v>
      </c>
      <c r="L732" s="30">
        <v>0.0</v>
      </c>
      <c r="M732" s="30">
        <v>0.0</v>
      </c>
      <c r="N732" s="30">
        <v>213.0</v>
      </c>
      <c r="O732" s="30">
        <v>-146.008</v>
      </c>
      <c r="P732" s="30">
        <v>-11.42472613458529</v>
      </c>
      <c r="Q732" s="30">
        <v>-13.709671361502348</v>
      </c>
    </row>
    <row r="733">
      <c r="A733" s="47">
        <v>1.1238121993E10</v>
      </c>
      <c r="B733" s="48">
        <v>46157.930925925924</v>
      </c>
      <c r="C733" s="30">
        <v>3.852545027E9</v>
      </c>
      <c r="D733" s="47" t="s">
        <v>1509</v>
      </c>
      <c r="E733" s="30">
        <v>1291.0</v>
      </c>
      <c r="F733" s="30">
        <v>1190.0</v>
      </c>
      <c r="G733" s="30">
        <v>0.0</v>
      </c>
      <c r="H733" s="30">
        <v>0.0</v>
      </c>
      <c r="I733" s="30">
        <v>34.857</v>
      </c>
      <c r="J733" s="30">
        <v>0.0</v>
      </c>
      <c r="K733" s="30">
        <v>0.0</v>
      </c>
      <c r="L733" s="30">
        <v>0.0</v>
      </c>
      <c r="M733" s="30">
        <v>0.0</v>
      </c>
      <c r="N733" s="30">
        <v>215.16666666666652</v>
      </c>
      <c r="O733" s="30">
        <v>-149.02366666666651</v>
      </c>
      <c r="P733" s="30">
        <v>-11.543273947844037</v>
      </c>
      <c r="Q733" s="30">
        <v>-13.851928737412841</v>
      </c>
    </row>
    <row r="734">
      <c r="A734" s="47">
        <v>1.1234270469E10</v>
      </c>
      <c r="B734" s="48">
        <v>46156.80503472222</v>
      </c>
      <c r="C734" s="30">
        <v>3.849214258E9</v>
      </c>
      <c r="D734" s="47" t="s">
        <v>1509</v>
      </c>
      <c r="E734" s="30">
        <v>1454.0</v>
      </c>
      <c r="F734" s="30">
        <v>1160.0</v>
      </c>
      <c r="G734" s="30">
        <v>0.0</v>
      </c>
      <c r="H734" s="30">
        <v>0.0</v>
      </c>
      <c r="I734" s="30">
        <v>64.12140000000001</v>
      </c>
      <c r="J734" s="30">
        <v>0.0</v>
      </c>
      <c r="K734" s="30">
        <v>0.0</v>
      </c>
      <c r="L734" s="30">
        <v>0.0</v>
      </c>
      <c r="M734" s="30">
        <v>0.0</v>
      </c>
      <c r="N734" s="30">
        <v>242.33333333333326</v>
      </c>
      <c r="O734" s="30">
        <v>-12.454733333333252</v>
      </c>
      <c r="P734" s="30">
        <v>-0.8565841357175551</v>
      </c>
      <c r="Q734" s="30">
        <v>-1.027900962861066</v>
      </c>
    </row>
    <row r="735">
      <c r="A735" s="47">
        <v>1.1237130626E10</v>
      </c>
      <c r="B735" s="48">
        <v>46157.73027777778</v>
      </c>
      <c r="C735" s="30">
        <v>3.85178548E9</v>
      </c>
      <c r="D735" s="47" t="s">
        <v>1509</v>
      </c>
      <c r="E735" s="30">
        <v>729.0</v>
      </c>
      <c r="F735" s="30">
        <v>580.0</v>
      </c>
      <c r="G735" s="30">
        <v>0.0</v>
      </c>
      <c r="H735" s="30">
        <v>0.0</v>
      </c>
      <c r="I735" s="30">
        <v>36.0855</v>
      </c>
      <c r="J735" s="30">
        <v>0.0</v>
      </c>
      <c r="K735" s="30">
        <v>0.0</v>
      </c>
      <c r="L735" s="30">
        <v>0.0</v>
      </c>
      <c r="M735" s="30">
        <v>0.0</v>
      </c>
      <c r="N735" s="30">
        <v>121.5</v>
      </c>
      <c r="O735" s="30">
        <v>-8.585499999999996</v>
      </c>
      <c r="P735" s="30">
        <v>-1.177709190672153</v>
      </c>
      <c r="Q735" s="30">
        <v>-1.4132510288065838</v>
      </c>
    </row>
    <row r="736">
      <c r="A736" s="47">
        <v>1.1233349706E10</v>
      </c>
      <c r="B736" s="48">
        <v>46156.61050925926</v>
      </c>
      <c r="C736" s="30">
        <v>3.848446499E9</v>
      </c>
      <c r="D736" s="47" t="s">
        <v>1509</v>
      </c>
      <c r="E736" s="30">
        <v>1458.0</v>
      </c>
      <c r="F736" s="30">
        <v>1160.0</v>
      </c>
      <c r="G736" s="30">
        <v>0.0</v>
      </c>
      <c r="H736" s="30">
        <v>0.0</v>
      </c>
      <c r="I736" s="30">
        <v>72.171</v>
      </c>
      <c r="J736" s="30">
        <v>0.0</v>
      </c>
      <c r="K736" s="30">
        <v>0.0</v>
      </c>
      <c r="L736" s="30">
        <v>0.0</v>
      </c>
      <c r="M736" s="30">
        <v>0.0</v>
      </c>
      <c r="N736" s="30">
        <v>243.0</v>
      </c>
      <c r="O736" s="30">
        <v>-17.170999999999992</v>
      </c>
      <c r="P736" s="30">
        <v>-1.177709190672153</v>
      </c>
      <c r="Q736" s="30">
        <v>-1.4132510288065838</v>
      </c>
    </row>
    <row r="737">
      <c r="A737" s="47">
        <v>1.1237658675E10</v>
      </c>
      <c r="B737" s="48">
        <v>46157.840520833335</v>
      </c>
      <c r="C737" s="30">
        <v>3.852221678E9</v>
      </c>
      <c r="D737" s="47" t="s">
        <v>1509</v>
      </c>
      <c r="E737" s="30">
        <v>729.0</v>
      </c>
      <c r="F737" s="30">
        <v>580.0</v>
      </c>
      <c r="G737" s="30">
        <v>0.0</v>
      </c>
      <c r="H737" s="30">
        <v>0.0</v>
      </c>
      <c r="I737" s="30">
        <v>36.0855</v>
      </c>
      <c r="J737" s="30">
        <v>0.0</v>
      </c>
      <c r="K737" s="30">
        <v>0.0</v>
      </c>
      <c r="L737" s="30">
        <v>0.0</v>
      </c>
      <c r="M737" s="30">
        <v>0.0</v>
      </c>
      <c r="N737" s="30">
        <v>121.5</v>
      </c>
      <c r="O737" s="30">
        <v>-8.585499999999996</v>
      </c>
      <c r="P737" s="30">
        <v>-1.177709190672153</v>
      </c>
      <c r="Q737" s="30">
        <v>-1.4132510288065838</v>
      </c>
    </row>
    <row r="738">
      <c r="A738" s="47">
        <v>1.1238769617E10</v>
      </c>
      <c r="B738" s="48">
        <v>46158.056805555556</v>
      </c>
      <c r="C738" s="30">
        <v>3.853044632E9</v>
      </c>
      <c r="D738" s="47" t="s">
        <v>1509</v>
      </c>
      <c r="E738" s="30">
        <v>1291.0</v>
      </c>
      <c r="F738" s="30">
        <v>1190.0</v>
      </c>
      <c r="G738" s="30">
        <v>0.0</v>
      </c>
      <c r="H738" s="30">
        <v>0.0</v>
      </c>
      <c r="I738" s="30">
        <v>34.857</v>
      </c>
      <c r="J738" s="30">
        <v>0.0</v>
      </c>
      <c r="K738" s="30">
        <v>0.0</v>
      </c>
      <c r="L738" s="30">
        <v>0.0</v>
      </c>
      <c r="M738" s="30">
        <v>0.0</v>
      </c>
      <c r="N738" s="30">
        <v>215.16666666666652</v>
      </c>
      <c r="O738" s="30">
        <v>-149.02366666666651</v>
      </c>
      <c r="P738" s="30">
        <v>-11.543273947844037</v>
      </c>
      <c r="Q738" s="30">
        <v>-13.851928737412841</v>
      </c>
    </row>
    <row r="739">
      <c r="A739" s="47">
        <v>1.1238373965E10</v>
      </c>
      <c r="B739" s="48">
        <v>46157.978854166664</v>
      </c>
      <c r="C739" s="30">
        <v>3.852724164E9</v>
      </c>
      <c r="D739" s="47" t="s">
        <v>1509</v>
      </c>
      <c r="E739" s="30">
        <v>729.0</v>
      </c>
      <c r="F739" s="30">
        <v>580.0</v>
      </c>
      <c r="G739" s="30">
        <v>0.0</v>
      </c>
      <c r="H739" s="30">
        <v>0.0</v>
      </c>
      <c r="I739" s="30">
        <v>32.148900000000005</v>
      </c>
      <c r="J739" s="30">
        <v>0.0</v>
      </c>
      <c r="K739" s="30">
        <v>0.0</v>
      </c>
      <c r="L739" s="30">
        <v>0.0</v>
      </c>
      <c r="M739" s="30">
        <v>0.0</v>
      </c>
      <c r="N739" s="30">
        <v>121.5</v>
      </c>
      <c r="O739" s="30">
        <v>-4.648899999999998</v>
      </c>
      <c r="P739" s="30">
        <v>-0.6377091906721534</v>
      </c>
      <c r="Q739" s="30">
        <v>-0.765251028806584</v>
      </c>
    </row>
    <row r="740">
      <c r="A740" s="47">
        <v>1.1212811227E10</v>
      </c>
      <c r="B740" s="48">
        <v>46150.6096875</v>
      </c>
      <c r="C740" s="30">
        <v>3.829700277E9</v>
      </c>
      <c r="D740" s="47" t="s">
        <v>1510</v>
      </c>
      <c r="E740" s="30">
        <v>1482.0</v>
      </c>
      <c r="F740" s="30">
        <v>1053.0</v>
      </c>
      <c r="G740" s="30">
        <v>0.0</v>
      </c>
      <c r="H740" s="30">
        <v>0.0</v>
      </c>
      <c r="I740" s="30">
        <v>185.25</v>
      </c>
      <c r="J740" s="30">
        <v>0.0</v>
      </c>
      <c r="K740" s="30">
        <v>0.0</v>
      </c>
      <c r="L740" s="30">
        <v>0.0</v>
      </c>
      <c r="M740" s="30">
        <v>0.0</v>
      </c>
      <c r="N740" s="30">
        <v>247.0</v>
      </c>
      <c r="O740" s="30">
        <v>-3.25</v>
      </c>
      <c r="P740" s="30">
        <v>-0.21929824561403508</v>
      </c>
      <c r="Q740" s="30">
        <v>-0.2631578947368421</v>
      </c>
    </row>
    <row r="741">
      <c r="A741" s="47">
        <v>1.1243611395E10</v>
      </c>
      <c r="B741" s="48">
        <v>46159.76605324074</v>
      </c>
      <c r="C741" s="30">
        <v>3.857083022E9</v>
      </c>
      <c r="D741" s="47" t="s">
        <v>1511</v>
      </c>
      <c r="E741" s="30">
        <v>1657.0</v>
      </c>
      <c r="F741" s="30">
        <v>1213.0</v>
      </c>
      <c r="G741" s="30">
        <v>0.0</v>
      </c>
      <c r="H741" s="30">
        <v>0.0</v>
      </c>
      <c r="I741" s="30">
        <v>0.0</v>
      </c>
      <c r="J741" s="30">
        <v>0.0</v>
      </c>
      <c r="K741" s="30">
        <v>0.0</v>
      </c>
      <c r="L741" s="30">
        <v>0.0</v>
      </c>
      <c r="M741" s="30">
        <v>0.0</v>
      </c>
      <c r="N741" s="30">
        <v>276.1666666666665</v>
      </c>
      <c r="O741" s="30">
        <v>167.83333333333348</v>
      </c>
      <c r="P741" s="30">
        <v>10.128746731040042</v>
      </c>
      <c r="Q741" s="30">
        <v>12.154496077248048</v>
      </c>
    </row>
    <row r="742">
      <c r="A742" s="47">
        <v>1.1232832169E10</v>
      </c>
      <c r="B742" s="48">
        <v>46156.232881944445</v>
      </c>
      <c r="C742" s="30">
        <v>3.847896034E9</v>
      </c>
      <c r="D742" s="47" t="s">
        <v>1509</v>
      </c>
      <c r="E742" s="30">
        <v>727.0</v>
      </c>
      <c r="F742" s="30">
        <v>580.0</v>
      </c>
      <c r="G742" s="30">
        <v>0.0</v>
      </c>
      <c r="H742" s="30">
        <v>0.0</v>
      </c>
      <c r="I742" s="30">
        <v>32.060700000000004</v>
      </c>
      <c r="J742" s="30">
        <v>0.0</v>
      </c>
      <c r="K742" s="30">
        <v>0.0</v>
      </c>
      <c r="L742" s="30">
        <v>0.0</v>
      </c>
      <c r="M742" s="30">
        <v>0.0</v>
      </c>
      <c r="N742" s="30">
        <v>121.16666666666663</v>
      </c>
      <c r="O742" s="30">
        <v>-6.227366666666626</v>
      </c>
      <c r="P742" s="30">
        <v>-0.8565841357175551</v>
      </c>
      <c r="Q742" s="30">
        <v>-1.027900962861066</v>
      </c>
    </row>
    <row r="743">
      <c r="A743" s="47">
        <v>1.1229768577E10</v>
      </c>
      <c r="B743" s="48">
        <v>46155.48428240741</v>
      </c>
      <c r="C743" s="30">
        <v>3.84513014E9</v>
      </c>
      <c r="D743" s="47" t="s">
        <v>1509</v>
      </c>
      <c r="E743" s="30">
        <v>978.0</v>
      </c>
      <c r="F743" s="30">
        <v>621.6</v>
      </c>
      <c r="G743" s="30">
        <v>0.0</v>
      </c>
      <c r="H743" s="30">
        <v>0.0</v>
      </c>
      <c r="I743" s="30">
        <v>110.025</v>
      </c>
      <c r="J743" s="30">
        <v>0.0</v>
      </c>
      <c r="K743" s="30">
        <v>0.0</v>
      </c>
      <c r="L743" s="30">
        <v>0.0</v>
      </c>
      <c r="M743" s="30">
        <v>0.0</v>
      </c>
      <c r="N743" s="30">
        <v>163.0</v>
      </c>
      <c r="O743" s="30">
        <v>83.37499999999997</v>
      </c>
      <c r="P743" s="30">
        <v>8.525051124744373</v>
      </c>
      <c r="Q743" s="30">
        <v>10.230061349693248</v>
      </c>
    </row>
    <row r="744">
      <c r="A744" s="47">
        <v>1.1231428469E10</v>
      </c>
      <c r="B744" s="48">
        <v>46155.87907407407</v>
      </c>
      <c r="C744" s="30">
        <v>3.846614268E9</v>
      </c>
      <c r="D744" s="47" t="s">
        <v>1509</v>
      </c>
      <c r="E744" s="30">
        <v>1854.0</v>
      </c>
      <c r="F744" s="30">
        <v>1535.52</v>
      </c>
      <c r="G744" s="30">
        <v>0.0</v>
      </c>
      <c r="H744" s="30">
        <v>0.0</v>
      </c>
      <c r="I744" s="30">
        <v>80.09280000000001</v>
      </c>
      <c r="J744" s="30">
        <v>0.0</v>
      </c>
      <c r="K744" s="30">
        <v>0.0</v>
      </c>
      <c r="L744" s="30">
        <v>0.0</v>
      </c>
      <c r="M744" s="30">
        <v>0.0</v>
      </c>
      <c r="N744" s="30">
        <v>309.0</v>
      </c>
      <c r="O744" s="30">
        <v>-70.6128</v>
      </c>
      <c r="P744" s="30">
        <v>-3.8086731391585755</v>
      </c>
      <c r="Q744" s="30">
        <v>-4.57040776699029</v>
      </c>
    </row>
    <row r="745">
      <c r="A745" s="47">
        <v>1.1239537036E10</v>
      </c>
      <c r="B745" s="48">
        <v>46158.54961805556</v>
      </c>
      <c r="C745" s="30">
        <v>3.853789388E9</v>
      </c>
      <c r="D745" s="47" t="s">
        <v>1511</v>
      </c>
      <c r="E745" s="30">
        <v>1289.0</v>
      </c>
      <c r="F745" s="30">
        <v>1190.0</v>
      </c>
      <c r="G745" s="30">
        <v>0.0</v>
      </c>
      <c r="H745" s="30">
        <v>0.0</v>
      </c>
      <c r="I745" s="30">
        <v>34.803000000000004</v>
      </c>
      <c r="J745" s="30">
        <v>0.0</v>
      </c>
      <c r="K745" s="30">
        <v>0.0</v>
      </c>
      <c r="L745" s="30">
        <v>0.0</v>
      </c>
      <c r="M745" s="30">
        <v>0.0</v>
      </c>
      <c r="N745" s="30">
        <v>214.83333333333326</v>
      </c>
      <c r="O745" s="30">
        <v>-150.63633333333325</v>
      </c>
      <c r="P745" s="30">
        <v>-11.686294284975427</v>
      </c>
      <c r="Q745" s="30">
        <v>-14.023553141970513</v>
      </c>
    </row>
    <row r="746">
      <c r="A746" s="47">
        <v>1.1236067409E10</v>
      </c>
      <c r="B746" s="48">
        <v>46157.44513888889</v>
      </c>
      <c r="C746" s="30">
        <v>3.850794033E9</v>
      </c>
      <c r="D746" s="47" t="s">
        <v>1509</v>
      </c>
      <c r="E746" s="30">
        <v>1278.0</v>
      </c>
      <c r="F746" s="30">
        <v>1165.0</v>
      </c>
      <c r="G746" s="30">
        <v>0.0</v>
      </c>
      <c r="H746" s="30">
        <v>0.0</v>
      </c>
      <c r="I746" s="30">
        <v>46.008</v>
      </c>
      <c r="J746" s="30">
        <v>0.0</v>
      </c>
      <c r="K746" s="30">
        <v>0.0</v>
      </c>
      <c r="L746" s="30">
        <v>0.0</v>
      </c>
      <c r="M746" s="30">
        <v>0.0</v>
      </c>
      <c r="N746" s="30">
        <v>213.0</v>
      </c>
      <c r="O746" s="30">
        <v>-146.008</v>
      </c>
      <c r="P746" s="30">
        <v>-11.42472613458529</v>
      </c>
      <c r="Q746" s="30">
        <v>-13.709671361502348</v>
      </c>
    </row>
    <row r="747">
      <c r="A747" s="47">
        <v>1.1241451865E10</v>
      </c>
      <c r="B747" s="48">
        <v>46158.96481481481</v>
      </c>
      <c r="C747" s="30">
        <v>3.855262873E9</v>
      </c>
      <c r="D747" s="47" t="s">
        <v>1511</v>
      </c>
      <c r="E747" s="30">
        <v>729.0</v>
      </c>
      <c r="F747" s="30">
        <v>580.0</v>
      </c>
      <c r="G747" s="30">
        <v>0.0</v>
      </c>
      <c r="H747" s="30">
        <v>0.0</v>
      </c>
      <c r="I747" s="30">
        <v>0.0</v>
      </c>
      <c r="J747" s="30">
        <v>0.0</v>
      </c>
      <c r="K747" s="30">
        <v>0.0</v>
      </c>
      <c r="L747" s="30">
        <v>0.0</v>
      </c>
      <c r="M747" s="30">
        <v>0.0</v>
      </c>
      <c r="N747" s="30">
        <v>121.5</v>
      </c>
      <c r="O747" s="30">
        <v>27.5</v>
      </c>
      <c r="P747" s="30">
        <v>3.772290809327846</v>
      </c>
      <c r="Q747" s="30">
        <v>4.526748971193416</v>
      </c>
    </row>
    <row r="748">
      <c r="A748" s="47">
        <v>1.12361666E10</v>
      </c>
      <c r="B748" s="48">
        <v>46157.50914351852</v>
      </c>
      <c r="C748" s="30">
        <v>3.85091212E9</v>
      </c>
      <c r="D748" s="47" t="s">
        <v>1509</v>
      </c>
      <c r="E748" s="30">
        <v>1295.9</v>
      </c>
      <c r="F748" s="30">
        <v>1190.0</v>
      </c>
      <c r="G748" s="30">
        <v>0.0</v>
      </c>
      <c r="H748" s="30">
        <v>0.0</v>
      </c>
      <c r="I748" s="30">
        <v>34.9893</v>
      </c>
      <c r="J748" s="30">
        <v>0.0</v>
      </c>
      <c r="K748" s="30">
        <v>0.0</v>
      </c>
      <c r="L748" s="30">
        <v>0.0</v>
      </c>
      <c r="M748" s="30">
        <v>0.0</v>
      </c>
      <c r="N748" s="30">
        <v>215.98333333333335</v>
      </c>
      <c r="O748" s="30">
        <v>-145.07263333333327</v>
      </c>
      <c r="P748" s="30">
        <v>-11.194739820459391</v>
      </c>
      <c r="Q748" s="30">
        <v>-13.433687784551271</v>
      </c>
    </row>
    <row r="749">
      <c r="A749" s="47">
        <v>1.1241134993E10</v>
      </c>
      <c r="B749" s="48">
        <v>46158.90074074074</v>
      </c>
      <c r="C749" s="30">
        <v>3.855051514E9</v>
      </c>
      <c r="D749" s="47" t="s">
        <v>1511</v>
      </c>
      <c r="E749" s="30">
        <v>729.0</v>
      </c>
      <c r="F749" s="30">
        <v>580.0</v>
      </c>
      <c r="G749" s="30">
        <v>0.0</v>
      </c>
      <c r="H749" s="30">
        <v>0.0</v>
      </c>
      <c r="I749" s="30">
        <v>0.0</v>
      </c>
      <c r="J749" s="30">
        <v>0.0</v>
      </c>
      <c r="K749" s="30">
        <v>0.0</v>
      </c>
      <c r="L749" s="30">
        <v>0.0</v>
      </c>
      <c r="M749" s="30">
        <v>0.0</v>
      </c>
      <c r="N749" s="30">
        <v>121.5</v>
      </c>
      <c r="O749" s="30">
        <v>27.5</v>
      </c>
      <c r="P749" s="30">
        <v>3.772290809327846</v>
      </c>
      <c r="Q749" s="30">
        <v>4.526748971193416</v>
      </c>
    </row>
    <row r="750">
      <c r="A750" s="47">
        <v>1.1236540434E10</v>
      </c>
      <c r="B750" s="48">
        <v>46157.61402777778</v>
      </c>
      <c r="C750" s="30">
        <v>3.851293291E9</v>
      </c>
      <c r="D750" s="47" t="s">
        <v>1509</v>
      </c>
      <c r="E750" s="30">
        <v>659.0</v>
      </c>
      <c r="F750" s="30">
        <v>420.0</v>
      </c>
      <c r="G750" s="30">
        <v>0.0</v>
      </c>
      <c r="H750" s="30">
        <v>0.0</v>
      </c>
      <c r="I750" s="30">
        <v>97.86149999999999</v>
      </c>
      <c r="J750" s="30">
        <v>0.0</v>
      </c>
      <c r="K750" s="30">
        <v>0.0</v>
      </c>
      <c r="L750" s="30">
        <v>0.0</v>
      </c>
      <c r="M750" s="30">
        <v>0.0</v>
      </c>
      <c r="N750" s="30">
        <v>109.83333333333326</v>
      </c>
      <c r="O750" s="30">
        <v>31.305166666666764</v>
      </c>
      <c r="P750" s="30">
        <v>4.750404653515442</v>
      </c>
      <c r="Q750" s="30">
        <v>5.70048558421853</v>
      </c>
    </row>
    <row r="751">
      <c r="A751" s="47">
        <v>1.1231151543E10</v>
      </c>
      <c r="B751" s="48">
        <v>46155.81927083333</v>
      </c>
      <c r="C751" s="30">
        <v>3.846394403E9</v>
      </c>
      <c r="D751" s="47" t="s">
        <v>1509</v>
      </c>
      <c r="E751" s="30">
        <v>1880.0</v>
      </c>
      <c r="F751" s="30">
        <v>1535.52</v>
      </c>
      <c r="G751" s="30">
        <v>0.0</v>
      </c>
      <c r="H751" s="30">
        <v>0.0</v>
      </c>
      <c r="I751" s="30">
        <v>81.21600000000001</v>
      </c>
      <c r="J751" s="30">
        <v>0.0</v>
      </c>
      <c r="K751" s="30">
        <v>0.0</v>
      </c>
      <c r="L751" s="30">
        <v>0.0</v>
      </c>
      <c r="M751" s="30">
        <v>0.0</v>
      </c>
      <c r="N751" s="30">
        <v>313.33333333333326</v>
      </c>
      <c r="O751" s="30">
        <v>-50.06933333333325</v>
      </c>
      <c r="P751" s="30">
        <v>-2.6632624113475134</v>
      </c>
      <c r="Q751" s="30">
        <v>-3.1959148936170156</v>
      </c>
    </row>
    <row r="752">
      <c r="A752" s="47">
        <v>1.1233517846E10</v>
      </c>
      <c r="B752" s="48">
        <v>46156.64486111111</v>
      </c>
      <c r="C752" s="30">
        <v>3.848581941E9</v>
      </c>
      <c r="D752" s="47" t="s">
        <v>1509</v>
      </c>
      <c r="E752" s="30">
        <v>659.0</v>
      </c>
      <c r="F752" s="30">
        <v>420.0</v>
      </c>
      <c r="G752" s="30">
        <v>0.0</v>
      </c>
      <c r="H752" s="30">
        <v>0.0</v>
      </c>
      <c r="I752" s="30">
        <v>97.86149999999999</v>
      </c>
      <c r="J752" s="30">
        <v>0.0</v>
      </c>
      <c r="K752" s="30">
        <v>0.0</v>
      </c>
      <c r="L752" s="30">
        <v>0.0</v>
      </c>
      <c r="M752" s="30">
        <v>0.0</v>
      </c>
      <c r="N752" s="30">
        <v>109.83333333333326</v>
      </c>
      <c r="O752" s="30">
        <v>31.305166666666764</v>
      </c>
      <c r="P752" s="30">
        <v>4.750404653515442</v>
      </c>
      <c r="Q752" s="30">
        <v>5.70048558421853</v>
      </c>
    </row>
    <row r="753">
      <c r="A753" s="47">
        <v>1.1235656086E10</v>
      </c>
      <c r="B753" s="48">
        <v>46157.09501157407</v>
      </c>
      <c r="C753" s="30">
        <v>3.850350593E9</v>
      </c>
      <c r="D753" s="47" t="s">
        <v>1509</v>
      </c>
      <c r="E753" s="30">
        <v>817.0</v>
      </c>
      <c r="F753" s="30">
        <v>580.0</v>
      </c>
      <c r="G753" s="30">
        <v>0.0</v>
      </c>
      <c r="H753" s="30">
        <v>0.0</v>
      </c>
      <c r="I753" s="30">
        <v>99.26550000000002</v>
      </c>
      <c r="J753" s="30">
        <v>0.0</v>
      </c>
      <c r="K753" s="30">
        <v>0.0</v>
      </c>
      <c r="L753" s="30">
        <v>0.0</v>
      </c>
      <c r="M753" s="30">
        <v>0.0</v>
      </c>
      <c r="N753" s="30">
        <v>136.16666666666663</v>
      </c>
      <c r="O753" s="30">
        <v>1.5678333333333399</v>
      </c>
      <c r="P753" s="30">
        <v>0.19190126478988248</v>
      </c>
      <c r="Q753" s="30">
        <v>0.23028151774785896</v>
      </c>
    </row>
    <row r="754">
      <c r="A754" s="47">
        <v>1.1235195475E10</v>
      </c>
      <c r="B754" s="48">
        <v>46156.99622685185</v>
      </c>
      <c r="C754" s="30">
        <v>3.849920923E9</v>
      </c>
      <c r="D754" s="47" t="s">
        <v>1509</v>
      </c>
      <c r="E754" s="30">
        <v>1297.9</v>
      </c>
      <c r="F754" s="30">
        <v>1190.0</v>
      </c>
      <c r="G754" s="30">
        <v>0.0</v>
      </c>
      <c r="H754" s="30">
        <v>0.0</v>
      </c>
      <c r="I754" s="30">
        <v>35.0433</v>
      </c>
      <c r="J754" s="30">
        <v>0.0</v>
      </c>
      <c r="K754" s="30">
        <v>0.0</v>
      </c>
      <c r="L754" s="30">
        <v>0.0</v>
      </c>
      <c r="M754" s="30">
        <v>0.0</v>
      </c>
      <c r="N754" s="30">
        <v>216.3166666666666</v>
      </c>
      <c r="O754" s="30">
        <v>-143.4599666666665</v>
      </c>
      <c r="P754" s="30">
        <v>-11.053237280735534</v>
      </c>
      <c r="Q754" s="30">
        <v>-13.26388473688264</v>
      </c>
    </row>
    <row r="755">
      <c r="A755" s="47">
        <v>1.1234601968E10</v>
      </c>
      <c r="B755" s="48">
        <v>46156.876284722224</v>
      </c>
      <c r="C755" s="30">
        <v>3.849470788E9</v>
      </c>
      <c r="D755" s="47" t="s">
        <v>1509</v>
      </c>
      <c r="E755" s="30">
        <v>1299.0</v>
      </c>
      <c r="F755" s="30">
        <v>1190.0</v>
      </c>
      <c r="G755" s="30">
        <v>0.0</v>
      </c>
      <c r="H755" s="30">
        <v>0.0</v>
      </c>
      <c r="I755" s="30">
        <v>35.073</v>
      </c>
      <c r="J755" s="30">
        <v>0.0</v>
      </c>
      <c r="K755" s="30">
        <v>0.0</v>
      </c>
      <c r="L755" s="30">
        <v>0.0</v>
      </c>
      <c r="M755" s="30">
        <v>0.0</v>
      </c>
      <c r="N755" s="30">
        <v>216.5</v>
      </c>
      <c r="O755" s="30">
        <v>-142.573</v>
      </c>
      <c r="P755" s="30">
        <v>-10.97559661277906</v>
      </c>
      <c r="Q755" s="30">
        <v>-13.170715935334872</v>
      </c>
    </row>
    <row r="756">
      <c r="A756" s="47">
        <v>1.1227920786E10</v>
      </c>
      <c r="B756" s="48">
        <v>46154.815</v>
      </c>
      <c r="C756" s="30">
        <v>3.843451778E9</v>
      </c>
      <c r="D756" s="47" t="s">
        <v>1509</v>
      </c>
      <c r="E756" s="30">
        <v>1852.99</v>
      </c>
      <c r="F756" s="30">
        <v>1535.52</v>
      </c>
      <c r="G756" s="30">
        <v>0.0</v>
      </c>
      <c r="H756" s="30">
        <v>0.0</v>
      </c>
      <c r="I756" s="30">
        <v>80.04916800000001</v>
      </c>
      <c r="J756" s="30">
        <v>0.0</v>
      </c>
      <c r="K756" s="30">
        <v>0.0</v>
      </c>
      <c r="L756" s="30">
        <v>0.0</v>
      </c>
      <c r="M756" s="30">
        <v>0.0</v>
      </c>
      <c r="N756" s="30">
        <v>308.8316666666667</v>
      </c>
      <c r="O756" s="30">
        <v>-71.41083466666669</v>
      </c>
      <c r="P756" s="30">
        <v>-3.853816516369041</v>
      </c>
      <c r="Q756" s="30">
        <v>-4.6245798196428485</v>
      </c>
    </row>
    <row r="757">
      <c r="A757" s="47">
        <v>1.123475324E10</v>
      </c>
      <c r="B757" s="48">
        <v>46156.90659722222</v>
      </c>
      <c r="C757" s="30">
        <v>3.849578742E9</v>
      </c>
      <c r="D757" s="47" t="s">
        <v>1510</v>
      </c>
      <c r="E757" s="30">
        <v>727.0</v>
      </c>
      <c r="F757" s="30">
        <v>580.0</v>
      </c>
      <c r="G757" s="30">
        <v>0.0</v>
      </c>
      <c r="H757" s="30">
        <v>0.0</v>
      </c>
      <c r="I757" s="30">
        <v>32.060700000000004</v>
      </c>
      <c r="J757" s="30">
        <v>0.0</v>
      </c>
      <c r="K757" s="30">
        <v>0.0</v>
      </c>
      <c r="L757" s="30">
        <v>0.0</v>
      </c>
      <c r="M757" s="30">
        <v>0.0</v>
      </c>
      <c r="N757" s="30">
        <v>121.16666666666663</v>
      </c>
      <c r="O757" s="30">
        <v>-6.227366666666626</v>
      </c>
      <c r="P757" s="30">
        <v>-0.8565841357175551</v>
      </c>
      <c r="Q757" s="30">
        <v>-1.027900962861066</v>
      </c>
    </row>
    <row r="758">
      <c r="A758" s="47">
        <v>1.1234082338E10</v>
      </c>
      <c r="B758" s="48">
        <v>46156.76337962963</v>
      </c>
      <c r="C758" s="30">
        <v>3.84905405E9</v>
      </c>
      <c r="D758" s="47" t="s">
        <v>1509</v>
      </c>
      <c r="E758" s="30">
        <v>727.0</v>
      </c>
      <c r="F758" s="30">
        <v>580.0</v>
      </c>
      <c r="G758" s="30">
        <v>0.0</v>
      </c>
      <c r="H758" s="30">
        <v>0.0</v>
      </c>
      <c r="I758" s="30">
        <v>32.060700000000004</v>
      </c>
      <c r="J758" s="30">
        <v>0.0</v>
      </c>
      <c r="K758" s="30">
        <v>0.0</v>
      </c>
      <c r="L758" s="30">
        <v>0.0</v>
      </c>
      <c r="M758" s="30">
        <v>0.0</v>
      </c>
      <c r="N758" s="30">
        <v>121.16666666666663</v>
      </c>
      <c r="O758" s="30">
        <v>-6.227366666666626</v>
      </c>
      <c r="P758" s="30">
        <v>-0.8565841357175551</v>
      </c>
      <c r="Q758" s="30">
        <v>-1.027900962861066</v>
      </c>
    </row>
    <row r="759">
      <c r="A759" s="47">
        <v>1.1230790682E10</v>
      </c>
      <c r="B759" s="48">
        <v>46155.735439814816</v>
      </c>
      <c r="C759" s="30">
        <v>3.846081921E9</v>
      </c>
      <c r="D759" s="47" t="s">
        <v>1509</v>
      </c>
      <c r="E759" s="30">
        <v>737.0</v>
      </c>
      <c r="F759" s="30">
        <v>580.0</v>
      </c>
      <c r="G759" s="30">
        <v>0.0</v>
      </c>
      <c r="H759" s="30">
        <v>0.0</v>
      </c>
      <c r="I759" s="30">
        <v>36.481500000000004</v>
      </c>
      <c r="J759" s="30">
        <v>0.0</v>
      </c>
      <c r="K759" s="30">
        <v>0.0</v>
      </c>
      <c r="L759" s="30">
        <v>0.0</v>
      </c>
      <c r="M759" s="30">
        <v>0.0</v>
      </c>
      <c r="N759" s="30">
        <v>122.83333333333326</v>
      </c>
      <c r="O759" s="30">
        <v>-2.3148333333332687</v>
      </c>
      <c r="P759" s="30">
        <v>-0.31408864767072847</v>
      </c>
      <c r="Q759" s="30">
        <v>-0.3769063772048741</v>
      </c>
    </row>
    <row r="760">
      <c r="A760" s="47">
        <v>1.123153329E10</v>
      </c>
      <c r="B760" s="48">
        <v>46155.90005787037</v>
      </c>
      <c r="C760" s="30">
        <v>3.846692923E9</v>
      </c>
      <c r="D760" s="47" t="s">
        <v>1509</v>
      </c>
      <c r="E760" s="30">
        <v>1854.0</v>
      </c>
      <c r="F760" s="30">
        <v>1535.52</v>
      </c>
      <c r="G760" s="30">
        <v>0.0</v>
      </c>
      <c r="H760" s="30">
        <v>0.0</v>
      </c>
      <c r="I760" s="30">
        <v>80.09280000000001</v>
      </c>
      <c r="J760" s="30">
        <v>0.0</v>
      </c>
      <c r="K760" s="30">
        <v>0.0</v>
      </c>
      <c r="L760" s="30">
        <v>0.0</v>
      </c>
      <c r="M760" s="30">
        <v>0.0</v>
      </c>
      <c r="N760" s="30">
        <v>309.0</v>
      </c>
      <c r="O760" s="30">
        <v>-70.6128</v>
      </c>
      <c r="P760" s="30">
        <v>-3.8086731391585755</v>
      </c>
      <c r="Q760" s="30">
        <v>-4.57040776699029</v>
      </c>
    </row>
    <row r="761">
      <c r="A761" s="47">
        <v>1.1235582101E10</v>
      </c>
      <c r="B761" s="48">
        <v>46157.07732638889</v>
      </c>
      <c r="C761" s="30">
        <v>3.850277044E9</v>
      </c>
      <c r="D761" s="47" t="s">
        <v>1509</v>
      </c>
      <c r="E761" s="30">
        <v>1297.9</v>
      </c>
      <c r="F761" s="30">
        <v>1190.0</v>
      </c>
      <c r="G761" s="30">
        <v>0.0</v>
      </c>
      <c r="H761" s="30">
        <v>0.0</v>
      </c>
      <c r="I761" s="30">
        <v>35.0433</v>
      </c>
      <c r="J761" s="30">
        <v>0.0</v>
      </c>
      <c r="K761" s="30">
        <v>0.0</v>
      </c>
      <c r="L761" s="30">
        <v>0.0</v>
      </c>
      <c r="M761" s="30">
        <v>0.0</v>
      </c>
      <c r="N761" s="30">
        <v>216.3166666666666</v>
      </c>
      <c r="O761" s="30">
        <v>-143.4599666666665</v>
      </c>
      <c r="P761" s="30">
        <v>-11.053237280735534</v>
      </c>
      <c r="Q761" s="30">
        <v>-13.26388473688264</v>
      </c>
    </row>
    <row r="762">
      <c r="A762" s="47">
        <v>1.1233934659E10</v>
      </c>
      <c r="B762" s="48">
        <v>46156.73074074074</v>
      </c>
      <c r="C762" s="30">
        <v>3.848931154E9</v>
      </c>
      <c r="D762" s="47" t="s">
        <v>1509</v>
      </c>
      <c r="E762" s="30">
        <v>897.45</v>
      </c>
      <c r="F762" s="30">
        <v>300.0</v>
      </c>
      <c r="G762" s="30">
        <v>0.0</v>
      </c>
      <c r="H762" s="30">
        <v>0.0</v>
      </c>
      <c r="I762" s="30">
        <v>161.541</v>
      </c>
      <c r="J762" s="30">
        <v>0.0</v>
      </c>
      <c r="K762" s="30">
        <v>0.0</v>
      </c>
      <c r="L762" s="30">
        <v>0.0</v>
      </c>
      <c r="M762" s="30">
        <v>0.0</v>
      </c>
      <c r="N762" s="30">
        <v>149.57499999999993</v>
      </c>
      <c r="O762" s="30">
        <v>286.3340000000001</v>
      </c>
      <c r="P762" s="30">
        <v>31.905287202629683</v>
      </c>
      <c r="Q762" s="30">
        <v>38.286344643155616</v>
      </c>
    </row>
    <row r="763">
      <c r="A763" s="47">
        <v>1.1240600233E10</v>
      </c>
      <c r="B763" s="48">
        <v>46158.79078703704</v>
      </c>
      <c r="C763" s="30">
        <v>3.854681857E9</v>
      </c>
      <c r="D763" s="47" t="s">
        <v>1511</v>
      </c>
      <c r="E763" s="30">
        <v>1286.0</v>
      </c>
      <c r="F763" s="30">
        <v>1190.0</v>
      </c>
      <c r="G763" s="30">
        <v>0.0</v>
      </c>
      <c r="H763" s="30">
        <v>0.0</v>
      </c>
      <c r="I763" s="30">
        <v>34.722</v>
      </c>
      <c r="J763" s="30">
        <v>0.0</v>
      </c>
      <c r="K763" s="30">
        <v>0.0</v>
      </c>
      <c r="L763" s="30">
        <v>0.0</v>
      </c>
      <c r="M763" s="30">
        <v>0.0</v>
      </c>
      <c r="N763" s="30">
        <v>214.33333333333326</v>
      </c>
      <c r="O763" s="30">
        <v>-153.05533333333327</v>
      </c>
      <c r="P763" s="30">
        <v>-11.901658890616895</v>
      </c>
      <c r="Q763" s="30">
        <v>-14.28199066874027</v>
      </c>
    </row>
    <row r="764">
      <c r="A764" s="47">
        <v>1.1235548365E10</v>
      </c>
      <c r="B764" s="48">
        <v>46157.06997685185</v>
      </c>
      <c r="C764" s="30">
        <v>3.850244161E9</v>
      </c>
      <c r="D764" s="47" t="s">
        <v>1509</v>
      </c>
      <c r="E764" s="30">
        <v>729.0</v>
      </c>
      <c r="F764" s="30">
        <v>580.0</v>
      </c>
      <c r="G764" s="30">
        <v>0.0</v>
      </c>
      <c r="H764" s="30">
        <v>0.0</v>
      </c>
      <c r="I764" s="30">
        <v>36.0855</v>
      </c>
      <c r="J764" s="30">
        <v>0.0</v>
      </c>
      <c r="K764" s="30">
        <v>0.0</v>
      </c>
      <c r="L764" s="30">
        <v>0.0</v>
      </c>
      <c r="M764" s="30">
        <v>0.0</v>
      </c>
      <c r="N764" s="30">
        <v>121.5</v>
      </c>
      <c r="O764" s="30">
        <v>-8.585499999999996</v>
      </c>
      <c r="P764" s="30">
        <v>-1.177709190672153</v>
      </c>
      <c r="Q764" s="30">
        <v>-1.4132510288065838</v>
      </c>
    </row>
    <row r="765">
      <c r="A765" s="47">
        <v>1.1232086719E10</v>
      </c>
      <c r="B765" s="48">
        <v>46156.00986111111</v>
      </c>
      <c r="C765" s="30">
        <v>3.847139806E9</v>
      </c>
      <c r="D765" s="47" t="s">
        <v>1509</v>
      </c>
      <c r="E765" s="30">
        <v>729.0</v>
      </c>
      <c r="F765" s="30">
        <v>580.0</v>
      </c>
      <c r="G765" s="30">
        <v>0.0</v>
      </c>
      <c r="H765" s="30">
        <v>0.0</v>
      </c>
      <c r="I765" s="30">
        <v>32.148900000000005</v>
      </c>
      <c r="J765" s="30">
        <v>0.0</v>
      </c>
      <c r="K765" s="30">
        <v>0.0</v>
      </c>
      <c r="L765" s="30">
        <v>0.0</v>
      </c>
      <c r="M765" s="30">
        <v>0.0</v>
      </c>
      <c r="N765" s="30">
        <v>121.5</v>
      </c>
      <c r="O765" s="30">
        <v>-4.648899999999998</v>
      </c>
      <c r="P765" s="30">
        <v>-0.6377091906721534</v>
      </c>
      <c r="Q765" s="30">
        <v>-0.765251028806584</v>
      </c>
    </row>
    <row r="766">
      <c r="A766" s="47">
        <v>1.1236356772E10</v>
      </c>
      <c r="B766" s="48">
        <v>46157.571493055555</v>
      </c>
      <c r="C766" s="30">
        <v>3.851116184E9</v>
      </c>
      <c r="D766" s="47" t="s">
        <v>1509</v>
      </c>
      <c r="E766" s="30">
        <v>727.0</v>
      </c>
      <c r="F766" s="30">
        <v>580.0</v>
      </c>
      <c r="G766" s="30">
        <v>0.0</v>
      </c>
      <c r="H766" s="30">
        <v>0.0</v>
      </c>
      <c r="I766" s="30">
        <v>32.060700000000004</v>
      </c>
      <c r="J766" s="30">
        <v>0.0</v>
      </c>
      <c r="K766" s="30">
        <v>0.0</v>
      </c>
      <c r="L766" s="30">
        <v>0.0</v>
      </c>
      <c r="M766" s="30">
        <v>0.0</v>
      </c>
      <c r="N766" s="30">
        <v>121.16666666666663</v>
      </c>
      <c r="O766" s="30">
        <v>-6.227366666666626</v>
      </c>
      <c r="P766" s="30">
        <v>-0.8565841357175551</v>
      </c>
      <c r="Q766" s="30">
        <v>-1.027900962861066</v>
      </c>
    </row>
    <row r="767">
      <c r="A767" s="47">
        <v>1.1227521295E10</v>
      </c>
      <c r="B767" s="48">
        <v>46154.72883101852</v>
      </c>
      <c r="C767" s="30">
        <v>3.843104167E9</v>
      </c>
      <c r="D767" s="47" t="s">
        <v>1509</v>
      </c>
      <c r="E767" s="30">
        <v>1549.0</v>
      </c>
      <c r="F767" s="30">
        <v>1210.0</v>
      </c>
      <c r="G767" s="30">
        <v>0.0</v>
      </c>
      <c r="H767" s="30">
        <v>0.0</v>
      </c>
      <c r="I767" s="30">
        <v>131.0454</v>
      </c>
      <c r="J767" s="30">
        <v>0.0</v>
      </c>
      <c r="K767" s="30">
        <v>0.0</v>
      </c>
      <c r="L767" s="30">
        <v>0.0</v>
      </c>
      <c r="M767" s="30">
        <v>0.0</v>
      </c>
      <c r="N767" s="30">
        <v>258.1666666666665</v>
      </c>
      <c r="O767" s="30">
        <v>-50.212066666666516</v>
      </c>
      <c r="P767" s="30">
        <v>-3.2415795136647203</v>
      </c>
      <c r="Q767" s="30">
        <v>-3.8898954163976636</v>
      </c>
    </row>
    <row r="768">
      <c r="A768" s="47">
        <v>1.1231487708E10</v>
      </c>
      <c r="B768" s="48">
        <v>46155.89105324074</v>
      </c>
      <c r="C768" s="30">
        <v>3.846657775E9</v>
      </c>
      <c r="D768" s="47" t="s">
        <v>1509</v>
      </c>
      <c r="E768" s="30">
        <v>1530.0</v>
      </c>
      <c r="F768" s="30">
        <v>1190.0</v>
      </c>
      <c r="G768" s="30">
        <v>0.0</v>
      </c>
      <c r="H768" s="30">
        <v>0.0</v>
      </c>
      <c r="I768" s="30">
        <v>96.39</v>
      </c>
      <c r="J768" s="30">
        <v>0.0</v>
      </c>
      <c r="K768" s="30">
        <v>0.0</v>
      </c>
      <c r="L768" s="30">
        <v>0.0</v>
      </c>
      <c r="M768" s="30">
        <v>0.0</v>
      </c>
      <c r="N768" s="30">
        <v>255.0</v>
      </c>
      <c r="O768" s="30">
        <v>-11.389999999999986</v>
      </c>
      <c r="P768" s="30">
        <v>-0.7444444444444436</v>
      </c>
      <c r="Q768" s="30">
        <v>-0.8933333333333323</v>
      </c>
    </row>
    <row r="769">
      <c r="A769" s="47">
        <v>1.1233743023E10</v>
      </c>
      <c r="B769" s="48">
        <v>46156.68994212963</v>
      </c>
      <c r="C769" s="30">
        <v>3.848765346E9</v>
      </c>
      <c r="D769" s="47" t="s">
        <v>1509</v>
      </c>
      <c r="E769" s="30">
        <v>729.0</v>
      </c>
      <c r="F769" s="30">
        <v>580.0</v>
      </c>
      <c r="G769" s="30">
        <v>0.0</v>
      </c>
      <c r="H769" s="30">
        <v>0.0</v>
      </c>
      <c r="I769" s="30">
        <v>36.0855</v>
      </c>
      <c r="J769" s="30">
        <v>0.0</v>
      </c>
      <c r="K769" s="30">
        <v>0.0</v>
      </c>
      <c r="L769" s="30">
        <v>0.0</v>
      </c>
      <c r="M769" s="30">
        <v>0.0</v>
      </c>
      <c r="N769" s="30">
        <v>121.5</v>
      </c>
      <c r="O769" s="30">
        <v>-8.585499999999996</v>
      </c>
      <c r="P769" s="30">
        <v>-1.177709190672153</v>
      </c>
      <c r="Q769" s="30">
        <v>-1.4132510288065838</v>
      </c>
    </row>
    <row r="770">
      <c r="A770" s="47">
        <v>1.1236237582E10</v>
      </c>
      <c r="B770" s="48">
        <v>46157.535150462965</v>
      </c>
      <c r="C770" s="30">
        <v>3.850989346E9</v>
      </c>
      <c r="D770" s="47" t="s">
        <v>1509</v>
      </c>
      <c r="E770" s="30">
        <v>1295.9</v>
      </c>
      <c r="F770" s="30">
        <v>1190.0</v>
      </c>
      <c r="G770" s="30">
        <v>0.0</v>
      </c>
      <c r="H770" s="30">
        <v>0.0</v>
      </c>
      <c r="I770" s="30">
        <v>34.9893</v>
      </c>
      <c r="J770" s="30">
        <v>0.0</v>
      </c>
      <c r="K770" s="30">
        <v>0.0</v>
      </c>
      <c r="L770" s="30">
        <v>0.0</v>
      </c>
      <c r="M770" s="30">
        <v>0.0</v>
      </c>
      <c r="N770" s="30">
        <v>215.98333333333335</v>
      </c>
      <c r="O770" s="30">
        <v>-145.07263333333327</v>
      </c>
      <c r="P770" s="30">
        <v>-11.194739820459391</v>
      </c>
      <c r="Q770" s="30">
        <v>-13.433687784551271</v>
      </c>
    </row>
    <row r="771">
      <c r="A771" s="47">
        <v>1.1236508013E10</v>
      </c>
      <c r="B771" s="48">
        <v>46157.60758101852</v>
      </c>
      <c r="C771" s="30">
        <v>3.851266316E9</v>
      </c>
      <c r="D771" s="47" t="s">
        <v>1509</v>
      </c>
      <c r="E771" s="30">
        <v>1454.0</v>
      </c>
      <c r="F771" s="30">
        <v>1160.0</v>
      </c>
      <c r="G771" s="30">
        <v>0.0</v>
      </c>
      <c r="H771" s="30">
        <v>0.0</v>
      </c>
      <c r="I771" s="30">
        <v>64.12140000000001</v>
      </c>
      <c r="J771" s="30">
        <v>0.0</v>
      </c>
      <c r="K771" s="30">
        <v>0.0</v>
      </c>
      <c r="L771" s="30">
        <v>0.0</v>
      </c>
      <c r="M771" s="30">
        <v>0.0</v>
      </c>
      <c r="N771" s="30">
        <v>242.33333333333326</v>
      </c>
      <c r="O771" s="30">
        <v>-12.454733333333252</v>
      </c>
      <c r="P771" s="30">
        <v>-0.8565841357175551</v>
      </c>
      <c r="Q771" s="30">
        <v>-1.027900962861066</v>
      </c>
    </row>
    <row r="772">
      <c r="A772" s="47">
        <v>1.1234982814E10</v>
      </c>
      <c r="B772" s="48">
        <v>46156.95324074074</v>
      </c>
      <c r="C772" s="30">
        <v>3.849748777E9</v>
      </c>
      <c r="D772" s="47" t="s">
        <v>1509</v>
      </c>
      <c r="E772" s="30">
        <v>1454.0</v>
      </c>
      <c r="F772" s="30">
        <v>1160.0</v>
      </c>
      <c r="G772" s="30">
        <v>0.0</v>
      </c>
      <c r="H772" s="30">
        <v>0.0</v>
      </c>
      <c r="I772" s="30">
        <v>64.12140000000001</v>
      </c>
      <c r="J772" s="30">
        <v>0.0</v>
      </c>
      <c r="K772" s="30">
        <v>0.0</v>
      </c>
      <c r="L772" s="30">
        <v>0.0</v>
      </c>
      <c r="M772" s="30">
        <v>0.0</v>
      </c>
      <c r="N772" s="30">
        <v>242.33333333333326</v>
      </c>
      <c r="O772" s="30">
        <v>-12.454733333333252</v>
      </c>
      <c r="P772" s="30">
        <v>-0.8565841357175551</v>
      </c>
      <c r="Q772" s="30">
        <v>-1.027900962861066</v>
      </c>
    </row>
    <row r="773">
      <c r="A773" s="47">
        <v>1.1232797819E10</v>
      </c>
      <c r="B773" s="48">
        <v>46156.19887731481</v>
      </c>
      <c r="C773" s="30">
        <v>3.84786267E9</v>
      </c>
      <c r="D773" s="47" t="s">
        <v>1509</v>
      </c>
      <c r="E773" s="30">
        <v>659.0</v>
      </c>
      <c r="F773" s="30">
        <v>420.0</v>
      </c>
      <c r="G773" s="30">
        <v>0.0</v>
      </c>
      <c r="H773" s="30">
        <v>0.0</v>
      </c>
      <c r="I773" s="30">
        <v>97.86149999999999</v>
      </c>
      <c r="J773" s="30">
        <v>0.0</v>
      </c>
      <c r="K773" s="30">
        <v>0.0</v>
      </c>
      <c r="L773" s="30">
        <v>0.0</v>
      </c>
      <c r="M773" s="30">
        <v>0.0</v>
      </c>
      <c r="N773" s="30">
        <v>109.83333333333326</v>
      </c>
      <c r="O773" s="30">
        <v>31.305166666666764</v>
      </c>
      <c r="P773" s="30">
        <v>4.750404653515442</v>
      </c>
      <c r="Q773" s="30">
        <v>5.70048558421853</v>
      </c>
    </row>
    <row r="774">
      <c r="A774" s="47">
        <v>1.1235193363E10</v>
      </c>
      <c r="B774" s="48">
        <v>46156.995775462965</v>
      </c>
      <c r="C774" s="30">
        <v>3.849916936E9</v>
      </c>
      <c r="D774" s="47" t="s">
        <v>1509</v>
      </c>
      <c r="E774" s="30">
        <v>1297.9</v>
      </c>
      <c r="F774" s="30">
        <v>1190.0</v>
      </c>
      <c r="G774" s="30">
        <v>0.0</v>
      </c>
      <c r="H774" s="30">
        <v>0.0</v>
      </c>
      <c r="I774" s="30">
        <v>35.0433</v>
      </c>
      <c r="J774" s="30">
        <v>0.0</v>
      </c>
      <c r="K774" s="30">
        <v>0.0</v>
      </c>
      <c r="L774" s="30">
        <v>0.0</v>
      </c>
      <c r="M774" s="30">
        <v>0.0</v>
      </c>
      <c r="N774" s="30">
        <v>216.3166666666666</v>
      </c>
      <c r="O774" s="30">
        <v>-143.4599666666665</v>
      </c>
      <c r="P774" s="30">
        <v>-11.053237280735534</v>
      </c>
      <c r="Q774" s="30">
        <v>-13.26388473688264</v>
      </c>
    </row>
    <row r="775">
      <c r="A775" s="47">
        <v>1.1233307666E10</v>
      </c>
      <c r="B775" s="48">
        <v>46156.60146990741</v>
      </c>
      <c r="C775" s="30">
        <v>3.848411856E9</v>
      </c>
      <c r="D775" s="47" t="s">
        <v>1509</v>
      </c>
      <c r="E775" s="30">
        <v>727.0</v>
      </c>
      <c r="F775" s="30">
        <v>580.0</v>
      </c>
      <c r="G775" s="30">
        <v>0.0</v>
      </c>
      <c r="H775" s="30">
        <v>0.0</v>
      </c>
      <c r="I775" s="30">
        <v>32.060700000000004</v>
      </c>
      <c r="J775" s="30">
        <v>0.0</v>
      </c>
      <c r="K775" s="30">
        <v>0.0</v>
      </c>
      <c r="L775" s="30">
        <v>0.0</v>
      </c>
      <c r="M775" s="30">
        <v>0.0</v>
      </c>
      <c r="N775" s="30">
        <v>121.16666666666663</v>
      </c>
      <c r="O775" s="30">
        <v>-6.227366666666626</v>
      </c>
      <c r="P775" s="30">
        <v>-0.8565841357175551</v>
      </c>
      <c r="Q775" s="30">
        <v>-1.027900962861066</v>
      </c>
    </row>
    <row r="776">
      <c r="A776" s="47">
        <v>1.1236027261E10</v>
      </c>
      <c r="B776" s="48">
        <v>46157.3521875</v>
      </c>
      <c r="C776" s="30">
        <v>3.850740423E9</v>
      </c>
      <c r="D776" s="47" t="s">
        <v>1509</v>
      </c>
      <c r="E776" s="30">
        <v>727.0</v>
      </c>
      <c r="F776" s="30">
        <v>580.0</v>
      </c>
      <c r="G776" s="30">
        <v>0.0</v>
      </c>
      <c r="H776" s="30">
        <v>0.0</v>
      </c>
      <c r="I776" s="30">
        <v>32.060700000000004</v>
      </c>
      <c r="J776" s="30">
        <v>0.0</v>
      </c>
      <c r="K776" s="30">
        <v>0.0</v>
      </c>
      <c r="L776" s="30">
        <v>0.0</v>
      </c>
      <c r="M776" s="30">
        <v>0.0</v>
      </c>
      <c r="N776" s="30">
        <v>121.16666666666663</v>
      </c>
      <c r="O776" s="30">
        <v>-6.227366666666626</v>
      </c>
      <c r="P776" s="30">
        <v>-0.8565841357175551</v>
      </c>
      <c r="Q776" s="30">
        <v>-1.027900962861066</v>
      </c>
    </row>
    <row r="777">
      <c r="A777" s="47">
        <v>1.1235546353E10</v>
      </c>
      <c r="B777" s="48">
        <v>46157.06949074074</v>
      </c>
      <c r="C777" s="30">
        <v>3.850241082E9</v>
      </c>
      <c r="D777" s="47" t="s">
        <v>1509</v>
      </c>
      <c r="E777" s="30">
        <v>1278.0</v>
      </c>
      <c r="F777" s="30">
        <v>1165.0</v>
      </c>
      <c r="G777" s="30">
        <v>0.0</v>
      </c>
      <c r="H777" s="30">
        <v>0.0</v>
      </c>
      <c r="I777" s="30">
        <v>46.008</v>
      </c>
      <c r="J777" s="30">
        <v>0.0</v>
      </c>
      <c r="K777" s="30">
        <v>0.0</v>
      </c>
      <c r="L777" s="30">
        <v>0.0</v>
      </c>
      <c r="M777" s="30">
        <v>0.0</v>
      </c>
      <c r="N777" s="30">
        <v>213.0</v>
      </c>
      <c r="O777" s="30">
        <v>-146.008</v>
      </c>
      <c r="P777" s="30">
        <v>-11.42472613458529</v>
      </c>
      <c r="Q777" s="30">
        <v>-13.709671361502348</v>
      </c>
    </row>
    <row r="778">
      <c r="A778" s="47">
        <v>1.1240289245E10</v>
      </c>
      <c r="B778" s="48">
        <v>46158.7259837963</v>
      </c>
      <c r="C778" s="30">
        <v>3.854441498E9</v>
      </c>
      <c r="D778" s="47" t="s">
        <v>1511</v>
      </c>
      <c r="E778" s="30">
        <v>1267.9</v>
      </c>
      <c r="F778" s="30">
        <v>1160.0</v>
      </c>
      <c r="G778" s="30">
        <v>0.0</v>
      </c>
      <c r="H778" s="30">
        <v>0.0</v>
      </c>
      <c r="I778" s="30">
        <v>57.0555</v>
      </c>
      <c r="J778" s="30">
        <v>0.0</v>
      </c>
      <c r="K778" s="30">
        <v>0.0</v>
      </c>
      <c r="L778" s="30">
        <v>0.0</v>
      </c>
      <c r="M778" s="30">
        <v>0.0</v>
      </c>
      <c r="N778" s="30">
        <v>211.3166666666666</v>
      </c>
      <c r="O778" s="30">
        <v>-160.4721666666665</v>
      </c>
      <c r="P778" s="30">
        <v>-12.656531797986158</v>
      </c>
      <c r="Q778" s="30">
        <v>-15.18783815758339</v>
      </c>
    </row>
    <row r="779">
      <c r="A779" s="47">
        <v>1.1236056702E10</v>
      </c>
      <c r="B779" s="48">
        <v>46157.43243055556</v>
      </c>
      <c r="C779" s="30">
        <v>3.850779634E9</v>
      </c>
      <c r="D779" s="47" t="s">
        <v>1509</v>
      </c>
      <c r="E779" s="30">
        <v>1295.9</v>
      </c>
      <c r="F779" s="30">
        <v>1190.0</v>
      </c>
      <c r="G779" s="30">
        <v>0.0</v>
      </c>
      <c r="H779" s="30">
        <v>0.0</v>
      </c>
      <c r="I779" s="30">
        <v>34.9893</v>
      </c>
      <c r="J779" s="30">
        <v>0.0</v>
      </c>
      <c r="K779" s="30">
        <v>0.0</v>
      </c>
      <c r="L779" s="30">
        <v>0.0</v>
      </c>
      <c r="M779" s="30">
        <v>0.0</v>
      </c>
      <c r="N779" s="30">
        <v>215.98333333333335</v>
      </c>
      <c r="O779" s="30">
        <v>-145.07263333333327</v>
      </c>
      <c r="P779" s="30">
        <v>-11.194739820459391</v>
      </c>
      <c r="Q779" s="30">
        <v>-13.433687784551271</v>
      </c>
    </row>
    <row r="780">
      <c r="A780" s="47">
        <v>1.1228301744E10</v>
      </c>
      <c r="B780" s="48">
        <v>46154.895416666666</v>
      </c>
      <c r="C780" s="30">
        <v>3.843753604E9</v>
      </c>
      <c r="D780" s="47" t="s">
        <v>1509</v>
      </c>
      <c r="E780" s="30">
        <v>978.0</v>
      </c>
      <c r="F780" s="30">
        <v>621.6</v>
      </c>
      <c r="G780" s="30">
        <v>0.0</v>
      </c>
      <c r="H780" s="30">
        <v>0.0</v>
      </c>
      <c r="I780" s="30">
        <v>110.025</v>
      </c>
      <c r="J780" s="30">
        <v>0.0</v>
      </c>
      <c r="K780" s="30">
        <v>0.0</v>
      </c>
      <c r="L780" s="30">
        <v>0.0</v>
      </c>
      <c r="M780" s="30">
        <v>0.0</v>
      </c>
      <c r="N780" s="30">
        <v>163.0</v>
      </c>
      <c r="O780" s="30">
        <v>83.37499999999997</v>
      </c>
      <c r="P780" s="30">
        <v>8.525051124744373</v>
      </c>
      <c r="Q780" s="30">
        <v>10.230061349693248</v>
      </c>
    </row>
    <row r="781">
      <c r="A781" s="47">
        <v>1.1232213717E10</v>
      </c>
      <c r="B781" s="48">
        <v>46156.0346875</v>
      </c>
      <c r="C781" s="30">
        <v>3.847258057E9</v>
      </c>
      <c r="D781" s="47" t="s">
        <v>1509</v>
      </c>
      <c r="E781" s="30">
        <v>489.0</v>
      </c>
      <c r="F781" s="30">
        <v>130.0</v>
      </c>
      <c r="G781" s="30">
        <v>0.0</v>
      </c>
      <c r="H781" s="30">
        <v>0.0</v>
      </c>
      <c r="I781" s="30">
        <v>88.02</v>
      </c>
      <c r="J781" s="30">
        <v>0.0</v>
      </c>
      <c r="K781" s="30">
        <v>0.0</v>
      </c>
      <c r="L781" s="30">
        <v>0.0</v>
      </c>
      <c r="M781" s="30">
        <v>0.0</v>
      </c>
      <c r="N781" s="30">
        <v>81.5</v>
      </c>
      <c r="O781" s="30">
        <v>189.48000000000002</v>
      </c>
      <c r="P781" s="30">
        <v>38.74846625766872</v>
      </c>
      <c r="Q781" s="30">
        <v>46.49815950920246</v>
      </c>
    </row>
    <row r="782">
      <c r="A782" s="47">
        <v>1.1236434267E10</v>
      </c>
      <c r="B782" s="48">
        <v>46157.59118055556</v>
      </c>
      <c r="C782" s="30">
        <v>3.851195534E9</v>
      </c>
      <c r="D782" s="47" t="s">
        <v>1509</v>
      </c>
      <c r="E782" s="30">
        <v>1295.9</v>
      </c>
      <c r="F782" s="30">
        <v>1190.0</v>
      </c>
      <c r="G782" s="30">
        <v>0.0</v>
      </c>
      <c r="H782" s="30">
        <v>0.0</v>
      </c>
      <c r="I782" s="30">
        <v>34.9893</v>
      </c>
      <c r="J782" s="30">
        <v>0.0</v>
      </c>
      <c r="K782" s="30">
        <v>0.0</v>
      </c>
      <c r="L782" s="30">
        <v>0.0</v>
      </c>
      <c r="M782" s="30">
        <v>0.0</v>
      </c>
      <c r="N782" s="30">
        <v>215.98333333333335</v>
      </c>
      <c r="O782" s="30">
        <v>-145.07263333333327</v>
      </c>
      <c r="P782" s="30">
        <v>-11.194739820459391</v>
      </c>
      <c r="Q782" s="30">
        <v>-13.433687784551271</v>
      </c>
    </row>
    <row r="783">
      <c r="A783" s="47">
        <v>1.1236880425E10</v>
      </c>
      <c r="B783" s="48">
        <v>46157.68085648148</v>
      </c>
      <c r="C783" s="30">
        <v>3.851575145E9</v>
      </c>
      <c r="D783" s="47" t="s">
        <v>1512</v>
      </c>
      <c r="E783" s="30">
        <v>1267.9</v>
      </c>
      <c r="F783" s="30">
        <v>1160.0</v>
      </c>
      <c r="G783" s="30">
        <v>0.0</v>
      </c>
      <c r="H783" s="30">
        <v>0.0</v>
      </c>
      <c r="I783" s="30">
        <v>57.0555</v>
      </c>
      <c r="J783" s="30">
        <v>0.0</v>
      </c>
      <c r="K783" s="30">
        <v>0.0</v>
      </c>
      <c r="L783" s="30">
        <v>0.0</v>
      </c>
      <c r="M783" s="30">
        <v>0.0</v>
      </c>
      <c r="N783" s="30">
        <v>211.3166666666666</v>
      </c>
      <c r="O783" s="30">
        <v>-160.4721666666665</v>
      </c>
      <c r="P783" s="30">
        <v>-12.656531797986158</v>
      </c>
      <c r="Q783" s="30">
        <v>-15.18783815758339</v>
      </c>
    </row>
    <row r="784">
      <c r="A784" s="47">
        <v>1.1236116409E10</v>
      </c>
      <c r="B784" s="48">
        <v>46157.484444444446</v>
      </c>
      <c r="C784" s="30">
        <v>3.850856452E9</v>
      </c>
      <c r="D784" s="47" t="s">
        <v>1509</v>
      </c>
      <c r="E784" s="30">
        <v>727.0</v>
      </c>
      <c r="F784" s="30">
        <v>580.0</v>
      </c>
      <c r="G784" s="30">
        <v>0.0</v>
      </c>
      <c r="H784" s="30">
        <v>0.0</v>
      </c>
      <c r="I784" s="30">
        <v>32.060700000000004</v>
      </c>
      <c r="J784" s="30">
        <v>0.0</v>
      </c>
      <c r="K784" s="30">
        <v>0.0</v>
      </c>
      <c r="L784" s="30">
        <v>0.0</v>
      </c>
      <c r="M784" s="30">
        <v>0.0</v>
      </c>
      <c r="N784" s="30">
        <v>121.16666666666663</v>
      </c>
      <c r="O784" s="30">
        <v>-6.227366666666626</v>
      </c>
      <c r="P784" s="30">
        <v>-0.8565841357175551</v>
      </c>
      <c r="Q784" s="30">
        <v>-1.027900962861066</v>
      </c>
    </row>
    <row r="785">
      <c r="A785" s="47">
        <v>1.123733218E10</v>
      </c>
      <c r="B785" s="48">
        <v>46157.77209490741</v>
      </c>
      <c r="C785" s="30">
        <v>3.851957688E9</v>
      </c>
      <c r="D785" s="47" t="s">
        <v>1512</v>
      </c>
      <c r="E785" s="30">
        <v>1267.9</v>
      </c>
      <c r="F785" s="30">
        <v>1160.0</v>
      </c>
      <c r="G785" s="30">
        <v>0.0</v>
      </c>
      <c r="H785" s="30">
        <v>0.0</v>
      </c>
      <c r="I785" s="30">
        <v>57.0555</v>
      </c>
      <c r="J785" s="30">
        <v>0.0</v>
      </c>
      <c r="K785" s="30">
        <v>0.0</v>
      </c>
      <c r="L785" s="30">
        <v>0.0</v>
      </c>
      <c r="M785" s="30">
        <v>0.0</v>
      </c>
      <c r="N785" s="30">
        <v>211.3166666666666</v>
      </c>
      <c r="O785" s="30">
        <v>-160.4721666666665</v>
      </c>
      <c r="P785" s="30">
        <v>-12.656531797986158</v>
      </c>
      <c r="Q785" s="30">
        <v>-15.18783815758339</v>
      </c>
    </row>
    <row r="786">
      <c r="A786" s="47">
        <v>1.1233393812E10</v>
      </c>
      <c r="B786" s="48">
        <v>46156.61958333333</v>
      </c>
      <c r="C786" s="30">
        <v>3.848480501E9</v>
      </c>
      <c r="D786" s="47" t="s">
        <v>1509</v>
      </c>
      <c r="E786" s="30">
        <v>727.0</v>
      </c>
      <c r="F786" s="30">
        <v>580.0</v>
      </c>
      <c r="G786" s="30">
        <v>0.0</v>
      </c>
      <c r="H786" s="30">
        <v>0.0</v>
      </c>
      <c r="I786" s="30">
        <v>32.060700000000004</v>
      </c>
      <c r="J786" s="30">
        <v>0.0</v>
      </c>
      <c r="K786" s="30">
        <v>0.0</v>
      </c>
      <c r="L786" s="30">
        <v>0.0</v>
      </c>
      <c r="M786" s="30">
        <v>0.0</v>
      </c>
      <c r="N786" s="30">
        <v>121.16666666666663</v>
      </c>
      <c r="O786" s="30">
        <v>-6.227366666666626</v>
      </c>
      <c r="P786" s="30">
        <v>-0.8565841357175551</v>
      </c>
      <c r="Q786" s="30">
        <v>-1.027900962861066</v>
      </c>
    </row>
    <row r="787">
      <c r="A787" s="47">
        <v>1.1235501228E10</v>
      </c>
      <c r="B787" s="48">
        <v>46157.0597337963</v>
      </c>
      <c r="C787" s="30">
        <v>3.850199554E9</v>
      </c>
      <c r="D787" s="47" t="s">
        <v>1509</v>
      </c>
      <c r="E787" s="30">
        <v>1454.0</v>
      </c>
      <c r="F787" s="30">
        <v>1160.0</v>
      </c>
      <c r="G787" s="30">
        <v>0.0</v>
      </c>
      <c r="H787" s="30">
        <v>0.0</v>
      </c>
      <c r="I787" s="30">
        <v>64.12140000000001</v>
      </c>
      <c r="J787" s="30">
        <v>0.0</v>
      </c>
      <c r="K787" s="30">
        <v>0.0</v>
      </c>
      <c r="L787" s="30">
        <v>0.0</v>
      </c>
      <c r="M787" s="30">
        <v>0.0</v>
      </c>
      <c r="N787" s="30">
        <v>242.33333333333326</v>
      </c>
      <c r="O787" s="30">
        <v>-12.454733333333252</v>
      </c>
      <c r="P787" s="30">
        <v>-0.8565841357175551</v>
      </c>
      <c r="Q787" s="30">
        <v>-1.027900962861066</v>
      </c>
    </row>
    <row r="788">
      <c r="A788" s="47">
        <v>1.1236068111E10</v>
      </c>
      <c r="B788" s="48">
        <v>46157.44599537037</v>
      </c>
      <c r="C788" s="30">
        <v>3.850795385E9</v>
      </c>
      <c r="D788" s="47" t="s">
        <v>1509</v>
      </c>
      <c r="E788" s="30">
        <v>729.0</v>
      </c>
      <c r="F788" s="30">
        <v>580.0</v>
      </c>
      <c r="G788" s="30">
        <v>0.0</v>
      </c>
      <c r="H788" s="30">
        <v>0.0</v>
      </c>
      <c r="I788" s="30">
        <v>36.0855</v>
      </c>
      <c r="J788" s="30">
        <v>0.0</v>
      </c>
      <c r="K788" s="30">
        <v>0.0</v>
      </c>
      <c r="L788" s="30">
        <v>0.0</v>
      </c>
      <c r="M788" s="30">
        <v>0.0</v>
      </c>
      <c r="N788" s="30">
        <v>121.5</v>
      </c>
      <c r="O788" s="30">
        <v>-8.585499999999996</v>
      </c>
      <c r="P788" s="30">
        <v>-1.177709190672153</v>
      </c>
      <c r="Q788" s="30">
        <v>-1.4132510288065838</v>
      </c>
    </row>
    <row r="789">
      <c r="A789" s="47">
        <v>1.1235208666E10</v>
      </c>
      <c r="B789" s="48">
        <v>46156.99899305555</v>
      </c>
      <c r="C789" s="30">
        <v>3.8499264E9</v>
      </c>
      <c r="D789" s="47" t="s">
        <v>1509</v>
      </c>
      <c r="E789" s="30">
        <v>719.0</v>
      </c>
      <c r="F789" s="30">
        <v>377.0</v>
      </c>
      <c r="G789" s="30">
        <v>0.0</v>
      </c>
      <c r="H789" s="30">
        <v>0.0</v>
      </c>
      <c r="I789" s="30">
        <v>106.7715</v>
      </c>
      <c r="J789" s="30">
        <v>0.0</v>
      </c>
      <c r="K789" s="30">
        <v>0.0</v>
      </c>
      <c r="L789" s="30">
        <v>0.0</v>
      </c>
      <c r="M789" s="30">
        <v>0.0</v>
      </c>
      <c r="N789" s="30">
        <v>119.83333333333326</v>
      </c>
      <c r="O789" s="30">
        <v>115.39516666666674</v>
      </c>
      <c r="P789" s="30">
        <v>16.049397311080213</v>
      </c>
      <c r="Q789" s="30">
        <v>19.259276773296254</v>
      </c>
    </row>
    <row r="790">
      <c r="A790" s="47">
        <v>1.1233604084E10</v>
      </c>
      <c r="B790" s="48">
        <v>46156.66260416667</v>
      </c>
      <c r="C790" s="30">
        <v>3.848650396E9</v>
      </c>
      <c r="D790" s="47" t="s">
        <v>1509</v>
      </c>
      <c r="E790" s="30">
        <v>727.0</v>
      </c>
      <c r="F790" s="30">
        <v>580.0</v>
      </c>
      <c r="G790" s="30">
        <v>0.0</v>
      </c>
      <c r="H790" s="30">
        <v>0.0</v>
      </c>
      <c r="I790" s="30">
        <v>32.060700000000004</v>
      </c>
      <c r="J790" s="30">
        <v>0.0</v>
      </c>
      <c r="K790" s="30">
        <v>0.0</v>
      </c>
      <c r="L790" s="30">
        <v>0.0</v>
      </c>
      <c r="M790" s="30">
        <v>0.0</v>
      </c>
      <c r="N790" s="30">
        <v>121.16666666666663</v>
      </c>
      <c r="O790" s="30">
        <v>-6.227366666666626</v>
      </c>
      <c r="P790" s="30">
        <v>-0.8565841357175551</v>
      </c>
      <c r="Q790" s="30">
        <v>-1.027900962861066</v>
      </c>
    </row>
    <row r="791">
      <c r="A791" s="47">
        <v>1.1236140767E10</v>
      </c>
      <c r="B791" s="48">
        <v>46157.49769675926</v>
      </c>
      <c r="C791" s="30">
        <v>3.850884091E9</v>
      </c>
      <c r="D791" s="47" t="s">
        <v>1509</v>
      </c>
      <c r="E791" s="30">
        <v>1267.9</v>
      </c>
      <c r="F791" s="30">
        <v>1160.0</v>
      </c>
      <c r="G791" s="30">
        <v>0.0</v>
      </c>
      <c r="H791" s="30">
        <v>0.0</v>
      </c>
      <c r="I791" s="30">
        <v>57.0555</v>
      </c>
      <c r="J791" s="30">
        <v>0.0</v>
      </c>
      <c r="K791" s="30">
        <v>0.0</v>
      </c>
      <c r="L791" s="30">
        <v>0.0</v>
      </c>
      <c r="M791" s="30">
        <v>0.0</v>
      </c>
      <c r="N791" s="30">
        <v>211.3166666666666</v>
      </c>
      <c r="O791" s="30">
        <v>-160.4721666666665</v>
      </c>
      <c r="P791" s="30">
        <v>-12.656531797986158</v>
      </c>
      <c r="Q791" s="30">
        <v>-15.18783815758339</v>
      </c>
    </row>
    <row r="792">
      <c r="A792" s="47">
        <v>1.123494856E10</v>
      </c>
      <c r="B792" s="48">
        <v>46156.94630787037</v>
      </c>
      <c r="C792" s="30">
        <v>3.84972293E9</v>
      </c>
      <c r="D792" s="47" t="s">
        <v>1509</v>
      </c>
      <c r="E792" s="30">
        <v>2998.0</v>
      </c>
      <c r="F792" s="30">
        <v>1560.0</v>
      </c>
      <c r="G792" s="30">
        <v>0.0</v>
      </c>
      <c r="H792" s="30">
        <v>0.0</v>
      </c>
      <c r="I792" s="30">
        <v>364.25700000000006</v>
      </c>
      <c r="J792" s="30">
        <v>0.0</v>
      </c>
      <c r="K792" s="30">
        <v>0.0</v>
      </c>
      <c r="L792" s="30">
        <v>0.0</v>
      </c>
      <c r="M792" s="30">
        <v>0.0</v>
      </c>
      <c r="N792" s="30">
        <v>499.6666666666665</v>
      </c>
      <c r="O792" s="30">
        <v>574.0763333333334</v>
      </c>
      <c r="P792" s="30">
        <v>19.148643540137872</v>
      </c>
      <c r="Q792" s="30">
        <v>22.978372248165446</v>
      </c>
    </row>
    <row r="793">
      <c r="A793" s="47">
        <v>1.1235505807E10</v>
      </c>
      <c r="B793" s="48">
        <v>46157.06077546296</v>
      </c>
      <c r="C793" s="30">
        <v>3.850201635E9</v>
      </c>
      <c r="D793" s="47" t="s">
        <v>1509</v>
      </c>
      <c r="E793" s="30">
        <v>727.0</v>
      </c>
      <c r="F793" s="30">
        <v>580.0</v>
      </c>
      <c r="G793" s="30">
        <v>0.0</v>
      </c>
      <c r="H793" s="30">
        <v>0.0</v>
      </c>
      <c r="I793" s="30">
        <v>32.060700000000004</v>
      </c>
      <c r="J793" s="30">
        <v>0.0</v>
      </c>
      <c r="K793" s="30">
        <v>0.0</v>
      </c>
      <c r="L793" s="30">
        <v>0.0</v>
      </c>
      <c r="M793" s="30">
        <v>0.0</v>
      </c>
      <c r="N793" s="30">
        <v>121.16666666666663</v>
      </c>
      <c r="O793" s="30">
        <v>-6.227366666666626</v>
      </c>
      <c r="P793" s="30">
        <v>-0.8565841357175551</v>
      </c>
      <c r="Q793" s="30">
        <v>-1.027900962861066</v>
      </c>
    </row>
    <row r="794">
      <c r="A794" s="47">
        <v>1.1235009093E10</v>
      </c>
      <c r="B794" s="48">
        <v>46156.95869212963</v>
      </c>
      <c r="C794" s="30">
        <v>3.84976654E9</v>
      </c>
      <c r="D794" s="47" t="s">
        <v>1509</v>
      </c>
      <c r="E794" s="30">
        <v>1454.0</v>
      </c>
      <c r="F794" s="30">
        <v>1160.0</v>
      </c>
      <c r="G794" s="30">
        <v>0.0</v>
      </c>
      <c r="H794" s="30">
        <v>0.0</v>
      </c>
      <c r="I794" s="30">
        <v>64.12140000000001</v>
      </c>
      <c r="J794" s="30">
        <v>0.0</v>
      </c>
      <c r="K794" s="30">
        <v>0.0</v>
      </c>
      <c r="L794" s="30">
        <v>0.0</v>
      </c>
      <c r="M794" s="30">
        <v>0.0</v>
      </c>
      <c r="N794" s="30">
        <v>242.33333333333326</v>
      </c>
      <c r="O794" s="30">
        <v>-12.454733333333252</v>
      </c>
      <c r="P794" s="30">
        <v>-0.8565841357175551</v>
      </c>
      <c r="Q794" s="30">
        <v>-1.027900962861066</v>
      </c>
    </row>
    <row r="795">
      <c r="A795" s="47">
        <v>1.123565327E10</v>
      </c>
      <c r="B795" s="48">
        <v>46157.094305555554</v>
      </c>
      <c r="C795" s="30">
        <v>3.850348321E9</v>
      </c>
      <c r="D795" s="47" t="s">
        <v>1509</v>
      </c>
      <c r="E795" s="30">
        <v>1297.9</v>
      </c>
      <c r="F795" s="30">
        <v>1190.0</v>
      </c>
      <c r="G795" s="30">
        <v>0.0</v>
      </c>
      <c r="H795" s="30">
        <v>0.0</v>
      </c>
      <c r="I795" s="30">
        <v>35.0433</v>
      </c>
      <c r="J795" s="30">
        <v>0.0</v>
      </c>
      <c r="K795" s="30">
        <v>0.0</v>
      </c>
      <c r="L795" s="30">
        <v>0.0</v>
      </c>
      <c r="M795" s="30">
        <v>0.0</v>
      </c>
      <c r="N795" s="30">
        <v>216.3166666666666</v>
      </c>
      <c r="O795" s="30">
        <v>-143.4599666666665</v>
      </c>
      <c r="P795" s="30">
        <v>-11.053237280735534</v>
      </c>
      <c r="Q795" s="30">
        <v>-13.26388473688264</v>
      </c>
    </row>
    <row r="796">
      <c r="A796" s="47">
        <v>1.1233533629E10</v>
      </c>
      <c r="B796" s="48">
        <v>46156.648206018515</v>
      </c>
      <c r="C796" s="30">
        <v>3.848592234E9</v>
      </c>
      <c r="D796" s="47" t="s">
        <v>1509</v>
      </c>
      <c r="E796" s="30">
        <v>659.0</v>
      </c>
      <c r="F796" s="30">
        <v>420.0</v>
      </c>
      <c r="G796" s="30">
        <v>0.0</v>
      </c>
      <c r="H796" s="30">
        <v>0.0</v>
      </c>
      <c r="I796" s="30">
        <v>97.86149999999999</v>
      </c>
      <c r="J796" s="30">
        <v>0.0</v>
      </c>
      <c r="K796" s="30">
        <v>0.0</v>
      </c>
      <c r="L796" s="30">
        <v>0.0</v>
      </c>
      <c r="M796" s="30">
        <v>0.0</v>
      </c>
      <c r="N796" s="30">
        <v>109.83333333333326</v>
      </c>
      <c r="O796" s="30">
        <v>31.305166666666764</v>
      </c>
      <c r="P796" s="30">
        <v>4.750404653515442</v>
      </c>
      <c r="Q796" s="30">
        <v>5.70048558421853</v>
      </c>
    </row>
    <row r="797">
      <c r="A797" s="47">
        <v>1.1233072973E10</v>
      </c>
      <c r="B797" s="48">
        <v>46156.53351851852</v>
      </c>
      <c r="C797" s="30">
        <v>3.848172136E9</v>
      </c>
      <c r="D797" s="47" t="s">
        <v>1509</v>
      </c>
      <c r="E797" s="30">
        <v>727.0</v>
      </c>
      <c r="F797" s="30">
        <v>580.0</v>
      </c>
      <c r="G797" s="30">
        <v>0.0</v>
      </c>
      <c r="H797" s="30">
        <v>0.0</v>
      </c>
      <c r="I797" s="30">
        <v>32.060700000000004</v>
      </c>
      <c r="J797" s="30">
        <v>0.0</v>
      </c>
      <c r="K797" s="30">
        <v>0.0</v>
      </c>
      <c r="L797" s="30">
        <v>0.0</v>
      </c>
      <c r="M797" s="30">
        <v>0.0</v>
      </c>
      <c r="N797" s="30">
        <v>121.16666666666663</v>
      </c>
      <c r="O797" s="30">
        <v>-6.227366666666626</v>
      </c>
      <c r="P797" s="30">
        <v>-0.8565841357175551</v>
      </c>
      <c r="Q797" s="30">
        <v>-1.027900962861066</v>
      </c>
    </row>
    <row r="798">
      <c r="A798" s="47">
        <v>1.1230234877E10</v>
      </c>
      <c r="B798" s="48">
        <v>46155.62168981481</v>
      </c>
      <c r="C798" s="30">
        <v>3.845605398E9</v>
      </c>
      <c r="D798" s="47" t="s">
        <v>1509</v>
      </c>
      <c r="E798" s="30">
        <v>1595.0</v>
      </c>
      <c r="F798" s="30">
        <v>1394.04</v>
      </c>
      <c r="G798" s="30">
        <v>0.0</v>
      </c>
      <c r="H798" s="30">
        <v>0.0</v>
      </c>
      <c r="I798" s="30">
        <v>106.227</v>
      </c>
      <c r="J798" s="30">
        <v>0.0</v>
      </c>
      <c r="K798" s="30">
        <v>0.0</v>
      </c>
      <c r="L798" s="30">
        <v>0.0</v>
      </c>
      <c r="M798" s="30">
        <v>0.0</v>
      </c>
      <c r="N798" s="30">
        <v>265.83333333333326</v>
      </c>
      <c r="O798" s="30">
        <v>-171.10033333333323</v>
      </c>
      <c r="P798" s="30">
        <v>-10.727293625914308</v>
      </c>
      <c r="Q798" s="30">
        <v>-12.87275235109717</v>
      </c>
    </row>
    <row r="799">
      <c r="A799" s="47">
        <v>1.1231068495E10</v>
      </c>
      <c r="B799" s="48">
        <v>46155.797743055555</v>
      </c>
      <c r="C799" s="30">
        <v>3.846328106E9</v>
      </c>
      <c r="D799" s="47" t="s">
        <v>1509</v>
      </c>
      <c r="E799" s="30">
        <v>1471.0</v>
      </c>
      <c r="F799" s="30">
        <v>1210.0</v>
      </c>
      <c r="G799" s="30">
        <v>0.0</v>
      </c>
      <c r="H799" s="30">
        <v>0.0</v>
      </c>
      <c r="I799" s="30">
        <v>100.6164</v>
      </c>
      <c r="J799" s="30">
        <v>0.0</v>
      </c>
      <c r="K799" s="30">
        <v>0.0</v>
      </c>
      <c r="L799" s="30">
        <v>0.0</v>
      </c>
      <c r="M799" s="30">
        <v>0.0</v>
      </c>
      <c r="N799" s="30">
        <v>245.16666666666652</v>
      </c>
      <c r="O799" s="30">
        <v>-84.78306666666651</v>
      </c>
      <c r="P799" s="30">
        <v>-5.763634715612952</v>
      </c>
      <c r="Q799" s="30">
        <v>-6.916361658735541</v>
      </c>
    </row>
    <row r="800">
      <c r="A800" s="47">
        <v>1.1234259635E10</v>
      </c>
      <c r="B800" s="48">
        <v>46156.80255787037</v>
      </c>
      <c r="C800" s="30">
        <v>3.84920448E9</v>
      </c>
      <c r="D800" s="47" t="s">
        <v>1509</v>
      </c>
      <c r="E800" s="30">
        <v>729.0</v>
      </c>
      <c r="F800" s="30">
        <v>580.0</v>
      </c>
      <c r="G800" s="30">
        <v>0.0</v>
      </c>
      <c r="H800" s="30">
        <v>0.0</v>
      </c>
      <c r="I800" s="30">
        <v>36.0855</v>
      </c>
      <c r="J800" s="30">
        <v>0.0</v>
      </c>
      <c r="K800" s="30">
        <v>0.0</v>
      </c>
      <c r="L800" s="30">
        <v>0.0</v>
      </c>
      <c r="M800" s="30">
        <v>0.0</v>
      </c>
      <c r="N800" s="30">
        <v>121.5</v>
      </c>
      <c r="O800" s="30">
        <v>-8.585499999999996</v>
      </c>
      <c r="P800" s="30">
        <v>-1.177709190672153</v>
      </c>
      <c r="Q800" s="30">
        <v>-1.4132510288065838</v>
      </c>
    </row>
    <row r="801">
      <c r="A801" s="47">
        <v>1.1234564552E10</v>
      </c>
      <c r="B801" s="48">
        <v>46156.868576388886</v>
      </c>
      <c r="C801" s="30">
        <v>3.849444385E9</v>
      </c>
      <c r="D801" s="47" t="s">
        <v>1509</v>
      </c>
      <c r="E801" s="30">
        <v>729.0</v>
      </c>
      <c r="F801" s="30">
        <v>580.0</v>
      </c>
      <c r="G801" s="30">
        <v>0.0</v>
      </c>
      <c r="H801" s="30">
        <v>0.0</v>
      </c>
      <c r="I801" s="30">
        <v>36.0855</v>
      </c>
      <c r="J801" s="30">
        <v>0.0</v>
      </c>
      <c r="K801" s="30">
        <v>0.0</v>
      </c>
      <c r="L801" s="30">
        <v>0.0</v>
      </c>
      <c r="M801" s="30">
        <v>0.0</v>
      </c>
      <c r="N801" s="30">
        <v>121.5</v>
      </c>
      <c r="O801" s="30">
        <v>-8.585499999999996</v>
      </c>
      <c r="P801" s="30">
        <v>-1.177709190672153</v>
      </c>
      <c r="Q801" s="30">
        <v>-1.4132510288065838</v>
      </c>
    </row>
    <row r="802">
      <c r="A802" s="47">
        <v>1.123449021E10</v>
      </c>
      <c r="B802" s="48">
        <v>46156.852685185186</v>
      </c>
      <c r="C802" s="30">
        <v>3.849390454E9</v>
      </c>
      <c r="D802" s="47" t="s">
        <v>1509</v>
      </c>
      <c r="E802" s="30">
        <v>1458.0</v>
      </c>
      <c r="F802" s="30">
        <v>1160.0</v>
      </c>
      <c r="G802" s="30">
        <v>0.0</v>
      </c>
      <c r="H802" s="30">
        <v>0.0</v>
      </c>
      <c r="I802" s="30">
        <v>72.171</v>
      </c>
      <c r="J802" s="30">
        <v>0.0</v>
      </c>
      <c r="K802" s="30">
        <v>0.0</v>
      </c>
      <c r="L802" s="30">
        <v>0.0</v>
      </c>
      <c r="M802" s="30">
        <v>0.0</v>
      </c>
      <c r="N802" s="30">
        <v>243.0</v>
      </c>
      <c r="O802" s="30">
        <v>-17.170999999999992</v>
      </c>
      <c r="P802" s="30">
        <v>-1.177709190672153</v>
      </c>
      <c r="Q802" s="30">
        <v>-1.4132510288065838</v>
      </c>
    </row>
    <row r="803">
      <c r="A803" s="47">
        <v>1.1235139193E10</v>
      </c>
      <c r="B803" s="48">
        <v>46156.98484953704</v>
      </c>
      <c r="C803" s="30">
        <v>3.849871513E9</v>
      </c>
      <c r="D803" s="47" t="s">
        <v>1509</v>
      </c>
      <c r="E803" s="30">
        <v>1297.9</v>
      </c>
      <c r="F803" s="30">
        <v>1190.0</v>
      </c>
      <c r="G803" s="30">
        <v>0.0</v>
      </c>
      <c r="H803" s="30">
        <v>0.0</v>
      </c>
      <c r="I803" s="30">
        <v>35.0433</v>
      </c>
      <c r="J803" s="30">
        <v>0.0</v>
      </c>
      <c r="K803" s="30">
        <v>0.0</v>
      </c>
      <c r="L803" s="30">
        <v>0.0</v>
      </c>
      <c r="M803" s="30">
        <v>0.0</v>
      </c>
      <c r="N803" s="30">
        <v>216.3166666666666</v>
      </c>
      <c r="O803" s="30">
        <v>-143.4599666666665</v>
      </c>
      <c r="P803" s="30">
        <v>-11.053237280735534</v>
      </c>
      <c r="Q803" s="30">
        <v>-13.26388473688264</v>
      </c>
    </row>
    <row r="804">
      <c r="A804" s="47">
        <v>1.1234785376E10</v>
      </c>
      <c r="B804" s="48">
        <v>46156.91327546296</v>
      </c>
      <c r="C804" s="30">
        <v>3.849603306E9</v>
      </c>
      <c r="D804" s="47" t="s">
        <v>1509</v>
      </c>
      <c r="E804" s="30">
        <v>1299.0</v>
      </c>
      <c r="F804" s="30">
        <v>1190.0</v>
      </c>
      <c r="G804" s="30">
        <v>0.0</v>
      </c>
      <c r="H804" s="30">
        <v>0.0</v>
      </c>
      <c r="I804" s="30">
        <v>35.073</v>
      </c>
      <c r="J804" s="30">
        <v>0.0</v>
      </c>
      <c r="K804" s="30">
        <v>0.0</v>
      </c>
      <c r="L804" s="30">
        <v>0.0</v>
      </c>
      <c r="M804" s="30">
        <v>0.0</v>
      </c>
      <c r="N804" s="30">
        <v>216.5</v>
      </c>
      <c r="O804" s="30">
        <v>-142.573</v>
      </c>
      <c r="P804" s="30">
        <v>-10.97559661277906</v>
      </c>
      <c r="Q804" s="30">
        <v>-13.170715935334872</v>
      </c>
    </row>
    <row r="805">
      <c r="A805" s="47">
        <v>1.1230146788E10</v>
      </c>
      <c r="B805" s="48">
        <v>46155.604097222225</v>
      </c>
      <c r="C805" s="30">
        <v>3.845530456E9</v>
      </c>
      <c r="D805" s="47" t="s">
        <v>1509</v>
      </c>
      <c r="E805" s="30">
        <v>545.0</v>
      </c>
      <c r="F805" s="30">
        <v>290.0</v>
      </c>
      <c r="G805" s="30">
        <v>0.0</v>
      </c>
      <c r="H805" s="30">
        <v>0.0</v>
      </c>
      <c r="I805" s="30">
        <v>66.2175</v>
      </c>
      <c r="J805" s="30">
        <v>0.0</v>
      </c>
      <c r="K805" s="30">
        <v>0.0</v>
      </c>
      <c r="L805" s="30">
        <v>0.0</v>
      </c>
      <c r="M805" s="30">
        <v>0.0</v>
      </c>
      <c r="N805" s="30">
        <v>90.83333333333331</v>
      </c>
      <c r="O805" s="30">
        <v>97.94916666666668</v>
      </c>
      <c r="P805" s="30">
        <v>17.97232415902141</v>
      </c>
      <c r="Q805" s="30">
        <v>21.566788990825692</v>
      </c>
    </row>
    <row r="806">
      <c r="A806" s="47">
        <v>1.1236087563E10</v>
      </c>
      <c r="B806" s="48">
        <v>46157.46487268519</v>
      </c>
      <c r="C806" s="30">
        <v>3.850819199E9</v>
      </c>
      <c r="D806" s="47" t="s">
        <v>1509</v>
      </c>
      <c r="E806" s="30">
        <v>727.0</v>
      </c>
      <c r="F806" s="30">
        <v>580.0</v>
      </c>
      <c r="G806" s="30">
        <v>0.0</v>
      </c>
      <c r="H806" s="30">
        <v>0.0</v>
      </c>
      <c r="I806" s="30">
        <v>32.060700000000004</v>
      </c>
      <c r="J806" s="30">
        <v>0.0</v>
      </c>
      <c r="K806" s="30">
        <v>0.0</v>
      </c>
      <c r="L806" s="30">
        <v>0.0</v>
      </c>
      <c r="M806" s="30">
        <v>0.0</v>
      </c>
      <c r="N806" s="30">
        <v>121.16666666666663</v>
      </c>
      <c r="O806" s="30">
        <v>-6.227366666666626</v>
      </c>
      <c r="P806" s="30">
        <v>-0.8565841357175551</v>
      </c>
      <c r="Q806" s="30">
        <v>-1.027900962861066</v>
      </c>
    </row>
    <row r="807">
      <c r="A807" s="47">
        <v>1.1236140387E10</v>
      </c>
      <c r="B807" s="48">
        <v>46157.497511574074</v>
      </c>
      <c r="C807" s="30">
        <v>3.850882041E9</v>
      </c>
      <c r="D807" s="47" t="s">
        <v>1509</v>
      </c>
      <c r="E807" s="30">
        <v>1295.9</v>
      </c>
      <c r="F807" s="30">
        <v>1190.0</v>
      </c>
      <c r="G807" s="30">
        <v>0.0</v>
      </c>
      <c r="H807" s="30">
        <v>0.0</v>
      </c>
      <c r="I807" s="30">
        <v>34.9893</v>
      </c>
      <c r="J807" s="30">
        <v>0.0</v>
      </c>
      <c r="K807" s="30">
        <v>0.0</v>
      </c>
      <c r="L807" s="30">
        <v>0.0</v>
      </c>
      <c r="M807" s="30">
        <v>0.0</v>
      </c>
      <c r="N807" s="30">
        <v>215.98333333333335</v>
      </c>
      <c r="O807" s="30">
        <v>-145.07263333333327</v>
      </c>
      <c r="P807" s="30">
        <v>-11.194739820459391</v>
      </c>
      <c r="Q807" s="30">
        <v>-13.433687784551271</v>
      </c>
    </row>
    <row r="808">
      <c r="A808" s="47">
        <v>1.123370376E10</v>
      </c>
      <c r="B808" s="48">
        <v>46156.6824537037</v>
      </c>
      <c r="C808" s="30">
        <v>3.848735958E9</v>
      </c>
      <c r="D808" s="47" t="s">
        <v>1509</v>
      </c>
      <c r="E808" s="30">
        <v>1454.0</v>
      </c>
      <c r="F808" s="30">
        <v>1160.0</v>
      </c>
      <c r="G808" s="30">
        <v>0.0</v>
      </c>
      <c r="H808" s="30">
        <v>0.0</v>
      </c>
      <c r="I808" s="30">
        <v>64.12140000000001</v>
      </c>
      <c r="J808" s="30">
        <v>0.0</v>
      </c>
      <c r="K808" s="30">
        <v>0.0</v>
      </c>
      <c r="L808" s="30">
        <v>0.0</v>
      </c>
      <c r="M808" s="30">
        <v>0.0</v>
      </c>
      <c r="N808" s="30">
        <v>242.33333333333326</v>
      </c>
      <c r="O808" s="30">
        <v>-12.454733333333252</v>
      </c>
      <c r="P808" s="30">
        <v>-0.8565841357175551</v>
      </c>
      <c r="Q808" s="30">
        <v>-1.027900962861066</v>
      </c>
    </row>
    <row r="809">
      <c r="A809" s="47">
        <v>1.1235093364E10</v>
      </c>
      <c r="B809" s="48">
        <v>46156.97591435185</v>
      </c>
      <c r="C809" s="30">
        <v>3.849834506E9</v>
      </c>
      <c r="D809" s="47" t="s">
        <v>1509</v>
      </c>
      <c r="E809" s="30">
        <v>1297.9</v>
      </c>
      <c r="F809" s="30">
        <v>1190.0</v>
      </c>
      <c r="G809" s="30">
        <v>0.0</v>
      </c>
      <c r="H809" s="30">
        <v>0.0</v>
      </c>
      <c r="I809" s="30">
        <v>35.0433</v>
      </c>
      <c r="J809" s="30">
        <v>0.0</v>
      </c>
      <c r="K809" s="30">
        <v>0.0</v>
      </c>
      <c r="L809" s="30">
        <v>0.0</v>
      </c>
      <c r="M809" s="30">
        <v>0.0</v>
      </c>
      <c r="N809" s="30">
        <v>216.3166666666666</v>
      </c>
      <c r="O809" s="30">
        <v>-143.4599666666665</v>
      </c>
      <c r="P809" s="30">
        <v>-11.053237280735534</v>
      </c>
      <c r="Q809" s="30">
        <v>-13.26388473688264</v>
      </c>
    </row>
    <row r="810">
      <c r="A810" s="47">
        <v>1.1234627766E10</v>
      </c>
      <c r="B810" s="48">
        <v>46156.88150462963</v>
      </c>
      <c r="C810" s="30">
        <v>3.849490556E9</v>
      </c>
      <c r="D810" s="47" t="s">
        <v>1509</v>
      </c>
      <c r="E810" s="30">
        <v>1299.0</v>
      </c>
      <c r="F810" s="30">
        <v>1190.0</v>
      </c>
      <c r="G810" s="30">
        <v>0.0</v>
      </c>
      <c r="H810" s="30">
        <v>0.0</v>
      </c>
      <c r="I810" s="30">
        <v>35.073</v>
      </c>
      <c r="J810" s="30">
        <v>0.0</v>
      </c>
      <c r="K810" s="30">
        <v>0.0</v>
      </c>
      <c r="L810" s="30">
        <v>0.0</v>
      </c>
      <c r="M810" s="30">
        <v>0.0</v>
      </c>
      <c r="N810" s="30">
        <v>216.5</v>
      </c>
      <c r="O810" s="30">
        <v>-142.573</v>
      </c>
      <c r="P810" s="30">
        <v>-10.97559661277906</v>
      </c>
      <c r="Q810" s="30">
        <v>-13.170715935334872</v>
      </c>
    </row>
    <row r="811">
      <c r="A811" s="47">
        <v>1.1231521378E10</v>
      </c>
      <c r="B811" s="48">
        <v>46155.89761574074</v>
      </c>
      <c r="C811" s="30">
        <v>3.846684734E9</v>
      </c>
      <c r="D811" s="47" t="s">
        <v>1509</v>
      </c>
      <c r="E811" s="30">
        <v>1854.0</v>
      </c>
      <c r="F811" s="30">
        <v>1535.52</v>
      </c>
      <c r="G811" s="30">
        <v>0.0</v>
      </c>
      <c r="H811" s="30">
        <v>0.0</v>
      </c>
      <c r="I811" s="30">
        <v>80.09280000000001</v>
      </c>
      <c r="J811" s="30">
        <v>0.0</v>
      </c>
      <c r="K811" s="30">
        <v>0.0</v>
      </c>
      <c r="L811" s="30">
        <v>0.0</v>
      </c>
      <c r="M811" s="30">
        <v>0.0</v>
      </c>
      <c r="N811" s="30">
        <v>309.0</v>
      </c>
      <c r="O811" s="30">
        <v>-70.6128</v>
      </c>
      <c r="P811" s="30">
        <v>-3.8086731391585755</v>
      </c>
      <c r="Q811" s="30">
        <v>-4.57040776699029</v>
      </c>
    </row>
    <row r="812">
      <c r="A812" s="47">
        <v>1.1235978568E10</v>
      </c>
      <c r="B812" s="48">
        <v>46157.22892361111</v>
      </c>
      <c r="C812" s="30">
        <v>3.850687464E9</v>
      </c>
      <c r="D812" s="47" t="s">
        <v>1509</v>
      </c>
      <c r="E812" s="30">
        <v>727.0</v>
      </c>
      <c r="F812" s="30">
        <v>580.0</v>
      </c>
      <c r="G812" s="30">
        <v>0.0</v>
      </c>
      <c r="H812" s="30">
        <v>0.0</v>
      </c>
      <c r="I812" s="30">
        <v>32.060700000000004</v>
      </c>
      <c r="J812" s="30">
        <v>0.0</v>
      </c>
      <c r="K812" s="30">
        <v>0.0</v>
      </c>
      <c r="L812" s="30">
        <v>0.0</v>
      </c>
      <c r="M812" s="30">
        <v>0.0</v>
      </c>
      <c r="N812" s="30">
        <v>121.16666666666663</v>
      </c>
      <c r="O812" s="30">
        <v>-6.227366666666626</v>
      </c>
      <c r="P812" s="30">
        <v>-0.8565841357175551</v>
      </c>
      <c r="Q812" s="30">
        <v>-1.027900962861066</v>
      </c>
    </row>
    <row r="813">
      <c r="A813" s="47">
        <v>1.1233830228E10</v>
      </c>
      <c r="B813" s="48">
        <v>46156.70857638889</v>
      </c>
      <c r="C813" s="30">
        <v>3.848839948E9</v>
      </c>
      <c r="D813" s="47" t="s">
        <v>1509</v>
      </c>
      <c r="E813" s="30">
        <v>575.0</v>
      </c>
      <c r="F813" s="30">
        <v>240.0</v>
      </c>
      <c r="G813" s="30">
        <v>0.0</v>
      </c>
      <c r="H813" s="30">
        <v>0.0</v>
      </c>
      <c r="I813" s="30">
        <v>103.5</v>
      </c>
      <c r="J813" s="30">
        <v>0.0</v>
      </c>
      <c r="K813" s="30">
        <v>0.0</v>
      </c>
      <c r="L813" s="30">
        <v>0.0</v>
      </c>
      <c r="M813" s="30">
        <v>0.0</v>
      </c>
      <c r="N813" s="30">
        <v>95.83333333333331</v>
      </c>
      <c r="O813" s="30">
        <v>135.66666666666669</v>
      </c>
      <c r="P813" s="30">
        <v>23.59420289855073</v>
      </c>
      <c r="Q813" s="30">
        <v>28.313043478260873</v>
      </c>
    </row>
    <row r="814">
      <c r="A814" s="47">
        <v>1.1235139409E10</v>
      </c>
      <c r="B814" s="48">
        <v>46156.98489583333</v>
      </c>
      <c r="C814" s="30">
        <v>3.849872414E9</v>
      </c>
      <c r="D814" s="47" t="s">
        <v>1509</v>
      </c>
      <c r="E814" s="30">
        <v>1297.9</v>
      </c>
      <c r="F814" s="30">
        <v>1190.0</v>
      </c>
      <c r="G814" s="30">
        <v>0.0</v>
      </c>
      <c r="H814" s="30">
        <v>0.0</v>
      </c>
      <c r="I814" s="30">
        <v>35.0433</v>
      </c>
      <c r="J814" s="30">
        <v>0.0</v>
      </c>
      <c r="K814" s="30">
        <v>0.0</v>
      </c>
      <c r="L814" s="30">
        <v>0.0</v>
      </c>
      <c r="M814" s="30">
        <v>0.0</v>
      </c>
      <c r="N814" s="30">
        <v>216.3166666666666</v>
      </c>
      <c r="O814" s="30">
        <v>-143.4599666666665</v>
      </c>
      <c r="P814" s="30">
        <v>-11.053237280735534</v>
      </c>
      <c r="Q814" s="30">
        <v>-13.26388473688264</v>
      </c>
    </row>
    <row r="815">
      <c r="A815" s="47">
        <v>1.1235470899E10</v>
      </c>
      <c r="B815" s="48">
        <v>46157.052928240744</v>
      </c>
      <c r="C815" s="30">
        <v>3.850168291E9</v>
      </c>
      <c r="D815" s="47" t="s">
        <v>1509</v>
      </c>
      <c r="E815" s="30">
        <v>1297.9</v>
      </c>
      <c r="F815" s="30">
        <v>1190.0</v>
      </c>
      <c r="G815" s="30">
        <v>0.0</v>
      </c>
      <c r="H815" s="30">
        <v>0.0</v>
      </c>
      <c r="I815" s="30">
        <v>35.0433</v>
      </c>
      <c r="J815" s="30">
        <v>0.0</v>
      </c>
      <c r="K815" s="30">
        <v>0.0</v>
      </c>
      <c r="L815" s="30">
        <v>0.0</v>
      </c>
      <c r="M815" s="30">
        <v>0.0</v>
      </c>
      <c r="N815" s="30">
        <v>216.3166666666666</v>
      </c>
      <c r="O815" s="30">
        <v>-143.4599666666665</v>
      </c>
      <c r="P815" s="30">
        <v>-11.053237280735534</v>
      </c>
      <c r="Q815" s="30">
        <v>-13.26388473688264</v>
      </c>
    </row>
    <row r="816">
      <c r="A816" s="47">
        <v>1.1236151707E10</v>
      </c>
      <c r="B816" s="48">
        <v>46157.50267361111</v>
      </c>
      <c r="C816" s="30">
        <v>3.85089652E9</v>
      </c>
      <c r="D816" s="47" t="s">
        <v>1509</v>
      </c>
      <c r="E816" s="30">
        <v>1454.0</v>
      </c>
      <c r="F816" s="30">
        <v>1160.0</v>
      </c>
      <c r="G816" s="30">
        <v>0.0</v>
      </c>
      <c r="H816" s="30">
        <v>0.0</v>
      </c>
      <c r="I816" s="30">
        <v>64.12140000000001</v>
      </c>
      <c r="J816" s="30">
        <v>0.0</v>
      </c>
      <c r="K816" s="30">
        <v>0.0</v>
      </c>
      <c r="L816" s="30">
        <v>0.0</v>
      </c>
      <c r="M816" s="30">
        <v>0.0</v>
      </c>
      <c r="N816" s="30">
        <v>242.33333333333326</v>
      </c>
      <c r="O816" s="30">
        <v>-12.454733333333252</v>
      </c>
      <c r="P816" s="30">
        <v>-0.8565841357175551</v>
      </c>
      <c r="Q816" s="30">
        <v>-1.027900962861066</v>
      </c>
    </row>
    <row r="817">
      <c r="A817" s="47">
        <v>1.1234193243E10</v>
      </c>
      <c r="B817" s="48">
        <v>46156.78789351852</v>
      </c>
      <c r="C817" s="30">
        <v>3.849149391E9</v>
      </c>
      <c r="D817" s="47" t="s">
        <v>1509</v>
      </c>
      <c r="E817" s="30">
        <v>1454.0</v>
      </c>
      <c r="F817" s="30">
        <v>1160.0</v>
      </c>
      <c r="G817" s="30">
        <v>0.0</v>
      </c>
      <c r="H817" s="30">
        <v>0.0</v>
      </c>
      <c r="I817" s="30">
        <v>64.12140000000001</v>
      </c>
      <c r="J817" s="30">
        <v>0.0</v>
      </c>
      <c r="K817" s="30">
        <v>0.0</v>
      </c>
      <c r="L817" s="30">
        <v>0.0</v>
      </c>
      <c r="M817" s="30">
        <v>0.0</v>
      </c>
      <c r="N817" s="30">
        <v>242.33333333333326</v>
      </c>
      <c r="O817" s="30">
        <v>-12.454733333333252</v>
      </c>
      <c r="P817" s="30">
        <v>-0.8565841357175551</v>
      </c>
      <c r="Q817" s="30">
        <v>-1.027900962861066</v>
      </c>
    </row>
    <row r="818">
      <c r="A818" s="47">
        <v>1.1235509461E10</v>
      </c>
      <c r="B818" s="48">
        <v>46157.06122685185</v>
      </c>
      <c r="C818" s="30">
        <v>3.850207954E9</v>
      </c>
      <c r="D818" s="47" t="s">
        <v>1509</v>
      </c>
      <c r="E818" s="30">
        <v>1297.9</v>
      </c>
      <c r="F818" s="30">
        <v>1190.0</v>
      </c>
      <c r="G818" s="30">
        <v>0.0</v>
      </c>
      <c r="H818" s="30">
        <v>0.0</v>
      </c>
      <c r="I818" s="30">
        <v>35.0433</v>
      </c>
      <c r="J818" s="30">
        <v>0.0</v>
      </c>
      <c r="K818" s="30">
        <v>0.0</v>
      </c>
      <c r="L818" s="30">
        <v>0.0</v>
      </c>
      <c r="M818" s="30">
        <v>0.0</v>
      </c>
      <c r="N818" s="30">
        <v>216.3166666666666</v>
      </c>
      <c r="O818" s="30">
        <v>-143.4599666666665</v>
      </c>
      <c r="P818" s="30">
        <v>-11.053237280735534</v>
      </c>
      <c r="Q818" s="30">
        <v>-13.26388473688264</v>
      </c>
    </row>
    <row r="819">
      <c r="A819" s="47">
        <v>1.1232866659E10</v>
      </c>
      <c r="B819" s="48">
        <v>46156.309849537036</v>
      </c>
      <c r="C819" s="30">
        <v>3.847930744E9</v>
      </c>
      <c r="D819" s="47" t="s">
        <v>1509</v>
      </c>
      <c r="E819" s="30">
        <v>4000.0</v>
      </c>
      <c r="F819" s="30">
        <v>3034.0</v>
      </c>
      <c r="G819" s="30">
        <v>0.0</v>
      </c>
      <c r="H819" s="30">
        <v>0.0</v>
      </c>
      <c r="I819" s="30">
        <v>594.0</v>
      </c>
      <c r="J819" s="30">
        <v>0.0</v>
      </c>
      <c r="K819" s="30">
        <v>0.0</v>
      </c>
      <c r="L819" s="30">
        <v>0.0</v>
      </c>
      <c r="M819" s="30">
        <v>0.0</v>
      </c>
      <c r="N819" s="30">
        <v>666.6666666666665</v>
      </c>
      <c r="O819" s="30">
        <v>-294.6666666666665</v>
      </c>
      <c r="P819" s="30">
        <v>-7.366666666666663</v>
      </c>
      <c r="Q819" s="30">
        <v>-8.839999999999995</v>
      </c>
    </row>
    <row r="820">
      <c r="A820" s="47">
        <v>1.1234649301E10</v>
      </c>
      <c r="B820" s="48">
        <v>46156.886087962965</v>
      </c>
      <c r="C820" s="30">
        <v>3.849507515E9</v>
      </c>
      <c r="D820" s="47" t="s">
        <v>1509</v>
      </c>
      <c r="E820" s="30">
        <v>727.0</v>
      </c>
      <c r="F820" s="30">
        <v>580.0</v>
      </c>
      <c r="G820" s="30">
        <v>0.0</v>
      </c>
      <c r="H820" s="30">
        <v>0.0</v>
      </c>
      <c r="I820" s="30">
        <v>32.060700000000004</v>
      </c>
      <c r="J820" s="30">
        <v>0.0</v>
      </c>
      <c r="K820" s="30">
        <v>0.0</v>
      </c>
      <c r="L820" s="30">
        <v>0.0</v>
      </c>
      <c r="M820" s="30">
        <v>0.0</v>
      </c>
      <c r="N820" s="30">
        <v>121.16666666666663</v>
      </c>
      <c r="O820" s="30">
        <v>-6.227366666666626</v>
      </c>
      <c r="P820" s="30">
        <v>-0.8565841357175551</v>
      </c>
      <c r="Q820" s="30">
        <v>-1.027900962861066</v>
      </c>
    </row>
    <row r="821">
      <c r="A821" s="47">
        <v>1.1230820621E10</v>
      </c>
      <c r="B821" s="48">
        <v>46155.74175925926</v>
      </c>
      <c r="C821" s="30">
        <v>3.846108479E9</v>
      </c>
      <c r="D821" s="47" t="s">
        <v>1509</v>
      </c>
      <c r="E821" s="30">
        <v>3190.0</v>
      </c>
      <c r="F821" s="30">
        <v>2788.08</v>
      </c>
      <c r="G821" s="30">
        <v>0.0</v>
      </c>
      <c r="H821" s="30">
        <v>0.0</v>
      </c>
      <c r="I821" s="30">
        <v>212.454</v>
      </c>
      <c r="J821" s="30">
        <v>0.0</v>
      </c>
      <c r="K821" s="30">
        <v>0.0</v>
      </c>
      <c r="L821" s="30">
        <v>0.0</v>
      </c>
      <c r="M821" s="30">
        <v>0.0</v>
      </c>
      <c r="N821" s="30">
        <v>531.6666666666665</v>
      </c>
      <c r="O821" s="30">
        <v>-342.20066666666645</v>
      </c>
      <c r="P821" s="30">
        <v>-10.727293625914308</v>
      </c>
      <c r="Q821" s="30">
        <v>-12.87275235109717</v>
      </c>
    </row>
    <row r="822">
      <c r="A822" s="47">
        <v>1.1229700577E10</v>
      </c>
      <c r="B822" s="48">
        <v>46155.420115740744</v>
      </c>
      <c r="C822" s="30">
        <v>3.845046417E9</v>
      </c>
      <c r="D822" s="47" t="s">
        <v>1509</v>
      </c>
      <c r="E822" s="30">
        <v>1931.0</v>
      </c>
      <c r="F822" s="30">
        <v>1604.0</v>
      </c>
      <c r="G822" s="30">
        <v>0.0</v>
      </c>
      <c r="H822" s="30">
        <v>0.0</v>
      </c>
      <c r="I822" s="30">
        <v>121.65299999999999</v>
      </c>
      <c r="J822" s="30">
        <v>0.0</v>
      </c>
      <c r="K822" s="30">
        <v>0.0</v>
      </c>
      <c r="L822" s="30">
        <v>0.0</v>
      </c>
      <c r="M822" s="30">
        <v>0.0</v>
      </c>
      <c r="N822" s="30">
        <v>321.83333333333326</v>
      </c>
      <c r="O822" s="30">
        <v>-116.48633333333325</v>
      </c>
      <c r="P822" s="30">
        <v>-6.032435698256513</v>
      </c>
      <c r="Q822" s="30">
        <v>-7.238922837907815</v>
      </c>
    </row>
    <row r="823">
      <c r="A823" s="47">
        <v>1.1235778603E10</v>
      </c>
      <c r="B823" s="48">
        <v>46157.128229166665</v>
      </c>
      <c r="C823" s="30">
        <v>3.850478331E9</v>
      </c>
      <c r="D823" s="47" t="s">
        <v>1509</v>
      </c>
      <c r="E823" s="30">
        <v>1297.9</v>
      </c>
      <c r="F823" s="30">
        <v>1190.0</v>
      </c>
      <c r="G823" s="30">
        <v>0.0</v>
      </c>
      <c r="H823" s="30">
        <v>0.0</v>
      </c>
      <c r="I823" s="30">
        <v>35.0433</v>
      </c>
      <c r="J823" s="30">
        <v>0.0</v>
      </c>
      <c r="K823" s="30">
        <v>0.0</v>
      </c>
      <c r="L823" s="30">
        <v>0.0</v>
      </c>
      <c r="M823" s="30">
        <v>0.0</v>
      </c>
      <c r="N823" s="30">
        <v>216.3166666666666</v>
      </c>
      <c r="O823" s="30">
        <v>-143.4599666666665</v>
      </c>
      <c r="P823" s="30">
        <v>-11.053237280735534</v>
      </c>
      <c r="Q823" s="30">
        <v>-13.26388473688264</v>
      </c>
    </row>
    <row r="824">
      <c r="A824" s="47">
        <v>1.123525988E10</v>
      </c>
      <c r="B824" s="48">
        <v>46157.009097222224</v>
      </c>
      <c r="C824" s="30">
        <v>3.849974161E9</v>
      </c>
      <c r="D824" s="47" t="s">
        <v>1509</v>
      </c>
      <c r="E824" s="30">
        <v>1454.0</v>
      </c>
      <c r="F824" s="30">
        <v>1160.0</v>
      </c>
      <c r="G824" s="30">
        <v>0.0</v>
      </c>
      <c r="H824" s="30">
        <v>0.0</v>
      </c>
      <c r="I824" s="30">
        <v>64.12140000000001</v>
      </c>
      <c r="J824" s="30">
        <v>0.0</v>
      </c>
      <c r="K824" s="30">
        <v>0.0</v>
      </c>
      <c r="L824" s="30">
        <v>0.0</v>
      </c>
      <c r="M824" s="30">
        <v>0.0</v>
      </c>
      <c r="N824" s="30">
        <v>242.33333333333326</v>
      </c>
      <c r="O824" s="30">
        <v>-12.454733333333252</v>
      </c>
      <c r="P824" s="30">
        <v>-0.8565841357175551</v>
      </c>
      <c r="Q824" s="30">
        <v>-1.027900962861066</v>
      </c>
    </row>
    <row r="825">
      <c r="A825" s="47">
        <v>1.1236197538E10</v>
      </c>
      <c r="B825" s="48">
        <v>46157.521261574075</v>
      </c>
      <c r="C825" s="30">
        <v>3.850947515E9</v>
      </c>
      <c r="D825" s="47" t="s">
        <v>1509</v>
      </c>
      <c r="E825" s="30">
        <v>729.0</v>
      </c>
      <c r="F825" s="30">
        <v>580.0</v>
      </c>
      <c r="G825" s="30">
        <v>0.0</v>
      </c>
      <c r="H825" s="30">
        <v>0.0</v>
      </c>
      <c r="I825" s="30">
        <v>36.0855</v>
      </c>
      <c r="J825" s="30">
        <v>0.0</v>
      </c>
      <c r="K825" s="30">
        <v>0.0</v>
      </c>
      <c r="L825" s="30">
        <v>0.0</v>
      </c>
      <c r="M825" s="30">
        <v>0.0</v>
      </c>
      <c r="N825" s="30">
        <v>121.5</v>
      </c>
      <c r="O825" s="30">
        <v>-8.585499999999996</v>
      </c>
      <c r="P825" s="30">
        <v>-1.177709190672153</v>
      </c>
      <c r="Q825" s="30">
        <v>-1.4132510288065838</v>
      </c>
    </row>
    <row r="826">
      <c r="A826" s="47">
        <v>1.1235940362E10</v>
      </c>
      <c r="B826" s="48">
        <v>46157.195543981485</v>
      </c>
      <c r="C826" s="30">
        <v>3.850647564E9</v>
      </c>
      <c r="D826" s="47" t="s">
        <v>1509</v>
      </c>
      <c r="E826" s="30">
        <v>729.0</v>
      </c>
      <c r="F826" s="30">
        <v>580.0</v>
      </c>
      <c r="G826" s="30">
        <v>0.0</v>
      </c>
      <c r="H826" s="30">
        <v>0.0</v>
      </c>
      <c r="I826" s="30">
        <v>36.0855</v>
      </c>
      <c r="J826" s="30">
        <v>0.0</v>
      </c>
      <c r="K826" s="30">
        <v>0.0</v>
      </c>
      <c r="L826" s="30">
        <v>0.0</v>
      </c>
      <c r="M826" s="30">
        <v>0.0</v>
      </c>
      <c r="N826" s="30">
        <v>121.5</v>
      </c>
      <c r="O826" s="30">
        <v>-8.585499999999996</v>
      </c>
      <c r="P826" s="30">
        <v>-1.177709190672153</v>
      </c>
      <c r="Q826" s="30">
        <v>-1.4132510288065838</v>
      </c>
    </row>
    <row r="827">
      <c r="A827" s="47">
        <v>1.1233877207E10</v>
      </c>
      <c r="B827" s="48">
        <v>46156.718460648146</v>
      </c>
      <c r="C827" s="30">
        <v>3.848882603E9</v>
      </c>
      <c r="D827" s="47" t="s">
        <v>1509</v>
      </c>
      <c r="E827" s="30">
        <v>1458.0</v>
      </c>
      <c r="F827" s="30">
        <v>1160.0</v>
      </c>
      <c r="G827" s="30">
        <v>0.0</v>
      </c>
      <c r="H827" s="30">
        <v>0.0</v>
      </c>
      <c r="I827" s="30">
        <v>72.171</v>
      </c>
      <c r="J827" s="30">
        <v>0.0</v>
      </c>
      <c r="K827" s="30">
        <v>0.0</v>
      </c>
      <c r="L827" s="30">
        <v>0.0</v>
      </c>
      <c r="M827" s="30">
        <v>0.0</v>
      </c>
      <c r="N827" s="30">
        <v>243.0</v>
      </c>
      <c r="O827" s="30">
        <v>-17.170999999999992</v>
      </c>
      <c r="P827" s="30">
        <v>-1.177709190672153</v>
      </c>
      <c r="Q827" s="30">
        <v>-1.4132510288065838</v>
      </c>
    </row>
    <row r="828">
      <c r="A828" s="47">
        <v>1.1235658999E10</v>
      </c>
      <c r="B828" s="48">
        <v>46157.09577546296</v>
      </c>
      <c r="C828" s="30">
        <v>3.850354518E9</v>
      </c>
      <c r="D828" s="47" t="s">
        <v>1509</v>
      </c>
      <c r="E828" s="30">
        <v>1297.9</v>
      </c>
      <c r="F828" s="30">
        <v>1190.0</v>
      </c>
      <c r="G828" s="30">
        <v>0.0</v>
      </c>
      <c r="H828" s="30">
        <v>0.0</v>
      </c>
      <c r="I828" s="30">
        <v>35.0433</v>
      </c>
      <c r="J828" s="30">
        <v>0.0</v>
      </c>
      <c r="K828" s="30">
        <v>0.0</v>
      </c>
      <c r="L828" s="30">
        <v>0.0</v>
      </c>
      <c r="M828" s="30">
        <v>0.0</v>
      </c>
      <c r="N828" s="30">
        <v>216.3166666666666</v>
      </c>
      <c r="O828" s="30">
        <v>-143.4599666666665</v>
      </c>
      <c r="P828" s="30">
        <v>-11.053237280735534</v>
      </c>
      <c r="Q828" s="30">
        <v>-13.26388473688264</v>
      </c>
    </row>
    <row r="829">
      <c r="A829" s="47">
        <v>1.1233343349E10</v>
      </c>
      <c r="B829" s="48">
        <v>46156.609131944446</v>
      </c>
      <c r="C829" s="30">
        <v>3.848440078E9</v>
      </c>
      <c r="D829" s="47" t="s">
        <v>1509</v>
      </c>
      <c r="E829" s="30">
        <v>1770.0</v>
      </c>
      <c r="F829" s="30">
        <v>1260.0</v>
      </c>
      <c r="G829" s="30">
        <v>0.0</v>
      </c>
      <c r="H829" s="30">
        <v>0.0</v>
      </c>
      <c r="I829" s="30">
        <v>262.845</v>
      </c>
      <c r="J829" s="30">
        <v>0.0</v>
      </c>
      <c r="K829" s="30">
        <v>0.0</v>
      </c>
      <c r="L829" s="30">
        <v>0.0</v>
      </c>
      <c r="M829" s="30">
        <v>0.0</v>
      </c>
      <c r="N829" s="30">
        <v>295.0</v>
      </c>
      <c r="O829" s="30">
        <v>-47.84500000000003</v>
      </c>
      <c r="P829" s="30">
        <v>-2.70310734463277</v>
      </c>
      <c r="Q829" s="30">
        <v>-3.243728813559324</v>
      </c>
    </row>
    <row r="830">
      <c r="A830" s="47">
        <v>1.1236553029E10</v>
      </c>
      <c r="B830" s="48">
        <v>46157.616643518515</v>
      </c>
      <c r="C830" s="30">
        <v>3.85130219E9</v>
      </c>
      <c r="D830" s="47" t="s">
        <v>1509</v>
      </c>
      <c r="E830" s="30">
        <v>1267.9</v>
      </c>
      <c r="F830" s="30">
        <v>1160.0</v>
      </c>
      <c r="G830" s="30">
        <v>0.0</v>
      </c>
      <c r="H830" s="30">
        <v>0.0</v>
      </c>
      <c r="I830" s="30">
        <v>57.0555</v>
      </c>
      <c r="J830" s="30">
        <v>0.0</v>
      </c>
      <c r="K830" s="30">
        <v>0.0</v>
      </c>
      <c r="L830" s="30">
        <v>0.0</v>
      </c>
      <c r="M830" s="30">
        <v>0.0</v>
      </c>
      <c r="N830" s="30">
        <v>211.3166666666666</v>
      </c>
      <c r="O830" s="30">
        <v>-160.4721666666665</v>
      </c>
      <c r="P830" s="30">
        <v>-12.656531797986158</v>
      </c>
      <c r="Q830" s="30">
        <v>-15.18783815758339</v>
      </c>
    </row>
    <row r="831">
      <c r="A831" s="47">
        <v>1.1230967412E10</v>
      </c>
      <c r="B831" s="48">
        <v>46155.77446759259</v>
      </c>
      <c r="C831" s="30">
        <v>3.846239579E9</v>
      </c>
      <c r="D831" s="47" t="s">
        <v>1509</v>
      </c>
      <c r="E831" s="30">
        <v>1595.0</v>
      </c>
      <c r="F831" s="30">
        <v>1394.04</v>
      </c>
      <c r="G831" s="30">
        <v>0.0</v>
      </c>
      <c r="H831" s="30">
        <v>0.0</v>
      </c>
      <c r="I831" s="30">
        <v>106.227</v>
      </c>
      <c r="J831" s="30">
        <v>0.0</v>
      </c>
      <c r="K831" s="30">
        <v>0.0</v>
      </c>
      <c r="L831" s="30">
        <v>0.0</v>
      </c>
      <c r="M831" s="30">
        <v>0.0</v>
      </c>
      <c r="N831" s="30">
        <v>265.83333333333326</v>
      </c>
      <c r="O831" s="30">
        <v>-171.10033333333323</v>
      </c>
      <c r="P831" s="30">
        <v>-10.727293625914308</v>
      </c>
      <c r="Q831" s="30">
        <v>-12.87275235109717</v>
      </c>
    </row>
    <row r="832">
      <c r="A832" s="47">
        <v>1.1235444606E10</v>
      </c>
      <c r="B832" s="48">
        <v>46157.04761574074</v>
      </c>
      <c r="C832" s="30">
        <v>3.850144007E9</v>
      </c>
      <c r="D832" s="47" t="s">
        <v>1509</v>
      </c>
      <c r="E832" s="30">
        <v>1497.9</v>
      </c>
      <c r="F832" s="30">
        <v>1268.6</v>
      </c>
      <c r="G832" s="30">
        <v>0.0</v>
      </c>
      <c r="H832" s="30">
        <v>0.0</v>
      </c>
      <c r="I832" s="30">
        <v>57.5433</v>
      </c>
      <c r="J832" s="30">
        <v>0.0</v>
      </c>
      <c r="K832" s="30">
        <v>0.0</v>
      </c>
      <c r="L832" s="30">
        <v>0.0</v>
      </c>
      <c r="M832" s="30">
        <v>0.0</v>
      </c>
      <c r="N832" s="30">
        <v>249.64999999999992</v>
      </c>
      <c r="O832" s="30">
        <v>-77.89329999999973</v>
      </c>
      <c r="P832" s="30">
        <v>-5.200166900327106</v>
      </c>
      <c r="Q832" s="30">
        <v>-6.240200280392527</v>
      </c>
    </row>
    <row r="833">
      <c r="A833" s="47">
        <v>1.1233863696E10</v>
      </c>
      <c r="B833" s="48">
        <v>46156.71548611111</v>
      </c>
      <c r="C833" s="30">
        <v>3.848871161E9</v>
      </c>
      <c r="D833" s="47" t="s">
        <v>1509</v>
      </c>
      <c r="E833" s="30">
        <v>729.0</v>
      </c>
      <c r="F833" s="30">
        <v>580.0</v>
      </c>
      <c r="G833" s="30">
        <v>0.0</v>
      </c>
      <c r="H833" s="30">
        <v>0.0</v>
      </c>
      <c r="I833" s="30">
        <v>36.0855</v>
      </c>
      <c r="J833" s="30">
        <v>0.0</v>
      </c>
      <c r="K833" s="30">
        <v>0.0</v>
      </c>
      <c r="L833" s="30">
        <v>0.0</v>
      </c>
      <c r="M833" s="30">
        <v>0.0</v>
      </c>
      <c r="N833" s="30">
        <v>121.5</v>
      </c>
      <c r="O833" s="30">
        <v>-8.585499999999996</v>
      </c>
      <c r="P833" s="30">
        <v>-1.177709190672153</v>
      </c>
      <c r="Q833" s="30">
        <v>-1.4132510288065838</v>
      </c>
    </row>
    <row r="834">
      <c r="A834" s="47">
        <v>1.1233132775E10</v>
      </c>
      <c r="B834" s="48">
        <v>46156.55342592593</v>
      </c>
      <c r="C834" s="30">
        <v>3.848236355E9</v>
      </c>
      <c r="D834" s="47" t="s">
        <v>1509</v>
      </c>
      <c r="E834" s="30">
        <v>727.0</v>
      </c>
      <c r="F834" s="30">
        <v>580.0</v>
      </c>
      <c r="G834" s="30">
        <v>0.0</v>
      </c>
      <c r="H834" s="30">
        <v>0.0</v>
      </c>
      <c r="I834" s="30">
        <v>32.060700000000004</v>
      </c>
      <c r="J834" s="30">
        <v>0.0</v>
      </c>
      <c r="K834" s="30">
        <v>0.0</v>
      </c>
      <c r="L834" s="30">
        <v>0.0</v>
      </c>
      <c r="M834" s="30">
        <v>0.0</v>
      </c>
      <c r="N834" s="30">
        <v>121.16666666666663</v>
      </c>
      <c r="O834" s="30">
        <v>-6.227366666666626</v>
      </c>
      <c r="P834" s="30">
        <v>-0.8565841357175551</v>
      </c>
      <c r="Q834" s="30">
        <v>-1.027900962861066</v>
      </c>
    </row>
    <row r="835">
      <c r="A835" s="47">
        <v>1.1232563668E10</v>
      </c>
      <c r="B835" s="48">
        <v>46156.10973379629</v>
      </c>
      <c r="C835" s="30">
        <v>3.847619118E9</v>
      </c>
      <c r="D835" s="47" t="s">
        <v>1509</v>
      </c>
      <c r="E835" s="30">
        <v>1261.99</v>
      </c>
      <c r="F835" s="30">
        <v>1165.0</v>
      </c>
      <c r="G835" s="30">
        <v>0.0</v>
      </c>
      <c r="H835" s="30">
        <v>0.0</v>
      </c>
      <c r="I835" s="30">
        <v>45.431639999999994</v>
      </c>
      <c r="J835" s="30">
        <v>0.0</v>
      </c>
      <c r="K835" s="30">
        <v>0.0</v>
      </c>
      <c r="L835" s="30">
        <v>0.0</v>
      </c>
      <c r="M835" s="30">
        <v>0.0</v>
      </c>
      <c r="N835" s="30">
        <v>210.3316666666667</v>
      </c>
      <c r="O835" s="30">
        <v>-158.77330666666668</v>
      </c>
      <c r="P835" s="30">
        <v>-12.58118579914791</v>
      </c>
      <c r="Q835" s="30">
        <v>-15.097422958977491</v>
      </c>
    </row>
    <row r="836">
      <c r="A836" s="47">
        <v>1.1235006063E10</v>
      </c>
      <c r="B836" s="48">
        <v>46156.95804398148</v>
      </c>
      <c r="C836" s="30">
        <v>3.849766404E9</v>
      </c>
      <c r="D836" s="47" t="s">
        <v>1509</v>
      </c>
      <c r="E836" s="30">
        <v>1297.9</v>
      </c>
      <c r="F836" s="30">
        <v>1190.0</v>
      </c>
      <c r="G836" s="30">
        <v>0.0</v>
      </c>
      <c r="H836" s="30">
        <v>0.0</v>
      </c>
      <c r="I836" s="30">
        <v>35.0433</v>
      </c>
      <c r="J836" s="30">
        <v>0.0</v>
      </c>
      <c r="K836" s="30">
        <v>0.0</v>
      </c>
      <c r="L836" s="30">
        <v>0.0</v>
      </c>
      <c r="M836" s="30">
        <v>0.0</v>
      </c>
      <c r="N836" s="30">
        <v>216.3166666666666</v>
      </c>
      <c r="O836" s="30">
        <v>-143.4599666666665</v>
      </c>
      <c r="P836" s="30">
        <v>-11.053237280735534</v>
      </c>
      <c r="Q836" s="30">
        <v>-13.26388473688264</v>
      </c>
    </row>
    <row r="837">
      <c r="A837" s="47">
        <v>1.1233449747E10</v>
      </c>
      <c r="B837" s="48">
        <v>46156.63081018518</v>
      </c>
      <c r="C837" s="30">
        <v>3.848527911E9</v>
      </c>
      <c r="D837" s="47" t="s">
        <v>1509</v>
      </c>
      <c r="E837" s="30">
        <v>727.0</v>
      </c>
      <c r="F837" s="30">
        <v>580.0</v>
      </c>
      <c r="G837" s="30">
        <v>0.0</v>
      </c>
      <c r="H837" s="30">
        <v>0.0</v>
      </c>
      <c r="I837" s="30">
        <v>32.060700000000004</v>
      </c>
      <c r="J837" s="30">
        <v>0.0</v>
      </c>
      <c r="K837" s="30">
        <v>0.0</v>
      </c>
      <c r="L837" s="30">
        <v>0.0</v>
      </c>
      <c r="M837" s="30">
        <v>0.0</v>
      </c>
      <c r="N837" s="30">
        <v>121.16666666666663</v>
      </c>
      <c r="O837" s="30">
        <v>-6.227366666666626</v>
      </c>
      <c r="P837" s="30">
        <v>-0.8565841357175551</v>
      </c>
      <c r="Q837" s="30">
        <v>-1.027900962861066</v>
      </c>
    </row>
    <row r="838">
      <c r="A838" s="47">
        <v>1.1231038834E10</v>
      </c>
      <c r="B838" s="48">
        <v>46155.79015046296</v>
      </c>
      <c r="C838" s="30">
        <v>3.846302532E9</v>
      </c>
      <c r="D838" s="47" t="s">
        <v>1509</v>
      </c>
      <c r="E838" s="30">
        <v>978.0</v>
      </c>
      <c r="F838" s="30">
        <v>260.0</v>
      </c>
      <c r="G838" s="30">
        <v>0.0</v>
      </c>
      <c r="H838" s="30">
        <v>0.0</v>
      </c>
      <c r="I838" s="30">
        <v>176.04</v>
      </c>
      <c r="J838" s="30">
        <v>0.0</v>
      </c>
      <c r="K838" s="30">
        <v>0.0</v>
      </c>
      <c r="L838" s="30">
        <v>0.0</v>
      </c>
      <c r="M838" s="30">
        <v>0.0</v>
      </c>
      <c r="N838" s="30">
        <v>163.0</v>
      </c>
      <c r="O838" s="30">
        <v>378.96000000000004</v>
      </c>
      <c r="P838" s="30">
        <v>38.74846625766872</v>
      </c>
      <c r="Q838" s="30">
        <v>46.49815950920246</v>
      </c>
    </row>
    <row r="839">
      <c r="A839" s="47">
        <v>1.12364317E10</v>
      </c>
      <c r="B839" s="48">
        <v>46157.590775462966</v>
      </c>
      <c r="C839" s="30">
        <v>3.851194947E9</v>
      </c>
      <c r="D839" s="47" t="s">
        <v>1509</v>
      </c>
      <c r="E839" s="30">
        <v>1365.0</v>
      </c>
      <c r="F839" s="30">
        <v>940.0</v>
      </c>
      <c r="G839" s="30">
        <v>0.0</v>
      </c>
      <c r="H839" s="30">
        <v>0.0</v>
      </c>
      <c r="I839" s="30">
        <v>126.80369999999999</v>
      </c>
      <c r="J839" s="30">
        <v>0.0</v>
      </c>
      <c r="K839" s="30">
        <v>0.0</v>
      </c>
      <c r="L839" s="30">
        <v>0.0</v>
      </c>
      <c r="M839" s="30">
        <v>0.0</v>
      </c>
      <c r="N839" s="30">
        <v>227.4999999999999</v>
      </c>
      <c r="O839" s="30">
        <v>70.69630000000012</v>
      </c>
      <c r="P839" s="30">
        <v>5.179216117216126</v>
      </c>
      <c r="Q839" s="30">
        <v>6.2150593406593515</v>
      </c>
    </row>
    <row r="840">
      <c r="A840" s="47">
        <v>1.1235131138E10</v>
      </c>
      <c r="B840" s="48">
        <v>46156.98318287037</v>
      </c>
      <c r="C840" s="30">
        <v>3.849864142E9</v>
      </c>
      <c r="D840" s="47" t="s">
        <v>1509</v>
      </c>
      <c r="E840" s="30">
        <v>1297.9</v>
      </c>
      <c r="F840" s="30">
        <v>1190.0</v>
      </c>
      <c r="G840" s="30">
        <v>0.0</v>
      </c>
      <c r="H840" s="30">
        <v>0.0</v>
      </c>
      <c r="I840" s="30">
        <v>35.0433</v>
      </c>
      <c r="J840" s="30">
        <v>0.0</v>
      </c>
      <c r="K840" s="30">
        <v>0.0</v>
      </c>
      <c r="L840" s="30">
        <v>0.0</v>
      </c>
      <c r="M840" s="30">
        <v>0.0</v>
      </c>
      <c r="N840" s="30">
        <v>216.3166666666666</v>
      </c>
      <c r="O840" s="30">
        <v>-143.4599666666665</v>
      </c>
      <c r="P840" s="30">
        <v>-11.053237280735534</v>
      </c>
      <c r="Q840" s="30">
        <v>-13.26388473688264</v>
      </c>
    </row>
    <row r="841">
      <c r="A841" s="47">
        <v>1.1234580135E10</v>
      </c>
      <c r="B841" s="48">
        <v>46156.87153935185</v>
      </c>
      <c r="C841" s="30">
        <v>3.849457515E9</v>
      </c>
      <c r="D841" s="47" t="s">
        <v>1509</v>
      </c>
      <c r="E841" s="30">
        <v>1299.0</v>
      </c>
      <c r="F841" s="30">
        <v>1190.0</v>
      </c>
      <c r="G841" s="30">
        <v>0.0</v>
      </c>
      <c r="H841" s="30">
        <v>0.0</v>
      </c>
      <c r="I841" s="30">
        <v>35.073</v>
      </c>
      <c r="J841" s="30">
        <v>0.0</v>
      </c>
      <c r="K841" s="30">
        <v>0.0</v>
      </c>
      <c r="L841" s="30">
        <v>0.0</v>
      </c>
      <c r="M841" s="30">
        <v>0.0</v>
      </c>
      <c r="N841" s="30">
        <v>216.5</v>
      </c>
      <c r="O841" s="30">
        <v>-142.573</v>
      </c>
      <c r="P841" s="30">
        <v>-10.97559661277906</v>
      </c>
      <c r="Q841" s="30">
        <v>-13.170715935334872</v>
      </c>
    </row>
    <row r="842">
      <c r="A842" s="47">
        <v>1.1229159541E10</v>
      </c>
      <c r="B842" s="48">
        <v>46155.06630787037</v>
      </c>
      <c r="C842" s="30">
        <v>3.844481673E9</v>
      </c>
      <c r="D842" s="47" t="s">
        <v>1509</v>
      </c>
      <c r="E842" s="30">
        <v>489.0</v>
      </c>
      <c r="F842" s="30">
        <v>130.0</v>
      </c>
      <c r="G842" s="30">
        <v>0.0</v>
      </c>
      <c r="H842" s="30">
        <v>0.0</v>
      </c>
      <c r="I842" s="30">
        <v>88.02</v>
      </c>
      <c r="J842" s="30">
        <v>0.0</v>
      </c>
      <c r="K842" s="30">
        <v>0.0</v>
      </c>
      <c r="L842" s="30">
        <v>0.0</v>
      </c>
      <c r="M842" s="30">
        <v>0.0</v>
      </c>
      <c r="N842" s="30">
        <v>81.5</v>
      </c>
      <c r="O842" s="30">
        <v>189.48000000000002</v>
      </c>
      <c r="P842" s="30">
        <v>38.74846625766872</v>
      </c>
      <c r="Q842" s="30">
        <v>46.49815950920246</v>
      </c>
    </row>
    <row r="843">
      <c r="A843" s="47">
        <v>1.1235088011E10</v>
      </c>
      <c r="B843" s="48">
        <v>46156.97478009259</v>
      </c>
      <c r="C843" s="30">
        <v>3.849828649E9</v>
      </c>
      <c r="D843" s="47" t="s">
        <v>1509</v>
      </c>
      <c r="E843" s="30">
        <v>1297.9</v>
      </c>
      <c r="F843" s="30">
        <v>1190.0</v>
      </c>
      <c r="G843" s="30">
        <v>0.0</v>
      </c>
      <c r="H843" s="30">
        <v>0.0</v>
      </c>
      <c r="I843" s="30">
        <v>35.0433</v>
      </c>
      <c r="J843" s="30">
        <v>0.0</v>
      </c>
      <c r="K843" s="30">
        <v>0.0</v>
      </c>
      <c r="L843" s="30">
        <v>0.0</v>
      </c>
      <c r="M843" s="30">
        <v>0.0</v>
      </c>
      <c r="N843" s="30">
        <v>216.3166666666666</v>
      </c>
      <c r="O843" s="30">
        <v>-143.4599666666665</v>
      </c>
      <c r="P843" s="30">
        <v>-11.053237280735534</v>
      </c>
      <c r="Q843" s="30">
        <v>-13.26388473688264</v>
      </c>
    </row>
    <row r="844">
      <c r="A844" s="47">
        <v>1.1233894114E10</v>
      </c>
      <c r="B844" s="48">
        <v>46156.7221875</v>
      </c>
      <c r="C844" s="30">
        <v>3.848896103E9</v>
      </c>
      <c r="D844" s="47" t="s">
        <v>1509</v>
      </c>
      <c r="E844" s="30">
        <v>1770.0</v>
      </c>
      <c r="F844" s="30">
        <v>1260.0</v>
      </c>
      <c r="G844" s="30">
        <v>0.0</v>
      </c>
      <c r="H844" s="30">
        <v>0.0</v>
      </c>
      <c r="I844" s="30">
        <v>262.845</v>
      </c>
      <c r="J844" s="30">
        <v>0.0</v>
      </c>
      <c r="K844" s="30">
        <v>0.0</v>
      </c>
      <c r="L844" s="30">
        <v>0.0</v>
      </c>
      <c r="M844" s="30">
        <v>0.0</v>
      </c>
      <c r="N844" s="30">
        <v>295.0</v>
      </c>
      <c r="O844" s="30">
        <v>-47.84500000000003</v>
      </c>
      <c r="P844" s="30">
        <v>-2.70310734463277</v>
      </c>
      <c r="Q844" s="30">
        <v>-3.243728813559324</v>
      </c>
    </row>
    <row r="845">
      <c r="A845" s="47">
        <v>1.1233186427E10</v>
      </c>
      <c r="B845" s="48">
        <v>46156.569872685184</v>
      </c>
      <c r="C845" s="30">
        <v>3.848289697E9</v>
      </c>
      <c r="D845" s="47" t="s">
        <v>1509</v>
      </c>
      <c r="E845" s="30">
        <v>1454.0</v>
      </c>
      <c r="F845" s="30">
        <v>1160.0</v>
      </c>
      <c r="G845" s="30">
        <v>0.0</v>
      </c>
      <c r="H845" s="30">
        <v>0.0</v>
      </c>
      <c r="I845" s="30">
        <v>64.12140000000001</v>
      </c>
      <c r="J845" s="30">
        <v>0.0</v>
      </c>
      <c r="K845" s="30">
        <v>0.0</v>
      </c>
      <c r="L845" s="30">
        <v>0.0</v>
      </c>
      <c r="M845" s="30">
        <v>0.0</v>
      </c>
      <c r="N845" s="30">
        <v>242.33333333333326</v>
      </c>
      <c r="O845" s="30">
        <v>-12.454733333333252</v>
      </c>
      <c r="P845" s="30">
        <v>-0.8565841357175551</v>
      </c>
      <c r="Q845" s="30">
        <v>-1.027900962861066</v>
      </c>
    </row>
    <row r="846">
      <c r="A846" s="47">
        <v>1.1234404324E10</v>
      </c>
      <c r="B846" s="48">
        <v>46156.83405092593</v>
      </c>
      <c r="C846" s="30">
        <v>3.849320995E9</v>
      </c>
      <c r="D846" s="47" t="s">
        <v>1509</v>
      </c>
      <c r="E846" s="30">
        <v>729.0</v>
      </c>
      <c r="F846" s="30">
        <v>580.0</v>
      </c>
      <c r="G846" s="30">
        <v>0.0</v>
      </c>
      <c r="H846" s="30">
        <v>0.0</v>
      </c>
      <c r="I846" s="30">
        <v>36.0855</v>
      </c>
      <c r="J846" s="30">
        <v>0.0</v>
      </c>
      <c r="K846" s="30">
        <v>0.0</v>
      </c>
      <c r="L846" s="30">
        <v>0.0</v>
      </c>
      <c r="M846" s="30">
        <v>0.0</v>
      </c>
      <c r="N846" s="30">
        <v>121.5</v>
      </c>
      <c r="O846" s="30">
        <v>-8.585499999999996</v>
      </c>
      <c r="P846" s="30">
        <v>-1.177709190672153</v>
      </c>
      <c r="Q846" s="30">
        <v>-1.4132510288065838</v>
      </c>
    </row>
    <row r="847">
      <c r="A847" s="47">
        <v>1.1235314572E10</v>
      </c>
      <c r="B847" s="48">
        <v>46157.02018518518</v>
      </c>
      <c r="C847" s="30">
        <v>3.85002147E9</v>
      </c>
      <c r="D847" s="47" t="s">
        <v>1509</v>
      </c>
      <c r="E847" s="30">
        <v>729.0</v>
      </c>
      <c r="F847" s="30">
        <v>580.0</v>
      </c>
      <c r="G847" s="30">
        <v>0.0</v>
      </c>
      <c r="H847" s="30">
        <v>0.0</v>
      </c>
      <c r="I847" s="30">
        <v>36.0855</v>
      </c>
      <c r="J847" s="30">
        <v>0.0</v>
      </c>
      <c r="K847" s="30">
        <v>0.0</v>
      </c>
      <c r="L847" s="30">
        <v>0.0</v>
      </c>
      <c r="M847" s="30">
        <v>0.0</v>
      </c>
      <c r="N847" s="30">
        <v>121.5</v>
      </c>
      <c r="O847" s="30">
        <v>-8.585499999999996</v>
      </c>
      <c r="P847" s="30">
        <v>-1.177709190672153</v>
      </c>
      <c r="Q847" s="30">
        <v>-1.4132510288065838</v>
      </c>
    </row>
    <row r="848">
      <c r="A848" s="47">
        <v>1.1232676168E10</v>
      </c>
      <c r="B848" s="48">
        <v>46156.14163194445</v>
      </c>
      <c r="C848" s="30">
        <v>3.847737136E9</v>
      </c>
      <c r="D848" s="47" t="s">
        <v>1509</v>
      </c>
      <c r="E848" s="30">
        <v>175.0</v>
      </c>
      <c r="F848" s="30">
        <v>0.0</v>
      </c>
      <c r="G848" s="30">
        <v>0.0</v>
      </c>
      <c r="H848" s="30">
        <v>0.0</v>
      </c>
      <c r="I848" s="30">
        <v>25.9875</v>
      </c>
      <c r="J848" s="30">
        <v>0.0</v>
      </c>
      <c r="K848" s="30">
        <v>0.0</v>
      </c>
      <c r="L848" s="30">
        <v>0.0</v>
      </c>
      <c r="M848" s="30">
        <v>0.0</v>
      </c>
      <c r="N848" s="30">
        <v>29.166666666666657</v>
      </c>
      <c r="O848" s="30">
        <v>119.84583333333333</v>
      </c>
      <c r="P848" s="30">
        <v>68.48333333333333</v>
      </c>
      <c r="Q848" s="30">
        <v>82.17999999999999</v>
      </c>
    </row>
    <row r="849">
      <c r="A849" s="47">
        <v>1.1235488668E10</v>
      </c>
      <c r="B849" s="48">
        <v>46157.05694444444</v>
      </c>
      <c r="C849" s="30">
        <v>3.850189071E9</v>
      </c>
      <c r="D849" s="47" t="s">
        <v>1509</v>
      </c>
      <c r="E849" s="30">
        <v>3460.0</v>
      </c>
      <c r="F849" s="30">
        <v>2456.0</v>
      </c>
      <c r="G849" s="30">
        <v>0.0</v>
      </c>
      <c r="H849" s="30">
        <v>0.0</v>
      </c>
      <c r="I849" s="30">
        <v>513.81</v>
      </c>
      <c r="J849" s="30">
        <v>0.0</v>
      </c>
      <c r="K849" s="30">
        <v>0.0</v>
      </c>
      <c r="L849" s="30">
        <v>0.0</v>
      </c>
      <c r="M849" s="30">
        <v>0.0</v>
      </c>
      <c r="N849" s="30">
        <v>576.6666666666665</v>
      </c>
      <c r="O849" s="30">
        <v>-86.47666666666646</v>
      </c>
      <c r="P849" s="30">
        <v>-2.499325626204233</v>
      </c>
      <c r="Q849" s="30">
        <v>-2.999190751445079</v>
      </c>
    </row>
    <row r="850">
      <c r="A850" s="47">
        <v>1.1233565955E10</v>
      </c>
      <c r="B850" s="48">
        <v>46156.65452546296</v>
      </c>
      <c r="C850" s="30">
        <v>3.848620263E9</v>
      </c>
      <c r="D850" s="47" t="s">
        <v>1509</v>
      </c>
      <c r="E850" s="30">
        <v>729.0</v>
      </c>
      <c r="F850" s="30">
        <v>580.0</v>
      </c>
      <c r="G850" s="30">
        <v>0.0</v>
      </c>
      <c r="H850" s="30">
        <v>0.0</v>
      </c>
      <c r="I850" s="30">
        <v>36.0855</v>
      </c>
      <c r="J850" s="30">
        <v>0.0</v>
      </c>
      <c r="K850" s="30">
        <v>0.0</v>
      </c>
      <c r="L850" s="30">
        <v>0.0</v>
      </c>
      <c r="M850" s="30">
        <v>0.0</v>
      </c>
      <c r="N850" s="30">
        <v>121.5</v>
      </c>
      <c r="O850" s="30">
        <v>-8.585499999999996</v>
      </c>
      <c r="P850" s="30">
        <v>-1.177709190672153</v>
      </c>
      <c r="Q850" s="30">
        <v>-1.4132510288065838</v>
      </c>
    </row>
    <row r="851">
      <c r="A851" s="47">
        <v>1.122980364E10</v>
      </c>
      <c r="B851" s="48">
        <v>46155.50246527778</v>
      </c>
      <c r="C851" s="30">
        <v>3.845169894E9</v>
      </c>
      <c r="D851" s="47" t="s">
        <v>1509</v>
      </c>
      <c r="E851" s="30">
        <v>1261.99</v>
      </c>
      <c r="F851" s="30">
        <v>1165.0</v>
      </c>
      <c r="G851" s="30">
        <v>0.0</v>
      </c>
      <c r="H851" s="30">
        <v>0.0</v>
      </c>
      <c r="I851" s="30">
        <v>45.431639999999994</v>
      </c>
      <c r="J851" s="30">
        <v>0.0</v>
      </c>
      <c r="K851" s="30">
        <v>0.0</v>
      </c>
      <c r="L851" s="30">
        <v>0.0</v>
      </c>
      <c r="M851" s="30">
        <v>0.0</v>
      </c>
      <c r="N851" s="30">
        <v>210.3316666666667</v>
      </c>
      <c r="O851" s="30">
        <v>-158.77330666666668</v>
      </c>
      <c r="P851" s="30">
        <v>-12.58118579914791</v>
      </c>
      <c r="Q851" s="30">
        <v>-15.097422958977491</v>
      </c>
    </row>
    <row r="852">
      <c r="A852" s="47">
        <v>1.1233363056E10</v>
      </c>
      <c r="B852" s="48">
        <v>46156.61347222222</v>
      </c>
      <c r="C852" s="30">
        <v>3.848454639E9</v>
      </c>
      <c r="D852" s="47" t="s">
        <v>1509</v>
      </c>
      <c r="E852" s="30">
        <v>729.0</v>
      </c>
      <c r="F852" s="30">
        <v>580.0</v>
      </c>
      <c r="G852" s="30">
        <v>0.0</v>
      </c>
      <c r="H852" s="30">
        <v>0.0</v>
      </c>
      <c r="I852" s="30">
        <v>36.0855</v>
      </c>
      <c r="J852" s="30">
        <v>0.0</v>
      </c>
      <c r="K852" s="30">
        <v>0.0</v>
      </c>
      <c r="L852" s="30">
        <v>0.0</v>
      </c>
      <c r="M852" s="30">
        <v>0.0</v>
      </c>
      <c r="N852" s="30">
        <v>121.5</v>
      </c>
      <c r="O852" s="30">
        <v>-8.585499999999996</v>
      </c>
      <c r="P852" s="30">
        <v>-1.177709190672153</v>
      </c>
      <c r="Q852" s="30">
        <v>-1.4132510288065838</v>
      </c>
    </row>
    <row r="853">
      <c r="A853" s="47">
        <v>1.123237134E10</v>
      </c>
      <c r="B853" s="48">
        <v>46156.066354166665</v>
      </c>
      <c r="C853" s="30">
        <v>3.847415497E9</v>
      </c>
      <c r="D853" s="47" t="s">
        <v>1509</v>
      </c>
      <c r="E853" s="30">
        <v>729.0</v>
      </c>
      <c r="F853" s="30">
        <v>580.0</v>
      </c>
      <c r="G853" s="30">
        <v>0.0</v>
      </c>
      <c r="H853" s="30">
        <v>0.0</v>
      </c>
      <c r="I853" s="30">
        <v>32.148900000000005</v>
      </c>
      <c r="J853" s="30">
        <v>0.0</v>
      </c>
      <c r="K853" s="30">
        <v>0.0</v>
      </c>
      <c r="L853" s="30">
        <v>0.0</v>
      </c>
      <c r="M853" s="30">
        <v>0.0</v>
      </c>
      <c r="N853" s="30">
        <v>121.5</v>
      </c>
      <c r="O853" s="30">
        <v>-4.648899999999998</v>
      </c>
      <c r="P853" s="30">
        <v>-0.6377091906721534</v>
      </c>
      <c r="Q853" s="30">
        <v>-0.765251028806584</v>
      </c>
    </row>
    <row r="854">
      <c r="A854" s="47">
        <v>1.1199931168E10</v>
      </c>
      <c r="B854" s="48">
        <v>46147.02900462963</v>
      </c>
      <c r="C854" s="30">
        <v>3.817185366E9</v>
      </c>
      <c r="D854" s="47" t="s">
        <v>1516</v>
      </c>
      <c r="E854" s="30">
        <v>1615.0</v>
      </c>
      <c r="F854" s="30">
        <v>1190.0</v>
      </c>
      <c r="G854" s="30">
        <v>0.0</v>
      </c>
      <c r="H854" s="30">
        <v>0.0</v>
      </c>
      <c r="I854" s="30">
        <v>201.875</v>
      </c>
      <c r="J854" s="30">
        <v>0.0</v>
      </c>
      <c r="K854" s="30">
        <v>0.0</v>
      </c>
      <c r="L854" s="30">
        <v>0.0</v>
      </c>
      <c r="M854" s="30">
        <v>0.0</v>
      </c>
      <c r="N854" s="30">
        <v>269.1666666666665</v>
      </c>
      <c r="O854" s="30">
        <v>-46.041666666666515</v>
      </c>
      <c r="P854" s="30">
        <v>-2.8508771929824466</v>
      </c>
      <c r="Q854" s="30">
        <v>-3.421052631578936</v>
      </c>
    </row>
    <row r="855">
      <c r="A855" s="47">
        <v>1.1238843412E10</v>
      </c>
      <c r="B855" s="48">
        <v>46158.07324074074</v>
      </c>
      <c r="C855" s="30">
        <v>3.853111279E9</v>
      </c>
      <c r="D855" s="47" t="s">
        <v>1511</v>
      </c>
      <c r="E855" s="30">
        <v>729.0</v>
      </c>
      <c r="F855" s="30">
        <v>580.0</v>
      </c>
      <c r="G855" s="30">
        <v>0.0</v>
      </c>
      <c r="H855" s="30">
        <v>0.0</v>
      </c>
      <c r="I855" s="30">
        <v>36.0855</v>
      </c>
      <c r="J855" s="30">
        <v>0.0</v>
      </c>
      <c r="K855" s="30">
        <v>0.0</v>
      </c>
      <c r="L855" s="30">
        <v>0.0</v>
      </c>
      <c r="M855" s="30">
        <v>0.0</v>
      </c>
      <c r="N855" s="30">
        <v>121.5</v>
      </c>
      <c r="O855" s="30">
        <v>-8.585499999999996</v>
      </c>
      <c r="P855" s="30">
        <v>-1.177709190672153</v>
      </c>
      <c r="Q855" s="30">
        <v>-1.4132510288065838</v>
      </c>
    </row>
    <row r="856">
      <c r="A856" s="47">
        <v>1.123829168E10</v>
      </c>
      <c r="B856" s="48">
        <v>46157.96306712963</v>
      </c>
      <c r="C856" s="30">
        <v>3.852665233E9</v>
      </c>
      <c r="D856" s="47" t="s">
        <v>1511</v>
      </c>
      <c r="E856" s="30">
        <v>1291.0</v>
      </c>
      <c r="F856" s="30">
        <v>1190.0</v>
      </c>
      <c r="G856" s="30">
        <v>0.0</v>
      </c>
      <c r="H856" s="30">
        <v>0.0</v>
      </c>
      <c r="I856" s="30">
        <v>34.857</v>
      </c>
      <c r="J856" s="30">
        <v>0.0</v>
      </c>
      <c r="K856" s="30">
        <v>0.0</v>
      </c>
      <c r="L856" s="30">
        <v>0.0</v>
      </c>
      <c r="M856" s="30">
        <v>0.0</v>
      </c>
      <c r="N856" s="30">
        <v>215.16666666666652</v>
      </c>
      <c r="O856" s="30">
        <v>-149.02366666666651</v>
      </c>
      <c r="P856" s="30">
        <v>-11.543273947844037</v>
      </c>
      <c r="Q856" s="30">
        <v>-13.851928737412841</v>
      </c>
    </row>
    <row r="857">
      <c r="A857" s="47">
        <v>1.12297491E10</v>
      </c>
      <c r="B857" s="48">
        <v>46155.47179398148</v>
      </c>
      <c r="C857" s="30">
        <v>3.845107926E9</v>
      </c>
      <c r="D857" s="47" t="s">
        <v>1509</v>
      </c>
      <c r="E857" s="30">
        <v>4341.0</v>
      </c>
      <c r="F857" s="30">
        <v>3475.0</v>
      </c>
      <c r="G857" s="30">
        <v>0.0</v>
      </c>
      <c r="H857" s="30">
        <v>0.0</v>
      </c>
      <c r="I857" s="30">
        <v>382.87620000000004</v>
      </c>
      <c r="J857" s="30">
        <v>0.0</v>
      </c>
      <c r="K857" s="30">
        <v>0.0</v>
      </c>
      <c r="L857" s="30">
        <v>0.0</v>
      </c>
      <c r="M857" s="30">
        <v>0.0</v>
      </c>
      <c r="N857" s="30">
        <v>723.5</v>
      </c>
      <c r="O857" s="30">
        <v>-240.37620000000004</v>
      </c>
      <c r="P857" s="30">
        <v>-5.537346233586732</v>
      </c>
      <c r="Q857" s="30">
        <v>-6.644815480304079</v>
      </c>
    </row>
    <row r="858">
      <c r="A858" s="47">
        <v>1.1231410826E10</v>
      </c>
      <c r="B858" s="48">
        <v>46155.87533564815</v>
      </c>
      <c r="C858" s="30">
        <v>3.846603806E9</v>
      </c>
      <c r="D858" s="47" t="s">
        <v>1509</v>
      </c>
      <c r="E858" s="30">
        <v>1464.0</v>
      </c>
      <c r="F858" s="30">
        <v>1210.0</v>
      </c>
      <c r="G858" s="30">
        <v>0.0</v>
      </c>
      <c r="H858" s="30">
        <v>0.0</v>
      </c>
      <c r="I858" s="30">
        <v>100.1376</v>
      </c>
      <c r="J858" s="30">
        <v>0.0</v>
      </c>
      <c r="K858" s="30">
        <v>0.0</v>
      </c>
      <c r="L858" s="30">
        <v>0.0</v>
      </c>
      <c r="M858" s="30">
        <v>0.0</v>
      </c>
      <c r="N858" s="30">
        <v>244.0</v>
      </c>
      <c r="O858" s="30">
        <v>-90.13760000000002</v>
      </c>
      <c r="P858" s="30">
        <v>-6.156939890710384</v>
      </c>
      <c r="Q858" s="30">
        <v>-7.3883278688524605</v>
      </c>
    </row>
    <row r="859">
      <c r="A859" s="47">
        <v>1.1230164935E10</v>
      </c>
      <c r="B859" s="48">
        <v>46155.60795138889</v>
      </c>
      <c r="C859" s="30">
        <v>3.845545277E9</v>
      </c>
      <c r="D859" s="47" t="s">
        <v>1509</v>
      </c>
      <c r="E859" s="30">
        <v>1261.99</v>
      </c>
      <c r="F859" s="30">
        <v>1165.0</v>
      </c>
      <c r="G859" s="30">
        <v>0.0</v>
      </c>
      <c r="H859" s="30">
        <v>0.0</v>
      </c>
      <c r="I859" s="30">
        <v>45.431639999999994</v>
      </c>
      <c r="J859" s="30">
        <v>0.0</v>
      </c>
      <c r="K859" s="30">
        <v>0.0</v>
      </c>
      <c r="L859" s="30">
        <v>0.0</v>
      </c>
      <c r="M859" s="30">
        <v>0.0</v>
      </c>
      <c r="N859" s="30">
        <v>210.3316666666667</v>
      </c>
      <c r="O859" s="30">
        <v>-158.77330666666668</v>
      </c>
      <c r="P859" s="30">
        <v>-12.58118579914791</v>
      </c>
      <c r="Q859" s="30">
        <v>-15.097422958977491</v>
      </c>
    </row>
    <row r="860">
      <c r="A860" s="47">
        <v>1.1233271291E10</v>
      </c>
      <c r="B860" s="48">
        <v>46156.59284722222</v>
      </c>
      <c r="C860" s="30">
        <v>3.848376616E9</v>
      </c>
      <c r="D860" s="47" t="s">
        <v>1509</v>
      </c>
      <c r="E860" s="30">
        <v>474.47</v>
      </c>
      <c r="F860" s="30">
        <v>130.0</v>
      </c>
      <c r="G860" s="30">
        <v>0.0</v>
      </c>
      <c r="H860" s="30">
        <v>0.0</v>
      </c>
      <c r="I860" s="30">
        <v>85.40460000000002</v>
      </c>
      <c r="J860" s="30">
        <v>0.0</v>
      </c>
      <c r="K860" s="30">
        <v>0.0</v>
      </c>
      <c r="L860" s="30">
        <v>0.0</v>
      </c>
      <c r="M860" s="30">
        <v>0.0</v>
      </c>
      <c r="N860" s="30">
        <v>79.07833333333332</v>
      </c>
      <c r="O860" s="30">
        <v>179.9870666666667</v>
      </c>
      <c r="P860" s="30">
        <v>37.93434077321363</v>
      </c>
      <c r="Q860" s="30">
        <v>45.52120892785635</v>
      </c>
    </row>
    <row r="861">
      <c r="A861" s="47">
        <v>1.1227361864E10</v>
      </c>
      <c r="B861" s="48">
        <v>46154.69498842592</v>
      </c>
      <c r="C861" s="30">
        <v>3.842961942E9</v>
      </c>
      <c r="D861" s="47" t="s">
        <v>1509</v>
      </c>
      <c r="E861" s="30">
        <v>1953.0</v>
      </c>
      <c r="F861" s="30">
        <v>1535.52</v>
      </c>
      <c r="G861" s="30">
        <v>0.0</v>
      </c>
      <c r="H861" s="30">
        <v>0.0</v>
      </c>
      <c r="I861" s="30">
        <v>123.039</v>
      </c>
      <c r="J861" s="30">
        <v>0.0</v>
      </c>
      <c r="K861" s="30">
        <v>0.0</v>
      </c>
      <c r="L861" s="30">
        <v>0.0</v>
      </c>
      <c r="M861" s="30">
        <v>0.0</v>
      </c>
      <c r="N861" s="30">
        <v>325.5</v>
      </c>
      <c r="O861" s="30">
        <v>-31.05899999999997</v>
      </c>
      <c r="P861" s="30">
        <v>-1.5903225806451597</v>
      </c>
      <c r="Q861" s="30">
        <v>-1.9083870967741916</v>
      </c>
    </row>
    <row r="862">
      <c r="A862" s="47">
        <v>1.1229018301E10</v>
      </c>
      <c r="B862" s="48">
        <v>46155.03802083333</v>
      </c>
      <c r="C862" s="30">
        <v>3.844343667E9</v>
      </c>
      <c r="D862" s="47" t="s">
        <v>1509</v>
      </c>
      <c r="E862" s="30">
        <v>1880.0</v>
      </c>
      <c r="F862" s="30">
        <v>1535.52</v>
      </c>
      <c r="G862" s="30">
        <v>0.0</v>
      </c>
      <c r="H862" s="30">
        <v>0.0</v>
      </c>
      <c r="I862" s="30">
        <v>81.21600000000001</v>
      </c>
      <c r="J862" s="30">
        <v>0.0</v>
      </c>
      <c r="K862" s="30">
        <v>0.0</v>
      </c>
      <c r="L862" s="30">
        <v>0.0</v>
      </c>
      <c r="M862" s="30">
        <v>0.0</v>
      </c>
      <c r="N862" s="30">
        <v>313.33333333333326</v>
      </c>
      <c r="O862" s="30">
        <v>-50.06933333333325</v>
      </c>
      <c r="P862" s="30">
        <v>-2.6632624113475134</v>
      </c>
      <c r="Q862" s="30">
        <v>-3.1959148936170156</v>
      </c>
    </row>
    <row r="863">
      <c r="A863" s="47">
        <v>1.1231281338E10</v>
      </c>
      <c r="B863" s="48">
        <v>46155.84814814815</v>
      </c>
      <c r="C863" s="30">
        <v>3.846498115E9</v>
      </c>
      <c r="D863" s="47" t="s">
        <v>1509</v>
      </c>
      <c r="E863" s="30">
        <v>1864.0</v>
      </c>
      <c r="F863" s="30">
        <v>1535.52</v>
      </c>
      <c r="G863" s="30">
        <v>0.0</v>
      </c>
      <c r="H863" s="30">
        <v>0.0</v>
      </c>
      <c r="I863" s="30">
        <v>80.5248</v>
      </c>
      <c r="J863" s="30">
        <v>0.0</v>
      </c>
      <c r="K863" s="30">
        <v>0.0</v>
      </c>
      <c r="L863" s="30">
        <v>0.0</v>
      </c>
      <c r="M863" s="30">
        <v>0.0</v>
      </c>
      <c r="N863" s="30">
        <v>310.6666666666665</v>
      </c>
      <c r="O863" s="30">
        <v>-62.711466666666496</v>
      </c>
      <c r="P863" s="30">
        <v>-3.364349070100134</v>
      </c>
      <c r="Q863" s="30">
        <v>-4.03721888412016</v>
      </c>
    </row>
    <row r="864">
      <c r="A864" s="47">
        <v>1.1228839715E10</v>
      </c>
      <c r="B864" s="48">
        <v>46155.00335648148</v>
      </c>
      <c r="C864" s="30">
        <v>3.844176958E9</v>
      </c>
      <c r="D864" s="47" t="s">
        <v>1509</v>
      </c>
      <c r="E864" s="30">
        <v>1852.99</v>
      </c>
      <c r="F864" s="30">
        <v>1535.52</v>
      </c>
      <c r="G864" s="30">
        <v>0.0</v>
      </c>
      <c r="H864" s="30">
        <v>0.0</v>
      </c>
      <c r="I864" s="30">
        <v>80.04916800000001</v>
      </c>
      <c r="J864" s="30">
        <v>0.0</v>
      </c>
      <c r="K864" s="30">
        <v>0.0</v>
      </c>
      <c r="L864" s="30">
        <v>0.0</v>
      </c>
      <c r="M864" s="30">
        <v>0.0</v>
      </c>
      <c r="N864" s="30">
        <v>308.8316666666667</v>
      </c>
      <c r="O864" s="30">
        <v>-71.41083466666669</v>
      </c>
      <c r="P864" s="30">
        <v>-3.853816516369041</v>
      </c>
      <c r="Q864" s="30">
        <v>-4.6245798196428485</v>
      </c>
    </row>
    <row r="865">
      <c r="A865" s="47">
        <v>1.1230814093E10</v>
      </c>
      <c r="B865" s="48">
        <v>46155.7403125</v>
      </c>
      <c r="C865" s="30">
        <v>3.846101921E9</v>
      </c>
      <c r="D865" s="47" t="s">
        <v>1509</v>
      </c>
      <c r="E865" s="30">
        <v>1880.0</v>
      </c>
      <c r="F865" s="30">
        <v>1535.52</v>
      </c>
      <c r="G865" s="30">
        <v>0.0</v>
      </c>
      <c r="H865" s="30">
        <v>0.0</v>
      </c>
      <c r="I865" s="30">
        <v>81.21600000000001</v>
      </c>
      <c r="J865" s="30">
        <v>0.0</v>
      </c>
      <c r="K865" s="30">
        <v>0.0</v>
      </c>
      <c r="L865" s="30">
        <v>0.0</v>
      </c>
      <c r="M865" s="30">
        <v>0.0</v>
      </c>
      <c r="N865" s="30">
        <v>313.33333333333326</v>
      </c>
      <c r="O865" s="30">
        <v>-50.06933333333325</v>
      </c>
      <c r="P865" s="30">
        <v>-2.6632624113475134</v>
      </c>
      <c r="Q865" s="30">
        <v>-3.1959148936170156</v>
      </c>
    </row>
    <row r="866">
      <c r="A866" s="47">
        <v>1.1232935452E10</v>
      </c>
      <c r="B866" s="48">
        <v>46156.46672453704</v>
      </c>
      <c r="C866" s="30">
        <v>3.848018334E9</v>
      </c>
      <c r="D866" s="47" t="s">
        <v>1509</v>
      </c>
      <c r="E866" s="30">
        <v>727.0</v>
      </c>
      <c r="F866" s="30">
        <v>580.0</v>
      </c>
      <c r="G866" s="30">
        <v>0.0</v>
      </c>
      <c r="H866" s="30">
        <v>0.0</v>
      </c>
      <c r="I866" s="30">
        <v>32.060700000000004</v>
      </c>
      <c r="J866" s="30">
        <v>0.0</v>
      </c>
      <c r="K866" s="30">
        <v>0.0</v>
      </c>
      <c r="L866" s="30">
        <v>0.0</v>
      </c>
      <c r="M866" s="30">
        <v>0.0</v>
      </c>
      <c r="N866" s="30">
        <v>121.16666666666663</v>
      </c>
      <c r="O866" s="30">
        <v>-6.227366666666626</v>
      </c>
      <c r="P866" s="30">
        <v>-0.8565841357175551</v>
      </c>
      <c r="Q866" s="30">
        <v>-1.027900962861066</v>
      </c>
    </row>
    <row r="867">
      <c r="A867" s="47">
        <v>1.1230096084E10</v>
      </c>
      <c r="B867" s="48">
        <v>46155.59292824074</v>
      </c>
      <c r="C867" s="30">
        <v>3.845484137E9</v>
      </c>
      <c r="D867" s="47" t="s">
        <v>1509</v>
      </c>
      <c r="E867" s="30">
        <v>1880.0</v>
      </c>
      <c r="F867" s="30">
        <v>1535.52</v>
      </c>
      <c r="G867" s="30">
        <v>0.0</v>
      </c>
      <c r="H867" s="30">
        <v>0.0</v>
      </c>
      <c r="I867" s="30">
        <v>81.21600000000001</v>
      </c>
      <c r="J867" s="30">
        <v>0.0</v>
      </c>
      <c r="K867" s="30">
        <v>0.0</v>
      </c>
      <c r="L867" s="30">
        <v>0.0</v>
      </c>
      <c r="M867" s="30">
        <v>0.0</v>
      </c>
      <c r="N867" s="30">
        <v>313.33333333333326</v>
      </c>
      <c r="O867" s="30">
        <v>-50.06933333333325</v>
      </c>
      <c r="P867" s="30">
        <v>-2.6632624113475134</v>
      </c>
      <c r="Q867" s="30">
        <v>-3.1959148936170156</v>
      </c>
    </row>
    <row r="868">
      <c r="A868" s="47">
        <v>1.1230007283E10</v>
      </c>
      <c r="B868" s="48">
        <v>46155.56972222222</v>
      </c>
      <c r="C868" s="30">
        <v>3.845392464E9</v>
      </c>
      <c r="D868" s="47" t="s">
        <v>1509</v>
      </c>
      <c r="E868" s="30">
        <v>1880.0</v>
      </c>
      <c r="F868" s="30">
        <v>1535.52</v>
      </c>
      <c r="G868" s="30">
        <v>0.0</v>
      </c>
      <c r="H868" s="30">
        <v>0.0</v>
      </c>
      <c r="I868" s="30">
        <v>81.21600000000001</v>
      </c>
      <c r="J868" s="30">
        <v>0.0</v>
      </c>
      <c r="K868" s="30">
        <v>0.0</v>
      </c>
      <c r="L868" s="30">
        <v>0.0</v>
      </c>
      <c r="M868" s="30">
        <v>0.0</v>
      </c>
      <c r="N868" s="30">
        <v>313.33333333333326</v>
      </c>
      <c r="O868" s="30">
        <v>-50.06933333333325</v>
      </c>
      <c r="P868" s="30">
        <v>-2.6632624113475134</v>
      </c>
      <c r="Q868" s="30">
        <v>-3.1959148936170156</v>
      </c>
    </row>
    <row r="869">
      <c r="A869" s="47">
        <v>1.1232604081E10</v>
      </c>
      <c r="B869" s="48">
        <v>46156.120162037034</v>
      </c>
      <c r="C869" s="30">
        <v>3.847660497E9</v>
      </c>
      <c r="D869" s="47" t="s">
        <v>1509</v>
      </c>
      <c r="E869" s="30">
        <v>729.0</v>
      </c>
      <c r="F869" s="30">
        <v>580.0</v>
      </c>
      <c r="G869" s="30">
        <v>0.0</v>
      </c>
      <c r="H869" s="30">
        <v>0.0</v>
      </c>
      <c r="I869" s="30">
        <v>32.148900000000005</v>
      </c>
      <c r="J869" s="30">
        <v>0.0</v>
      </c>
      <c r="K869" s="30">
        <v>0.0</v>
      </c>
      <c r="L869" s="30">
        <v>0.0</v>
      </c>
      <c r="M869" s="30">
        <v>0.0</v>
      </c>
      <c r="N869" s="30">
        <v>121.5</v>
      </c>
      <c r="O869" s="30">
        <v>-4.648899999999998</v>
      </c>
      <c r="P869" s="30">
        <v>-0.6377091906721534</v>
      </c>
      <c r="Q869" s="30">
        <v>-0.765251028806584</v>
      </c>
    </row>
    <row r="870">
      <c r="A870" s="47">
        <v>1.1227867433E10</v>
      </c>
      <c r="B870" s="48">
        <v>46154.803402777776</v>
      </c>
      <c r="C870" s="30">
        <v>3.84340596E9</v>
      </c>
      <c r="D870" s="47" t="s">
        <v>1509</v>
      </c>
      <c r="E870" s="30">
        <v>1017.0</v>
      </c>
      <c r="F870" s="30">
        <v>832.44</v>
      </c>
      <c r="G870" s="30">
        <v>0.0</v>
      </c>
      <c r="H870" s="30">
        <v>0.0</v>
      </c>
      <c r="I870" s="30">
        <v>34.577999999999996</v>
      </c>
      <c r="J870" s="30">
        <v>0.0</v>
      </c>
      <c r="K870" s="30">
        <v>0.0</v>
      </c>
      <c r="L870" s="30">
        <v>0.0</v>
      </c>
      <c r="M870" s="30">
        <v>0.0</v>
      </c>
      <c r="N870" s="30">
        <v>169.5</v>
      </c>
      <c r="O870" s="30">
        <v>-19.518000000000058</v>
      </c>
      <c r="P870" s="30">
        <v>-1.9191740412979406</v>
      </c>
      <c r="Q870" s="30">
        <v>-2.303008849557529</v>
      </c>
    </row>
    <row r="871">
      <c r="A871" s="47">
        <v>1.1228531623E10</v>
      </c>
      <c r="B871" s="48">
        <v>46154.94179398148</v>
      </c>
      <c r="C871" s="30">
        <v>3.843923778E9</v>
      </c>
      <c r="D871" s="47" t="s">
        <v>1509</v>
      </c>
      <c r="E871" s="30">
        <v>1852.99</v>
      </c>
      <c r="F871" s="30">
        <v>1535.52</v>
      </c>
      <c r="G871" s="30">
        <v>0.0</v>
      </c>
      <c r="H871" s="30">
        <v>0.0</v>
      </c>
      <c r="I871" s="30">
        <v>80.04916800000001</v>
      </c>
      <c r="J871" s="30">
        <v>0.0</v>
      </c>
      <c r="K871" s="30">
        <v>0.0</v>
      </c>
      <c r="L871" s="30">
        <v>0.0</v>
      </c>
      <c r="M871" s="30">
        <v>0.0</v>
      </c>
      <c r="N871" s="30">
        <v>308.8316666666667</v>
      </c>
      <c r="O871" s="30">
        <v>-71.41083466666669</v>
      </c>
      <c r="P871" s="30">
        <v>-3.853816516369041</v>
      </c>
      <c r="Q871" s="30">
        <v>-4.6245798196428485</v>
      </c>
    </row>
    <row r="872">
      <c r="A872" s="47">
        <v>1.1229421932E10</v>
      </c>
      <c r="B872" s="48">
        <v>46155.12515046296</v>
      </c>
      <c r="C872" s="30">
        <v>3.844755123E9</v>
      </c>
      <c r="D872" s="47" t="s">
        <v>1509</v>
      </c>
      <c r="E872" s="30">
        <v>1880.0</v>
      </c>
      <c r="F872" s="30">
        <v>1535.52</v>
      </c>
      <c r="G872" s="30">
        <v>0.0</v>
      </c>
      <c r="H872" s="30">
        <v>0.0</v>
      </c>
      <c r="I872" s="30">
        <v>81.21600000000001</v>
      </c>
      <c r="J872" s="30">
        <v>0.0</v>
      </c>
      <c r="K872" s="30">
        <v>0.0</v>
      </c>
      <c r="L872" s="30">
        <v>0.0</v>
      </c>
      <c r="M872" s="30">
        <v>0.0</v>
      </c>
      <c r="N872" s="30">
        <v>313.33333333333326</v>
      </c>
      <c r="O872" s="30">
        <v>-50.06933333333325</v>
      </c>
      <c r="P872" s="30">
        <v>-2.6632624113475134</v>
      </c>
      <c r="Q872" s="30">
        <v>-3.1959148936170156</v>
      </c>
    </row>
    <row r="873">
      <c r="A873" s="47">
        <v>1.123152096E10</v>
      </c>
      <c r="B873" s="48">
        <v>46155.89753472222</v>
      </c>
      <c r="C873" s="30">
        <v>3.846682491E9</v>
      </c>
      <c r="D873" s="47" t="s">
        <v>1509</v>
      </c>
      <c r="E873" s="30">
        <v>1474.0</v>
      </c>
      <c r="F873" s="30">
        <v>1160.0</v>
      </c>
      <c r="G873" s="30">
        <v>0.0</v>
      </c>
      <c r="H873" s="30">
        <v>0.0</v>
      </c>
      <c r="I873" s="30">
        <v>72.96300000000001</v>
      </c>
      <c r="J873" s="30">
        <v>0.0</v>
      </c>
      <c r="K873" s="30">
        <v>0.0</v>
      </c>
      <c r="L873" s="30">
        <v>0.0</v>
      </c>
      <c r="M873" s="30">
        <v>0.0</v>
      </c>
      <c r="N873" s="30">
        <v>245.66666666666652</v>
      </c>
      <c r="O873" s="30">
        <v>-4.629666666666537</v>
      </c>
      <c r="P873" s="30">
        <v>-0.31408864767072847</v>
      </c>
      <c r="Q873" s="30">
        <v>-0.3769063772048741</v>
      </c>
    </row>
    <row r="874">
      <c r="A874" s="47">
        <v>1.1228126713E10</v>
      </c>
      <c r="B874" s="48">
        <v>46154.85920138889</v>
      </c>
      <c r="C874" s="30">
        <v>3.843619838E9</v>
      </c>
      <c r="D874" s="47" t="s">
        <v>1509</v>
      </c>
      <c r="E874" s="30">
        <v>1852.99</v>
      </c>
      <c r="F874" s="30">
        <v>1535.52</v>
      </c>
      <c r="G874" s="30">
        <v>0.0</v>
      </c>
      <c r="H874" s="30">
        <v>0.0</v>
      </c>
      <c r="I874" s="30">
        <v>80.04916800000001</v>
      </c>
      <c r="J874" s="30">
        <v>0.0</v>
      </c>
      <c r="K874" s="30">
        <v>0.0</v>
      </c>
      <c r="L874" s="30">
        <v>0.0</v>
      </c>
      <c r="M874" s="30">
        <v>0.0</v>
      </c>
      <c r="N874" s="30">
        <v>308.8316666666667</v>
      </c>
      <c r="O874" s="30">
        <v>-71.41083466666669</v>
      </c>
      <c r="P874" s="30">
        <v>-3.853816516369041</v>
      </c>
      <c r="Q874" s="30">
        <v>-4.6245798196428485</v>
      </c>
    </row>
    <row r="875">
      <c r="A875" s="47">
        <v>1.122937224E10</v>
      </c>
      <c r="B875" s="48">
        <v>46155.11246527778</v>
      </c>
      <c r="C875" s="30">
        <v>3.844703372E9</v>
      </c>
      <c r="D875" s="47" t="s">
        <v>1509</v>
      </c>
      <c r="E875" s="30">
        <v>1880.0</v>
      </c>
      <c r="F875" s="30">
        <v>1535.52</v>
      </c>
      <c r="G875" s="30">
        <v>0.0</v>
      </c>
      <c r="H875" s="30">
        <v>0.0</v>
      </c>
      <c r="I875" s="30">
        <v>81.21600000000001</v>
      </c>
      <c r="J875" s="30">
        <v>0.0</v>
      </c>
      <c r="K875" s="30">
        <v>0.0</v>
      </c>
      <c r="L875" s="30">
        <v>0.0</v>
      </c>
      <c r="M875" s="30">
        <v>0.0</v>
      </c>
      <c r="N875" s="30">
        <v>313.33333333333326</v>
      </c>
      <c r="O875" s="30">
        <v>-50.06933333333325</v>
      </c>
      <c r="P875" s="30">
        <v>-2.6632624113475134</v>
      </c>
      <c r="Q875" s="30">
        <v>-3.1959148936170156</v>
      </c>
    </row>
    <row r="876">
      <c r="A876" s="47">
        <v>1.1229238872E10</v>
      </c>
      <c r="B876" s="48">
        <v>46155.08298611111</v>
      </c>
      <c r="C876" s="30">
        <v>3.844564648E9</v>
      </c>
      <c r="D876" s="47" t="s">
        <v>1509</v>
      </c>
      <c r="E876" s="30">
        <v>1880.0</v>
      </c>
      <c r="F876" s="30">
        <v>1535.52</v>
      </c>
      <c r="G876" s="30">
        <v>0.0</v>
      </c>
      <c r="H876" s="30">
        <v>0.0</v>
      </c>
      <c r="I876" s="30">
        <v>81.21600000000001</v>
      </c>
      <c r="J876" s="30">
        <v>0.0</v>
      </c>
      <c r="K876" s="30">
        <v>0.0</v>
      </c>
      <c r="L876" s="30">
        <v>0.0</v>
      </c>
      <c r="M876" s="30">
        <v>0.0</v>
      </c>
      <c r="N876" s="30">
        <v>313.33333333333326</v>
      </c>
      <c r="O876" s="30">
        <v>-50.06933333333325</v>
      </c>
      <c r="P876" s="30">
        <v>-2.6632624113475134</v>
      </c>
      <c r="Q876" s="30">
        <v>-3.1959148936170156</v>
      </c>
    </row>
    <row r="877">
      <c r="A877" s="47">
        <v>1.1230002577E10</v>
      </c>
      <c r="B877" s="48">
        <v>46155.56837962963</v>
      </c>
      <c r="C877" s="30">
        <v>3.845385392E9</v>
      </c>
      <c r="D877" s="47" t="s">
        <v>1509</v>
      </c>
      <c r="E877" s="30">
        <v>1880.0</v>
      </c>
      <c r="F877" s="30">
        <v>1535.52</v>
      </c>
      <c r="G877" s="30">
        <v>0.0</v>
      </c>
      <c r="H877" s="30">
        <v>0.0</v>
      </c>
      <c r="I877" s="30">
        <v>81.21600000000001</v>
      </c>
      <c r="J877" s="30">
        <v>0.0</v>
      </c>
      <c r="K877" s="30">
        <v>0.0</v>
      </c>
      <c r="L877" s="30">
        <v>0.0</v>
      </c>
      <c r="M877" s="30">
        <v>0.0</v>
      </c>
      <c r="N877" s="30">
        <v>313.33333333333326</v>
      </c>
      <c r="O877" s="30">
        <v>-50.06933333333325</v>
      </c>
      <c r="P877" s="30">
        <v>-2.6632624113475134</v>
      </c>
      <c r="Q877" s="30">
        <v>-3.1959148936170156</v>
      </c>
    </row>
    <row r="878">
      <c r="A878" s="47">
        <v>1.1232559713E10</v>
      </c>
      <c r="B878" s="48">
        <v>46156.108773148146</v>
      </c>
      <c r="C878" s="30">
        <v>3.847611933E9</v>
      </c>
      <c r="D878" s="47" t="s">
        <v>1509</v>
      </c>
      <c r="E878" s="30">
        <v>729.0</v>
      </c>
      <c r="F878" s="30">
        <v>580.0</v>
      </c>
      <c r="G878" s="30">
        <v>0.0</v>
      </c>
      <c r="H878" s="30">
        <v>0.0</v>
      </c>
      <c r="I878" s="30">
        <v>32.148900000000005</v>
      </c>
      <c r="J878" s="30">
        <v>0.0</v>
      </c>
      <c r="K878" s="30">
        <v>0.0</v>
      </c>
      <c r="L878" s="30">
        <v>0.0</v>
      </c>
      <c r="M878" s="30">
        <v>0.0</v>
      </c>
      <c r="N878" s="30">
        <v>121.5</v>
      </c>
      <c r="O878" s="30">
        <v>-4.648899999999998</v>
      </c>
      <c r="P878" s="30">
        <v>-0.6377091906721534</v>
      </c>
      <c r="Q878" s="30">
        <v>-0.765251028806584</v>
      </c>
    </row>
    <row r="879">
      <c r="A879" s="47">
        <v>1.1230813574E10</v>
      </c>
      <c r="B879" s="48">
        <v>46155.74019675926</v>
      </c>
      <c r="C879" s="30">
        <v>3.84610361E9</v>
      </c>
      <c r="D879" s="47" t="s">
        <v>1509</v>
      </c>
      <c r="E879" s="30">
        <v>1880.0</v>
      </c>
      <c r="F879" s="30">
        <v>1535.52</v>
      </c>
      <c r="G879" s="30">
        <v>0.0</v>
      </c>
      <c r="H879" s="30">
        <v>0.0</v>
      </c>
      <c r="I879" s="30">
        <v>81.21600000000001</v>
      </c>
      <c r="J879" s="30">
        <v>0.0</v>
      </c>
      <c r="K879" s="30">
        <v>0.0</v>
      </c>
      <c r="L879" s="30">
        <v>0.0</v>
      </c>
      <c r="M879" s="30">
        <v>0.0</v>
      </c>
      <c r="N879" s="30">
        <v>313.33333333333326</v>
      </c>
      <c r="O879" s="30">
        <v>-50.06933333333325</v>
      </c>
      <c r="P879" s="30">
        <v>-2.6632624113475134</v>
      </c>
      <c r="Q879" s="30">
        <v>-3.1959148936170156</v>
      </c>
    </row>
    <row r="880">
      <c r="A880" s="47">
        <v>1.1231876418E10</v>
      </c>
      <c r="B880" s="48">
        <v>46155.96894675926</v>
      </c>
      <c r="C880" s="30">
        <v>3.846958497E9</v>
      </c>
      <c r="D880" s="47" t="s">
        <v>1509</v>
      </c>
      <c r="E880" s="30">
        <v>474.47</v>
      </c>
      <c r="F880" s="30">
        <v>130.0</v>
      </c>
      <c r="G880" s="30">
        <v>0.0</v>
      </c>
      <c r="H880" s="30">
        <v>0.0</v>
      </c>
      <c r="I880" s="30">
        <v>85.40460000000002</v>
      </c>
      <c r="J880" s="30">
        <v>0.0</v>
      </c>
      <c r="K880" s="30">
        <v>0.0</v>
      </c>
      <c r="L880" s="30">
        <v>0.0</v>
      </c>
      <c r="M880" s="30">
        <v>0.0</v>
      </c>
      <c r="N880" s="30">
        <v>79.07833333333332</v>
      </c>
      <c r="O880" s="30">
        <v>179.9870666666667</v>
      </c>
      <c r="P880" s="30">
        <v>37.93434077321363</v>
      </c>
      <c r="Q880" s="30">
        <v>45.52120892785635</v>
      </c>
    </row>
    <row r="881">
      <c r="A881" s="47">
        <v>1.12331992E10</v>
      </c>
      <c r="B881" s="48">
        <v>46156.57344907407</v>
      </c>
      <c r="C881" s="30">
        <v>3.848305508E9</v>
      </c>
      <c r="D881" s="47" t="s">
        <v>1509</v>
      </c>
      <c r="E881" s="30">
        <v>727.0</v>
      </c>
      <c r="F881" s="30">
        <v>580.0</v>
      </c>
      <c r="G881" s="30">
        <v>0.0</v>
      </c>
      <c r="H881" s="30">
        <v>0.0</v>
      </c>
      <c r="I881" s="30">
        <v>32.060700000000004</v>
      </c>
      <c r="J881" s="30">
        <v>0.0</v>
      </c>
      <c r="K881" s="30">
        <v>0.0</v>
      </c>
      <c r="L881" s="30">
        <v>0.0</v>
      </c>
      <c r="M881" s="30">
        <v>0.0</v>
      </c>
      <c r="N881" s="30">
        <v>121.16666666666663</v>
      </c>
      <c r="O881" s="30">
        <v>-6.227366666666626</v>
      </c>
      <c r="P881" s="30">
        <v>-0.8565841357175551</v>
      </c>
      <c r="Q881" s="30">
        <v>-1.027900962861066</v>
      </c>
    </row>
    <row r="882">
      <c r="A882" s="47">
        <v>1.1226447593E10</v>
      </c>
      <c r="B882" s="48">
        <v>46154.283738425926</v>
      </c>
      <c r="C882" s="30">
        <v>3.842071284E9</v>
      </c>
      <c r="D882" s="47" t="s">
        <v>1509</v>
      </c>
      <c r="E882" s="30">
        <v>2034.0</v>
      </c>
      <c r="F882" s="30">
        <v>1535.52</v>
      </c>
      <c r="G882" s="30">
        <v>0.0</v>
      </c>
      <c r="H882" s="30">
        <v>0.0</v>
      </c>
      <c r="I882" s="30">
        <v>254.25</v>
      </c>
      <c r="J882" s="30">
        <v>0.0</v>
      </c>
      <c r="K882" s="30">
        <v>0.0</v>
      </c>
      <c r="L882" s="30">
        <v>0.0</v>
      </c>
      <c r="M882" s="30">
        <v>0.0</v>
      </c>
      <c r="N882" s="30">
        <v>339.0</v>
      </c>
      <c r="O882" s="30">
        <v>-94.76999999999998</v>
      </c>
      <c r="P882" s="30">
        <v>-4.659292035398229</v>
      </c>
      <c r="Q882" s="30">
        <v>-5.591150442477875</v>
      </c>
    </row>
    <row r="883">
      <c r="A883" s="47">
        <v>1.122834454E10</v>
      </c>
      <c r="B883" s="48">
        <v>46154.904375</v>
      </c>
      <c r="C883" s="30">
        <v>3.843783891E9</v>
      </c>
      <c r="D883" s="47" t="s">
        <v>1509</v>
      </c>
      <c r="E883" s="30">
        <v>1852.99</v>
      </c>
      <c r="F883" s="30">
        <v>1535.52</v>
      </c>
      <c r="G883" s="30">
        <v>0.0</v>
      </c>
      <c r="H883" s="30">
        <v>0.0</v>
      </c>
      <c r="I883" s="30">
        <v>80.04916800000001</v>
      </c>
      <c r="J883" s="30">
        <v>0.0</v>
      </c>
      <c r="K883" s="30">
        <v>0.0</v>
      </c>
      <c r="L883" s="30">
        <v>0.0</v>
      </c>
      <c r="M883" s="30">
        <v>0.0</v>
      </c>
      <c r="N883" s="30">
        <v>308.8316666666667</v>
      </c>
      <c r="O883" s="30">
        <v>-71.41083466666669</v>
      </c>
      <c r="P883" s="30">
        <v>-3.853816516369041</v>
      </c>
      <c r="Q883" s="30">
        <v>-4.6245798196428485</v>
      </c>
    </row>
    <row r="884">
      <c r="A884" s="47">
        <v>1.1229814863E10</v>
      </c>
      <c r="B884" s="48">
        <v>46155.50717592592</v>
      </c>
      <c r="C884" s="30">
        <v>3.845185199E9</v>
      </c>
      <c r="D884" s="47" t="s">
        <v>1509</v>
      </c>
      <c r="E884" s="30">
        <v>3760.0</v>
      </c>
      <c r="F884" s="30">
        <v>3071.04</v>
      </c>
      <c r="G884" s="30">
        <v>0.0</v>
      </c>
      <c r="H884" s="30">
        <v>0.0</v>
      </c>
      <c r="I884" s="30">
        <v>162.43200000000002</v>
      </c>
      <c r="J884" s="30">
        <v>0.0</v>
      </c>
      <c r="K884" s="30">
        <v>0.0</v>
      </c>
      <c r="L884" s="30">
        <v>0.0</v>
      </c>
      <c r="M884" s="30">
        <v>0.0</v>
      </c>
      <c r="N884" s="30">
        <v>626.6666666666665</v>
      </c>
      <c r="O884" s="30">
        <v>-100.1386666666665</v>
      </c>
      <c r="P884" s="30">
        <v>-2.6632624113475134</v>
      </c>
      <c r="Q884" s="30">
        <v>-3.1959148936170156</v>
      </c>
    </row>
    <row r="885">
      <c r="A885" s="47">
        <v>1.1227953589E10</v>
      </c>
      <c r="B885" s="48">
        <v>46154.821921296294</v>
      </c>
      <c r="C885" s="30">
        <v>3.84348552E9</v>
      </c>
      <c r="D885" s="47" t="s">
        <v>1509</v>
      </c>
      <c r="E885" s="30">
        <v>1852.99</v>
      </c>
      <c r="F885" s="30">
        <v>1535.52</v>
      </c>
      <c r="G885" s="30">
        <v>0.0</v>
      </c>
      <c r="H885" s="30">
        <v>0.0</v>
      </c>
      <c r="I885" s="30">
        <v>80.04916800000001</v>
      </c>
      <c r="J885" s="30">
        <v>0.0</v>
      </c>
      <c r="K885" s="30">
        <v>0.0</v>
      </c>
      <c r="L885" s="30">
        <v>0.0</v>
      </c>
      <c r="M885" s="30">
        <v>0.0</v>
      </c>
      <c r="N885" s="30">
        <v>308.8316666666667</v>
      </c>
      <c r="O885" s="30">
        <v>-71.41083466666669</v>
      </c>
      <c r="P885" s="30">
        <v>-3.853816516369041</v>
      </c>
      <c r="Q885" s="30">
        <v>-4.6245798196428485</v>
      </c>
    </row>
    <row r="886">
      <c r="A886" s="47">
        <v>1.1236219248E10</v>
      </c>
      <c r="B886" s="48">
        <v>46157.52899305556</v>
      </c>
      <c r="C886" s="30">
        <v>3.850968436E9</v>
      </c>
      <c r="D886" s="47" t="s">
        <v>1512</v>
      </c>
      <c r="E886" s="30">
        <v>729.0</v>
      </c>
      <c r="F886" s="30">
        <v>580.0</v>
      </c>
      <c r="G886" s="30">
        <v>0.0</v>
      </c>
      <c r="H886" s="30">
        <v>0.0</v>
      </c>
      <c r="I886" s="30">
        <v>36.0855</v>
      </c>
      <c r="J886" s="30">
        <v>0.0</v>
      </c>
      <c r="K886" s="30">
        <v>0.0</v>
      </c>
      <c r="L886" s="30">
        <v>0.0</v>
      </c>
      <c r="M886" s="30">
        <v>0.0</v>
      </c>
      <c r="N886" s="30">
        <v>121.5</v>
      </c>
      <c r="O886" s="30">
        <v>-8.585499999999996</v>
      </c>
      <c r="P886" s="30">
        <v>-1.177709190672153</v>
      </c>
      <c r="Q886" s="30">
        <v>-1.4132510288065838</v>
      </c>
    </row>
    <row r="887">
      <c r="A887" s="47">
        <v>1.1236416049E10</v>
      </c>
      <c r="B887" s="48">
        <v>46157.587175925924</v>
      </c>
      <c r="C887" s="30">
        <v>3.851177724E9</v>
      </c>
      <c r="D887" s="47" t="s">
        <v>1512</v>
      </c>
      <c r="E887" s="30">
        <v>489.0</v>
      </c>
      <c r="F887" s="30">
        <v>130.0</v>
      </c>
      <c r="G887" s="30">
        <v>0.0</v>
      </c>
      <c r="H887" s="30">
        <v>0.0</v>
      </c>
      <c r="I887" s="30">
        <v>88.02</v>
      </c>
      <c r="J887" s="30">
        <v>0.0</v>
      </c>
      <c r="K887" s="30">
        <v>0.0</v>
      </c>
      <c r="L887" s="30">
        <v>0.0</v>
      </c>
      <c r="M887" s="30">
        <v>0.0</v>
      </c>
      <c r="N887" s="30">
        <v>81.5</v>
      </c>
      <c r="O887" s="30">
        <v>189.48000000000002</v>
      </c>
      <c r="P887" s="30">
        <v>38.74846625766872</v>
      </c>
      <c r="Q887" s="30">
        <v>46.49815950920246</v>
      </c>
    </row>
    <row r="888">
      <c r="A888" s="47">
        <v>1.12329464E10</v>
      </c>
      <c r="B888" s="48">
        <v>46156.47484953704</v>
      </c>
      <c r="C888" s="30">
        <v>3.848033202E9</v>
      </c>
      <c r="D888" s="47" t="s">
        <v>1509</v>
      </c>
      <c r="E888" s="30">
        <v>1454.0</v>
      </c>
      <c r="F888" s="30">
        <v>1160.0</v>
      </c>
      <c r="G888" s="30">
        <v>0.0</v>
      </c>
      <c r="H888" s="30">
        <v>0.0</v>
      </c>
      <c r="I888" s="30">
        <v>64.12140000000001</v>
      </c>
      <c r="J888" s="30">
        <v>0.0</v>
      </c>
      <c r="K888" s="30">
        <v>0.0</v>
      </c>
      <c r="L888" s="30">
        <v>0.0</v>
      </c>
      <c r="M888" s="30">
        <v>0.0</v>
      </c>
      <c r="N888" s="30">
        <v>242.33333333333326</v>
      </c>
      <c r="O888" s="30">
        <v>-12.454733333333252</v>
      </c>
      <c r="P888" s="30">
        <v>-0.8565841357175551</v>
      </c>
      <c r="Q888" s="30">
        <v>-1.027900962861066</v>
      </c>
    </row>
    <row r="889">
      <c r="A889" s="47">
        <v>1.1231310825E10</v>
      </c>
      <c r="B889" s="48">
        <v>46155.85445601852</v>
      </c>
      <c r="C889" s="30">
        <v>3.846521613E9</v>
      </c>
      <c r="D889" s="47" t="s">
        <v>1509</v>
      </c>
      <c r="E889" s="30">
        <v>1864.0</v>
      </c>
      <c r="F889" s="30">
        <v>1535.52</v>
      </c>
      <c r="G889" s="30">
        <v>0.0</v>
      </c>
      <c r="H889" s="30">
        <v>0.0</v>
      </c>
      <c r="I889" s="30">
        <v>80.5248</v>
      </c>
      <c r="J889" s="30">
        <v>0.0</v>
      </c>
      <c r="K889" s="30">
        <v>0.0</v>
      </c>
      <c r="L889" s="30">
        <v>0.0</v>
      </c>
      <c r="M889" s="30">
        <v>0.0</v>
      </c>
      <c r="N889" s="30">
        <v>310.6666666666665</v>
      </c>
      <c r="O889" s="30">
        <v>-62.711466666666496</v>
      </c>
      <c r="P889" s="30">
        <v>-3.364349070100134</v>
      </c>
      <c r="Q889" s="30">
        <v>-4.03721888412016</v>
      </c>
    </row>
    <row r="890">
      <c r="A890" s="47">
        <v>1.1232784961E10</v>
      </c>
      <c r="B890" s="48">
        <v>46156.190150462964</v>
      </c>
      <c r="C890" s="30">
        <v>3.847849145E9</v>
      </c>
      <c r="D890" s="47" t="s">
        <v>1509</v>
      </c>
      <c r="E890" s="30">
        <v>897.45</v>
      </c>
      <c r="F890" s="30">
        <v>300.0</v>
      </c>
      <c r="G890" s="30">
        <v>0.0</v>
      </c>
      <c r="H890" s="30">
        <v>0.0</v>
      </c>
      <c r="I890" s="30">
        <v>161.541</v>
      </c>
      <c r="J890" s="30">
        <v>0.0</v>
      </c>
      <c r="K890" s="30">
        <v>0.0</v>
      </c>
      <c r="L890" s="30">
        <v>0.0</v>
      </c>
      <c r="M890" s="30">
        <v>0.0</v>
      </c>
      <c r="N890" s="30">
        <v>149.57499999999993</v>
      </c>
      <c r="O890" s="30">
        <v>286.3340000000001</v>
      </c>
      <c r="P890" s="30">
        <v>31.905287202629683</v>
      </c>
      <c r="Q890" s="30">
        <v>38.286344643155616</v>
      </c>
    </row>
    <row r="891">
      <c r="A891" s="47">
        <v>1.1228754918E10</v>
      </c>
      <c r="B891" s="48">
        <v>46154.98693287037</v>
      </c>
      <c r="C891" s="30">
        <v>3.844103233E9</v>
      </c>
      <c r="D891" s="47" t="s">
        <v>1509</v>
      </c>
      <c r="E891" s="30">
        <v>4385.0</v>
      </c>
      <c r="F891" s="30">
        <v>3475.0</v>
      </c>
      <c r="G891" s="30">
        <v>0.0</v>
      </c>
      <c r="H891" s="30">
        <v>0.0</v>
      </c>
      <c r="I891" s="30">
        <v>493.3125</v>
      </c>
      <c r="J891" s="30">
        <v>0.0</v>
      </c>
      <c r="K891" s="30">
        <v>0.0</v>
      </c>
      <c r="L891" s="30">
        <v>0.0</v>
      </c>
      <c r="M891" s="30">
        <v>0.0</v>
      </c>
      <c r="N891" s="30">
        <v>730.833333333333</v>
      </c>
      <c r="O891" s="30">
        <v>-314.14583333333303</v>
      </c>
      <c r="P891" s="30">
        <v>-7.164101102242486</v>
      </c>
      <c r="Q891" s="30">
        <v>-8.596921322690983</v>
      </c>
    </row>
    <row r="892">
      <c r="A892" s="47">
        <v>1.1227333106E10</v>
      </c>
      <c r="B892" s="48">
        <v>46154.68900462963</v>
      </c>
      <c r="C892" s="30">
        <v>3.842937293E9</v>
      </c>
      <c r="D892" s="47" t="s">
        <v>1509</v>
      </c>
      <c r="E892" s="30">
        <v>1109.0</v>
      </c>
      <c r="F892" s="30">
        <v>832.44</v>
      </c>
      <c r="G892" s="30">
        <v>0.0</v>
      </c>
      <c r="H892" s="30">
        <v>0.0</v>
      </c>
      <c r="I892" s="30">
        <v>64.8765</v>
      </c>
      <c r="J892" s="30">
        <v>0.0</v>
      </c>
      <c r="K892" s="30">
        <v>0.0</v>
      </c>
      <c r="L892" s="30">
        <v>0.0</v>
      </c>
      <c r="M892" s="30">
        <v>0.0</v>
      </c>
      <c r="N892" s="30">
        <v>184.83333333333326</v>
      </c>
      <c r="O892" s="30">
        <v>26.850166666666695</v>
      </c>
      <c r="P892" s="30">
        <v>2.4211151187255813</v>
      </c>
      <c r="Q892" s="30">
        <v>2.905338142470697</v>
      </c>
    </row>
    <row r="893">
      <c r="A893" s="47">
        <v>1.1227706892E10</v>
      </c>
      <c r="B893" s="48">
        <v>46154.76866898148</v>
      </c>
      <c r="C893" s="30">
        <v>3.843267055E9</v>
      </c>
      <c r="D893" s="47" t="s">
        <v>1509</v>
      </c>
      <c r="E893" s="30">
        <v>1595.0</v>
      </c>
      <c r="F893" s="30">
        <v>1394.04</v>
      </c>
      <c r="G893" s="30">
        <v>0.0</v>
      </c>
      <c r="H893" s="30">
        <v>0.0</v>
      </c>
      <c r="I893" s="30">
        <v>106.227</v>
      </c>
      <c r="J893" s="30">
        <v>0.0</v>
      </c>
      <c r="K893" s="30">
        <v>0.0</v>
      </c>
      <c r="L893" s="30">
        <v>0.0</v>
      </c>
      <c r="M893" s="30">
        <v>0.0</v>
      </c>
      <c r="N893" s="30">
        <v>265.83333333333326</v>
      </c>
      <c r="O893" s="30">
        <v>-171.10033333333323</v>
      </c>
      <c r="P893" s="30">
        <v>-10.727293625914308</v>
      </c>
      <c r="Q893" s="30">
        <v>-12.87275235109717</v>
      </c>
    </row>
    <row r="894">
      <c r="A894" s="47">
        <v>1.123084889E10</v>
      </c>
      <c r="B894" s="48">
        <v>46155.748194444444</v>
      </c>
      <c r="C894" s="30">
        <v>3.846134126E9</v>
      </c>
      <c r="D894" s="47" t="s">
        <v>1509</v>
      </c>
      <c r="E894" s="30">
        <v>1880.0</v>
      </c>
      <c r="F894" s="30">
        <v>1535.52</v>
      </c>
      <c r="G894" s="30">
        <v>0.0</v>
      </c>
      <c r="H894" s="30">
        <v>0.0</v>
      </c>
      <c r="I894" s="30">
        <v>81.21600000000001</v>
      </c>
      <c r="J894" s="30">
        <v>0.0</v>
      </c>
      <c r="K894" s="30">
        <v>0.0</v>
      </c>
      <c r="L894" s="30">
        <v>0.0</v>
      </c>
      <c r="M894" s="30">
        <v>0.0</v>
      </c>
      <c r="N894" s="30">
        <v>313.33333333333326</v>
      </c>
      <c r="O894" s="30">
        <v>-50.06933333333325</v>
      </c>
      <c r="P894" s="30">
        <v>-2.6632624113475134</v>
      </c>
      <c r="Q894" s="30">
        <v>-3.1959148936170156</v>
      </c>
    </row>
    <row r="895">
      <c r="A895" s="47">
        <v>1.1232904491E10</v>
      </c>
      <c r="B895" s="48">
        <v>46156.4347337963</v>
      </c>
      <c r="C895" s="30">
        <v>3.84798041E9</v>
      </c>
      <c r="D895" s="47" t="s">
        <v>1509</v>
      </c>
      <c r="E895" s="30">
        <v>1186.0</v>
      </c>
      <c r="F895" s="30">
        <v>850.0</v>
      </c>
      <c r="G895" s="30">
        <v>0.0</v>
      </c>
      <c r="H895" s="30">
        <v>0.0</v>
      </c>
      <c r="I895" s="30">
        <v>144.099</v>
      </c>
      <c r="J895" s="30">
        <v>0.0</v>
      </c>
      <c r="K895" s="30">
        <v>0.0</v>
      </c>
      <c r="L895" s="30">
        <v>0.0</v>
      </c>
      <c r="M895" s="30">
        <v>0.0</v>
      </c>
      <c r="N895" s="30">
        <v>197.66666666666663</v>
      </c>
      <c r="O895" s="30">
        <v>-5.765666666666618</v>
      </c>
      <c r="P895" s="30">
        <v>-0.4861439010680117</v>
      </c>
      <c r="Q895" s="30">
        <v>-0.583372681281614</v>
      </c>
    </row>
    <row r="896">
      <c r="A896" s="47">
        <v>1.1228915426E10</v>
      </c>
      <c r="B896" s="48">
        <v>46155.01799768519</v>
      </c>
      <c r="C896" s="30">
        <v>3.84424527E9</v>
      </c>
      <c r="D896" s="47" t="s">
        <v>1509</v>
      </c>
      <c r="E896" s="30">
        <v>737.0</v>
      </c>
      <c r="F896" s="30">
        <v>580.0</v>
      </c>
      <c r="G896" s="30">
        <v>0.0</v>
      </c>
      <c r="H896" s="30">
        <v>0.0</v>
      </c>
      <c r="I896" s="30">
        <v>36.481500000000004</v>
      </c>
      <c r="J896" s="30">
        <v>0.0</v>
      </c>
      <c r="K896" s="30">
        <v>0.0</v>
      </c>
      <c r="L896" s="30">
        <v>0.0</v>
      </c>
      <c r="M896" s="30">
        <v>0.0</v>
      </c>
      <c r="N896" s="30">
        <v>122.83333333333326</v>
      </c>
      <c r="O896" s="30">
        <v>-2.3148333333332687</v>
      </c>
      <c r="P896" s="30">
        <v>-0.31408864767072847</v>
      </c>
      <c r="Q896" s="30">
        <v>-0.3769063772048741</v>
      </c>
    </row>
    <row r="897">
      <c r="A897" s="47">
        <v>1.1228970048E10</v>
      </c>
      <c r="B897" s="48">
        <v>46155.02862268518</v>
      </c>
      <c r="C897" s="30">
        <v>3.844297062E9</v>
      </c>
      <c r="D897" s="47" t="s">
        <v>1509</v>
      </c>
      <c r="E897" s="30">
        <v>737.0</v>
      </c>
      <c r="F897" s="30">
        <v>580.0</v>
      </c>
      <c r="G897" s="30">
        <v>0.0</v>
      </c>
      <c r="H897" s="30">
        <v>0.0</v>
      </c>
      <c r="I897" s="30">
        <v>36.481500000000004</v>
      </c>
      <c r="J897" s="30">
        <v>0.0</v>
      </c>
      <c r="K897" s="30">
        <v>0.0</v>
      </c>
      <c r="L897" s="30">
        <v>0.0</v>
      </c>
      <c r="M897" s="30">
        <v>0.0</v>
      </c>
      <c r="N897" s="30">
        <v>122.83333333333326</v>
      </c>
      <c r="O897" s="30">
        <v>-2.3148333333332687</v>
      </c>
      <c r="P897" s="30">
        <v>-0.31408864767072847</v>
      </c>
      <c r="Q897" s="30">
        <v>-0.3769063772048741</v>
      </c>
    </row>
    <row r="898">
      <c r="A898" s="47">
        <v>1.1232428668E10</v>
      </c>
      <c r="B898" s="48">
        <v>46156.07833333333</v>
      </c>
      <c r="C898" s="30">
        <v>3.84747631E9</v>
      </c>
      <c r="D898" s="47" t="s">
        <v>1509</v>
      </c>
      <c r="E898" s="30">
        <v>729.0</v>
      </c>
      <c r="F898" s="30">
        <v>580.0</v>
      </c>
      <c r="G898" s="30">
        <v>0.0</v>
      </c>
      <c r="H898" s="30">
        <v>0.0</v>
      </c>
      <c r="I898" s="30">
        <v>32.148900000000005</v>
      </c>
      <c r="J898" s="30">
        <v>0.0</v>
      </c>
      <c r="K898" s="30">
        <v>0.0</v>
      </c>
      <c r="L898" s="30">
        <v>0.0</v>
      </c>
      <c r="M898" s="30">
        <v>0.0</v>
      </c>
      <c r="N898" s="30">
        <v>121.5</v>
      </c>
      <c r="O898" s="30">
        <v>-4.648899999999998</v>
      </c>
      <c r="P898" s="30">
        <v>-0.6377091906721534</v>
      </c>
      <c r="Q898" s="30">
        <v>-0.765251028806584</v>
      </c>
    </row>
    <row r="899">
      <c r="A899" s="47">
        <v>1.1232561882E10</v>
      </c>
      <c r="B899" s="48">
        <v>46156.109351851854</v>
      </c>
      <c r="C899" s="30">
        <v>3.847615463E9</v>
      </c>
      <c r="D899" s="47" t="s">
        <v>1509</v>
      </c>
      <c r="E899" s="30">
        <v>729.0</v>
      </c>
      <c r="F899" s="30">
        <v>580.0</v>
      </c>
      <c r="G899" s="30">
        <v>0.0</v>
      </c>
      <c r="H899" s="30">
        <v>0.0</v>
      </c>
      <c r="I899" s="30">
        <v>32.148900000000005</v>
      </c>
      <c r="J899" s="30">
        <v>0.0</v>
      </c>
      <c r="K899" s="30">
        <v>0.0</v>
      </c>
      <c r="L899" s="30">
        <v>0.0</v>
      </c>
      <c r="M899" s="30">
        <v>0.0</v>
      </c>
      <c r="N899" s="30">
        <v>121.5</v>
      </c>
      <c r="O899" s="30">
        <v>-4.648899999999998</v>
      </c>
      <c r="P899" s="30">
        <v>-0.6377091906721534</v>
      </c>
      <c r="Q899" s="30">
        <v>-0.765251028806584</v>
      </c>
    </row>
    <row r="900">
      <c r="A900" s="47">
        <v>1.1233157164E10</v>
      </c>
      <c r="B900" s="48">
        <v>46156.56083333334</v>
      </c>
      <c r="C900" s="30">
        <v>3.851684953E9</v>
      </c>
      <c r="D900" s="47" t="s">
        <v>1515</v>
      </c>
      <c r="E900" s="30">
        <v>11664.0</v>
      </c>
      <c r="F900" s="30">
        <v>9280.0</v>
      </c>
      <c r="G900" s="30">
        <v>0.0</v>
      </c>
      <c r="H900" s="30">
        <v>0.0</v>
      </c>
      <c r="I900" s="30">
        <v>577.368</v>
      </c>
      <c r="J900" s="30">
        <v>0.0</v>
      </c>
      <c r="K900" s="30">
        <v>0.0</v>
      </c>
      <c r="L900" s="30">
        <v>0.0</v>
      </c>
      <c r="M900" s="30">
        <v>0.0</v>
      </c>
      <c r="N900" s="30">
        <v>1944.0</v>
      </c>
      <c r="O900" s="30">
        <v>-137.36799999999994</v>
      </c>
      <c r="P900" s="30">
        <v>-1.177709190672153</v>
      </c>
      <c r="Q900" s="30">
        <v>-1.4132510288065838</v>
      </c>
    </row>
    <row r="901">
      <c r="A901" s="47">
        <v>1.1233157164E10</v>
      </c>
      <c r="B901" s="48">
        <v>46156.56083333334</v>
      </c>
      <c r="C901" s="30">
        <v>3.848260397E9</v>
      </c>
      <c r="D901" s="47" t="s">
        <v>1515</v>
      </c>
      <c r="E901" s="30">
        <v>15309.0</v>
      </c>
      <c r="F901" s="30">
        <v>12180.0</v>
      </c>
      <c r="G901" s="30">
        <v>0.0</v>
      </c>
      <c r="H901" s="30">
        <v>0.0</v>
      </c>
      <c r="I901" s="30">
        <v>757.7955000000001</v>
      </c>
      <c r="J901" s="30">
        <v>0.0</v>
      </c>
      <c r="K901" s="30">
        <v>0.0</v>
      </c>
      <c r="L901" s="30">
        <v>0.0</v>
      </c>
      <c r="M901" s="30">
        <v>0.0</v>
      </c>
      <c r="N901" s="30">
        <v>2551.5</v>
      </c>
      <c r="O901" s="30">
        <v>-180.29550000000017</v>
      </c>
      <c r="P901" s="30">
        <v>-1.1777091906721548</v>
      </c>
      <c r="Q901" s="30">
        <v>-1.4132510288065856</v>
      </c>
    </row>
    <row r="902">
      <c r="A902" s="47">
        <v>1.1233379006E10</v>
      </c>
      <c r="B902" s="48">
        <v>46156.61644675926</v>
      </c>
      <c r="C902" s="30">
        <v>3.848468887E9</v>
      </c>
      <c r="D902" s="47" t="s">
        <v>1509</v>
      </c>
      <c r="E902" s="30">
        <v>1456.0</v>
      </c>
      <c r="F902" s="30">
        <v>1160.0</v>
      </c>
      <c r="G902" s="30">
        <v>0.0</v>
      </c>
      <c r="H902" s="30">
        <v>0.0</v>
      </c>
      <c r="I902" s="30">
        <v>68.14620000000001</v>
      </c>
      <c r="J902" s="30">
        <v>0.0</v>
      </c>
      <c r="K902" s="30">
        <v>0.0</v>
      </c>
      <c r="L902" s="30">
        <v>0.0</v>
      </c>
      <c r="M902" s="30">
        <v>0.0</v>
      </c>
      <c r="N902" s="30">
        <v>242.66666666666663</v>
      </c>
      <c r="O902" s="30">
        <v>-14.81286666666665</v>
      </c>
      <c r="P902" s="30">
        <v>-1.017367216117215</v>
      </c>
      <c r="Q902" s="30">
        <v>-1.220840659340658</v>
      </c>
    </row>
    <row r="903">
      <c r="A903" s="47">
        <v>1.1228064099E10</v>
      </c>
      <c r="B903" s="48">
        <v>46154.845925925925</v>
      </c>
      <c r="C903" s="30">
        <v>3.843575503E9</v>
      </c>
      <c r="D903" s="47" t="s">
        <v>1509</v>
      </c>
      <c r="E903" s="30">
        <v>1852.99</v>
      </c>
      <c r="F903" s="30">
        <v>1535.52</v>
      </c>
      <c r="G903" s="30">
        <v>0.0</v>
      </c>
      <c r="H903" s="30">
        <v>0.0</v>
      </c>
      <c r="I903" s="30">
        <v>80.04916800000001</v>
      </c>
      <c r="J903" s="30">
        <v>0.0</v>
      </c>
      <c r="K903" s="30">
        <v>0.0</v>
      </c>
      <c r="L903" s="30">
        <v>0.0</v>
      </c>
      <c r="M903" s="30">
        <v>0.0</v>
      </c>
      <c r="N903" s="30">
        <v>308.8316666666667</v>
      </c>
      <c r="O903" s="30">
        <v>-71.41083466666669</v>
      </c>
      <c r="P903" s="30">
        <v>-3.853816516369041</v>
      </c>
      <c r="Q903" s="30">
        <v>-4.6245798196428485</v>
      </c>
    </row>
    <row r="904">
      <c r="A904" s="47">
        <v>1.1229186679E10</v>
      </c>
      <c r="B904" s="48">
        <v>46155.072222222225</v>
      </c>
      <c r="C904" s="30">
        <v>3.844513309E9</v>
      </c>
      <c r="D904" s="47" t="s">
        <v>1509</v>
      </c>
      <c r="E904" s="30">
        <v>1880.0</v>
      </c>
      <c r="F904" s="30">
        <v>1535.52</v>
      </c>
      <c r="G904" s="30">
        <v>0.0</v>
      </c>
      <c r="H904" s="30">
        <v>0.0</v>
      </c>
      <c r="I904" s="30">
        <v>81.21600000000001</v>
      </c>
      <c r="J904" s="30">
        <v>0.0</v>
      </c>
      <c r="K904" s="30">
        <v>0.0</v>
      </c>
      <c r="L904" s="30">
        <v>0.0</v>
      </c>
      <c r="M904" s="30">
        <v>0.0</v>
      </c>
      <c r="N904" s="30">
        <v>313.33333333333326</v>
      </c>
      <c r="O904" s="30">
        <v>-50.06933333333325</v>
      </c>
      <c r="P904" s="30">
        <v>-2.6632624113475134</v>
      </c>
      <c r="Q904" s="30">
        <v>-3.1959148936170156</v>
      </c>
    </row>
    <row r="905">
      <c r="A905" s="47">
        <v>1.1228785119E10</v>
      </c>
      <c r="B905" s="48">
        <v>46154.992789351854</v>
      </c>
      <c r="C905" s="30">
        <v>3.844130088E9</v>
      </c>
      <c r="D905" s="47" t="s">
        <v>1509</v>
      </c>
      <c r="E905" s="30">
        <v>1852.99</v>
      </c>
      <c r="F905" s="30">
        <v>1535.52</v>
      </c>
      <c r="G905" s="30">
        <v>0.0</v>
      </c>
      <c r="H905" s="30">
        <v>0.0</v>
      </c>
      <c r="I905" s="30">
        <v>80.04916800000001</v>
      </c>
      <c r="J905" s="30">
        <v>0.0</v>
      </c>
      <c r="K905" s="30">
        <v>0.0</v>
      </c>
      <c r="L905" s="30">
        <v>0.0</v>
      </c>
      <c r="M905" s="30">
        <v>0.0</v>
      </c>
      <c r="N905" s="30">
        <v>308.8316666666667</v>
      </c>
      <c r="O905" s="30">
        <v>-71.41083466666669</v>
      </c>
      <c r="P905" s="30">
        <v>-3.853816516369041</v>
      </c>
      <c r="Q905" s="30">
        <v>-4.6245798196428485</v>
      </c>
    </row>
    <row r="906">
      <c r="A906" s="47">
        <v>1.1231187382E10</v>
      </c>
      <c r="B906" s="48">
        <v>46155.82738425926</v>
      </c>
      <c r="C906" s="30">
        <v>3.846422563E9</v>
      </c>
      <c r="D906" s="47" t="s">
        <v>1509</v>
      </c>
      <c r="E906" s="30">
        <v>1261.99</v>
      </c>
      <c r="F906" s="30">
        <v>1165.0</v>
      </c>
      <c r="G906" s="30">
        <v>0.0</v>
      </c>
      <c r="H906" s="30">
        <v>0.0</v>
      </c>
      <c r="I906" s="30">
        <v>45.431639999999994</v>
      </c>
      <c r="J906" s="30">
        <v>0.0</v>
      </c>
      <c r="K906" s="30">
        <v>0.0</v>
      </c>
      <c r="L906" s="30">
        <v>0.0</v>
      </c>
      <c r="M906" s="30">
        <v>0.0</v>
      </c>
      <c r="N906" s="30">
        <v>210.3316666666667</v>
      </c>
      <c r="O906" s="30">
        <v>-158.77330666666668</v>
      </c>
      <c r="P906" s="30">
        <v>-12.58118579914791</v>
      </c>
      <c r="Q906" s="30">
        <v>-15.097422958977491</v>
      </c>
    </row>
    <row r="907">
      <c r="A907" s="47">
        <v>1.122836545E10</v>
      </c>
      <c r="B907" s="48">
        <v>46154.9083912037</v>
      </c>
      <c r="C907" s="30">
        <v>3.843800954E9</v>
      </c>
      <c r="D907" s="47" t="s">
        <v>1509</v>
      </c>
      <c r="E907" s="30">
        <v>1195.0</v>
      </c>
      <c r="F907" s="30">
        <v>999.0</v>
      </c>
      <c r="G907" s="30">
        <v>0.0</v>
      </c>
      <c r="H907" s="30">
        <v>0.0</v>
      </c>
      <c r="I907" s="30">
        <v>98.94599999999998</v>
      </c>
      <c r="J907" s="30">
        <v>0.0</v>
      </c>
      <c r="K907" s="30">
        <v>0.0</v>
      </c>
      <c r="L907" s="30">
        <v>0.0</v>
      </c>
      <c r="M907" s="30">
        <v>0.0</v>
      </c>
      <c r="N907" s="30">
        <v>199.16666666666663</v>
      </c>
      <c r="O907" s="30">
        <v>-102.11266666666661</v>
      </c>
      <c r="P907" s="30">
        <v>-8.544993026499299</v>
      </c>
      <c r="Q907" s="30">
        <v>-10.253991631799158</v>
      </c>
    </row>
    <row r="908">
      <c r="A908" s="47">
        <v>1.1230417965E10</v>
      </c>
      <c r="B908" s="48">
        <v>46155.65883101852</v>
      </c>
      <c r="C908" s="30">
        <v>3.845754037E9</v>
      </c>
      <c r="D908" s="47" t="s">
        <v>1509</v>
      </c>
      <c r="E908" s="30">
        <v>1880.0</v>
      </c>
      <c r="F908" s="30">
        <v>1535.52</v>
      </c>
      <c r="G908" s="30">
        <v>0.0</v>
      </c>
      <c r="H908" s="30">
        <v>0.0</v>
      </c>
      <c r="I908" s="30">
        <v>81.21600000000001</v>
      </c>
      <c r="J908" s="30">
        <v>0.0</v>
      </c>
      <c r="K908" s="30">
        <v>0.0</v>
      </c>
      <c r="L908" s="30">
        <v>0.0</v>
      </c>
      <c r="M908" s="30">
        <v>0.0</v>
      </c>
      <c r="N908" s="30">
        <v>313.33333333333326</v>
      </c>
      <c r="O908" s="30">
        <v>-50.06933333333325</v>
      </c>
      <c r="P908" s="30">
        <v>-2.6632624113475134</v>
      </c>
      <c r="Q908" s="30">
        <v>-3.1959148936170156</v>
      </c>
    </row>
    <row r="909">
      <c r="A909" s="47">
        <v>1.123139878E10</v>
      </c>
      <c r="B909" s="48">
        <v>46155.872777777775</v>
      </c>
      <c r="C909" s="30">
        <v>3.846591954E9</v>
      </c>
      <c r="D909" s="47" t="s">
        <v>1509</v>
      </c>
      <c r="E909" s="30">
        <v>1854.0</v>
      </c>
      <c r="F909" s="30">
        <v>1535.52</v>
      </c>
      <c r="G909" s="30">
        <v>0.0</v>
      </c>
      <c r="H909" s="30">
        <v>0.0</v>
      </c>
      <c r="I909" s="30">
        <v>80.09280000000001</v>
      </c>
      <c r="J909" s="30">
        <v>0.0</v>
      </c>
      <c r="K909" s="30">
        <v>0.0</v>
      </c>
      <c r="L909" s="30">
        <v>0.0</v>
      </c>
      <c r="M909" s="30">
        <v>0.0</v>
      </c>
      <c r="N909" s="30">
        <v>309.0</v>
      </c>
      <c r="O909" s="30">
        <v>-70.6128</v>
      </c>
      <c r="P909" s="30">
        <v>-3.8086731391585755</v>
      </c>
      <c r="Q909" s="30">
        <v>-4.57040776699029</v>
      </c>
    </row>
    <row r="910">
      <c r="A910" s="47">
        <v>1.123083132E10</v>
      </c>
      <c r="B910" s="48">
        <v>46155.744108796294</v>
      </c>
      <c r="C910" s="30">
        <v>3.846118439E9</v>
      </c>
      <c r="D910" s="47" t="s">
        <v>1509</v>
      </c>
      <c r="E910" s="30">
        <v>1880.0</v>
      </c>
      <c r="F910" s="30">
        <v>1535.52</v>
      </c>
      <c r="G910" s="30">
        <v>0.0</v>
      </c>
      <c r="H910" s="30">
        <v>0.0</v>
      </c>
      <c r="I910" s="30">
        <v>81.21600000000001</v>
      </c>
      <c r="J910" s="30">
        <v>0.0</v>
      </c>
      <c r="K910" s="30">
        <v>0.0</v>
      </c>
      <c r="L910" s="30">
        <v>0.0</v>
      </c>
      <c r="M910" s="30">
        <v>0.0</v>
      </c>
      <c r="N910" s="30">
        <v>313.33333333333326</v>
      </c>
      <c r="O910" s="30">
        <v>-50.06933333333325</v>
      </c>
      <c r="P910" s="30">
        <v>-2.6632624113475134</v>
      </c>
      <c r="Q910" s="30">
        <v>-3.1959148936170156</v>
      </c>
    </row>
    <row r="911">
      <c r="A911" s="47">
        <v>1.1228960704E10</v>
      </c>
      <c r="B911" s="48">
        <v>46155.02675925926</v>
      </c>
      <c r="C911" s="30">
        <v>3.844286542E9</v>
      </c>
      <c r="D911" s="47" t="s">
        <v>1509</v>
      </c>
      <c r="E911" s="30">
        <v>737.0</v>
      </c>
      <c r="F911" s="30">
        <v>580.0</v>
      </c>
      <c r="G911" s="30">
        <v>0.0</v>
      </c>
      <c r="H911" s="30">
        <v>0.0</v>
      </c>
      <c r="I911" s="30">
        <v>36.481500000000004</v>
      </c>
      <c r="J911" s="30">
        <v>0.0</v>
      </c>
      <c r="K911" s="30">
        <v>0.0</v>
      </c>
      <c r="L911" s="30">
        <v>0.0</v>
      </c>
      <c r="M911" s="30">
        <v>0.0</v>
      </c>
      <c r="N911" s="30">
        <v>122.83333333333326</v>
      </c>
      <c r="O911" s="30">
        <v>-2.3148333333332687</v>
      </c>
      <c r="P911" s="30">
        <v>-0.31408864767072847</v>
      </c>
      <c r="Q911" s="30">
        <v>-0.3769063772048741</v>
      </c>
    </row>
    <row r="912">
      <c r="A912" s="47">
        <v>1.1229973516E10</v>
      </c>
      <c r="B912" s="48">
        <v>46155.56010416667</v>
      </c>
      <c r="C912" s="30">
        <v>3.845356361E9</v>
      </c>
      <c r="D912" s="47" t="s">
        <v>1509</v>
      </c>
      <c r="E912" s="30">
        <v>2034.0</v>
      </c>
      <c r="F912" s="30">
        <v>1664.88</v>
      </c>
      <c r="G912" s="30">
        <v>0.0</v>
      </c>
      <c r="H912" s="30">
        <v>0.0</v>
      </c>
      <c r="I912" s="30">
        <v>69.15599999999999</v>
      </c>
      <c r="J912" s="30">
        <v>0.0</v>
      </c>
      <c r="K912" s="30">
        <v>0.0</v>
      </c>
      <c r="L912" s="30">
        <v>0.0</v>
      </c>
      <c r="M912" s="30">
        <v>0.0</v>
      </c>
      <c r="N912" s="30">
        <v>339.0</v>
      </c>
      <c r="O912" s="30">
        <v>-39.036000000000115</v>
      </c>
      <c r="P912" s="30">
        <v>-1.9191740412979406</v>
      </c>
      <c r="Q912" s="30">
        <v>-2.303008849557529</v>
      </c>
    </row>
    <row r="913">
      <c r="A913" s="47">
        <v>1.1231366233E10</v>
      </c>
      <c r="B913" s="48">
        <v>46155.86607638889</v>
      </c>
      <c r="C913" s="30">
        <v>3.846563787E9</v>
      </c>
      <c r="D913" s="47" t="s">
        <v>1509</v>
      </c>
      <c r="E913" s="30">
        <v>489.0</v>
      </c>
      <c r="F913" s="30">
        <v>130.0</v>
      </c>
      <c r="G913" s="30">
        <v>0.0</v>
      </c>
      <c r="H913" s="30">
        <v>0.0</v>
      </c>
      <c r="I913" s="30">
        <v>88.02</v>
      </c>
      <c r="J913" s="30">
        <v>0.0</v>
      </c>
      <c r="K913" s="30">
        <v>0.0</v>
      </c>
      <c r="L913" s="30">
        <v>0.0</v>
      </c>
      <c r="M913" s="30">
        <v>0.0</v>
      </c>
      <c r="N913" s="30">
        <v>81.5</v>
      </c>
      <c r="O913" s="30">
        <v>189.48000000000002</v>
      </c>
      <c r="P913" s="30">
        <v>38.74846625766872</v>
      </c>
      <c r="Q913" s="30">
        <v>46.49815950920246</v>
      </c>
    </row>
    <row r="914">
      <c r="A914" s="47">
        <v>1.1231638104E10</v>
      </c>
      <c r="B914" s="48">
        <v>46155.921064814815</v>
      </c>
      <c r="C914" s="30">
        <v>3.846772444E9</v>
      </c>
      <c r="D914" s="47" t="s">
        <v>1509</v>
      </c>
      <c r="E914" s="30">
        <v>737.0</v>
      </c>
      <c r="F914" s="30">
        <v>580.0</v>
      </c>
      <c r="G914" s="30">
        <v>0.0</v>
      </c>
      <c r="H914" s="30">
        <v>0.0</v>
      </c>
      <c r="I914" s="30">
        <v>36.481500000000004</v>
      </c>
      <c r="J914" s="30">
        <v>0.0</v>
      </c>
      <c r="K914" s="30">
        <v>0.0</v>
      </c>
      <c r="L914" s="30">
        <v>0.0</v>
      </c>
      <c r="M914" s="30">
        <v>0.0</v>
      </c>
      <c r="N914" s="30">
        <v>122.83333333333326</v>
      </c>
      <c r="O914" s="30">
        <v>-2.3148333333332687</v>
      </c>
      <c r="P914" s="30">
        <v>-0.31408864767072847</v>
      </c>
      <c r="Q914" s="30">
        <v>-0.3769063772048741</v>
      </c>
    </row>
    <row r="915">
      <c r="A915" s="47">
        <v>1.1231414307E10</v>
      </c>
      <c r="B915" s="48">
        <v>46155.876076388886</v>
      </c>
      <c r="C915" s="30">
        <v>3.846602925E9</v>
      </c>
      <c r="D915" s="47" t="s">
        <v>1509</v>
      </c>
      <c r="E915" s="30">
        <v>1922.9</v>
      </c>
      <c r="F915" s="30">
        <v>1604.0</v>
      </c>
      <c r="G915" s="30">
        <v>0.0</v>
      </c>
      <c r="H915" s="30">
        <v>0.0</v>
      </c>
      <c r="I915" s="30">
        <v>121.1427</v>
      </c>
      <c r="J915" s="30">
        <v>0.0</v>
      </c>
      <c r="K915" s="30">
        <v>0.0</v>
      </c>
      <c r="L915" s="30">
        <v>0.0</v>
      </c>
      <c r="M915" s="30">
        <v>0.0</v>
      </c>
      <c r="N915" s="30">
        <v>320.48333333333335</v>
      </c>
      <c r="O915" s="30">
        <v>-122.72603333333325</v>
      </c>
      <c r="P915" s="30">
        <v>-6.382340908696929</v>
      </c>
      <c r="Q915" s="30">
        <v>-7.658809090436315</v>
      </c>
    </row>
    <row r="916">
      <c r="A916" s="47">
        <v>1.1229837889E10</v>
      </c>
      <c r="B916" s="48">
        <v>46155.51636574074</v>
      </c>
      <c r="C916" s="30">
        <v>3.845208918E9</v>
      </c>
      <c r="D916" s="47" t="s">
        <v>1509</v>
      </c>
      <c r="E916" s="30">
        <v>978.0</v>
      </c>
      <c r="F916" s="30">
        <v>260.0</v>
      </c>
      <c r="G916" s="30">
        <v>0.0</v>
      </c>
      <c r="H916" s="30">
        <v>0.0</v>
      </c>
      <c r="I916" s="30">
        <v>176.04</v>
      </c>
      <c r="J916" s="30">
        <v>0.0</v>
      </c>
      <c r="K916" s="30">
        <v>0.0</v>
      </c>
      <c r="L916" s="30">
        <v>0.0</v>
      </c>
      <c r="M916" s="30">
        <v>0.0</v>
      </c>
      <c r="N916" s="30">
        <v>163.0</v>
      </c>
      <c r="O916" s="30">
        <v>378.96000000000004</v>
      </c>
      <c r="P916" s="30">
        <v>38.74846625766872</v>
      </c>
      <c r="Q916" s="30">
        <v>46.49815950920246</v>
      </c>
    </row>
    <row r="917">
      <c r="A917" s="47">
        <v>1.1229112617E10</v>
      </c>
      <c r="B917" s="48">
        <v>46155.05694444444</v>
      </c>
      <c r="C917" s="30">
        <v>3.844435926E9</v>
      </c>
      <c r="D917" s="47" t="s">
        <v>1509</v>
      </c>
      <c r="E917" s="30">
        <v>1880.0</v>
      </c>
      <c r="F917" s="30">
        <v>1535.52</v>
      </c>
      <c r="G917" s="30">
        <v>0.0</v>
      </c>
      <c r="H917" s="30">
        <v>0.0</v>
      </c>
      <c r="I917" s="30">
        <v>81.21600000000001</v>
      </c>
      <c r="J917" s="30">
        <v>0.0</v>
      </c>
      <c r="K917" s="30">
        <v>0.0</v>
      </c>
      <c r="L917" s="30">
        <v>0.0</v>
      </c>
      <c r="M917" s="30">
        <v>0.0</v>
      </c>
      <c r="N917" s="30">
        <v>313.33333333333326</v>
      </c>
      <c r="O917" s="30">
        <v>-50.06933333333325</v>
      </c>
      <c r="P917" s="30">
        <v>-2.6632624113475134</v>
      </c>
      <c r="Q917" s="30">
        <v>-3.1959148936170156</v>
      </c>
    </row>
    <row r="918">
      <c r="A918" s="47">
        <v>1.1231280376E10</v>
      </c>
      <c r="B918" s="48">
        <v>46155.84792824074</v>
      </c>
      <c r="C918" s="30">
        <v>3.846499703E9</v>
      </c>
      <c r="D918" s="47" t="s">
        <v>1509</v>
      </c>
      <c r="E918" s="30">
        <v>1595.0</v>
      </c>
      <c r="F918" s="30">
        <v>1394.04</v>
      </c>
      <c r="G918" s="30">
        <v>0.0</v>
      </c>
      <c r="H918" s="30">
        <v>0.0</v>
      </c>
      <c r="I918" s="30">
        <v>106.227</v>
      </c>
      <c r="J918" s="30">
        <v>0.0</v>
      </c>
      <c r="K918" s="30">
        <v>0.0</v>
      </c>
      <c r="L918" s="30">
        <v>0.0</v>
      </c>
      <c r="M918" s="30">
        <v>0.0</v>
      </c>
      <c r="N918" s="30">
        <v>265.83333333333326</v>
      </c>
      <c r="O918" s="30">
        <v>-171.10033333333323</v>
      </c>
      <c r="P918" s="30">
        <v>-10.727293625914308</v>
      </c>
      <c r="Q918" s="30">
        <v>-12.87275235109717</v>
      </c>
    </row>
    <row r="919">
      <c r="A919" s="47">
        <v>1.1229573864E10</v>
      </c>
      <c r="B919" s="48">
        <v>46155.181076388886</v>
      </c>
      <c r="C919" s="30">
        <v>3.844907242E9</v>
      </c>
      <c r="D919" s="47" t="s">
        <v>1509</v>
      </c>
      <c r="E919" s="30">
        <v>1880.0</v>
      </c>
      <c r="F919" s="30">
        <v>1535.52</v>
      </c>
      <c r="G919" s="30">
        <v>0.0</v>
      </c>
      <c r="H919" s="30">
        <v>0.0</v>
      </c>
      <c r="I919" s="30">
        <v>81.21600000000001</v>
      </c>
      <c r="J919" s="30">
        <v>0.0</v>
      </c>
      <c r="K919" s="30">
        <v>0.0</v>
      </c>
      <c r="L919" s="30">
        <v>0.0</v>
      </c>
      <c r="M919" s="30">
        <v>0.0</v>
      </c>
      <c r="N919" s="30">
        <v>313.33333333333326</v>
      </c>
      <c r="O919" s="30">
        <v>-50.06933333333325</v>
      </c>
      <c r="P919" s="30">
        <v>-2.6632624113475134</v>
      </c>
      <c r="Q919" s="30">
        <v>-3.1959148936170156</v>
      </c>
    </row>
    <row r="920">
      <c r="A920" s="47">
        <v>1.1230070338E10</v>
      </c>
      <c r="B920" s="48">
        <v>46155.58657407408</v>
      </c>
      <c r="C920" s="30">
        <v>3.845458709E9</v>
      </c>
      <c r="D920" s="47" t="s">
        <v>1509</v>
      </c>
      <c r="E920" s="30">
        <v>3225.0</v>
      </c>
      <c r="F920" s="30">
        <v>3074.0</v>
      </c>
      <c r="G920" s="30">
        <v>0.0</v>
      </c>
      <c r="H920" s="30">
        <v>0.0</v>
      </c>
      <c r="I920" s="30">
        <v>214.785</v>
      </c>
      <c r="J920" s="30">
        <v>0.0</v>
      </c>
      <c r="K920" s="30">
        <v>0.0</v>
      </c>
      <c r="L920" s="30">
        <v>0.0</v>
      </c>
      <c r="M920" s="30">
        <v>0.0</v>
      </c>
      <c r="N920" s="30">
        <v>537.5</v>
      </c>
      <c r="O920" s="30">
        <v>-601.285</v>
      </c>
      <c r="P920" s="30">
        <v>-18.644496124031008</v>
      </c>
      <c r="Q920" s="30">
        <v>-22.373395348837207</v>
      </c>
    </row>
    <row r="921">
      <c r="A921" s="47">
        <v>1.1232178471E10</v>
      </c>
      <c r="B921" s="48">
        <v>46156.02769675926</v>
      </c>
      <c r="C921" s="30">
        <v>3.847224577E9</v>
      </c>
      <c r="D921" s="47" t="s">
        <v>1509</v>
      </c>
      <c r="E921" s="30">
        <v>1712.0</v>
      </c>
      <c r="F921" s="30">
        <v>1053.0</v>
      </c>
      <c r="G921" s="30">
        <v>0.0</v>
      </c>
      <c r="H921" s="30">
        <v>0.0</v>
      </c>
      <c r="I921" s="30">
        <v>192.6</v>
      </c>
      <c r="J921" s="30">
        <v>0.0</v>
      </c>
      <c r="K921" s="30">
        <v>0.0</v>
      </c>
      <c r="L921" s="30">
        <v>0.0</v>
      </c>
      <c r="M921" s="30">
        <v>0.0</v>
      </c>
      <c r="N921" s="30">
        <v>285.33333333333326</v>
      </c>
      <c r="O921" s="30">
        <v>181.06666666666672</v>
      </c>
      <c r="P921" s="30">
        <v>10.576323987538943</v>
      </c>
      <c r="Q921" s="30">
        <v>12.691588785046731</v>
      </c>
    </row>
    <row r="922">
      <c r="A922" s="47">
        <v>1.1232448468E10</v>
      </c>
      <c r="B922" s="48">
        <v>46156.08278935185</v>
      </c>
      <c r="C922" s="30">
        <v>3.847497874E9</v>
      </c>
      <c r="D922" s="47" t="s">
        <v>1509</v>
      </c>
      <c r="E922" s="30">
        <v>731.0</v>
      </c>
      <c r="F922" s="30">
        <v>580.0</v>
      </c>
      <c r="G922" s="30">
        <v>0.0</v>
      </c>
      <c r="H922" s="30">
        <v>0.0</v>
      </c>
      <c r="I922" s="30">
        <v>36.1845</v>
      </c>
      <c r="J922" s="30">
        <v>0.0</v>
      </c>
      <c r="K922" s="30">
        <v>0.0</v>
      </c>
      <c r="L922" s="30">
        <v>0.0</v>
      </c>
      <c r="M922" s="30">
        <v>0.0</v>
      </c>
      <c r="N922" s="30">
        <v>121.83333333333326</v>
      </c>
      <c r="O922" s="30">
        <v>-7.017833333333257</v>
      </c>
      <c r="P922" s="30">
        <v>-0.9600319197446315</v>
      </c>
      <c r="Q922" s="30">
        <v>-1.1520383036935578</v>
      </c>
    </row>
    <row r="923">
      <c r="A923" s="47">
        <v>1.1228804886E10</v>
      </c>
      <c r="B923" s="48">
        <v>46154.99680555556</v>
      </c>
      <c r="C923" s="30">
        <v>3.844144545E9</v>
      </c>
      <c r="D923" s="47" t="s">
        <v>1509</v>
      </c>
      <c r="E923" s="30">
        <v>1852.99</v>
      </c>
      <c r="F923" s="30">
        <v>1535.52</v>
      </c>
      <c r="G923" s="30">
        <v>0.0</v>
      </c>
      <c r="H923" s="30">
        <v>0.0</v>
      </c>
      <c r="I923" s="30">
        <v>80.04916800000001</v>
      </c>
      <c r="J923" s="30">
        <v>0.0</v>
      </c>
      <c r="K923" s="30">
        <v>0.0</v>
      </c>
      <c r="L923" s="30">
        <v>0.0</v>
      </c>
      <c r="M923" s="30">
        <v>0.0</v>
      </c>
      <c r="N923" s="30">
        <v>308.8316666666667</v>
      </c>
      <c r="O923" s="30">
        <v>-71.41083466666669</v>
      </c>
      <c r="P923" s="30">
        <v>-3.853816516369041</v>
      </c>
      <c r="Q923" s="30">
        <v>-4.6245798196428485</v>
      </c>
    </row>
    <row r="924">
      <c r="A924" s="47">
        <v>1.1231306063E10</v>
      </c>
      <c r="B924" s="48">
        <v>46155.85335648148</v>
      </c>
      <c r="C924" s="30">
        <v>3.84651694E9</v>
      </c>
      <c r="D924" s="47" t="s">
        <v>1509</v>
      </c>
      <c r="E924" s="30">
        <v>897.45</v>
      </c>
      <c r="F924" s="30">
        <v>300.0</v>
      </c>
      <c r="G924" s="30">
        <v>0.0</v>
      </c>
      <c r="H924" s="30">
        <v>0.0</v>
      </c>
      <c r="I924" s="30">
        <v>161.541</v>
      </c>
      <c r="J924" s="30">
        <v>0.0</v>
      </c>
      <c r="K924" s="30">
        <v>0.0</v>
      </c>
      <c r="L924" s="30">
        <v>0.0</v>
      </c>
      <c r="M924" s="30">
        <v>0.0</v>
      </c>
      <c r="N924" s="30">
        <v>149.57499999999993</v>
      </c>
      <c r="O924" s="30">
        <v>286.3340000000001</v>
      </c>
      <c r="P924" s="30">
        <v>31.905287202629683</v>
      </c>
      <c r="Q924" s="30">
        <v>38.286344643155616</v>
      </c>
    </row>
    <row r="925">
      <c r="A925" s="47">
        <v>1.1232590436E10</v>
      </c>
      <c r="B925" s="48">
        <v>46156.11636574074</v>
      </c>
      <c r="C925" s="30">
        <v>3.8476444E9</v>
      </c>
      <c r="D925" s="47" t="s">
        <v>1509</v>
      </c>
      <c r="E925" s="30">
        <v>729.0</v>
      </c>
      <c r="F925" s="30">
        <v>580.0</v>
      </c>
      <c r="G925" s="30">
        <v>0.0</v>
      </c>
      <c r="H925" s="30">
        <v>0.0</v>
      </c>
      <c r="I925" s="30">
        <v>32.148900000000005</v>
      </c>
      <c r="J925" s="30">
        <v>0.0</v>
      </c>
      <c r="K925" s="30">
        <v>0.0</v>
      </c>
      <c r="L925" s="30">
        <v>0.0</v>
      </c>
      <c r="M925" s="30">
        <v>0.0</v>
      </c>
      <c r="N925" s="30">
        <v>121.5</v>
      </c>
      <c r="O925" s="30">
        <v>-4.648899999999998</v>
      </c>
      <c r="P925" s="30">
        <v>-0.6377091906721534</v>
      </c>
      <c r="Q925" s="30">
        <v>-0.765251028806584</v>
      </c>
    </row>
    <row r="926">
      <c r="A926" s="47">
        <v>1.1232318427E10</v>
      </c>
      <c r="B926" s="48">
        <v>46156.05571759259</v>
      </c>
      <c r="C926" s="30">
        <v>3.847366721E9</v>
      </c>
      <c r="D926" s="47" t="s">
        <v>1509</v>
      </c>
      <c r="E926" s="30">
        <v>729.0</v>
      </c>
      <c r="F926" s="30">
        <v>580.0</v>
      </c>
      <c r="G926" s="30">
        <v>0.0</v>
      </c>
      <c r="H926" s="30">
        <v>0.0</v>
      </c>
      <c r="I926" s="30">
        <v>32.148900000000005</v>
      </c>
      <c r="J926" s="30">
        <v>0.0</v>
      </c>
      <c r="K926" s="30">
        <v>0.0</v>
      </c>
      <c r="L926" s="30">
        <v>0.0</v>
      </c>
      <c r="M926" s="30">
        <v>0.0</v>
      </c>
      <c r="N926" s="30">
        <v>121.5</v>
      </c>
      <c r="O926" s="30">
        <v>-4.648899999999998</v>
      </c>
      <c r="P926" s="30">
        <v>-0.6377091906721534</v>
      </c>
      <c r="Q926" s="30">
        <v>-0.765251028806584</v>
      </c>
    </row>
    <row r="927">
      <c r="A927" s="47">
        <v>1.1231267338E10</v>
      </c>
      <c r="B927" s="48">
        <v>46155.845243055555</v>
      </c>
      <c r="C927" s="30">
        <v>3.846488615E9</v>
      </c>
      <c r="D927" s="47" t="s">
        <v>1509</v>
      </c>
      <c r="E927" s="30">
        <v>1871.9</v>
      </c>
      <c r="F927" s="30">
        <v>1535.52</v>
      </c>
      <c r="G927" s="30">
        <v>0.0</v>
      </c>
      <c r="H927" s="30">
        <v>0.0</v>
      </c>
      <c r="I927" s="30">
        <v>80.86608000000001</v>
      </c>
      <c r="J927" s="30">
        <v>0.0</v>
      </c>
      <c r="K927" s="30">
        <v>0.0</v>
      </c>
      <c r="L927" s="30">
        <v>0.0</v>
      </c>
      <c r="M927" s="30">
        <v>0.0</v>
      </c>
      <c r="N927" s="30">
        <v>311.98333333333335</v>
      </c>
      <c r="O927" s="30">
        <v>-56.46941333333325</v>
      </c>
      <c r="P927" s="30">
        <v>-3.016689637979232</v>
      </c>
      <c r="Q927" s="30">
        <v>-3.620027565575078</v>
      </c>
    </row>
    <row r="928">
      <c r="A928" s="47">
        <v>1.1235941054E10</v>
      </c>
      <c r="B928" s="48">
        <v>46157.19599537037</v>
      </c>
      <c r="C928" s="30">
        <v>3.850648208E9</v>
      </c>
      <c r="D928" s="47" t="s">
        <v>1511</v>
      </c>
      <c r="E928" s="30">
        <v>727.0</v>
      </c>
      <c r="F928" s="30">
        <v>580.0</v>
      </c>
      <c r="G928" s="30">
        <v>0.0</v>
      </c>
      <c r="H928" s="30">
        <v>0.0</v>
      </c>
      <c r="I928" s="30">
        <v>32.060700000000004</v>
      </c>
      <c r="J928" s="30">
        <v>0.0</v>
      </c>
      <c r="K928" s="30">
        <v>0.0</v>
      </c>
      <c r="L928" s="30">
        <v>0.0</v>
      </c>
      <c r="M928" s="30">
        <v>0.0</v>
      </c>
      <c r="N928" s="30">
        <v>121.16666666666663</v>
      </c>
      <c r="O928" s="30">
        <v>-6.227366666666626</v>
      </c>
      <c r="P928" s="30">
        <v>-0.8565841357175551</v>
      </c>
      <c r="Q928" s="30">
        <v>-1.027900962861066</v>
      </c>
    </row>
    <row r="929">
      <c r="A929" s="47">
        <v>1.1232390428E10</v>
      </c>
      <c r="B929" s="48">
        <v>46156.07047453704</v>
      </c>
      <c r="C929" s="30">
        <v>3.847435742E9</v>
      </c>
      <c r="D929" s="47" t="s">
        <v>1509</v>
      </c>
      <c r="E929" s="30">
        <v>729.0</v>
      </c>
      <c r="F929" s="30">
        <v>580.0</v>
      </c>
      <c r="G929" s="30">
        <v>0.0</v>
      </c>
      <c r="H929" s="30">
        <v>0.0</v>
      </c>
      <c r="I929" s="30">
        <v>32.148900000000005</v>
      </c>
      <c r="J929" s="30">
        <v>0.0</v>
      </c>
      <c r="K929" s="30">
        <v>0.0</v>
      </c>
      <c r="L929" s="30">
        <v>0.0</v>
      </c>
      <c r="M929" s="30">
        <v>0.0</v>
      </c>
      <c r="N929" s="30">
        <v>121.5</v>
      </c>
      <c r="O929" s="30">
        <v>-4.648899999999998</v>
      </c>
      <c r="P929" s="30">
        <v>-0.6377091906721534</v>
      </c>
      <c r="Q929" s="30">
        <v>-0.765251028806584</v>
      </c>
    </row>
    <row r="930">
      <c r="A930" s="47">
        <v>1.1225770657E10</v>
      </c>
      <c r="B930" s="48">
        <v>46154.05074074074</v>
      </c>
      <c r="C930" s="30">
        <v>3.841329845E9</v>
      </c>
      <c r="D930" s="47" t="s">
        <v>1509</v>
      </c>
      <c r="E930" s="30">
        <v>349.99</v>
      </c>
      <c r="F930" s="30">
        <v>53.0</v>
      </c>
      <c r="G930" s="30">
        <v>0.0</v>
      </c>
      <c r="H930" s="30">
        <v>0.0</v>
      </c>
      <c r="I930" s="30">
        <v>69.998</v>
      </c>
      <c r="J930" s="30">
        <v>0.0</v>
      </c>
      <c r="K930" s="30">
        <v>0.0</v>
      </c>
      <c r="L930" s="30">
        <v>0.0</v>
      </c>
      <c r="M930" s="30">
        <v>0.0</v>
      </c>
      <c r="N930" s="30">
        <v>58.33166666666665</v>
      </c>
      <c r="O930" s="30">
        <v>168.66033333333337</v>
      </c>
      <c r="P930" s="30">
        <v>48.190043525053106</v>
      </c>
      <c r="Q930" s="30">
        <v>57.82805223006372</v>
      </c>
    </row>
    <row r="931">
      <c r="A931" s="47">
        <v>1.1228228642E10</v>
      </c>
      <c r="B931" s="48">
        <v>46154.880520833336</v>
      </c>
      <c r="C931" s="30">
        <v>3.843697491E9</v>
      </c>
      <c r="D931" s="47" t="s">
        <v>1509</v>
      </c>
      <c r="E931" s="30">
        <v>978.0</v>
      </c>
      <c r="F931" s="30">
        <v>621.6</v>
      </c>
      <c r="G931" s="30">
        <v>0.0</v>
      </c>
      <c r="H931" s="30">
        <v>0.0</v>
      </c>
      <c r="I931" s="30">
        <v>110.025</v>
      </c>
      <c r="J931" s="30">
        <v>0.0</v>
      </c>
      <c r="K931" s="30">
        <v>0.0</v>
      </c>
      <c r="L931" s="30">
        <v>0.0</v>
      </c>
      <c r="M931" s="30">
        <v>0.0</v>
      </c>
      <c r="N931" s="30">
        <v>163.0</v>
      </c>
      <c r="O931" s="30">
        <v>83.37499999999997</v>
      </c>
      <c r="P931" s="30">
        <v>8.525051124744373</v>
      </c>
      <c r="Q931" s="30">
        <v>10.230061349693248</v>
      </c>
    </row>
    <row r="932">
      <c r="A932" s="47">
        <v>1.1232242446E10</v>
      </c>
      <c r="B932" s="48">
        <v>46156.040451388886</v>
      </c>
      <c r="C932" s="30">
        <v>3.847287162E9</v>
      </c>
      <c r="D932" s="47" t="s">
        <v>1509</v>
      </c>
      <c r="E932" s="30">
        <v>1186.0</v>
      </c>
      <c r="F932" s="30">
        <v>850.0</v>
      </c>
      <c r="G932" s="30">
        <v>0.0</v>
      </c>
      <c r="H932" s="30">
        <v>0.0</v>
      </c>
      <c r="I932" s="30">
        <v>144.099</v>
      </c>
      <c r="J932" s="30">
        <v>0.0</v>
      </c>
      <c r="K932" s="30">
        <v>0.0</v>
      </c>
      <c r="L932" s="30">
        <v>0.0</v>
      </c>
      <c r="M932" s="30">
        <v>0.0</v>
      </c>
      <c r="N932" s="30">
        <v>197.66666666666663</v>
      </c>
      <c r="O932" s="30">
        <v>-5.765666666666618</v>
      </c>
      <c r="P932" s="30">
        <v>-0.4861439010680117</v>
      </c>
      <c r="Q932" s="30">
        <v>-0.583372681281614</v>
      </c>
    </row>
    <row r="933">
      <c r="A933" s="47">
        <v>1.1230923082E10</v>
      </c>
      <c r="B933" s="48">
        <v>46155.76447916667</v>
      </c>
      <c r="C933" s="30">
        <v>3.846202855E9</v>
      </c>
      <c r="D933" s="47" t="s">
        <v>1509</v>
      </c>
      <c r="E933" s="30">
        <v>1880.0</v>
      </c>
      <c r="F933" s="30">
        <v>1535.52</v>
      </c>
      <c r="G933" s="30">
        <v>0.0</v>
      </c>
      <c r="H933" s="30">
        <v>0.0</v>
      </c>
      <c r="I933" s="30">
        <v>81.21600000000001</v>
      </c>
      <c r="J933" s="30">
        <v>0.0</v>
      </c>
      <c r="K933" s="30">
        <v>0.0</v>
      </c>
      <c r="L933" s="30">
        <v>0.0</v>
      </c>
      <c r="M933" s="30">
        <v>0.0</v>
      </c>
      <c r="N933" s="30">
        <v>313.33333333333326</v>
      </c>
      <c r="O933" s="30">
        <v>-50.06933333333325</v>
      </c>
      <c r="P933" s="30">
        <v>-2.6632624113475134</v>
      </c>
      <c r="Q933" s="30">
        <v>-3.1959148936170156</v>
      </c>
    </row>
    <row r="934">
      <c r="A934" s="47">
        <v>1.123206673E10</v>
      </c>
      <c r="B934" s="48">
        <v>46156.00592592593</v>
      </c>
      <c r="C934" s="30">
        <v>3.84711865E9</v>
      </c>
      <c r="D934" s="47" t="s">
        <v>1509</v>
      </c>
      <c r="E934" s="30">
        <v>1310.0</v>
      </c>
      <c r="F934" s="30">
        <v>1190.0</v>
      </c>
      <c r="G934" s="30">
        <v>0.0</v>
      </c>
      <c r="H934" s="30">
        <v>0.0</v>
      </c>
      <c r="I934" s="30">
        <v>35.370000000000005</v>
      </c>
      <c r="J934" s="30">
        <v>0.0</v>
      </c>
      <c r="K934" s="30">
        <v>0.0</v>
      </c>
      <c r="L934" s="30">
        <v>0.0</v>
      </c>
      <c r="M934" s="30">
        <v>0.0</v>
      </c>
      <c r="N934" s="30">
        <v>218.33333333333326</v>
      </c>
      <c r="O934" s="30">
        <v>-133.70333333333326</v>
      </c>
      <c r="P934" s="30">
        <v>-10.20636132315521</v>
      </c>
      <c r="Q934" s="30">
        <v>-12.247633587786252</v>
      </c>
    </row>
    <row r="935">
      <c r="A935" s="47">
        <v>1.123129092E10</v>
      </c>
      <c r="B935" s="48">
        <v>46155.850023148145</v>
      </c>
      <c r="C935" s="30">
        <v>3.846505683E9</v>
      </c>
      <c r="D935" s="47" t="s">
        <v>1509</v>
      </c>
      <c r="E935" s="30">
        <v>1864.0</v>
      </c>
      <c r="F935" s="30">
        <v>1535.52</v>
      </c>
      <c r="G935" s="30">
        <v>0.0</v>
      </c>
      <c r="H935" s="30">
        <v>0.0</v>
      </c>
      <c r="I935" s="30">
        <v>80.5248</v>
      </c>
      <c r="J935" s="30">
        <v>0.0</v>
      </c>
      <c r="K935" s="30">
        <v>0.0</v>
      </c>
      <c r="L935" s="30">
        <v>0.0</v>
      </c>
      <c r="M935" s="30">
        <v>0.0</v>
      </c>
      <c r="N935" s="30">
        <v>310.6666666666665</v>
      </c>
      <c r="O935" s="30">
        <v>-62.711466666666496</v>
      </c>
      <c r="P935" s="30">
        <v>-3.364349070100134</v>
      </c>
      <c r="Q935" s="30">
        <v>-4.03721888412016</v>
      </c>
    </row>
    <row r="936">
      <c r="A936" s="47">
        <v>1.1227889221E10</v>
      </c>
      <c r="B936" s="48">
        <v>46154.80825231481</v>
      </c>
      <c r="C936" s="30">
        <v>3.843424533E9</v>
      </c>
      <c r="D936" s="47" t="s">
        <v>1509</v>
      </c>
      <c r="E936" s="30">
        <v>1852.99</v>
      </c>
      <c r="F936" s="30">
        <v>1535.52</v>
      </c>
      <c r="G936" s="30">
        <v>0.0</v>
      </c>
      <c r="H936" s="30">
        <v>0.0</v>
      </c>
      <c r="I936" s="30">
        <v>80.04916800000001</v>
      </c>
      <c r="J936" s="30">
        <v>0.0</v>
      </c>
      <c r="K936" s="30">
        <v>0.0</v>
      </c>
      <c r="L936" s="30">
        <v>0.0</v>
      </c>
      <c r="M936" s="30">
        <v>0.0</v>
      </c>
      <c r="N936" s="30">
        <v>308.8316666666667</v>
      </c>
      <c r="O936" s="30">
        <v>-71.41083466666669</v>
      </c>
      <c r="P936" s="30">
        <v>-3.853816516369041</v>
      </c>
      <c r="Q936" s="30">
        <v>-4.6245798196428485</v>
      </c>
    </row>
    <row r="937">
      <c r="A937" s="47">
        <v>1.1233026574E10</v>
      </c>
      <c r="B937" s="48">
        <v>46156.51563657408</v>
      </c>
      <c r="C937" s="30">
        <v>3.848123019E9</v>
      </c>
      <c r="D937" s="47" t="s">
        <v>1509</v>
      </c>
      <c r="E937" s="30">
        <v>1454.0</v>
      </c>
      <c r="F937" s="30">
        <v>1160.0</v>
      </c>
      <c r="G937" s="30">
        <v>0.0</v>
      </c>
      <c r="H937" s="30">
        <v>0.0</v>
      </c>
      <c r="I937" s="30">
        <v>64.12140000000001</v>
      </c>
      <c r="J937" s="30">
        <v>0.0</v>
      </c>
      <c r="K937" s="30">
        <v>0.0</v>
      </c>
      <c r="L937" s="30">
        <v>0.0</v>
      </c>
      <c r="M937" s="30">
        <v>0.0</v>
      </c>
      <c r="N937" s="30">
        <v>242.33333333333326</v>
      </c>
      <c r="O937" s="30">
        <v>-12.454733333333252</v>
      </c>
      <c r="P937" s="30">
        <v>-0.8565841357175551</v>
      </c>
      <c r="Q937" s="30">
        <v>-1.027900962861066</v>
      </c>
    </row>
    <row r="938">
      <c r="A938" s="47">
        <v>1.1228776875E10</v>
      </c>
      <c r="B938" s="48">
        <v>46154.99107638889</v>
      </c>
      <c r="C938" s="30">
        <v>3.844120996E9</v>
      </c>
      <c r="D938" s="47" t="s">
        <v>1509</v>
      </c>
      <c r="E938" s="30">
        <v>1852.99</v>
      </c>
      <c r="F938" s="30">
        <v>1535.52</v>
      </c>
      <c r="G938" s="30">
        <v>0.0</v>
      </c>
      <c r="H938" s="30">
        <v>0.0</v>
      </c>
      <c r="I938" s="30">
        <v>80.04916800000001</v>
      </c>
      <c r="J938" s="30">
        <v>0.0</v>
      </c>
      <c r="K938" s="30">
        <v>0.0</v>
      </c>
      <c r="L938" s="30">
        <v>0.0</v>
      </c>
      <c r="M938" s="30">
        <v>0.0</v>
      </c>
      <c r="N938" s="30">
        <v>308.8316666666667</v>
      </c>
      <c r="O938" s="30">
        <v>-71.41083466666669</v>
      </c>
      <c r="P938" s="30">
        <v>-3.853816516369041</v>
      </c>
      <c r="Q938" s="30">
        <v>-4.6245798196428485</v>
      </c>
    </row>
    <row r="939">
      <c r="A939" s="47">
        <v>1.1230460575E10</v>
      </c>
      <c r="B939" s="48">
        <v>46155.66763888889</v>
      </c>
      <c r="C939" s="30">
        <v>3.845791445E9</v>
      </c>
      <c r="D939" s="47" t="s">
        <v>1509</v>
      </c>
      <c r="E939" s="30">
        <v>3190.0</v>
      </c>
      <c r="F939" s="30">
        <v>2788.08</v>
      </c>
      <c r="G939" s="30">
        <v>0.0</v>
      </c>
      <c r="H939" s="30">
        <v>0.0</v>
      </c>
      <c r="I939" s="30">
        <v>212.454</v>
      </c>
      <c r="J939" s="30">
        <v>0.0</v>
      </c>
      <c r="K939" s="30">
        <v>0.0</v>
      </c>
      <c r="L939" s="30">
        <v>0.0</v>
      </c>
      <c r="M939" s="30">
        <v>0.0</v>
      </c>
      <c r="N939" s="30">
        <v>531.6666666666665</v>
      </c>
      <c r="O939" s="30">
        <v>-342.20066666666645</v>
      </c>
      <c r="P939" s="30">
        <v>-10.727293625914308</v>
      </c>
      <c r="Q939" s="30">
        <v>-12.87275235109717</v>
      </c>
    </row>
    <row r="940">
      <c r="A940" s="47">
        <v>1.1228043052E10</v>
      </c>
      <c r="B940" s="48">
        <v>46154.84158564815</v>
      </c>
      <c r="C940" s="30">
        <v>3.843554916E9</v>
      </c>
      <c r="D940" s="47" t="s">
        <v>1509</v>
      </c>
      <c r="E940" s="30">
        <v>3190.0</v>
      </c>
      <c r="F940" s="30">
        <v>2788.08</v>
      </c>
      <c r="G940" s="30">
        <v>0.0</v>
      </c>
      <c r="H940" s="30">
        <v>0.0</v>
      </c>
      <c r="I940" s="30">
        <v>212.454</v>
      </c>
      <c r="J940" s="30">
        <v>0.0</v>
      </c>
      <c r="K940" s="30">
        <v>0.0</v>
      </c>
      <c r="L940" s="30">
        <v>0.0</v>
      </c>
      <c r="M940" s="30">
        <v>0.0</v>
      </c>
      <c r="N940" s="30">
        <v>531.6666666666665</v>
      </c>
      <c r="O940" s="30">
        <v>-342.20066666666645</v>
      </c>
      <c r="P940" s="30">
        <v>-10.727293625914308</v>
      </c>
      <c r="Q940" s="30">
        <v>-12.87275235109717</v>
      </c>
    </row>
    <row r="941">
      <c r="A941" s="47">
        <v>1.1228982304E10</v>
      </c>
      <c r="B941" s="48">
        <v>46155.03111111111</v>
      </c>
      <c r="C941" s="30">
        <v>3.844311258E9</v>
      </c>
      <c r="D941" s="47" t="s">
        <v>1509</v>
      </c>
      <c r="E941" s="30">
        <v>1880.0</v>
      </c>
      <c r="F941" s="30">
        <v>1535.52</v>
      </c>
      <c r="G941" s="30">
        <v>0.0</v>
      </c>
      <c r="H941" s="30">
        <v>0.0</v>
      </c>
      <c r="I941" s="30">
        <v>81.21600000000001</v>
      </c>
      <c r="J941" s="30">
        <v>0.0</v>
      </c>
      <c r="K941" s="30">
        <v>0.0</v>
      </c>
      <c r="L941" s="30">
        <v>0.0</v>
      </c>
      <c r="M941" s="30">
        <v>0.0</v>
      </c>
      <c r="N941" s="30">
        <v>313.33333333333326</v>
      </c>
      <c r="O941" s="30">
        <v>-50.06933333333325</v>
      </c>
      <c r="P941" s="30">
        <v>-2.6632624113475134</v>
      </c>
      <c r="Q941" s="30">
        <v>-3.1959148936170156</v>
      </c>
    </row>
    <row r="942">
      <c r="A942" s="47">
        <v>1.122992501E10</v>
      </c>
      <c r="B942" s="48">
        <v>46155.54640046296</v>
      </c>
      <c r="C942" s="30">
        <v>3.845305418E9</v>
      </c>
      <c r="D942" s="47" t="s">
        <v>1509</v>
      </c>
      <c r="E942" s="30">
        <v>1880.0</v>
      </c>
      <c r="F942" s="30">
        <v>1535.52</v>
      </c>
      <c r="G942" s="30">
        <v>0.0</v>
      </c>
      <c r="H942" s="30">
        <v>0.0</v>
      </c>
      <c r="I942" s="30">
        <v>81.21600000000001</v>
      </c>
      <c r="J942" s="30">
        <v>0.0</v>
      </c>
      <c r="K942" s="30">
        <v>0.0</v>
      </c>
      <c r="L942" s="30">
        <v>0.0</v>
      </c>
      <c r="M942" s="30">
        <v>0.0</v>
      </c>
      <c r="N942" s="30">
        <v>313.33333333333326</v>
      </c>
      <c r="O942" s="30">
        <v>-50.06933333333325</v>
      </c>
      <c r="P942" s="30">
        <v>-2.6632624113475134</v>
      </c>
      <c r="Q942" s="30">
        <v>-3.1959148936170156</v>
      </c>
    </row>
    <row r="943">
      <c r="A943" s="47">
        <v>1.1229243654E10</v>
      </c>
      <c r="B943" s="48">
        <v>46155.084074074075</v>
      </c>
      <c r="C943" s="30">
        <v>3.844569902E9</v>
      </c>
      <c r="D943" s="47" t="s">
        <v>1509</v>
      </c>
      <c r="E943" s="30">
        <v>1880.0</v>
      </c>
      <c r="F943" s="30">
        <v>1535.52</v>
      </c>
      <c r="G943" s="30">
        <v>0.0</v>
      </c>
      <c r="H943" s="30">
        <v>0.0</v>
      </c>
      <c r="I943" s="30">
        <v>81.21600000000001</v>
      </c>
      <c r="J943" s="30">
        <v>0.0</v>
      </c>
      <c r="K943" s="30">
        <v>0.0</v>
      </c>
      <c r="L943" s="30">
        <v>0.0</v>
      </c>
      <c r="M943" s="30">
        <v>0.0</v>
      </c>
      <c r="N943" s="30">
        <v>313.33333333333326</v>
      </c>
      <c r="O943" s="30">
        <v>-50.06933333333325</v>
      </c>
      <c r="P943" s="30">
        <v>-2.6632624113475134</v>
      </c>
      <c r="Q943" s="30">
        <v>-3.1959148936170156</v>
      </c>
    </row>
    <row r="944">
      <c r="A944" s="47">
        <v>1.1229304241E10</v>
      </c>
      <c r="B944" s="48">
        <v>46155.09700231482</v>
      </c>
      <c r="C944" s="30">
        <v>3.844630914E9</v>
      </c>
      <c r="D944" s="47" t="s">
        <v>1509</v>
      </c>
      <c r="E944" s="30">
        <v>1880.0</v>
      </c>
      <c r="F944" s="30">
        <v>1535.52</v>
      </c>
      <c r="G944" s="30">
        <v>0.0</v>
      </c>
      <c r="H944" s="30">
        <v>0.0</v>
      </c>
      <c r="I944" s="30">
        <v>81.21600000000001</v>
      </c>
      <c r="J944" s="30">
        <v>0.0</v>
      </c>
      <c r="K944" s="30">
        <v>0.0</v>
      </c>
      <c r="L944" s="30">
        <v>0.0</v>
      </c>
      <c r="M944" s="30">
        <v>0.0</v>
      </c>
      <c r="N944" s="30">
        <v>313.33333333333326</v>
      </c>
      <c r="O944" s="30">
        <v>-50.06933333333325</v>
      </c>
      <c r="P944" s="30">
        <v>-2.6632624113475134</v>
      </c>
      <c r="Q944" s="30">
        <v>-3.1959148936170156</v>
      </c>
    </row>
    <row r="945">
      <c r="A945" s="47">
        <v>1.1231086019E10</v>
      </c>
      <c r="B945" s="48">
        <v>46155.80185185185</v>
      </c>
      <c r="C945" s="30">
        <v>3.84634144E9</v>
      </c>
      <c r="D945" s="47" t="s">
        <v>1509</v>
      </c>
      <c r="E945" s="30">
        <v>474.0</v>
      </c>
      <c r="F945" s="30">
        <v>130.0</v>
      </c>
      <c r="G945" s="30">
        <v>0.0</v>
      </c>
      <c r="H945" s="30">
        <v>0.0</v>
      </c>
      <c r="I945" s="30">
        <v>85.32</v>
      </c>
      <c r="J945" s="30">
        <v>0.0</v>
      </c>
      <c r="K945" s="30">
        <v>0.0</v>
      </c>
      <c r="L945" s="30">
        <v>0.0</v>
      </c>
      <c r="M945" s="30">
        <v>0.0</v>
      </c>
      <c r="N945" s="30">
        <v>79.0</v>
      </c>
      <c r="O945" s="30">
        <v>179.68</v>
      </c>
      <c r="P945" s="30">
        <v>37.90717299578059</v>
      </c>
      <c r="Q945" s="30">
        <v>45.48860759493671</v>
      </c>
    </row>
    <row r="946">
      <c r="A946" s="47">
        <v>1.1227186215E10</v>
      </c>
      <c r="B946" s="48">
        <v>46154.65959490741</v>
      </c>
      <c r="C946" s="30">
        <v>3.842812622E9</v>
      </c>
      <c r="D946" s="47" t="s">
        <v>1509</v>
      </c>
      <c r="E946" s="30">
        <v>1963.0</v>
      </c>
      <c r="F946" s="30">
        <v>1535.52</v>
      </c>
      <c r="G946" s="30">
        <v>0.0</v>
      </c>
      <c r="H946" s="30">
        <v>0.0</v>
      </c>
      <c r="I946" s="30">
        <v>123.669</v>
      </c>
      <c r="J946" s="30">
        <v>0.0</v>
      </c>
      <c r="K946" s="30">
        <v>0.0</v>
      </c>
      <c r="L946" s="30">
        <v>0.0</v>
      </c>
      <c r="M946" s="30">
        <v>0.0</v>
      </c>
      <c r="N946" s="30">
        <v>327.1666666666665</v>
      </c>
      <c r="O946" s="30">
        <v>-23.35566666666648</v>
      </c>
      <c r="P946" s="30">
        <v>-1.1897945321786287</v>
      </c>
      <c r="Q946" s="30">
        <v>-1.4277534386143542</v>
      </c>
    </row>
    <row r="947">
      <c r="A947" s="47">
        <v>1.1233064117E10</v>
      </c>
      <c r="B947" s="48">
        <v>46156.53016203704</v>
      </c>
      <c r="C947" s="30">
        <v>3.848160647E9</v>
      </c>
      <c r="D947" s="47" t="s">
        <v>1509</v>
      </c>
      <c r="E947" s="30">
        <v>729.0</v>
      </c>
      <c r="F947" s="30">
        <v>580.0</v>
      </c>
      <c r="G947" s="30">
        <v>0.0</v>
      </c>
      <c r="H947" s="30">
        <v>0.0</v>
      </c>
      <c r="I947" s="30">
        <v>36.0855</v>
      </c>
      <c r="J947" s="30">
        <v>0.0</v>
      </c>
      <c r="K947" s="30">
        <v>0.0</v>
      </c>
      <c r="L947" s="30">
        <v>0.0</v>
      </c>
      <c r="M947" s="30">
        <v>0.0</v>
      </c>
      <c r="N947" s="30">
        <v>121.5</v>
      </c>
      <c r="O947" s="30">
        <v>-8.585499999999996</v>
      </c>
      <c r="P947" s="30">
        <v>-1.177709190672153</v>
      </c>
      <c r="Q947" s="30">
        <v>-1.4132510288065838</v>
      </c>
    </row>
    <row r="948">
      <c r="A948" s="47">
        <v>1.1227687595E10</v>
      </c>
      <c r="B948" s="48">
        <v>46154.76430555555</v>
      </c>
      <c r="C948" s="30">
        <v>3.843248893E9</v>
      </c>
      <c r="D948" s="47" t="s">
        <v>1509</v>
      </c>
      <c r="E948" s="30">
        <v>1486.0</v>
      </c>
      <c r="F948" s="30">
        <v>1137.36</v>
      </c>
      <c r="G948" s="30">
        <v>0.0</v>
      </c>
      <c r="H948" s="30">
        <v>0.0</v>
      </c>
      <c r="I948" s="30">
        <v>97.6302</v>
      </c>
      <c r="J948" s="30">
        <v>0.0</v>
      </c>
      <c r="K948" s="30">
        <v>0.0</v>
      </c>
      <c r="L948" s="30">
        <v>0.0</v>
      </c>
      <c r="M948" s="30">
        <v>0.0</v>
      </c>
      <c r="N948" s="30">
        <v>247.66666666666652</v>
      </c>
      <c r="O948" s="30">
        <v>3.343133333333583</v>
      </c>
      <c r="P948" s="30">
        <v>0.22497532525798</v>
      </c>
      <c r="Q948" s="30">
        <v>0.269970390309576</v>
      </c>
    </row>
    <row r="949">
      <c r="A949" s="47">
        <v>1.1230914039E10</v>
      </c>
      <c r="B949" s="48">
        <v>46155.76273148148</v>
      </c>
      <c r="C949" s="30">
        <v>3.846193978E9</v>
      </c>
      <c r="D949" s="47" t="s">
        <v>1509</v>
      </c>
      <c r="E949" s="30">
        <v>1880.0</v>
      </c>
      <c r="F949" s="30">
        <v>1535.52</v>
      </c>
      <c r="G949" s="30">
        <v>0.0</v>
      </c>
      <c r="H949" s="30">
        <v>0.0</v>
      </c>
      <c r="I949" s="30">
        <v>81.21600000000001</v>
      </c>
      <c r="J949" s="30">
        <v>0.0</v>
      </c>
      <c r="K949" s="30">
        <v>0.0</v>
      </c>
      <c r="L949" s="30">
        <v>0.0</v>
      </c>
      <c r="M949" s="30">
        <v>0.0</v>
      </c>
      <c r="N949" s="30">
        <v>313.33333333333326</v>
      </c>
      <c r="O949" s="30">
        <v>-50.06933333333325</v>
      </c>
      <c r="P949" s="30">
        <v>-2.6632624113475134</v>
      </c>
      <c r="Q949" s="30">
        <v>-3.1959148936170156</v>
      </c>
    </row>
    <row r="950">
      <c r="A950" s="47">
        <v>1.1228663315E10</v>
      </c>
      <c r="B950" s="48">
        <v>46154.96865740741</v>
      </c>
      <c r="C950" s="30">
        <v>3.844026838E9</v>
      </c>
      <c r="D950" s="47" t="s">
        <v>1509</v>
      </c>
      <c r="E950" s="30">
        <v>1595.0</v>
      </c>
      <c r="F950" s="30">
        <v>1394.04</v>
      </c>
      <c r="G950" s="30">
        <v>0.0</v>
      </c>
      <c r="H950" s="30">
        <v>0.0</v>
      </c>
      <c r="I950" s="30">
        <v>106.227</v>
      </c>
      <c r="J950" s="30">
        <v>0.0</v>
      </c>
      <c r="K950" s="30">
        <v>0.0</v>
      </c>
      <c r="L950" s="30">
        <v>0.0</v>
      </c>
      <c r="M950" s="30">
        <v>0.0</v>
      </c>
      <c r="N950" s="30">
        <v>265.83333333333326</v>
      </c>
      <c r="O950" s="30">
        <v>-171.10033333333323</v>
      </c>
      <c r="P950" s="30">
        <v>-10.727293625914308</v>
      </c>
      <c r="Q950" s="30">
        <v>-12.87275235109717</v>
      </c>
    </row>
    <row r="951">
      <c r="A951" s="47">
        <v>1.1229017509E10</v>
      </c>
      <c r="B951" s="48">
        <v>46155.0378587963</v>
      </c>
      <c r="C951" s="30">
        <v>3.844341592E9</v>
      </c>
      <c r="D951" s="47" t="s">
        <v>1509</v>
      </c>
      <c r="E951" s="30">
        <v>1880.0</v>
      </c>
      <c r="F951" s="30">
        <v>1535.52</v>
      </c>
      <c r="G951" s="30">
        <v>0.0</v>
      </c>
      <c r="H951" s="30">
        <v>0.0</v>
      </c>
      <c r="I951" s="30">
        <v>81.21600000000001</v>
      </c>
      <c r="J951" s="30">
        <v>0.0</v>
      </c>
      <c r="K951" s="30">
        <v>0.0</v>
      </c>
      <c r="L951" s="30">
        <v>0.0</v>
      </c>
      <c r="M951" s="30">
        <v>0.0</v>
      </c>
      <c r="N951" s="30">
        <v>313.33333333333326</v>
      </c>
      <c r="O951" s="30">
        <v>-50.06933333333325</v>
      </c>
      <c r="P951" s="30">
        <v>-2.6632624113475134</v>
      </c>
      <c r="Q951" s="30">
        <v>-3.1959148936170156</v>
      </c>
    </row>
    <row r="952">
      <c r="A952" s="47">
        <v>1.1229877949E10</v>
      </c>
      <c r="B952" s="48">
        <v>46155.53074074074</v>
      </c>
      <c r="C952" s="30">
        <v>3.845256664E9</v>
      </c>
      <c r="D952" s="47" t="s">
        <v>1509</v>
      </c>
      <c r="E952" s="30">
        <v>4341.0</v>
      </c>
      <c r="F952" s="30">
        <v>3475.0</v>
      </c>
      <c r="G952" s="30">
        <v>0.0</v>
      </c>
      <c r="H952" s="30">
        <v>0.0</v>
      </c>
      <c r="I952" s="30">
        <v>382.87620000000004</v>
      </c>
      <c r="J952" s="30">
        <v>0.0</v>
      </c>
      <c r="K952" s="30">
        <v>0.0</v>
      </c>
      <c r="L952" s="30">
        <v>0.0</v>
      </c>
      <c r="M952" s="30">
        <v>0.0</v>
      </c>
      <c r="N952" s="30">
        <v>723.5</v>
      </c>
      <c r="O952" s="30">
        <v>-240.37620000000004</v>
      </c>
      <c r="P952" s="30">
        <v>-5.537346233586732</v>
      </c>
      <c r="Q952" s="30">
        <v>-6.644815480304079</v>
      </c>
    </row>
    <row r="953">
      <c r="A953" s="47">
        <v>1.1227965905E10</v>
      </c>
      <c r="B953" s="48">
        <v>46154.8247337963</v>
      </c>
      <c r="C953" s="30">
        <v>3.843492656E9</v>
      </c>
      <c r="D953" s="47" t="s">
        <v>1509</v>
      </c>
      <c r="E953" s="30">
        <v>3705.98</v>
      </c>
      <c r="F953" s="30">
        <v>3071.04</v>
      </c>
      <c r="G953" s="30">
        <v>0.0</v>
      </c>
      <c r="H953" s="30">
        <v>0.0</v>
      </c>
      <c r="I953" s="30">
        <v>160.09833600000002</v>
      </c>
      <c r="J953" s="30">
        <v>0.0</v>
      </c>
      <c r="K953" s="30">
        <v>0.0</v>
      </c>
      <c r="L953" s="30">
        <v>0.0</v>
      </c>
      <c r="M953" s="30">
        <v>0.0</v>
      </c>
      <c r="N953" s="30">
        <v>617.6633333333334</v>
      </c>
      <c r="O953" s="30">
        <v>-142.82166933333338</v>
      </c>
      <c r="P953" s="30">
        <v>-3.853816516369041</v>
      </c>
      <c r="Q953" s="30">
        <v>-4.6245798196428485</v>
      </c>
    </row>
    <row r="954">
      <c r="A954" s="47">
        <v>1.1228748626E10</v>
      </c>
      <c r="B954" s="48">
        <v>46154.98578703704</v>
      </c>
      <c r="C954" s="30">
        <v>3.844100706E9</v>
      </c>
      <c r="D954" s="47" t="s">
        <v>1509</v>
      </c>
      <c r="E954" s="30">
        <v>1595.0</v>
      </c>
      <c r="F954" s="30">
        <v>1394.04</v>
      </c>
      <c r="G954" s="30">
        <v>0.0</v>
      </c>
      <c r="H954" s="30">
        <v>0.0</v>
      </c>
      <c r="I954" s="30">
        <v>106.227</v>
      </c>
      <c r="J954" s="30">
        <v>0.0</v>
      </c>
      <c r="K954" s="30">
        <v>0.0</v>
      </c>
      <c r="L954" s="30">
        <v>0.0</v>
      </c>
      <c r="M954" s="30">
        <v>0.0</v>
      </c>
      <c r="N954" s="30">
        <v>265.83333333333326</v>
      </c>
      <c r="O954" s="30">
        <v>-171.10033333333323</v>
      </c>
      <c r="P954" s="30">
        <v>-10.727293625914308</v>
      </c>
      <c r="Q954" s="30">
        <v>-12.87275235109717</v>
      </c>
    </row>
    <row r="955">
      <c r="A955" s="47">
        <v>1.1228870923E10</v>
      </c>
      <c r="B955" s="48">
        <v>46155.009618055556</v>
      </c>
      <c r="C955" s="30">
        <v>3.84420603E9</v>
      </c>
      <c r="D955" s="47" t="s">
        <v>1509</v>
      </c>
      <c r="E955" s="30">
        <v>1880.0</v>
      </c>
      <c r="F955" s="30">
        <v>1535.52</v>
      </c>
      <c r="G955" s="30">
        <v>0.0</v>
      </c>
      <c r="H955" s="30">
        <v>0.0</v>
      </c>
      <c r="I955" s="30">
        <v>81.21600000000001</v>
      </c>
      <c r="J955" s="30">
        <v>0.0</v>
      </c>
      <c r="K955" s="30">
        <v>0.0</v>
      </c>
      <c r="L955" s="30">
        <v>0.0</v>
      </c>
      <c r="M955" s="30">
        <v>0.0</v>
      </c>
      <c r="N955" s="30">
        <v>313.33333333333326</v>
      </c>
      <c r="O955" s="30">
        <v>-50.06933333333325</v>
      </c>
      <c r="P955" s="30">
        <v>-2.6632624113475134</v>
      </c>
      <c r="Q955" s="30">
        <v>-3.1959148936170156</v>
      </c>
    </row>
    <row r="956">
      <c r="A956" s="47">
        <v>1.1226666909E10</v>
      </c>
      <c r="B956" s="48">
        <v>46154.53165509259</v>
      </c>
      <c r="C956" s="30">
        <v>3.842336879E9</v>
      </c>
      <c r="D956" s="47" t="s">
        <v>1509</v>
      </c>
      <c r="E956" s="30">
        <v>1712.0</v>
      </c>
      <c r="F956" s="30">
        <v>1053.0</v>
      </c>
      <c r="G956" s="30">
        <v>0.0</v>
      </c>
      <c r="H956" s="30">
        <v>0.0</v>
      </c>
      <c r="I956" s="30">
        <v>192.6</v>
      </c>
      <c r="J956" s="30">
        <v>0.0</v>
      </c>
      <c r="K956" s="30">
        <v>0.0</v>
      </c>
      <c r="L956" s="30">
        <v>0.0</v>
      </c>
      <c r="M956" s="30">
        <v>0.0</v>
      </c>
      <c r="N956" s="30">
        <v>285.33333333333326</v>
      </c>
      <c r="O956" s="30">
        <v>181.06666666666672</v>
      </c>
      <c r="P956" s="30">
        <v>10.576323987538943</v>
      </c>
      <c r="Q956" s="30">
        <v>12.691588785046731</v>
      </c>
    </row>
    <row r="957">
      <c r="A957" s="47">
        <v>1.1228568117E10</v>
      </c>
      <c r="B957" s="48">
        <v>46154.94954861111</v>
      </c>
      <c r="C957" s="30">
        <v>3.843949695E9</v>
      </c>
      <c r="D957" s="47" t="s">
        <v>1509</v>
      </c>
      <c r="E957" s="30">
        <v>3301.99</v>
      </c>
      <c r="F957" s="30">
        <v>2535.88</v>
      </c>
      <c r="G957" s="30">
        <v>0.0</v>
      </c>
      <c r="H957" s="30">
        <v>0.0</v>
      </c>
      <c r="I957" s="30">
        <v>243.061668</v>
      </c>
      <c r="J957" s="30">
        <v>0.0</v>
      </c>
      <c r="K957" s="30">
        <v>0.0</v>
      </c>
      <c r="L957" s="30">
        <v>0.0</v>
      </c>
      <c r="M957" s="30">
        <v>0.0</v>
      </c>
      <c r="N957" s="30">
        <v>550.3316666666667</v>
      </c>
      <c r="O957" s="30">
        <v>-27.283334666667088</v>
      </c>
      <c r="P957" s="30">
        <v>-0.8262694516539144</v>
      </c>
      <c r="Q957" s="30">
        <v>-0.9915233419846974</v>
      </c>
    </row>
    <row r="958">
      <c r="A958" s="47">
        <v>1.1230284338E10</v>
      </c>
      <c r="B958" s="48">
        <v>46155.63185185185</v>
      </c>
      <c r="C958" s="30">
        <v>3.845646359E9</v>
      </c>
      <c r="D958" s="47" t="s">
        <v>1509</v>
      </c>
      <c r="E958" s="30">
        <v>1595.0</v>
      </c>
      <c r="F958" s="30">
        <v>1394.04</v>
      </c>
      <c r="G958" s="30">
        <v>0.0</v>
      </c>
      <c r="H958" s="30">
        <v>0.0</v>
      </c>
      <c r="I958" s="30">
        <v>106.227</v>
      </c>
      <c r="J958" s="30">
        <v>0.0</v>
      </c>
      <c r="K958" s="30">
        <v>0.0</v>
      </c>
      <c r="L958" s="30">
        <v>0.0</v>
      </c>
      <c r="M958" s="30">
        <v>0.0</v>
      </c>
      <c r="N958" s="30">
        <v>265.83333333333326</v>
      </c>
      <c r="O958" s="30">
        <v>-171.10033333333323</v>
      </c>
      <c r="P958" s="30">
        <v>-10.727293625914308</v>
      </c>
      <c r="Q958" s="30">
        <v>-12.87275235109717</v>
      </c>
    </row>
    <row r="959">
      <c r="A959" s="47">
        <v>1.1230049229E10</v>
      </c>
      <c r="B959" s="48">
        <v>46155.58128472222</v>
      </c>
      <c r="C959" s="30">
        <v>3.845435647E9</v>
      </c>
      <c r="D959" s="47" t="s">
        <v>1509</v>
      </c>
      <c r="E959" s="30">
        <v>1880.0</v>
      </c>
      <c r="F959" s="30">
        <v>1535.52</v>
      </c>
      <c r="G959" s="30">
        <v>0.0</v>
      </c>
      <c r="H959" s="30">
        <v>0.0</v>
      </c>
      <c r="I959" s="30">
        <v>81.21600000000001</v>
      </c>
      <c r="J959" s="30">
        <v>0.0</v>
      </c>
      <c r="K959" s="30">
        <v>0.0</v>
      </c>
      <c r="L959" s="30">
        <v>0.0</v>
      </c>
      <c r="M959" s="30">
        <v>0.0</v>
      </c>
      <c r="N959" s="30">
        <v>313.33333333333326</v>
      </c>
      <c r="O959" s="30">
        <v>-50.06933333333325</v>
      </c>
      <c r="P959" s="30">
        <v>-2.6632624113475134</v>
      </c>
      <c r="Q959" s="30">
        <v>-3.1959148936170156</v>
      </c>
    </row>
    <row r="960">
      <c r="A960" s="47">
        <v>1.122843437E10</v>
      </c>
      <c r="B960" s="48">
        <v>46154.922314814816</v>
      </c>
      <c r="C960" s="30">
        <v>3.843849245E9</v>
      </c>
      <c r="D960" s="47" t="s">
        <v>1509</v>
      </c>
      <c r="E960" s="30">
        <v>1852.99</v>
      </c>
      <c r="F960" s="30">
        <v>1535.52</v>
      </c>
      <c r="G960" s="30">
        <v>0.0</v>
      </c>
      <c r="H960" s="30">
        <v>0.0</v>
      </c>
      <c r="I960" s="30">
        <v>80.04916800000001</v>
      </c>
      <c r="J960" s="30">
        <v>0.0</v>
      </c>
      <c r="K960" s="30">
        <v>0.0</v>
      </c>
      <c r="L960" s="30">
        <v>0.0</v>
      </c>
      <c r="M960" s="30">
        <v>0.0</v>
      </c>
      <c r="N960" s="30">
        <v>308.8316666666667</v>
      </c>
      <c r="O960" s="30">
        <v>-71.41083466666669</v>
      </c>
      <c r="P960" s="30">
        <v>-3.853816516369041</v>
      </c>
      <c r="Q960" s="30">
        <v>-4.6245798196428485</v>
      </c>
    </row>
    <row r="961">
      <c r="A961" s="47">
        <v>1.1228458969E10</v>
      </c>
      <c r="B961" s="48">
        <v>46154.92748842593</v>
      </c>
      <c r="C961" s="30">
        <v>3.843867441E9</v>
      </c>
      <c r="D961" s="47" t="s">
        <v>1509</v>
      </c>
      <c r="E961" s="30">
        <v>1852.99</v>
      </c>
      <c r="F961" s="30">
        <v>1535.52</v>
      </c>
      <c r="G961" s="30">
        <v>0.0</v>
      </c>
      <c r="H961" s="30">
        <v>0.0</v>
      </c>
      <c r="I961" s="30">
        <v>80.04916800000001</v>
      </c>
      <c r="J961" s="30">
        <v>0.0</v>
      </c>
      <c r="K961" s="30">
        <v>0.0</v>
      </c>
      <c r="L961" s="30">
        <v>0.0</v>
      </c>
      <c r="M961" s="30">
        <v>0.0</v>
      </c>
      <c r="N961" s="30">
        <v>308.8316666666667</v>
      </c>
      <c r="O961" s="30">
        <v>-71.41083466666669</v>
      </c>
      <c r="P961" s="30">
        <v>-3.853816516369041</v>
      </c>
      <c r="Q961" s="30">
        <v>-4.6245798196428485</v>
      </c>
    </row>
    <row r="962">
      <c r="A962" s="47">
        <v>1.1229182051E10</v>
      </c>
      <c r="B962" s="48">
        <v>46155.07125</v>
      </c>
      <c r="C962" s="30">
        <v>3.84450522E9</v>
      </c>
      <c r="D962" s="47" t="s">
        <v>1509</v>
      </c>
      <c r="E962" s="30">
        <v>1880.0</v>
      </c>
      <c r="F962" s="30">
        <v>1535.52</v>
      </c>
      <c r="G962" s="30">
        <v>0.0</v>
      </c>
      <c r="H962" s="30">
        <v>0.0</v>
      </c>
      <c r="I962" s="30">
        <v>81.21600000000001</v>
      </c>
      <c r="J962" s="30">
        <v>0.0</v>
      </c>
      <c r="K962" s="30">
        <v>0.0</v>
      </c>
      <c r="L962" s="30">
        <v>0.0</v>
      </c>
      <c r="M962" s="30">
        <v>0.0</v>
      </c>
      <c r="N962" s="30">
        <v>313.33333333333326</v>
      </c>
      <c r="O962" s="30">
        <v>-50.06933333333325</v>
      </c>
      <c r="P962" s="30">
        <v>-2.6632624113475134</v>
      </c>
      <c r="Q962" s="30">
        <v>-3.1959148936170156</v>
      </c>
    </row>
    <row r="963">
      <c r="A963" s="47">
        <v>1.1226285446E10</v>
      </c>
      <c r="B963" s="48">
        <v>46154.153020833335</v>
      </c>
      <c r="C963" s="30">
        <v>3.841902676E9</v>
      </c>
      <c r="D963" s="47" t="s">
        <v>1509</v>
      </c>
      <c r="E963" s="30">
        <v>2034.0</v>
      </c>
      <c r="F963" s="30">
        <v>1535.52</v>
      </c>
      <c r="G963" s="30">
        <v>0.0</v>
      </c>
      <c r="H963" s="30">
        <v>0.0</v>
      </c>
      <c r="I963" s="30">
        <v>254.25</v>
      </c>
      <c r="J963" s="30">
        <v>0.0</v>
      </c>
      <c r="K963" s="30">
        <v>0.0</v>
      </c>
      <c r="L963" s="30">
        <v>0.0</v>
      </c>
      <c r="M963" s="30">
        <v>0.0</v>
      </c>
      <c r="N963" s="30">
        <v>339.0</v>
      </c>
      <c r="O963" s="30">
        <v>-94.76999999999998</v>
      </c>
      <c r="P963" s="30">
        <v>-4.659292035398229</v>
      </c>
      <c r="Q963" s="30">
        <v>-5.591150442477875</v>
      </c>
    </row>
    <row r="964">
      <c r="A964" s="47">
        <v>1.1228662126E10</v>
      </c>
      <c r="B964" s="48">
        <v>46154.96841435185</v>
      </c>
      <c r="C964" s="30">
        <v>3.844026966E9</v>
      </c>
      <c r="D964" s="47" t="s">
        <v>1509</v>
      </c>
      <c r="E964" s="30">
        <v>1852.99</v>
      </c>
      <c r="F964" s="30">
        <v>1535.52</v>
      </c>
      <c r="G964" s="30">
        <v>0.0</v>
      </c>
      <c r="H964" s="30">
        <v>0.0</v>
      </c>
      <c r="I964" s="30">
        <v>80.04916800000001</v>
      </c>
      <c r="J964" s="30">
        <v>0.0</v>
      </c>
      <c r="K964" s="30">
        <v>0.0</v>
      </c>
      <c r="L964" s="30">
        <v>0.0</v>
      </c>
      <c r="M964" s="30">
        <v>0.0</v>
      </c>
      <c r="N964" s="30">
        <v>308.8316666666667</v>
      </c>
      <c r="O964" s="30">
        <v>-71.41083466666669</v>
      </c>
      <c r="P964" s="30">
        <v>-3.853816516369041</v>
      </c>
      <c r="Q964" s="30">
        <v>-4.6245798196428485</v>
      </c>
    </row>
    <row r="965">
      <c r="A965" s="47">
        <v>1.1228402947E10</v>
      </c>
      <c r="B965" s="48">
        <v>46154.9158912037</v>
      </c>
      <c r="C965" s="30">
        <v>3.843827905E9</v>
      </c>
      <c r="D965" s="47" t="s">
        <v>1509</v>
      </c>
      <c r="E965" s="30">
        <v>1950.0</v>
      </c>
      <c r="F965" s="30">
        <v>1604.0</v>
      </c>
      <c r="G965" s="30">
        <v>0.0</v>
      </c>
      <c r="H965" s="30">
        <v>0.0</v>
      </c>
      <c r="I965" s="30">
        <v>122.85</v>
      </c>
      <c r="J965" s="30">
        <v>0.0</v>
      </c>
      <c r="K965" s="30">
        <v>0.0</v>
      </c>
      <c r="L965" s="30">
        <v>0.0</v>
      </c>
      <c r="M965" s="30">
        <v>0.0</v>
      </c>
      <c r="N965" s="30">
        <v>325.0</v>
      </c>
      <c r="O965" s="30">
        <v>-101.85</v>
      </c>
      <c r="P965" s="30">
        <v>-5.223076923076922</v>
      </c>
      <c r="Q965" s="30">
        <v>-6.2676923076923075</v>
      </c>
    </row>
    <row r="966">
      <c r="A966" s="47">
        <v>1.1227301381E10</v>
      </c>
      <c r="B966" s="48">
        <v>46154.68262731482</v>
      </c>
      <c r="C966" s="30">
        <v>3.842909645E9</v>
      </c>
      <c r="D966" s="47" t="s">
        <v>1509</v>
      </c>
      <c r="E966" s="30">
        <v>1963.0</v>
      </c>
      <c r="F966" s="30">
        <v>1535.52</v>
      </c>
      <c r="G966" s="30">
        <v>0.0</v>
      </c>
      <c r="H966" s="30">
        <v>0.0</v>
      </c>
      <c r="I966" s="30">
        <v>123.669</v>
      </c>
      <c r="J966" s="30">
        <v>0.0</v>
      </c>
      <c r="K966" s="30">
        <v>0.0</v>
      </c>
      <c r="L966" s="30">
        <v>0.0</v>
      </c>
      <c r="M966" s="30">
        <v>0.0</v>
      </c>
      <c r="N966" s="30">
        <v>327.1666666666665</v>
      </c>
      <c r="O966" s="30">
        <v>-23.35566666666648</v>
      </c>
      <c r="P966" s="30">
        <v>-1.1897945321786287</v>
      </c>
      <c r="Q966" s="30">
        <v>-1.4277534386143542</v>
      </c>
    </row>
    <row r="967">
      <c r="A967" s="47">
        <v>1.1230158416E10</v>
      </c>
      <c r="B967" s="48">
        <v>46155.60658564815</v>
      </c>
      <c r="C967" s="30">
        <v>3.845540132E9</v>
      </c>
      <c r="D967" s="47" t="s">
        <v>1509</v>
      </c>
      <c r="E967" s="30">
        <v>1471.0</v>
      </c>
      <c r="F967" s="30">
        <v>1210.0</v>
      </c>
      <c r="G967" s="30">
        <v>0.0</v>
      </c>
      <c r="H967" s="30">
        <v>0.0</v>
      </c>
      <c r="I967" s="30">
        <v>100.6164</v>
      </c>
      <c r="J967" s="30">
        <v>0.0</v>
      </c>
      <c r="K967" s="30">
        <v>0.0</v>
      </c>
      <c r="L967" s="30">
        <v>0.0</v>
      </c>
      <c r="M967" s="30">
        <v>0.0</v>
      </c>
      <c r="N967" s="30">
        <v>245.16666666666652</v>
      </c>
      <c r="O967" s="30">
        <v>-84.78306666666651</v>
      </c>
      <c r="P967" s="30">
        <v>-5.763634715612952</v>
      </c>
      <c r="Q967" s="30">
        <v>-6.916361658735541</v>
      </c>
    </row>
    <row r="968">
      <c r="A968" s="47">
        <v>1.1226300654E10</v>
      </c>
      <c r="B968" s="48">
        <v>46154.15844907407</v>
      </c>
      <c r="C968" s="30">
        <v>3.841919364E9</v>
      </c>
      <c r="D968" s="47" t="s">
        <v>1509</v>
      </c>
      <c r="E968" s="30">
        <v>2034.0</v>
      </c>
      <c r="F968" s="30">
        <v>1535.52</v>
      </c>
      <c r="G968" s="30">
        <v>0.0</v>
      </c>
      <c r="H968" s="30">
        <v>0.0</v>
      </c>
      <c r="I968" s="30">
        <v>254.25</v>
      </c>
      <c r="J968" s="30">
        <v>0.0</v>
      </c>
      <c r="K968" s="30">
        <v>0.0</v>
      </c>
      <c r="L968" s="30">
        <v>0.0</v>
      </c>
      <c r="M968" s="30">
        <v>0.0</v>
      </c>
      <c r="N968" s="30">
        <v>339.0</v>
      </c>
      <c r="O968" s="30">
        <v>-94.76999999999998</v>
      </c>
      <c r="P968" s="30">
        <v>-4.659292035398229</v>
      </c>
      <c r="Q968" s="30">
        <v>-5.591150442477875</v>
      </c>
    </row>
    <row r="969">
      <c r="A969" s="47">
        <v>1.1228440851E10</v>
      </c>
      <c r="B969" s="48">
        <v>46154.92366898148</v>
      </c>
      <c r="C969" s="30">
        <v>3.843857619E9</v>
      </c>
      <c r="D969" s="47" t="s">
        <v>1509</v>
      </c>
      <c r="E969" s="30">
        <v>1261.99</v>
      </c>
      <c r="F969" s="30">
        <v>1165.0</v>
      </c>
      <c r="G969" s="30">
        <v>0.0</v>
      </c>
      <c r="H969" s="30">
        <v>0.0</v>
      </c>
      <c r="I969" s="30">
        <v>45.431639999999994</v>
      </c>
      <c r="J969" s="30">
        <v>0.0</v>
      </c>
      <c r="K969" s="30">
        <v>0.0</v>
      </c>
      <c r="L969" s="30">
        <v>0.0</v>
      </c>
      <c r="M969" s="30">
        <v>0.0</v>
      </c>
      <c r="N969" s="30">
        <v>210.3316666666667</v>
      </c>
      <c r="O969" s="30">
        <v>-158.77330666666668</v>
      </c>
      <c r="P969" s="30">
        <v>-12.58118579914791</v>
      </c>
      <c r="Q969" s="30">
        <v>-15.097422958977491</v>
      </c>
    </row>
    <row r="970">
      <c r="A970" s="47">
        <v>1.1229275921E10</v>
      </c>
      <c r="B970" s="48">
        <v>46155.090833333335</v>
      </c>
      <c r="C970" s="30">
        <v>3.844602684E9</v>
      </c>
      <c r="D970" s="47" t="s">
        <v>1509</v>
      </c>
      <c r="E970" s="30">
        <v>4089.0</v>
      </c>
      <c r="F970" s="30">
        <v>3475.0</v>
      </c>
      <c r="G970" s="30">
        <v>0.0</v>
      </c>
      <c r="H970" s="30">
        <v>0.0</v>
      </c>
      <c r="I970" s="30">
        <v>242.8866</v>
      </c>
      <c r="J970" s="30">
        <v>0.0</v>
      </c>
      <c r="K970" s="30">
        <v>0.0</v>
      </c>
      <c r="L970" s="30">
        <v>0.0</v>
      </c>
      <c r="M970" s="30">
        <v>0.0</v>
      </c>
      <c r="N970" s="30">
        <v>681.5</v>
      </c>
      <c r="O970" s="30">
        <v>-310.3866</v>
      </c>
      <c r="P970" s="30">
        <v>-7.590770359501101</v>
      </c>
      <c r="Q970" s="30">
        <v>-9.10892443140132</v>
      </c>
    </row>
    <row r="971">
      <c r="A971" s="47">
        <v>1.1228756328E10</v>
      </c>
      <c r="B971" s="48">
        <v>46154.98721064815</v>
      </c>
      <c r="C971" s="30">
        <v>3.844106457E9</v>
      </c>
      <c r="D971" s="47" t="s">
        <v>1509</v>
      </c>
      <c r="E971" s="30">
        <v>1852.99</v>
      </c>
      <c r="F971" s="30">
        <v>1535.52</v>
      </c>
      <c r="G971" s="30">
        <v>0.0</v>
      </c>
      <c r="H971" s="30">
        <v>0.0</v>
      </c>
      <c r="I971" s="30">
        <v>80.04916800000001</v>
      </c>
      <c r="J971" s="30">
        <v>0.0</v>
      </c>
      <c r="K971" s="30">
        <v>0.0</v>
      </c>
      <c r="L971" s="30">
        <v>0.0</v>
      </c>
      <c r="M971" s="30">
        <v>0.0</v>
      </c>
      <c r="N971" s="30">
        <v>308.8316666666667</v>
      </c>
      <c r="O971" s="30">
        <v>-71.41083466666669</v>
      </c>
      <c r="P971" s="30">
        <v>-3.853816516369041</v>
      </c>
      <c r="Q971" s="30">
        <v>-4.6245798196428485</v>
      </c>
    </row>
    <row r="972">
      <c r="A972" s="47">
        <v>1.1228068907E10</v>
      </c>
      <c r="B972" s="48">
        <v>46154.846875</v>
      </c>
      <c r="C972" s="30">
        <v>3.843574169E9</v>
      </c>
      <c r="D972" s="47" t="s">
        <v>1509</v>
      </c>
      <c r="E972" s="30">
        <v>4000.0</v>
      </c>
      <c r="F972" s="30">
        <v>3475.0</v>
      </c>
      <c r="G972" s="30">
        <v>0.0</v>
      </c>
      <c r="H972" s="30">
        <v>0.0</v>
      </c>
      <c r="I972" s="30">
        <v>313.2</v>
      </c>
      <c r="J972" s="30">
        <v>0.0</v>
      </c>
      <c r="K972" s="30">
        <v>0.0</v>
      </c>
      <c r="L972" s="30">
        <v>0.0</v>
      </c>
      <c r="M972" s="30">
        <v>0.0</v>
      </c>
      <c r="N972" s="30">
        <v>666.6666666666665</v>
      </c>
      <c r="O972" s="30">
        <v>-454.8666666666665</v>
      </c>
      <c r="P972" s="30">
        <v>-11.371666666666663</v>
      </c>
      <c r="Q972" s="30">
        <v>-13.645999999999994</v>
      </c>
    </row>
    <row r="973">
      <c r="A973" s="47">
        <v>1.1227812228E10</v>
      </c>
      <c r="B973" s="48">
        <v>46154.79146990741</v>
      </c>
      <c r="C973" s="30">
        <v>3.843358952E9</v>
      </c>
      <c r="D973" s="47" t="s">
        <v>1509</v>
      </c>
      <c r="E973" s="30">
        <v>1852.99</v>
      </c>
      <c r="F973" s="30">
        <v>1535.52</v>
      </c>
      <c r="G973" s="30">
        <v>0.0</v>
      </c>
      <c r="H973" s="30">
        <v>0.0</v>
      </c>
      <c r="I973" s="30">
        <v>80.04916800000001</v>
      </c>
      <c r="J973" s="30">
        <v>0.0</v>
      </c>
      <c r="K973" s="30">
        <v>0.0</v>
      </c>
      <c r="L973" s="30">
        <v>0.0</v>
      </c>
      <c r="M973" s="30">
        <v>0.0</v>
      </c>
      <c r="N973" s="30">
        <v>308.8316666666667</v>
      </c>
      <c r="O973" s="30">
        <v>-71.41083466666669</v>
      </c>
      <c r="P973" s="30">
        <v>-3.853816516369041</v>
      </c>
      <c r="Q973" s="30">
        <v>-4.6245798196428485</v>
      </c>
    </row>
    <row r="974">
      <c r="A974" s="47">
        <v>1.122918485E10</v>
      </c>
      <c r="B974" s="48">
        <v>46155.07184027778</v>
      </c>
      <c r="C974" s="30">
        <v>3.844509368E9</v>
      </c>
      <c r="D974" s="47" t="s">
        <v>1509</v>
      </c>
      <c r="E974" s="30">
        <v>1880.0</v>
      </c>
      <c r="F974" s="30">
        <v>1535.52</v>
      </c>
      <c r="G974" s="30">
        <v>0.0</v>
      </c>
      <c r="H974" s="30">
        <v>0.0</v>
      </c>
      <c r="I974" s="30">
        <v>81.21600000000001</v>
      </c>
      <c r="J974" s="30">
        <v>0.0</v>
      </c>
      <c r="K974" s="30">
        <v>0.0</v>
      </c>
      <c r="L974" s="30">
        <v>0.0</v>
      </c>
      <c r="M974" s="30">
        <v>0.0</v>
      </c>
      <c r="N974" s="30">
        <v>313.33333333333326</v>
      </c>
      <c r="O974" s="30">
        <v>-50.06933333333325</v>
      </c>
      <c r="P974" s="30">
        <v>-2.6632624113475134</v>
      </c>
      <c r="Q974" s="30">
        <v>-3.1959148936170156</v>
      </c>
    </row>
    <row r="975">
      <c r="A975" s="47">
        <v>1.1228485245E10</v>
      </c>
      <c r="B975" s="48">
        <v>46154.9325</v>
      </c>
      <c r="C975" s="30">
        <v>3.843889364E9</v>
      </c>
      <c r="D975" s="47" t="s">
        <v>1509</v>
      </c>
      <c r="E975" s="30">
        <v>1852.99</v>
      </c>
      <c r="F975" s="30">
        <v>1535.52</v>
      </c>
      <c r="G975" s="30">
        <v>0.0</v>
      </c>
      <c r="H975" s="30">
        <v>0.0</v>
      </c>
      <c r="I975" s="30">
        <v>80.04916800000001</v>
      </c>
      <c r="J975" s="30">
        <v>0.0</v>
      </c>
      <c r="K975" s="30">
        <v>0.0</v>
      </c>
      <c r="L975" s="30">
        <v>0.0</v>
      </c>
      <c r="M975" s="30">
        <v>0.0</v>
      </c>
      <c r="N975" s="30">
        <v>308.8316666666667</v>
      </c>
      <c r="O975" s="30">
        <v>-71.41083466666669</v>
      </c>
      <c r="P975" s="30">
        <v>-3.853816516369041</v>
      </c>
      <c r="Q975" s="30">
        <v>-4.6245798196428485</v>
      </c>
    </row>
    <row r="976">
      <c r="A976" s="47">
        <v>1.1229182778E10</v>
      </c>
      <c r="B976" s="48">
        <v>46155.07140046296</v>
      </c>
      <c r="C976" s="30">
        <v>3.844508254E9</v>
      </c>
      <c r="D976" s="47" t="s">
        <v>1509</v>
      </c>
      <c r="E976" s="30">
        <v>2964.0</v>
      </c>
      <c r="F976" s="30">
        <v>2420.0</v>
      </c>
      <c r="G976" s="30">
        <v>0.0</v>
      </c>
      <c r="H976" s="30">
        <v>0.0</v>
      </c>
      <c r="I976" s="30">
        <v>202.7376</v>
      </c>
      <c r="J976" s="30">
        <v>0.0</v>
      </c>
      <c r="K976" s="30">
        <v>0.0</v>
      </c>
      <c r="L976" s="30">
        <v>0.0</v>
      </c>
      <c r="M976" s="30">
        <v>0.0</v>
      </c>
      <c r="N976" s="30">
        <v>494.0</v>
      </c>
      <c r="O976" s="30">
        <v>-152.7376</v>
      </c>
      <c r="P976" s="30">
        <v>-5.1530904183535755</v>
      </c>
      <c r="Q976" s="30">
        <v>-6.183708502024291</v>
      </c>
    </row>
    <row r="977">
      <c r="A977" s="47">
        <v>1.1228208225E10</v>
      </c>
      <c r="B977" s="48">
        <v>46154.87642361111</v>
      </c>
      <c r="C977" s="30">
        <v>3.843682149E9</v>
      </c>
      <c r="D977" s="47" t="s">
        <v>1509</v>
      </c>
      <c r="E977" s="30">
        <v>1852.99</v>
      </c>
      <c r="F977" s="30">
        <v>1535.52</v>
      </c>
      <c r="G977" s="30">
        <v>0.0</v>
      </c>
      <c r="H977" s="30">
        <v>0.0</v>
      </c>
      <c r="I977" s="30">
        <v>80.04916800000001</v>
      </c>
      <c r="J977" s="30">
        <v>0.0</v>
      </c>
      <c r="K977" s="30">
        <v>0.0</v>
      </c>
      <c r="L977" s="30">
        <v>0.0</v>
      </c>
      <c r="M977" s="30">
        <v>0.0</v>
      </c>
      <c r="N977" s="30">
        <v>308.8316666666667</v>
      </c>
      <c r="O977" s="30">
        <v>-71.41083466666669</v>
      </c>
      <c r="P977" s="30">
        <v>-3.853816516369041</v>
      </c>
      <c r="Q977" s="30">
        <v>-4.6245798196428485</v>
      </c>
    </row>
    <row r="978">
      <c r="A978" s="47">
        <v>1.1228110949E10</v>
      </c>
      <c r="B978" s="48">
        <v>46154.85616898148</v>
      </c>
      <c r="C978" s="30">
        <v>3.843607819E9</v>
      </c>
      <c r="D978" s="47" t="s">
        <v>1509</v>
      </c>
      <c r="E978" s="30">
        <v>1017.0</v>
      </c>
      <c r="F978" s="30">
        <v>832.44</v>
      </c>
      <c r="G978" s="30">
        <v>0.0</v>
      </c>
      <c r="H978" s="30">
        <v>0.0</v>
      </c>
      <c r="I978" s="30">
        <v>34.577999999999996</v>
      </c>
      <c r="J978" s="30">
        <v>0.0</v>
      </c>
      <c r="K978" s="30">
        <v>0.0</v>
      </c>
      <c r="L978" s="30">
        <v>0.0</v>
      </c>
      <c r="M978" s="30">
        <v>0.0</v>
      </c>
      <c r="N978" s="30">
        <v>169.5</v>
      </c>
      <c r="O978" s="30">
        <v>-19.518000000000058</v>
      </c>
      <c r="P978" s="30">
        <v>-1.9191740412979406</v>
      </c>
      <c r="Q978" s="30">
        <v>-2.303008849557529</v>
      </c>
    </row>
    <row r="979">
      <c r="A979" s="47">
        <v>1.1226680743E10</v>
      </c>
      <c r="B979" s="48">
        <v>46154.53681712963</v>
      </c>
      <c r="C979" s="30">
        <v>3.842347532E9</v>
      </c>
      <c r="D979" s="47" t="s">
        <v>1509</v>
      </c>
      <c r="E979" s="30">
        <v>1109.0</v>
      </c>
      <c r="F979" s="30">
        <v>832.44</v>
      </c>
      <c r="G979" s="30">
        <v>0.0</v>
      </c>
      <c r="H979" s="30">
        <v>0.0</v>
      </c>
      <c r="I979" s="30">
        <v>64.8765</v>
      </c>
      <c r="J979" s="30">
        <v>0.0</v>
      </c>
      <c r="K979" s="30">
        <v>0.0</v>
      </c>
      <c r="L979" s="30">
        <v>0.0</v>
      </c>
      <c r="M979" s="30">
        <v>0.0</v>
      </c>
      <c r="N979" s="30">
        <v>184.83333333333326</v>
      </c>
      <c r="O979" s="30">
        <v>26.850166666666695</v>
      </c>
      <c r="P979" s="30">
        <v>2.4211151187255813</v>
      </c>
      <c r="Q979" s="30">
        <v>2.905338142470697</v>
      </c>
    </row>
    <row r="980">
      <c r="A980" s="47">
        <v>1.1227044042E10</v>
      </c>
      <c r="B980" s="48">
        <v>46154.6306712963</v>
      </c>
      <c r="C980" s="30">
        <v>3.842696711E9</v>
      </c>
      <c r="D980" s="47" t="s">
        <v>1509</v>
      </c>
      <c r="E980" s="30">
        <v>1963.0</v>
      </c>
      <c r="F980" s="30">
        <v>1535.52</v>
      </c>
      <c r="G980" s="30">
        <v>0.0</v>
      </c>
      <c r="H980" s="30">
        <v>0.0</v>
      </c>
      <c r="I980" s="30">
        <v>123.669</v>
      </c>
      <c r="J980" s="30">
        <v>0.0</v>
      </c>
      <c r="K980" s="30">
        <v>0.0</v>
      </c>
      <c r="L980" s="30">
        <v>0.0</v>
      </c>
      <c r="M980" s="30">
        <v>0.0</v>
      </c>
      <c r="N980" s="30">
        <v>327.1666666666665</v>
      </c>
      <c r="O980" s="30">
        <v>-23.35566666666648</v>
      </c>
      <c r="P980" s="30">
        <v>-1.1897945321786287</v>
      </c>
      <c r="Q980" s="30">
        <v>-1.4277534386143542</v>
      </c>
    </row>
    <row r="981">
      <c r="A981" s="47">
        <v>1.122902275E10</v>
      </c>
      <c r="B981" s="48">
        <v>46155.03891203704</v>
      </c>
      <c r="C981" s="30">
        <v>3.844346936E9</v>
      </c>
      <c r="D981" s="47" t="s">
        <v>1509</v>
      </c>
      <c r="E981" s="30">
        <v>1880.0</v>
      </c>
      <c r="F981" s="30">
        <v>1535.52</v>
      </c>
      <c r="G981" s="30">
        <v>0.0</v>
      </c>
      <c r="H981" s="30">
        <v>0.0</v>
      </c>
      <c r="I981" s="30">
        <v>81.21600000000001</v>
      </c>
      <c r="J981" s="30">
        <v>0.0</v>
      </c>
      <c r="K981" s="30">
        <v>0.0</v>
      </c>
      <c r="L981" s="30">
        <v>0.0</v>
      </c>
      <c r="M981" s="30">
        <v>0.0</v>
      </c>
      <c r="N981" s="30">
        <v>313.33333333333326</v>
      </c>
      <c r="O981" s="30">
        <v>-50.06933333333325</v>
      </c>
      <c r="P981" s="30">
        <v>-2.6632624113475134</v>
      </c>
      <c r="Q981" s="30">
        <v>-3.1959148936170156</v>
      </c>
    </row>
    <row r="982">
      <c r="A982" s="47">
        <v>1.1227939602E10</v>
      </c>
      <c r="B982" s="48">
        <v>46154.81929398148</v>
      </c>
      <c r="C982" s="30">
        <v>3.843468241E9</v>
      </c>
      <c r="D982" s="47" t="s">
        <v>1509</v>
      </c>
      <c r="E982" s="30">
        <v>1852.99</v>
      </c>
      <c r="F982" s="30">
        <v>1535.52</v>
      </c>
      <c r="G982" s="30">
        <v>0.0</v>
      </c>
      <c r="H982" s="30">
        <v>0.0</v>
      </c>
      <c r="I982" s="30">
        <v>80.04916800000001</v>
      </c>
      <c r="J982" s="30">
        <v>0.0</v>
      </c>
      <c r="K982" s="30">
        <v>0.0</v>
      </c>
      <c r="L982" s="30">
        <v>0.0</v>
      </c>
      <c r="M982" s="30">
        <v>0.0</v>
      </c>
      <c r="N982" s="30">
        <v>308.8316666666667</v>
      </c>
      <c r="O982" s="30">
        <v>-71.41083466666669</v>
      </c>
      <c r="P982" s="30">
        <v>-3.853816516369041</v>
      </c>
      <c r="Q982" s="30">
        <v>-4.6245798196428485</v>
      </c>
    </row>
    <row r="983">
      <c r="A983" s="47">
        <v>1.1227115046E10</v>
      </c>
      <c r="B983" s="48">
        <v>46154.645104166666</v>
      </c>
      <c r="C983" s="30">
        <v>3.842752718E9</v>
      </c>
      <c r="D983" s="47" t="s">
        <v>1509</v>
      </c>
      <c r="E983" s="30">
        <v>1549.0</v>
      </c>
      <c r="F983" s="30">
        <v>1210.0</v>
      </c>
      <c r="G983" s="30">
        <v>0.0</v>
      </c>
      <c r="H983" s="30">
        <v>0.0</v>
      </c>
      <c r="I983" s="30">
        <v>131.0454</v>
      </c>
      <c r="J983" s="30">
        <v>0.0</v>
      </c>
      <c r="K983" s="30">
        <v>0.0</v>
      </c>
      <c r="L983" s="30">
        <v>0.0</v>
      </c>
      <c r="M983" s="30">
        <v>0.0</v>
      </c>
      <c r="N983" s="30">
        <v>258.1666666666665</v>
      </c>
      <c r="O983" s="30">
        <v>-50.212066666666516</v>
      </c>
      <c r="P983" s="30">
        <v>-3.2415795136647203</v>
      </c>
      <c r="Q983" s="30">
        <v>-3.8898954163976636</v>
      </c>
    </row>
    <row r="984">
      <c r="A984" s="47">
        <v>1.1226311039E10</v>
      </c>
      <c r="B984" s="48">
        <v>46154.16270833334</v>
      </c>
      <c r="C984" s="30">
        <v>3.841929577E9</v>
      </c>
      <c r="D984" s="47" t="s">
        <v>1509</v>
      </c>
      <c r="E984" s="30">
        <v>2034.0</v>
      </c>
      <c r="F984" s="30">
        <v>1535.52</v>
      </c>
      <c r="G984" s="30">
        <v>0.0</v>
      </c>
      <c r="H984" s="30">
        <v>0.0</v>
      </c>
      <c r="I984" s="30">
        <v>254.25</v>
      </c>
      <c r="J984" s="30">
        <v>0.0</v>
      </c>
      <c r="K984" s="30">
        <v>0.0</v>
      </c>
      <c r="L984" s="30">
        <v>0.0</v>
      </c>
      <c r="M984" s="30">
        <v>0.0</v>
      </c>
      <c r="N984" s="30">
        <v>339.0</v>
      </c>
      <c r="O984" s="30">
        <v>-94.76999999999998</v>
      </c>
      <c r="P984" s="30">
        <v>-4.659292035398229</v>
      </c>
      <c r="Q984" s="30">
        <v>-5.591150442477875</v>
      </c>
    </row>
    <row r="985">
      <c r="A985" s="47">
        <v>1.1230181014E10</v>
      </c>
      <c r="B985" s="48">
        <v>46155.610914351855</v>
      </c>
      <c r="C985" s="30">
        <v>3.845557096E9</v>
      </c>
      <c r="D985" s="47" t="s">
        <v>1509</v>
      </c>
      <c r="E985" s="30">
        <v>1880.0</v>
      </c>
      <c r="F985" s="30">
        <v>1535.52</v>
      </c>
      <c r="G985" s="30">
        <v>0.0</v>
      </c>
      <c r="H985" s="30">
        <v>0.0</v>
      </c>
      <c r="I985" s="30">
        <v>81.21600000000001</v>
      </c>
      <c r="J985" s="30">
        <v>0.0</v>
      </c>
      <c r="K985" s="30">
        <v>0.0</v>
      </c>
      <c r="L985" s="30">
        <v>0.0</v>
      </c>
      <c r="M985" s="30">
        <v>0.0</v>
      </c>
      <c r="N985" s="30">
        <v>313.33333333333326</v>
      </c>
      <c r="O985" s="30">
        <v>-50.06933333333325</v>
      </c>
      <c r="P985" s="30">
        <v>-2.6632624113475134</v>
      </c>
      <c r="Q985" s="30">
        <v>-3.1959148936170156</v>
      </c>
    </row>
    <row r="986">
      <c r="A986" s="47">
        <v>1.1230362818E10</v>
      </c>
      <c r="B986" s="48">
        <v>46155.64755787037</v>
      </c>
      <c r="C986" s="30">
        <v>3.845708887E9</v>
      </c>
      <c r="D986" s="47" t="s">
        <v>1509</v>
      </c>
      <c r="E986" s="30">
        <v>659.0</v>
      </c>
      <c r="F986" s="30">
        <v>420.0</v>
      </c>
      <c r="G986" s="30">
        <v>0.0</v>
      </c>
      <c r="H986" s="30">
        <v>0.0</v>
      </c>
      <c r="I986" s="30">
        <v>97.86149999999999</v>
      </c>
      <c r="J986" s="30">
        <v>0.0</v>
      </c>
      <c r="K986" s="30">
        <v>0.0</v>
      </c>
      <c r="L986" s="30">
        <v>0.0</v>
      </c>
      <c r="M986" s="30">
        <v>0.0</v>
      </c>
      <c r="N986" s="30">
        <v>109.83333333333326</v>
      </c>
      <c r="O986" s="30">
        <v>31.305166666666764</v>
      </c>
      <c r="P986" s="30">
        <v>4.750404653515442</v>
      </c>
      <c r="Q986" s="30">
        <v>5.70048558421853</v>
      </c>
    </row>
    <row r="987">
      <c r="A987" s="47">
        <v>1.1229193422E10</v>
      </c>
      <c r="B987" s="48">
        <v>46155.073229166665</v>
      </c>
      <c r="C987" s="30">
        <v>3.844517457E9</v>
      </c>
      <c r="D987" s="47" t="s">
        <v>1509</v>
      </c>
      <c r="E987" s="30">
        <v>1880.0</v>
      </c>
      <c r="F987" s="30">
        <v>1535.52</v>
      </c>
      <c r="G987" s="30">
        <v>0.0</v>
      </c>
      <c r="H987" s="30">
        <v>0.0</v>
      </c>
      <c r="I987" s="30">
        <v>81.21600000000001</v>
      </c>
      <c r="J987" s="30">
        <v>0.0</v>
      </c>
      <c r="K987" s="30">
        <v>0.0</v>
      </c>
      <c r="L987" s="30">
        <v>0.0</v>
      </c>
      <c r="M987" s="30">
        <v>0.0</v>
      </c>
      <c r="N987" s="30">
        <v>313.33333333333326</v>
      </c>
      <c r="O987" s="30">
        <v>-50.06933333333325</v>
      </c>
      <c r="P987" s="30">
        <v>-2.6632624113475134</v>
      </c>
      <c r="Q987" s="30">
        <v>-3.1959148936170156</v>
      </c>
    </row>
    <row r="988">
      <c r="A988" s="47">
        <v>1.1228016635E10</v>
      </c>
      <c r="B988" s="48">
        <v>46154.8356712963</v>
      </c>
      <c r="C988" s="30">
        <v>3.843533352E9</v>
      </c>
      <c r="D988" s="47" t="s">
        <v>1509</v>
      </c>
      <c r="E988" s="30">
        <v>1852.99</v>
      </c>
      <c r="F988" s="30">
        <v>1535.52</v>
      </c>
      <c r="G988" s="30">
        <v>0.0</v>
      </c>
      <c r="H988" s="30">
        <v>0.0</v>
      </c>
      <c r="I988" s="30">
        <v>80.04916800000001</v>
      </c>
      <c r="J988" s="30">
        <v>0.0</v>
      </c>
      <c r="K988" s="30">
        <v>0.0</v>
      </c>
      <c r="L988" s="30">
        <v>0.0</v>
      </c>
      <c r="M988" s="30">
        <v>0.0</v>
      </c>
      <c r="N988" s="30">
        <v>308.8316666666667</v>
      </c>
      <c r="O988" s="30">
        <v>-71.41083466666669</v>
      </c>
      <c r="P988" s="30">
        <v>-3.853816516369041</v>
      </c>
      <c r="Q988" s="30">
        <v>-4.6245798196428485</v>
      </c>
    </row>
    <row r="989">
      <c r="A989" s="47">
        <v>1.1225330603E10</v>
      </c>
      <c r="B989" s="48">
        <v>46153.97862268519</v>
      </c>
      <c r="C989" s="30">
        <v>3.840891093E9</v>
      </c>
      <c r="D989" s="47" t="s">
        <v>1509</v>
      </c>
      <c r="E989" s="30">
        <v>897.45</v>
      </c>
      <c r="F989" s="30">
        <v>300.0</v>
      </c>
      <c r="G989" s="30">
        <v>0.0</v>
      </c>
      <c r="H989" s="30">
        <v>0.0</v>
      </c>
      <c r="I989" s="30">
        <v>179.49</v>
      </c>
      <c r="J989" s="30">
        <v>0.0</v>
      </c>
      <c r="K989" s="30">
        <v>0.0</v>
      </c>
      <c r="L989" s="30">
        <v>0.0</v>
      </c>
      <c r="M989" s="30">
        <v>0.0</v>
      </c>
      <c r="N989" s="30">
        <v>149.57499999999993</v>
      </c>
      <c r="O989" s="30">
        <v>268.3850000000001</v>
      </c>
      <c r="P989" s="30">
        <v>29.905287202629683</v>
      </c>
      <c r="Q989" s="30">
        <v>35.88634464315562</v>
      </c>
    </row>
    <row r="990">
      <c r="A990" s="47">
        <v>1.1229431254E10</v>
      </c>
      <c r="B990" s="48">
        <v>46155.12804398148</v>
      </c>
      <c r="C990" s="30">
        <v>3.844761432E9</v>
      </c>
      <c r="D990" s="47" t="s">
        <v>1509</v>
      </c>
      <c r="E990" s="30">
        <v>1880.0</v>
      </c>
      <c r="F990" s="30">
        <v>1535.52</v>
      </c>
      <c r="G990" s="30">
        <v>0.0</v>
      </c>
      <c r="H990" s="30">
        <v>0.0</v>
      </c>
      <c r="I990" s="30">
        <v>81.21600000000001</v>
      </c>
      <c r="J990" s="30">
        <v>0.0</v>
      </c>
      <c r="K990" s="30">
        <v>0.0</v>
      </c>
      <c r="L990" s="30">
        <v>0.0</v>
      </c>
      <c r="M990" s="30">
        <v>0.0</v>
      </c>
      <c r="N990" s="30">
        <v>313.33333333333326</v>
      </c>
      <c r="O990" s="30">
        <v>-50.06933333333325</v>
      </c>
      <c r="P990" s="30">
        <v>-2.6632624113475134</v>
      </c>
      <c r="Q990" s="30">
        <v>-3.1959148936170156</v>
      </c>
    </row>
    <row r="991">
      <c r="A991" s="47">
        <v>1.1229436246E10</v>
      </c>
      <c r="B991" s="48">
        <v>46155.12957175926</v>
      </c>
      <c r="C991" s="30">
        <v>3.844766329E9</v>
      </c>
      <c r="D991" s="47" t="s">
        <v>1509</v>
      </c>
      <c r="E991" s="30">
        <v>1261.99</v>
      </c>
      <c r="F991" s="30">
        <v>1165.0</v>
      </c>
      <c r="G991" s="30">
        <v>0.0</v>
      </c>
      <c r="H991" s="30">
        <v>0.0</v>
      </c>
      <c r="I991" s="30">
        <v>45.431639999999994</v>
      </c>
      <c r="J991" s="30">
        <v>0.0</v>
      </c>
      <c r="K991" s="30">
        <v>0.0</v>
      </c>
      <c r="L991" s="30">
        <v>0.0</v>
      </c>
      <c r="M991" s="30">
        <v>0.0</v>
      </c>
      <c r="N991" s="30">
        <v>210.3316666666667</v>
      </c>
      <c r="O991" s="30">
        <v>-158.77330666666668</v>
      </c>
      <c r="P991" s="30">
        <v>-12.58118579914791</v>
      </c>
      <c r="Q991" s="30">
        <v>-15.097422958977491</v>
      </c>
    </row>
    <row r="992">
      <c r="A992" s="47">
        <v>1.1230015666E10</v>
      </c>
      <c r="B992" s="48">
        <v>46155.57215277778</v>
      </c>
      <c r="C992" s="30">
        <v>3.845400387E9</v>
      </c>
      <c r="D992" s="47" t="s">
        <v>1509</v>
      </c>
      <c r="E992" s="30">
        <v>1880.0</v>
      </c>
      <c r="F992" s="30">
        <v>1535.52</v>
      </c>
      <c r="G992" s="30">
        <v>0.0</v>
      </c>
      <c r="H992" s="30">
        <v>0.0</v>
      </c>
      <c r="I992" s="30">
        <v>81.21600000000001</v>
      </c>
      <c r="J992" s="30">
        <v>0.0</v>
      </c>
      <c r="K992" s="30">
        <v>0.0</v>
      </c>
      <c r="L992" s="30">
        <v>0.0</v>
      </c>
      <c r="M992" s="30">
        <v>0.0</v>
      </c>
      <c r="N992" s="30">
        <v>313.33333333333326</v>
      </c>
      <c r="O992" s="30">
        <v>-50.06933333333325</v>
      </c>
      <c r="P992" s="30">
        <v>-2.6632624113475134</v>
      </c>
      <c r="Q992" s="30">
        <v>-3.1959148936170156</v>
      </c>
    </row>
    <row r="993">
      <c r="A993" s="47">
        <v>1.1228742448E10</v>
      </c>
      <c r="B993" s="48">
        <v>46154.984502314815</v>
      </c>
      <c r="C993" s="30">
        <v>3.84409114E9</v>
      </c>
      <c r="D993" s="47" t="s">
        <v>1509</v>
      </c>
      <c r="E993" s="30">
        <v>1852.99</v>
      </c>
      <c r="F993" s="30">
        <v>1535.52</v>
      </c>
      <c r="G993" s="30">
        <v>0.0</v>
      </c>
      <c r="H993" s="30">
        <v>0.0</v>
      </c>
      <c r="I993" s="30">
        <v>80.04916800000001</v>
      </c>
      <c r="J993" s="30">
        <v>0.0</v>
      </c>
      <c r="K993" s="30">
        <v>0.0</v>
      </c>
      <c r="L993" s="30">
        <v>0.0</v>
      </c>
      <c r="M993" s="30">
        <v>0.0</v>
      </c>
      <c r="N993" s="30">
        <v>308.8316666666667</v>
      </c>
      <c r="O993" s="30">
        <v>-71.41083466666669</v>
      </c>
      <c r="P993" s="30">
        <v>-3.853816516369041</v>
      </c>
      <c r="Q993" s="30">
        <v>-4.6245798196428485</v>
      </c>
    </row>
    <row r="994">
      <c r="A994" s="47">
        <v>1.1229070301E10</v>
      </c>
      <c r="B994" s="48">
        <v>46155.048368055555</v>
      </c>
      <c r="C994" s="30">
        <v>3.844392926E9</v>
      </c>
      <c r="D994" s="47" t="s">
        <v>1509</v>
      </c>
      <c r="E994" s="30">
        <v>1195.0</v>
      </c>
      <c r="F994" s="30">
        <v>999.0</v>
      </c>
      <c r="G994" s="30">
        <v>0.0</v>
      </c>
      <c r="H994" s="30">
        <v>0.0</v>
      </c>
      <c r="I994" s="30">
        <v>98.94599999999998</v>
      </c>
      <c r="J994" s="30">
        <v>0.0</v>
      </c>
      <c r="K994" s="30">
        <v>0.0</v>
      </c>
      <c r="L994" s="30">
        <v>0.0</v>
      </c>
      <c r="M994" s="30">
        <v>0.0</v>
      </c>
      <c r="N994" s="30">
        <v>199.16666666666663</v>
      </c>
      <c r="O994" s="30">
        <v>-102.11266666666661</v>
      </c>
      <c r="P994" s="30">
        <v>-8.544993026499299</v>
      </c>
      <c r="Q994" s="30">
        <v>-10.253991631799158</v>
      </c>
    </row>
    <row r="995">
      <c r="A995" s="47">
        <v>1.1224329276E10</v>
      </c>
      <c r="B995" s="48">
        <v>46153.799375</v>
      </c>
      <c r="C995" s="30">
        <v>3.840023804E9</v>
      </c>
      <c r="D995" s="47" t="s">
        <v>1509</v>
      </c>
      <c r="E995" s="30">
        <v>2200.0</v>
      </c>
      <c r="F995" s="30">
        <v>1638.0</v>
      </c>
      <c r="G995" s="30">
        <v>0.0</v>
      </c>
      <c r="H995" s="30">
        <v>0.0</v>
      </c>
      <c r="I995" s="30">
        <v>363.0</v>
      </c>
      <c r="J995" s="30">
        <v>0.0</v>
      </c>
      <c r="K995" s="30">
        <v>0.0</v>
      </c>
      <c r="L995" s="30">
        <v>0.0</v>
      </c>
      <c r="M995" s="30">
        <v>0.0</v>
      </c>
      <c r="N995" s="30">
        <v>366.6666666666665</v>
      </c>
      <c r="O995" s="30">
        <v>-167.66666666666652</v>
      </c>
      <c r="P995" s="30">
        <v>-7.621212121212115</v>
      </c>
      <c r="Q995" s="30">
        <v>-9.145454545454536</v>
      </c>
    </row>
    <row r="996">
      <c r="A996" s="47">
        <v>1.1230005416E10</v>
      </c>
      <c r="B996" s="48">
        <v>46155.56917824074</v>
      </c>
      <c r="C996" s="30">
        <v>3.845390281E9</v>
      </c>
      <c r="D996" s="47" t="s">
        <v>1509</v>
      </c>
      <c r="E996" s="30">
        <v>1595.0</v>
      </c>
      <c r="F996" s="30">
        <v>1394.04</v>
      </c>
      <c r="G996" s="30">
        <v>0.0</v>
      </c>
      <c r="H996" s="30">
        <v>0.0</v>
      </c>
      <c r="I996" s="30">
        <v>106.227</v>
      </c>
      <c r="J996" s="30">
        <v>0.0</v>
      </c>
      <c r="K996" s="30">
        <v>0.0</v>
      </c>
      <c r="L996" s="30">
        <v>0.0</v>
      </c>
      <c r="M996" s="30">
        <v>0.0</v>
      </c>
      <c r="N996" s="30">
        <v>265.83333333333326</v>
      </c>
      <c r="O996" s="30">
        <v>-171.10033333333323</v>
      </c>
      <c r="P996" s="30">
        <v>-10.727293625914308</v>
      </c>
      <c r="Q996" s="30">
        <v>-12.87275235109717</v>
      </c>
    </row>
    <row r="997">
      <c r="A997" s="47">
        <v>1.1229739736E10</v>
      </c>
      <c r="B997" s="48">
        <v>46155.464791666665</v>
      </c>
      <c r="C997" s="30">
        <v>3.845096816E9</v>
      </c>
      <c r="D997" s="47" t="s">
        <v>1509</v>
      </c>
      <c r="E997" s="30">
        <v>4089.0</v>
      </c>
      <c r="F997" s="30">
        <v>3475.0</v>
      </c>
      <c r="G997" s="30">
        <v>0.0</v>
      </c>
      <c r="H997" s="30">
        <v>0.0</v>
      </c>
      <c r="I997" s="30">
        <v>242.8866</v>
      </c>
      <c r="J997" s="30">
        <v>0.0</v>
      </c>
      <c r="K997" s="30">
        <v>0.0</v>
      </c>
      <c r="L997" s="30">
        <v>0.0</v>
      </c>
      <c r="M997" s="30">
        <v>0.0</v>
      </c>
      <c r="N997" s="30">
        <v>681.5</v>
      </c>
      <c r="O997" s="30">
        <v>-310.3866</v>
      </c>
      <c r="P997" s="30">
        <v>-7.590770359501101</v>
      </c>
      <c r="Q997" s="30">
        <v>-9.10892443140132</v>
      </c>
    </row>
    <row r="998">
      <c r="A998" s="47">
        <v>1.1229847484E10</v>
      </c>
      <c r="B998" s="48">
        <v>46155.51976851852</v>
      </c>
      <c r="C998" s="30">
        <v>3.845218792E9</v>
      </c>
      <c r="D998" s="47" t="s">
        <v>1509</v>
      </c>
      <c r="E998" s="30">
        <v>4890.99</v>
      </c>
      <c r="F998" s="30">
        <v>3606.6</v>
      </c>
      <c r="G998" s="30">
        <v>0.0</v>
      </c>
      <c r="H998" s="30">
        <v>0.0</v>
      </c>
      <c r="I998" s="30">
        <v>468.37440000000004</v>
      </c>
      <c r="J998" s="30">
        <v>0.0</v>
      </c>
      <c r="K998" s="30">
        <v>0.0</v>
      </c>
      <c r="L998" s="30">
        <v>0.0</v>
      </c>
      <c r="M998" s="30">
        <v>0.0</v>
      </c>
      <c r="N998" s="30">
        <v>815.165</v>
      </c>
      <c r="O998" s="30">
        <v>0.8505999999998721</v>
      </c>
      <c r="P998" s="30">
        <v>0.017391162116460517</v>
      </c>
      <c r="Q998" s="30">
        <v>0.02086939453975262</v>
      </c>
    </row>
    <row r="999">
      <c r="A999" s="47">
        <v>1.1229838817E10</v>
      </c>
      <c r="B999" s="48">
        <v>46155.51673611111</v>
      </c>
      <c r="C999" s="30">
        <v>3.845212513E9</v>
      </c>
      <c r="D999" s="47" t="s">
        <v>1509</v>
      </c>
      <c r="E999" s="30">
        <v>1354.0</v>
      </c>
      <c r="F999" s="30">
        <v>1160.0</v>
      </c>
      <c r="G999" s="30">
        <v>0.0</v>
      </c>
      <c r="H999" s="30">
        <v>0.0</v>
      </c>
      <c r="I999" s="30">
        <v>86.5206</v>
      </c>
      <c r="J999" s="30">
        <v>0.0</v>
      </c>
      <c r="K999" s="30">
        <v>0.0</v>
      </c>
      <c r="L999" s="30">
        <v>0.0</v>
      </c>
      <c r="M999" s="30">
        <v>0.0</v>
      </c>
      <c r="N999" s="30">
        <v>225.66666666666652</v>
      </c>
      <c r="O999" s="30">
        <v>-118.18726666666652</v>
      </c>
      <c r="P999" s="30">
        <v>-8.728749384539626</v>
      </c>
      <c r="Q999" s="30">
        <v>-10.474499261447548</v>
      </c>
    </row>
    <row r="1000">
      <c r="A1000" s="47">
        <v>1.1230128424E10</v>
      </c>
      <c r="B1000" s="48">
        <v>46155.600069444445</v>
      </c>
      <c r="C1000" s="30">
        <v>3.845513848E9</v>
      </c>
      <c r="D1000" s="47" t="s">
        <v>1509</v>
      </c>
      <c r="E1000" s="30">
        <v>1880.0</v>
      </c>
      <c r="F1000" s="30">
        <v>1535.52</v>
      </c>
      <c r="G1000" s="30">
        <v>0.0</v>
      </c>
      <c r="H1000" s="30">
        <v>0.0</v>
      </c>
      <c r="I1000" s="30">
        <v>81.21600000000001</v>
      </c>
      <c r="J1000" s="30">
        <v>0.0</v>
      </c>
      <c r="K1000" s="30">
        <v>0.0</v>
      </c>
      <c r="L1000" s="30">
        <v>0.0</v>
      </c>
      <c r="M1000" s="30">
        <v>0.0</v>
      </c>
      <c r="N1000" s="30">
        <v>313.33333333333326</v>
      </c>
      <c r="O1000" s="30">
        <v>-50.06933333333325</v>
      </c>
      <c r="P1000" s="30">
        <v>-2.6632624113475134</v>
      </c>
      <c r="Q1000" s="30">
        <v>-3.1959148936170156</v>
      </c>
    </row>
    <row r="1001">
      <c r="A1001" s="47">
        <v>1.1228215353E10</v>
      </c>
      <c r="B1001" s="48">
        <v>46154.877962962964</v>
      </c>
      <c r="C1001" s="30">
        <v>3.843686598E9</v>
      </c>
      <c r="D1001" s="47" t="s">
        <v>1509</v>
      </c>
      <c r="E1001" s="30">
        <v>1852.99</v>
      </c>
      <c r="F1001" s="30">
        <v>1535.52</v>
      </c>
      <c r="G1001" s="30">
        <v>0.0</v>
      </c>
      <c r="H1001" s="30">
        <v>0.0</v>
      </c>
      <c r="I1001" s="30">
        <v>80.04916800000001</v>
      </c>
      <c r="J1001" s="30">
        <v>0.0</v>
      </c>
      <c r="K1001" s="30">
        <v>0.0</v>
      </c>
      <c r="L1001" s="30">
        <v>0.0</v>
      </c>
      <c r="M1001" s="30">
        <v>0.0</v>
      </c>
      <c r="N1001" s="30">
        <v>308.8316666666667</v>
      </c>
      <c r="O1001" s="30">
        <v>-71.41083466666669</v>
      </c>
      <c r="P1001" s="30">
        <v>-3.853816516369041</v>
      </c>
      <c r="Q1001" s="30">
        <v>-4.6245798196428485</v>
      </c>
    </row>
    <row r="1002">
      <c r="A1002" s="47">
        <v>1.1227174744E10</v>
      </c>
      <c r="B1002" s="48">
        <v>46154.65730324074</v>
      </c>
      <c r="C1002" s="30">
        <v>3.842806253E9</v>
      </c>
      <c r="D1002" s="47" t="s">
        <v>1509</v>
      </c>
      <c r="E1002" s="30">
        <v>1963.0</v>
      </c>
      <c r="F1002" s="30">
        <v>1535.52</v>
      </c>
      <c r="G1002" s="30">
        <v>0.0</v>
      </c>
      <c r="H1002" s="30">
        <v>0.0</v>
      </c>
      <c r="I1002" s="30">
        <v>123.669</v>
      </c>
      <c r="J1002" s="30">
        <v>0.0</v>
      </c>
      <c r="K1002" s="30">
        <v>0.0</v>
      </c>
      <c r="L1002" s="30">
        <v>0.0</v>
      </c>
      <c r="M1002" s="30">
        <v>0.0</v>
      </c>
      <c r="N1002" s="30">
        <v>327.1666666666665</v>
      </c>
      <c r="O1002" s="30">
        <v>-23.35566666666648</v>
      </c>
      <c r="P1002" s="30">
        <v>-1.1897945321786287</v>
      </c>
      <c r="Q1002" s="30">
        <v>-1.4277534386143542</v>
      </c>
    </row>
    <row r="1003">
      <c r="A1003" s="47">
        <v>1.1229460841E10</v>
      </c>
      <c r="B1003" s="48">
        <v>46155.13658564815</v>
      </c>
      <c r="C1003" s="30">
        <v>3.844793166E9</v>
      </c>
      <c r="D1003" s="47" t="s">
        <v>1509</v>
      </c>
      <c r="E1003" s="30">
        <v>1880.0</v>
      </c>
      <c r="F1003" s="30">
        <v>1535.52</v>
      </c>
      <c r="G1003" s="30">
        <v>0.0</v>
      </c>
      <c r="H1003" s="30">
        <v>0.0</v>
      </c>
      <c r="I1003" s="30">
        <v>81.21600000000001</v>
      </c>
      <c r="J1003" s="30">
        <v>0.0</v>
      </c>
      <c r="K1003" s="30">
        <v>0.0</v>
      </c>
      <c r="L1003" s="30">
        <v>0.0</v>
      </c>
      <c r="M1003" s="30">
        <v>0.0</v>
      </c>
      <c r="N1003" s="30">
        <v>313.33333333333326</v>
      </c>
      <c r="O1003" s="30">
        <v>-50.06933333333325</v>
      </c>
      <c r="P1003" s="30">
        <v>-2.6632624113475134</v>
      </c>
      <c r="Q1003" s="30">
        <v>-3.1959148936170156</v>
      </c>
    </row>
    <row r="1004">
      <c r="A1004" s="47">
        <v>1.1226500543E10</v>
      </c>
      <c r="B1004" s="48">
        <v>46154.4425462963</v>
      </c>
      <c r="C1004" s="30">
        <v>3.842138896E9</v>
      </c>
      <c r="D1004" s="47" t="s">
        <v>1509</v>
      </c>
      <c r="E1004" s="30">
        <v>2034.0</v>
      </c>
      <c r="F1004" s="30">
        <v>1535.52</v>
      </c>
      <c r="G1004" s="30">
        <v>0.0</v>
      </c>
      <c r="H1004" s="30">
        <v>0.0</v>
      </c>
      <c r="I1004" s="30">
        <v>254.25</v>
      </c>
      <c r="J1004" s="30">
        <v>0.0</v>
      </c>
      <c r="K1004" s="30">
        <v>0.0</v>
      </c>
      <c r="L1004" s="30">
        <v>0.0</v>
      </c>
      <c r="M1004" s="30">
        <v>0.0</v>
      </c>
      <c r="N1004" s="30">
        <v>339.0</v>
      </c>
      <c r="O1004" s="30">
        <v>-94.76999999999998</v>
      </c>
      <c r="P1004" s="30">
        <v>-4.659292035398229</v>
      </c>
      <c r="Q1004" s="30">
        <v>-5.591150442477875</v>
      </c>
    </row>
    <row r="1005">
      <c r="A1005" s="47">
        <v>1.1227312114E10</v>
      </c>
      <c r="B1005" s="48">
        <v>46154.68488425926</v>
      </c>
      <c r="C1005" s="30">
        <v>3.842921755E9</v>
      </c>
      <c r="D1005" s="47" t="s">
        <v>1509</v>
      </c>
      <c r="E1005" s="30">
        <v>1549.0</v>
      </c>
      <c r="F1005" s="30">
        <v>1210.0</v>
      </c>
      <c r="G1005" s="30">
        <v>0.0</v>
      </c>
      <c r="H1005" s="30">
        <v>0.0</v>
      </c>
      <c r="I1005" s="30">
        <v>131.0454</v>
      </c>
      <c r="J1005" s="30">
        <v>0.0</v>
      </c>
      <c r="K1005" s="30">
        <v>0.0</v>
      </c>
      <c r="L1005" s="30">
        <v>0.0</v>
      </c>
      <c r="M1005" s="30">
        <v>0.0</v>
      </c>
      <c r="N1005" s="30">
        <v>258.1666666666665</v>
      </c>
      <c r="O1005" s="30">
        <v>-50.212066666666516</v>
      </c>
      <c r="P1005" s="30">
        <v>-3.2415795136647203</v>
      </c>
      <c r="Q1005" s="30">
        <v>-3.8898954163976636</v>
      </c>
    </row>
    <row r="1006">
      <c r="A1006" s="47">
        <v>1.1228554139E10</v>
      </c>
      <c r="B1006" s="48">
        <v>46154.9465625</v>
      </c>
      <c r="C1006" s="30">
        <v>3.843946915E9</v>
      </c>
      <c r="D1006" s="47" t="s">
        <v>1509</v>
      </c>
      <c r="E1006" s="30">
        <v>1195.0</v>
      </c>
      <c r="F1006" s="30">
        <v>999.0</v>
      </c>
      <c r="G1006" s="30">
        <v>0.0</v>
      </c>
      <c r="H1006" s="30">
        <v>0.0</v>
      </c>
      <c r="I1006" s="30">
        <v>98.94599999999998</v>
      </c>
      <c r="J1006" s="30">
        <v>0.0</v>
      </c>
      <c r="K1006" s="30">
        <v>0.0</v>
      </c>
      <c r="L1006" s="30">
        <v>0.0</v>
      </c>
      <c r="M1006" s="30">
        <v>0.0</v>
      </c>
      <c r="N1006" s="30">
        <v>199.16666666666663</v>
      </c>
      <c r="O1006" s="30">
        <v>-102.11266666666661</v>
      </c>
      <c r="P1006" s="30">
        <v>-8.544993026499299</v>
      </c>
      <c r="Q1006" s="30">
        <v>-10.253991631799158</v>
      </c>
    </row>
    <row r="1007">
      <c r="A1007" s="47">
        <v>1.1229209337E10</v>
      </c>
      <c r="B1007" s="48">
        <v>46155.0765625</v>
      </c>
      <c r="C1007" s="30">
        <v>3.844533174E9</v>
      </c>
      <c r="D1007" s="47" t="s">
        <v>1509</v>
      </c>
      <c r="E1007" s="30">
        <v>1880.0</v>
      </c>
      <c r="F1007" s="30">
        <v>1535.52</v>
      </c>
      <c r="G1007" s="30">
        <v>0.0</v>
      </c>
      <c r="H1007" s="30">
        <v>0.0</v>
      </c>
      <c r="I1007" s="30">
        <v>81.21600000000001</v>
      </c>
      <c r="J1007" s="30">
        <v>0.0</v>
      </c>
      <c r="K1007" s="30">
        <v>0.0</v>
      </c>
      <c r="L1007" s="30">
        <v>0.0</v>
      </c>
      <c r="M1007" s="30">
        <v>0.0</v>
      </c>
      <c r="N1007" s="30">
        <v>313.33333333333326</v>
      </c>
      <c r="O1007" s="30">
        <v>-50.06933333333325</v>
      </c>
      <c r="P1007" s="30">
        <v>-2.6632624113475134</v>
      </c>
      <c r="Q1007" s="30">
        <v>-3.1959148936170156</v>
      </c>
    </row>
    <row r="1008">
      <c r="A1008" s="47">
        <v>1.1228097705E10</v>
      </c>
      <c r="B1008" s="48">
        <v>46154.85328703704</v>
      </c>
      <c r="C1008" s="30">
        <v>3.843598214E9</v>
      </c>
      <c r="D1008" s="47" t="s">
        <v>1509</v>
      </c>
      <c r="E1008" s="30">
        <v>1186.0</v>
      </c>
      <c r="F1008" s="30">
        <v>850.0</v>
      </c>
      <c r="G1008" s="30">
        <v>0.0</v>
      </c>
      <c r="H1008" s="30">
        <v>0.0</v>
      </c>
      <c r="I1008" s="30">
        <v>144.099</v>
      </c>
      <c r="J1008" s="30">
        <v>0.0</v>
      </c>
      <c r="K1008" s="30">
        <v>0.0</v>
      </c>
      <c r="L1008" s="30">
        <v>0.0</v>
      </c>
      <c r="M1008" s="30">
        <v>0.0</v>
      </c>
      <c r="N1008" s="30">
        <v>197.66666666666663</v>
      </c>
      <c r="O1008" s="30">
        <v>-5.765666666666618</v>
      </c>
      <c r="P1008" s="30">
        <v>-0.4861439010680117</v>
      </c>
      <c r="Q1008" s="30">
        <v>-0.583372681281614</v>
      </c>
    </row>
    <row r="1009">
      <c r="A1009" s="47">
        <v>1.122982812E10</v>
      </c>
      <c r="B1009" s="48">
        <v>46155.51247685185</v>
      </c>
      <c r="C1009" s="30">
        <v>3.845199165E9</v>
      </c>
      <c r="D1009" s="47" t="s">
        <v>1509</v>
      </c>
      <c r="E1009" s="30">
        <v>1530.0</v>
      </c>
      <c r="F1009" s="30">
        <v>1190.0</v>
      </c>
      <c r="G1009" s="30">
        <v>0.0</v>
      </c>
      <c r="H1009" s="30">
        <v>0.0</v>
      </c>
      <c r="I1009" s="30">
        <v>96.39</v>
      </c>
      <c r="J1009" s="30">
        <v>0.0</v>
      </c>
      <c r="K1009" s="30">
        <v>0.0</v>
      </c>
      <c r="L1009" s="30">
        <v>0.0</v>
      </c>
      <c r="M1009" s="30">
        <v>0.0</v>
      </c>
      <c r="N1009" s="30">
        <v>255.0</v>
      </c>
      <c r="O1009" s="30">
        <v>-11.389999999999986</v>
      </c>
      <c r="P1009" s="30">
        <v>-0.7444444444444436</v>
      </c>
      <c r="Q1009" s="30">
        <v>-0.8933333333333323</v>
      </c>
    </row>
    <row r="1010">
      <c r="A1010" s="47">
        <v>1.1229469321E10</v>
      </c>
      <c r="B1010" s="48">
        <v>46155.139340277776</v>
      </c>
      <c r="C1010" s="30">
        <v>3.844800483E9</v>
      </c>
      <c r="D1010" s="47" t="s">
        <v>1509</v>
      </c>
      <c r="E1010" s="30">
        <v>1880.0</v>
      </c>
      <c r="F1010" s="30">
        <v>1535.52</v>
      </c>
      <c r="G1010" s="30">
        <v>0.0</v>
      </c>
      <c r="H1010" s="30">
        <v>0.0</v>
      </c>
      <c r="I1010" s="30">
        <v>81.21600000000001</v>
      </c>
      <c r="J1010" s="30">
        <v>0.0</v>
      </c>
      <c r="K1010" s="30">
        <v>0.0</v>
      </c>
      <c r="L1010" s="30">
        <v>0.0</v>
      </c>
      <c r="M1010" s="30">
        <v>0.0</v>
      </c>
      <c r="N1010" s="30">
        <v>313.33333333333326</v>
      </c>
      <c r="O1010" s="30">
        <v>-50.06933333333325</v>
      </c>
      <c r="P1010" s="30">
        <v>-2.6632624113475134</v>
      </c>
      <c r="Q1010" s="30">
        <v>-3.1959148936170156</v>
      </c>
    </row>
    <row r="1011">
      <c r="A1011" s="47">
        <v>1.1227721953E10</v>
      </c>
      <c r="B1011" s="48">
        <v>46154.77193287037</v>
      </c>
      <c r="C1011" s="30">
        <v>3.843280113E9</v>
      </c>
      <c r="D1011" s="47" t="s">
        <v>1509</v>
      </c>
      <c r="E1011" s="30">
        <v>1852.99</v>
      </c>
      <c r="F1011" s="30">
        <v>1535.52</v>
      </c>
      <c r="G1011" s="30">
        <v>0.0</v>
      </c>
      <c r="H1011" s="30">
        <v>0.0</v>
      </c>
      <c r="I1011" s="30">
        <v>80.04916800000001</v>
      </c>
      <c r="J1011" s="30">
        <v>0.0</v>
      </c>
      <c r="K1011" s="30">
        <v>0.0</v>
      </c>
      <c r="L1011" s="30">
        <v>0.0</v>
      </c>
      <c r="M1011" s="30">
        <v>0.0</v>
      </c>
      <c r="N1011" s="30">
        <v>308.8316666666667</v>
      </c>
      <c r="O1011" s="30">
        <v>-71.41083466666669</v>
      </c>
      <c r="P1011" s="30">
        <v>-3.853816516369041</v>
      </c>
      <c r="Q1011" s="30">
        <v>-4.6245798196428485</v>
      </c>
    </row>
    <row r="1012">
      <c r="A1012" s="47">
        <v>1.1228695015E10</v>
      </c>
      <c r="B1012" s="48">
        <v>46154.97511574074</v>
      </c>
      <c r="C1012" s="30">
        <v>3.844055017E9</v>
      </c>
      <c r="D1012" s="47" t="s">
        <v>1509</v>
      </c>
      <c r="E1012" s="30">
        <v>1852.99</v>
      </c>
      <c r="F1012" s="30">
        <v>1535.52</v>
      </c>
      <c r="G1012" s="30">
        <v>0.0</v>
      </c>
      <c r="H1012" s="30">
        <v>0.0</v>
      </c>
      <c r="I1012" s="30">
        <v>80.04916800000001</v>
      </c>
      <c r="J1012" s="30">
        <v>0.0</v>
      </c>
      <c r="K1012" s="30">
        <v>0.0</v>
      </c>
      <c r="L1012" s="30">
        <v>0.0</v>
      </c>
      <c r="M1012" s="30">
        <v>0.0</v>
      </c>
      <c r="N1012" s="30">
        <v>308.8316666666667</v>
      </c>
      <c r="O1012" s="30">
        <v>-71.41083466666669</v>
      </c>
      <c r="P1012" s="30">
        <v>-3.853816516369041</v>
      </c>
      <c r="Q1012" s="30">
        <v>-4.6245798196428485</v>
      </c>
    </row>
    <row r="1013">
      <c r="A1013" s="47">
        <v>1.1229229196E10</v>
      </c>
      <c r="B1013" s="48">
        <v>46155.080925925926</v>
      </c>
      <c r="C1013" s="30">
        <v>3.844554212E9</v>
      </c>
      <c r="D1013" s="47" t="s">
        <v>1509</v>
      </c>
      <c r="E1013" s="30">
        <v>1880.0</v>
      </c>
      <c r="F1013" s="30">
        <v>1535.52</v>
      </c>
      <c r="G1013" s="30">
        <v>0.0</v>
      </c>
      <c r="H1013" s="30">
        <v>0.0</v>
      </c>
      <c r="I1013" s="30">
        <v>81.21600000000001</v>
      </c>
      <c r="J1013" s="30">
        <v>0.0</v>
      </c>
      <c r="K1013" s="30">
        <v>0.0</v>
      </c>
      <c r="L1013" s="30">
        <v>0.0</v>
      </c>
      <c r="M1013" s="30">
        <v>0.0</v>
      </c>
      <c r="N1013" s="30">
        <v>313.33333333333326</v>
      </c>
      <c r="O1013" s="30">
        <v>-50.06933333333325</v>
      </c>
      <c r="P1013" s="30">
        <v>-2.6632624113475134</v>
      </c>
      <c r="Q1013" s="30">
        <v>-3.1959148936170156</v>
      </c>
    </row>
    <row r="1014">
      <c r="A1014" s="47">
        <v>1.1228479358E10</v>
      </c>
      <c r="B1014" s="48">
        <v>46154.93127314815</v>
      </c>
      <c r="C1014" s="30">
        <v>3.843882595E9</v>
      </c>
      <c r="D1014" s="47" t="s">
        <v>1509</v>
      </c>
      <c r="E1014" s="30">
        <v>1017.0</v>
      </c>
      <c r="F1014" s="30">
        <v>832.44</v>
      </c>
      <c r="G1014" s="30">
        <v>0.0</v>
      </c>
      <c r="H1014" s="30">
        <v>0.0</v>
      </c>
      <c r="I1014" s="30">
        <v>34.577999999999996</v>
      </c>
      <c r="J1014" s="30">
        <v>0.0</v>
      </c>
      <c r="K1014" s="30">
        <v>0.0</v>
      </c>
      <c r="L1014" s="30">
        <v>0.0</v>
      </c>
      <c r="M1014" s="30">
        <v>0.0</v>
      </c>
      <c r="N1014" s="30">
        <v>169.5</v>
      </c>
      <c r="O1014" s="30">
        <v>-19.518000000000058</v>
      </c>
      <c r="P1014" s="30">
        <v>-1.9191740412979406</v>
      </c>
      <c r="Q1014" s="30">
        <v>-2.303008849557529</v>
      </c>
    </row>
    <row r="1015">
      <c r="A1015" s="47">
        <v>1.12295535E10</v>
      </c>
      <c r="B1015" s="48">
        <v>46155.17084490741</v>
      </c>
      <c r="C1015" s="30">
        <v>3.84488802E9</v>
      </c>
      <c r="D1015" s="47" t="s">
        <v>1509</v>
      </c>
      <c r="E1015" s="30">
        <v>1195.0</v>
      </c>
      <c r="F1015" s="30">
        <v>999.0</v>
      </c>
      <c r="G1015" s="30">
        <v>0.0</v>
      </c>
      <c r="H1015" s="30">
        <v>0.0</v>
      </c>
      <c r="I1015" s="30">
        <v>98.94599999999998</v>
      </c>
      <c r="J1015" s="30">
        <v>0.0</v>
      </c>
      <c r="K1015" s="30">
        <v>0.0</v>
      </c>
      <c r="L1015" s="30">
        <v>0.0</v>
      </c>
      <c r="M1015" s="30">
        <v>0.0</v>
      </c>
      <c r="N1015" s="30">
        <v>199.16666666666663</v>
      </c>
      <c r="O1015" s="30">
        <v>-102.11266666666661</v>
      </c>
      <c r="P1015" s="30">
        <v>-8.544993026499299</v>
      </c>
      <c r="Q1015" s="30">
        <v>-10.253991631799158</v>
      </c>
    </row>
    <row r="1016">
      <c r="A1016" s="47">
        <v>1.1227036231E10</v>
      </c>
      <c r="B1016" s="48">
        <v>46154.629328703704</v>
      </c>
      <c r="C1016" s="30">
        <v>3.842689634E9</v>
      </c>
      <c r="D1016" s="47" t="s">
        <v>1509</v>
      </c>
      <c r="E1016" s="30">
        <v>2163.0</v>
      </c>
      <c r="F1016" s="30">
        <v>1614.12</v>
      </c>
      <c r="G1016" s="30">
        <v>0.0</v>
      </c>
      <c r="H1016" s="30">
        <v>0.0</v>
      </c>
      <c r="I1016" s="30">
        <v>146.16899999999998</v>
      </c>
      <c r="J1016" s="30">
        <v>0.0</v>
      </c>
      <c r="K1016" s="30">
        <v>0.0</v>
      </c>
      <c r="L1016" s="30">
        <v>0.0</v>
      </c>
      <c r="M1016" s="30">
        <v>0.0</v>
      </c>
      <c r="N1016" s="30">
        <v>360.49999999999983</v>
      </c>
      <c r="O1016" s="30">
        <v>42.2110000000003</v>
      </c>
      <c r="P1016" s="30">
        <v>1.9515025427646924</v>
      </c>
      <c r="Q1016" s="30">
        <v>2.3418030513176307</v>
      </c>
    </row>
    <row r="1017">
      <c r="A1017" s="47">
        <v>1.1230165051E10</v>
      </c>
      <c r="B1017" s="48">
        <v>46155.60797453704</v>
      </c>
      <c r="C1017" s="30">
        <v>3.845547202E9</v>
      </c>
      <c r="D1017" s="47" t="s">
        <v>1509</v>
      </c>
      <c r="E1017" s="30">
        <v>1880.0</v>
      </c>
      <c r="F1017" s="30">
        <v>1535.52</v>
      </c>
      <c r="G1017" s="30">
        <v>0.0</v>
      </c>
      <c r="H1017" s="30">
        <v>0.0</v>
      </c>
      <c r="I1017" s="30">
        <v>81.21600000000001</v>
      </c>
      <c r="J1017" s="30">
        <v>0.0</v>
      </c>
      <c r="K1017" s="30">
        <v>0.0</v>
      </c>
      <c r="L1017" s="30">
        <v>0.0</v>
      </c>
      <c r="M1017" s="30">
        <v>0.0</v>
      </c>
      <c r="N1017" s="30">
        <v>313.33333333333326</v>
      </c>
      <c r="O1017" s="30">
        <v>-50.06933333333325</v>
      </c>
      <c r="P1017" s="30">
        <v>-2.6632624113475134</v>
      </c>
      <c r="Q1017" s="30">
        <v>-3.1959148936170156</v>
      </c>
    </row>
    <row r="1018">
      <c r="A1018" s="47">
        <v>1.1228030583E10</v>
      </c>
      <c r="B1018" s="48">
        <v>46154.83881944444</v>
      </c>
      <c r="C1018" s="30">
        <v>3.843546082E9</v>
      </c>
      <c r="D1018" s="47" t="s">
        <v>1509</v>
      </c>
      <c r="E1018" s="30">
        <v>1852.99</v>
      </c>
      <c r="F1018" s="30">
        <v>1535.52</v>
      </c>
      <c r="G1018" s="30">
        <v>0.0</v>
      </c>
      <c r="H1018" s="30">
        <v>0.0</v>
      </c>
      <c r="I1018" s="30">
        <v>80.04916800000001</v>
      </c>
      <c r="J1018" s="30">
        <v>0.0</v>
      </c>
      <c r="K1018" s="30">
        <v>0.0</v>
      </c>
      <c r="L1018" s="30">
        <v>0.0</v>
      </c>
      <c r="M1018" s="30">
        <v>0.0</v>
      </c>
      <c r="N1018" s="30">
        <v>308.8316666666667</v>
      </c>
      <c r="O1018" s="30">
        <v>-71.41083466666669</v>
      </c>
      <c r="P1018" s="30">
        <v>-3.853816516369041</v>
      </c>
      <c r="Q1018" s="30">
        <v>-4.6245798196428485</v>
      </c>
    </row>
    <row r="1019">
      <c r="A1019" s="47">
        <v>1.1228822871E10</v>
      </c>
      <c r="B1019" s="48">
        <v>46155.000231481485</v>
      </c>
      <c r="C1019" s="30">
        <v>3.844172359E9</v>
      </c>
      <c r="D1019" s="47" t="s">
        <v>1509</v>
      </c>
      <c r="E1019" s="30">
        <v>1852.99</v>
      </c>
      <c r="F1019" s="30">
        <v>1535.52</v>
      </c>
      <c r="G1019" s="30">
        <v>0.0</v>
      </c>
      <c r="H1019" s="30">
        <v>0.0</v>
      </c>
      <c r="I1019" s="30">
        <v>80.04916800000001</v>
      </c>
      <c r="J1019" s="30">
        <v>0.0</v>
      </c>
      <c r="K1019" s="30">
        <v>0.0</v>
      </c>
      <c r="L1019" s="30">
        <v>0.0</v>
      </c>
      <c r="M1019" s="30">
        <v>0.0</v>
      </c>
      <c r="N1019" s="30">
        <v>308.8316666666667</v>
      </c>
      <c r="O1019" s="30">
        <v>-71.41083466666669</v>
      </c>
      <c r="P1019" s="30">
        <v>-3.853816516369041</v>
      </c>
      <c r="Q1019" s="30">
        <v>-4.6245798196428485</v>
      </c>
    </row>
    <row r="1020">
      <c r="A1020" s="47">
        <v>1.1226438783E10</v>
      </c>
      <c r="B1020" s="48">
        <v>46154.26216435185</v>
      </c>
      <c r="C1020" s="30">
        <v>3.842062349E9</v>
      </c>
      <c r="D1020" s="47" t="s">
        <v>1509</v>
      </c>
      <c r="E1020" s="30">
        <v>2034.0</v>
      </c>
      <c r="F1020" s="30">
        <v>1535.52</v>
      </c>
      <c r="G1020" s="30">
        <v>0.0</v>
      </c>
      <c r="H1020" s="30">
        <v>0.0</v>
      </c>
      <c r="I1020" s="30">
        <v>254.25</v>
      </c>
      <c r="J1020" s="30">
        <v>0.0</v>
      </c>
      <c r="K1020" s="30">
        <v>0.0</v>
      </c>
      <c r="L1020" s="30">
        <v>0.0</v>
      </c>
      <c r="M1020" s="30">
        <v>0.0</v>
      </c>
      <c r="N1020" s="30">
        <v>339.0</v>
      </c>
      <c r="O1020" s="30">
        <v>-94.76999999999998</v>
      </c>
      <c r="P1020" s="30">
        <v>-4.659292035398229</v>
      </c>
      <c r="Q1020" s="30">
        <v>-5.591150442477875</v>
      </c>
    </row>
    <row r="1021">
      <c r="A1021" s="47">
        <v>1.1191945906E10</v>
      </c>
      <c r="B1021" s="48">
        <v>46144.62457175926</v>
      </c>
      <c r="C1021" s="30">
        <v>3.810503541E9</v>
      </c>
      <c r="D1021" s="47" t="s">
        <v>1516</v>
      </c>
      <c r="E1021" s="30">
        <v>2134.0</v>
      </c>
      <c r="F1021" s="30">
        <v>1560.0</v>
      </c>
      <c r="G1021" s="30">
        <v>0.0</v>
      </c>
      <c r="H1021" s="30">
        <v>0.0</v>
      </c>
      <c r="I1021" s="30">
        <v>288.09</v>
      </c>
      <c r="J1021" s="30">
        <v>0.0</v>
      </c>
      <c r="K1021" s="30">
        <v>0.0</v>
      </c>
      <c r="L1021" s="30">
        <v>0.0</v>
      </c>
      <c r="M1021" s="30">
        <v>0.0</v>
      </c>
      <c r="N1021" s="30">
        <v>355.6666666666665</v>
      </c>
      <c r="O1021" s="30">
        <v>-69.75666666666649</v>
      </c>
      <c r="P1021" s="30">
        <v>-3.268822243049039</v>
      </c>
      <c r="Q1021" s="30">
        <v>-3.922586691658846</v>
      </c>
    </row>
    <row r="1022">
      <c r="A1022" s="47">
        <v>1.1228437242E10</v>
      </c>
      <c r="B1022" s="48">
        <v>46154.922939814816</v>
      </c>
      <c r="C1022" s="30">
        <v>3.843851843E9</v>
      </c>
      <c r="D1022" s="47" t="s">
        <v>1509</v>
      </c>
      <c r="E1022" s="30">
        <v>1852.99</v>
      </c>
      <c r="F1022" s="30">
        <v>1535.52</v>
      </c>
      <c r="G1022" s="30">
        <v>0.0</v>
      </c>
      <c r="H1022" s="30">
        <v>0.0</v>
      </c>
      <c r="I1022" s="30">
        <v>80.04916800000001</v>
      </c>
      <c r="J1022" s="30">
        <v>0.0</v>
      </c>
      <c r="K1022" s="30">
        <v>0.0</v>
      </c>
      <c r="L1022" s="30">
        <v>0.0</v>
      </c>
      <c r="M1022" s="30">
        <v>0.0</v>
      </c>
      <c r="N1022" s="30">
        <v>308.8316666666667</v>
      </c>
      <c r="O1022" s="30">
        <v>-71.41083466666669</v>
      </c>
      <c r="P1022" s="30">
        <v>-3.853816516369041</v>
      </c>
      <c r="Q1022" s="30">
        <v>-4.6245798196428485</v>
      </c>
    </row>
    <row r="1023">
      <c r="A1023" s="47">
        <v>1.1227995396E10</v>
      </c>
      <c r="B1023" s="48">
        <v>46154.831296296295</v>
      </c>
      <c r="C1023" s="30">
        <v>3.84351561E9</v>
      </c>
      <c r="D1023" s="47" t="s">
        <v>1509</v>
      </c>
      <c r="E1023" s="30">
        <v>1852.99</v>
      </c>
      <c r="F1023" s="30">
        <v>1535.52</v>
      </c>
      <c r="G1023" s="30">
        <v>0.0</v>
      </c>
      <c r="H1023" s="30">
        <v>0.0</v>
      </c>
      <c r="I1023" s="30">
        <v>80.04916800000001</v>
      </c>
      <c r="J1023" s="30">
        <v>0.0</v>
      </c>
      <c r="K1023" s="30">
        <v>0.0</v>
      </c>
      <c r="L1023" s="30">
        <v>0.0</v>
      </c>
      <c r="M1023" s="30">
        <v>0.0</v>
      </c>
      <c r="N1023" s="30">
        <v>308.8316666666667</v>
      </c>
      <c r="O1023" s="30">
        <v>-71.41083466666669</v>
      </c>
      <c r="P1023" s="30">
        <v>-3.853816516369041</v>
      </c>
      <c r="Q1023" s="30">
        <v>-4.6245798196428485</v>
      </c>
    </row>
    <row r="1024">
      <c r="A1024" s="47">
        <v>1.1228956964E10</v>
      </c>
      <c r="B1024" s="48">
        <v>46155.02601851852</v>
      </c>
      <c r="C1024" s="30">
        <v>3.844283644E9</v>
      </c>
      <c r="D1024" s="47" t="s">
        <v>1509</v>
      </c>
      <c r="E1024" s="30">
        <v>737.0</v>
      </c>
      <c r="F1024" s="30">
        <v>580.0</v>
      </c>
      <c r="G1024" s="30">
        <v>0.0</v>
      </c>
      <c r="H1024" s="30">
        <v>0.0</v>
      </c>
      <c r="I1024" s="30">
        <v>36.481500000000004</v>
      </c>
      <c r="J1024" s="30">
        <v>0.0</v>
      </c>
      <c r="K1024" s="30">
        <v>0.0</v>
      </c>
      <c r="L1024" s="30">
        <v>0.0</v>
      </c>
      <c r="M1024" s="30">
        <v>0.0</v>
      </c>
      <c r="N1024" s="30">
        <v>122.83333333333326</v>
      </c>
      <c r="O1024" s="30">
        <v>-2.3148333333332687</v>
      </c>
      <c r="P1024" s="30">
        <v>-0.31408864767072847</v>
      </c>
      <c r="Q1024" s="30">
        <v>-0.3769063772048741</v>
      </c>
    </row>
    <row r="1025">
      <c r="A1025" s="47">
        <v>1.1226989383E10</v>
      </c>
      <c r="B1025" s="48">
        <v>46154.61944444444</v>
      </c>
      <c r="C1025" s="30">
        <v>3.842651846E9</v>
      </c>
      <c r="D1025" s="47" t="s">
        <v>1509</v>
      </c>
      <c r="E1025" s="30">
        <v>1963.0</v>
      </c>
      <c r="F1025" s="30">
        <v>1535.52</v>
      </c>
      <c r="G1025" s="30">
        <v>0.0</v>
      </c>
      <c r="H1025" s="30">
        <v>0.0</v>
      </c>
      <c r="I1025" s="30">
        <v>123.669</v>
      </c>
      <c r="J1025" s="30">
        <v>0.0</v>
      </c>
      <c r="K1025" s="30">
        <v>0.0</v>
      </c>
      <c r="L1025" s="30">
        <v>0.0</v>
      </c>
      <c r="M1025" s="30">
        <v>0.0</v>
      </c>
      <c r="N1025" s="30">
        <v>327.1666666666665</v>
      </c>
      <c r="O1025" s="30">
        <v>-23.35566666666648</v>
      </c>
      <c r="P1025" s="30">
        <v>-1.1897945321786287</v>
      </c>
      <c r="Q1025" s="30">
        <v>-1.4277534386143542</v>
      </c>
    </row>
    <row r="1026">
      <c r="A1026" s="47">
        <v>1.1228910589E10</v>
      </c>
      <c r="B1026" s="48">
        <v>46155.017013888886</v>
      </c>
      <c r="C1026" s="30">
        <v>3.844242909E9</v>
      </c>
      <c r="D1026" s="47" t="s">
        <v>1509</v>
      </c>
      <c r="E1026" s="30">
        <v>1880.0</v>
      </c>
      <c r="F1026" s="30">
        <v>1535.52</v>
      </c>
      <c r="G1026" s="30">
        <v>0.0</v>
      </c>
      <c r="H1026" s="30">
        <v>0.0</v>
      </c>
      <c r="I1026" s="30">
        <v>81.21600000000001</v>
      </c>
      <c r="J1026" s="30">
        <v>0.0</v>
      </c>
      <c r="K1026" s="30">
        <v>0.0</v>
      </c>
      <c r="L1026" s="30">
        <v>0.0</v>
      </c>
      <c r="M1026" s="30">
        <v>0.0</v>
      </c>
      <c r="N1026" s="30">
        <v>313.33333333333326</v>
      </c>
      <c r="O1026" s="30">
        <v>-50.06933333333325</v>
      </c>
      <c r="P1026" s="30">
        <v>-2.6632624113475134</v>
      </c>
      <c r="Q1026" s="30">
        <v>-3.1959148936170156</v>
      </c>
    </row>
    <row r="1027">
      <c r="A1027" s="47">
        <v>1.1227841164E10</v>
      </c>
      <c r="B1027" s="48">
        <v>46154.797476851854</v>
      </c>
      <c r="C1027" s="30">
        <v>3.843384072E9</v>
      </c>
      <c r="D1027" s="47" t="s">
        <v>1509</v>
      </c>
      <c r="E1027" s="30">
        <v>944.0</v>
      </c>
      <c r="F1027" s="30">
        <v>260.0</v>
      </c>
      <c r="G1027" s="30">
        <v>0.0</v>
      </c>
      <c r="H1027" s="30">
        <v>0.0</v>
      </c>
      <c r="I1027" s="30">
        <v>169.92</v>
      </c>
      <c r="J1027" s="30">
        <v>0.0</v>
      </c>
      <c r="K1027" s="30">
        <v>0.0</v>
      </c>
      <c r="L1027" s="30">
        <v>0.0</v>
      </c>
      <c r="M1027" s="30">
        <v>0.0</v>
      </c>
      <c r="N1027" s="30">
        <v>157.33333333333326</v>
      </c>
      <c r="O1027" s="30">
        <v>356.7466666666668</v>
      </c>
      <c r="P1027" s="30">
        <v>37.79096045197741</v>
      </c>
      <c r="Q1027" s="30">
        <v>45.34915254237289</v>
      </c>
    </row>
    <row r="1028">
      <c r="A1028" s="47">
        <v>1.1230136425E10</v>
      </c>
      <c r="B1028" s="48">
        <v>46155.601875</v>
      </c>
      <c r="C1028" s="30">
        <v>3.84551999E9</v>
      </c>
      <c r="D1028" s="47" t="s">
        <v>1509</v>
      </c>
      <c r="E1028" s="30">
        <v>948.94</v>
      </c>
      <c r="F1028" s="30">
        <v>260.0</v>
      </c>
      <c r="G1028" s="30">
        <v>0.0</v>
      </c>
      <c r="H1028" s="30">
        <v>0.0</v>
      </c>
      <c r="I1028" s="30">
        <v>170.80920000000003</v>
      </c>
      <c r="J1028" s="30">
        <v>0.0</v>
      </c>
      <c r="K1028" s="30">
        <v>0.0</v>
      </c>
      <c r="L1028" s="30">
        <v>0.0</v>
      </c>
      <c r="M1028" s="30">
        <v>0.0</v>
      </c>
      <c r="N1028" s="30">
        <v>158.15666666666664</v>
      </c>
      <c r="O1028" s="30">
        <v>359.9741333333334</v>
      </c>
      <c r="P1028" s="30">
        <v>37.93434077321363</v>
      </c>
      <c r="Q1028" s="30">
        <v>45.52120892785635</v>
      </c>
    </row>
    <row r="1029">
      <c r="A1029" s="47">
        <v>1.1228603437E10</v>
      </c>
      <c r="B1029" s="48">
        <v>46154.9565625</v>
      </c>
      <c r="C1029" s="30">
        <v>3.843980672E9</v>
      </c>
      <c r="D1029" s="47" t="s">
        <v>1509</v>
      </c>
      <c r="E1029" s="30">
        <v>1852.99</v>
      </c>
      <c r="F1029" s="30">
        <v>1535.52</v>
      </c>
      <c r="G1029" s="30">
        <v>0.0</v>
      </c>
      <c r="H1029" s="30">
        <v>0.0</v>
      </c>
      <c r="I1029" s="30">
        <v>80.04916800000001</v>
      </c>
      <c r="J1029" s="30">
        <v>0.0</v>
      </c>
      <c r="K1029" s="30">
        <v>0.0</v>
      </c>
      <c r="L1029" s="30">
        <v>0.0</v>
      </c>
      <c r="M1029" s="30">
        <v>0.0</v>
      </c>
      <c r="N1029" s="30">
        <v>308.8316666666667</v>
      </c>
      <c r="O1029" s="30">
        <v>-71.41083466666669</v>
      </c>
      <c r="P1029" s="30">
        <v>-3.853816516369041</v>
      </c>
      <c r="Q1029" s="30">
        <v>-4.6245798196428485</v>
      </c>
    </row>
    <row r="1030">
      <c r="A1030" s="47">
        <v>1.1228986214E10</v>
      </c>
      <c r="B1030" s="48">
        <v>46155.031909722224</v>
      </c>
      <c r="C1030" s="30">
        <v>3.844311917E9</v>
      </c>
      <c r="D1030" s="47" t="s">
        <v>1509</v>
      </c>
      <c r="E1030" s="30">
        <v>1880.0</v>
      </c>
      <c r="F1030" s="30">
        <v>1535.52</v>
      </c>
      <c r="G1030" s="30">
        <v>0.0</v>
      </c>
      <c r="H1030" s="30">
        <v>0.0</v>
      </c>
      <c r="I1030" s="30">
        <v>81.21600000000001</v>
      </c>
      <c r="J1030" s="30">
        <v>0.0</v>
      </c>
      <c r="K1030" s="30">
        <v>0.0</v>
      </c>
      <c r="L1030" s="30">
        <v>0.0</v>
      </c>
      <c r="M1030" s="30">
        <v>0.0</v>
      </c>
      <c r="N1030" s="30">
        <v>313.33333333333326</v>
      </c>
      <c r="O1030" s="30">
        <v>-50.06933333333325</v>
      </c>
      <c r="P1030" s="30">
        <v>-2.6632624113475134</v>
      </c>
      <c r="Q1030" s="30">
        <v>-3.1959148936170156</v>
      </c>
    </row>
    <row r="1031">
      <c r="A1031" s="47">
        <v>1.1230014662E10</v>
      </c>
      <c r="B1031" s="48">
        <v>46155.571863425925</v>
      </c>
      <c r="C1031" s="30">
        <v>3.845398046E9</v>
      </c>
      <c r="D1031" s="47" t="s">
        <v>1509</v>
      </c>
      <c r="E1031" s="30">
        <v>1880.0</v>
      </c>
      <c r="F1031" s="30">
        <v>1535.52</v>
      </c>
      <c r="G1031" s="30">
        <v>0.0</v>
      </c>
      <c r="H1031" s="30">
        <v>0.0</v>
      </c>
      <c r="I1031" s="30">
        <v>81.21600000000001</v>
      </c>
      <c r="J1031" s="30">
        <v>0.0</v>
      </c>
      <c r="K1031" s="30">
        <v>0.0</v>
      </c>
      <c r="L1031" s="30">
        <v>0.0</v>
      </c>
      <c r="M1031" s="30">
        <v>0.0</v>
      </c>
      <c r="N1031" s="30">
        <v>313.33333333333326</v>
      </c>
      <c r="O1031" s="30">
        <v>-50.06933333333325</v>
      </c>
      <c r="P1031" s="30">
        <v>-2.6632624113475134</v>
      </c>
      <c r="Q1031" s="30">
        <v>-3.1959148936170156</v>
      </c>
    </row>
    <row r="1032">
      <c r="A1032" s="47">
        <v>1.1228715491E10</v>
      </c>
      <c r="B1032" s="48">
        <v>46154.97892361111</v>
      </c>
      <c r="C1032" s="30">
        <v>3.844071763E9</v>
      </c>
      <c r="D1032" s="47" t="s">
        <v>1509</v>
      </c>
      <c r="E1032" s="30">
        <v>1852.99</v>
      </c>
      <c r="F1032" s="30">
        <v>1535.52</v>
      </c>
      <c r="G1032" s="30">
        <v>0.0</v>
      </c>
      <c r="H1032" s="30">
        <v>0.0</v>
      </c>
      <c r="I1032" s="30">
        <v>80.04916800000001</v>
      </c>
      <c r="J1032" s="30">
        <v>0.0</v>
      </c>
      <c r="K1032" s="30">
        <v>0.0</v>
      </c>
      <c r="L1032" s="30">
        <v>0.0</v>
      </c>
      <c r="M1032" s="30">
        <v>0.0</v>
      </c>
      <c r="N1032" s="30">
        <v>308.8316666666667</v>
      </c>
      <c r="O1032" s="30">
        <v>-71.41083466666669</v>
      </c>
      <c r="P1032" s="30">
        <v>-3.853816516369041</v>
      </c>
      <c r="Q1032" s="30">
        <v>-4.6245798196428485</v>
      </c>
    </row>
    <row r="1033">
      <c r="A1033" s="47">
        <v>1.1229173871E10</v>
      </c>
      <c r="B1033" s="48">
        <v>46155.0694212963</v>
      </c>
      <c r="C1033" s="30">
        <v>3.844498615E9</v>
      </c>
      <c r="D1033" s="47" t="s">
        <v>1509</v>
      </c>
      <c r="E1033" s="30">
        <v>1474.0</v>
      </c>
      <c r="F1033" s="30">
        <v>1160.0</v>
      </c>
      <c r="G1033" s="30">
        <v>0.0</v>
      </c>
      <c r="H1033" s="30">
        <v>0.0</v>
      </c>
      <c r="I1033" s="30">
        <v>72.96300000000001</v>
      </c>
      <c r="J1033" s="30">
        <v>0.0</v>
      </c>
      <c r="K1033" s="30">
        <v>0.0</v>
      </c>
      <c r="L1033" s="30">
        <v>0.0</v>
      </c>
      <c r="M1033" s="30">
        <v>0.0</v>
      </c>
      <c r="N1033" s="30">
        <v>245.66666666666652</v>
      </c>
      <c r="O1033" s="30">
        <v>-4.629666666666537</v>
      </c>
      <c r="P1033" s="30">
        <v>-0.31408864767072847</v>
      </c>
      <c r="Q1033" s="30">
        <v>-0.3769063772048741</v>
      </c>
    </row>
    <row r="1034">
      <c r="A1034" s="47">
        <v>1.1227728921E10</v>
      </c>
      <c r="B1034" s="48">
        <v>46154.77349537037</v>
      </c>
      <c r="C1034" s="30">
        <v>3.843285035E9</v>
      </c>
      <c r="D1034" s="47" t="s">
        <v>1509</v>
      </c>
      <c r="E1034" s="30">
        <v>1852.99</v>
      </c>
      <c r="F1034" s="30">
        <v>1535.52</v>
      </c>
      <c r="G1034" s="30">
        <v>0.0</v>
      </c>
      <c r="H1034" s="30">
        <v>0.0</v>
      </c>
      <c r="I1034" s="30">
        <v>80.04916800000001</v>
      </c>
      <c r="J1034" s="30">
        <v>0.0</v>
      </c>
      <c r="K1034" s="30">
        <v>0.0</v>
      </c>
      <c r="L1034" s="30">
        <v>0.0</v>
      </c>
      <c r="M1034" s="30">
        <v>0.0</v>
      </c>
      <c r="N1034" s="30">
        <v>308.8316666666667</v>
      </c>
      <c r="O1034" s="30">
        <v>-71.41083466666669</v>
      </c>
      <c r="P1034" s="30">
        <v>-3.853816516369041</v>
      </c>
      <c r="Q1034" s="30">
        <v>-4.6245798196428485</v>
      </c>
    </row>
    <row r="1035">
      <c r="A1035" s="47">
        <v>1.1228270402E10</v>
      </c>
      <c r="B1035" s="48">
        <v>46154.88920138889</v>
      </c>
      <c r="C1035" s="30">
        <v>3.843729778E9</v>
      </c>
      <c r="D1035" s="47" t="s">
        <v>1509</v>
      </c>
      <c r="E1035" s="30">
        <v>1852.99</v>
      </c>
      <c r="F1035" s="30">
        <v>1535.52</v>
      </c>
      <c r="G1035" s="30">
        <v>0.0</v>
      </c>
      <c r="H1035" s="30">
        <v>0.0</v>
      </c>
      <c r="I1035" s="30">
        <v>80.04916800000001</v>
      </c>
      <c r="J1035" s="30">
        <v>0.0</v>
      </c>
      <c r="K1035" s="30">
        <v>0.0</v>
      </c>
      <c r="L1035" s="30">
        <v>0.0</v>
      </c>
      <c r="M1035" s="30">
        <v>0.0</v>
      </c>
      <c r="N1035" s="30">
        <v>308.8316666666667</v>
      </c>
      <c r="O1035" s="30">
        <v>-71.41083466666669</v>
      </c>
      <c r="P1035" s="30">
        <v>-3.853816516369041</v>
      </c>
      <c r="Q1035" s="30">
        <v>-4.6245798196428485</v>
      </c>
    </row>
    <row r="1036">
      <c r="A1036" s="47">
        <v>1.1228247126E10</v>
      </c>
      <c r="B1036" s="48">
        <v>46154.884305555555</v>
      </c>
      <c r="C1036" s="30">
        <v>3.843712031E9</v>
      </c>
      <c r="D1036" s="47" t="s">
        <v>1509</v>
      </c>
      <c r="E1036" s="30">
        <v>1852.99</v>
      </c>
      <c r="F1036" s="30">
        <v>1535.52</v>
      </c>
      <c r="G1036" s="30">
        <v>0.0</v>
      </c>
      <c r="H1036" s="30">
        <v>0.0</v>
      </c>
      <c r="I1036" s="30">
        <v>80.04916800000001</v>
      </c>
      <c r="J1036" s="30">
        <v>0.0</v>
      </c>
      <c r="K1036" s="30">
        <v>0.0</v>
      </c>
      <c r="L1036" s="30">
        <v>0.0</v>
      </c>
      <c r="M1036" s="30">
        <v>0.0</v>
      </c>
      <c r="N1036" s="30">
        <v>308.8316666666667</v>
      </c>
      <c r="O1036" s="30">
        <v>-71.41083466666669</v>
      </c>
      <c r="P1036" s="30">
        <v>-3.853816516369041</v>
      </c>
      <c r="Q1036" s="30">
        <v>-4.6245798196428485</v>
      </c>
    </row>
    <row r="1037">
      <c r="A1037" s="47">
        <v>1.1228427545E10</v>
      </c>
      <c r="B1037" s="48">
        <v>46154.920902777776</v>
      </c>
      <c r="C1037" s="30">
        <v>3.843846729E9</v>
      </c>
      <c r="D1037" s="47" t="s">
        <v>1509</v>
      </c>
      <c r="E1037" s="30">
        <v>1852.99</v>
      </c>
      <c r="F1037" s="30">
        <v>1535.52</v>
      </c>
      <c r="G1037" s="30">
        <v>0.0</v>
      </c>
      <c r="H1037" s="30">
        <v>0.0</v>
      </c>
      <c r="I1037" s="30">
        <v>80.04916800000001</v>
      </c>
      <c r="J1037" s="30">
        <v>0.0</v>
      </c>
      <c r="K1037" s="30">
        <v>0.0</v>
      </c>
      <c r="L1037" s="30">
        <v>0.0</v>
      </c>
      <c r="M1037" s="30">
        <v>0.0</v>
      </c>
      <c r="N1037" s="30">
        <v>308.8316666666667</v>
      </c>
      <c r="O1037" s="30">
        <v>-71.41083466666669</v>
      </c>
      <c r="P1037" s="30">
        <v>-3.853816516369041</v>
      </c>
      <c r="Q1037" s="30">
        <v>-4.6245798196428485</v>
      </c>
    </row>
    <row r="1038">
      <c r="A1038" s="47">
        <v>1.1228071918E10</v>
      </c>
      <c r="B1038" s="48">
        <v>46154.84753472222</v>
      </c>
      <c r="C1038" s="30">
        <v>3.843578002E9</v>
      </c>
      <c r="D1038" s="47" t="s">
        <v>1509</v>
      </c>
      <c r="E1038" s="30">
        <v>4000.0</v>
      </c>
      <c r="F1038" s="30">
        <v>3475.0</v>
      </c>
      <c r="G1038" s="30">
        <v>0.0</v>
      </c>
      <c r="H1038" s="30">
        <v>0.0</v>
      </c>
      <c r="I1038" s="30">
        <v>313.2</v>
      </c>
      <c r="J1038" s="30">
        <v>0.0</v>
      </c>
      <c r="K1038" s="30">
        <v>0.0</v>
      </c>
      <c r="L1038" s="30">
        <v>0.0</v>
      </c>
      <c r="M1038" s="30">
        <v>0.0</v>
      </c>
      <c r="N1038" s="30">
        <v>666.6666666666665</v>
      </c>
      <c r="O1038" s="30">
        <v>-454.8666666666665</v>
      </c>
      <c r="P1038" s="30">
        <v>-11.371666666666663</v>
      </c>
      <c r="Q1038" s="30">
        <v>-13.645999999999994</v>
      </c>
    </row>
    <row r="1039">
      <c r="A1039" s="47">
        <v>1.1228719998E10</v>
      </c>
      <c r="B1039" s="48">
        <v>46154.97987268519</v>
      </c>
      <c r="C1039" s="30">
        <v>3.844074177E9</v>
      </c>
      <c r="D1039" s="47" t="s">
        <v>1509</v>
      </c>
      <c r="E1039" s="30">
        <v>1852.99</v>
      </c>
      <c r="F1039" s="30">
        <v>1535.52</v>
      </c>
      <c r="G1039" s="30">
        <v>0.0</v>
      </c>
      <c r="H1039" s="30">
        <v>0.0</v>
      </c>
      <c r="I1039" s="30">
        <v>80.04916800000001</v>
      </c>
      <c r="J1039" s="30">
        <v>0.0</v>
      </c>
      <c r="K1039" s="30">
        <v>0.0</v>
      </c>
      <c r="L1039" s="30">
        <v>0.0</v>
      </c>
      <c r="M1039" s="30">
        <v>0.0</v>
      </c>
      <c r="N1039" s="30">
        <v>308.8316666666667</v>
      </c>
      <c r="O1039" s="30">
        <v>-71.41083466666669</v>
      </c>
      <c r="P1039" s="30">
        <v>-3.853816516369041</v>
      </c>
      <c r="Q1039" s="30">
        <v>-4.6245798196428485</v>
      </c>
    </row>
    <row r="1040">
      <c r="A1040" s="47">
        <v>1.1228986829E10</v>
      </c>
      <c r="B1040" s="48">
        <v>46155.03203703704</v>
      </c>
      <c r="C1040" s="30">
        <v>3.844312722E9</v>
      </c>
      <c r="D1040" s="47" t="s">
        <v>1509</v>
      </c>
      <c r="E1040" s="30">
        <v>1880.0</v>
      </c>
      <c r="F1040" s="30">
        <v>1535.52</v>
      </c>
      <c r="G1040" s="30">
        <v>0.0</v>
      </c>
      <c r="H1040" s="30">
        <v>0.0</v>
      </c>
      <c r="I1040" s="30">
        <v>81.21600000000001</v>
      </c>
      <c r="J1040" s="30">
        <v>0.0</v>
      </c>
      <c r="K1040" s="30">
        <v>0.0</v>
      </c>
      <c r="L1040" s="30">
        <v>0.0</v>
      </c>
      <c r="M1040" s="30">
        <v>0.0</v>
      </c>
      <c r="N1040" s="30">
        <v>313.33333333333326</v>
      </c>
      <c r="O1040" s="30">
        <v>-50.06933333333325</v>
      </c>
      <c r="P1040" s="30">
        <v>-2.6632624113475134</v>
      </c>
      <c r="Q1040" s="30">
        <v>-3.1959148936170156</v>
      </c>
    </row>
    <row r="1041">
      <c r="A1041" s="47">
        <v>1.1229395649E10</v>
      </c>
      <c r="B1041" s="48">
        <v>46155.11858796296</v>
      </c>
      <c r="C1041" s="30">
        <v>3.84472405E9</v>
      </c>
      <c r="D1041" s="47" t="s">
        <v>1509</v>
      </c>
      <c r="E1041" s="30">
        <v>737.0</v>
      </c>
      <c r="F1041" s="30">
        <v>580.0</v>
      </c>
      <c r="G1041" s="30">
        <v>0.0</v>
      </c>
      <c r="H1041" s="30">
        <v>0.0</v>
      </c>
      <c r="I1041" s="30">
        <v>36.481500000000004</v>
      </c>
      <c r="J1041" s="30">
        <v>0.0</v>
      </c>
      <c r="K1041" s="30">
        <v>0.0</v>
      </c>
      <c r="L1041" s="30">
        <v>0.0</v>
      </c>
      <c r="M1041" s="30">
        <v>0.0</v>
      </c>
      <c r="N1041" s="30">
        <v>122.83333333333326</v>
      </c>
      <c r="O1041" s="30">
        <v>-2.3148333333332687</v>
      </c>
      <c r="P1041" s="30">
        <v>-0.31408864767072847</v>
      </c>
      <c r="Q1041" s="30">
        <v>-0.3769063772048741</v>
      </c>
    </row>
    <row r="1042">
      <c r="A1042" s="47">
        <v>1.122727367E10</v>
      </c>
      <c r="B1042" s="48">
        <v>46154.67721064815</v>
      </c>
      <c r="C1042" s="30">
        <v>3.842886283E9</v>
      </c>
      <c r="D1042" s="47" t="s">
        <v>1509</v>
      </c>
      <c r="E1042" s="30">
        <v>1109.0</v>
      </c>
      <c r="F1042" s="30">
        <v>832.44</v>
      </c>
      <c r="G1042" s="30">
        <v>0.0</v>
      </c>
      <c r="H1042" s="30">
        <v>0.0</v>
      </c>
      <c r="I1042" s="30">
        <v>64.8765</v>
      </c>
      <c r="J1042" s="30">
        <v>0.0</v>
      </c>
      <c r="K1042" s="30">
        <v>0.0</v>
      </c>
      <c r="L1042" s="30">
        <v>0.0</v>
      </c>
      <c r="M1042" s="30">
        <v>0.0</v>
      </c>
      <c r="N1042" s="30">
        <v>184.83333333333326</v>
      </c>
      <c r="O1042" s="30">
        <v>26.850166666666695</v>
      </c>
      <c r="P1042" s="30">
        <v>2.4211151187255813</v>
      </c>
      <c r="Q1042" s="30">
        <v>2.905338142470697</v>
      </c>
    </row>
    <row r="1043">
      <c r="A1043" s="47">
        <v>1.1228629748E10</v>
      </c>
      <c r="B1043" s="48">
        <v>46154.96215277778</v>
      </c>
      <c r="C1043" s="30">
        <v>3.844001562E9</v>
      </c>
      <c r="D1043" s="47" t="s">
        <v>1509</v>
      </c>
      <c r="E1043" s="30">
        <v>1852.99</v>
      </c>
      <c r="F1043" s="30">
        <v>1535.52</v>
      </c>
      <c r="G1043" s="30">
        <v>0.0</v>
      </c>
      <c r="H1043" s="30">
        <v>0.0</v>
      </c>
      <c r="I1043" s="30">
        <v>80.04916800000001</v>
      </c>
      <c r="J1043" s="30">
        <v>0.0</v>
      </c>
      <c r="K1043" s="30">
        <v>0.0</v>
      </c>
      <c r="L1043" s="30">
        <v>0.0</v>
      </c>
      <c r="M1043" s="30">
        <v>0.0</v>
      </c>
      <c r="N1043" s="30">
        <v>308.8316666666667</v>
      </c>
      <c r="O1043" s="30">
        <v>-71.41083466666669</v>
      </c>
      <c r="P1043" s="30">
        <v>-3.853816516369041</v>
      </c>
      <c r="Q1043" s="30">
        <v>-4.6245798196428485</v>
      </c>
    </row>
    <row r="1044">
      <c r="A1044" s="47">
        <v>1.1229110806E10</v>
      </c>
      <c r="B1044" s="48">
        <v>46155.0565625</v>
      </c>
      <c r="C1044" s="30">
        <v>3.844434907E9</v>
      </c>
      <c r="D1044" s="47" t="s">
        <v>1509</v>
      </c>
      <c r="E1044" s="30">
        <v>599.0</v>
      </c>
      <c r="F1044" s="30">
        <v>487.2</v>
      </c>
      <c r="G1044" s="30">
        <v>0.0</v>
      </c>
      <c r="H1044" s="30">
        <v>0.0</v>
      </c>
      <c r="I1044" s="30">
        <v>67.3875</v>
      </c>
      <c r="J1044" s="30">
        <v>0.0</v>
      </c>
      <c r="K1044" s="30">
        <v>0.0</v>
      </c>
      <c r="L1044" s="30">
        <v>0.0</v>
      </c>
      <c r="M1044" s="30">
        <v>0.0</v>
      </c>
      <c r="N1044" s="30">
        <v>99.83333333333331</v>
      </c>
      <c r="O1044" s="30">
        <v>-55.420833333333306</v>
      </c>
      <c r="P1044" s="30">
        <v>-9.252225932109067</v>
      </c>
      <c r="Q1044" s="30">
        <v>-11.102671118530878</v>
      </c>
    </row>
    <row r="1045">
      <c r="A1045" s="47">
        <v>1.1229686543E10</v>
      </c>
      <c r="B1045" s="48">
        <v>46155.382685185185</v>
      </c>
      <c r="C1045" s="30">
        <v>3.845027909E9</v>
      </c>
      <c r="D1045" s="47" t="s">
        <v>1509</v>
      </c>
      <c r="E1045" s="30">
        <v>4089.0</v>
      </c>
      <c r="F1045" s="30">
        <v>3475.0</v>
      </c>
      <c r="G1045" s="30">
        <v>0.0</v>
      </c>
      <c r="H1045" s="30">
        <v>0.0</v>
      </c>
      <c r="I1045" s="30">
        <v>242.8866</v>
      </c>
      <c r="J1045" s="30">
        <v>0.0</v>
      </c>
      <c r="K1045" s="30">
        <v>0.0</v>
      </c>
      <c r="L1045" s="30">
        <v>0.0</v>
      </c>
      <c r="M1045" s="30">
        <v>0.0</v>
      </c>
      <c r="N1045" s="30">
        <v>681.5</v>
      </c>
      <c r="O1045" s="30">
        <v>-310.3866</v>
      </c>
      <c r="P1045" s="30">
        <v>-7.590770359501101</v>
      </c>
      <c r="Q1045" s="30">
        <v>-9.10892443140132</v>
      </c>
    </row>
    <row r="1046">
      <c r="A1046" s="47">
        <v>1.1228204136E10</v>
      </c>
      <c r="B1046" s="48">
        <v>46154.87556712963</v>
      </c>
      <c r="C1046" s="30">
        <v>3.843678647E9</v>
      </c>
      <c r="D1046" s="47" t="s">
        <v>1509</v>
      </c>
      <c r="E1046" s="30">
        <v>1852.99</v>
      </c>
      <c r="F1046" s="30">
        <v>1535.52</v>
      </c>
      <c r="G1046" s="30">
        <v>0.0</v>
      </c>
      <c r="H1046" s="30">
        <v>0.0</v>
      </c>
      <c r="I1046" s="30">
        <v>80.04916800000001</v>
      </c>
      <c r="J1046" s="30">
        <v>0.0</v>
      </c>
      <c r="K1046" s="30">
        <v>0.0</v>
      </c>
      <c r="L1046" s="30">
        <v>0.0</v>
      </c>
      <c r="M1046" s="30">
        <v>0.0</v>
      </c>
      <c r="N1046" s="30">
        <v>308.8316666666667</v>
      </c>
      <c r="O1046" s="30">
        <v>-71.41083466666669</v>
      </c>
      <c r="P1046" s="30">
        <v>-3.853816516369041</v>
      </c>
      <c r="Q1046" s="30">
        <v>-4.6245798196428485</v>
      </c>
    </row>
    <row r="1047">
      <c r="A1047" s="47">
        <v>1.1217809445E10</v>
      </c>
      <c r="B1047" s="48">
        <v>46151.896099537036</v>
      </c>
      <c r="C1047" s="30">
        <v>3.834130111E9</v>
      </c>
      <c r="D1047" s="47" t="s">
        <v>1509</v>
      </c>
      <c r="E1047" s="30">
        <v>349.99</v>
      </c>
      <c r="F1047" s="30">
        <v>106.0</v>
      </c>
      <c r="G1047" s="30">
        <v>0.0</v>
      </c>
      <c r="H1047" s="30">
        <v>0.0</v>
      </c>
      <c r="I1047" s="30">
        <v>69.998</v>
      </c>
      <c r="J1047" s="30">
        <v>0.0</v>
      </c>
      <c r="K1047" s="30">
        <v>0.0</v>
      </c>
      <c r="L1047" s="30">
        <v>0.0</v>
      </c>
      <c r="M1047" s="30">
        <v>0.0</v>
      </c>
      <c r="N1047" s="30">
        <v>58.33166666666665</v>
      </c>
      <c r="O1047" s="30">
        <v>115.66033333333337</v>
      </c>
      <c r="P1047" s="30">
        <v>33.04675371677287</v>
      </c>
      <c r="Q1047" s="30">
        <v>39.65610446012744</v>
      </c>
    </row>
    <row r="1048">
      <c r="A1048" s="47">
        <v>1.1227793324E10</v>
      </c>
      <c r="B1048" s="48">
        <v>46154.78717592593</v>
      </c>
      <c r="C1048" s="30">
        <v>3.843343927E9</v>
      </c>
      <c r="D1048" s="47" t="s">
        <v>1509</v>
      </c>
      <c r="E1048" s="30">
        <v>1852.99</v>
      </c>
      <c r="F1048" s="30">
        <v>1535.52</v>
      </c>
      <c r="G1048" s="30">
        <v>0.0</v>
      </c>
      <c r="H1048" s="30">
        <v>0.0</v>
      </c>
      <c r="I1048" s="30">
        <v>80.04916800000001</v>
      </c>
      <c r="J1048" s="30">
        <v>0.0</v>
      </c>
      <c r="K1048" s="30">
        <v>0.0</v>
      </c>
      <c r="L1048" s="30">
        <v>0.0</v>
      </c>
      <c r="M1048" s="30">
        <v>0.0</v>
      </c>
      <c r="N1048" s="30">
        <v>308.8316666666667</v>
      </c>
      <c r="O1048" s="30">
        <v>-71.41083466666669</v>
      </c>
      <c r="P1048" s="30">
        <v>-3.853816516369041</v>
      </c>
      <c r="Q1048" s="30">
        <v>-4.6245798196428485</v>
      </c>
    </row>
    <row r="1049">
      <c r="A1049" s="47">
        <v>1.1227378361E10</v>
      </c>
      <c r="B1049" s="48">
        <v>46154.69855324074</v>
      </c>
      <c r="C1049" s="30">
        <v>3.84297852E9</v>
      </c>
      <c r="D1049" s="47" t="s">
        <v>1509</v>
      </c>
      <c r="E1049" s="30">
        <v>1549.0</v>
      </c>
      <c r="F1049" s="30">
        <v>1210.0</v>
      </c>
      <c r="G1049" s="30">
        <v>0.0</v>
      </c>
      <c r="H1049" s="30">
        <v>0.0</v>
      </c>
      <c r="I1049" s="30">
        <v>131.0454</v>
      </c>
      <c r="J1049" s="30">
        <v>0.0</v>
      </c>
      <c r="K1049" s="30">
        <v>0.0</v>
      </c>
      <c r="L1049" s="30">
        <v>0.0</v>
      </c>
      <c r="M1049" s="30">
        <v>0.0</v>
      </c>
      <c r="N1049" s="30">
        <v>258.1666666666665</v>
      </c>
      <c r="O1049" s="30">
        <v>-50.212066666666516</v>
      </c>
      <c r="P1049" s="30">
        <v>-3.2415795136647203</v>
      </c>
      <c r="Q1049" s="30">
        <v>-3.8898954163976636</v>
      </c>
    </row>
    <row r="1050">
      <c r="A1050" s="47">
        <v>1.1227304517E10</v>
      </c>
      <c r="B1050" s="48">
        <v>46154.68329861111</v>
      </c>
      <c r="C1050" s="30">
        <v>3.842914509E9</v>
      </c>
      <c r="D1050" s="47" t="s">
        <v>1509</v>
      </c>
      <c r="E1050" s="30">
        <v>1619.0</v>
      </c>
      <c r="F1050" s="30">
        <v>1394.04</v>
      </c>
      <c r="G1050" s="30">
        <v>0.0</v>
      </c>
      <c r="H1050" s="30">
        <v>0.0</v>
      </c>
      <c r="I1050" s="30">
        <v>107.8254</v>
      </c>
      <c r="J1050" s="30">
        <v>0.0</v>
      </c>
      <c r="K1050" s="30">
        <v>0.0</v>
      </c>
      <c r="L1050" s="30">
        <v>0.0</v>
      </c>
      <c r="M1050" s="30">
        <v>0.0</v>
      </c>
      <c r="N1050" s="30">
        <v>269.83333333333326</v>
      </c>
      <c r="O1050" s="30">
        <v>-152.69873333333322</v>
      </c>
      <c r="P1050" s="30">
        <v>-9.431669754992788</v>
      </c>
      <c r="Q1050" s="30">
        <v>-11.318003705991343</v>
      </c>
    </row>
    <row r="1051">
      <c r="A1051" s="47">
        <v>1.1228190266E10</v>
      </c>
      <c r="B1051" s="48">
        <v>46154.87259259259</v>
      </c>
      <c r="C1051" s="30">
        <v>3.843669678E9</v>
      </c>
      <c r="D1051" s="47" t="s">
        <v>1509</v>
      </c>
      <c r="E1051" s="30">
        <v>1852.99</v>
      </c>
      <c r="F1051" s="30">
        <v>1535.52</v>
      </c>
      <c r="G1051" s="30">
        <v>0.0</v>
      </c>
      <c r="H1051" s="30">
        <v>0.0</v>
      </c>
      <c r="I1051" s="30">
        <v>80.04916800000001</v>
      </c>
      <c r="J1051" s="30">
        <v>0.0</v>
      </c>
      <c r="K1051" s="30">
        <v>0.0</v>
      </c>
      <c r="L1051" s="30">
        <v>0.0</v>
      </c>
      <c r="M1051" s="30">
        <v>0.0</v>
      </c>
      <c r="N1051" s="30">
        <v>308.8316666666667</v>
      </c>
      <c r="O1051" s="30">
        <v>-71.41083466666669</v>
      </c>
      <c r="P1051" s="30">
        <v>-3.853816516369041</v>
      </c>
      <c r="Q1051" s="30">
        <v>-4.6245798196428485</v>
      </c>
    </row>
    <row r="1052">
      <c r="A1052" s="47">
        <v>1.1223602148E10</v>
      </c>
      <c r="B1052" s="48">
        <v>46153.66572916666</v>
      </c>
      <c r="C1052" s="30">
        <v>3.839334825E9</v>
      </c>
      <c r="D1052" s="47" t="s">
        <v>1509</v>
      </c>
      <c r="E1052" s="30">
        <v>1499.0</v>
      </c>
      <c r="F1052" s="30">
        <v>780.0</v>
      </c>
      <c r="G1052" s="30">
        <v>0.0</v>
      </c>
      <c r="H1052" s="30">
        <v>0.0</v>
      </c>
      <c r="I1052" s="30">
        <v>202.365</v>
      </c>
      <c r="J1052" s="30">
        <v>0.0</v>
      </c>
      <c r="K1052" s="30">
        <v>0.0</v>
      </c>
      <c r="L1052" s="30">
        <v>0.0</v>
      </c>
      <c r="M1052" s="30">
        <v>0.0</v>
      </c>
      <c r="N1052" s="30">
        <v>249.83333333333326</v>
      </c>
      <c r="O1052" s="30">
        <v>266.80166666666673</v>
      </c>
      <c r="P1052" s="30">
        <v>17.798643540137874</v>
      </c>
      <c r="Q1052" s="30">
        <v>21.35837224816545</v>
      </c>
    </row>
    <row r="1053">
      <c r="A1053" s="47">
        <v>1.1229982962E10</v>
      </c>
      <c r="B1053" s="48">
        <v>46155.56265046296</v>
      </c>
      <c r="C1053" s="30">
        <v>3.845365952E9</v>
      </c>
      <c r="D1053" s="47" t="s">
        <v>1509</v>
      </c>
      <c r="E1053" s="30">
        <v>1880.0</v>
      </c>
      <c r="F1053" s="30">
        <v>1535.52</v>
      </c>
      <c r="G1053" s="30">
        <v>0.0</v>
      </c>
      <c r="H1053" s="30">
        <v>0.0</v>
      </c>
      <c r="I1053" s="30">
        <v>81.21600000000001</v>
      </c>
      <c r="J1053" s="30">
        <v>0.0</v>
      </c>
      <c r="K1053" s="30">
        <v>0.0</v>
      </c>
      <c r="L1053" s="30">
        <v>0.0</v>
      </c>
      <c r="M1053" s="30">
        <v>0.0</v>
      </c>
      <c r="N1053" s="30">
        <v>313.33333333333326</v>
      </c>
      <c r="O1053" s="30">
        <v>-50.06933333333325</v>
      </c>
      <c r="P1053" s="30">
        <v>-2.6632624113475134</v>
      </c>
      <c r="Q1053" s="30">
        <v>-3.1959148936170156</v>
      </c>
    </row>
    <row r="1054">
      <c r="A1054" s="47">
        <v>1.1229723669E10</v>
      </c>
      <c r="B1054" s="48">
        <v>46155.45060185185</v>
      </c>
      <c r="C1054" s="30">
        <v>3.845077564E9</v>
      </c>
      <c r="D1054" s="47" t="s">
        <v>1509</v>
      </c>
      <c r="E1054" s="30">
        <v>4089.0</v>
      </c>
      <c r="F1054" s="30">
        <v>3475.0</v>
      </c>
      <c r="G1054" s="30">
        <v>0.0</v>
      </c>
      <c r="H1054" s="30">
        <v>0.0</v>
      </c>
      <c r="I1054" s="30">
        <v>242.8866</v>
      </c>
      <c r="J1054" s="30">
        <v>0.0</v>
      </c>
      <c r="K1054" s="30">
        <v>0.0</v>
      </c>
      <c r="L1054" s="30">
        <v>0.0</v>
      </c>
      <c r="M1054" s="30">
        <v>0.0</v>
      </c>
      <c r="N1054" s="30">
        <v>681.5</v>
      </c>
      <c r="O1054" s="30">
        <v>-310.3866</v>
      </c>
      <c r="P1054" s="30">
        <v>-7.590770359501101</v>
      </c>
      <c r="Q1054" s="30">
        <v>-9.10892443140132</v>
      </c>
    </row>
    <row r="1055">
      <c r="A1055" s="47">
        <v>1.1227509728E10</v>
      </c>
      <c r="B1055" s="48">
        <v>46154.72626157408</v>
      </c>
      <c r="C1055" s="30">
        <v>3.843093415E9</v>
      </c>
      <c r="D1055" s="47" t="s">
        <v>1509</v>
      </c>
      <c r="E1055" s="30">
        <v>897.45</v>
      </c>
      <c r="F1055" s="30">
        <v>300.0</v>
      </c>
      <c r="G1055" s="30">
        <v>0.0</v>
      </c>
      <c r="H1055" s="30">
        <v>0.0</v>
      </c>
      <c r="I1055" s="30">
        <v>161.541</v>
      </c>
      <c r="J1055" s="30">
        <v>0.0</v>
      </c>
      <c r="K1055" s="30">
        <v>0.0</v>
      </c>
      <c r="L1055" s="30">
        <v>0.0</v>
      </c>
      <c r="M1055" s="30">
        <v>0.0</v>
      </c>
      <c r="N1055" s="30">
        <v>149.57499999999993</v>
      </c>
      <c r="O1055" s="30">
        <v>286.3340000000001</v>
      </c>
      <c r="P1055" s="30">
        <v>31.905287202629683</v>
      </c>
      <c r="Q1055" s="30">
        <v>38.286344643155616</v>
      </c>
    </row>
    <row r="1056">
      <c r="A1056" s="47">
        <v>1.1229760206E10</v>
      </c>
      <c r="B1056" s="48">
        <v>46155.47893518519</v>
      </c>
      <c r="C1056" s="30">
        <v>3.845121472E9</v>
      </c>
      <c r="D1056" s="47" t="s">
        <v>1509</v>
      </c>
      <c r="E1056" s="30">
        <v>1261.99</v>
      </c>
      <c r="F1056" s="30">
        <v>1165.0</v>
      </c>
      <c r="G1056" s="30">
        <v>0.0</v>
      </c>
      <c r="H1056" s="30">
        <v>0.0</v>
      </c>
      <c r="I1056" s="30">
        <v>45.431639999999994</v>
      </c>
      <c r="J1056" s="30">
        <v>0.0</v>
      </c>
      <c r="K1056" s="30">
        <v>0.0</v>
      </c>
      <c r="L1056" s="30">
        <v>0.0</v>
      </c>
      <c r="M1056" s="30">
        <v>0.0</v>
      </c>
      <c r="N1056" s="30">
        <v>210.3316666666667</v>
      </c>
      <c r="O1056" s="30">
        <v>-158.77330666666668</v>
      </c>
      <c r="P1056" s="30">
        <v>-12.58118579914791</v>
      </c>
      <c r="Q1056" s="30">
        <v>-15.097422958977491</v>
      </c>
    </row>
    <row r="1057">
      <c r="A1057" s="47">
        <v>1.1228407532E10</v>
      </c>
      <c r="B1057" s="48">
        <v>46154.91685185185</v>
      </c>
      <c r="C1057" s="30">
        <v>3.843833851E9</v>
      </c>
      <c r="D1057" s="47" t="s">
        <v>1509</v>
      </c>
      <c r="E1057" s="30">
        <v>1195.0</v>
      </c>
      <c r="F1057" s="30">
        <v>999.0</v>
      </c>
      <c r="G1057" s="30">
        <v>0.0</v>
      </c>
      <c r="H1057" s="30">
        <v>0.0</v>
      </c>
      <c r="I1057" s="30">
        <v>98.94599999999998</v>
      </c>
      <c r="J1057" s="30">
        <v>0.0</v>
      </c>
      <c r="K1057" s="30">
        <v>0.0</v>
      </c>
      <c r="L1057" s="30">
        <v>0.0</v>
      </c>
      <c r="M1057" s="30">
        <v>0.0</v>
      </c>
      <c r="N1057" s="30">
        <v>199.16666666666663</v>
      </c>
      <c r="O1057" s="30">
        <v>-102.11266666666661</v>
      </c>
      <c r="P1057" s="30">
        <v>-8.544993026499299</v>
      </c>
      <c r="Q1057" s="30">
        <v>-10.253991631799158</v>
      </c>
    </row>
    <row r="1058">
      <c r="A1058" s="47">
        <v>1.1229928393E10</v>
      </c>
      <c r="B1058" s="48">
        <v>46155.54751157408</v>
      </c>
      <c r="C1058" s="30">
        <v>3.845307041E9</v>
      </c>
      <c r="D1058" s="47" t="s">
        <v>1509</v>
      </c>
      <c r="E1058" s="30">
        <v>1017.0</v>
      </c>
      <c r="F1058" s="30">
        <v>832.44</v>
      </c>
      <c r="G1058" s="30">
        <v>0.0</v>
      </c>
      <c r="H1058" s="30">
        <v>0.0</v>
      </c>
      <c r="I1058" s="30">
        <v>34.577999999999996</v>
      </c>
      <c r="J1058" s="30">
        <v>0.0</v>
      </c>
      <c r="K1058" s="30">
        <v>0.0</v>
      </c>
      <c r="L1058" s="30">
        <v>0.0</v>
      </c>
      <c r="M1058" s="30">
        <v>0.0</v>
      </c>
      <c r="N1058" s="30">
        <v>169.5</v>
      </c>
      <c r="O1058" s="30">
        <v>-19.518000000000058</v>
      </c>
      <c r="P1058" s="30">
        <v>-1.9191740412979406</v>
      </c>
      <c r="Q1058" s="30">
        <v>-2.303008849557529</v>
      </c>
    </row>
    <row r="1059">
      <c r="A1059" s="47">
        <v>1.1228465257E10</v>
      </c>
      <c r="B1059" s="48">
        <v>46154.928402777776</v>
      </c>
      <c r="C1059" s="30">
        <v>3.843877794E9</v>
      </c>
      <c r="D1059" s="47" t="s">
        <v>1509</v>
      </c>
      <c r="E1059" s="30">
        <v>1852.99</v>
      </c>
      <c r="F1059" s="30">
        <v>1535.52</v>
      </c>
      <c r="G1059" s="30">
        <v>0.0</v>
      </c>
      <c r="H1059" s="30">
        <v>0.0</v>
      </c>
      <c r="I1059" s="30">
        <v>80.04916800000001</v>
      </c>
      <c r="J1059" s="30">
        <v>0.0</v>
      </c>
      <c r="K1059" s="30">
        <v>0.0</v>
      </c>
      <c r="L1059" s="30">
        <v>0.0</v>
      </c>
      <c r="M1059" s="30">
        <v>0.0</v>
      </c>
      <c r="N1059" s="30">
        <v>308.8316666666667</v>
      </c>
      <c r="O1059" s="30">
        <v>-71.41083466666669</v>
      </c>
      <c r="P1059" s="30">
        <v>-3.853816516369041</v>
      </c>
      <c r="Q1059" s="30">
        <v>-4.6245798196428485</v>
      </c>
    </row>
    <row r="1060">
      <c r="A1060" s="47">
        <v>1.1227143709E10</v>
      </c>
      <c r="B1060" s="48">
        <v>46154.65133101852</v>
      </c>
      <c r="C1060" s="30">
        <v>3.842777452E9</v>
      </c>
      <c r="D1060" s="47" t="s">
        <v>1509</v>
      </c>
      <c r="E1060" s="30">
        <v>1963.0</v>
      </c>
      <c r="F1060" s="30">
        <v>1535.52</v>
      </c>
      <c r="G1060" s="30">
        <v>0.0</v>
      </c>
      <c r="H1060" s="30">
        <v>0.0</v>
      </c>
      <c r="I1060" s="30">
        <v>123.669</v>
      </c>
      <c r="J1060" s="30">
        <v>0.0</v>
      </c>
      <c r="K1060" s="30">
        <v>0.0</v>
      </c>
      <c r="L1060" s="30">
        <v>0.0</v>
      </c>
      <c r="M1060" s="30">
        <v>0.0</v>
      </c>
      <c r="N1060" s="30">
        <v>327.1666666666665</v>
      </c>
      <c r="O1060" s="30">
        <v>-23.35566666666648</v>
      </c>
      <c r="P1060" s="30">
        <v>-1.1897945321786287</v>
      </c>
      <c r="Q1060" s="30">
        <v>-1.4277534386143542</v>
      </c>
    </row>
    <row r="1061">
      <c r="A1061" s="47">
        <v>1.1228682175E10</v>
      </c>
      <c r="B1061" s="48">
        <v>46154.97261574074</v>
      </c>
      <c r="C1061" s="30">
        <v>3.844045453E9</v>
      </c>
      <c r="D1061" s="47" t="s">
        <v>1509</v>
      </c>
      <c r="E1061" s="30">
        <v>1852.99</v>
      </c>
      <c r="F1061" s="30">
        <v>1535.52</v>
      </c>
      <c r="G1061" s="30">
        <v>0.0</v>
      </c>
      <c r="H1061" s="30">
        <v>0.0</v>
      </c>
      <c r="I1061" s="30">
        <v>80.04916800000001</v>
      </c>
      <c r="J1061" s="30">
        <v>0.0</v>
      </c>
      <c r="K1061" s="30">
        <v>0.0</v>
      </c>
      <c r="L1061" s="30">
        <v>0.0</v>
      </c>
      <c r="M1061" s="30">
        <v>0.0</v>
      </c>
      <c r="N1061" s="30">
        <v>308.8316666666667</v>
      </c>
      <c r="O1061" s="30">
        <v>-71.41083466666669</v>
      </c>
      <c r="P1061" s="30">
        <v>-3.853816516369041</v>
      </c>
      <c r="Q1061" s="30">
        <v>-4.6245798196428485</v>
      </c>
    </row>
    <row r="1062">
      <c r="A1062" s="47">
        <v>1.1229164912E10</v>
      </c>
      <c r="B1062" s="48">
        <v>46155.067465277774</v>
      </c>
      <c r="C1062" s="30">
        <v>3.844488424E9</v>
      </c>
      <c r="D1062" s="47" t="s">
        <v>1509</v>
      </c>
      <c r="E1062" s="30">
        <v>1880.0</v>
      </c>
      <c r="F1062" s="30">
        <v>1535.52</v>
      </c>
      <c r="G1062" s="30">
        <v>0.0</v>
      </c>
      <c r="H1062" s="30">
        <v>0.0</v>
      </c>
      <c r="I1062" s="30">
        <v>81.21600000000001</v>
      </c>
      <c r="J1062" s="30">
        <v>0.0</v>
      </c>
      <c r="K1062" s="30">
        <v>0.0</v>
      </c>
      <c r="L1062" s="30">
        <v>0.0</v>
      </c>
      <c r="M1062" s="30">
        <v>0.0</v>
      </c>
      <c r="N1062" s="30">
        <v>313.33333333333326</v>
      </c>
      <c r="O1062" s="30">
        <v>-50.06933333333325</v>
      </c>
      <c r="P1062" s="30">
        <v>-2.6632624113475134</v>
      </c>
      <c r="Q1062" s="30">
        <v>-3.1959148936170156</v>
      </c>
    </row>
    <row r="1063">
      <c r="A1063" s="47">
        <v>1.1228522574E10</v>
      </c>
      <c r="B1063" s="48">
        <v>46154.94011574074</v>
      </c>
      <c r="C1063" s="30">
        <v>3.843917009E9</v>
      </c>
      <c r="D1063" s="47" t="s">
        <v>1509</v>
      </c>
      <c r="E1063" s="30">
        <v>1852.99</v>
      </c>
      <c r="F1063" s="30">
        <v>1535.52</v>
      </c>
      <c r="G1063" s="30">
        <v>0.0</v>
      </c>
      <c r="H1063" s="30">
        <v>0.0</v>
      </c>
      <c r="I1063" s="30">
        <v>80.04916800000001</v>
      </c>
      <c r="J1063" s="30">
        <v>0.0</v>
      </c>
      <c r="K1063" s="30">
        <v>0.0</v>
      </c>
      <c r="L1063" s="30">
        <v>0.0</v>
      </c>
      <c r="M1063" s="30">
        <v>0.0</v>
      </c>
      <c r="N1063" s="30">
        <v>308.8316666666667</v>
      </c>
      <c r="O1063" s="30">
        <v>-71.41083466666669</v>
      </c>
      <c r="P1063" s="30">
        <v>-3.853816516369041</v>
      </c>
      <c r="Q1063" s="30">
        <v>-4.6245798196428485</v>
      </c>
    </row>
    <row r="1064">
      <c r="A1064" s="47">
        <v>1.1229150923E10</v>
      </c>
      <c r="B1064" s="48">
        <v>46155.064409722225</v>
      </c>
      <c r="C1064" s="30">
        <v>3.844475922E9</v>
      </c>
      <c r="D1064" s="47" t="s">
        <v>1509</v>
      </c>
      <c r="E1064" s="30">
        <v>1880.0</v>
      </c>
      <c r="F1064" s="30">
        <v>1535.52</v>
      </c>
      <c r="G1064" s="30">
        <v>0.0</v>
      </c>
      <c r="H1064" s="30">
        <v>0.0</v>
      </c>
      <c r="I1064" s="30">
        <v>81.21600000000001</v>
      </c>
      <c r="J1064" s="30">
        <v>0.0</v>
      </c>
      <c r="K1064" s="30">
        <v>0.0</v>
      </c>
      <c r="L1064" s="30">
        <v>0.0</v>
      </c>
      <c r="M1064" s="30">
        <v>0.0</v>
      </c>
      <c r="N1064" s="30">
        <v>313.33333333333326</v>
      </c>
      <c r="O1064" s="30">
        <v>-50.06933333333325</v>
      </c>
      <c r="P1064" s="30">
        <v>-2.6632624113475134</v>
      </c>
      <c r="Q1064" s="30">
        <v>-3.1959148936170156</v>
      </c>
    </row>
    <row r="1065">
      <c r="A1065" s="47">
        <v>1.1229293765E10</v>
      </c>
      <c r="B1065" s="48">
        <v>46155.09486111111</v>
      </c>
      <c r="C1065" s="30">
        <v>3.844619049E9</v>
      </c>
      <c r="D1065" s="47" t="s">
        <v>1509</v>
      </c>
      <c r="E1065" s="30">
        <v>1880.0</v>
      </c>
      <c r="F1065" s="30">
        <v>1535.52</v>
      </c>
      <c r="G1065" s="30">
        <v>0.0</v>
      </c>
      <c r="H1065" s="30">
        <v>0.0</v>
      </c>
      <c r="I1065" s="30">
        <v>81.21600000000001</v>
      </c>
      <c r="J1065" s="30">
        <v>0.0</v>
      </c>
      <c r="K1065" s="30">
        <v>0.0</v>
      </c>
      <c r="L1065" s="30">
        <v>0.0</v>
      </c>
      <c r="M1065" s="30">
        <v>0.0</v>
      </c>
      <c r="N1065" s="30">
        <v>313.33333333333326</v>
      </c>
      <c r="O1065" s="30">
        <v>-50.06933333333325</v>
      </c>
      <c r="P1065" s="30">
        <v>-2.6632624113475134</v>
      </c>
      <c r="Q1065" s="30">
        <v>-3.1959148936170156</v>
      </c>
    </row>
    <row r="1066">
      <c r="A1066" s="47">
        <v>1.1229052302E10</v>
      </c>
      <c r="B1066" s="48">
        <v>46155.045011574075</v>
      </c>
      <c r="C1066" s="30">
        <v>3.844375999E9</v>
      </c>
      <c r="D1066" s="47" t="s">
        <v>1509</v>
      </c>
      <c r="E1066" s="30">
        <v>735.0</v>
      </c>
      <c r="F1066" s="30">
        <v>580.0</v>
      </c>
      <c r="G1066" s="30">
        <v>0.0</v>
      </c>
      <c r="H1066" s="30">
        <v>0.0</v>
      </c>
      <c r="I1066" s="30">
        <v>32.4135</v>
      </c>
      <c r="J1066" s="30">
        <v>0.0</v>
      </c>
      <c r="K1066" s="30">
        <v>0.0</v>
      </c>
      <c r="L1066" s="30">
        <v>0.0</v>
      </c>
      <c r="M1066" s="30">
        <v>0.0</v>
      </c>
      <c r="N1066" s="30">
        <v>122.5</v>
      </c>
      <c r="O1066" s="30">
        <v>0.08650000000000091</v>
      </c>
      <c r="P1066" s="30">
        <v>0.01176870748299332</v>
      </c>
      <c r="Q1066" s="30">
        <v>0.014122448979591985</v>
      </c>
    </row>
    <row r="1067">
      <c r="A1067" s="47">
        <v>1.1228600691E10</v>
      </c>
      <c r="B1067" s="48">
        <v>46154.95599537037</v>
      </c>
      <c r="C1067" s="30">
        <v>3.843978882E9</v>
      </c>
      <c r="D1067" s="47" t="s">
        <v>1509</v>
      </c>
      <c r="E1067" s="30">
        <v>1195.0</v>
      </c>
      <c r="F1067" s="30">
        <v>999.0</v>
      </c>
      <c r="G1067" s="30">
        <v>0.0</v>
      </c>
      <c r="H1067" s="30">
        <v>0.0</v>
      </c>
      <c r="I1067" s="30">
        <v>98.94599999999998</v>
      </c>
      <c r="J1067" s="30">
        <v>0.0</v>
      </c>
      <c r="K1067" s="30">
        <v>0.0</v>
      </c>
      <c r="L1067" s="30">
        <v>0.0</v>
      </c>
      <c r="M1067" s="30">
        <v>0.0</v>
      </c>
      <c r="N1067" s="30">
        <v>199.16666666666663</v>
      </c>
      <c r="O1067" s="30">
        <v>-102.11266666666661</v>
      </c>
      <c r="P1067" s="30">
        <v>-8.544993026499299</v>
      </c>
      <c r="Q1067" s="30">
        <v>-10.253991631799158</v>
      </c>
    </row>
    <row r="1068">
      <c r="A1068" s="47">
        <v>1.1229467976E10</v>
      </c>
      <c r="B1068" s="48">
        <v>46155.13888888889</v>
      </c>
      <c r="C1068" s="30">
        <v>3.844801362E9</v>
      </c>
      <c r="D1068" s="47" t="s">
        <v>1509</v>
      </c>
      <c r="E1068" s="30">
        <v>1880.0</v>
      </c>
      <c r="F1068" s="30">
        <v>1535.52</v>
      </c>
      <c r="G1068" s="30">
        <v>0.0</v>
      </c>
      <c r="H1068" s="30">
        <v>0.0</v>
      </c>
      <c r="I1068" s="30">
        <v>81.21600000000001</v>
      </c>
      <c r="J1068" s="30">
        <v>0.0</v>
      </c>
      <c r="K1068" s="30">
        <v>0.0</v>
      </c>
      <c r="L1068" s="30">
        <v>0.0</v>
      </c>
      <c r="M1068" s="30">
        <v>0.0</v>
      </c>
      <c r="N1068" s="30">
        <v>313.33333333333326</v>
      </c>
      <c r="O1068" s="30">
        <v>-50.06933333333325</v>
      </c>
      <c r="P1068" s="30">
        <v>-2.6632624113475134</v>
      </c>
      <c r="Q1068" s="30">
        <v>-3.1959148936170156</v>
      </c>
    </row>
    <row r="1069">
      <c r="A1069" s="47">
        <v>1.1229384637E10</v>
      </c>
      <c r="B1069" s="48">
        <v>46155.11572916667</v>
      </c>
      <c r="C1069" s="30">
        <v>3.844714155E9</v>
      </c>
      <c r="D1069" s="47" t="s">
        <v>1509</v>
      </c>
      <c r="E1069" s="30">
        <v>737.0</v>
      </c>
      <c r="F1069" s="30">
        <v>580.0</v>
      </c>
      <c r="G1069" s="30">
        <v>0.0</v>
      </c>
      <c r="H1069" s="30">
        <v>0.0</v>
      </c>
      <c r="I1069" s="30">
        <v>36.481500000000004</v>
      </c>
      <c r="J1069" s="30">
        <v>0.0</v>
      </c>
      <c r="K1069" s="30">
        <v>0.0</v>
      </c>
      <c r="L1069" s="30">
        <v>0.0</v>
      </c>
      <c r="M1069" s="30">
        <v>0.0</v>
      </c>
      <c r="N1069" s="30">
        <v>122.83333333333326</v>
      </c>
      <c r="O1069" s="30">
        <v>-2.3148333333332687</v>
      </c>
      <c r="P1069" s="30">
        <v>-0.31408864767072847</v>
      </c>
      <c r="Q1069" s="30">
        <v>-0.3769063772048741</v>
      </c>
    </row>
    <row r="1070">
      <c r="A1070" s="47">
        <v>1.1228268391E10</v>
      </c>
      <c r="B1070" s="48">
        <v>46154.888773148145</v>
      </c>
      <c r="C1070" s="30">
        <v>3.84372857E9</v>
      </c>
      <c r="D1070" s="47" t="s">
        <v>1509</v>
      </c>
      <c r="E1070" s="30">
        <v>1852.99</v>
      </c>
      <c r="F1070" s="30">
        <v>1535.52</v>
      </c>
      <c r="G1070" s="30">
        <v>0.0</v>
      </c>
      <c r="H1070" s="30">
        <v>0.0</v>
      </c>
      <c r="I1070" s="30">
        <v>80.04916800000001</v>
      </c>
      <c r="J1070" s="30">
        <v>0.0</v>
      </c>
      <c r="K1070" s="30">
        <v>0.0</v>
      </c>
      <c r="L1070" s="30">
        <v>0.0</v>
      </c>
      <c r="M1070" s="30">
        <v>0.0</v>
      </c>
      <c r="N1070" s="30">
        <v>308.8316666666667</v>
      </c>
      <c r="O1070" s="30">
        <v>-71.41083466666669</v>
      </c>
      <c r="P1070" s="30">
        <v>-3.853816516369041</v>
      </c>
      <c r="Q1070" s="30">
        <v>-4.6245798196428485</v>
      </c>
    </row>
    <row r="1071">
      <c r="A1071" s="47">
        <v>1.1227167323E10</v>
      </c>
      <c r="B1071" s="48">
        <v>46154.65584490741</v>
      </c>
      <c r="C1071" s="30">
        <v>3.842797029E9</v>
      </c>
      <c r="D1071" s="47" t="s">
        <v>1509</v>
      </c>
      <c r="E1071" s="30">
        <v>1963.0</v>
      </c>
      <c r="F1071" s="30">
        <v>1535.52</v>
      </c>
      <c r="G1071" s="30">
        <v>0.0</v>
      </c>
      <c r="H1071" s="30">
        <v>0.0</v>
      </c>
      <c r="I1071" s="30">
        <v>123.669</v>
      </c>
      <c r="J1071" s="30">
        <v>0.0</v>
      </c>
      <c r="K1071" s="30">
        <v>0.0</v>
      </c>
      <c r="L1071" s="30">
        <v>0.0</v>
      </c>
      <c r="M1071" s="30">
        <v>0.0</v>
      </c>
      <c r="N1071" s="30">
        <v>327.1666666666665</v>
      </c>
      <c r="O1071" s="30">
        <v>-23.35566666666648</v>
      </c>
      <c r="P1071" s="30">
        <v>-1.1897945321786287</v>
      </c>
      <c r="Q1071" s="30">
        <v>-1.4277534386143542</v>
      </c>
    </row>
    <row r="1072">
      <c r="A1072" s="47">
        <v>1.1227907654E10</v>
      </c>
      <c r="B1072" s="48">
        <v>46154.81196759259</v>
      </c>
      <c r="C1072" s="30">
        <v>3.84344236E9</v>
      </c>
      <c r="D1072" s="47" t="s">
        <v>1509</v>
      </c>
      <c r="E1072" s="30">
        <v>1195.0</v>
      </c>
      <c r="F1072" s="30">
        <v>999.0</v>
      </c>
      <c r="G1072" s="30">
        <v>0.0</v>
      </c>
      <c r="H1072" s="30">
        <v>0.0</v>
      </c>
      <c r="I1072" s="30">
        <v>98.94599999999998</v>
      </c>
      <c r="J1072" s="30">
        <v>0.0</v>
      </c>
      <c r="K1072" s="30">
        <v>0.0</v>
      </c>
      <c r="L1072" s="30">
        <v>0.0</v>
      </c>
      <c r="M1072" s="30">
        <v>0.0</v>
      </c>
      <c r="N1072" s="30">
        <v>199.16666666666663</v>
      </c>
      <c r="O1072" s="30">
        <v>-102.11266666666661</v>
      </c>
      <c r="P1072" s="30">
        <v>-8.544993026499299</v>
      </c>
      <c r="Q1072" s="30">
        <v>-10.253991631799158</v>
      </c>
    </row>
    <row r="1073">
      <c r="A1073" s="47">
        <v>1.1228279648E10</v>
      </c>
      <c r="B1073" s="48">
        <v>46154.89115740741</v>
      </c>
      <c r="C1073" s="30">
        <v>3.843735531E9</v>
      </c>
      <c r="D1073" s="47" t="s">
        <v>1509</v>
      </c>
      <c r="E1073" s="30">
        <v>1195.0</v>
      </c>
      <c r="F1073" s="30">
        <v>999.0</v>
      </c>
      <c r="G1073" s="30">
        <v>0.0</v>
      </c>
      <c r="H1073" s="30">
        <v>0.0</v>
      </c>
      <c r="I1073" s="30">
        <v>98.94599999999998</v>
      </c>
      <c r="J1073" s="30">
        <v>0.0</v>
      </c>
      <c r="K1073" s="30">
        <v>0.0</v>
      </c>
      <c r="L1073" s="30">
        <v>0.0</v>
      </c>
      <c r="M1073" s="30">
        <v>0.0</v>
      </c>
      <c r="N1073" s="30">
        <v>199.16666666666663</v>
      </c>
      <c r="O1073" s="30">
        <v>-102.11266666666661</v>
      </c>
      <c r="P1073" s="30">
        <v>-8.544993026499299</v>
      </c>
      <c r="Q1073" s="30">
        <v>-10.253991631799158</v>
      </c>
    </row>
    <row r="1074">
      <c r="A1074" s="47">
        <v>1.1230396592E10</v>
      </c>
      <c r="B1074" s="48">
        <v>46155.65479166667</v>
      </c>
      <c r="C1074" s="30">
        <v>3.845736976E9</v>
      </c>
      <c r="D1074" s="47" t="s">
        <v>1509</v>
      </c>
      <c r="E1074" s="30">
        <v>1186.0</v>
      </c>
      <c r="F1074" s="30">
        <v>850.0</v>
      </c>
      <c r="G1074" s="30">
        <v>0.0</v>
      </c>
      <c r="H1074" s="30">
        <v>0.0</v>
      </c>
      <c r="I1074" s="30">
        <v>144.099</v>
      </c>
      <c r="J1074" s="30">
        <v>0.0</v>
      </c>
      <c r="K1074" s="30">
        <v>0.0</v>
      </c>
      <c r="L1074" s="30">
        <v>0.0</v>
      </c>
      <c r="M1074" s="30">
        <v>0.0</v>
      </c>
      <c r="N1074" s="30">
        <v>197.66666666666663</v>
      </c>
      <c r="O1074" s="30">
        <v>-5.765666666666618</v>
      </c>
      <c r="P1074" s="30">
        <v>-0.4861439010680117</v>
      </c>
      <c r="Q1074" s="30">
        <v>-0.583372681281614</v>
      </c>
    </row>
    <row r="1075">
      <c r="A1075" s="47">
        <v>1.1227904818E10</v>
      </c>
      <c r="B1075" s="48">
        <v>46154.81133101852</v>
      </c>
      <c r="C1075" s="30">
        <v>3.843438174E9</v>
      </c>
      <c r="D1075" s="47" t="s">
        <v>1509</v>
      </c>
      <c r="E1075" s="30">
        <v>1852.99</v>
      </c>
      <c r="F1075" s="30">
        <v>1535.52</v>
      </c>
      <c r="G1075" s="30">
        <v>0.0</v>
      </c>
      <c r="H1075" s="30">
        <v>0.0</v>
      </c>
      <c r="I1075" s="30">
        <v>80.04916800000001</v>
      </c>
      <c r="J1075" s="30">
        <v>0.0</v>
      </c>
      <c r="K1075" s="30">
        <v>0.0</v>
      </c>
      <c r="L1075" s="30">
        <v>0.0</v>
      </c>
      <c r="M1075" s="30">
        <v>0.0</v>
      </c>
      <c r="N1075" s="30">
        <v>308.8316666666667</v>
      </c>
      <c r="O1075" s="30">
        <v>-71.41083466666669</v>
      </c>
      <c r="P1075" s="30">
        <v>-3.853816516369041</v>
      </c>
      <c r="Q1075" s="30">
        <v>-4.6245798196428485</v>
      </c>
    </row>
    <row r="1076">
      <c r="A1076" s="47">
        <v>1.1229072585E10</v>
      </c>
      <c r="B1076" s="48">
        <v>46155.048854166664</v>
      </c>
      <c r="C1076" s="30">
        <v>3.844397375E9</v>
      </c>
      <c r="D1076" s="47" t="s">
        <v>1509</v>
      </c>
      <c r="E1076" s="30">
        <v>1880.0</v>
      </c>
      <c r="F1076" s="30">
        <v>1535.52</v>
      </c>
      <c r="G1076" s="30">
        <v>0.0</v>
      </c>
      <c r="H1076" s="30">
        <v>0.0</v>
      </c>
      <c r="I1076" s="30">
        <v>81.21600000000001</v>
      </c>
      <c r="J1076" s="30">
        <v>0.0</v>
      </c>
      <c r="K1076" s="30">
        <v>0.0</v>
      </c>
      <c r="L1076" s="30">
        <v>0.0</v>
      </c>
      <c r="M1076" s="30">
        <v>0.0</v>
      </c>
      <c r="N1076" s="30">
        <v>313.33333333333326</v>
      </c>
      <c r="O1076" s="30">
        <v>-50.06933333333325</v>
      </c>
      <c r="P1076" s="30">
        <v>-2.6632624113475134</v>
      </c>
      <c r="Q1076" s="30">
        <v>-3.1959148936170156</v>
      </c>
    </row>
    <row r="1077">
      <c r="A1077" s="47">
        <v>1.1229510659E10</v>
      </c>
      <c r="B1077" s="48">
        <v>46155.15342592593</v>
      </c>
      <c r="C1077" s="30">
        <v>3.844843918E9</v>
      </c>
      <c r="D1077" s="47" t="s">
        <v>1509</v>
      </c>
      <c r="E1077" s="30">
        <v>1261.99</v>
      </c>
      <c r="F1077" s="30">
        <v>1165.0</v>
      </c>
      <c r="G1077" s="30">
        <v>0.0</v>
      </c>
      <c r="H1077" s="30">
        <v>0.0</v>
      </c>
      <c r="I1077" s="30">
        <v>45.431639999999994</v>
      </c>
      <c r="J1077" s="30">
        <v>0.0</v>
      </c>
      <c r="K1077" s="30">
        <v>0.0</v>
      </c>
      <c r="L1077" s="30">
        <v>0.0</v>
      </c>
      <c r="M1077" s="30">
        <v>0.0</v>
      </c>
      <c r="N1077" s="30">
        <v>210.3316666666667</v>
      </c>
      <c r="O1077" s="30">
        <v>-158.77330666666668</v>
      </c>
      <c r="P1077" s="30">
        <v>-12.58118579914791</v>
      </c>
      <c r="Q1077" s="30">
        <v>-15.097422958977491</v>
      </c>
    </row>
    <row r="1078">
      <c r="A1078" s="47">
        <v>1.1228632884E10</v>
      </c>
      <c r="B1078" s="48">
        <v>46154.96282407407</v>
      </c>
      <c r="C1078" s="30">
        <v>3.844003341E9</v>
      </c>
      <c r="D1078" s="47" t="s">
        <v>1509</v>
      </c>
      <c r="E1078" s="30">
        <v>1852.99</v>
      </c>
      <c r="F1078" s="30">
        <v>1535.52</v>
      </c>
      <c r="G1078" s="30">
        <v>0.0</v>
      </c>
      <c r="H1078" s="30">
        <v>0.0</v>
      </c>
      <c r="I1078" s="30">
        <v>80.04916800000001</v>
      </c>
      <c r="J1078" s="30">
        <v>0.0</v>
      </c>
      <c r="K1078" s="30">
        <v>0.0</v>
      </c>
      <c r="L1078" s="30">
        <v>0.0</v>
      </c>
      <c r="M1078" s="30">
        <v>0.0</v>
      </c>
      <c r="N1078" s="30">
        <v>308.8316666666667</v>
      </c>
      <c r="O1078" s="30">
        <v>-71.41083466666669</v>
      </c>
      <c r="P1078" s="30">
        <v>-3.853816516369041</v>
      </c>
      <c r="Q1078" s="30">
        <v>-4.6245798196428485</v>
      </c>
    </row>
    <row r="1079">
      <c r="A1079" s="47">
        <v>1.1229405354E10</v>
      </c>
      <c r="B1079" s="48">
        <v>46155.12060185185</v>
      </c>
      <c r="C1079" s="30">
        <v>3.844733781E9</v>
      </c>
      <c r="D1079" s="47" t="s">
        <v>1509</v>
      </c>
      <c r="E1079" s="30">
        <v>4089.0</v>
      </c>
      <c r="F1079" s="30">
        <v>3475.0</v>
      </c>
      <c r="G1079" s="30">
        <v>0.0</v>
      </c>
      <c r="H1079" s="30">
        <v>0.0</v>
      </c>
      <c r="I1079" s="30">
        <v>242.8866</v>
      </c>
      <c r="J1079" s="30">
        <v>0.0</v>
      </c>
      <c r="K1079" s="30">
        <v>0.0</v>
      </c>
      <c r="L1079" s="30">
        <v>0.0</v>
      </c>
      <c r="M1079" s="30">
        <v>0.0</v>
      </c>
      <c r="N1079" s="30">
        <v>681.5</v>
      </c>
      <c r="O1079" s="30">
        <v>-310.3866</v>
      </c>
      <c r="P1079" s="30">
        <v>-7.590770359501101</v>
      </c>
      <c r="Q1079" s="30">
        <v>-9.10892443140132</v>
      </c>
    </row>
    <row r="1080">
      <c r="A1080" s="47">
        <v>1.1223959563E10</v>
      </c>
      <c r="B1080" s="48">
        <v>46153.73033564815</v>
      </c>
      <c r="C1080" s="30">
        <v>3.839670951E9</v>
      </c>
      <c r="D1080" s="47" t="s">
        <v>1509</v>
      </c>
      <c r="E1080" s="30">
        <v>1767.0</v>
      </c>
      <c r="F1080" s="30">
        <v>1260.0</v>
      </c>
      <c r="G1080" s="30">
        <v>0.0</v>
      </c>
      <c r="H1080" s="30">
        <v>0.0</v>
      </c>
      <c r="I1080" s="30">
        <v>220.875</v>
      </c>
      <c r="J1080" s="30">
        <v>0.0</v>
      </c>
      <c r="K1080" s="30">
        <v>0.0</v>
      </c>
      <c r="L1080" s="30">
        <v>0.0</v>
      </c>
      <c r="M1080" s="30">
        <v>0.0</v>
      </c>
      <c r="N1080" s="30">
        <v>294.5</v>
      </c>
      <c r="O1080" s="30">
        <v>-8.375</v>
      </c>
      <c r="P1080" s="30">
        <v>-0.4739671760045274</v>
      </c>
      <c r="Q1080" s="30">
        <v>-0.568760611205433</v>
      </c>
    </row>
    <row r="1081">
      <c r="A1081" s="47">
        <v>1.122836982E10</v>
      </c>
      <c r="B1081" s="48">
        <v>46154.90930555556</v>
      </c>
      <c r="C1081" s="30">
        <v>3.843802496E9</v>
      </c>
      <c r="D1081" s="47" t="s">
        <v>1509</v>
      </c>
      <c r="E1081" s="30">
        <v>1852.99</v>
      </c>
      <c r="F1081" s="30">
        <v>1535.52</v>
      </c>
      <c r="G1081" s="30">
        <v>0.0</v>
      </c>
      <c r="H1081" s="30">
        <v>0.0</v>
      </c>
      <c r="I1081" s="30">
        <v>80.04916800000001</v>
      </c>
      <c r="J1081" s="30">
        <v>0.0</v>
      </c>
      <c r="K1081" s="30">
        <v>0.0</v>
      </c>
      <c r="L1081" s="30">
        <v>0.0</v>
      </c>
      <c r="M1081" s="30">
        <v>0.0</v>
      </c>
      <c r="N1081" s="30">
        <v>308.8316666666667</v>
      </c>
      <c r="O1081" s="30">
        <v>-71.41083466666669</v>
      </c>
      <c r="P1081" s="30">
        <v>-3.853816516369041</v>
      </c>
      <c r="Q1081" s="30">
        <v>-4.6245798196428485</v>
      </c>
    </row>
    <row r="1082">
      <c r="A1082" s="47">
        <v>1.1229089532E10</v>
      </c>
      <c r="B1082" s="48">
        <v>46155.05211805556</v>
      </c>
      <c r="C1082" s="30">
        <v>3.844412285E9</v>
      </c>
      <c r="D1082" s="47" t="s">
        <v>1509</v>
      </c>
      <c r="E1082" s="30">
        <v>735.0</v>
      </c>
      <c r="F1082" s="30">
        <v>580.0</v>
      </c>
      <c r="G1082" s="30">
        <v>0.0</v>
      </c>
      <c r="H1082" s="30">
        <v>0.0</v>
      </c>
      <c r="I1082" s="30">
        <v>32.4135</v>
      </c>
      <c r="J1082" s="30">
        <v>0.0</v>
      </c>
      <c r="K1082" s="30">
        <v>0.0</v>
      </c>
      <c r="L1082" s="30">
        <v>0.0</v>
      </c>
      <c r="M1082" s="30">
        <v>0.0</v>
      </c>
      <c r="N1082" s="30">
        <v>122.5</v>
      </c>
      <c r="O1082" s="30">
        <v>0.08650000000000091</v>
      </c>
      <c r="P1082" s="30">
        <v>0.01176870748299332</v>
      </c>
      <c r="Q1082" s="30">
        <v>0.014122448979591985</v>
      </c>
    </row>
    <row r="1083">
      <c r="A1083" s="47">
        <v>1.1229150322E10</v>
      </c>
      <c r="B1083" s="48">
        <v>46155.06427083333</v>
      </c>
      <c r="C1083" s="30">
        <v>3.844472835E9</v>
      </c>
      <c r="D1083" s="47" t="s">
        <v>1509</v>
      </c>
      <c r="E1083" s="30">
        <v>1438.0</v>
      </c>
      <c r="F1083" s="30">
        <v>754.0</v>
      </c>
      <c r="G1083" s="30">
        <v>0.0</v>
      </c>
      <c r="H1083" s="30">
        <v>0.0</v>
      </c>
      <c r="I1083" s="30">
        <v>213.543</v>
      </c>
      <c r="J1083" s="30">
        <v>0.0</v>
      </c>
      <c r="K1083" s="30">
        <v>0.0</v>
      </c>
      <c r="L1083" s="30">
        <v>0.0</v>
      </c>
      <c r="M1083" s="30">
        <v>0.0</v>
      </c>
      <c r="N1083" s="30">
        <v>239.66666666666652</v>
      </c>
      <c r="O1083" s="30">
        <v>230.79033333333348</v>
      </c>
      <c r="P1083" s="30">
        <v>16.049397311080213</v>
      </c>
      <c r="Q1083" s="30">
        <v>19.259276773296254</v>
      </c>
    </row>
    <row r="1084">
      <c r="A1084" s="47">
        <v>1.1227745437E10</v>
      </c>
      <c r="B1084" s="48">
        <v>46154.77678240741</v>
      </c>
      <c r="C1084" s="30">
        <v>3.843298791E9</v>
      </c>
      <c r="D1084" s="47" t="s">
        <v>1509</v>
      </c>
      <c r="E1084" s="30">
        <v>579.0</v>
      </c>
      <c r="F1084" s="30">
        <v>173.0</v>
      </c>
      <c r="G1084" s="30">
        <v>0.0</v>
      </c>
      <c r="H1084" s="30">
        <v>0.0</v>
      </c>
      <c r="I1084" s="30">
        <v>65.1375</v>
      </c>
      <c r="J1084" s="30">
        <v>0.0</v>
      </c>
      <c r="K1084" s="30">
        <v>0.0</v>
      </c>
      <c r="L1084" s="30">
        <v>0.0</v>
      </c>
      <c r="M1084" s="30">
        <v>0.0</v>
      </c>
      <c r="N1084" s="30">
        <v>96.5</v>
      </c>
      <c r="O1084" s="30">
        <v>244.3625</v>
      </c>
      <c r="P1084" s="30">
        <v>42.204231433506045</v>
      </c>
      <c r="Q1084" s="30">
        <v>50.645077720207254</v>
      </c>
    </row>
    <row r="1085">
      <c r="A1085" s="47">
        <v>1.1221130055E10</v>
      </c>
      <c r="B1085" s="48">
        <v>46152.89797453704</v>
      </c>
      <c r="C1085" s="30">
        <v>3.836945918E9</v>
      </c>
      <c r="D1085" s="47" t="s">
        <v>1509</v>
      </c>
      <c r="E1085" s="30">
        <v>1482.0</v>
      </c>
      <c r="F1085" s="30">
        <v>1053.0</v>
      </c>
      <c r="G1085" s="30">
        <v>0.0</v>
      </c>
      <c r="H1085" s="30">
        <v>0.0</v>
      </c>
      <c r="I1085" s="30">
        <v>185.25</v>
      </c>
      <c r="J1085" s="30">
        <v>0.0</v>
      </c>
      <c r="K1085" s="30">
        <v>0.0</v>
      </c>
      <c r="L1085" s="30">
        <v>0.0</v>
      </c>
      <c r="M1085" s="30">
        <v>0.0</v>
      </c>
      <c r="N1085" s="30">
        <v>247.0</v>
      </c>
      <c r="O1085" s="30">
        <v>-3.25</v>
      </c>
      <c r="P1085" s="30">
        <v>-0.21929824561403508</v>
      </c>
      <c r="Q1085" s="30">
        <v>-0.2631578947368421</v>
      </c>
    </row>
    <row r="1086">
      <c r="A1086" s="47">
        <v>1.122924521E10</v>
      </c>
      <c r="B1086" s="48">
        <v>46155.0844212963</v>
      </c>
      <c r="C1086" s="30">
        <v>3.844569839E9</v>
      </c>
      <c r="D1086" s="47" t="s">
        <v>1509</v>
      </c>
      <c r="E1086" s="30">
        <v>1880.0</v>
      </c>
      <c r="F1086" s="30">
        <v>1535.52</v>
      </c>
      <c r="G1086" s="30">
        <v>0.0</v>
      </c>
      <c r="H1086" s="30">
        <v>0.0</v>
      </c>
      <c r="I1086" s="30">
        <v>81.21600000000001</v>
      </c>
      <c r="J1086" s="30">
        <v>0.0</v>
      </c>
      <c r="K1086" s="30">
        <v>0.0</v>
      </c>
      <c r="L1086" s="30">
        <v>0.0</v>
      </c>
      <c r="M1086" s="30">
        <v>0.0</v>
      </c>
      <c r="N1086" s="30">
        <v>313.33333333333326</v>
      </c>
      <c r="O1086" s="30">
        <v>-50.06933333333325</v>
      </c>
      <c r="P1086" s="30">
        <v>-2.6632624113475134</v>
      </c>
      <c r="Q1086" s="30">
        <v>-3.1959148936170156</v>
      </c>
    </row>
    <row r="1087">
      <c r="A1087" s="47">
        <v>1.1227951298E10</v>
      </c>
      <c r="B1087" s="48">
        <v>46154.821747685186</v>
      </c>
      <c r="C1087" s="30">
        <v>3.843481507E9</v>
      </c>
      <c r="D1087" s="47" t="s">
        <v>1509</v>
      </c>
      <c r="E1087" s="30">
        <v>1852.99</v>
      </c>
      <c r="F1087" s="30">
        <v>1535.52</v>
      </c>
      <c r="G1087" s="30">
        <v>0.0</v>
      </c>
      <c r="H1087" s="30">
        <v>0.0</v>
      </c>
      <c r="I1087" s="30">
        <v>80.04916800000001</v>
      </c>
      <c r="J1087" s="30">
        <v>0.0</v>
      </c>
      <c r="K1087" s="30">
        <v>0.0</v>
      </c>
      <c r="L1087" s="30">
        <v>0.0</v>
      </c>
      <c r="M1087" s="30">
        <v>0.0</v>
      </c>
      <c r="N1087" s="30">
        <v>308.8316666666667</v>
      </c>
      <c r="O1087" s="30">
        <v>-71.41083466666669</v>
      </c>
      <c r="P1087" s="30">
        <v>-3.853816516369041</v>
      </c>
      <c r="Q1087" s="30">
        <v>-4.6245798196428485</v>
      </c>
    </row>
    <row r="1088">
      <c r="A1088" s="47">
        <v>1.1202630318E10</v>
      </c>
      <c r="B1088" s="48">
        <v>46147.88049768518</v>
      </c>
      <c r="C1088" s="30">
        <v>3.819782979E9</v>
      </c>
      <c r="D1088" s="47" t="s">
        <v>1509</v>
      </c>
      <c r="E1088" s="30">
        <v>870.0</v>
      </c>
      <c r="F1088" s="30">
        <v>580.0</v>
      </c>
      <c r="G1088" s="30">
        <v>0.0</v>
      </c>
      <c r="H1088" s="30">
        <v>0.0</v>
      </c>
      <c r="I1088" s="30">
        <v>117.45</v>
      </c>
      <c r="J1088" s="30">
        <v>0.0</v>
      </c>
      <c r="K1088" s="30">
        <v>0.0</v>
      </c>
      <c r="L1088" s="30">
        <v>0.0</v>
      </c>
      <c r="M1088" s="30">
        <v>0.0</v>
      </c>
      <c r="N1088" s="30">
        <v>145.0</v>
      </c>
      <c r="O1088" s="30">
        <v>27.55000000000001</v>
      </c>
      <c r="P1088" s="30">
        <v>3.166666666666668</v>
      </c>
      <c r="Q1088" s="30">
        <v>3.800000000000001</v>
      </c>
    </row>
    <row r="1089">
      <c r="A1089" s="47">
        <v>1.1229760692E10</v>
      </c>
      <c r="B1089" s="48">
        <v>46155.47925925926</v>
      </c>
      <c r="C1089" s="30">
        <v>3.845121189E9</v>
      </c>
      <c r="D1089" s="47" t="s">
        <v>1509</v>
      </c>
      <c r="E1089" s="30">
        <v>1354.0</v>
      </c>
      <c r="F1089" s="30">
        <v>1160.0</v>
      </c>
      <c r="G1089" s="30">
        <v>0.0</v>
      </c>
      <c r="H1089" s="30">
        <v>0.0</v>
      </c>
      <c r="I1089" s="30">
        <v>86.5206</v>
      </c>
      <c r="J1089" s="30">
        <v>0.0</v>
      </c>
      <c r="K1089" s="30">
        <v>0.0</v>
      </c>
      <c r="L1089" s="30">
        <v>0.0</v>
      </c>
      <c r="M1089" s="30">
        <v>0.0</v>
      </c>
      <c r="N1089" s="30">
        <v>225.66666666666652</v>
      </c>
      <c r="O1089" s="30">
        <v>-118.18726666666652</v>
      </c>
      <c r="P1089" s="30">
        <v>-8.728749384539626</v>
      </c>
      <c r="Q1089" s="30">
        <v>-10.474499261447548</v>
      </c>
    </row>
    <row r="1090">
      <c r="A1090" s="47">
        <v>1.1223950144E10</v>
      </c>
      <c r="B1090" s="48">
        <v>46153.728530092594</v>
      </c>
      <c r="C1090" s="30">
        <v>3.839665227E9</v>
      </c>
      <c r="D1090" s="47" t="s">
        <v>1509</v>
      </c>
      <c r="E1090" s="30">
        <v>2142.0</v>
      </c>
      <c r="F1090" s="30">
        <v>1459.08</v>
      </c>
      <c r="G1090" s="30">
        <v>0.0</v>
      </c>
      <c r="H1090" s="30">
        <v>0.0</v>
      </c>
      <c r="I1090" s="30">
        <v>267.75</v>
      </c>
      <c r="J1090" s="30">
        <v>0.0</v>
      </c>
      <c r="K1090" s="30">
        <v>0.0</v>
      </c>
      <c r="L1090" s="30">
        <v>0.0</v>
      </c>
      <c r="M1090" s="30">
        <v>0.0</v>
      </c>
      <c r="N1090" s="30">
        <v>357.0</v>
      </c>
      <c r="O1090" s="30">
        <v>58.17000000000007</v>
      </c>
      <c r="P1090" s="30">
        <v>2.7156862745098076</v>
      </c>
      <c r="Q1090" s="30">
        <v>3.2588235294117687</v>
      </c>
    </row>
    <row r="1091">
      <c r="A1091" s="47">
        <v>1.1223912259E10</v>
      </c>
      <c r="B1091" s="48">
        <v>46153.72144675926</v>
      </c>
      <c r="C1091" s="30">
        <v>3.839626779E9</v>
      </c>
      <c r="D1091" s="47" t="s">
        <v>1509</v>
      </c>
      <c r="E1091" s="30">
        <v>897.45</v>
      </c>
      <c r="F1091" s="30">
        <v>300.0</v>
      </c>
      <c r="G1091" s="30">
        <v>0.0</v>
      </c>
      <c r="H1091" s="30">
        <v>0.0</v>
      </c>
      <c r="I1091" s="30">
        <v>179.49</v>
      </c>
      <c r="J1091" s="30">
        <v>0.0</v>
      </c>
      <c r="K1091" s="30">
        <v>0.0</v>
      </c>
      <c r="L1091" s="30">
        <v>0.0</v>
      </c>
      <c r="M1091" s="30">
        <v>0.0</v>
      </c>
      <c r="N1091" s="30">
        <v>149.57499999999993</v>
      </c>
      <c r="O1091" s="30">
        <v>268.3850000000001</v>
      </c>
      <c r="P1091" s="30">
        <v>29.905287202629683</v>
      </c>
      <c r="Q1091" s="30">
        <v>35.88634464315562</v>
      </c>
    </row>
    <row r="1092">
      <c r="A1092" s="47">
        <v>1.1228944978E10</v>
      </c>
      <c r="B1092" s="48">
        <v>46155.0240162037</v>
      </c>
      <c r="C1092" s="30">
        <v>3.844272911E9</v>
      </c>
      <c r="D1092" s="47" t="s">
        <v>1509</v>
      </c>
      <c r="E1092" s="30">
        <v>1880.0</v>
      </c>
      <c r="F1092" s="30">
        <v>1535.52</v>
      </c>
      <c r="G1092" s="30">
        <v>0.0</v>
      </c>
      <c r="H1092" s="30">
        <v>0.0</v>
      </c>
      <c r="I1092" s="30">
        <v>81.21600000000001</v>
      </c>
      <c r="J1092" s="30">
        <v>0.0</v>
      </c>
      <c r="K1092" s="30">
        <v>0.0</v>
      </c>
      <c r="L1092" s="30">
        <v>0.0</v>
      </c>
      <c r="M1092" s="30">
        <v>0.0</v>
      </c>
      <c r="N1092" s="30">
        <v>313.33333333333326</v>
      </c>
      <c r="O1092" s="30">
        <v>-50.06933333333325</v>
      </c>
      <c r="P1092" s="30">
        <v>-2.6632624113475134</v>
      </c>
      <c r="Q1092" s="30">
        <v>-3.1959148936170156</v>
      </c>
    </row>
    <row r="1093">
      <c r="A1093" s="47">
        <v>1.1232379283E10</v>
      </c>
      <c r="B1093" s="48">
        <v>46156.068078703705</v>
      </c>
      <c r="C1093" s="30">
        <v>3.847425707E9</v>
      </c>
      <c r="D1093" s="47" t="s">
        <v>1511</v>
      </c>
      <c r="E1093" s="30">
        <v>729.0</v>
      </c>
      <c r="F1093" s="30">
        <v>580.0</v>
      </c>
      <c r="G1093" s="30">
        <v>0.0</v>
      </c>
      <c r="H1093" s="30">
        <v>0.0</v>
      </c>
      <c r="I1093" s="30">
        <v>0.0</v>
      </c>
      <c r="J1093" s="30">
        <v>0.0</v>
      </c>
      <c r="K1093" s="30">
        <v>0.0</v>
      </c>
      <c r="L1093" s="30">
        <v>0.0</v>
      </c>
      <c r="M1093" s="30">
        <v>0.0</v>
      </c>
      <c r="N1093" s="30">
        <v>121.5</v>
      </c>
      <c r="O1093" s="30">
        <v>27.5</v>
      </c>
      <c r="P1093" s="30">
        <v>3.772290809327846</v>
      </c>
      <c r="Q1093" s="30">
        <v>4.526748971193416</v>
      </c>
    </row>
    <row r="1094">
      <c r="A1094" s="47">
        <v>1.1221474774E10</v>
      </c>
      <c r="B1094" s="48">
        <v>46152.95936342593</v>
      </c>
      <c r="C1094" s="30">
        <v>3.837197434E9</v>
      </c>
      <c r="D1094" s="47" t="s">
        <v>1509</v>
      </c>
      <c r="E1094" s="30">
        <v>1199.0</v>
      </c>
      <c r="F1094" s="30">
        <v>796.32</v>
      </c>
      <c r="G1094" s="30">
        <v>0.0</v>
      </c>
      <c r="H1094" s="30">
        <v>0.0</v>
      </c>
      <c r="I1094" s="30">
        <v>149.875</v>
      </c>
      <c r="J1094" s="30">
        <v>0.0</v>
      </c>
      <c r="K1094" s="30">
        <v>0.0</v>
      </c>
      <c r="L1094" s="30">
        <v>0.0</v>
      </c>
      <c r="M1094" s="30">
        <v>0.0</v>
      </c>
      <c r="N1094" s="30">
        <v>199.83333333333326</v>
      </c>
      <c r="O1094" s="30">
        <v>52.97166666666669</v>
      </c>
      <c r="P1094" s="30">
        <v>4.417987211565196</v>
      </c>
      <c r="Q1094" s="30">
        <v>5.301584653878234</v>
      </c>
    </row>
    <row r="1095">
      <c r="A1095" s="47">
        <v>1.1226192424E10</v>
      </c>
      <c r="B1095" s="48">
        <v>46154.1262037037</v>
      </c>
      <c r="C1095" s="30">
        <v>3.841798751E9</v>
      </c>
      <c r="D1095" s="47" t="s">
        <v>1509</v>
      </c>
      <c r="E1095" s="30">
        <v>474.47</v>
      </c>
      <c r="F1095" s="30">
        <v>130.0</v>
      </c>
      <c r="G1095" s="30">
        <v>0.0</v>
      </c>
      <c r="H1095" s="30">
        <v>0.0</v>
      </c>
      <c r="I1095" s="30">
        <v>94.89400000000002</v>
      </c>
      <c r="J1095" s="30">
        <v>0.0</v>
      </c>
      <c r="K1095" s="30">
        <v>0.0</v>
      </c>
      <c r="L1095" s="30">
        <v>0.0</v>
      </c>
      <c r="M1095" s="30">
        <v>0.0</v>
      </c>
      <c r="N1095" s="30">
        <v>79.07833333333332</v>
      </c>
      <c r="O1095" s="30">
        <v>170.4976666666667</v>
      </c>
      <c r="P1095" s="30">
        <v>35.93434077321363</v>
      </c>
      <c r="Q1095" s="30">
        <v>43.121208927856344</v>
      </c>
    </row>
    <row r="1096">
      <c r="A1096" s="47">
        <v>1.1220815832E10</v>
      </c>
      <c r="B1096" s="48">
        <v>46152.84086805556</v>
      </c>
      <c r="C1096" s="30">
        <v>3.836719563E9</v>
      </c>
      <c r="D1096" s="47" t="s">
        <v>1509</v>
      </c>
      <c r="E1096" s="30">
        <v>1482.0</v>
      </c>
      <c r="F1096" s="30">
        <v>1053.0</v>
      </c>
      <c r="G1096" s="30">
        <v>0.0</v>
      </c>
      <c r="H1096" s="30">
        <v>0.0</v>
      </c>
      <c r="I1096" s="30">
        <v>185.25</v>
      </c>
      <c r="J1096" s="30">
        <v>0.0</v>
      </c>
      <c r="K1096" s="30">
        <v>0.0</v>
      </c>
      <c r="L1096" s="30">
        <v>0.0</v>
      </c>
      <c r="M1096" s="30">
        <v>0.0</v>
      </c>
      <c r="N1096" s="30">
        <v>247.0</v>
      </c>
      <c r="O1096" s="30">
        <v>-3.25</v>
      </c>
      <c r="P1096" s="30">
        <v>-0.21929824561403508</v>
      </c>
      <c r="Q1096" s="30">
        <v>-0.2631578947368421</v>
      </c>
    </row>
    <row r="1097">
      <c r="A1097" s="47">
        <v>1.1227149004E10</v>
      </c>
      <c r="B1097" s="48">
        <v>46154.652453703704</v>
      </c>
      <c r="C1097" s="30">
        <v>3.842781773E9</v>
      </c>
      <c r="D1097" s="47" t="s">
        <v>1509</v>
      </c>
      <c r="E1097" s="30">
        <v>1963.0</v>
      </c>
      <c r="F1097" s="30">
        <v>1535.52</v>
      </c>
      <c r="G1097" s="30">
        <v>0.0</v>
      </c>
      <c r="H1097" s="30">
        <v>0.0</v>
      </c>
      <c r="I1097" s="30">
        <v>123.669</v>
      </c>
      <c r="J1097" s="30">
        <v>0.0</v>
      </c>
      <c r="K1097" s="30">
        <v>0.0</v>
      </c>
      <c r="L1097" s="30">
        <v>0.0</v>
      </c>
      <c r="M1097" s="30">
        <v>0.0</v>
      </c>
      <c r="N1097" s="30">
        <v>327.1666666666665</v>
      </c>
      <c r="O1097" s="30">
        <v>-23.35566666666648</v>
      </c>
      <c r="P1097" s="30">
        <v>-1.1897945321786287</v>
      </c>
      <c r="Q1097" s="30">
        <v>-1.4277534386143542</v>
      </c>
    </row>
    <row r="1098">
      <c r="A1098" s="47">
        <v>1.121662183E10</v>
      </c>
      <c r="B1098" s="48">
        <v>46151.66903935185</v>
      </c>
      <c r="C1098" s="30">
        <v>3.833154862E9</v>
      </c>
      <c r="D1098" s="47" t="s">
        <v>1509</v>
      </c>
      <c r="E1098" s="30">
        <v>963.0</v>
      </c>
      <c r="F1098" s="30">
        <v>260.0</v>
      </c>
      <c r="G1098" s="30">
        <v>0.0</v>
      </c>
      <c r="H1098" s="30">
        <v>0.0</v>
      </c>
      <c r="I1098" s="30">
        <v>192.6</v>
      </c>
      <c r="J1098" s="30">
        <v>0.0</v>
      </c>
      <c r="K1098" s="30">
        <v>0.0</v>
      </c>
      <c r="L1098" s="30">
        <v>0.0</v>
      </c>
      <c r="M1098" s="30">
        <v>0.0</v>
      </c>
      <c r="N1098" s="30">
        <v>160.5</v>
      </c>
      <c r="O1098" s="30">
        <v>349.9</v>
      </c>
      <c r="P1098" s="30">
        <v>36.3343717549325</v>
      </c>
      <c r="Q1098" s="30">
        <v>43.601246105919</v>
      </c>
    </row>
    <row r="1099">
      <c r="A1099" s="47">
        <v>1.1226497587E10</v>
      </c>
      <c r="B1099" s="48">
        <v>46154.43920138889</v>
      </c>
      <c r="C1099" s="30">
        <v>3.84213612E9</v>
      </c>
      <c r="D1099" s="47" t="s">
        <v>1509</v>
      </c>
      <c r="E1099" s="30">
        <v>1535.0</v>
      </c>
      <c r="F1099" s="30">
        <v>900.0</v>
      </c>
      <c r="G1099" s="30">
        <v>0.0</v>
      </c>
      <c r="H1099" s="30">
        <v>0.0</v>
      </c>
      <c r="I1099" s="30">
        <v>191.875</v>
      </c>
      <c r="J1099" s="30">
        <v>0.0</v>
      </c>
      <c r="K1099" s="30">
        <v>0.0</v>
      </c>
      <c r="L1099" s="30">
        <v>0.0</v>
      </c>
      <c r="M1099" s="30">
        <v>0.0</v>
      </c>
      <c r="N1099" s="30">
        <v>255.83333333333326</v>
      </c>
      <c r="O1099" s="30">
        <v>187.29166666666674</v>
      </c>
      <c r="P1099" s="30">
        <v>12.201411509229104</v>
      </c>
      <c r="Q1099" s="30">
        <v>14.641693811074925</v>
      </c>
    </row>
    <row r="1100">
      <c r="A1100" s="47">
        <v>1.1223412592E10</v>
      </c>
      <c r="B1100" s="48">
        <v>46153.63267361111</v>
      </c>
      <c r="C1100" s="30">
        <v>3.839163167E9</v>
      </c>
      <c r="D1100" s="47" t="s">
        <v>1509</v>
      </c>
      <c r="E1100" s="30">
        <v>948.0</v>
      </c>
      <c r="F1100" s="30">
        <v>260.0</v>
      </c>
      <c r="G1100" s="30">
        <v>0.0</v>
      </c>
      <c r="H1100" s="30">
        <v>0.0</v>
      </c>
      <c r="I1100" s="30">
        <v>189.6</v>
      </c>
      <c r="J1100" s="30">
        <v>0.0</v>
      </c>
      <c r="K1100" s="30">
        <v>0.0</v>
      </c>
      <c r="L1100" s="30">
        <v>0.0</v>
      </c>
      <c r="M1100" s="30">
        <v>0.0</v>
      </c>
      <c r="N1100" s="30">
        <v>158.0</v>
      </c>
      <c r="O1100" s="30">
        <v>340.4</v>
      </c>
      <c r="P1100" s="30">
        <v>35.90717299578059</v>
      </c>
      <c r="Q1100" s="30">
        <v>43.088607594936704</v>
      </c>
    </row>
    <row r="1101">
      <c r="A1101" s="47">
        <v>1.1217869754E10</v>
      </c>
      <c r="B1101" s="48">
        <v>46151.90715277778</v>
      </c>
      <c r="C1101" s="30">
        <v>3.83417229E9</v>
      </c>
      <c r="D1101" s="47" t="s">
        <v>1509</v>
      </c>
      <c r="E1101" s="30">
        <v>1599.0</v>
      </c>
      <c r="F1101" s="30">
        <v>1190.0</v>
      </c>
      <c r="G1101" s="30">
        <v>0.0</v>
      </c>
      <c r="H1101" s="30">
        <v>0.0</v>
      </c>
      <c r="I1101" s="30">
        <v>199.875</v>
      </c>
      <c r="J1101" s="30">
        <v>0.0</v>
      </c>
      <c r="K1101" s="30">
        <v>0.0</v>
      </c>
      <c r="L1101" s="30">
        <v>0.0</v>
      </c>
      <c r="M1101" s="30">
        <v>0.0</v>
      </c>
      <c r="N1101" s="30">
        <v>266.5</v>
      </c>
      <c r="O1101" s="30">
        <v>-57.375</v>
      </c>
      <c r="P1101" s="30">
        <v>-3.5881801125703565</v>
      </c>
      <c r="Q1101" s="30">
        <v>-4.305816135084427</v>
      </c>
    </row>
    <row r="1102">
      <c r="A1102" s="47">
        <v>1.1222132547E10</v>
      </c>
      <c r="B1102" s="48">
        <v>46153.068715277775</v>
      </c>
      <c r="C1102" s="30">
        <v>3.837786575E9</v>
      </c>
      <c r="D1102" s="47" t="s">
        <v>1509</v>
      </c>
      <c r="E1102" s="30">
        <v>474.47</v>
      </c>
      <c r="F1102" s="30">
        <v>130.0</v>
      </c>
      <c r="G1102" s="30">
        <v>0.0</v>
      </c>
      <c r="H1102" s="30">
        <v>0.0</v>
      </c>
      <c r="I1102" s="30">
        <v>94.89400000000002</v>
      </c>
      <c r="J1102" s="30">
        <v>0.0</v>
      </c>
      <c r="K1102" s="30">
        <v>0.0</v>
      </c>
      <c r="L1102" s="30">
        <v>0.0</v>
      </c>
      <c r="M1102" s="30">
        <v>0.0</v>
      </c>
      <c r="N1102" s="30">
        <v>79.07833333333332</v>
      </c>
      <c r="O1102" s="30">
        <v>170.4976666666667</v>
      </c>
      <c r="P1102" s="30">
        <v>35.93434077321363</v>
      </c>
      <c r="Q1102" s="30">
        <v>43.121208927856344</v>
      </c>
    </row>
    <row r="1103">
      <c r="A1103" s="47">
        <v>1.122034395E10</v>
      </c>
      <c r="B1103" s="48">
        <v>46152.74951388889</v>
      </c>
      <c r="C1103" s="30">
        <v>3.836349826E9</v>
      </c>
      <c r="D1103" s="47" t="s">
        <v>1509</v>
      </c>
      <c r="E1103" s="30">
        <v>1482.0</v>
      </c>
      <c r="F1103" s="30">
        <v>1053.0</v>
      </c>
      <c r="G1103" s="30">
        <v>0.0</v>
      </c>
      <c r="H1103" s="30">
        <v>0.0</v>
      </c>
      <c r="I1103" s="30">
        <v>185.25</v>
      </c>
      <c r="J1103" s="30">
        <v>0.0</v>
      </c>
      <c r="K1103" s="30">
        <v>0.0</v>
      </c>
      <c r="L1103" s="30">
        <v>0.0</v>
      </c>
      <c r="M1103" s="30">
        <v>0.0</v>
      </c>
      <c r="N1103" s="30">
        <v>247.0</v>
      </c>
      <c r="O1103" s="30">
        <v>-3.25</v>
      </c>
      <c r="P1103" s="30">
        <v>-0.21929824561403508</v>
      </c>
      <c r="Q1103" s="30">
        <v>-0.2631578947368421</v>
      </c>
    </row>
    <row r="1104">
      <c r="A1104" s="47">
        <v>1.1221284215E10</v>
      </c>
      <c r="B1104" s="48">
        <v>46152.925729166665</v>
      </c>
      <c r="C1104" s="30">
        <v>3.837055949E9</v>
      </c>
      <c r="D1104" s="47" t="s">
        <v>1509</v>
      </c>
      <c r="E1104" s="30">
        <v>1400.0</v>
      </c>
      <c r="F1104" s="30">
        <v>1160.0</v>
      </c>
      <c r="G1104" s="30">
        <v>0.0</v>
      </c>
      <c r="H1104" s="30">
        <v>0.0</v>
      </c>
      <c r="I1104" s="30">
        <v>89.6</v>
      </c>
      <c r="J1104" s="30">
        <v>0.0</v>
      </c>
      <c r="K1104" s="30">
        <v>0.0</v>
      </c>
      <c r="L1104" s="30">
        <v>0.0</v>
      </c>
      <c r="M1104" s="30">
        <v>0.0</v>
      </c>
      <c r="N1104" s="30">
        <v>233.33333333333326</v>
      </c>
      <c r="O1104" s="30">
        <v>-82.93333333333325</v>
      </c>
      <c r="P1104" s="30">
        <v>-5.923809523809518</v>
      </c>
      <c r="Q1104" s="30">
        <v>-7.108571428571421</v>
      </c>
    </row>
    <row r="1105">
      <c r="A1105" s="47">
        <v>1.1226279955E10</v>
      </c>
      <c r="B1105" s="48">
        <v>46154.15149305556</v>
      </c>
      <c r="C1105" s="30">
        <v>3.841897815E9</v>
      </c>
      <c r="D1105" s="47" t="s">
        <v>1509</v>
      </c>
      <c r="E1105" s="30">
        <v>2034.0</v>
      </c>
      <c r="F1105" s="30">
        <v>1535.52</v>
      </c>
      <c r="G1105" s="30">
        <v>0.0</v>
      </c>
      <c r="H1105" s="30">
        <v>0.0</v>
      </c>
      <c r="I1105" s="30">
        <v>254.25</v>
      </c>
      <c r="J1105" s="30">
        <v>0.0</v>
      </c>
      <c r="K1105" s="30">
        <v>0.0</v>
      </c>
      <c r="L1105" s="30">
        <v>0.0</v>
      </c>
      <c r="M1105" s="30">
        <v>0.0</v>
      </c>
      <c r="N1105" s="30">
        <v>339.0</v>
      </c>
      <c r="O1105" s="30">
        <v>-94.76999999999998</v>
      </c>
      <c r="P1105" s="30">
        <v>-4.659292035398229</v>
      </c>
      <c r="Q1105" s="30">
        <v>-5.591150442477875</v>
      </c>
    </row>
    <row r="1106">
      <c r="A1106" s="47">
        <v>1.1226460789E10</v>
      </c>
      <c r="B1106" s="48">
        <v>46154.335960648146</v>
      </c>
      <c r="C1106" s="30">
        <v>3.842086647E9</v>
      </c>
      <c r="D1106" s="47" t="s">
        <v>1509</v>
      </c>
      <c r="E1106" s="30">
        <v>2034.0</v>
      </c>
      <c r="F1106" s="30">
        <v>1535.52</v>
      </c>
      <c r="G1106" s="30">
        <v>0.0</v>
      </c>
      <c r="H1106" s="30">
        <v>0.0</v>
      </c>
      <c r="I1106" s="30">
        <v>254.25</v>
      </c>
      <c r="J1106" s="30">
        <v>0.0</v>
      </c>
      <c r="K1106" s="30">
        <v>0.0</v>
      </c>
      <c r="L1106" s="30">
        <v>0.0</v>
      </c>
      <c r="M1106" s="30">
        <v>0.0</v>
      </c>
      <c r="N1106" s="30">
        <v>339.0</v>
      </c>
      <c r="O1106" s="30">
        <v>-94.76999999999998</v>
      </c>
      <c r="P1106" s="30">
        <v>-4.659292035398229</v>
      </c>
      <c r="Q1106" s="30">
        <v>-5.591150442477875</v>
      </c>
    </row>
    <row r="1107">
      <c r="A1107" s="47">
        <v>1.1224233828E10</v>
      </c>
      <c r="B1107" s="48">
        <v>46153.78103009259</v>
      </c>
      <c r="C1107" s="30">
        <v>3.839934604E9</v>
      </c>
      <c r="D1107" s="47" t="s">
        <v>1509</v>
      </c>
      <c r="E1107" s="30">
        <v>850.0</v>
      </c>
      <c r="F1107" s="30">
        <v>100.0</v>
      </c>
      <c r="G1107" s="30">
        <v>0.0</v>
      </c>
      <c r="H1107" s="30">
        <v>0.0</v>
      </c>
      <c r="I1107" s="30">
        <v>114.75</v>
      </c>
      <c r="J1107" s="30">
        <v>0.0</v>
      </c>
      <c r="K1107" s="30">
        <v>0.0</v>
      </c>
      <c r="L1107" s="30">
        <v>0.0</v>
      </c>
      <c r="M1107" s="30">
        <v>0.0</v>
      </c>
      <c r="N1107" s="30">
        <v>141.66666666666663</v>
      </c>
      <c r="O1107" s="30">
        <v>493.58333333333337</v>
      </c>
      <c r="P1107" s="30">
        <v>58.068627450980394</v>
      </c>
      <c r="Q1107" s="30">
        <v>69.68235294117648</v>
      </c>
    </row>
    <row r="1108">
      <c r="A1108" s="47">
        <v>1.1226952242E10</v>
      </c>
      <c r="B1108" s="48">
        <v>46154.61170138889</v>
      </c>
      <c r="C1108" s="30">
        <v>3.84262053E9</v>
      </c>
      <c r="D1108" s="47" t="s">
        <v>1509</v>
      </c>
      <c r="E1108" s="30">
        <v>1963.0</v>
      </c>
      <c r="F1108" s="30">
        <v>1535.52</v>
      </c>
      <c r="G1108" s="30">
        <v>0.0</v>
      </c>
      <c r="H1108" s="30">
        <v>0.0</v>
      </c>
      <c r="I1108" s="30">
        <v>123.669</v>
      </c>
      <c r="J1108" s="30">
        <v>0.0</v>
      </c>
      <c r="K1108" s="30">
        <v>0.0</v>
      </c>
      <c r="L1108" s="30">
        <v>0.0</v>
      </c>
      <c r="M1108" s="30">
        <v>0.0</v>
      </c>
      <c r="N1108" s="30">
        <v>327.1666666666665</v>
      </c>
      <c r="O1108" s="30">
        <v>-23.35566666666648</v>
      </c>
      <c r="P1108" s="30">
        <v>-1.1897945321786287</v>
      </c>
      <c r="Q1108" s="30">
        <v>-1.4277534386143542</v>
      </c>
    </row>
    <row r="1109">
      <c r="A1109" s="47">
        <v>1.1218287849E10</v>
      </c>
      <c r="B1109" s="48">
        <v>46151.98440972222</v>
      </c>
      <c r="C1109" s="30">
        <v>3.83448097E9</v>
      </c>
      <c r="D1109" s="47" t="s">
        <v>1509</v>
      </c>
      <c r="E1109" s="30">
        <v>1400.0</v>
      </c>
      <c r="F1109" s="30">
        <v>1160.0</v>
      </c>
      <c r="G1109" s="30">
        <v>0.0</v>
      </c>
      <c r="H1109" s="30">
        <v>0.0</v>
      </c>
      <c r="I1109" s="30">
        <v>89.6</v>
      </c>
      <c r="J1109" s="30">
        <v>0.0</v>
      </c>
      <c r="K1109" s="30">
        <v>0.0</v>
      </c>
      <c r="L1109" s="30">
        <v>0.0</v>
      </c>
      <c r="M1109" s="30">
        <v>0.0</v>
      </c>
      <c r="N1109" s="30">
        <v>233.33333333333326</v>
      </c>
      <c r="O1109" s="30">
        <v>-82.93333333333325</v>
      </c>
      <c r="P1109" s="30">
        <v>-5.923809523809518</v>
      </c>
      <c r="Q1109" s="30">
        <v>-7.108571428571421</v>
      </c>
    </row>
    <row r="1110">
      <c r="A1110" s="47">
        <v>1.1223304428E10</v>
      </c>
      <c r="B1110" s="48">
        <v>46153.614270833335</v>
      </c>
      <c r="C1110" s="30">
        <v>3.839071384E9</v>
      </c>
      <c r="D1110" s="47" t="s">
        <v>1509</v>
      </c>
      <c r="E1110" s="30">
        <v>1692.0</v>
      </c>
      <c r="F1110" s="30">
        <v>1210.0</v>
      </c>
      <c r="G1110" s="30">
        <v>0.0</v>
      </c>
      <c r="H1110" s="30">
        <v>0.0</v>
      </c>
      <c r="I1110" s="30">
        <v>211.5</v>
      </c>
      <c r="J1110" s="30">
        <v>0.0</v>
      </c>
      <c r="K1110" s="30">
        <v>0.0</v>
      </c>
      <c r="L1110" s="30">
        <v>0.0</v>
      </c>
      <c r="M1110" s="30">
        <v>0.0</v>
      </c>
      <c r="N1110" s="30">
        <v>282.0</v>
      </c>
      <c r="O1110" s="30">
        <v>-11.5</v>
      </c>
      <c r="P1110" s="30">
        <v>-0.6796690307328606</v>
      </c>
      <c r="Q1110" s="30">
        <v>-0.8156028368794326</v>
      </c>
    </row>
    <row r="1111">
      <c r="A1111" s="47">
        <v>1.1219345366E10</v>
      </c>
      <c r="B1111" s="48">
        <v>46152.42710648148</v>
      </c>
      <c r="C1111" s="30">
        <v>3.835470188E9</v>
      </c>
      <c r="D1111" s="47" t="s">
        <v>1509</v>
      </c>
      <c r="E1111" s="30">
        <v>1482.0</v>
      </c>
      <c r="F1111" s="30">
        <v>1053.0</v>
      </c>
      <c r="G1111" s="30">
        <v>0.0</v>
      </c>
      <c r="H1111" s="30">
        <v>0.0</v>
      </c>
      <c r="I1111" s="30">
        <v>185.25</v>
      </c>
      <c r="J1111" s="30">
        <v>0.0</v>
      </c>
      <c r="K1111" s="30">
        <v>0.0</v>
      </c>
      <c r="L1111" s="30">
        <v>0.0</v>
      </c>
      <c r="M1111" s="30">
        <v>0.0</v>
      </c>
      <c r="N1111" s="30">
        <v>247.0</v>
      </c>
      <c r="O1111" s="30">
        <v>-3.25</v>
      </c>
      <c r="P1111" s="30">
        <v>-0.21929824561403508</v>
      </c>
      <c r="Q1111" s="30">
        <v>-0.2631578947368421</v>
      </c>
    </row>
    <row r="1112">
      <c r="A1112" s="47">
        <v>1.1222125322E10</v>
      </c>
      <c r="B1112" s="48">
        <v>46153.06748842593</v>
      </c>
      <c r="C1112" s="30">
        <v>3.837778073E9</v>
      </c>
      <c r="D1112" s="47" t="s">
        <v>1509</v>
      </c>
      <c r="E1112" s="30">
        <v>1482.0</v>
      </c>
      <c r="F1112" s="30">
        <v>1053.0</v>
      </c>
      <c r="G1112" s="30">
        <v>0.0</v>
      </c>
      <c r="H1112" s="30">
        <v>0.0</v>
      </c>
      <c r="I1112" s="30">
        <v>185.25</v>
      </c>
      <c r="J1112" s="30">
        <v>0.0</v>
      </c>
      <c r="K1112" s="30">
        <v>0.0</v>
      </c>
      <c r="L1112" s="30">
        <v>0.0</v>
      </c>
      <c r="M1112" s="30">
        <v>0.0</v>
      </c>
      <c r="N1112" s="30">
        <v>247.0</v>
      </c>
      <c r="O1112" s="30">
        <v>-3.25</v>
      </c>
      <c r="P1112" s="30">
        <v>-0.21929824561403508</v>
      </c>
      <c r="Q1112" s="30">
        <v>-0.2631578947368421</v>
      </c>
    </row>
    <row r="1113">
      <c r="A1113" s="47">
        <v>1.1227104898E10</v>
      </c>
      <c r="B1113" s="48">
        <v>46154.642962962964</v>
      </c>
      <c r="C1113" s="30">
        <v>3.84274354E9</v>
      </c>
      <c r="D1113" s="47" t="s">
        <v>1509</v>
      </c>
      <c r="E1113" s="30">
        <v>1963.0</v>
      </c>
      <c r="F1113" s="30">
        <v>1535.52</v>
      </c>
      <c r="G1113" s="30">
        <v>0.0</v>
      </c>
      <c r="H1113" s="30">
        <v>0.0</v>
      </c>
      <c r="I1113" s="30">
        <v>123.669</v>
      </c>
      <c r="J1113" s="30">
        <v>0.0</v>
      </c>
      <c r="K1113" s="30">
        <v>0.0</v>
      </c>
      <c r="L1113" s="30">
        <v>0.0</v>
      </c>
      <c r="M1113" s="30">
        <v>0.0</v>
      </c>
      <c r="N1113" s="30">
        <v>327.1666666666665</v>
      </c>
      <c r="O1113" s="30">
        <v>-23.35566666666648</v>
      </c>
      <c r="P1113" s="30">
        <v>-1.1897945321786287</v>
      </c>
      <c r="Q1113" s="30">
        <v>-1.4277534386143542</v>
      </c>
    </row>
    <row r="1114">
      <c r="A1114" s="47">
        <v>1.1227725174E10</v>
      </c>
      <c r="B1114" s="48">
        <v>46154.772685185184</v>
      </c>
      <c r="C1114" s="30">
        <v>3.843284231E9</v>
      </c>
      <c r="D1114" s="47" t="s">
        <v>1511</v>
      </c>
      <c r="E1114" s="30">
        <v>2700.0</v>
      </c>
      <c r="F1114" s="30">
        <v>2294.04</v>
      </c>
      <c r="G1114" s="30">
        <v>0.0</v>
      </c>
      <c r="H1114" s="30">
        <v>0.0</v>
      </c>
      <c r="I1114" s="30">
        <v>167.67</v>
      </c>
      <c r="J1114" s="30">
        <v>0.0</v>
      </c>
      <c r="K1114" s="30">
        <v>0.0</v>
      </c>
      <c r="L1114" s="30">
        <v>0.0</v>
      </c>
      <c r="M1114" s="30">
        <v>0.0</v>
      </c>
      <c r="N1114" s="30">
        <v>450.0</v>
      </c>
      <c r="O1114" s="30">
        <v>-211.70999999999995</v>
      </c>
      <c r="P1114" s="30">
        <v>-7.841111111111109</v>
      </c>
      <c r="Q1114" s="30">
        <v>-9.40933333333333</v>
      </c>
    </row>
    <row r="1115">
      <c r="A1115" s="47">
        <v>1.1224692735E10</v>
      </c>
      <c r="B1115" s="48">
        <v>46153.865578703706</v>
      </c>
      <c r="C1115" s="30">
        <v>3.840350627E9</v>
      </c>
      <c r="D1115" s="47" t="s">
        <v>1509</v>
      </c>
      <c r="E1115" s="30">
        <v>1359.0</v>
      </c>
      <c r="F1115" s="30">
        <v>924.0</v>
      </c>
      <c r="G1115" s="30">
        <v>0.0</v>
      </c>
      <c r="H1115" s="30">
        <v>0.0</v>
      </c>
      <c r="I1115" s="30">
        <v>169.875</v>
      </c>
      <c r="J1115" s="30">
        <v>0.0</v>
      </c>
      <c r="K1115" s="30">
        <v>0.0</v>
      </c>
      <c r="L1115" s="30">
        <v>0.0</v>
      </c>
      <c r="M1115" s="30">
        <v>0.0</v>
      </c>
      <c r="N1115" s="30">
        <v>226.5</v>
      </c>
      <c r="O1115" s="30">
        <v>38.625</v>
      </c>
      <c r="P1115" s="30">
        <v>2.8421633554083883</v>
      </c>
      <c r="Q1115" s="30">
        <v>3.410596026490066</v>
      </c>
    </row>
    <row r="1116">
      <c r="A1116" s="47">
        <v>1.1216338519E10</v>
      </c>
      <c r="B1116" s="48">
        <v>46151.611122685186</v>
      </c>
      <c r="C1116" s="30">
        <v>3.832895166E9</v>
      </c>
      <c r="D1116" s="47" t="s">
        <v>1509</v>
      </c>
      <c r="E1116" s="30">
        <v>978.0</v>
      </c>
      <c r="F1116" s="30">
        <v>621.6</v>
      </c>
      <c r="G1116" s="30">
        <v>0.0</v>
      </c>
      <c r="H1116" s="30">
        <v>0.0</v>
      </c>
      <c r="I1116" s="30">
        <v>122.25</v>
      </c>
      <c r="J1116" s="30">
        <v>0.0</v>
      </c>
      <c r="K1116" s="30">
        <v>0.0</v>
      </c>
      <c r="L1116" s="30">
        <v>0.0</v>
      </c>
      <c r="M1116" s="30">
        <v>0.0</v>
      </c>
      <c r="N1116" s="30">
        <v>163.0</v>
      </c>
      <c r="O1116" s="30">
        <v>71.14999999999998</v>
      </c>
      <c r="P1116" s="30">
        <v>7.275051124744373</v>
      </c>
      <c r="Q1116" s="30">
        <v>8.73006134969325</v>
      </c>
    </row>
    <row r="1117">
      <c r="A1117" s="47">
        <v>1.1226300311E10</v>
      </c>
      <c r="B1117" s="48">
        <v>46154.15833333333</v>
      </c>
      <c r="C1117" s="30">
        <v>3.841919127E9</v>
      </c>
      <c r="D1117" s="47" t="s">
        <v>1509</v>
      </c>
      <c r="E1117" s="30">
        <v>2034.0</v>
      </c>
      <c r="F1117" s="30">
        <v>1535.52</v>
      </c>
      <c r="G1117" s="30">
        <v>0.0</v>
      </c>
      <c r="H1117" s="30">
        <v>0.0</v>
      </c>
      <c r="I1117" s="30">
        <v>254.25</v>
      </c>
      <c r="J1117" s="30">
        <v>0.0</v>
      </c>
      <c r="K1117" s="30">
        <v>0.0</v>
      </c>
      <c r="L1117" s="30">
        <v>0.0</v>
      </c>
      <c r="M1117" s="30">
        <v>0.0</v>
      </c>
      <c r="N1117" s="30">
        <v>339.0</v>
      </c>
      <c r="O1117" s="30">
        <v>-94.76999999999998</v>
      </c>
      <c r="P1117" s="30">
        <v>-4.659292035398229</v>
      </c>
      <c r="Q1117" s="30">
        <v>-5.591150442477875</v>
      </c>
    </row>
    <row r="1118">
      <c r="A1118" s="47">
        <v>1.1226245043E10</v>
      </c>
      <c r="B1118" s="48">
        <v>46154.14015046296</v>
      </c>
      <c r="C1118" s="30">
        <v>3.841859364E9</v>
      </c>
      <c r="D1118" s="47" t="s">
        <v>1509</v>
      </c>
      <c r="E1118" s="30">
        <v>1199.0</v>
      </c>
      <c r="F1118" s="30">
        <v>874.6</v>
      </c>
      <c r="G1118" s="30">
        <v>0.0</v>
      </c>
      <c r="H1118" s="30">
        <v>0.0</v>
      </c>
      <c r="I1118" s="30">
        <v>149.875</v>
      </c>
      <c r="J1118" s="30">
        <v>0.0</v>
      </c>
      <c r="K1118" s="30">
        <v>0.0</v>
      </c>
      <c r="L1118" s="30">
        <v>0.0</v>
      </c>
      <c r="M1118" s="30">
        <v>0.0</v>
      </c>
      <c r="N1118" s="30">
        <v>199.83333333333331</v>
      </c>
      <c r="O1118" s="30">
        <v>-25.308333333333337</v>
      </c>
      <c r="P1118" s="30">
        <v>-2.11078676675007</v>
      </c>
      <c r="Q1118" s="30">
        <v>-2.5329441201000833</v>
      </c>
    </row>
    <row r="1119">
      <c r="A1119" s="47">
        <v>1.1226972461E10</v>
      </c>
      <c r="B1119" s="48">
        <v>46154.6162962963</v>
      </c>
      <c r="C1119" s="30">
        <v>3.842638161E9</v>
      </c>
      <c r="D1119" s="47" t="s">
        <v>1509</v>
      </c>
      <c r="E1119" s="30">
        <v>1963.0</v>
      </c>
      <c r="F1119" s="30">
        <v>1535.52</v>
      </c>
      <c r="G1119" s="30">
        <v>0.0</v>
      </c>
      <c r="H1119" s="30">
        <v>0.0</v>
      </c>
      <c r="I1119" s="30">
        <v>123.669</v>
      </c>
      <c r="J1119" s="30">
        <v>0.0</v>
      </c>
      <c r="K1119" s="30">
        <v>0.0</v>
      </c>
      <c r="L1119" s="30">
        <v>0.0</v>
      </c>
      <c r="M1119" s="30">
        <v>0.0</v>
      </c>
      <c r="N1119" s="30">
        <v>327.1666666666665</v>
      </c>
      <c r="O1119" s="30">
        <v>-23.35566666666648</v>
      </c>
      <c r="P1119" s="30">
        <v>-1.1897945321786287</v>
      </c>
      <c r="Q1119" s="30">
        <v>-1.4277534386143542</v>
      </c>
    </row>
    <row r="1120">
      <c r="A1120" s="47">
        <v>1.1227144562E10</v>
      </c>
      <c r="B1120" s="48">
        <v>46154.651504629626</v>
      </c>
      <c r="C1120" s="30">
        <v>3.842776632E9</v>
      </c>
      <c r="D1120" s="47" t="s">
        <v>1509</v>
      </c>
      <c r="E1120" s="30">
        <v>1963.0</v>
      </c>
      <c r="F1120" s="30">
        <v>1535.52</v>
      </c>
      <c r="G1120" s="30">
        <v>0.0</v>
      </c>
      <c r="H1120" s="30">
        <v>0.0</v>
      </c>
      <c r="I1120" s="30">
        <v>123.669</v>
      </c>
      <c r="J1120" s="30">
        <v>0.0</v>
      </c>
      <c r="K1120" s="30">
        <v>0.0</v>
      </c>
      <c r="L1120" s="30">
        <v>0.0</v>
      </c>
      <c r="M1120" s="30">
        <v>0.0</v>
      </c>
      <c r="N1120" s="30">
        <v>327.1666666666665</v>
      </c>
      <c r="O1120" s="30">
        <v>-23.35566666666648</v>
      </c>
      <c r="P1120" s="30">
        <v>-1.1897945321786287</v>
      </c>
      <c r="Q1120" s="30">
        <v>-1.4277534386143542</v>
      </c>
    </row>
    <row r="1121">
      <c r="A1121" s="47">
        <v>1.1216374631E10</v>
      </c>
      <c r="B1121" s="48">
        <v>46151.619375</v>
      </c>
      <c r="C1121" s="30">
        <v>3.832928393E9</v>
      </c>
      <c r="D1121" s="47" t="s">
        <v>1509</v>
      </c>
      <c r="E1121" s="30">
        <v>2224.0</v>
      </c>
      <c r="F1121" s="30">
        <v>1540.0</v>
      </c>
      <c r="G1121" s="30">
        <v>0.0</v>
      </c>
      <c r="H1121" s="30">
        <v>0.0</v>
      </c>
      <c r="I1121" s="30">
        <v>278.0</v>
      </c>
      <c r="J1121" s="30">
        <v>0.0</v>
      </c>
      <c r="K1121" s="30">
        <v>0.0</v>
      </c>
      <c r="L1121" s="30">
        <v>0.0</v>
      </c>
      <c r="M1121" s="30">
        <v>0.0</v>
      </c>
      <c r="N1121" s="30">
        <v>370.66666666666663</v>
      </c>
      <c r="O1121" s="30">
        <v>35.33333333333337</v>
      </c>
      <c r="P1121" s="30">
        <v>1.5887290167865724</v>
      </c>
      <c r="Q1121" s="30">
        <v>1.9064748201438868</v>
      </c>
    </row>
    <row r="1122">
      <c r="A1122" s="47">
        <v>1.1217690722E10</v>
      </c>
      <c r="B1122" s="48">
        <v>46151.87414351852</v>
      </c>
      <c r="C1122" s="30">
        <v>3.834042256E9</v>
      </c>
      <c r="D1122" s="47" t="s">
        <v>1509</v>
      </c>
      <c r="E1122" s="30">
        <v>2964.0</v>
      </c>
      <c r="F1122" s="30">
        <v>2106.0</v>
      </c>
      <c r="G1122" s="30">
        <v>0.0</v>
      </c>
      <c r="H1122" s="30">
        <v>0.0</v>
      </c>
      <c r="I1122" s="30">
        <v>370.5</v>
      </c>
      <c r="J1122" s="30">
        <v>0.0</v>
      </c>
      <c r="K1122" s="30">
        <v>0.0</v>
      </c>
      <c r="L1122" s="30">
        <v>0.0</v>
      </c>
      <c r="M1122" s="30">
        <v>0.0</v>
      </c>
      <c r="N1122" s="30">
        <v>494.0</v>
      </c>
      <c r="O1122" s="30">
        <v>-6.5</v>
      </c>
      <c r="P1122" s="30">
        <v>-0.21929824561403508</v>
      </c>
      <c r="Q1122" s="30">
        <v>-0.2631578947368421</v>
      </c>
    </row>
    <row r="1123">
      <c r="A1123" s="47">
        <v>1.1226421908E10</v>
      </c>
      <c r="B1123" s="48">
        <v>46154.235613425924</v>
      </c>
      <c r="C1123" s="30">
        <v>3.842045172E9</v>
      </c>
      <c r="D1123" s="47" t="s">
        <v>1509</v>
      </c>
      <c r="E1123" s="30">
        <v>2034.0</v>
      </c>
      <c r="F1123" s="30">
        <v>1535.52</v>
      </c>
      <c r="G1123" s="30">
        <v>0.0</v>
      </c>
      <c r="H1123" s="30">
        <v>0.0</v>
      </c>
      <c r="I1123" s="30">
        <v>254.25</v>
      </c>
      <c r="J1123" s="30">
        <v>0.0</v>
      </c>
      <c r="K1123" s="30">
        <v>0.0</v>
      </c>
      <c r="L1123" s="30">
        <v>0.0</v>
      </c>
      <c r="M1123" s="30">
        <v>0.0</v>
      </c>
      <c r="N1123" s="30">
        <v>339.0</v>
      </c>
      <c r="O1123" s="30">
        <v>-94.76999999999998</v>
      </c>
      <c r="P1123" s="30">
        <v>-4.659292035398229</v>
      </c>
      <c r="Q1123" s="30">
        <v>-5.591150442477875</v>
      </c>
    </row>
    <row r="1124">
      <c r="A1124" s="47">
        <v>1.1226492128E10</v>
      </c>
      <c r="B1124" s="48">
        <v>46154.431759259256</v>
      </c>
      <c r="C1124" s="30">
        <v>3.842127539E9</v>
      </c>
      <c r="D1124" s="47" t="s">
        <v>1509</v>
      </c>
      <c r="E1124" s="30">
        <v>2034.0</v>
      </c>
      <c r="F1124" s="30">
        <v>1535.52</v>
      </c>
      <c r="G1124" s="30">
        <v>0.0</v>
      </c>
      <c r="H1124" s="30">
        <v>0.0</v>
      </c>
      <c r="I1124" s="30">
        <v>254.25</v>
      </c>
      <c r="J1124" s="30">
        <v>0.0</v>
      </c>
      <c r="K1124" s="30">
        <v>0.0</v>
      </c>
      <c r="L1124" s="30">
        <v>0.0</v>
      </c>
      <c r="M1124" s="30">
        <v>0.0</v>
      </c>
      <c r="N1124" s="30">
        <v>339.0</v>
      </c>
      <c r="O1124" s="30">
        <v>-94.76999999999998</v>
      </c>
      <c r="P1124" s="30">
        <v>-4.659292035398229</v>
      </c>
      <c r="Q1124" s="30">
        <v>-5.591150442477875</v>
      </c>
    </row>
    <row r="1125">
      <c r="A1125" s="47">
        <v>1.1226468424E10</v>
      </c>
      <c r="B1125" s="48">
        <v>46154.374710648146</v>
      </c>
      <c r="C1125" s="30">
        <v>3.842097681E9</v>
      </c>
      <c r="D1125" s="47" t="s">
        <v>1509</v>
      </c>
      <c r="E1125" s="30">
        <v>2034.0</v>
      </c>
      <c r="F1125" s="30">
        <v>1535.52</v>
      </c>
      <c r="G1125" s="30">
        <v>0.0</v>
      </c>
      <c r="H1125" s="30">
        <v>0.0</v>
      </c>
      <c r="I1125" s="30">
        <v>254.25</v>
      </c>
      <c r="J1125" s="30">
        <v>0.0</v>
      </c>
      <c r="K1125" s="30">
        <v>0.0</v>
      </c>
      <c r="L1125" s="30">
        <v>0.0</v>
      </c>
      <c r="M1125" s="30">
        <v>0.0</v>
      </c>
      <c r="N1125" s="30">
        <v>339.0</v>
      </c>
      <c r="O1125" s="30">
        <v>-94.76999999999998</v>
      </c>
      <c r="P1125" s="30">
        <v>-4.659292035398229</v>
      </c>
      <c r="Q1125" s="30">
        <v>-5.591150442477875</v>
      </c>
    </row>
    <row r="1126">
      <c r="A1126" s="47">
        <v>1.1224516336E10</v>
      </c>
      <c r="B1126" s="48">
        <v>46153.833645833336</v>
      </c>
      <c r="C1126" s="30">
        <v>3.840195314E9</v>
      </c>
      <c r="D1126" s="47" t="s">
        <v>1509</v>
      </c>
      <c r="E1126" s="30">
        <v>800.0</v>
      </c>
      <c r="F1126" s="30">
        <v>0.0</v>
      </c>
      <c r="G1126" s="30">
        <v>0.0</v>
      </c>
      <c r="H1126" s="30">
        <v>0.0</v>
      </c>
      <c r="I1126" s="30">
        <v>132.0</v>
      </c>
      <c r="J1126" s="30">
        <v>0.0</v>
      </c>
      <c r="K1126" s="30">
        <v>0.0</v>
      </c>
      <c r="L1126" s="30">
        <v>0.0</v>
      </c>
      <c r="M1126" s="30">
        <v>0.0</v>
      </c>
      <c r="N1126" s="30">
        <v>133.33333333333326</v>
      </c>
      <c r="O1126" s="30">
        <v>534.6666666666667</v>
      </c>
      <c r="P1126" s="30">
        <v>66.83333333333334</v>
      </c>
      <c r="Q1126" s="30">
        <v>80.2</v>
      </c>
    </row>
    <row r="1127">
      <c r="A1127" s="47">
        <v>1.122226881E10</v>
      </c>
      <c r="B1127" s="48">
        <v>46153.09196759259</v>
      </c>
      <c r="C1127" s="30">
        <v>3.837929261E9</v>
      </c>
      <c r="D1127" s="47" t="s">
        <v>1509</v>
      </c>
      <c r="E1127" s="30">
        <v>978.0</v>
      </c>
      <c r="F1127" s="30">
        <v>621.6</v>
      </c>
      <c r="G1127" s="30">
        <v>0.0</v>
      </c>
      <c r="H1127" s="30">
        <v>0.0</v>
      </c>
      <c r="I1127" s="30">
        <v>122.25</v>
      </c>
      <c r="J1127" s="30">
        <v>0.0</v>
      </c>
      <c r="K1127" s="30">
        <v>0.0</v>
      </c>
      <c r="L1127" s="30">
        <v>0.0</v>
      </c>
      <c r="M1127" s="30">
        <v>0.0</v>
      </c>
      <c r="N1127" s="30">
        <v>163.0</v>
      </c>
      <c r="O1127" s="30">
        <v>71.14999999999998</v>
      </c>
      <c r="P1127" s="30">
        <v>7.275051124744373</v>
      </c>
      <c r="Q1127" s="30">
        <v>8.73006134969325</v>
      </c>
    </row>
    <row r="1128">
      <c r="A1128" s="47">
        <v>1.1226787084E10</v>
      </c>
      <c r="B1128" s="48">
        <v>46154.570497685185</v>
      </c>
      <c r="C1128" s="30">
        <v>3.842461482E9</v>
      </c>
      <c r="D1128" s="47" t="s">
        <v>1509</v>
      </c>
      <c r="E1128" s="30">
        <v>425.0</v>
      </c>
      <c r="F1128" s="30">
        <v>196.5</v>
      </c>
      <c r="G1128" s="30">
        <v>0.0</v>
      </c>
      <c r="H1128" s="30">
        <v>0.0</v>
      </c>
      <c r="I1128" s="30">
        <v>47.8125</v>
      </c>
      <c r="J1128" s="30">
        <v>0.0</v>
      </c>
      <c r="K1128" s="30">
        <v>0.0</v>
      </c>
      <c r="L1128" s="30">
        <v>0.0</v>
      </c>
      <c r="M1128" s="30">
        <v>0.0</v>
      </c>
      <c r="N1128" s="30">
        <v>70.83333333333331</v>
      </c>
      <c r="O1128" s="30">
        <v>109.85416666666669</v>
      </c>
      <c r="P1128" s="30">
        <v>25.84803921568628</v>
      </c>
      <c r="Q1128" s="30">
        <v>31.017647058823535</v>
      </c>
    </row>
    <row r="1129">
      <c r="A1129" s="47">
        <v>1.1180385796E10</v>
      </c>
      <c r="B1129" s="48">
        <v>46140.61753472222</v>
      </c>
      <c r="C1129" s="30">
        <v>3.80104037E9</v>
      </c>
      <c r="D1129" s="47" t="s">
        <v>1509</v>
      </c>
      <c r="E1129" s="30">
        <v>4650.0</v>
      </c>
      <c r="F1129" s="30">
        <v>3556.0</v>
      </c>
      <c r="G1129" s="30">
        <v>0.0</v>
      </c>
      <c r="H1129" s="30">
        <v>0.0</v>
      </c>
      <c r="I1129" s="30">
        <v>767.25</v>
      </c>
      <c r="J1129" s="30">
        <v>0.0</v>
      </c>
      <c r="K1129" s="30">
        <v>0.0</v>
      </c>
      <c r="L1129" s="30">
        <v>0.0</v>
      </c>
      <c r="M1129" s="30">
        <v>0.0</v>
      </c>
      <c r="N1129" s="30">
        <v>775.0</v>
      </c>
      <c r="O1129" s="30">
        <v>-448.25</v>
      </c>
      <c r="P1129" s="30">
        <v>-9.63978494623656</v>
      </c>
      <c r="Q1129" s="30">
        <v>-11.56774193548387</v>
      </c>
    </row>
    <row r="1130">
      <c r="A1130" s="47">
        <v>1.1212353688E10</v>
      </c>
      <c r="B1130" s="48">
        <v>46150.472280092596</v>
      </c>
      <c r="C1130" s="30">
        <v>3.82921216E9</v>
      </c>
      <c r="D1130" s="47" t="s">
        <v>1509</v>
      </c>
      <c r="E1130" s="30">
        <v>2170.96</v>
      </c>
      <c r="F1130" s="30">
        <v>1680.0</v>
      </c>
      <c r="G1130" s="30">
        <v>0.0</v>
      </c>
      <c r="H1130" s="30">
        <v>0.0</v>
      </c>
      <c r="I1130" s="30">
        <v>271.37</v>
      </c>
      <c r="J1130" s="30">
        <v>0.0</v>
      </c>
      <c r="K1130" s="30">
        <v>0.0</v>
      </c>
      <c r="L1130" s="30">
        <v>0.0</v>
      </c>
      <c r="M1130" s="30">
        <v>0.0</v>
      </c>
      <c r="N1130" s="30">
        <v>361.8266666666666</v>
      </c>
      <c r="O1130" s="30">
        <v>-142.23666666666657</v>
      </c>
      <c r="P1130" s="30">
        <v>-6.551786613602579</v>
      </c>
      <c r="Q1130" s="30">
        <v>-7.862143936323094</v>
      </c>
    </row>
    <row r="1131">
      <c r="A1131" s="47">
        <v>1.1213476065E10</v>
      </c>
      <c r="B1131" s="48">
        <v>46150.731840277775</v>
      </c>
      <c r="C1131" s="30">
        <v>3.830287299E9</v>
      </c>
      <c r="D1131" s="47" t="s">
        <v>1509</v>
      </c>
      <c r="E1131" s="30">
        <v>1400.0</v>
      </c>
      <c r="F1131" s="30">
        <v>1160.0</v>
      </c>
      <c r="G1131" s="30">
        <v>0.0</v>
      </c>
      <c r="H1131" s="30">
        <v>0.0</v>
      </c>
      <c r="I1131" s="30">
        <v>89.6</v>
      </c>
      <c r="J1131" s="30">
        <v>0.0</v>
      </c>
      <c r="K1131" s="30">
        <v>0.0</v>
      </c>
      <c r="L1131" s="30">
        <v>0.0</v>
      </c>
      <c r="M1131" s="30">
        <v>0.0</v>
      </c>
      <c r="N1131" s="30">
        <v>233.33333333333326</v>
      </c>
      <c r="O1131" s="30">
        <v>-82.93333333333325</v>
      </c>
      <c r="P1131" s="30">
        <v>-5.923809523809518</v>
      </c>
      <c r="Q1131" s="30">
        <v>-7.108571428571421</v>
      </c>
    </row>
    <row r="1132">
      <c r="A1132" s="47">
        <v>1.1210034634E10</v>
      </c>
      <c r="B1132" s="48">
        <v>46149.78954861111</v>
      </c>
      <c r="C1132" s="30">
        <v>3.827011972E9</v>
      </c>
      <c r="D1132" s="47" t="s">
        <v>1509</v>
      </c>
      <c r="E1132" s="30">
        <v>897.45</v>
      </c>
      <c r="F1132" s="30">
        <v>300.0</v>
      </c>
      <c r="G1132" s="30">
        <v>0.0</v>
      </c>
      <c r="H1132" s="30">
        <v>0.0</v>
      </c>
      <c r="I1132" s="30">
        <v>179.49</v>
      </c>
      <c r="J1132" s="30">
        <v>0.0</v>
      </c>
      <c r="K1132" s="30">
        <v>0.0</v>
      </c>
      <c r="L1132" s="30">
        <v>0.0</v>
      </c>
      <c r="M1132" s="30">
        <v>0.0</v>
      </c>
      <c r="N1132" s="30">
        <v>149.57499999999993</v>
      </c>
      <c r="O1132" s="30">
        <v>268.3850000000001</v>
      </c>
      <c r="P1132" s="30">
        <v>29.905287202629683</v>
      </c>
      <c r="Q1132" s="30">
        <v>35.88634464315562</v>
      </c>
    </row>
    <row r="1133">
      <c r="A1133" s="47">
        <v>1.1203019068E10</v>
      </c>
      <c r="B1133" s="48">
        <v>46147.9453125</v>
      </c>
      <c r="C1133" s="30">
        <v>3.820100046E9</v>
      </c>
      <c r="D1133" s="47" t="s">
        <v>1509</v>
      </c>
      <c r="E1133" s="30">
        <v>1870.0</v>
      </c>
      <c r="F1133" s="30">
        <v>1260.0</v>
      </c>
      <c r="G1133" s="30">
        <v>0.0</v>
      </c>
      <c r="H1133" s="30">
        <v>0.0</v>
      </c>
      <c r="I1133" s="30">
        <v>308.55</v>
      </c>
      <c r="J1133" s="30">
        <v>0.0</v>
      </c>
      <c r="K1133" s="30">
        <v>0.0</v>
      </c>
      <c r="L1133" s="30">
        <v>0.0</v>
      </c>
      <c r="M1133" s="30">
        <v>0.0</v>
      </c>
      <c r="N1133" s="30">
        <v>311.6666666666665</v>
      </c>
      <c r="O1133" s="30">
        <v>-10.216666666666526</v>
      </c>
      <c r="P1133" s="30">
        <v>-0.5463458110516859</v>
      </c>
      <c r="Q1133" s="30">
        <v>-0.655614973262023</v>
      </c>
    </row>
    <row r="1134">
      <c r="A1134" s="47">
        <v>1.1222821155E10</v>
      </c>
      <c r="B1134" s="48">
        <v>46153.47216435185</v>
      </c>
      <c r="C1134" s="30">
        <v>3.838544436E9</v>
      </c>
      <c r="D1134" s="47" t="s">
        <v>1509</v>
      </c>
      <c r="E1134" s="30">
        <v>1268.0</v>
      </c>
      <c r="F1134" s="30">
        <v>832.44</v>
      </c>
      <c r="G1134" s="30">
        <v>0.0</v>
      </c>
      <c r="H1134" s="30">
        <v>0.0</v>
      </c>
      <c r="I1134" s="30">
        <v>158.5</v>
      </c>
      <c r="J1134" s="30">
        <v>0.0</v>
      </c>
      <c r="K1134" s="30">
        <v>0.0</v>
      </c>
      <c r="L1134" s="30">
        <v>0.0</v>
      </c>
      <c r="M1134" s="30">
        <v>0.0</v>
      </c>
      <c r="N1134" s="30">
        <v>211.33333333333326</v>
      </c>
      <c r="O1134" s="30">
        <v>65.72666666666669</v>
      </c>
      <c r="P1134" s="30">
        <v>5.18349106203996</v>
      </c>
      <c r="Q1134" s="30">
        <v>6.220189274447951</v>
      </c>
    </row>
    <row r="1135">
      <c r="A1135" s="47">
        <v>1.1219457496E10</v>
      </c>
      <c r="B1135" s="48">
        <v>46152.52958333334</v>
      </c>
      <c r="C1135" s="30">
        <v>3.835588461E9</v>
      </c>
      <c r="D1135" s="47" t="s">
        <v>1509</v>
      </c>
      <c r="E1135" s="30">
        <v>1359.0</v>
      </c>
      <c r="F1135" s="30">
        <v>924.0</v>
      </c>
      <c r="G1135" s="30">
        <v>0.0</v>
      </c>
      <c r="H1135" s="30">
        <v>0.0</v>
      </c>
      <c r="I1135" s="30">
        <v>169.875</v>
      </c>
      <c r="J1135" s="30">
        <v>0.0</v>
      </c>
      <c r="K1135" s="30">
        <v>0.0</v>
      </c>
      <c r="L1135" s="30">
        <v>0.0</v>
      </c>
      <c r="M1135" s="30">
        <v>0.0</v>
      </c>
      <c r="N1135" s="30">
        <v>226.5</v>
      </c>
      <c r="O1135" s="30">
        <v>38.625</v>
      </c>
      <c r="P1135" s="30">
        <v>2.8421633554083883</v>
      </c>
      <c r="Q1135" s="30">
        <v>3.410596026490066</v>
      </c>
    </row>
    <row r="1136">
      <c r="A1136" s="47">
        <v>1.1221313886E10</v>
      </c>
      <c r="B1136" s="48">
        <v>46152.93094907407</v>
      </c>
      <c r="C1136" s="30">
        <v>3.837077962E9</v>
      </c>
      <c r="D1136" s="47" t="s">
        <v>1509</v>
      </c>
      <c r="E1136" s="30">
        <v>2049.99</v>
      </c>
      <c r="F1136" s="30">
        <v>1535.52</v>
      </c>
      <c r="G1136" s="30">
        <v>0.0</v>
      </c>
      <c r="H1136" s="30">
        <v>0.0</v>
      </c>
      <c r="I1136" s="30">
        <v>256.24875</v>
      </c>
      <c r="J1136" s="30">
        <v>0.0</v>
      </c>
      <c r="K1136" s="30">
        <v>0.0</v>
      </c>
      <c r="L1136" s="30">
        <v>0.0</v>
      </c>
      <c r="M1136" s="30">
        <v>0.0</v>
      </c>
      <c r="N1136" s="30">
        <v>341.66499999999996</v>
      </c>
      <c r="O1136" s="30">
        <v>-83.44375000000014</v>
      </c>
      <c r="P1136" s="30">
        <v>-4.070446685105788</v>
      </c>
      <c r="Q1136" s="30">
        <v>-4.884536022126946</v>
      </c>
    </row>
    <row r="1137">
      <c r="A1137" s="47">
        <v>1.1215900347E10</v>
      </c>
      <c r="B1137" s="48">
        <v>46151.39809027778</v>
      </c>
      <c r="C1137" s="30">
        <v>3.832444739E9</v>
      </c>
      <c r="D1137" s="47" t="s">
        <v>1509</v>
      </c>
      <c r="E1137" s="30">
        <v>474.0</v>
      </c>
      <c r="F1137" s="30">
        <v>130.0</v>
      </c>
      <c r="G1137" s="30">
        <v>0.0</v>
      </c>
      <c r="H1137" s="30">
        <v>0.0</v>
      </c>
      <c r="I1137" s="30">
        <v>94.8</v>
      </c>
      <c r="J1137" s="30">
        <v>0.0</v>
      </c>
      <c r="K1137" s="30">
        <v>0.0</v>
      </c>
      <c r="L1137" s="30">
        <v>0.0</v>
      </c>
      <c r="M1137" s="30">
        <v>0.0</v>
      </c>
      <c r="N1137" s="30">
        <v>79.0</v>
      </c>
      <c r="O1137" s="30">
        <v>170.2</v>
      </c>
      <c r="P1137" s="30">
        <v>35.90717299578059</v>
      </c>
      <c r="Q1137" s="30">
        <v>43.088607594936704</v>
      </c>
    </row>
    <row r="1138">
      <c r="A1138" s="47">
        <v>1.1223058119E10</v>
      </c>
      <c r="B1138" s="48">
        <v>46153.55966435185</v>
      </c>
      <c r="C1138" s="30">
        <v>3.838821313E9</v>
      </c>
      <c r="D1138" s="47" t="s">
        <v>1509</v>
      </c>
      <c r="E1138" s="30">
        <v>1582.0</v>
      </c>
      <c r="F1138" s="30">
        <v>1053.0</v>
      </c>
      <c r="G1138" s="30">
        <v>0.0</v>
      </c>
      <c r="H1138" s="30">
        <v>0.0</v>
      </c>
      <c r="I1138" s="30">
        <v>197.75</v>
      </c>
      <c r="J1138" s="30">
        <v>0.0</v>
      </c>
      <c r="K1138" s="30">
        <v>0.0</v>
      </c>
      <c r="L1138" s="30">
        <v>0.0</v>
      </c>
      <c r="M1138" s="30">
        <v>0.0</v>
      </c>
      <c r="N1138" s="30">
        <v>263.6666666666665</v>
      </c>
      <c r="O1138" s="30">
        <v>67.58333333333348</v>
      </c>
      <c r="P1138" s="30">
        <v>4.272018541930056</v>
      </c>
      <c r="Q1138" s="30">
        <v>5.126422250316066</v>
      </c>
    </row>
    <row r="1139">
      <c r="A1139" s="47">
        <v>1.1216517976E10</v>
      </c>
      <c r="B1139" s="48">
        <v>46151.64865740741</v>
      </c>
      <c r="C1139" s="30">
        <v>3.833058983E9</v>
      </c>
      <c r="D1139" s="47" t="s">
        <v>1509</v>
      </c>
      <c r="E1139" s="30">
        <v>897.45</v>
      </c>
      <c r="F1139" s="30">
        <v>300.0</v>
      </c>
      <c r="G1139" s="30">
        <v>0.0</v>
      </c>
      <c r="H1139" s="30">
        <v>0.0</v>
      </c>
      <c r="I1139" s="30">
        <v>179.49</v>
      </c>
      <c r="J1139" s="30">
        <v>0.0</v>
      </c>
      <c r="K1139" s="30">
        <v>0.0</v>
      </c>
      <c r="L1139" s="30">
        <v>0.0</v>
      </c>
      <c r="M1139" s="30">
        <v>0.0</v>
      </c>
      <c r="N1139" s="30">
        <v>149.57499999999993</v>
      </c>
      <c r="O1139" s="30">
        <v>268.3850000000001</v>
      </c>
      <c r="P1139" s="30">
        <v>29.905287202629683</v>
      </c>
      <c r="Q1139" s="30">
        <v>35.88634464315562</v>
      </c>
    </row>
    <row r="1140">
      <c r="A1140" s="47">
        <v>1.1208908648E10</v>
      </c>
      <c r="B1140" s="48">
        <v>46149.58336805556</v>
      </c>
      <c r="C1140" s="30">
        <v>3.825974928E9</v>
      </c>
      <c r="D1140" s="47" t="s">
        <v>1509</v>
      </c>
      <c r="E1140" s="30">
        <v>1400.0</v>
      </c>
      <c r="F1140" s="30">
        <v>1160.0</v>
      </c>
      <c r="G1140" s="30">
        <v>0.0</v>
      </c>
      <c r="H1140" s="30">
        <v>0.0</v>
      </c>
      <c r="I1140" s="30">
        <v>89.6</v>
      </c>
      <c r="J1140" s="30">
        <v>0.0</v>
      </c>
      <c r="K1140" s="30">
        <v>0.0</v>
      </c>
      <c r="L1140" s="30">
        <v>0.0</v>
      </c>
      <c r="M1140" s="30">
        <v>0.0</v>
      </c>
      <c r="N1140" s="30">
        <v>233.33333333333326</v>
      </c>
      <c r="O1140" s="30">
        <v>-82.93333333333325</v>
      </c>
      <c r="P1140" s="30">
        <v>-5.923809523809518</v>
      </c>
      <c r="Q1140" s="30">
        <v>-7.108571428571421</v>
      </c>
    </row>
    <row r="1141">
      <c r="A1141" s="47">
        <v>1.1215194279E10</v>
      </c>
      <c r="B1141" s="48">
        <v>46151.04859953704</v>
      </c>
      <c r="C1141" s="30">
        <v>3.831738337E9</v>
      </c>
      <c r="D1141" s="47" t="s">
        <v>1509</v>
      </c>
      <c r="E1141" s="30">
        <v>349.99</v>
      </c>
      <c r="F1141" s="30">
        <v>53.0</v>
      </c>
      <c r="G1141" s="30">
        <v>0.0</v>
      </c>
      <c r="H1141" s="30">
        <v>0.0</v>
      </c>
      <c r="I1141" s="30">
        <v>69.998</v>
      </c>
      <c r="J1141" s="30">
        <v>0.0</v>
      </c>
      <c r="K1141" s="30">
        <v>0.0</v>
      </c>
      <c r="L1141" s="30">
        <v>0.0</v>
      </c>
      <c r="M1141" s="30">
        <v>0.0</v>
      </c>
      <c r="N1141" s="30">
        <v>58.33166666666665</v>
      </c>
      <c r="O1141" s="30">
        <v>168.66033333333337</v>
      </c>
      <c r="P1141" s="30">
        <v>48.190043525053106</v>
      </c>
      <c r="Q1141" s="30">
        <v>57.82805223006372</v>
      </c>
    </row>
    <row r="1142">
      <c r="A1142" s="47">
        <v>1.1219957923E10</v>
      </c>
      <c r="B1142" s="48">
        <v>46152.67086805555</v>
      </c>
      <c r="C1142" s="30">
        <v>3.836027708E9</v>
      </c>
      <c r="D1142" s="47" t="s">
        <v>1509</v>
      </c>
      <c r="E1142" s="30">
        <v>978.0</v>
      </c>
      <c r="F1142" s="30">
        <v>260.0</v>
      </c>
      <c r="G1142" s="30">
        <v>0.0</v>
      </c>
      <c r="H1142" s="30">
        <v>0.0</v>
      </c>
      <c r="I1142" s="30">
        <v>195.6</v>
      </c>
      <c r="J1142" s="30">
        <v>0.0</v>
      </c>
      <c r="K1142" s="30">
        <v>0.0</v>
      </c>
      <c r="L1142" s="30">
        <v>0.0</v>
      </c>
      <c r="M1142" s="30">
        <v>0.0</v>
      </c>
      <c r="N1142" s="30">
        <v>163.0</v>
      </c>
      <c r="O1142" s="30">
        <v>359.4</v>
      </c>
      <c r="P1142" s="30">
        <v>36.74846625766871</v>
      </c>
      <c r="Q1142" s="30">
        <v>44.09815950920245</v>
      </c>
    </row>
    <row r="1143">
      <c r="A1143" s="47">
        <v>1.1215963305E10</v>
      </c>
      <c r="B1143" s="48">
        <v>46151.485810185186</v>
      </c>
      <c r="C1143" s="30">
        <v>3.832524267E9</v>
      </c>
      <c r="D1143" s="47" t="s">
        <v>1509</v>
      </c>
      <c r="E1143" s="30">
        <v>2625.0</v>
      </c>
      <c r="F1143" s="30">
        <v>2000.0</v>
      </c>
      <c r="G1143" s="30">
        <v>0.0</v>
      </c>
      <c r="H1143" s="30">
        <v>0.0</v>
      </c>
      <c r="I1143" s="30">
        <v>168.0</v>
      </c>
      <c r="J1143" s="30">
        <v>0.0</v>
      </c>
      <c r="K1143" s="30">
        <v>0.0</v>
      </c>
      <c r="L1143" s="30">
        <v>0.0</v>
      </c>
      <c r="M1143" s="30">
        <v>0.0</v>
      </c>
      <c r="N1143" s="30">
        <v>437.5</v>
      </c>
      <c r="O1143" s="30">
        <v>19.5</v>
      </c>
      <c r="P1143" s="30">
        <v>0.7428571428571429</v>
      </c>
      <c r="Q1143" s="30">
        <v>0.8914285714285715</v>
      </c>
    </row>
    <row r="1144">
      <c r="A1144" s="47">
        <v>1.1219221812E10</v>
      </c>
      <c r="B1144" s="48">
        <v>46152.20245370371</v>
      </c>
      <c r="C1144" s="30">
        <v>3.835347705E9</v>
      </c>
      <c r="D1144" s="47" t="s">
        <v>1509</v>
      </c>
      <c r="E1144" s="30">
        <v>1482.0</v>
      </c>
      <c r="F1144" s="30">
        <v>1053.0</v>
      </c>
      <c r="G1144" s="30">
        <v>0.0</v>
      </c>
      <c r="H1144" s="30">
        <v>0.0</v>
      </c>
      <c r="I1144" s="30">
        <v>185.25</v>
      </c>
      <c r="J1144" s="30">
        <v>0.0</v>
      </c>
      <c r="K1144" s="30">
        <v>0.0</v>
      </c>
      <c r="L1144" s="30">
        <v>0.0</v>
      </c>
      <c r="M1144" s="30">
        <v>0.0</v>
      </c>
      <c r="N1144" s="30">
        <v>247.0</v>
      </c>
      <c r="O1144" s="30">
        <v>-3.25</v>
      </c>
      <c r="P1144" s="30">
        <v>-0.21929824561403508</v>
      </c>
      <c r="Q1144" s="30">
        <v>-0.2631578947368421</v>
      </c>
    </row>
    <row r="1145">
      <c r="A1145" s="47">
        <v>1.1219486048E10</v>
      </c>
      <c r="B1145" s="48">
        <v>46152.54253472222</v>
      </c>
      <c r="C1145" s="30">
        <v>3.835615962E9</v>
      </c>
      <c r="D1145" s="47" t="s">
        <v>1509</v>
      </c>
      <c r="E1145" s="30">
        <v>2142.0</v>
      </c>
      <c r="F1145" s="30">
        <v>1459.08</v>
      </c>
      <c r="G1145" s="30">
        <v>0.0</v>
      </c>
      <c r="H1145" s="30">
        <v>0.0</v>
      </c>
      <c r="I1145" s="30">
        <v>267.75</v>
      </c>
      <c r="J1145" s="30">
        <v>0.0</v>
      </c>
      <c r="K1145" s="30">
        <v>0.0</v>
      </c>
      <c r="L1145" s="30">
        <v>0.0</v>
      </c>
      <c r="M1145" s="30">
        <v>0.0</v>
      </c>
      <c r="N1145" s="30">
        <v>357.0</v>
      </c>
      <c r="O1145" s="30">
        <v>58.17000000000007</v>
      </c>
      <c r="P1145" s="30">
        <v>2.7156862745098076</v>
      </c>
      <c r="Q1145" s="30">
        <v>3.2588235294117687</v>
      </c>
    </row>
    <row r="1146">
      <c r="A1146" s="47">
        <v>1.1219288374E10</v>
      </c>
      <c r="B1146" s="48">
        <v>46152.25586805555</v>
      </c>
      <c r="C1146" s="30">
        <v>3.835409777E9</v>
      </c>
      <c r="D1146" s="47" t="s">
        <v>1509</v>
      </c>
      <c r="E1146" s="30">
        <v>489.0</v>
      </c>
      <c r="F1146" s="30">
        <v>130.0</v>
      </c>
      <c r="G1146" s="30">
        <v>0.0</v>
      </c>
      <c r="H1146" s="30">
        <v>0.0</v>
      </c>
      <c r="I1146" s="30">
        <v>97.8</v>
      </c>
      <c r="J1146" s="30">
        <v>0.0</v>
      </c>
      <c r="K1146" s="30">
        <v>0.0</v>
      </c>
      <c r="L1146" s="30">
        <v>0.0</v>
      </c>
      <c r="M1146" s="30">
        <v>0.0</v>
      </c>
      <c r="N1146" s="30">
        <v>81.5</v>
      </c>
      <c r="O1146" s="30">
        <v>179.7</v>
      </c>
      <c r="P1146" s="30">
        <v>36.74846625766871</v>
      </c>
      <c r="Q1146" s="30">
        <v>44.09815950920245</v>
      </c>
    </row>
    <row r="1147">
      <c r="A1147" s="47">
        <v>1.1216776132E10</v>
      </c>
      <c r="B1147" s="48">
        <v>46151.697743055556</v>
      </c>
      <c r="C1147" s="30">
        <v>3.83329463E9</v>
      </c>
      <c r="D1147" s="47" t="s">
        <v>1509</v>
      </c>
      <c r="E1147" s="30">
        <v>1949.99</v>
      </c>
      <c r="F1147" s="30">
        <v>106.0</v>
      </c>
      <c r="G1147" s="30">
        <v>0.0</v>
      </c>
      <c r="H1147" s="30">
        <v>0.0</v>
      </c>
      <c r="I1147" s="30">
        <v>269.998</v>
      </c>
      <c r="J1147" s="30">
        <v>0.0</v>
      </c>
      <c r="K1147" s="30">
        <v>0.0</v>
      </c>
      <c r="L1147" s="30">
        <v>0.0</v>
      </c>
      <c r="M1147" s="30">
        <v>0.0</v>
      </c>
      <c r="N1147" s="30">
        <v>324.99833333333316</v>
      </c>
      <c r="O1147" s="30">
        <v>1248.9936666666667</v>
      </c>
      <c r="P1147" s="30">
        <v>64.05128573308923</v>
      </c>
      <c r="Q1147" s="30">
        <v>76.86154287970707</v>
      </c>
    </row>
    <row r="1148">
      <c r="A1148" s="47">
        <v>1.1217134019E10</v>
      </c>
      <c r="B1148" s="48">
        <v>46151.766921296294</v>
      </c>
      <c r="C1148" s="30">
        <v>3.83360044E9</v>
      </c>
      <c r="D1148" s="47" t="s">
        <v>1509</v>
      </c>
      <c r="E1148" s="30">
        <v>2049.99</v>
      </c>
      <c r="F1148" s="30">
        <v>1535.52</v>
      </c>
      <c r="G1148" s="30">
        <v>0.0</v>
      </c>
      <c r="H1148" s="30">
        <v>0.0</v>
      </c>
      <c r="I1148" s="30">
        <v>256.24875</v>
      </c>
      <c r="J1148" s="30">
        <v>0.0</v>
      </c>
      <c r="K1148" s="30">
        <v>0.0</v>
      </c>
      <c r="L1148" s="30">
        <v>0.0</v>
      </c>
      <c r="M1148" s="30">
        <v>0.0</v>
      </c>
      <c r="N1148" s="30">
        <v>341.66499999999996</v>
      </c>
      <c r="O1148" s="30">
        <v>-83.44375000000014</v>
      </c>
      <c r="P1148" s="30">
        <v>-4.070446685105788</v>
      </c>
      <c r="Q1148" s="30">
        <v>-4.884536022126946</v>
      </c>
    </row>
    <row r="1149">
      <c r="A1149" s="47">
        <v>1.1211592843E10</v>
      </c>
      <c r="B1149" s="48">
        <v>46150.058171296296</v>
      </c>
      <c r="C1149" s="30">
        <v>3.828381798E9</v>
      </c>
      <c r="D1149" s="47" t="s">
        <v>1509</v>
      </c>
      <c r="E1149" s="30">
        <v>1400.0</v>
      </c>
      <c r="F1149" s="30">
        <v>1160.0</v>
      </c>
      <c r="G1149" s="30">
        <v>0.0</v>
      </c>
      <c r="H1149" s="30">
        <v>0.0</v>
      </c>
      <c r="I1149" s="30">
        <v>89.6</v>
      </c>
      <c r="J1149" s="30">
        <v>0.0</v>
      </c>
      <c r="K1149" s="30">
        <v>0.0</v>
      </c>
      <c r="L1149" s="30">
        <v>0.0</v>
      </c>
      <c r="M1149" s="30">
        <v>0.0</v>
      </c>
      <c r="N1149" s="30">
        <v>233.33333333333326</v>
      </c>
      <c r="O1149" s="30">
        <v>-82.93333333333325</v>
      </c>
      <c r="P1149" s="30">
        <v>-5.923809523809518</v>
      </c>
      <c r="Q1149" s="30">
        <v>-7.108571428571421</v>
      </c>
    </row>
    <row r="1150">
      <c r="A1150" s="47">
        <v>1.1219260067E10</v>
      </c>
      <c r="B1150" s="48">
        <v>46152.22775462963</v>
      </c>
      <c r="C1150" s="30">
        <v>3.835381477E9</v>
      </c>
      <c r="D1150" s="47" t="s">
        <v>1509</v>
      </c>
      <c r="E1150" s="30">
        <v>1482.0</v>
      </c>
      <c r="F1150" s="30">
        <v>1053.0</v>
      </c>
      <c r="G1150" s="30">
        <v>0.0</v>
      </c>
      <c r="H1150" s="30">
        <v>0.0</v>
      </c>
      <c r="I1150" s="30">
        <v>185.25</v>
      </c>
      <c r="J1150" s="30">
        <v>0.0</v>
      </c>
      <c r="K1150" s="30">
        <v>0.0</v>
      </c>
      <c r="L1150" s="30">
        <v>0.0</v>
      </c>
      <c r="M1150" s="30">
        <v>0.0</v>
      </c>
      <c r="N1150" s="30">
        <v>247.0</v>
      </c>
      <c r="O1150" s="30">
        <v>-3.25</v>
      </c>
      <c r="P1150" s="30">
        <v>-0.21929824561403508</v>
      </c>
      <c r="Q1150" s="30">
        <v>-0.2631578947368421</v>
      </c>
    </row>
    <row r="1151">
      <c r="A1151" s="47">
        <v>1.1222735752E10</v>
      </c>
      <c r="B1151" s="48">
        <v>46153.292650462965</v>
      </c>
      <c r="C1151" s="30">
        <v>3.838434725E9</v>
      </c>
      <c r="D1151" s="47" t="s">
        <v>1509</v>
      </c>
      <c r="E1151" s="30">
        <v>489.0</v>
      </c>
      <c r="F1151" s="30">
        <v>130.0</v>
      </c>
      <c r="G1151" s="30">
        <v>0.0</v>
      </c>
      <c r="H1151" s="30">
        <v>0.0</v>
      </c>
      <c r="I1151" s="30">
        <v>97.8</v>
      </c>
      <c r="J1151" s="30">
        <v>0.0</v>
      </c>
      <c r="K1151" s="30">
        <v>0.0</v>
      </c>
      <c r="L1151" s="30">
        <v>0.0</v>
      </c>
      <c r="M1151" s="30">
        <v>0.0</v>
      </c>
      <c r="N1151" s="30">
        <v>81.5</v>
      </c>
      <c r="O1151" s="30">
        <v>179.7</v>
      </c>
      <c r="P1151" s="30">
        <v>36.74846625766871</v>
      </c>
      <c r="Q1151" s="30">
        <v>44.09815950920245</v>
      </c>
    </row>
    <row r="1152">
      <c r="A1152" s="47">
        <v>1.1218544811E10</v>
      </c>
      <c r="B1152" s="48">
        <v>46152.03244212963</v>
      </c>
      <c r="C1152" s="30">
        <v>3.834699942E9</v>
      </c>
      <c r="D1152" s="47" t="s">
        <v>1509</v>
      </c>
      <c r="E1152" s="30">
        <v>474.0</v>
      </c>
      <c r="F1152" s="30">
        <v>130.0</v>
      </c>
      <c r="G1152" s="30">
        <v>0.0</v>
      </c>
      <c r="H1152" s="30">
        <v>0.0</v>
      </c>
      <c r="I1152" s="30">
        <v>94.8</v>
      </c>
      <c r="J1152" s="30">
        <v>0.0</v>
      </c>
      <c r="K1152" s="30">
        <v>0.0</v>
      </c>
      <c r="L1152" s="30">
        <v>0.0</v>
      </c>
      <c r="M1152" s="30">
        <v>0.0</v>
      </c>
      <c r="N1152" s="30">
        <v>79.0</v>
      </c>
      <c r="O1152" s="30">
        <v>170.2</v>
      </c>
      <c r="P1152" s="30">
        <v>35.90717299578059</v>
      </c>
      <c r="Q1152" s="30">
        <v>43.088607594936704</v>
      </c>
    </row>
    <row r="1153">
      <c r="A1153" s="47">
        <v>1.121933411E10</v>
      </c>
      <c r="B1153" s="48">
        <v>46152.38743055556</v>
      </c>
      <c r="C1153" s="30">
        <v>3.835458013E9</v>
      </c>
      <c r="D1153" s="47" t="s">
        <v>1509</v>
      </c>
      <c r="E1153" s="30">
        <v>1599.0</v>
      </c>
      <c r="F1153" s="30">
        <v>1190.0</v>
      </c>
      <c r="G1153" s="30">
        <v>0.0</v>
      </c>
      <c r="H1153" s="30">
        <v>0.0</v>
      </c>
      <c r="I1153" s="30">
        <v>199.875</v>
      </c>
      <c r="J1153" s="30">
        <v>0.0</v>
      </c>
      <c r="K1153" s="30">
        <v>0.0</v>
      </c>
      <c r="L1153" s="30">
        <v>0.0</v>
      </c>
      <c r="M1153" s="30">
        <v>0.0</v>
      </c>
      <c r="N1153" s="30">
        <v>266.5</v>
      </c>
      <c r="O1153" s="30">
        <v>-57.375</v>
      </c>
      <c r="P1153" s="30">
        <v>-3.5881801125703565</v>
      </c>
      <c r="Q1153" s="30">
        <v>-4.305816135084427</v>
      </c>
    </row>
    <row r="1154">
      <c r="A1154" s="47">
        <v>1.1209165822E10</v>
      </c>
      <c r="B1154" s="48">
        <v>46149.631747685184</v>
      </c>
      <c r="C1154" s="30">
        <v>3.826213826E9</v>
      </c>
      <c r="D1154" s="47" t="s">
        <v>1509</v>
      </c>
      <c r="E1154" s="30">
        <v>1400.0</v>
      </c>
      <c r="F1154" s="30">
        <v>1160.0</v>
      </c>
      <c r="G1154" s="30">
        <v>0.0</v>
      </c>
      <c r="H1154" s="30">
        <v>0.0</v>
      </c>
      <c r="I1154" s="30">
        <v>89.6</v>
      </c>
      <c r="J1154" s="30">
        <v>0.0</v>
      </c>
      <c r="K1154" s="30">
        <v>0.0</v>
      </c>
      <c r="L1154" s="30">
        <v>0.0</v>
      </c>
      <c r="M1154" s="30">
        <v>0.0</v>
      </c>
      <c r="N1154" s="30">
        <v>233.33333333333326</v>
      </c>
      <c r="O1154" s="30">
        <v>-82.93333333333325</v>
      </c>
      <c r="P1154" s="30">
        <v>-5.923809523809518</v>
      </c>
      <c r="Q1154" s="30">
        <v>-7.108571428571421</v>
      </c>
    </row>
    <row r="1155">
      <c r="A1155" s="47">
        <v>1.1222736992E10</v>
      </c>
      <c r="B1155" s="48">
        <v>46153.29707175926</v>
      </c>
      <c r="C1155" s="30">
        <v>3.838437003E9</v>
      </c>
      <c r="D1155" s="47" t="s">
        <v>1509</v>
      </c>
      <c r="E1155" s="30">
        <v>3430.0</v>
      </c>
      <c r="F1155" s="30">
        <v>2274.72</v>
      </c>
      <c r="G1155" s="30">
        <v>0.0</v>
      </c>
      <c r="H1155" s="30">
        <v>0.0</v>
      </c>
      <c r="I1155" s="30">
        <v>428.75</v>
      </c>
      <c r="J1155" s="30">
        <v>0.0</v>
      </c>
      <c r="K1155" s="30">
        <v>0.0</v>
      </c>
      <c r="L1155" s="30">
        <v>0.0</v>
      </c>
      <c r="M1155" s="30">
        <v>0.0</v>
      </c>
      <c r="N1155" s="30">
        <v>571.6666666666665</v>
      </c>
      <c r="O1155" s="30">
        <v>154.86333333333369</v>
      </c>
      <c r="P1155" s="30">
        <v>4.514965986394568</v>
      </c>
      <c r="Q1155" s="30">
        <v>5.4179591836734815</v>
      </c>
    </row>
    <row r="1156">
      <c r="A1156" s="47">
        <v>1.1223088268E10</v>
      </c>
      <c r="B1156" s="48">
        <v>46153.56744212963</v>
      </c>
      <c r="C1156" s="30">
        <v>3.838852164E9</v>
      </c>
      <c r="D1156" s="47" t="s">
        <v>1509</v>
      </c>
      <c r="E1156" s="30">
        <v>1582.0</v>
      </c>
      <c r="F1156" s="30">
        <v>1053.0</v>
      </c>
      <c r="G1156" s="30">
        <v>0.0</v>
      </c>
      <c r="H1156" s="30">
        <v>0.0</v>
      </c>
      <c r="I1156" s="30">
        <v>197.75</v>
      </c>
      <c r="J1156" s="30">
        <v>0.0</v>
      </c>
      <c r="K1156" s="30">
        <v>0.0</v>
      </c>
      <c r="L1156" s="30">
        <v>0.0</v>
      </c>
      <c r="M1156" s="30">
        <v>0.0</v>
      </c>
      <c r="N1156" s="30">
        <v>263.6666666666665</v>
      </c>
      <c r="O1156" s="30">
        <v>67.58333333333348</v>
      </c>
      <c r="P1156" s="30">
        <v>4.272018541930056</v>
      </c>
      <c r="Q1156" s="30">
        <v>5.126422250316066</v>
      </c>
    </row>
    <row r="1157">
      <c r="A1157" s="47">
        <v>1.1194649818E10</v>
      </c>
      <c r="B1157" s="48">
        <v>46145.59978009259</v>
      </c>
      <c r="C1157" s="30">
        <v>3.812667905E9</v>
      </c>
      <c r="D1157" s="47" t="s">
        <v>1509</v>
      </c>
      <c r="E1157" s="30">
        <v>830.0</v>
      </c>
      <c r="F1157" s="30">
        <v>480.0</v>
      </c>
      <c r="G1157" s="30">
        <v>0.0</v>
      </c>
      <c r="H1157" s="30">
        <v>0.0</v>
      </c>
      <c r="I1157" s="30">
        <v>112.05</v>
      </c>
      <c r="J1157" s="30">
        <v>0.0</v>
      </c>
      <c r="K1157" s="30">
        <v>0.0</v>
      </c>
      <c r="L1157" s="30">
        <v>0.0</v>
      </c>
      <c r="M1157" s="30">
        <v>0.0</v>
      </c>
      <c r="N1157" s="30">
        <v>138.33333333333326</v>
      </c>
      <c r="O1157" s="30">
        <v>99.61666666666673</v>
      </c>
      <c r="P1157" s="30">
        <v>12.002008032128522</v>
      </c>
      <c r="Q1157" s="30">
        <v>14.402409638554225</v>
      </c>
    </row>
    <row r="1158">
      <c r="A1158" s="47">
        <v>1.1217060132E10</v>
      </c>
      <c r="B1158" s="48">
        <v>46151.752650462964</v>
      </c>
      <c r="C1158" s="30">
        <v>3.833538957E9</v>
      </c>
      <c r="D1158" s="47" t="s">
        <v>1509</v>
      </c>
      <c r="E1158" s="30">
        <v>1692.0</v>
      </c>
      <c r="F1158" s="30">
        <v>1210.0</v>
      </c>
      <c r="G1158" s="30">
        <v>0.0</v>
      </c>
      <c r="H1158" s="30">
        <v>0.0</v>
      </c>
      <c r="I1158" s="30">
        <v>211.5</v>
      </c>
      <c r="J1158" s="30">
        <v>0.0</v>
      </c>
      <c r="K1158" s="30">
        <v>0.0</v>
      </c>
      <c r="L1158" s="30">
        <v>0.0</v>
      </c>
      <c r="M1158" s="30">
        <v>0.0</v>
      </c>
      <c r="N1158" s="30">
        <v>282.0</v>
      </c>
      <c r="O1158" s="30">
        <v>-11.5</v>
      </c>
      <c r="P1158" s="30">
        <v>-0.6796690307328606</v>
      </c>
      <c r="Q1158" s="30">
        <v>-0.8156028368794326</v>
      </c>
    </row>
    <row r="1159">
      <c r="A1159" s="47">
        <v>1.121960149E10</v>
      </c>
      <c r="B1159" s="48">
        <v>46152.58415509259</v>
      </c>
      <c r="C1159" s="30">
        <v>3.835717107E9</v>
      </c>
      <c r="D1159" s="47" t="s">
        <v>1509</v>
      </c>
      <c r="E1159" s="30">
        <v>474.47</v>
      </c>
      <c r="F1159" s="30">
        <v>130.0</v>
      </c>
      <c r="G1159" s="30">
        <v>0.0</v>
      </c>
      <c r="H1159" s="30">
        <v>0.0</v>
      </c>
      <c r="I1159" s="30">
        <v>94.89400000000002</v>
      </c>
      <c r="J1159" s="30">
        <v>0.0</v>
      </c>
      <c r="K1159" s="30">
        <v>0.0</v>
      </c>
      <c r="L1159" s="30">
        <v>0.0</v>
      </c>
      <c r="M1159" s="30">
        <v>0.0</v>
      </c>
      <c r="N1159" s="30">
        <v>79.07833333333332</v>
      </c>
      <c r="O1159" s="30">
        <v>170.4976666666667</v>
      </c>
      <c r="P1159" s="30">
        <v>35.93434077321363</v>
      </c>
      <c r="Q1159" s="30">
        <v>43.121208927856344</v>
      </c>
    </row>
    <row r="1160">
      <c r="A1160" s="47">
        <v>1.1217183043E10</v>
      </c>
      <c r="B1160" s="48">
        <v>46151.77685185185</v>
      </c>
      <c r="C1160" s="30">
        <v>3.833640666E9</v>
      </c>
      <c r="D1160" s="47" t="s">
        <v>1509</v>
      </c>
      <c r="E1160" s="30">
        <v>589.0</v>
      </c>
      <c r="F1160" s="30">
        <v>1.0</v>
      </c>
      <c r="G1160" s="30">
        <v>0.0</v>
      </c>
      <c r="H1160" s="30">
        <v>0.0</v>
      </c>
      <c r="I1160" s="30">
        <v>73.625</v>
      </c>
      <c r="J1160" s="30">
        <v>0.0</v>
      </c>
      <c r="K1160" s="30">
        <v>0.0</v>
      </c>
      <c r="L1160" s="30">
        <v>0.0</v>
      </c>
      <c r="M1160" s="30">
        <v>0.0</v>
      </c>
      <c r="N1160" s="30">
        <v>98.16666666666663</v>
      </c>
      <c r="O1160" s="30">
        <v>416.20833333333337</v>
      </c>
      <c r="P1160" s="30">
        <v>70.66355404640635</v>
      </c>
      <c r="Q1160" s="30">
        <v>84.79626485568761</v>
      </c>
    </row>
    <row r="1161">
      <c r="A1161" s="47">
        <v>1.1188421151E10</v>
      </c>
      <c r="B1161" s="48">
        <v>46143.109826388885</v>
      </c>
      <c r="C1161" s="30">
        <v>3.807609154E9</v>
      </c>
      <c r="D1161" s="47" t="s">
        <v>1509</v>
      </c>
      <c r="E1161" s="30">
        <v>1549.0</v>
      </c>
      <c r="F1161" s="30">
        <v>1210.0</v>
      </c>
      <c r="G1161" s="30">
        <v>0.0</v>
      </c>
      <c r="H1161" s="30">
        <v>0.0</v>
      </c>
      <c r="I1161" s="30">
        <v>193.625</v>
      </c>
      <c r="J1161" s="30">
        <v>0.0</v>
      </c>
      <c r="K1161" s="30">
        <v>0.0</v>
      </c>
      <c r="L1161" s="30">
        <v>0.0</v>
      </c>
      <c r="M1161" s="30">
        <v>0.0</v>
      </c>
      <c r="N1161" s="30">
        <v>258.1666666666665</v>
      </c>
      <c r="O1161" s="30">
        <v>-112.79166666666652</v>
      </c>
      <c r="P1161" s="30">
        <v>-7.2815795136647194</v>
      </c>
      <c r="Q1161" s="30">
        <v>-8.737895416397663</v>
      </c>
    </row>
    <row r="1162">
      <c r="A1162" s="47">
        <v>1.1223254914E10</v>
      </c>
      <c r="B1162" s="48">
        <v>46153.605219907404</v>
      </c>
      <c r="C1162" s="30">
        <v>3.839026461E9</v>
      </c>
      <c r="D1162" s="47" t="s">
        <v>1509</v>
      </c>
      <c r="E1162" s="30">
        <v>414.0</v>
      </c>
      <c r="F1162" s="30">
        <v>1.0</v>
      </c>
      <c r="G1162" s="30">
        <v>0.0</v>
      </c>
      <c r="H1162" s="30">
        <v>0.0</v>
      </c>
      <c r="I1162" s="30">
        <v>51.75</v>
      </c>
      <c r="J1162" s="30">
        <v>0.0</v>
      </c>
      <c r="K1162" s="30">
        <v>0.0</v>
      </c>
      <c r="L1162" s="30">
        <v>0.0</v>
      </c>
      <c r="M1162" s="30">
        <v>0.0</v>
      </c>
      <c r="N1162" s="30">
        <v>69.0</v>
      </c>
      <c r="O1162" s="30">
        <v>292.25</v>
      </c>
      <c r="P1162" s="30">
        <v>70.59178743961353</v>
      </c>
      <c r="Q1162" s="30">
        <v>84.71014492753623</v>
      </c>
    </row>
    <row r="1163">
      <c r="A1163" s="47">
        <v>1.121640287E10</v>
      </c>
      <c r="B1163" s="48">
        <v>46151.62517361111</v>
      </c>
      <c r="C1163" s="30">
        <v>3.832953728E9</v>
      </c>
      <c r="D1163" s="47" t="s">
        <v>1509</v>
      </c>
      <c r="E1163" s="30">
        <v>1599.0</v>
      </c>
      <c r="F1163" s="30">
        <v>1190.0</v>
      </c>
      <c r="G1163" s="30">
        <v>0.0</v>
      </c>
      <c r="H1163" s="30">
        <v>0.0</v>
      </c>
      <c r="I1163" s="30">
        <v>199.875</v>
      </c>
      <c r="J1163" s="30">
        <v>0.0</v>
      </c>
      <c r="K1163" s="30">
        <v>0.0</v>
      </c>
      <c r="L1163" s="30">
        <v>0.0</v>
      </c>
      <c r="M1163" s="30">
        <v>0.0</v>
      </c>
      <c r="N1163" s="30">
        <v>266.5</v>
      </c>
      <c r="O1163" s="30">
        <v>-57.375</v>
      </c>
      <c r="P1163" s="30">
        <v>-3.5881801125703565</v>
      </c>
      <c r="Q1163" s="30">
        <v>-4.305816135084427</v>
      </c>
    </row>
    <row r="1164">
      <c r="A1164" s="47">
        <v>1.1213465544E10</v>
      </c>
      <c r="B1164" s="48">
        <v>46150.72976851852</v>
      </c>
      <c r="C1164" s="30">
        <v>3.830280215E9</v>
      </c>
      <c r="D1164" s="47" t="s">
        <v>1509</v>
      </c>
      <c r="E1164" s="30">
        <v>1400.0</v>
      </c>
      <c r="F1164" s="30">
        <v>1160.0</v>
      </c>
      <c r="G1164" s="30">
        <v>0.0</v>
      </c>
      <c r="H1164" s="30">
        <v>0.0</v>
      </c>
      <c r="I1164" s="30">
        <v>89.6</v>
      </c>
      <c r="J1164" s="30">
        <v>0.0</v>
      </c>
      <c r="K1164" s="30">
        <v>0.0</v>
      </c>
      <c r="L1164" s="30">
        <v>0.0</v>
      </c>
      <c r="M1164" s="30">
        <v>0.0</v>
      </c>
      <c r="N1164" s="30">
        <v>233.33333333333326</v>
      </c>
      <c r="O1164" s="30">
        <v>-82.93333333333325</v>
      </c>
      <c r="P1164" s="30">
        <v>-5.923809523809518</v>
      </c>
      <c r="Q1164" s="30">
        <v>-7.108571428571421</v>
      </c>
    </row>
    <row r="1165">
      <c r="A1165" s="47">
        <v>1.1217235164E10</v>
      </c>
      <c r="B1165" s="48">
        <v>46151.7871875</v>
      </c>
      <c r="C1165" s="30">
        <v>3.833684298E9</v>
      </c>
      <c r="D1165" s="47" t="s">
        <v>1509</v>
      </c>
      <c r="E1165" s="30">
        <v>2625.0</v>
      </c>
      <c r="F1165" s="30">
        <v>2000.0</v>
      </c>
      <c r="G1165" s="30">
        <v>0.0</v>
      </c>
      <c r="H1165" s="30">
        <v>0.0</v>
      </c>
      <c r="I1165" s="30">
        <v>168.0</v>
      </c>
      <c r="J1165" s="30">
        <v>0.0</v>
      </c>
      <c r="K1165" s="30">
        <v>0.0</v>
      </c>
      <c r="L1165" s="30">
        <v>0.0</v>
      </c>
      <c r="M1165" s="30">
        <v>0.0</v>
      </c>
      <c r="N1165" s="30">
        <v>437.5</v>
      </c>
      <c r="O1165" s="30">
        <v>19.5</v>
      </c>
      <c r="P1165" s="30">
        <v>0.7428571428571429</v>
      </c>
      <c r="Q1165" s="30">
        <v>0.8914285714285715</v>
      </c>
    </row>
    <row r="1166">
      <c r="A1166" s="47">
        <v>1.12128967E10</v>
      </c>
      <c r="B1166" s="48">
        <v>46150.62599537037</v>
      </c>
      <c r="C1166" s="30">
        <v>3.829770796E9</v>
      </c>
      <c r="D1166" s="47" t="s">
        <v>1509</v>
      </c>
      <c r="E1166" s="30">
        <v>545.0</v>
      </c>
      <c r="F1166" s="30">
        <v>290.0</v>
      </c>
      <c r="G1166" s="30">
        <v>0.0</v>
      </c>
      <c r="H1166" s="30">
        <v>0.0</v>
      </c>
      <c r="I1166" s="30">
        <v>73.575</v>
      </c>
      <c r="J1166" s="30">
        <v>0.0</v>
      </c>
      <c r="K1166" s="30">
        <v>0.0</v>
      </c>
      <c r="L1166" s="30">
        <v>0.0</v>
      </c>
      <c r="M1166" s="30">
        <v>0.0</v>
      </c>
      <c r="N1166" s="30">
        <v>90.83333333333331</v>
      </c>
      <c r="O1166" s="30">
        <v>90.5916666666667</v>
      </c>
      <c r="P1166" s="30">
        <v>16.622324159021414</v>
      </c>
      <c r="Q1166" s="30">
        <v>19.946788990825695</v>
      </c>
    </row>
    <row r="1167">
      <c r="A1167" s="47">
        <v>1.1222896065E10</v>
      </c>
      <c r="B1167" s="48">
        <v>46153.51008101852</v>
      </c>
      <c r="C1167" s="30">
        <v>3.838635367E9</v>
      </c>
      <c r="D1167" s="47" t="s">
        <v>1509</v>
      </c>
      <c r="E1167" s="30">
        <v>2200.0</v>
      </c>
      <c r="F1167" s="30">
        <v>1638.0</v>
      </c>
      <c r="G1167" s="30">
        <v>0.0</v>
      </c>
      <c r="H1167" s="30">
        <v>0.0</v>
      </c>
      <c r="I1167" s="30">
        <v>363.0</v>
      </c>
      <c r="J1167" s="30">
        <v>0.0</v>
      </c>
      <c r="K1167" s="30">
        <v>0.0</v>
      </c>
      <c r="L1167" s="30">
        <v>0.0</v>
      </c>
      <c r="M1167" s="30">
        <v>0.0</v>
      </c>
      <c r="N1167" s="30">
        <v>366.6666666666665</v>
      </c>
      <c r="O1167" s="30">
        <v>-167.66666666666652</v>
      </c>
      <c r="P1167" s="30">
        <v>-7.621212121212115</v>
      </c>
      <c r="Q1167" s="30">
        <v>-9.145454545454536</v>
      </c>
    </row>
    <row r="1168">
      <c r="A1168" s="47">
        <v>1.1219539161E10</v>
      </c>
      <c r="B1168" s="48">
        <v>46152.563310185185</v>
      </c>
      <c r="C1168" s="30">
        <v>3.835661601E9</v>
      </c>
      <c r="D1168" s="47" t="s">
        <v>1509</v>
      </c>
      <c r="E1168" s="30">
        <v>870.0</v>
      </c>
      <c r="F1168" s="30">
        <v>580.0</v>
      </c>
      <c r="G1168" s="30">
        <v>0.0</v>
      </c>
      <c r="H1168" s="30">
        <v>0.0</v>
      </c>
      <c r="I1168" s="30">
        <v>117.45</v>
      </c>
      <c r="J1168" s="30">
        <v>0.0</v>
      </c>
      <c r="K1168" s="30">
        <v>0.0</v>
      </c>
      <c r="L1168" s="30">
        <v>0.0</v>
      </c>
      <c r="M1168" s="30">
        <v>0.0</v>
      </c>
      <c r="N1168" s="30">
        <v>145.0</v>
      </c>
      <c r="O1168" s="30">
        <v>27.55000000000001</v>
      </c>
      <c r="P1168" s="30">
        <v>3.166666666666668</v>
      </c>
      <c r="Q1168" s="30">
        <v>3.800000000000001</v>
      </c>
    </row>
    <row r="1169">
      <c r="A1169" s="47">
        <v>1.1218883998E10</v>
      </c>
      <c r="B1169" s="48">
        <v>46152.10109953704</v>
      </c>
      <c r="C1169" s="30">
        <v>3.835022797E9</v>
      </c>
      <c r="D1169" s="47" t="s">
        <v>1509</v>
      </c>
      <c r="E1169" s="30">
        <v>589.0</v>
      </c>
      <c r="F1169" s="30">
        <v>1.0</v>
      </c>
      <c r="G1169" s="30">
        <v>0.0</v>
      </c>
      <c r="H1169" s="30">
        <v>0.0</v>
      </c>
      <c r="I1169" s="30">
        <v>73.625</v>
      </c>
      <c r="J1169" s="30">
        <v>0.0</v>
      </c>
      <c r="K1169" s="30">
        <v>0.0</v>
      </c>
      <c r="L1169" s="30">
        <v>0.0</v>
      </c>
      <c r="M1169" s="30">
        <v>0.0</v>
      </c>
      <c r="N1169" s="30">
        <v>98.16666666666663</v>
      </c>
      <c r="O1169" s="30">
        <v>416.20833333333337</v>
      </c>
      <c r="P1169" s="30">
        <v>70.66355404640635</v>
      </c>
      <c r="Q1169" s="30">
        <v>84.79626485568761</v>
      </c>
    </row>
    <row r="1170">
      <c r="A1170" s="47">
        <v>1.1215189291E10</v>
      </c>
      <c r="B1170" s="48">
        <v>46151.047638888886</v>
      </c>
      <c r="C1170" s="30">
        <v>3.831733744E9</v>
      </c>
      <c r="D1170" s="47" t="s">
        <v>1509</v>
      </c>
      <c r="E1170" s="30">
        <v>472.0</v>
      </c>
      <c r="F1170" s="30">
        <v>130.0</v>
      </c>
      <c r="G1170" s="30">
        <v>0.0</v>
      </c>
      <c r="H1170" s="30">
        <v>0.0</v>
      </c>
      <c r="I1170" s="30">
        <v>94.4</v>
      </c>
      <c r="J1170" s="30">
        <v>0.0</v>
      </c>
      <c r="K1170" s="30">
        <v>0.0</v>
      </c>
      <c r="L1170" s="30">
        <v>0.0</v>
      </c>
      <c r="M1170" s="30">
        <v>0.0</v>
      </c>
      <c r="N1170" s="30">
        <v>78.66666666666663</v>
      </c>
      <c r="O1170" s="30">
        <v>168.93333333333337</v>
      </c>
      <c r="P1170" s="30">
        <v>35.79096045197741</v>
      </c>
      <c r="Q1170" s="30">
        <v>42.949152542372886</v>
      </c>
    </row>
    <row r="1171">
      <c r="A1171" s="47">
        <v>1.121546915E10</v>
      </c>
      <c r="B1171" s="48">
        <v>46151.10142361111</v>
      </c>
      <c r="C1171" s="30">
        <v>3.832014848E9</v>
      </c>
      <c r="D1171" s="47" t="s">
        <v>1509</v>
      </c>
      <c r="E1171" s="30">
        <v>1692.0</v>
      </c>
      <c r="F1171" s="30">
        <v>1210.0</v>
      </c>
      <c r="G1171" s="30">
        <v>0.0</v>
      </c>
      <c r="H1171" s="30">
        <v>0.0</v>
      </c>
      <c r="I1171" s="30">
        <v>211.5</v>
      </c>
      <c r="J1171" s="30">
        <v>0.0</v>
      </c>
      <c r="K1171" s="30">
        <v>0.0</v>
      </c>
      <c r="L1171" s="30">
        <v>0.0</v>
      </c>
      <c r="M1171" s="30">
        <v>0.0</v>
      </c>
      <c r="N1171" s="30">
        <v>282.0</v>
      </c>
      <c r="O1171" s="30">
        <v>-11.5</v>
      </c>
      <c r="P1171" s="30">
        <v>-0.6796690307328606</v>
      </c>
      <c r="Q1171" s="30">
        <v>-0.8156028368794326</v>
      </c>
    </row>
    <row r="1172">
      <c r="A1172" s="47">
        <v>1.1224017684E10</v>
      </c>
      <c r="B1172" s="48">
        <v>46153.74105324074</v>
      </c>
      <c r="C1172" s="30">
        <v>3.839727544E9</v>
      </c>
      <c r="D1172" s="47" t="s">
        <v>1511</v>
      </c>
      <c r="E1172" s="30">
        <v>1435.0</v>
      </c>
      <c r="F1172" s="30">
        <v>390.0</v>
      </c>
      <c r="G1172" s="30">
        <v>0.0</v>
      </c>
      <c r="H1172" s="30">
        <v>0.0</v>
      </c>
      <c r="I1172" s="30">
        <v>0.0</v>
      </c>
      <c r="J1172" s="30">
        <v>0.0</v>
      </c>
      <c r="K1172" s="30">
        <v>0.0</v>
      </c>
      <c r="L1172" s="30">
        <v>0.0</v>
      </c>
      <c r="M1172" s="30">
        <v>0.0</v>
      </c>
      <c r="N1172" s="30">
        <v>239.16666666666663</v>
      </c>
      <c r="O1172" s="30">
        <v>805.8333333333334</v>
      </c>
      <c r="P1172" s="30">
        <v>56.15563298490128</v>
      </c>
      <c r="Q1172" s="30">
        <v>67.38675958188153</v>
      </c>
    </row>
    <row r="1173">
      <c r="A1173" s="47">
        <v>1.1211181952E10</v>
      </c>
      <c r="B1173" s="48">
        <v>46149.99318287037</v>
      </c>
      <c r="C1173" s="30">
        <v>3.827978528E9</v>
      </c>
      <c r="D1173" s="47" t="s">
        <v>1509</v>
      </c>
      <c r="E1173" s="30">
        <v>1400.0</v>
      </c>
      <c r="F1173" s="30">
        <v>1160.0</v>
      </c>
      <c r="G1173" s="30">
        <v>0.0</v>
      </c>
      <c r="H1173" s="30">
        <v>0.0</v>
      </c>
      <c r="I1173" s="30">
        <v>89.6</v>
      </c>
      <c r="J1173" s="30">
        <v>0.0</v>
      </c>
      <c r="K1173" s="30">
        <v>0.0</v>
      </c>
      <c r="L1173" s="30">
        <v>0.0</v>
      </c>
      <c r="M1173" s="30">
        <v>0.0</v>
      </c>
      <c r="N1173" s="30">
        <v>233.33333333333326</v>
      </c>
      <c r="O1173" s="30">
        <v>-82.93333333333325</v>
      </c>
      <c r="P1173" s="30">
        <v>-5.923809523809518</v>
      </c>
      <c r="Q1173" s="30">
        <v>-7.108571428571421</v>
      </c>
    </row>
    <row r="1174">
      <c r="A1174" s="47">
        <v>1.1170956254E10</v>
      </c>
      <c r="B1174" s="48">
        <v>46136.999548611115</v>
      </c>
      <c r="C1174" s="30">
        <v>3.793196081E9</v>
      </c>
      <c r="D1174" s="47" t="s">
        <v>1516</v>
      </c>
      <c r="E1174" s="30">
        <v>1299.0</v>
      </c>
      <c r="F1174" s="30">
        <v>999.6</v>
      </c>
      <c r="G1174" s="30">
        <v>0.0</v>
      </c>
      <c r="H1174" s="30">
        <v>0.0</v>
      </c>
      <c r="I1174" s="30">
        <v>162.375</v>
      </c>
      <c r="J1174" s="30">
        <v>0.0</v>
      </c>
      <c r="K1174" s="30">
        <v>0.0</v>
      </c>
      <c r="L1174" s="30">
        <v>0.0</v>
      </c>
      <c r="M1174" s="30">
        <v>0.0</v>
      </c>
      <c r="N1174" s="30">
        <v>216.5</v>
      </c>
      <c r="O1174" s="30">
        <v>-79.47500000000002</v>
      </c>
      <c r="P1174" s="30">
        <v>-6.11816782140108</v>
      </c>
      <c r="Q1174" s="30">
        <v>-7.341801385681296</v>
      </c>
    </row>
    <row r="1175">
      <c r="A1175" s="47">
        <v>1.1209659928E10</v>
      </c>
      <c r="B1175" s="48">
        <v>46149.71854166667</v>
      </c>
      <c r="C1175" s="30">
        <v>3.826666525E9</v>
      </c>
      <c r="D1175" s="47" t="s">
        <v>1509</v>
      </c>
      <c r="E1175" s="30">
        <v>4430.0</v>
      </c>
      <c r="F1175" s="30">
        <v>3556.0</v>
      </c>
      <c r="G1175" s="30">
        <v>0.0</v>
      </c>
      <c r="H1175" s="30">
        <v>0.0</v>
      </c>
      <c r="I1175" s="30">
        <v>730.95</v>
      </c>
      <c r="J1175" s="30">
        <v>0.0</v>
      </c>
      <c r="K1175" s="30">
        <v>0.0</v>
      </c>
      <c r="L1175" s="30">
        <v>0.0</v>
      </c>
      <c r="M1175" s="30">
        <v>0.0</v>
      </c>
      <c r="N1175" s="30">
        <v>738.333333333333</v>
      </c>
      <c r="O1175" s="30">
        <v>-595.2833333333331</v>
      </c>
      <c r="P1175" s="30">
        <v>-13.437547027840477</v>
      </c>
      <c r="Q1175" s="30">
        <v>-16.12505643340857</v>
      </c>
    </row>
    <row r="1176">
      <c r="A1176" s="47">
        <v>1.1206888025E10</v>
      </c>
      <c r="B1176" s="48">
        <v>46148.92988425926</v>
      </c>
      <c r="C1176" s="30">
        <v>3.823883065E9</v>
      </c>
      <c r="D1176" s="47" t="s">
        <v>1509</v>
      </c>
      <c r="E1176" s="30">
        <v>1400.0</v>
      </c>
      <c r="F1176" s="30">
        <v>1160.0</v>
      </c>
      <c r="G1176" s="30">
        <v>0.0</v>
      </c>
      <c r="H1176" s="30">
        <v>0.0</v>
      </c>
      <c r="I1176" s="30">
        <v>89.6</v>
      </c>
      <c r="J1176" s="30">
        <v>0.0</v>
      </c>
      <c r="K1176" s="30">
        <v>0.0</v>
      </c>
      <c r="L1176" s="30">
        <v>0.0</v>
      </c>
      <c r="M1176" s="30">
        <v>0.0</v>
      </c>
      <c r="N1176" s="30">
        <v>233.33333333333326</v>
      </c>
      <c r="O1176" s="30">
        <v>-82.93333333333325</v>
      </c>
      <c r="P1176" s="30">
        <v>-5.923809523809518</v>
      </c>
      <c r="Q1176" s="30">
        <v>-7.108571428571421</v>
      </c>
    </row>
    <row r="1177">
      <c r="A1177" s="47">
        <v>1.1213012413E10</v>
      </c>
      <c r="B1177" s="48">
        <v>46150.647152777776</v>
      </c>
      <c r="C1177" s="30">
        <v>3.829870474E9</v>
      </c>
      <c r="D1177" s="47" t="s">
        <v>1509</v>
      </c>
      <c r="E1177" s="30">
        <v>1482.0</v>
      </c>
      <c r="F1177" s="30">
        <v>1053.0</v>
      </c>
      <c r="G1177" s="30">
        <v>0.0</v>
      </c>
      <c r="H1177" s="30">
        <v>0.0</v>
      </c>
      <c r="I1177" s="30">
        <v>185.25</v>
      </c>
      <c r="J1177" s="30">
        <v>0.0</v>
      </c>
      <c r="K1177" s="30">
        <v>0.0</v>
      </c>
      <c r="L1177" s="30">
        <v>0.0</v>
      </c>
      <c r="M1177" s="30">
        <v>0.0</v>
      </c>
      <c r="N1177" s="30">
        <v>247.0</v>
      </c>
      <c r="O1177" s="30">
        <v>-3.25</v>
      </c>
      <c r="P1177" s="30">
        <v>-0.21929824561403508</v>
      </c>
      <c r="Q1177" s="30">
        <v>-0.2631578947368421</v>
      </c>
    </row>
    <row r="1178">
      <c r="A1178" s="47">
        <v>1.1206339913E10</v>
      </c>
      <c r="B1178" s="48">
        <v>46148.837905092594</v>
      </c>
      <c r="C1178" s="30">
        <v>3.823414628E9</v>
      </c>
      <c r="D1178" s="47" t="s">
        <v>1509</v>
      </c>
      <c r="E1178" s="30">
        <v>1400.0</v>
      </c>
      <c r="F1178" s="30">
        <v>1160.0</v>
      </c>
      <c r="G1178" s="30">
        <v>0.0</v>
      </c>
      <c r="H1178" s="30">
        <v>0.0</v>
      </c>
      <c r="I1178" s="30">
        <v>89.6</v>
      </c>
      <c r="J1178" s="30">
        <v>0.0</v>
      </c>
      <c r="K1178" s="30">
        <v>0.0</v>
      </c>
      <c r="L1178" s="30">
        <v>0.0</v>
      </c>
      <c r="M1178" s="30">
        <v>0.0</v>
      </c>
      <c r="N1178" s="30">
        <v>233.33333333333326</v>
      </c>
      <c r="O1178" s="30">
        <v>-82.93333333333325</v>
      </c>
      <c r="P1178" s="30">
        <v>-5.923809523809518</v>
      </c>
      <c r="Q1178" s="30">
        <v>-7.108571428571421</v>
      </c>
    </row>
    <row r="1179">
      <c r="A1179" s="47">
        <v>1.1212458871E10</v>
      </c>
      <c r="B1179" s="48">
        <v>46150.51925925926</v>
      </c>
      <c r="C1179" s="30">
        <v>3.829332003E9</v>
      </c>
      <c r="D1179" s="47" t="s">
        <v>1509</v>
      </c>
      <c r="E1179" s="30">
        <v>3780.0</v>
      </c>
      <c r="F1179" s="30">
        <v>2944.0</v>
      </c>
      <c r="G1179" s="30">
        <v>0.0</v>
      </c>
      <c r="H1179" s="30">
        <v>0.0</v>
      </c>
      <c r="I1179" s="30">
        <v>483.84</v>
      </c>
      <c r="J1179" s="30">
        <v>0.0</v>
      </c>
      <c r="K1179" s="30">
        <v>0.0</v>
      </c>
      <c r="L1179" s="30">
        <v>0.0</v>
      </c>
      <c r="M1179" s="30">
        <v>0.0</v>
      </c>
      <c r="N1179" s="30">
        <v>630.0</v>
      </c>
      <c r="O1179" s="30">
        <v>-277.84</v>
      </c>
      <c r="P1179" s="30">
        <v>-7.35026455026455</v>
      </c>
      <c r="Q1179" s="30">
        <v>-8.820317460317458</v>
      </c>
    </row>
    <row r="1180">
      <c r="A1180" s="47">
        <v>1.1212747549E10</v>
      </c>
      <c r="B1180" s="48">
        <v>46150.59663194444</v>
      </c>
      <c r="C1180" s="30">
        <v>3.829636099E9</v>
      </c>
      <c r="D1180" s="47" t="s">
        <v>1509</v>
      </c>
      <c r="E1180" s="30">
        <v>2071.0</v>
      </c>
      <c r="F1180" s="30">
        <v>1054.0</v>
      </c>
      <c r="G1180" s="30">
        <v>0.0</v>
      </c>
      <c r="H1180" s="30">
        <v>0.0</v>
      </c>
      <c r="I1180" s="30">
        <v>258.875</v>
      </c>
      <c r="J1180" s="30">
        <v>0.0</v>
      </c>
      <c r="K1180" s="30">
        <v>0.0</v>
      </c>
      <c r="L1180" s="30">
        <v>0.0</v>
      </c>
      <c r="M1180" s="30">
        <v>0.0</v>
      </c>
      <c r="N1180" s="30">
        <v>345.16666666666663</v>
      </c>
      <c r="O1180" s="30">
        <v>412.95833333333337</v>
      </c>
      <c r="P1180" s="30">
        <v>19.94004506679543</v>
      </c>
      <c r="Q1180" s="30">
        <v>23.928054080154514</v>
      </c>
    </row>
    <row r="1181">
      <c r="A1181" s="47">
        <v>1.1209080702E10</v>
      </c>
      <c r="B1181" s="48">
        <v>46149.6169212963</v>
      </c>
      <c r="C1181" s="30">
        <v>3.826143457E9</v>
      </c>
      <c r="D1181" s="47" t="s">
        <v>1509</v>
      </c>
      <c r="E1181" s="30">
        <v>4430.0</v>
      </c>
      <c r="F1181" s="30">
        <v>3556.0</v>
      </c>
      <c r="G1181" s="30">
        <v>0.0</v>
      </c>
      <c r="H1181" s="30">
        <v>0.0</v>
      </c>
      <c r="I1181" s="30">
        <v>730.95</v>
      </c>
      <c r="J1181" s="30">
        <v>0.0</v>
      </c>
      <c r="K1181" s="30">
        <v>0.0</v>
      </c>
      <c r="L1181" s="30">
        <v>0.0</v>
      </c>
      <c r="M1181" s="30">
        <v>0.0</v>
      </c>
      <c r="N1181" s="30">
        <v>738.333333333333</v>
      </c>
      <c r="O1181" s="30">
        <v>-595.2833333333331</v>
      </c>
      <c r="P1181" s="30">
        <v>-13.437547027840477</v>
      </c>
      <c r="Q1181" s="30">
        <v>-16.12505643340857</v>
      </c>
    </row>
    <row r="1182">
      <c r="A1182" s="47">
        <v>1.1215618269E10</v>
      </c>
      <c r="B1182" s="48">
        <v>46151.136458333334</v>
      </c>
      <c r="C1182" s="30">
        <v>3.832164636E9</v>
      </c>
      <c r="D1182" s="47" t="s">
        <v>1509</v>
      </c>
      <c r="E1182" s="30">
        <v>850.0</v>
      </c>
      <c r="F1182" s="30">
        <v>100.0</v>
      </c>
      <c r="G1182" s="30">
        <v>0.0</v>
      </c>
      <c r="H1182" s="30">
        <v>0.0</v>
      </c>
      <c r="I1182" s="30">
        <v>114.75</v>
      </c>
      <c r="J1182" s="30">
        <v>0.0</v>
      </c>
      <c r="K1182" s="30">
        <v>0.0</v>
      </c>
      <c r="L1182" s="30">
        <v>0.0</v>
      </c>
      <c r="M1182" s="30">
        <v>0.0</v>
      </c>
      <c r="N1182" s="30">
        <v>141.66666666666663</v>
      </c>
      <c r="O1182" s="30">
        <v>493.58333333333337</v>
      </c>
      <c r="P1182" s="30">
        <v>58.068627450980394</v>
      </c>
      <c r="Q1182" s="30">
        <v>69.68235294117648</v>
      </c>
    </row>
    <row r="1183">
      <c r="A1183" s="47">
        <v>1.1209945408E10</v>
      </c>
      <c r="B1183" s="48">
        <v>46149.77222222222</v>
      </c>
      <c r="C1183" s="30">
        <v>3.826931718E9</v>
      </c>
      <c r="D1183" s="47" t="s">
        <v>1509</v>
      </c>
      <c r="E1183" s="30">
        <v>1400.0</v>
      </c>
      <c r="F1183" s="30">
        <v>1160.0</v>
      </c>
      <c r="G1183" s="30">
        <v>0.0</v>
      </c>
      <c r="H1183" s="30">
        <v>0.0</v>
      </c>
      <c r="I1183" s="30">
        <v>89.6</v>
      </c>
      <c r="J1183" s="30">
        <v>0.0</v>
      </c>
      <c r="K1183" s="30">
        <v>0.0</v>
      </c>
      <c r="L1183" s="30">
        <v>0.0</v>
      </c>
      <c r="M1183" s="30">
        <v>0.0</v>
      </c>
      <c r="N1183" s="30">
        <v>233.33333333333326</v>
      </c>
      <c r="O1183" s="30">
        <v>-82.93333333333325</v>
      </c>
      <c r="P1183" s="30">
        <v>-5.923809523809518</v>
      </c>
      <c r="Q1183" s="30">
        <v>-7.108571428571421</v>
      </c>
    </row>
    <row r="1184">
      <c r="A1184" s="47">
        <v>1.1213296029E10</v>
      </c>
      <c r="B1184" s="48">
        <v>46150.69832175926</v>
      </c>
      <c r="C1184" s="30">
        <v>3.83012393E9</v>
      </c>
      <c r="D1184" s="47" t="s">
        <v>1509</v>
      </c>
      <c r="E1184" s="30">
        <v>1186.0</v>
      </c>
      <c r="F1184" s="30">
        <v>850.0</v>
      </c>
      <c r="G1184" s="30">
        <v>0.0</v>
      </c>
      <c r="H1184" s="30">
        <v>0.0</v>
      </c>
      <c r="I1184" s="30">
        <v>160.11</v>
      </c>
      <c r="J1184" s="30">
        <v>0.0</v>
      </c>
      <c r="K1184" s="30">
        <v>0.0</v>
      </c>
      <c r="L1184" s="30">
        <v>0.0</v>
      </c>
      <c r="M1184" s="30">
        <v>0.0</v>
      </c>
      <c r="N1184" s="30">
        <v>197.66666666666663</v>
      </c>
      <c r="O1184" s="30">
        <v>-21.776666666666642</v>
      </c>
      <c r="P1184" s="30">
        <v>-1.8361439010680138</v>
      </c>
      <c r="Q1184" s="30">
        <v>-2.2033726812816163</v>
      </c>
    </row>
    <row r="1185">
      <c r="A1185" s="47">
        <v>1.1212171706E10</v>
      </c>
      <c r="B1185" s="48">
        <v>46150.19453703704</v>
      </c>
      <c r="C1185" s="30">
        <v>3.829000514E9</v>
      </c>
      <c r="D1185" s="47" t="s">
        <v>1509</v>
      </c>
      <c r="E1185" s="30">
        <v>3780.0</v>
      </c>
      <c r="F1185" s="30">
        <v>2944.0</v>
      </c>
      <c r="G1185" s="30">
        <v>0.0</v>
      </c>
      <c r="H1185" s="30">
        <v>0.0</v>
      </c>
      <c r="I1185" s="30">
        <v>483.84</v>
      </c>
      <c r="J1185" s="30">
        <v>0.0</v>
      </c>
      <c r="K1185" s="30">
        <v>0.0</v>
      </c>
      <c r="L1185" s="30">
        <v>0.0</v>
      </c>
      <c r="M1185" s="30">
        <v>0.0</v>
      </c>
      <c r="N1185" s="30">
        <v>630.0</v>
      </c>
      <c r="O1185" s="30">
        <v>-277.84</v>
      </c>
      <c r="P1185" s="30">
        <v>-7.35026455026455</v>
      </c>
      <c r="Q1185" s="30">
        <v>-8.820317460317458</v>
      </c>
    </row>
    <row r="1186">
      <c r="A1186" s="47">
        <v>1.1215683464E10</v>
      </c>
      <c r="B1186" s="48">
        <v>46151.15545138889</v>
      </c>
      <c r="C1186" s="30">
        <v>3.832231888E9</v>
      </c>
      <c r="D1186" s="47" t="s">
        <v>1509</v>
      </c>
      <c r="E1186" s="30">
        <v>2625.0</v>
      </c>
      <c r="F1186" s="30">
        <v>2000.0</v>
      </c>
      <c r="G1186" s="30">
        <v>0.0</v>
      </c>
      <c r="H1186" s="30">
        <v>0.0</v>
      </c>
      <c r="I1186" s="30">
        <v>168.0</v>
      </c>
      <c r="J1186" s="30">
        <v>0.0</v>
      </c>
      <c r="K1186" s="30">
        <v>0.0</v>
      </c>
      <c r="L1186" s="30">
        <v>0.0</v>
      </c>
      <c r="M1186" s="30">
        <v>0.0</v>
      </c>
      <c r="N1186" s="30">
        <v>437.5</v>
      </c>
      <c r="O1186" s="30">
        <v>19.5</v>
      </c>
      <c r="P1186" s="30">
        <v>0.7428571428571429</v>
      </c>
      <c r="Q1186" s="30">
        <v>0.8914285714285715</v>
      </c>
    </row>
    <row r="1187">
      <c r="A1187" s="47">
        <v>1.1212375575E10</v>
      </c>
      <c r="B1187" s="48">
        <v>46150.485127314816</v>
      </c>
      <c r="C1187" s="30">
        <v>3.829240854E9</v>
      </c>
      <c r="D1187" s="47" t="s">
        <v>1509</v>
      </c>
      <c r="E1187" s="30">
        <v>2170.96</v>
      </c>
      <c r="F1187" s="30">
        <v>1680.0</v>
      </c>
      <c r="G1187" s="30">
        <v>0.0</v>
      </c>
      <c r="H1187" s="30">
        <v>0.0</v>
      </c>
      <c r="I1187" s="30">
        <v>271.37</v>
      </c>
      <c r="J1187" s="30">
        <v>0.0</v>
      </c>
      <c r="K1187" s="30">
        <v>0.0</v>
      </c>
      <c r="L1187" s="30">
        <v>0.0</v>
      </c>
      <c r="M1187" s="30">
        <v>0.0</v>
      </c>
      <c r="N1187" s="30">
        <v>361.8266666666666</v>
      </c>
      <c r="O1187" s="30">
        <v>-142.23666666666657</v>
      </c>
      <c r="P1187" s="30">
        <v>-6.551786613602579</v>
      </c>
      <c r="Q1187" s="30">
        <v>-7.862143936323094</v>
      </c>
    </row>
    <row r="1188">
      <c r="A1188" s="47">
        <v>1.1214461787E10</v>
      </c>
      <c r="B1188" s="48">
        <v>46150.91972222222</v>
      </c>
      <c r="C1188" s="30">
        <v>3.831121237E9</v>
      </c>
      <c r="D1188" s="47" t="s">
        <v>1509</v>
      </c>
      <c r="E1188" s="30">
        <v>1700.0</v>
      </c>
      <c r="F1188" s="30">
        <v>1260.0</v>
      </c>
      <c r="G1188" s="30">
        <v>0.0</v>
      </c>
      <c r="H1188" s="30">
        <v>0.0</v>
      </c>
      <c r="I1188" s="30">
        <v>212.5</v>
      </c>
      <c r="J1188" s="30">
        <v>0.0</v>
      </c>
      <c r="K1188" s="30">
        <v>0.0</v>
      </c>
      <c r="L1188" s="30">
        <v>0.0</v>
      </c>
      <c r="M1188" s="30">
        <v>0.0</v>
      </c>
      <c r="N1188" s="30">
        <v>283.33333333333326</v>
      </c>
      <c r="O1188" s="30">
        <v>-55.83333333333326</v>
      </c>
      <c r="P1188" s="30">
        <v>-3.2843137254901915</v>
      </c>
      <c r="Q1188" s="30">
        <v>-3.9411764705882297</v>
      </c>
    </row>
    <row r="1189">
      <c r="A1189" s="47">
        <v>1.1212942098E10</v>
      </c>
      <c r="B1189" s="48">
        <v>46150.63423611111</v>
      </c>
      <c r="C1189" s="30">
        <v>3.829809838E9</v>
      </c>
      <c r="D1189" s="47" t="s">
        <v>1509</v>
      </c>
      <c r="E1189" s="30">
        <v>638.0</v>
      </c>
      <c r="F1189" s="30">
        <v>360.0</v>
      </c>
      <c r="G1189" s="30">
        <v>0.0</v>
      </c>
      <c r="H1189" s="30">
        <v>0.0</v>
      </c>
      <c r="I1189" s="30">
        <v>105.27</v>
      </c>
      <c r="J1189" s="30">
        <v>0.0</v>
      </c>
      <c r="K1189" s="30">
        <v>0.0</v>
      </c>
      <c r="L1189" s="30">
        <v>0.0</v>
      </c>
      <c r="M1189" s="30">
        <v>0.0</v>
      </c>
      <c r="N1189" s="30">
        <v>106.33333333333326</v>
      </c>
      <c r="O1189" s="30">
        <v>66.39666666666676</v>
      </c>
      <c r="P1189" s="30">
        <v>10.407001044932095</v>
      </c>
      <c r="Q1189" s="30">
        <v>12.48840125391851</v>
      </c>
    </row>
    <row r="1190">
      <c r="A1190" s="47">
        <v>1.1214718628E10</v>
      </c>
      <c r="B1190" s="48">
        <v>46150.96585648148</v>
      </c>
      <c r="C1190" s="30">
        <v>3.831318405E9</v>
      </c>
      <c r="D1190" s="47" t="s">
        <v>1509</v>
      </c>
      <c r="E1190" s="30">
        <v>1482.0</v>
      </c>
      <c r="F1190" s="30">
        <v>1053.0</v>
      </c>
      <c r="G1190" s="30">
        <v>0.0</v>
      </c>
      <c r="H1190" s="30">
        <v>0.0</v>
      </c>
      <c r="I1190" s="30">
        <v>185.25</v>
      </c>
      <c r="J1190" s="30">
        <v>0.0</v>
      </c>
      <c r="K1190" s="30">
        <v>0.0</v>
      </c>
      <c r="L1190" s="30">
        <v>0.0</v>
      </c>
      <c r="M1190" s="30">
        <v>0.0</v>
      </c>
      <c r="N1190" s="30">
        <v>247.0</v>
      </c>
      <c r="O1190" s="30">
        <v>-3.25</v>
      </c>
      <c r="P1190" s="30">
        <v>-0.21929824561403508</v>
      </c>
      <c r="Q1190" s="30">
        <v>-0.2631578947368421</v>
      </c>
    </row>
    <row r="1191">
      <c r="A1191" s="47">
        <v>1.1215513444E10</v>
      </c>
      <c r="B1191" s="48">
        <v>46151.11119212963</v>
      </c>
      <c r="C1191" s="30">
        <v>3.832058152E9</v>
      </c>
      <c r="D1191" s="47" t="s">
        <v>1509</v>
      </c>
      <c r="E1191" s="30">
        <v>1482.0</v>
      </c>
      <c r="F1191" s="30">
        <v>1053.0</v>
      </c>
      <c r="G1191" s="30">
        <v>0.0</v>
      </c>
      <c r="H1191" s="30">
        <v>0.0</v>
      </c>
      <c r="I1191" s="30">
        <v>185.25</v>
      </c>
      <c r="J1191" s="30">
        <v>0.0</v>
      </c>
      <c r="K1191" s="30">
        <v>0.0</v>
      </c>
      <c r="L1191" s="30">
        <v>0.0</v>
      </c>
      <c r="M1191" s="30">
        <v>0.0</v>
      </c>
      <c r="N1191" s="30">
        <v>247.0</v>
      </c>
      <c r="O1191" s="30">
        <v>-3.25</v>
      </c>
      <c r="P1191" s="30">
        <v>-0.21929824561403508</v>
      </c>
      <c r="Q1191" s="30">
        <v>-0.2631578947368421</v>
      </c>
    </row>
    <row r="1192">
      <c r="A1192" s="47">
        <v>1.121154551E10</v>
      </c>
      <c r="B1192" s="48">
        <v>46150.05086805556</v>
      </c>
      <c r="C1192" s="30">
        <v>3.828333937E9</v>
      </c>
      <c r="D1192" s="47" t="s">
        <v>1509</v>
      </c>
      <c r="E1192" s="30">
        <v>1400.0</v>
      </c>
      <c r="F1192" s="30">
        <v>1160.0</v>
      </c>
      <c r="G1192" s="30">
        <v>0.0</v>
      </c>
      <c r="H1192" s="30">
        <v>0.0</v>
      </c>
      <c r="I1192" s="30">
        <v>89.6</v>
      </c>
      <c r="J1192" s="30">
        <v>0.0</v>
      </c>
      <c r="K1192" s="30">
        <v>0.0</v>
      </c>
      <c r="L1192" s="30">
        <v>0.0</v>
      </c>
      <c r="M1192" s="30">
        <v>0.0</v>
      </c>
      <c r="N1192" s="30">
        <v>233.33333333333326</v>
      </c>
      <c r="O1192" s="30">
        <v>-82.93333333333325</v>
      </c>
      <c r="P1192" s="30">
        <v>-5.923809523809518</v>
      </c>
      <c r="Q1192" s="30">
        <v>-7.108571428571421</v>
      </c>
    </row>
    <row r="1193">
      <c r="A1193" s="47">
        <v>1.1204768924E10</v>
      </c>
      <c r="B1193" s="48">
        <v>46148.553773148145</v>
      </c>
      <c r="C1193" s="30">
        <v>3.82190911E9</v>
      </c>
      <c r="D1193" s="47" t="s">
        <v>1509</v>
      </c>
      <c r="E1193" s="30">
        <v>1430.0</v>
      </c>
      <c r="F1193" s="30">
        <v>1165.0</v>
      </c>
      <c r="G1193" s="30">
        <v>0.0</v>
      </c>
      <c r="H1193" s="30">
        <v>0.0</v>
      </c>
      <c r="I1193" s="30">
        <v>91.52</v>
      </c>
      <c r="J1193" s="30">
        <v>0.0</v>
      </c>
      <c r="K1193" s="30">
        <v>0.0</v>
      </c>
      <c r="L1193" s="30">
        <v>0.0</v>
      </c>
      <c r="M1193" s="30">
        <v>0.0</v>
      </c>
      <c r="N1193" s="30">
        <v>238.33333333333326</v>
      </c>
      <c r="O1193" s="30">
        <v>-64.85333333333324</v>
      </c>
      <c r="P1193" s="30">
        <v>-4.5351981351981285</v>
      </c>
      <c r="Q1193" s="30">
        <v>-5.442237762237754</v>
      </c>
    </row>
    <row r="1194">
      <c r="A1194" s="47">
        <v>1.1215163004E10</v>
      </c>
      <c r="B1194" s="48">
        <v>46151.04268518519</v>
      </c>
      <c r="C1194" s="30">
        <v>3.831710823E9</v>
      </c>
      <c r="D1194" s="47" t="s">
        <v>1509</v>
      </c>
      <c r="E1194" s="30">
        <v>1186.0</v>
      </c>
      <c r="F1194" s="30">
        <v>850.0</v>
      </c>
      <c r="G1194" s="30">
        <v>0.0</v>
      </c>
      <c r="H1194" s="30">
        <v>0.0</v>
      </c>
      <c r="I1194" s="30">
        <v>160.11</v>
      </c>
      <c r="J1194" s="30">
        <v>0.0</v>
      </c>
      <c r="K1194" s="30">
        <v>0.0</v>
      </c>
      <c r="L1194" s="30">
        <v>0.0</v>
      </c>
      <c r="M1194" s="30">
        <v>0.0</v>
      </c>
      <c r="N1194" s="30">
        <v>197.66666666666663</v>
      </c>
      <c r="O1194" s="30">
        <v>-21.776666666666642</v>
      </c>
      <c r="P1194" s="30">
        <v>-1.8361439010680138</v>
      </c>
      <c r="Q1194" s="30">
        <v>-2.2033726812816163</v>
      </c>
    </row>
    <row r="1195">
      <c r="A1195" s="47">
        <v>1.1214002567E10</v>
      </c>
      <c r="B1195" s="48">
        <v>46150.83516203704</v>
      </c>
      <c r="C1195" s="30">
        <v>3.830758173E9</v>
      </c>
      <c r="D1195" s="47" t="s">
        <v>1509</v>
      </c>
      <c r="E1195" s="30">
        <v>1700.0</v>
      </c>
      <c r="F1195" s="30">
        <v>1260.0</v>
      </c>
      <c r="G1195" s="30">
        <v>0.0</v>
      </c>
      <c r="H1195" s="30">
        <v>0.0</v>
      </c>
      <c r="I1195" s="30">
        <v>212.5</v>
      </c>
      <c r="J1195" s="30">
        <v>0.0</v>
      </c>
      <c r="K1195" s="30">
        <v>0.0</v>
      </c>
      <c r="L1195" s="30">
        <v>0.0</v>
      </c>
      <c r="M1195" s="30">
        <v>0.0</v>
      </c>
      <c r="N1195" s="30">
        <v>283.33333333333326</v>
      </c>
      <c r="O1195" s="30">
        <v>-55.83333333333326</v>
      </c>
      <c r="P1195" s="30">
        <v>-3.2843137254901915</v>
      </c>
      <c r="Q1195" s="30">
        <v>-3.9411764705882297</v>
      </c>
    </row>
    <row r="1196">
      <c r="A1196" s="47">
        <v>1.1212832265E10</v>
      </c>
      <c r="B1196" s="48">
        <v>46150.613900462966</v>
      </c>
      <c r="C1196" s="30">
        <v>3.829715395E9</v>
      </c>
      <c r="D1196" s="47" t="s">
        <v>1509</v>
      </c>
      <c r="E1196" s="30">
        <v>1186.0</v>
      </c>
      <c r="F1196" s="30">
        <v>850.0</v>
      </c>
      <c r="G1196" s="30">
        <v>0.0</v>
      </c>
      <c r="H1196" s="30">
        <v>0.0</v>
      </c>
      <c r="I1196" s="30">
        <v>160.11</v>
      </c>
      <c r="J1196" s="30">
        <v>0.0</v>
      </c>
      <c r="K1196" s="30">
        <v>0.0</v>
      </c>
      <c r="L1196" s="30">
        <v>0.0</v>
      </c>
      <c r="M1196" s="30">
        <v>0.0</v>
      </c>
      <c r="N1196" s="30">
        <v>197.66666666666663</v>
      </c>
      <c r="O1196" s="30">
        <v>-21.776666666666642</v>
      </c>
      <c r="P1196" s="30">
        <v>-1.8361439010680138</v>
      </c>
      <c r="Q1196" s="30">
        <v>-2.2033726812816163</v>
      </c>
    </row>
    <row r="1197">
      <c r="A1197" s="47">
        <v>1.1213423848E10</v>
      </c>
      <c r="B1197" s="48">
        <v>46150.721817129626</v>
      </c>
      <c r="C1197" s="30">
        <v>3.830239188E9</v>
      </c>
      <c r="D1197" s="47" t="s">
        <v>1509</v>
      </c>
      <c r="E1197" s="30">
        <v>870.0</v>
      </c>
      <c r="F1197" s="30">
        <v>580.0</v>
      </c>
      <c r="G1197" s="30">
        <v>0.0</v>
      </c>
      <c r="H1197" s="30">
        <v>0.0</v>
      </c>
      <c r="I1197" s="30">
        <v>117.45</v>
      </c>
      <c r="J1197" s="30">
        <v>0.0</v>
      </c>
      <c r="K1197" s="30">
        <v>0.0</v>
      </c>
      <c r="L1197" s="30">
        <v>0.0</v>
      </c>
      <c r="M1197" s="30">
        <v>0.0</v>
      </c>
      <c r="N1197" s="30">
        <v>145.0</v>
      </c>
      <c r="O1197" s="30">
        <v>27.55000000000001</v>
      </c>
      <c r="P1197" s="30">
        <v>3.166666666666668</v>
      </c>
      <c r="Q1197" s="30">
        <v>3.800000000000001</v>
      </c>
    </row>
    <row r="1198">
      <c r="A1198" s="47">
        <v>1.1213314562E10</v>
      </c>
      <c r="B1198" s="48">
        <v>46150.7016087963</v>
      </c>
      <c r="C1198" s="30">
        <v>3.830143665E9</v>
      </c>
      <c r="D1198" s="47" t="s">
        <v>1509</v>
      </c>
      <c r="E1198" s="30">
        <v>2627.0</v>
      </c>
      <c r="F1198" s="30">
        <v>2000.0</v>
      </c>
      <c r="G1198" s="30">
        <v>0.0</v>
      </c>
      <c r="H1198" s="30">
        <v>0.0</v>
      </c>
      <c r="I1198" s="30">
        <v>168.128</v>
      </c>
      <c r="J1198" s="30">
        <v>0.0</v>
      </c>
      <c r="K1198" s="30">
        <v>0.0</v>
      </c>
      <c r="L1198" s="30">
        <v>0.0</v>
      </c>
      <c r="M1198" s="30">
        <v>0.0</v>
      </c>
      <c r="N1198" s="30">
        <v>437.83333333333303</v>
      </c>
      <c r="O1198" s="30">
        <v>21.038666666666984</v>
      </c>
      <c r="P1198" s="30">
        <v>0.8008628346656635</v>
      </c>
      <c r="Q1198" s="30">
        <v>0.9610354015987963</v>
      </c>
    </row>
    <row r="1199">
      <c r="A1199" s="47">
        <v>1.1209473433E10</v>
      </c>
      <c r="B1199" s="48">
        <v>46149.68592592593</v>
      </c>
      <c r="C1199" s="30">
        <v>3.826489822E9</v>
      </c>
      <c r="D1199" s="47" t="s">
        <v>1509</v>
      </c>
      <c r="E1199" s="30">
        <v>1780.0</v>
      </c>
      <c r="F1199" s="30">
        <v>1307.0</v>
      </c>
      <c r="G1199" s="30">
        <v>0.0</v>
      </c>
      <c r="H1199" s="30">
        <v>0.0</v>
      </c>
      <c r="I1199" s="30">
        <v>293.7</v>
      </c>
      <c r="J1199" s="30">
        <v>0.0</v>
      </c>
      <c r="K1199" s="30">
        <v>0.0</v>
      </c>
      <c r="L1199" s="30">
        <v>0.0</v>
      </c>
      <c r="M1199" s="30">
        <v>0.0</v>
      </c>
      <c r="N1199" s="30">
        <v>296.6666666666665</v>
      </c>
      <c r="O1199" s="30">
        <v>-117.3666666666665</v>
      </c>
      <c r="P1199" s="30">
        <v>-6.593632958801489</v>
      </c>
      <c r="Q1199" s="30">
        <v>-7.912359550561786</v>
      </c>
    </row>
    <row r="1200">
      <c r="A1200" s="47">
        <v>1.121399578E10</v>
      </c>
      <c r="B1200" s="48">
        <v>46150.83375</v>
      </c>
      <c r="C1200" s="30">
        <v>3.830754317E9</v>
      </c>
      <c r="D1200" s="47" t="s">
        <v>1509</v>
      </c>
      <c r="E1200" s="30">
        <v>1400.0</v>
      </c>
      <c r="F1200" s="30">
        <v>1160.0</v>
      </c>
      <c r="G1200" s="30">
        <v>0.0</v>
      </c>
      <c r="H1200" s="30">
        <v>0.0</v>
      </c>
      <c r="I1200" s="30">
        <v>89.6</v>
      </c>
      <c r="J1200" s="30">
        <v>0.0</v>
      </c>
      <c r="K1200" s="30">
        <v>0.0</v>
      </c>
      <c r="L1200" s="30">
        <v>0.0</v>
      </c>
      <c r="M1200" s="30">
        <v>0.0</v>
      </c>
      <c r="N1200" s="30">
        <v>233.33333333333326</v>
      </c>
      <c r="O1200" s="30">
        <v>-82.93333333333325</v>
      </c>
      <c r="P1200" s="30">
        <v>-5.923809523809518</v>
      </c>
      <c r="Q1200" s="30">
        <v>-7.108571428571421</v>
      </c>
    </row>
    <row r="1201">
      <c r="A1201" s="47">
        <v>1.1210451039E10</v>
      </c>
      <c r="B1201" s="48">
        <v>46149.86739583333</v>
      </c>
      <c r="C1201" s="30">
        <v>3.827384716E9</v>
      </c>
      <c r="D1201" s="47" t="s">
        <v>1509</v>
      </c>
      <c r="E1201" s="30">
        <v>1482.0</v>
      </c>
      <c r="F1201" s="30">
        <v>1053.0</v>
      </c>
      <c r="G1201" s="30">
        <v>0.0</v>
      </c>
      <c r="H1201" s="30">
        <v>0.0</v>
      </c>
      <c r="I1201" s="30">
        <v>185.25</v>
      </c>
      <c r="J1201" s="30">
        <v>0.0</v>
      </c>
      <c r="K1201" s="30">
        <v>0.0</v>
      </c>
      <c r="L1201" s="30">
        <v>0.0</v>
      </c>
      <c r="M1201" s="30">
        <v>0.0</v>
      </c>
      <c r="N1201" s="30">
        <v>247.0</v>
      </c>
      <c r="O1201" s="30">
        <v>-3.25</v>
      </c>
      <c r="P1201" s="30">
        <v>-0.21929824561403508</v>
      </c>
      <c r="Q1201" s="30">
        <v>-0.2631578947368421</v>
      </c>
    </row>
    <row r="1202">
      <c r="A1202" s="47">
        <v>1.120429001E10</v>
      </c>
      <c r="B1202" s="48">
        <v>46148.181597222225</v>
      </c>
      <c r="C1202" s="30">
        <v>3.821359266E9</v>
      </c>
      <c r="D1202" s="47" t="s">
        <v>1509</v>
      </c>
      <c r="E1202" s="30">
        <v>1554.0</v>
      </c>
      <c r="F1202" s="30">
        <v>1210.0</v>
      </c>
      <c r="G1202" s="30">
        <v>0.0</v>
      </c>
      <c r="H1202" s="30">
        <v>0.0</v>
      </c>
      <c r="I1202" s="30">
        <v>99.456</v>
      </c>
      <c r="J1202" s="30">
        <v>0.0</v>
      </c>
      <c r="K1202" s="30">
        <v>0.0</v>
      </c>
      <c r="L1202" s="30">
        <v>0.0</v>
      </c>
      <c r="M1202" s="30">
        <v>0.0</v>
      </c>
      <c r="N1202" s="30">
        <v>259.0</v>
      </c>
      <c r="O1202" s="30">
        <v>-14.456000000000017</v>
      </c>
      <c r="P1202" s="30">
        <v>-0.9302445302445314</v>
      </c>
      <c r="Q1202" s="30">
        <v>-1.1162934362934376</v>
      </c>
    </row>
    <row r="1203">
      <c r="A1203" s="47">
        <v>1.1212079791E10</v>
      </c>
      <c r="B1203" s="48">
        <v>46150.156747685185</v>
      </c>
      <c r="C1203" s="30">
        <v>3.828903432E9</v>
      </c>
      <c r="D1203" s="47" t="s">
        <v>1509</v>
      </c>
      <c r="E1203" s="30">
        <v>1400.0</v>
      </c>
      <c r="F1203" s="30">
        <v>1160.0</v>
      </c>
      <c r="G1203" s="30">
        <v>0.0</v>
      </c>
      <c r="H1203" s="30">
        <v>0.0</v>
      </c>
      <c r="I1203" s="30">
        <v>89.6</v>
      </c>
      <c r="J1203" s="30">
        <v>0.0</v>
      </c>
      <c r="K1203" s="30">
        <v>0.0</v>
      </c>
      <c r="L1203" s="30">
        <v>0.0</v>
      </c>
      <c r="M1203" s="30">
        <v>0.0</v>
      </c>
      <c r="N1203" s="30">
        <v>233.33333333333326</v>
      </c>
      <c r="O1203" s="30">
        <v>-82.93333333333325</v>
      </c>
      <c r="P1203" s="30">
        <v>-5.923809523809518</v>
      </c>
      <c r="Q1203" s="30">
        <v>-7.108571428571421</v>
      </c>
    </row>
    <row r="1204">
      <c r="A1204" s="47">
        <v>1.1210413352E10</v>
      </c>
      <c r="B1204" s="48">
        <v>46149.86027777778</v>
      </c>
      <c r="C1204" s="30">
        <v>3.827347484E9</v>
      </c>
      <c r="D1204" s="47" t="s">
        <v>1509</v>
      </c>
      <c r="E1204" s="30">
        <v>489.0</v>
      </c>
      <c r="F1204" s="30">
        <v>130.0</v>
      </c>
      <c r="G1204" s="30">
        <v>0.0</v>
      </c>
      <c r="H1204" s="30">
        <v>0.0</v>
      </c>
      <c r="I1204" s="30">
        <v>97.8</v>
      </c>
      <c r="J1204" s="30">
        <v>0.0</v>
      </c>
      <c r="K1204" s="30">
        <v>0.0</v>
      </c>
      <c r="L1204" s="30">
        <v>0.0</v>
      </c>
      <c r="M1204" s="30">
        <v>0.0</v>
      </c>
      <c r="N1204" s="30">
        <v>81.5</v>
      </c>
      <c r="O1204" s="30">
        <v>179.7</v>
      </c>
      <c r="P1204" s="30">
        <v>36.74846625766871</v>
      </c>
      <c r="Q1204" s="30">
        <v>44.09815950920245</v>
      </c>
    </row>
    <row r="1205">
      <c r="A1205" s="47">
        <v>1.1212660933E10</v>
      </c>
      <c r="B1205" s="48">
        <v>46150.57685185185</v>
      </c>
      <c r="C1205" s="30">
        <v>3.82954798E9</v>
      </c>
      <c r="D1205" s="47" t="s">
        <v>1509</v>
      </c>
      <c r="E1205" s="30">
        <v>1482.0</v>
      </c>
      <c r="F1205" s="30">
        <v>1053.0</v>
      </c>
      <c r="G1205" s="30">
        <v>0.0</v>
      </c>
      <c r="H1205" s="30">
        <v>0.0</v>
      </c>
      <c r="I1205" s="30">
        <v>185.25</v>
      </c>
      <c r="J1205" s="30">
        <v>0.0</v>
      </c>
      <c r="K1205" s="30">
        <v>0.0</v>
      </c>
      <c r="L1205" s="30">
        <v>0.0</v>
      </c>
      <c r="M1205" s="30">
        <v>0.0</v>
      </c>
      <c r="N1205" s="30">
        <v>247.0</v>
      </c>
      <c r="O1205" s="30">
        <v>-3.25</v>
      </c>
      <c r="P1205" s="30">
        <v>-0.21929824561403508</v>
      </c>
      <c r="Q1205" s="30">
        <v>-0.2631578947368421</v>
      </c>
    </row>
    <row r="1206">
      <c r="A1206" s="47">
        <v>1.1212202546E10</v>
      </c>
      <c r="B1206" s="48">
        <v>46150.21460648148</v>
      </c>
      <c r="C1206" s="30">
        <v>3.829032094E9</v>
      </c>
      <c r="D1206" s="47" t="s">
        <v>1509</v>
      </c>
      <c r="E1206" s="30">
        <v>474.47</v>
      </c>
      <c r="F1206" s="30">
        <v>130.0</v>
      </c>
      <c r="G1206" s="30">
        <v>0.0</v>
      </c>
      <c r="H1206" s="30">
        <v>0.0</v>
      </c>
      <c r="I1206" s="30">
        <v>94.89400000000002</v>
      </c>
      <c r="J1206" s="30">
        <v>0.0</v>
      </c>
      <c r="K1206" s="30">
        <v>0.0</v>
      </c>
      <c r="L1206" s="30">
        <v>0.0</v>
      </c>
      <c r="M1206" s="30">
        <v>0.0</v>
      </c>
      <c r="N1206" s="30">
        <v>79.07833333333332</v>
      </c>
      <c r="O1206" s="30">
        <v>170.4976666666667</v>
      </c>
      <c r="P1206" s="30">
        <v>35.93434077321363</v>
      </c>
      <c r="Q1206" s="30">
        <v>43.121208927856344</v>
      </c>
    </row>
    <row r="1207">
      <c r="A1207" s="47">
        <v>1.1212078633E10</v>
      </c>
      <c r="B1207" s="48">
        <v>46150.15636574074</v>
      </c>
      <c r="C1207" s="30">
        <v>3.828901777E9</v>
      </c>
      <c r="D1207" s="47" t="s">
        <v>1509</v>
      </c>
      <c r="E1207" s="30">
        <v>1400.0</v>
      </c>
      <c r="F1207" s="30">
        <v>1160.0</v>
      </c>
      <c r="G1207" s="30">
        <v>0.0</v>
      </c>
      <c r="H1207" s="30">
        <v>0.0</v>
      </c>
      <c r="I1207" s="30">
        <v>89.6</v>
      </c>
      <c r="J1207" s="30">
        <v>0.0</v>
      </c>
      <c r="K1207" s="30">
        <v>0.0</v>
      </c>
      <c r="L1207" s="30">
        <v>0.0</v>
      </c>
      <c r="M1207" s="30">
        <v>0.0</v>
      </c>
      <c r="N1207" s="30">
        <v>233.33333333333326</v>
      </c>
      <c r="O1207" s="30">
        <v>-82.93333333333325</v>
      </c>
      <c r="P1207" s="30">
        <v>-5.923809523809518</v>
      </c>
      <c r="Q1207" s="30">
        <v>-7.108571428571421</v>
      </c>
    </row>
    <row r="1208">
      <c r="A1208" s="47">
        <v>1.1212510687E10</v>
      </c>
      <c r="B1208" s="48">
        <v>46150.53600694444</v>
      </c>
      <c r="C1208" s="30">
        <v>3.829388367E9</v>
      </c>
      <c r="D1208" s="47" t="s">
        <v>1509</v>
      </c>
      <c r="E1208" s="30">
        <v>3780.0</v>
      </c>
      <c r="F1208" s="30">
        <v>2944.0</v>
      </c>
      <c r="G1208" s="30">
        <v>0.0</v>
      </c>
      <c r="H1208" s="30">
        <v>0.0</v>
      </c>
      <c r="I1208" s="30">
        <v>483.84</v>
      </c>
      <c r="J1208" s="30">
        <v>0.0</v>
      </c>
      <c r="K1208" s="30">
        <v>0.0</v>
      </c>
      <c r="L1208" s="30">
        <v>0.0</v>
      </c>
      <c r="M1208" s="30">
        <v>0.0</v>
      </c>
      <c r="N1208" s="30">
        <v>630.0</v>
      </c>
      <c r="O1208" s="30">
        <v>-277.84</v>
      </c>
      <c r="P1208" s="30">
        <v>-7.35026455026455</v>
      </c>
      <c r="Q1208" s="30">
        <v>-8.820317460317458</v>
      </c>
    </row>
    <row r="1209">
      <c r="A1209" s="47">
        <v>1.1215659935E10</v>
      </c>
      <c r="B1209" s="48">
        <v>46151.148368055554</v>
      </c>
      <c r="C1209" s="30">
        <v>3.832209812E9</v>
      </c>
      <c r="D1209" s="47" t="s">
        <v>1509</v>
      </c>
      <c r="E1209" s="30">
        <v>2625.0</v>
      </c>
      <c r="F1209" s="30">
        <v>2000.0</v>
      </c>
      <c r="G1209" s="30">
        <v>0.0</v>
      </c>
      <c r="H1209" s="30">
        <v>0.0</v>
      </c>
      <c r="I1209" s="30">
        <v>168.0</v>
      </c>
      <c r="J1209" s="30">
        <v>0.0</v>
      </c>
      <c r="K1209" s="30">
        <v>0.0</v>
      </c>
      <c r="L1209" s="30">
        <v>0.0</v>
      </c>
      <c r="M1209" s="30">
        <v>0.0</v>
      </c>
      <c r="N1209" s="30">
        <v>437.5</v>
      </c>
      <c r="O1209" s="30">
        <v>19.5</v>
      </c>
      <c r="P1209" s="30">
        <v>0.7428571428571429</v>
      </c>
      <c r="Q1209" s="30">
        <v>0.8914285714285715</v>
      </c>
    </row>
    <row r="1210">
      <c r="A1210" s="47">
        <v>1.1215704725E10</v>
      </c>
      <c r="B1210" s="48">
        <v>46151.16247685185</v>
      </c>
      <c r="C1210" s="30">
        <v>3.83225249E9</v>
      </c>
      <c r="D1210" s="47" t="s">
        <v>1509</v>
      </c>
      <c r="E1210" s="30">
        <v>659.0</v>
      </c>
      <c r="F1210" s="30">
        <v>420.0</v>
      </c>
      <c r="G1210" s="30">
        <v>0.0</v>
      </c>
      <c r="H1210" s="30">
        <v>0.0</v>
      </c>
      <c r="I1210" s="30">
        <v>108.735</v>
      </c>
      <c r="J1210" s="30">
        <v>0.0</v>
      </c>
      <c r="K1210" s="30">
        <v>0.0</v>
      </c>
      <c r="L1210" s="30">
        <v>0.0</v>
      </c>
      <c r="M1210" s="30">
        <v>0.0</v>
      </c>
      <c r="N1210" s="30">
        <v>109.83333333333326</v>
      </c>
      <c r="O1210" s="30">
        <v>20.43166666666673</v>
      </c>
      <c r="P1210" s="30">
        <v>3.100404653515437</v>
      </c>
      <c r="Q1210" s="30">
        <v>3.720485584218524</v>
      </c>
    </row>
    <row r="1211">
      <c r="A1211" s="47">
        <v>1.1212121814E10</v>
      </c>
      <c r="B1211" s="48">
        <v>46150.171689814815</v>
      </c>
      <c r="C1211" s="30">
        <v>3.828948212E9</v>
      </c>
      <c r="D1211" s="47" t="s">
        <v>1509</v>
      </c>
      <c r="E1211" s="30">
        <v>3780.0</v>
      </c>
      <c r="F1211" s="30">
        <v>2944.0</v>
      </c>
      <c r="G1211" s="30">
        <v>0.0</v>
      </c>
      <c r="H1211" s="30">
        <v>0.0</v>
      </c>
      <c r="I1211" s="30">
        <v>483.84</v>
      </c>
      <c r="J1211" s="30">
        <v>0.0</v>
      </c>
      <c r="K1211" s="30">
        <v>0.0</v>
      </c>
      <c r="L1211" s="30">
        <v>0.0</v>
      </c>
      <c r="M1211" s="30">
        <v>0.0</v>
      </c>
      <c r="N1211" s="30">
        <v>630.0</v>
      </c>
      <c r="O1211" s="30">
        <v>-277.84</v>
      </c>
      <c r="P1211" s="30">
        <v>-7.35026455026455</v>
      </c>
      <c r="Q1211" s="30">
        <v>-8.820317460317458</v>
      </c>
    </row>
    <row r="1212">
      <c r="A1212" s="47">
        <v>1.1212654226E10</v>
      </c>
      <c r="B1212" s="48">
        <v>46150.57512731481</v>
      </c>
      <c r="C1212" s="30">
        <v>3.829541872E9</v>
      </c>
      <c r="D1212" s="47" t="s">
        <v>1509</v>
      </c>
      <c r="E1212" s="30">
        <v>2627.0</v>
      </c>
      <c r="F1212" s="30">
        <v>2000.0</v>
      </c>
      <c r="G1212" s="30">
        <v>0.0</v>
      </c>
      <c r="H1212" s="30">
        <v>0.0</v>
      </c>
      <c r="I1212" s="30">
        <v>168.128</v>
      </c>
      <c r="J1212" s="30">
        <v>0.0</v>
      </c>
      <c r="K1212" s="30">
        <v>0.0</v>
      </c>
      <c r="L1212" s="30">
        <v>0.0</v>
      </c>
      <c r="M1212" s="30">
        <v>0.0</v>
      </c>
      <c r="N1212" s="30">
        <v>437.83333333333303</v>
      </c>
      <c r="O1212" s="30">
        <v>21.038666666666984</v>
      </c>
      <c r="P1212" s="30">
        <v>0.8008628346656635</v>
      </c>
      <c r="Q1212" s="30">
        <v>0.9610354015987963</v>
      </c>
    </row>
    <row r="1213">
      <c r="A1213" s="47">
        <v>1.1212960759E10</v>
      </c>
      <c r="B1213" s="48">
        <v>46150.63767361111</v>
      </c>
      <c r="C1213" s="30">
        <v>3.829824345E9</v>
      </c>
      <c r="D1213" s="47" t="s">
        <v>1509</v>
      </c>
      <c r="E1213" s="30">
        <v>1700.0</v>
      </c>
      <c r="F1213" s="30">
        <v>1260.0</v>
      </c>
      <c r="G1213" s="30">
        <v>0.0</v>
      </c>
      <c r="H1213" s="30">
        <v>0.0</v>
      </c>
      <c r="I1213" s="30">
        <v>212.5</v>
      </c>
      <c r="J1213" s="30">
        <v>0.0</v>
      </c>
      <c r="K1213" s="30">
        <v>0.0</v>
      </c>
      <c r="L1213" s="30">
        <v>0.0</v>
      </c>
      <c r="M1213" s="30">
        <v>0.0</v>
      </c>
      <c r="N1213" s="30">
        <v>283.33333333333326</v>
      </c>
      <c r="O1213" s="30">
        <v>-55.83333333333326</v>
      </c>
      <c r="P1213" s="30">
        <v>-3.2843137254901915</v>
      </c>
      <c r="Q1213" s="30">
        <v>-3.9411764705882297</v>
      </c>
    </row>
    <row r="1214">
      <c r="A1214" s="47">
        <v>1.1211528036E10</v>
      </c>
      <c r="B1214" s="48">
        <v>46150.04806712963</v>
      </c>
      <c r="C1214" s="30">
        <v>3.828315537E9</v>
      </c>
      <c r="D1214" s="47" t="s">
        <v>1509</v>
      </c>
      <c r="E1214" s="30">
        <v>1400.0</v>
      </c>
      <c r="F1214" s="30">
        <v>1160.0</v>
      </c>
      <c r="G1214" s="30">
        <v>0.0</v>
      </c>
      <c r="H1214" s="30">
        <v>0.0</v>
      </c>
      <c r="I1214" s="30">
        <v>89.6</v>
      </c>
      <c r="J1214" s="30">
        <v>0.0</v>
      </c>
      <c r="K1214" s="30">
        <v>0.0</v>
      </c>
      <c r="L1214" s="30">
        <v>0.0</v>
      </c>
      <c r="M1214" s="30">
        <v>0.0</v>
      </c>
      <c r="N1214" s="30">
        <v>233.33333333333326</v>
      </c>
      <c r="O1214" s="30">
        <v>-82.93333333333325</v>
      </c>
      <c r="P1214" s="30">
        <v>-5.923809523809518</v>
      </c>
      <c r="Q1214" s="30">
        <v>-7.108571428571421</v>
      </c>
    </row>
    <row r="1215">
      <c r="A1215" s="47">
        <v>1.1210089981E10</v>
      </c>
      <c r="B1215" s="48">
        <v>46149.79996527778</v>
      </c>
      <c r="C1215" s="30">
        <v>3.829425206E9</v>
      </c>
      <c r="D1215" s="47" t="s">
        <v>1509</v>
      </c>
      <c r="E1215" s="30">
        <v>1700.0</v>
      </c>
      <c r="F1215" s="30">
        <v>1260.0</v>
      </c>
      <c r="G1215" s="30">
        <v>0.0</v>
      </c>
      <c r="H1215" s="30">
        <v>0.0</v>
      </c>
      <c r="I1215" s="30">
        <v>212.5</v>
      </c>
      <c r="J1215" s="30">
        <v>0.0</v>
      </c>
      <c r="K1215" s="30">
        <v>0.0</v>
      </c>
      <c r="L1215" s="30">
        <v>0.0</v>
      </c>
      <c r="M1215" s="30">
        <v>0.0</v>
      </c>
      <c r="N1215" s="30">
        <v>283.33333333333326</v>
      </c>
      <c r="O1215" s="30">
        <v>-55.83333333333326</v>
      </c>
      <c r="P1215" s="30">
        <v>-3.2843137254901915</v>
      </c>
      <c r="Q1215" s="30">
        <v>-3.9411764705882297</v>
      </c>
    </row>
    <row r="1216">
      <c r="A1216" s="47">
        <v>1.1214230866E10</v>
      </c>
      <c r="B1216" s="48">
        <v>46150.8784375</v>
      </c>
      <c r="C1216" s="30">
        <v>3.830943808E9</v>
      </c>
      <c r="D1216" s="47" t="s">
        <v>1509</v>
      </c>
      <c r="E1216" s="30">
        <v>1299.0</v>
      </c>
      <c r="F1216" s="30">
        <v>855.96</v>
      </c>
      <c r="G1216" s="30">
        <v>0.0</v>
      </c>
      <c r="H1216" s="30">
        <v>0.0</v>
      </c>
      <c r="I1216" s="30">
        <v>162.375</v>
      </c>
      <c r="J1216" s="30">
        <v>0.0</v>
      </c>
      <c r="K1216" s="30">
        <v>0.0</v>
      </c>
      <c r="L1216" s="30">
        <v>0.0</v>
      </c>
      <c r="M1216" s="30">
        <v>0.0</v>
      </c>
      <c r="N1216" s="30">
        <v>216.5</v>
      </c>
      <c r="O1216" s="30">
        <v>64.16499999999996</v>
      </c>
      <c r="P1216" s="30">
        <v>4.939568899153192</v>
      </c>
      <c r="Q1216" s="30">
        <v>5.92748267898383</v>
      </c>
    </row>
    <row r="1217">
      <c r="A1217" s="47">
        <v>1.1204482597E10</v>
      </c>
      <c r="B1217" s="48">
        <v>46148.4444212963</v>
      </c>
      <c r="C1217" s="30">
        <v>3.821580817E9</v>
      </c>
      <c r="D1217" s="47" t="s">
        <v>1509</v>
      </c>
      <c r="E1217" s="30">
        <v>1430.0</v>
      </c>
      <c r="F1217" s="30">
        <v>1165.0</v>
      </c>
      <c r="G1217" s="30">
        <v>0.0</v>
      </c>
      <c r="H1217" s="30">
        <v>0.0</v>
      </c>
      <c r="I1217" s="30">
        <v>91.52</v>
      </c>
      <c r="J1217" s="30">
        <v>0.0</v>
      </c>
      <c r="K1217" s="30">
        <v>0.0</v>
      </c>
      <c r="L1217" s="30">
        <v>0.0</v>
      </c>
      <c r="M1217" s="30">
        <v>0.0</v>
      </c>
      <c r="N1217" s="30">
        <v>238.33333333333326</v>
      </c>
      <c r="O1217" s="30">
        <v>-64.85333333333324</v>
      </c>
      <c r="P1217" s="30">
        <v>-4.5351981351981285</v>
      </c>
      <c r="Q1217" s="30">
        <v>-5.442237762237754</v>
      </c>
    </row>
    <row r="1218">
      <c r="A1218" s="47">
        <v>1.1202110927E10</v>
      </c>
      <c r="B1218" s="48">
        <v>46147.78880787037</v>
      </c>
      <c r="C1218" s="30">
        <v>3.819323662E9</v>
      </c>
      <c r="D1218" s="47" t="s">
        <v>1509</v>
      </c>
      <c r="E1218" s="30">
        <v>1400.0</v>
      </c>
      <c r="F1218" s="30">
        <v>1160.0</v>
      </c>
      <c r="G1218" s="30">
        <v>0.0</v>
      </c>
      <c r="H1218" s="30">
        <v>0.0</v>
      </c>
      <c r="I1218" s="30">
        <v>89.6</v>
      </c>
      <c r="J1218" s="30">
        <v>0.0</v>
      </c>
      <c r="K1218" s="30">
        <v>0.0</v>
      </c>
      <c r="L1218" s="30">
        <v>0.0</v>
      </c>
      <c r="M1218" s="30">
        <v>0.0</v>
      </c>
      <c r="N1218" s="30">
        <v>233.33333333333326</v>
      </c>
      <c r="O1218" s="30">
        <v>-82.93333333333325</v>
      </c>
      <c r="P1218" s="30">
        <v>-5.923809523809518</v>
      </c>
      <c r="Q1218" s="30">
        <v>-7.108571428571421</v>
      </c>
    </row>
    <row r="1219">
      <c r="A1219" s="47">
        <v>1.1217195607E10</v>
      </c>
      <c r="B1219" s="48">
        <v>46151.779027777775</v>
      </c>
      <c r="C1219" s="30">
        <v>3.833651805E9</v>
      </c>
      <c r="D1219" s="47" t="s">
        <v>1511</v>
      </c>
      <c r="E1219" s="30">
        <v>1482.0</v>
      </c>
      <c r="F1219" s="30">
        <v>1053.0</v>
      </c>
      <c r="G1219" s="30">
        <v>0.0</v>
      </c>
      <c r="H1219" s="30">
        <v>0.0</v>
      </c>
      <c r="I1219" s="30">
        <v>185.25</v>
      </c>
      <c r="J1219" s="30">
        <v>0.0</v>
      </c>
      <c r="K1219" s="30">
        <v>0.0</v>
      </c>
      <c r="L1219" s="30">
        <v>0.0</v>
      </c>
      <c r="M1219" s="30">
        <v>0.0</v>
      </c>
      <c r="N1219" s="30">
        <v>247.0</v>
      </c>
      <c r="O1219" s="30">
        <v>-3.25</v>
      </c>
      <c r="P1219" s="30">
        <v>-0.21929824561403508</v>
      </c>
      <c r="Q1219" s="30">
        <v>-0.2631578947368421</v>
      </c>
    </row>
    <row r="1220">
      <c r="A1220" s="47">
        <v>1.1138116908E10</v>
      </c>
      <c r="B1220" s="48">
        <v>46125.93732638889</v>
      </c>
      <c r="C1220" s="30">
        <v>3.765158965E9</v>
      </c>
      <c r="D1220" s="47" t="s">
        <v>1509</v>
      </c>
      <c r="E1220" s="30">
        <v>617.0</v>
      </c>
      <c r="F1220" s="30">
        <v>480.0</v>
      </c>
      <c r="G1220" s="30">
        <v>0.0</v>
      </c>
      <c r="H1220" s="30">
        <v>0.0</v>
      </c>
      <c r="I1220" s="30">
        <v>34.552</v>
      </c>
      <c r="J1220" s="30">
        <v>0.0</v>
      </c>
      <c r="K1220" s="30">
        <v>0.0</v>
      </c>
      <c r="L1220" s="30">
        <v>0.0</v>
      </c>
      <c r="M1220" s="30">
        <v>0.0</v>
      </c>
      <c r="N1220" s="30">
        <v>102.83333333333326</v>
      </c>
      <c r="O1220" s="30">
        <v>-0.38533333333325004</v>
      </c>
      <c r="P1220" s="30">
        <v>-0.0624527282549838</v>
      </c>
      <c r="Q1220" s="30">
        <v>-0.07494327390598055</v>
      </c>
    </row>
    <row r="1221">
      <c r="A1221" s="47">
        <v>1.1207530289E10</v>
      </c>
      <c r="B1221" s="48">
        <v>46149.02909722222</v>
      </c>
      <c r="C1221" s="30">
        <v>3.82446824E9</v>
      </c>
      <c r="D1221" s="47" t="s">
        <v>1509</v>
      </c>
      <c r="E1221" s="30">
        <v>2635.0</v>
      </c>
      <c r="F1221" s="30">
        <v>2000.0</v>
      </c>
      <c r="G1221" s="30">
        <v>0.0</v>
      </c>
      <c r="H1221" s="30">
        <v>0.0</v>
      </c>
      <c r="I1221" s="30">
        <v>168.64</v>
      </c>
      <c r="J1221" s="30">
        <v>0.0</v>
      </c>
      <c r="K1221" s="30">
        <v>0.0</v>
      </c>
      <c r="L1221" s="30">
        <v>0.0</v>
      </c>
      <c r="M1221" s="30">
        <v>0.0</v>
      </c>
      <c r="N1221" s="30">
        <v>439.1666666666665</v>
      </c>
      <c r="O1221" s="30">
        <v>27.1933333333335</v>
      </c>
      <c r="P1221" s="30">
        <v>1.0320050600885577</v>
      </c>
      <c r="Q1221" s="30">
        <v>1.2384060721062693</v>
      </c>
    </row>
    <row r="1222">
      <c r="A1222" s="47">
        <v>1.1203235934E10</v>
      </c>
      <c r="B1222" s="48">
        <v>46147.98087962963</v>
      </c>
      <c r="C1222" s="30">
        <v>3.820282505E9</v>
      </c>
      <c r="D1222" s="47" t="s">
        <v>1509</v>
      </c>
      <c r="E1222" s="30">
        <v>1720.0</v>
      </c>
      <c r="F1222" s="30">
        <v>1260.0</v>
      </c>
      <c r="G1222" s="30">
        <v>0.0</v>
      </c>
      <c r="H1222" s="30">
        <v>0.0</v>
      </c>
      <c r="I1222" s="30">
        <v>283.8</v>
      </c>
      <c r="J1222" s="30">
        <v>0.0</v>
      </c>
      <c r="K1222" s="30">
        <v>0.0</v>
      </c>
      <c r="L1222" s="30">
        <v>0.0</v>
      </c>
      <c r="M1222" s="30">
        <v>0.0</v>
      </c>
      <c r="N1222" s="30">
        <v>286.6666666666665</v>
      </c>
      <c r="O1222" s="30">
        <v>-110.46666666666653</v>
      </c>
      <c r="P1222" s="30">
        <v>-6.42248062015503</v>
      </c>
      <c r="Q1222" s="30">
        <v>-7.706976744186036</v>
      </c>
    </row>
    <row r="1223">
      <c r="A1223" s="47">
        <v>1.1209872076E10</v>
      </c>
      <c r="B1223" s="48">
        <v>46149.758993055555</v>
      </c>
      <c r="C1223" s="30">
        <v>3.826859094E9</v>
      </c>
      <c r="D1223" s="47" t="s">
        <v>1509</v>
      </c>
      <c r="E1223" s="30">
        <v>1599.0</v>
      </c>
      <c r="F1223" s="30">
        <v>1190.0</v>
      </c>
      <c r="G1223" s="30">
        <v>0.0</v>
      </c>
      <c r="H1223" s="30">
        <v>0.0</v>
      </c>
      <c r="I1223" s="30">
        <v>199.875</v>
      </c>
      <c r="J1223" s="30">
        <v>0.0</v>
      </c>
      <c r="K1223" s="30">
        <v>0.0</v>
      </c>
      <c r="L1223" s="30">
        <v>0.0</v>
      </c>
      <c r="M1223" s="30">
        <v>0.0</v>
      </c>
      <c r="N1223" s="30">
        <v>266.5</v>
      </c>
      <c r="O1223" s="30">
        <v>-57.375</v>
      </c>
      <c r="P1223" s="30">
        <v>-3.5881801125703565</v>
      </c>
      <c r="Q1223" s="30">
        <v>-4.305816135084427</v>
      </c>
    </row>
    <row r="1224">
      <c r="A1224" s="47">
        <v>1.1207155193E10</v>
      </c>
      <c r="B1224" s="48">
        <v>46148.97284722222</v>
      </c>
      <c r="C1224" s="30">
        <v>3.824112399E9</v>
      </c>
      <c r="D1224" s="47" t="s">
        <v>1509</v>
      </c>
      <c r="E1224" s="30">
        <v>1554.0</v>
      </c>
      <c r="F1224" s="30">
        <v>1210.0</v>
      </c>
      <c r="G1224" s="30">
        <v>0.0</v>
      </c>
      <c r="H1224" s="30">
        <v>0.0</v>
      </c>
      <c r="I1224" s="30">
        <v>99.456</v>
      </c>
      <c r="J1224" s="30">
        <v>0.0</v>
      </c>
      <c r="K1224" s="30">
        <v>0.0</v>
      </c>
      <c r="L1224" s="30">
        <v>0.0</v>
      </c>
      <c r="M1224" s="30">
        <v>0.0</v>
      </c>
      <c r="N1224" s="30">
        <v>259.0</v>
      </c>
      <c r="O1224" s="30">
        <v>-14.456000000000017</v>
      </c>
      <c r="P1224" s="30">
        <v>-0.9302445302445314</v>
      </c>
      <c r="Q1224" s="30">
        <v>-1.1162934362934376</v>
      </c>
    </row>
    <row r="1225">
      <c r="A1225" s="47">
        <v>1.1210286176E10</v>
      </c>
      <c r="B1225" s="48">
        <v>46149.83652777778</v>
      </c>
      <c r="C1225" s="30">
        <v>3.827240547E9</v>
      </c>
      <c r="D1225" s="47" t="s">
        <v>1509</v>
      </c>
      <c r="E1225" s="30">
        <v>349.99</v>
      </c>
      <c r="F1225" s="30">
        <v>53.0</v>
      </c>
      <c r="G1225" s="30">
        <v>0.0</v>
      </c>
      <c r="H1225" s="30">
        <v>0.0</v>
      </c>
      <c r="I1225" s="30">
        <v>69.998</v>
      </c>
      <c r="J1225" s="30">
        <v>0.0</v>
      </c>
      <c r="K1225" s="30">
        <v>0.0</v>
      </c>
      <c r="L1225" s="30">
        <v>0.0</v>
      </c>
      <c r="M1225" s="30">
        <v>0.0</v>
      </c>
      <c r="N1225" s="30">
        <v>58.33166666666665</v>
      </c>
      <c r="O1225" s="30">
        <v>168.66033333333337</v>
      </c>
      <c r="P1225" s="30">
        <v>48.190043525053106</v>
      </c>
      <c r="Q1225" s="30">
        <v>57.82805223006372</v>
      </c>
    </row>
    <row r="1226">
      <c r="A1226" s="47">
        <v>1.1212500404E10</v>
      </c>
      <c r="B1226" s="48">
        <v>46150.53283564815</v>
      </c>
      <c r="C1226" s="30">
        <v>3.82937434E9</v>
      </c>
      <c r="D1226" s="47" t="s">
        <v>1509</v>
      </c>
      <c r="E1226" s="30">
        <v>2785.0</v>
      </c>
      <c r="F1226" s="30">
        <v>2043.0</v>
      </c>
      <c r="G1226" s="30">
        <v>0.0</v>
      </c>
      <c r="H1226" s="30">
        <v>0.0</v>
      </c>
      <c r="I1226" s="30">
        <v>459.525</v>
      </c>
      <c r="J1226" s="30">
        <v>0.0</v>
      </c>
      <c r="K1226" s="30">
        <v>0.0</v>
      </c>
      <c r="L1226" s="30">
        <v>0.0</v>
      </c>
      <c r="M1226" s="30">
        <v>0.0</v>
      </c>
      <c r="N1226" s="30">
        <v>464.1666666666665</v>
      </c>
      <c r="O1226" s="30">
        <v>-181.6916666666665</v>
      </c>
      <c r="P1226" s="30">
        <v>-6.523937761819264</v>
      </c>
      <c r="Q1226" s="30">
        <v>-7.8287253141831155</v>
      </c>
    </row>
    <row r="1227">
      <c r="A1227" s="47">
        <v>1.1205626758E10</v>
      </c>
      <c r="B1227" s="48">
        <v>46148.71165509259</v>
      </c>
      <c r="C1227" s="30">
        <v>3.822735317E9</v>
      </c>
      <c r="D1227" s="47" t="s">
        <v>1509</v>
      </c>
      <c r="E1227" s="30">
        <v>1554.0</v>
      </c>
      <c r="F1227" s="30">
        <v>1210.0</v>
      </c>
      <c r="G1227" s="30">
        <v>0.0</v>
      </c>
      <c r="H1227" s="30">
        <v>0.0</v>
      </c>
      <c r="I1227" s="30">
        <v>99.456</v>
      </c>
      <c r="J1227" s="30">
        <v>0.0</v>
      </c>
      <c r="K1227" s="30">
        <v>0.0</v>
      </c>
      <c r="L1227" s="30">
        <v>0.0</v>
      </c>
      <c r="M1227" s="30">
        <v>0.0</v>
      </c>
      <c r="N1227" s="30">
        <v>259.0</v>
      </c>
      <c r="O1227" s="30">
        <v>-14.456000000000017</v>
      </c>
      <c r="P1227" s="30">
        <v>-0.9302445302445314</v>
      </c>
      <c r="Q1227" s="30">
        <v>-1.1162934362934376</v>
      </c>
    </row>
    <row r="1228">
      <c r="A1228" s="47">
        <v>1.121235451E10</v>
      </c>
      <c r="B1228" s="48">
        <v>46150.47280092593</v>
      </c>
      <c r="C1228" s="30">
        <v>3.829213065E9</v>
      </c>
      <c r="D1228" s="47" t="s">
        <v>1509</v>
      </c>
      <c r="E1228" s="30">
        <v>1482.0</v>
      </c>
      <c r="F1228" s="30">
        <v>1053.0</v>
      </c>
      <c r="G1228" s="30">
        <v>0.0</v>
      </c>
      <c r="H1228" s="30">
        <v>0.0</v>
      </c>
      <c r="I1228" s="30">
        <v>185.25</v>
      </c>
      <c r="J1228" s="30">
        <v>0.0</v>
      </c>
      <c r="K1228" s="30">
        <v>0.0</v>
      </c>
      <c r="L1228" s="30">
        <v>0.0</v>
      </c>
      <c r="M1228" s="30">
        <v>0.0</v>
      </c>
      <c r="N1228" s="30">
        <v>247.0</v>
      </c>
      <c r="O1228" s="30">
        <v>-3.25</v>
      </c>
      <c r="P1228" s="30">
        <v>-0.21929824561403508</v>
      </c>
      <c r="Q1228" s="30">
        <v>-0.2631578947368421</v>
      </c>
    </row>
    <row r="1229">
      <c r="A1229" s="47">
        <v>1.1190012237E10</v>
      </c>
      <c r="B1229" s="48">
        <v>46143.8347337963</v>
      </c>
      <c r="C1229" s="30">
        <v>3.808910958E9</v>
      </c>
      <c r="D1229" s="47" t="s">
        <v>1509</v>
      </c>
      <c r="E1229" s="30">
        <v>1099.0</v>
      </c>
      <c r="F1229" s="30">
        <v>780.0</v>
      </c>
      <c r="G1229" s="30">
        <v>0.0</v>
      </c>
      <c r="H1229" s="30">
        <v>0.0</v>
      </c>
      <c r="I1229" s="30">
        <v>148.365</v>
      </c>
      <c r="J1229" s="30">
        <v>0.0</v>
      </c>
      <c r="K1229" s="30">
        <v>0.0</v>
      </c>
      <c r="L1229" s="30">
        <v>0.0</v>
      </c>
      <c r="M1229" s="30">
        <v>0.0</v>
      </c>
      <c r="N1229" s="30">
        <v>183.16666666666663</v>
      </c>
      <c r="O1229" s="30">
        <v>-12.531666666666638</v>
      </c>
      <c r="P1229" s="30">
        <v>-1.1402790415529243</v>
      </c>
      <c r="Q1229" s="30">
        <v>-1.368334849863509</v>
      </c>
    </row>
    <row r="1230">
      <c r="A1230" s="47">
        <v>1.1206327618E10</v>
      </c>
      <c r="B1230" s="48">
        <v>46148.83574074074</v>
      </c>
      <c r="C1230" s="30">
        <v>3.823403159E9</v>
      </c>
      <c r="D1230" s="47" t="s">
        <v>1509</v>
      </c>
      <c r="E1230" s="30">
        <v>1049.0</v>
      </c>
      <c r="F1230" s="30">
        <v>713.0</v>
      </c>
      <c r="G1230" s="30">
        <v>0.0</v>
      </c>
      <c r="H1230" s="30">
        <v>0.0</v>
      </c>
      <c r="I1230" s="30">
        <v>173.085</v>
      </c>
      <c r="J1230" s="30">
        <v>0.0</v>
      </c>
      <c r="K1230" s="30">
        <v>0.0</v>
      </c>
      <c r="L1230" s="30">
        <v>0.0</v>
      </c>
      <c r="M1230" s="30">
        <v>0.0</v>
      </c>
      <c r="N1230" s="30">
        <v>174.83333333333326</v>
      </c>
      <c r="O1230" s="30">
        <v>-11.918333333333266</v>
      </c>
      <c r="P1230" s="30">
        <v>-1.1361614235780044</v>
      </c>
      <c r="Q1230" s="30">
        <v>-1.3633937082936052</v>
      </c>
    </row>
    <row r="1231">
      <c r="A1231" s="47">
        <v>1.1209184064E10</v>
      </c>
      <c r="B1231" s="48">
        <v>46149.63511574074</v>
      </c>
      <c r="C1231" s="30">
        <v>3.826229847E9</v>
      </c>
      <c r="D1231" s="47" t="s">
        <v>1509</v>
      </c>
      <c r="E1231" s="30">
        <v>4430.0</v>
      </c>
      <c r="F1231" s="30">
        <v>3556.0</v>
      </c>
      <c r="G1231" s="30">
        <v>0.0</v>
      </c>
      <c r="H1231" s="30">
        <v>0.0</v>
      </c>
      <c r="I1231" s="30">
        <v>730.95</v>
      </c>
      <c r="J1231" s="30">
        <v>0.0</v>
      </c>
      <c r="K1231" s="30">
        <v>0.0</v>
      </c>
      <c r="L1231" s="30">
        <v>0.0</v>
      </c>
      <c r="M1231" s="30">
        <v>0.0</v>
      </c>
      <c r="N1231" s="30">
        <v>738.333333333333</v>
      </c>
      <c r="O1231" s="30">
        <v>-595.2833333333331</v>
      </c>
      <c r="P1231" s="30">
        <v>-13.437547027840477</v>
      </c>
      <c r="Q1231" s="30">
        <v>-16.12505643340857</v>
      </c>
    </row>
    <row r="1232">
      <c r="A1232" s="47">
        <v>1.1208878214E10</v>
      </c>
      <c r="B1232" s="48">
        <v>46149.57625</v>
      </c>
      <c r="C1232" s="30">
        <v>3.825943954E9</v>
      </c>
      <c r="D1232" s="47" t="s">
        <v>1509</v>
      </c>
      <c r="E1232" s="30">
        <v>850.0</v>
      </c>
      <c r="F1232" s="30">
        <v>100.0</v>
      </c>
      <c r="G1232" s="30">
        <v>0.0</v>
      </c>
      <c r="H1232" s="30">
        <v>0.0</v>
      </c>
      <c r="I1232" s="30">
        <v>114.75</v>
      </c>
      <c r="J1232" s="30">
        <v>0.0</v>
      </c>
      <c r="K1232" s="30">
        <v>0.0</v>
      </c>
      <c r="L1232" s="30">
        <v>0.0</v>
      </c>
      <c r="M1232" s="30">
        <v>0.0</v>
      </c>
      <c r="N1232" s="30">
        <v>141.66666666666663</v>
      </c>
      <c r="O1232" s="30">
        <v>493.58333333333337</v>
      </c>
      <c r="P1232" s="30">
        <v>58.068627450980394</v>
      </c>
      <c r="Q1232" s="30">
        <v>69.68235294117648</v>
      </c>
    </row>
    <row r="1233">
      <c r="A1233" s="47">
        <v>1.1202885623E10</v>
      </c>
      <c r="B1233" s="48">
        <v>46147.92358796296</v>
      </c>
      <c r="C1233" s="30">
        <v>3.819990075E9</v>
      </c>
      <c r="D1233" s="47" t="s">
        <v>1509</v>
      </c>
      <c r="E1233" s="30">
        <v>1462.0</v>
      </c>
      <c r="F1233" s="30">
        <v>1165.0</v>
      </c>
      <c r="G1233" s="30">
        <v>0.0</v>
      </c>
      <c r="H1233" s="30">
        <v>0.0</v>
      </c>
      <c r="I1233" s="30">
        <v>127.194</v>
      </c>
      <c r="J1233" s="30">
        <v>0.0</v>
      </c>
      <c r="K1233" s="30">
        <v>0.0</v>
      </c>
      <c r="L1233" s="30">
        <v>0.0</v>
      </c>
      <c r="M1233" s="30">
        <v>0.0</v>
      </c>
      <c r="N1233" s="30">
        <v>243.66666666666652</v>
      </c>
      <c r="O1233" s="30">
        <v>-73.86066666666653</v>
      </c>
      <c r="P1233" s="30">
        <v>-5.052029183766521</v>
      </c>
      <c r="Q1233" s="30">
        <v>-6.062435020519824</v>
      </c>
    </row>
    <row r="1234">
      <c r="A1234" s="47">
        <v>1.1212429006E10</v>
      </c>
      <c r="B1234" s="48">
        <v>46150.50894675926</v>
      </c>
      <c r="C1234" s="30">
        <v>3.829310847E9</v>
      </c>
      <c r="D1234" s="47" t="s">
        <v>1509</v>
      </c>
      <c r="E1234" s="30">
        <v>1700.0</v>
      </c>
      <c r="F1234" s="30">
        <v>1260.0</v>
      </c>
      <c r="G1234" s="30">
        <v>0.0</v>
      </c>
      <c r="H1234" s="30">
        <v>0.0</v>
      </c>
      <c r="I1234" s="30">
        <v>212.5</v>
      </c>
      <c r="J1234" s="30">
        <v>0.0</v>
      </c>
      <c r="K1234" s="30">
        <v>0.0</v>
      </c>
      <c r="L1234" s="30">
        <v>0.0</v>
      </c>
      <c r="M1234" s="30">
        <v>0.0</v>
      </c>
      <c r="N1234" s="30">
        <v>283.33333333333326</v>
      </c>
      <c r="O1234" s="30">
        <v>-55.83333333333326</v>
      </c>
      <c r="P1234" s="30">
        <v>-3.2843137254901915</v>
      </c>
      <c r="Q1234" s="30">
        <v>-3.9411764705882297</v>
      </c>
    </row>
    <row r="1235">
      <c r="A1235" s="47">
        <v>1.1206164799E10</v>
      </c>
      <c r="B1235" s="48">
        <v>46148.80755787037</v>
      </c>
      <c r="C1235" s="30">
        <v>3.823248048E9</v>
      </c>
      <c r="D1235" s="47" t="s">
        <v>1509</v>
      </c>
      <c r="E1235" s="30">
        <v>1049.0</v>
      </c>
      <c r="F1235" s="30">
        <v>713.0</v>
      </c>
      <c r="G1235" s="30">
        <v>0.0</v>
      </c>
      <c r="H1235" s="30">
        <v>0.0</v>
      </c>
      <c r="I1235" s="30">
        <v>173.085</v>
      </c>
      <c r="J1235" s="30">
        <v>0.0</v>
      </c>
      <c r="K1235" s="30">
        <v>0.0</v>
      </c>
      <c r="L1235" s="30">
        <v>0.0</v>
      </c>
      <c r="M1235" s="30">
        <v>0.0</v>
      </c>
      <c r="N1235" s="30">
        <v>174.83333333333326</v>
      </c>
      <c r="O1235" s="30">
        <v>-11.918333333333266</v>
      </c>
      <c r="P1235" s="30">
        <v>-1.1361614235780044</v>
      </c>
      <c r="Q1235" s="30">
        <v>-1.3633937082936052</v>
      </c>
    </row>
    <row r="1236">
      <c r="A1236" s="47">
        <v>1.1212414078E10</v>
      </c>
      <c r="B1236" s="48">
        <v>46150.50344907407</v>
      </c>
      <c r="C1236" s="30">
        <v>3.829280343E9</v>
      </c>
      <c r="D1236" s="47" t="s">
        <v>1509</v>
      </c>
      <c r="E1236" s="30">
        <v>160.0</v>
      </c>
      <c r="F1236" s="30">
        <v>0.0</v>
      </c>
      <c r="G1236" s="30">
        <v>0.0</v>
      </c>
      <c r="H1236" s="30">
        <v>0.0</v>
      </c>
      <c r="I1236" s="30">
        <v>26.4</v>
      </c>
      <c r="J1236" s="30">
        <v>0.0</v>
      </c>
      <c r="K1236" s="30">
        <v>0.0</v>
      </c>
      <c r="L1236" s="30">
        <v>0.0</v>
      </c>
      <c r="M1236" s="30">
        <v>0.0</v>
      </c>
      <c r="N1236" s="30">
        <v>26.666666666666657</v>
      </c>
      <c r="O1236" s="30">
        <v>106.93333333333334</v>
      </c>
      <c r="P1236" s="30">
        <v>66.83333333333333</v>
      </c>
      <c r="Q1236" s="30">
        <v>80.19999999999999</v>
      </c>
    </row>
    <row r="1237">
      <c r="A1237" s="47">
        <v>1.119216443E10</v>
      </c>
      <c r="B1237" s="48">
        <v>46144.676712962966</v>
      </c>
      <c r="C1237" s="30">
        <v>3.810687238E9</v>
      </c>
      <c r="D1237" s="47" t="s">
        <v>1509</v>
      </c>
      <c r="E1237" s="30">
        <v>2075.0</v>
      </c>
      <c r="F1237" s="30">
        <v>1500.0</v>
      </c>
      <c r="G1237" s="30">
        <v>0.0</v>
      </c>
      <c r="H1237" s="30">
        <v>0.0</v>
      </c>
      <c r="I1237" s="30">
        <v>342.375</v>
      </c>
      <c r="J1237" s="30">
        <v>0.0</v>
      </c>
      <c r="K1237" s="30">
        <v>0.0</v>
      </c>
      <c r="L1237" s="30">
        <v>0.0</v>
      </c>
      <c r="M1237" s="30">
        <v>0.0</v>
      </c>
      <c r="N1237" s="30">
        <v>345.83333333333326</v>
      </c>
      <c r="O1237" s="30">
        <v>-113.20833333333326</v>
      </c>
      <c r="P1237" s="30">
        <v>-5.4558232931726875</v>
      </c>
      <c r="Q1237" s="30">
        <v>-6.546987951807225</v>
      </c>
    </row>
    <row r="1238">
      <c r="A1238" s="47">
        <v>1.1212433656E10</v>
      </c>
      <c r="B1238" s="48">
        <v>46150.51063657407</v>
      </c>
      <c r="C1238" s="30">
        <v>3.829300545E9</v>
      </c>
      <c r="D1238" s="47" t="s">
        <v>1509</v>
      </c>
      <c r="E1238" s="30">
        <v>1400.0</v>
      </c>
      <c r="F1238" s="30">
        <v>1160.0</v>
      </c>
      <c r="G1238" s="30">
        <v>0.0</v>
      </c>
      <c r="H1238" s="30">
        <v>0.0</v>
      </c>
      <c r="I1238" s="30">
        <v>89.6</v>
      </c>
      <c r="J1238" s="30">
        <v>0.0</v>
      </c>
      <c r="K1238" s="30">
        <v>0.0</v>
      </c>
      <c r="L1238" s="30">
        <v>0.0</v>
      </c>
      <c r="M1238" s="30">
        <v>0.0</v>
      </c>
      <c r="N1238" s="30">
        <v>233.33333333333326</v>
      </c>
      <c r="O1238" s="30">
        <v>-82.93333333333325</v>
      </c>
      <c r="P1238" s="30">
        <v>-5.923809523809518</v>
      </c>
      <c r="Q1238" s="30">
        <v>-7.108571428571421</v>
      </c>
    </row>
    <row r="1239">
      <c r="A1239" s="47">
        <v>1.1212430512E10</v>
      </c>
      <c r="B1239" s="48">
        <v>46150.50950231482</v>
      </c>
      <c r="C1239" s="30">
        <v>3.829298872E9</v>
      </c>
      <c r="D1239" s="47" t="s">
        <v>1509</v>
      </c>
      <c r="E1239" s="30">
        <v>1124.0</v>
      </c>
      <c r="F1239" s="30">
        <v>824.0</v>
      </c>
      <c r="G1239" s="30">
        <v>0.0</v>
      </c>
      <c r="H1239" s="30">
        <v>0.0</v>
      </c>
      <c r="I1239" s="30">
        <v>185.46</v>
      </c>
      <c r="J1239" s="30">
        <v>0.0</v>
      </c>
      <c r="K1239" s="30">
        <v>0.0</v>
      </c>
      <c r="L1239" s="30">
        <v>0.0</v>
      </c>
      <c r="M1239" s="30">
        <v>0.0</v>
      </c>
      <c r="N1239" s="30">
        <v>187.33333333333326</v>
      </c>
      <c r="O1239" s="30">
        <v>-72.79333333333327</v>
      </c>
      <c r="P1239" s="30">
        <v>-6.476275207591928</v>
      </c>
      <c r="Q1239" s="30">
        <v>-7.771530249110313</v>
      </c>
    </row>
    <row r="1240">
      <c r="A1240" s="47">
        <v>1.1212673181E10</v>
      </c>
      <c r="B1240" s="48">
        <v>46150.5799537037</v>
      </c>
      <c r="C1240" s="30">
        <v>3.829561847E9</v>
      </c>
      <c r="D1240" s="47" t="s">
        <v>1509</v>
      </c>
      <c r="E1240" s="30">
        <v>2627.0</v>
      </c>
      <c r="F1240" s="30">
        <v>2000.0</v>
      </c>
      <c r="G1240" s="30">
        <v>0.0</v>
      </c>
      <c r="H1240" s="30">
        <v>0.0</v>
      </c>
      <c r="I1240" s="30">
        <v>168.128</v>
      </c>
      <c r="J1240" s="30">
        <v>0.0</v>
      </c>
      <c r="K1240" s="30">
        <v>0.0</v>
      </c>
      <c r="L1240" s="30">
        <v>0.0</v>
      </c>
      <c r="M1240" s="30">
        <v>0.0</v>
      </c>
      <c r="N1240" s="30">
        <v>437.83333333333303</v>
      </c>
      <c r="O1240" s="30">
        <v>21.038666666666984</v>
      </c>
      <c r="P1240" s="30">
        <v>0.8008628346656635</v>
      </c>
      <c r="Q1240" s="30">
        <v>0.9610354015987963</v>
      </c>
    </row>
    <row r="1241">
      <c r="A1241" s="47">
        <v>1.1212130609E10</v>
      </c>
      <c r="B1241" s="48">
        <v>46150.17538194444</v>
      </c>
      <c r="C1241" s="30">
        <v>3.828956197E9</v>
      </c>
      <c r="D1241" s="47" t="s">
        <v>1509</v>
      </c>
      <c r="E1241" s="30">
        <v>2170.96</v>
      </c>
      <c r="F1241" s="30">
        <v>1680.0</v>
      </c>
      <c r="G1241" s="30">
        <v>0.0</v>
      </c>
      <c r="H1241" s="30">
        <v>0.0</v>
      </c>
      <c r="I1241" s="30">
        <v>271.37</v>
      </c>
      <c r="J1241" s="30">
        <v>0.0</v>
      </c>
      <c r="K1241" s="30">
        <v>0.0</v>
      </c>
      <c r="L1241" s="30">
        <v>0.0</v>
      </c>
      <c r="M1241" s="30">
        <v>0.0</v>
      </c>
      <c r="N1241" s="30">
        <v>361.8266666666666</v>
      </c>
      <c r="O1241" s="30">
        <v>-142.23666666666657</v>
      </c>
      <c r="P1241" s="30">
        <v>-6.551786613602579</v>
      </c>
      <c r="Q1241" s="30">
        <v>-7.862143936323094</v>
      </c>
    </row>
    <row r="1242">
      <c r="A1242" s="47">
        <v>1.1203114621E10</v>
      </c>
      <c r="B1242" s="48">
        <v>46147.96099537037</v>
      </c>
      <c r="C1242" s="30">
        <v>3.820176149E9</v>
      </c>
      <c r="D1242" s="47" t="s">
        <v>1509</v>
      </c>
      <c r="E1242" s="30">
        <v>1325.0</v>
      </c>
      <c r="F1242" s="30">
        <v>999.6</v>
      </c>
      <c r="G1242" s="30">
        <v>0.0</v>
      </c>
      <c r="H1242" s="30">
        <v>0.0</v>
      </c>
      <c r="I1242" s="30">
        <v>165.625</v>
      </c>
      <c r="J1242" s="30">
        <v>0.0</v>
      </c>
      <c r="K1242" s="30">
        <v>0.0</v>
      </c>
      <c r="L1242" s="30">
        <v>0.0</v>
      </c>
      <c r="M1242" s="30">
        <v>0.0</v>
      </c>
      <c r="N1242" s="30">
        <v>220.83333333333326</v>
      </c>
      <c r="O1242" s="30">
        <v>-61.05833333333328</v>
      </c>
      <c r="P1242" s="30">
        <v>-4.608176100628927</v>
      </c>
      <c r="Q1242" s="30">
        <v>-5.529811320754712</v>
      </c>
    </row>
    <row r="1243">
      <c r="A1243" s="47">
        <v>1.1212497778E10</v>
      </c>
      <c r="B1243" s="48">
        <v>46150.53196759259</v>
      </c>
      <c r="C1243" s="30">
        <v>3.829371995E9</v>
      </c>
      <c r="D1243" s="47" t="s">
        <v>1509</v>
      </c>
      <c r="E1243" s="30">
        <v>2529.0</v>
      </c>
      <c r="F1243" s="30">
        <v>1740.0</v>
      </c>
      <c r="G1243" s="30">
        <v>0.0</v>
      </c>
      <c r="H1243" s="30">
        <v>0.0</v>
      </c>
      <c r="I1243" s="30">
        <v>341.415</v>
      </c>
      <c r="J1243" s="30">
        <v>0.0</v>
      </c>
      <c r="K1243" s="30">
        <v>0.0</v>
      </c>
      <c r="L1243" s="30">
        <v>0.0</v>
      </c>
      <c r="M1243" s="30">
        <v>0.0</v>
      </c>
      <c r="N1243" s="30">
        <v>421.5</v>
      </c>
      <c r="O1243" s="30">
        <v>26.08499999999998</v>
      </c>
      <c r="P1243" s="30">
        <v>1.0314353499406872</v>
      </c>
      <c r="Q1243" s="30">
        <v>1.2377224199288246</v>
      </c>
    </row>
    <row r="1244">
      <c r="A1244" s="47">
        <v>1.1195268386E10</v>
      </c>
      <c r="B1244" s="48">
        <v>46145.7484375</v>
      </c>
      <c r="C1244" s="30">
        <v>3.81317709E9</v>
      </c>
      <c r="D1244" s="47" t="s">
        <v>1509</v>
      </c>
      <c r="E1244" s="30">
        <v>1482.0</v>
      </c>
      <c r="F1244" s="30">
        <v>1053.0</v>
      </c>
      <c r="G1244" s="30">
        <v>0.0</v>
      </c>
      <c r="H1244" s="30">
        <v>0.0</v>
      </c>
      <c r="I1244" s="30">
        <v>185.25</v>
      </c>
      <c r="J1244" s="30">
        <v>0.0</v>
      </c>
      <c r="K1244" s="30">
        <v>0.0</v>
      </c>
      <c r="L1244" s="30">
        <v>0.0</v>
      </c>
      <c r="M1244" s="30">
        <v>0.0</v>
      </c>
      <c r="N1244" s="30">
        <v>247.0</v>
      </c>
      <c r="O1244" s="30">
        <v>-3.25</v>
      </c>
      <c r="P1244" s="30">
        <v>-0.21929824561403508</v>
      </c>
      <c r="Q1244" s="30">
        <v>-0.2631578947368421</v>
      </c>
    </row>
    <row r="1245">
      <c r="A1245" s="47">
        <v>1.120690681E10</v>
      </c>
      <c r="B1245" s="48">
        <v>46148.9330787037</v>
      </c>
      <c r="C1245" s="30">
        <v>3.823896298E9</v>
      </c>
      <c r="D1245" s="47" t="s">
        <v>1509</v>
      </c>
      <c r="E1245" s="30">
        <v>319.0</v>
      </c>
      <c r="F1245" s="30">
        <v>180.0</v>
      </c>
      <c r="G1245" s="30">
        <v>0.0</v>
      </c>
      <c r="H1245" s="30">
        <v>0.0</v>
      </c>
      <c r="I1245" s="30">
        <v>52.635</v>
      </c>
      <c r="J1245" s="30">
        <v>0.0</v>
      </c>
      <c r="K1245" s="30">
        <v>0.0</v>
      </c>
      <c r="L1245" s="30">
        <v>0.0</v>
      </c>
      <c r="M1245" s="30">
        <v>0.0</v>
      </c>
      <c r="N1245" s="30">
        <v>53.16666666666663</v>
      </c>
      <c r="O1245" s="30">
        <v>33.19833333333338</v>
      </c>
      <c r="P1245" s="30">
        <v>10.407001044932095</v>
      </c>
      <c r="Q1245" s="30">
        <v>12.48840125391851</v>
      </c>
    </row>
    <row r="1246">
      <c r="A1246" s="47">
        <v>1.1206987371E10</v>
      </c>
      <c r="B1246" s="48">
        <v>46148.946238425924</v>
      </c>
      <c r="C1246" s="30">
        <v>3.823968218E9</v>
      </c>
      <c r="D1246" s="47" t="s">
        <v>1509</v>
      </c>
      <c r="E1246" s="30">
        <v>4430.0</v>
      </c>
      <c r="F1246" s="30">
        <v>3556.0</v>
      </c>
      <c r="G1246" s="30">
        <v>0.0</v>
      </c>
      <c r="H1246" s="30">
        <v>0.0</v>
      </c>
      <c r="I1246" s="30">
        <v>730.95</v>
      </c>
      <c r="J1246" s="30">
        <v>0.0</v>
      </c>
      <c r="K1246" s="30">
        <v>0.0</v>
      </c>
      <c r="L1246" s="30">
        <v>0.0</v>
      </c>
      <c r="M1246" s="30">
        <v>0.0</v>
      </c>
      <c r="N1246" s="30">
        <v>738.333333333333</v>
      </c>
      <c r="O1246" s="30">
        <v>-595.2833333333331</v>
      </c>
      <c r="P1246" s="30">
        <v>-13.437547027840477</v>
      </c>
      <c r="Q1246" s="30">
        <v>-16.12505643340857</v>
      </c>
    </row>
    <row r="1247">
      <c r="A1247" s="47">
        <v>1.1212314997E10</v>
      </c>
      <c r="B1247" s="48">
        <v>46150.44013888889</v>
      </c>
      <c r="C1247" s="30">
        <v>3.829164353E9</v>
      </c>
      <c r="D1247" s="47" t="s">
        <v>1509</v>
      </c>
      <c r="E1247" s="30">
        <v>1720.0</v>
      </c>
      <c r="F1247" s="30">
        <v>1260.0</v>
      </c>
      <c r="G1247" s="30">
        <v>0.0</v>
      </c>
      <c r="H1247" s="30">
        <v>0.0</v>
      </c>
      <c r="I1247" s="30">
        <v>283.8</v>
      </c>
      <c r="J1247" s="30">
        <v>0.0</v>
      </c>
      <c r="K1247" s="30">
        <v>0.0</v>
      </c>
      <c r="L1247" s="30">
        <v>0.0</v>
      </c>
      <c r="M1247" s="30">
        <v>0.0</v>
      </c>
      <c r="N1247" s="30">
        <v>286.6666666666665</v>
      </c>
      <c r="O1247" s="30">
        <v>-110.46666666666653</v>
      </c>
      <c r="P1247" s="30">
        <v>-6.42248062015503</v>
      </c>
      <c r="Q1247" s="30">
        <v>-7.706976744186036</v>
      </c>
    </row>
    <row r="1248">
      <c r="A1248" s="47">
        <v>1.1210080369E10</v>
      </c>
      <c r="B1248" s="48">
        <v>46149.79813657407</v>
      </c>
      <c r="C1248" s="30">
        <v>3.827056171E9</v>
      </c>
      <c r="D1248" s="47" t="s">
        <v>1509</v>
      </c>
      <c r="E1248" s="30">
        <v>4430.0</v>
      </c>
      <c r="F1248" s="30">
        <v>3556.0</v>
      </c>
      <c r="G1248" s="30">
        <v>0.0</v>
      </c>
      <c r="H1248" s="30">
        <v>0.0</v>
      </c>
      <c r="I1248" s="30">
        <v>730.95</v>
      </c>
      <c r="J1248" s="30">
        <v>0.0</v>
      </c>
      <c r="K1248" s="30">
        <v>0.0</v>
      </c>
      <c r="L1248" s="30">
        <v>0.0</v>
      </c>
      <c r="M1248" s="30">
        <v>0.0</v>
      </c>
      <c r="N1248" s="30">
        <v>738.333333333333</v>
      </c>
      <c r="O1248" s="30">
        <v>-595.2833333333331</v>
      </c>
      <c r="P1248" s="30">
        <v>-13.437547027840477</v>
      </c>
      <c r="Q1248" s="30">
        <v>-16.12505643340857</v>
      </c>
    </row>
    <row r="1249">
      <c r="A1249" s="47">
        <v>1.1206115451E10</v>
      </c>
      <c r="B1249" s="48">
        <v>46148.79858796296</v>
      </c>
      <c r="C1249" s="30">
        <v>3.823201535E9</v>
      </c>
      <c r="D1249" s="47" t="s">
        <v>1509</v>
      </c>
      <c r="E1249" s="30">
        <v>1400.0</v>
      </c>
      <c r="F1249" s="30">
        <v>1160.0</v>
      </c>
      <c r="G1249" s="30">
        <v>0.0</v>
      </c>
      <c r="H1249" s="30">
        <v>0.0</v>
      </c>
      <c r="I1249" s="30">
        <v>89.6</v>
      </c>
      <c r="J1249" s="30">
        <v>0.0</v>
      </c>
      <c r="K1249" s="30">
        <v>0.0</v>
      </c>
      <c r="L1249" s="30">
        <v>0.0</v>
      </c>
      <c r="M1249" s="30">
        <v>0.0</v>
      </c>
      <c r="N1249" s="30">
        <v>233.33333333333326</v>
      </c>
      <c r="O1249" s="30">
        <v>-82.93333333333325</v>
      </c>
      <c r="P1249" s="30">
        <v>-5.923809523809518</v>
      </c>
      <c r="Q1249" s="30">
        <v>-7.108571428571421</v>
      </c>
    </row>
    <row r="1250">
      <c r="A1250" s="47">
        <v>1.1210338424E10</v>
      </c>
      <c r="B1250" s="48">
        <v>46149.84627314815</v>
      </c>
      <c r="C1250" s="30">
        <v>3.827286077E9</v>
      </c>
      <c r="D1250" s="47" t="s">
        <v>1509</v>
      </c>
      <c r="E1250" s="30">
        <v>1767.0</v>
      </c>
      <c r="F1250" s="30">
        <v>1260.0</v>
      </c>
      <c r="G1250" s="30">
        <v>0.0</v>
      </c>
      <c r="H1250" s="30">
        <v>0.0</v>
      </c>
      <c r="I1250" s="30">
        <v>220.875</v>
      </c>
      <c r="J1250" s="30">
        <v>0.0</v>
      </c>
      <c r="K1250" s="30">
        <v>0.0</v>
      </c>
      <c r="L1250" s="30">
        <v>0.0</v>
      </c>
      <c r="M1250" s="30">
        <v>0.0</v>
      </c>
      <c r="N1250" s="30">
        <v>294.5</v>
      </c>
      <c r="O1250" s="30">
        <v>-8.375</v>
      </c>
      <c r="P1250" s="30">
        <v>-0.4739671760045274</v>
      </c>
      <c r="Q1250" s="30">
        <v>-0.568760611205433</v>
      </c>
    </row>
    <row r="1251">
      <c r="A1251" s="47">
        <v>1.1211827227E10</v>
      </c>
      <c r="B1251" s="48">
        <v>46150.0987962963</v>
      </c>
      <c r="C1251" s="30">
        <v>3.828628793E9</v>
      </c>
      <c r="D1251" s="47" t="s">
        <v>1509</v>
      </c>
      <c r="E1251" s="30">
        <v>1400.0</v>
      </c>
      <c r="F1251" s="30">
        <v>1160.0</v>
      </c>
      <c r="G1251" s="30">
        <v>0.0</v>
      </c>
      <c r="H1251" s="30">
        <v>0.0</v>
      </c>
      <c r="I1251" s="30">
        <v>89.6</v>
      </c>
      <c r="J1251" s="30">
        <v>0.0</v>
      </c>
      <c r="K1251" s="30">
        <v>0.0</v>
      </c>
      <c r="L1251" s="30">
        <v>0.0</v>
      </c>
      <c r="M1251" s="30">
        <v>0.0</v>
      </c>
      <c r="N1251" s="30">
        <v>233.33333333333326</v>
      </c>
      <c r="O1251" s="30">
        <v>-82.93333333333325</v>
      </c>
      <c r="P1251" s="30">
        <v>-5.923809523809518</v>
      </c>
      <c r="Q1251" s="30">
        <v>-7.108571428571421</v>
      </c>
    </row>
    <row r="1252">
      <c r="A1252" s="47">
        <v>1.1212310526E10</v>
      </c>
      <c r="B1252" s="48">
        <v>46150.43540509259</v>
      </c>
      <c r="C1252" s="30">
        <v>3.829158462E9</v>
      </c>
      <c r="D1252" s="47" t="s">
        <v>1509</v>
      </c>
      <c r="E1252" s="30">
        <v>1400.0</v>
      </c>
      <c r="F1252" s="30">
        <v>1160.0</v>
      </c>
      <c r="G1252" s="30">
        <v>0.0</v>
      </c>
      <c r="H1252" s="30">
        <v>0.0</v>
      </c>
      <c r="I1252" s="30">
        <v>89.6</v>
      </c>
      <c r="J1252" s="30">
        <v>0.0</v>
      </c>
      <c r="K1252" s="30">
        <v>0.0</v>
      </c>
      <c r="L1252" s="30">
        <v>0.0</v>
      </c>
      <c r="M1252" s="30">
        <v>0.0</v>
      </c>
      <c r="N1252" s="30">
        <v>233.33333333333326</v>
      </c>
      <c r="O1252" s="30">
        <v>-82.93333333333325</v>
      </c>
      <c r="P1252" s="30">
        <v>-5.923809523809518</v>
      </c>
      <c r="Q1252" s="30">
        <v>-7.108571428571421</v>
      </c>
    </row>
    <row r="1253">
      <c r="A1253" s="47">
        <v>1.1209668006E10</v>
      </c>
      <c r="B1253" s="48">
        <v>46149.72006944445</v>
      </c>
      <c r="C1253" s="30">
        <v>3.826671747E9</v>
      </c>
      <c r="D1253" s="47" t="s">
        <v>1509</v>
      </c>
      <c r="E1253" s="30">
        <v>4430.0</v>
      </c>
      <c r="F1253" s="30">
        <v>3556.0</v>
      </c>
      <c r="G1253" s="30">
        <v>0.0</v>
      </c>
      <c r="H1253" s="30">
        <v>0.0</v>
      </c>
      <c r="I1253" s="30">
        <v>730.95</v>
      </c>
      <c r="J1253" s="30">
        <v>0.0</v>
      </c>
      <c r="K1253" s="30">
        <v>0.0</v>
      </c>
      <c r="L1253" s="30">
        <v>0.0</v>
      </c>
      <c r="M1253" s="30">
        <v>0.0</v>
      </c>
      <c r="N1253" s="30">
        <v>738.333333333333</v>
      </c>
      <c r="O1253" s="30">
        <v>-595.2833333333331</v>
      </c>
      <c r="P1253" s="30">
        <v>-13.437547027840477</v>
      </c>
      <c r="Q1253" s="30">
        <v>-16.12505643340857</v>
      </c>
    </row>
    <row r="1254">
      <c r="A1254" s="47">
        <v>1.1198889093E10</v>
      </c>
      <c r="B1254" s="48">
        <v>46146.82982638889</v>
      </c>
      <c r="C1254" s="30">
        <v>3.816322546E9</v>
      </c>
      <c r="D1254" s="47" t="s">
        <v>1509</v>
      </c>
      <c r="E1254" s="30">
        <v>447.0</v>
      </c>
      <c r="F1254" s="30">
        <v>0.0</v>
      </c>
      <c r="G1254" s="30">
        <v>0.0</v>
      </c>
      <c r="H1254" s="30">
        <v>0.0</v>
      </c>
      <c r="I1254" s="30">
        <v>89.4</v>
      </c>
      <c r="J1254" s="30">
        <v>0.0</v>
      </c>
      <c r="K1254" s="30">
        <v>0.0</v>
      </c>
      <c r="L1254" s="30">
        <v>0.0</v>
      </c>
      <c r="M1254" s="30">
        <v>0.0</v>
      </c>
      <c r="N1254" s="30">
        <v>74.5</v>
      </c>
      <c r="O1254" s="30">
        <v>283.1</v>
      </c>
      <c r="P1254" s="30">
        <v>63.33333333333334</v>
      </c>
      <c r="Q1254" s="30">
        <v>76.0</v>
      </c>
    </row>
    <row r="1255">
      <c r="A1255" s="47">
        <v>1.1210157188E10</v>
      </c>
      <c r="B1255" s="48">
        <v>46149.81297453704</v>
      </c>
      <c r="C1255" s="30">
        <v>3.827123999E9</v>
      </c>
      <c r="D1255" s="47" t="s">
        <v>1509</v>
      </c>
      <c r="E1255" s="30">
        <v>1715.0</v>
      </c>
      <c r="F1255" s="30">
        <v>1137.36</v>
      </c>
      <c r="G1255" s="30">
        <v>0.0</v>
      </c>
      <c r="H1255" s="30">
        <v>0.0</v>
      </c>
      <c r="I1255" s="30">
        <v>214.375</v>
      </c>
      <c r="J1255" s="30">
        <v>0.0</v>
      </c>
      <c r="K1255" s="30">
        <v>0.0</v>
      </c>
      <c r="L1255" s="30">
        <v>0.0</v>
      </c>
      <c r="M1255" s="30">
        <v>0.0</v>
      </c>
      <c r="N1255" s="30">
        <v>285.83333333333326</v>
      </c>
      <c r="O1255" s="30">
        <v>77.43166666666684</v>
      </c>
      <c r="P1255" s="30">
        <v>4.514965986394568</v>
      </c>
      <c r="Q1255" s="30">
        <v>5.4179591836734815</v>
      </c>
    </row>
    <row r="1256">
      <c r="A1256" s="47">
        <v>1.1205063264E10</v>
      </c>
      <c r="B1256" s="48">
        <v>46148.61394675926</v>
      </c>
      <c r="C1256" s="30">
        <v>3.822224493E9</v>
      </c>
      <c r="D1256" s="47" t="s">
        <v>1509</v>
      </c>
      <c r="E1256" s="30">
        <v>1430.0</v>
      </c>
      <c r="F1256" s="30">
        <v>1165.0</v>
      </c>
      <c r="G1256" s="30">
        <v>0.0</v>
      </c>
      <c r="H1256" s="30">
        <v>0.0</v>
      </c>
      <c r="I1256" s="30">
        <v>91.52</v>
      </c>
      <c r="J1256" s="30">
        <v>0.0</v>
      </c>
      <c r="K1256" s="30">
        <v>0.0</v>
      </c>
      <c r="L1256" s="30">
        <v>0.0</v>
      </c>
      <c r="M1256" s="30">
        <v>0.0</v>
      </c>
      <c r="N1256" s="30">
        <v>238.33333333333326</v>
      </c>
      <c r="O1256" s="30">
        <v>-64.85333333333324</v>
      </c>
      <c r="P1256" s="30">
        <v>-4.5351981351981285</v>
      </c>
      <c r="Q1256" s="30">
        <v>-5.442237762237754</v>
      </c>
    </row>
    <row r="1257">
      <c r="A1257" s="47">
        <v>1.1212358546E10</v>
      </c>
      <c r="B1257" s="48">
        <v>46150.475324074076</v>
      </c>
      <c r="C1257" s="30">
        <v>3.82921744E9</v>
      </c>
      <c r="D1257" s="47" t="s">
        <v>1509</v>
      </c>
      <c r="E1257" s="30">
        <v>1400.0</v>
      </c>
      <c r="F1257" s="30">
        <v>1160.0</v>
      </c>
      <c r="G1257" s="30">
        <v>0.0</v>
      </c>
      <c r="H1257" s="30">
        <v>0.0</v>
      </c>
      <c r="I1257" s="30">
        <v>89.6</v>
      </c>
      <c r="J1257" s="30">
        <v>0.0</v>
      </c>
      <c r="K1257" s="30">
        <v>0.0</v>
      </c>
      <c r="L1257" s="30">
        <v>0.0</v>
      </c>
      <c r="M1257" s="30">
        <v>0.0</v>
      </c>
      <c r="N1257" s="30">
        <v>233.33333333333326</v>
      </c>
      <c r="O1257" s="30">
        <v>-82.93333333333325</v>
      </c>
      <c r="P1257" s="30">
        <v>-5.923809523809518</v>
      </c>
      <c r="Q1257" s="30">
        <v>-7.108571428571421</v>
      </c>
    </row>
    <row r="1258">
      <c r="A1258" s="47">
        <v>1.1210793127E10</v>
      </c>
      <c r="B1258" s="48">
        <v>46149.92748842593</v>
      </c>
      <c r="C1258" s="30">
        <v>3.827651974E9</v>
      </c>
      <c r="D1258" s="47" t="s">
        <v>1509</v>
      </c>
      <c r="E1258" s="30">
        <v>1400.0</v>
      </c>
      <c r="F1258" s="30">
        <v>1160.0</v>
      </c>
      <c r="G1258" s="30">
        <v>0.0</v>
      </c>
      <c r="H1258" s="30">
        <v>0.0</v>
      </c>
      <c r="I1258" s="30">
        <v>89.6</v>
      </c>
      <c r="J1258" s="30">
        <v>0.0</v>
      </c>
      <c r="K1258" s="30">
        <v>0.0</v>
      </c>
      <c r="L1258" s="30">
        <v>0.0</v>
      </c>
      <c r="M1258" s="30">
        <v>0.0</v>
      </c>
      <c r="N1258" s="30">
        <v>233.33333333333326</v>
      </c>
      <c r="O1258" s="30">
        <v>-82.93333333333325</v>
      </c>
      <c r="P1258" s="30">
        <v>-5.923809523809518</v>
      </c>
      <c r="Q1258" s="30">
        <v>-7.108571428571421</v>
      </c>
    </row>
    <row r="1259">
      <c r="A1259" s="47">
        <v>1.1209498774E10</v>
      </c>
      <c r="B1259" s="48">
        <v>46149.69006944444</v>
      </c>
      <c r="C1259" s="30">
        <v>3.826516717E9</v>
      </c>
      <c r="D1259" s="47" t="s">
        <v>1509</v>
      </c>
      <c r="E1259" s="30">
        <v>4430.0</v>
      </c>
      <c r="F1259" s="30">
        <v>3556.0</v>
      </c>
      <c r="G1259" s="30">
        <v>0.0</v>
      </c>
      <c r="H1259" s="30">
        <v>0.0</v>
      </c>
      <c r="I1259" s="30">
        <v>730.95</v>
      </c>
      <c r="J1259" s="30">
        <v>0.0</v>
      </c>
      <c r="K1259" s="30">
        <v>0.0</v>
      </c>
      <c r="L1259" s="30">
        <v>0.0</v>
      </c>
      <c r="M1259" s="30">
        <v>0.0</v>
      </c>
      <c r="N1259" s="30">
        <v>738.333333333333</v>
      </c>
      <c r="O1259" s="30">
        <v>-595.2833333333331</v>
      </c>
      <c r="P1259" s="30">
        <v>-13.437547027840477</v>
      </c>
      <c r="Q1259" s="30">
        <v>-16.12505643340857</v>
      </c>
    </row>
    <row r="1260">
      <c r="A1260" s="47">
        <v>1.1206269151E10</v>
      </c>
      <c r="B1260" s="48">
        <v>46148.82570601852</v>
      </c>
      <c r="C1260" s="30">
        <v>3.823348458E9</v>
      </c>
      <c r="D1260" s="47" t="s">
        <v>1509</v>
      </c>
      <c r="E1260" s="30">
        <v>1049.0</v>
      </c>
      <c r="F1260" s="30">
        <v>713.0</v>
      </c>
      <c r="G1260" s="30">
        <v>0.0</v>
      </c>
      <c r="H1260" s="30">
        <v>0.0</v>
      </c>
      <c r="I1260" s="30">
        <v>173.085</v>
      </c>
      <c r="J1260" s="30">
        <v>0.0</v>
      </c>
      <c r="K1260" s="30">
        <v>0.0</v>
      </c>
      <c r="L1260" s="30">
        <v>0.0</v>
      </c>
      <c r="M1260" s="30">
        <v>0.0</v>
      </c>
      <c r="N1260" s="30">
        <v>174.83333333333326</v>
      </c>
      <c r="O1260" s="30">
        <v>-11.918333333333266</v>
      </c>
      <c r="P1260" s="30">
        <v>-1.1361614235780044</v>
      </c>
      <c r="Q1260" s="30">
        <v>-1.3633937082936052</v>
      </c>
    </row>
    <row r="1261">
      <c r="A1261" s="47">
        <v>1.1208121992E10</v>
      </c>
      <c r="B1261" s="48">
        <v>46149.12422453704</v>
      </c>
      <c r="C1261" s="30">
        <v>3.825105966E9</v>
      </c>
      <c r="D1261" s="47" t="s">
        <v>1509</v>
      </c>
      <c r="E1261" s="30">
        <v>1400.0</v>
      </c>
      <c r="F1261" s="30">
        <v>1160.0</v>
      </c>
      <c r="G1261" s="30">
        <v>0.0</v>
      </c>
      <c r="H1261" s="30">
        <v>0.0</v>
      </c>
      <c r="I1261" s="30">
        <v>89.6</v>
      </c>
      <c r="J1261" s="30">
        <v>0.0</v>
      </c>
      <c r="K1261" s="30">
        <v>0.0</v>
      </c>
      <c r="L1261" s="30">
        <v>0.0</v>
      </c>
      <c r="M1261" s="30">
        <v>0.0</v>
      </c>
      <c r="N1261" s="30">
        <v>233.33333333333326</v>
      </c>
      <c r="O1261" s="30">
        <v>-82.93333333333325</v>
      </c>
      <c r="P1261" s="30">
        <v>-5.923809523809518</v>
      </c>
      <c r="Q1261" s="30">
        <v>-7.108571428571421</v>
      </c>
    </row>
    <row r="1262">
      <c r="A1262" s="47">
        <v>1.1202573084E10</v>
      </c>
      <c r="B1262" s="48">
        <v>46147.87028935185</v>
      </c>
      <c r="C1262" s="30">
        <v>3.819733195E9</v>
      </c>
      <c r="D1262" s="47" t="s">
        <v>1509</v>
      </c>
      <c r="E1262" s="30">
        <v>1482.0</v>
      </c>
      <c r="F1262" s="30">
        <v>1053.0</v>
      </c>
      <c r="G1262" s="30">
        <v>0.0</v>
      </c>
      <c r="H1262" s="30">
        <v>0.0</v>
      </c>
      <c r="I1262" s="30">
        <v>185.25</v>
      </c>
      <c r="J1262" s="30">
        <v>0.0</v>
      </c>
      <c r="K1262" s="30">
        <v>0.0</v>
      </c>
      <c r="L1262" s="30">
        <v>0.0</v>
      </c>
      <c r="M1262" s="30">
        <v>0.0</v>
      </c>
      <c r="N1262" s="30">
        <v>247.0</v>
      </c>
      <c r="O1262" s="30">
        <v>-3.25</v>
      </c>
      <c r="P1262" s="30">
        <v>-0.21929824561403508</v>
      </c>
      <c r="Q1262" s="30">
        <v>-0.2631578947368421</v>
      </c>
    </row>
    <row r="1263">
      <c r="A1263" s="47">
        <v>1.1210633205E10</v>
      </c>
      <c r="B1263" s="48">
        <v>46149.89991898148</v>
      </c>
      <c r="C1263" s="30">
        <v>3.827525377E9</v>
      </c>
      <c r="D1263" s="47" t="s">
        <v>1509</v>
      </c>
      <c r="E1263" s="30">
        <v>1599.0</v>
      </c>
      <c r="F1263" s="30">
        <v>1190.0</v>
      </c>
      <c r="G1263" s="30">
        <v>0.0</v>
      </c>
      <c r="H1263" s="30">
        <v>0.0</v>
      </c>
      <c r="I1263" s="30">
        <v>199.875</v>
      </c>
      <c r="J1263" s="30">
        <v>0.0</v>
      </c>
      <c r="K1263" s="30">
        <v>0.0</v>
      </c>
      <c r="L1263" s="30">
        <v>0.0</v>
      </c>
      <c r="M1263" s="30">
        <v>0.0</v>
      </c>
      <c r="N1263" s="30">
        <v>266.5</v>
      </c>
      <c r="O1263" s="30">
        <v>-57.375</v>
      </c>
      <c r="P1263" s="30">
        <v>-3.5881801125703565</v>
      </c>
      <c r="Q1263" s="30">
        <v>-4.305816135084427</v>
      </c>
    </row>
    <row r="1264">
      <c r="A1264" s="47">
        <v>1.1212758592E10</v>
      </c>
      <c r="B1264" s="48">
        <v>46150.599027777775</v>
      </c>
      <c r="C1264" s="30">
        <v>3.829646839E9</v>
      </c>
      <c r="D1264" s="47" t="s">
        <v>1509</v>
      </c>
      <c r="E1264" s="30">
        <v>474.47</v>
      </c>
      <c r="F1264" s="30">
        <v>130.0</v>
      </c>
      <c r="G1264" s="30">
        <v>0.0</v>
      </c>
      <c r="H1264" s="30">
        <v>0.0</v>
      </c>
      <c r="I1264" s="30">
        <v>94.89400000000002</v>
      </c>
      <c r="J1264" s="30">
        <v>0.0</v>
      </c>
      <c r="K1264" s="30">
        <v>0.0</v>
      </c>
      <c r="L1264" s="30">
        <v>0.0</v>
      </c>
      <c r="M1264" s="30">
        <v>0.0</v>
      </c>
      <c r="N1264" s="30">
        <v>79.07833333333332</v>
      </c>
      <c r="O1264" s="30">
        <v>170.4976666666667</v>
      </c>
      <c r="P1264" s="30">
        <v>35.93434077321363</v>
      </c>
      <c r="Q1264" s="30">
        <v>43.121208927856344</v>
      </c>
    </row>
    <row r="1265">
      <c r="A1265" s="47">
        <v>1.1212743194E10</v>
      </c>
      <c r="B1265" s="48">
        <v>46150.595671296294</v>
      </c>
      <c r="C1265" s="30">
        <v>3.829635176E9</v>
      </c>
      <c r="D1265" s="47" t="s">
        <v>1509</v>
      </c>
      <c r="E1265" s="30">
        <v>1599.0</v>
      </c>
      <c r="F1265" s="30">
        <v>1190.0</v>
      </c>
      <c r="G1265" s="30">
        <v>0.0</v>
      </c>
      <c r="H1265" s="30">
        <v>0.0</v>
      </c>
      <c r="I1265" s="30">
        <v>199.875</v>
      </c>
      <c r="J1265" s="30">
        <v>0.0</v>
      </c>
      <c r="K1265" s="30">
        <v>0.0</v>
      </c>
      <c r="L1265" s="30">
        <v>0.0</v>
      </c>
      <c r="M1265" s="30">
        <v>0.0</v>
      </c>
      <c r="N1265" s="30">
        <v>266.5</v>
      </c>
      <c r="O1265" s="30">
        <v>-57.375</v>
      </c>
      <c r="P1265" s="30">
        <v>-3.5881801125703565</v>
      </c>
      <c r="Q1265" s="30">
        <v>-4.305816135084427</v>
      </c>
    </row>
    <row r="1266">
      <c r="A1266" s="47">
        <v>1.1210029414E10</v>
      </c>
      <c r="B1266" s="48">
        <v>46149.78854166667</v>
      </c>
      <c r="C1266" s="30">
        <v>3.827006266E9</v>
      </c>
      <c r="D1266" s="47" t="s">
        <v>1509</v>
      </c>
      <c r="E1266" s="30">
        <v>249.99</v>
      </c>
      <c r="F1266" s="30">
        <v>60.0</v>
      </c>
      <c r="G1266" s="30">
        <v>0.0</v>
      </c>
      <c r="H1266" s="30">
        <v>0.0</v>
      </c>
      <c r="I1266" s="30">
        <v>49.998000000000005</v>
      </c>
      <c r="J1266" s="30">
        <v>0.0</v>
      </c>
      <c r="K1266" s="30">
        <v>0.0</v>
      </c>
      <c r="L1266" s="30">
        <v>0.0</v>
      </c>
      <c r="M1266" s="30">
        <v>0.0</v>
      </c>
      <c r="N1266" s="30">
        <v>41.66499999999999</v>
      </c>
      <c r="O1266" s="30">
        <v>98.32700000000003</v>
      </c>
      <c r="P1266" s="30">
        <v>39.332373294931806</v>
      </c>
      <c r="Q1266" s="30">
        <v>47.19884795391817</v>
      </c>
    </row>
    <row r="1267">
      <c r="A1267" s="47">
        <v>1.1211978379E10</v>
      </c>
      <c r="B1267" s="48">
        <v>46150.129849537036</v>
      </c>
      <c r="C1267" s="30">
        <v>3.828796916E9</v>
      </c>
      <c r="D1267" s="47" t="s">
        <v>1509</v>
      </c>
      <c r="E1267" s="30">
        <v>2628.0</v>
      </c>
      <c r="F1267" s="30">
        <v>2000.0</v>
      </c>
      <c r="G1267" s="30">
        <v>0.0</v>
      </c>
      <c r="H1267" s="30">
        <v>0.0</v>
      </c>
      <c r="I1267" s="30">
        <v>168.192</v>
      </c>
      <c r="J1267" s="30">
        <v>0.0</v>
      </c>
      <c r="K1267" s="30">
        <v>0.0</v>
      </c>
      <c r="L1267" s="30">
        <v>0.0</v>
      </c>
      <c r="M1267" s="30">
        <v>0.0</v>
      </c>
      <c r="N1267" s="30">
        <v>438.0</v>
      </c>
      <c r="O1267" s="30">
        <v>21.807999999999993</v>
      </c>
      <c r="P1267" s="30">
        <v>0.8298325722983254</v>
      </c>
      <c r="Q1267" s="30">
        <v>0.9957990867579906</v>
      </c>
    </row>
    <row r="1268">
      <c r="A1268" s="47">
        <v>1.1212081138E10</v>
      </c>
      <c r="B1268" s="48">
        <v>46150.15719907408</v>
      </c>
      <c r="C1268" s="30">
        <v>3.828906215E9</v>
      </c>
      <c r="D1268" s="47" t="s">
        <v>1509</v>
      </c>
      <c r="E1268" s="30">
        <v>2800.0</v>
      </c>
      <c r="F1268" s="30">
        <v>2320.0</v>
      </c>
      <c r="G1268" s="30">
        <v>0.0</v>
      </c>
      <c r="H1268" s="30">
        <v>0.0</v>
      </c>
      <c r="I1268" s="30">
        <v>179.2</v>
      </c>
      <c r="J1268" s="30">
        <v>0.0</v>
      </c>
      <c r="K1268" s="30">
        <v>0.0</v>
      </c>
      <c r="L1268" s="30">
        <v>0.0</v>
      </c>
      <c r="M1268" s="30">
        <v>0.0</v>
      </c>
      <c r="N1268" s="30">
        <v>466.6666666666665</v>
      </c>
      <c r="O1268" s="30">
        <v>-165.8666666666665</v>
      </c>
      <c r="P1268" s="30">
        <v>-5.923809523809518</v>
      </c>
      <c r="Q1268" s="30">
        <v>-7.108571428571421</v>
      </c>
    </row>
    <row r="1269">
      <c r="A1269" s="47">
        <v>1.1208838549E10</v>
      </c>
      <c r="B1269" s="48">
        <v>46149.56690972222</v>
      </c>
      <c r="C1269" s="30">
        <v>3.825900766E9</v>
      </c>
      <c r="D1269" s="47" t="s">
        <v>1509</v>
      </c>
      <c r="E1269" s="30">
        <v>578.0</v>
      </c>
      <c r="F1269" s="30">
        <v>353.7</v>
      </c>
      <c r="G1269" s="30">
        <v>0.0</v>
      </c>
      <c r="H1269" s="30">
        <v>0.0</v>
      </c>
      <c r="I1269" s="30">
        <v>72.25</v>
      </c>
      <c r="J1269" s="30">
        <v>0.0</v>
      </c>
      <c r="K1269" s="30">
        <v>0.0</v>
      </c>
      <c r="L1269" s="30">
        <v>0.0</v>
      </c>
      <c r="M1269" s="30">
        <v>0.0</v>
      </c>
      <c r="N1269" s="30">
        <v>96.33333333333331</v>
      </c>
      <c r="O1269" s="30">
        <v>55.7166666666667</v>
      </c>
      <c r="P1269" s="30">
        <v>9.639561707035762</v>
      </c>
      <c r="Q1269" s="30">
        <v>11.567474048442913</v>
      </c>
    </row>
    <row r="1270">
      <c r="A1270" s="47">
        <v>1.1208968697E10</v>
      </c>
      <c r="B1270" s="48">
        <v>46149.59590277778</v>
      </c>
      <c r="C1270" s="30">
        <v>3.826037214E9</v>
      </c>
      <c r="D1270" s="47" t="s">
        <v>1509</v>
      </c>
      <c r="E1270" s="30">
        <v>948.0</v>
      </c>
      <c r="F1270" s="30">
        <v>580.0</v>
      </c>
      <c r="G1270" s="30">
        <v>0.0</v>
      </c>
      <c r="H1270" s="30">
        <v>0.0</v>
      </c>
      <c r="I1270" s="30">
        <v>127.98</v>
      </c>
      <c r="J1270" s="30">
        <v>0.0</v>
      </c>
      <c r="K1270" s="30">
        <v>0.0</v>
      </c>
      <c r="L1270" s="30">
        <v>0.0</v>
      </c>
      <c r="M1270" s="30">
        <v>0.0</v>
      </c>
      <c r="N1270" s="30">
        <v>158.0</v>
      </c>
      <c r="O1270" s="30">
        <v>82.01999999999998</v>
      </c>
      <c r="P1270" s="30">
        <v>8.651898734177212</v>
      </c>
      <c r="Q1270" s="30">
        <v>10.382278481012657</v>
      </c>
    </row>
    <row r="1271">
      <c r="A1271" s="47">
        <v>1.1209628663E10</v>
      </c>
      <c r="B1271" s="48">
        <v>46149.712847222225</v>
      </c>
      <c r="C1271" s="30">
        <v>3.826635556E9</v>
      </c>
      <c r="D1271" s="47" t="s">
        <v>1509</v>
      </c>
      <c r="E1271" s="30">
        <v>948.0</v>
      </c>
      <c r="F1271" s="30">
        <v>260.0</v>
      </c>
      <c r="G1271" s="30">
        <v>0.0</v>
      </c>
      <c r="H1271" s="30">
        <v>0.0</v>
      </c>
      <c r="I1271" s="30">
        <v>189.6</v>
      </c>
      <c r="J1271" s="30">
        <v>0.0</v>
      </c>
      <c r="K1271" s="30">
        <v>0.0</v>
      </c>
      <c r="L1271" s="30">
        <v>0.0</v>
      </c>
      <c r="M1271" s="30">
        <v>0.0</v>
      </c>
      <c r="N1271" s="30">
        <v>158.0</v>
      </c>
      <c r="O1271" s="30">
        <v>340.4</v>
      </c>
      <c r="P1271" s="30">
        <v>35.90717299578059</v>
      </c>
      <c r="Q1271" s="30">
        <v>43.088607594936704</v>
      </c>
    </row>
    <row r="1272">
      <c r="A1272" s="47">
        <v>1.120785837E10</v>
      </c>
      <c r="B1272" s="48">
        <v>46149.07869212963</v>
      </c>
      <c r="C1272" s="30">
        <v>3.824814937E9</v>
      </c>
      <c r="D1272" s="47" t="s">
        <v>1509</v>
      </c>
      <c r="E1272" s="30">
        <v>2990.0</v>
      </c>
      <c r="F1272" s="30">
        <v>2122.0</v>
      </c>
      <c r="G1272" s="30">
        <v>0.0</v>
      </c>
      <c r="H1272" s="30">
        <v>0.0</v>
      </c>
      <c r="I1272" s="30">
        <v>213.015</v>
      </c>
      <c r="J1272" s="30">
        <v>0.0</v>
      </c>
      <c r="K1272" s="30">
        <v>0.0</v>
      </c>
      <c r="L1272" s="30">
        <v>0.0</v>
      </c>
      <c r="M1272" s="30">
        <v>0.0</v>
      </c>
      <c r="N1272" s="30">
        <v>498.33333333333314</v>
      </c>
      <c r="O1272" s="30">
        <v>156.65166666666687</v>
      </c>
      <c r="P1272" s="30">
        <v>5.239186176142704</v>
      </c>
      <c r="Q1272" s="30">
        <v>6.287023411371245</v>
      </c>
    </row>
    <row r="1273">
      <c r="A1273" s="47">
        <v>1.1211154524E10</v>
      </c>
      <c r="B1273" s="48">
        <v>46149.98872685185</v>
      </c>
      <c r="C1273" s="30">
        <v>3.82795388E9</v>
      </c>
      <c r="D1273" s="47" t="s">
        <v>1509</v>
      </c>
      <c r="E1273" s="30">
        <v>817.0</v>
      </c>
      <c r="F1273" s="30">
        <v>580.0</v>
      </c>
      <c r="G1273" s="30">
        <v>0.0</v>
      </c>
      <c r="H1273" s="30">
        <v>0.0</v>
      </c>
      <c r="I1273" s="30">
        <v>110.295</v>
      </c>
      <c r="J1273" s="30">
        <v>0.0</v>
      </c>
      <c r="K1273" s="30">
        <v>0.0</v>
      </c>
      <c r="L1273" s="30">
        <v>0.0</v>
      </c>
      <c r="M1273" s="30">
        <v>0.0</v>
      </c>
      <c r="N1273" s="30">
        <v>136.16666666666663</v>
      </c>
      <c r="O1273" s="30">
        <v>-9.46166666666663</v>
      </c>
      <c r="P1273" s="30">
        <v>-1.158098735210114</v>
      </c>
      <c r="Q1273" s="30">
        <v>-1.3897184822521365</v>
      </c>
    </row>
    <row r="1274">
      <c r="A1274" s="47">
        <v>1.1211715196E10</v>
      </c>
      <c r="B1274" s="48">
        <v>46150.07850694445</v>
      </c>
      <c r="C1274" s="30">
        <v>3.828512109E9</v>
      </c>
      <c r="D1274" s="47" t="s">
        <v>1509</v>
      </c>
      <c r="E1274" s="30">
        <v>1400.0</v>
      </c>
      <c r="F1274" s="30">
        <v>1160.0</v>
      </c>
      <c r="G1274" s="30">
        <v>0.0</v>
      </c>
      <c r="H1274" s="30">
        <v>0.0</v>
      </c>
      <c r="I1274" s="30">
        <v>89.6</v>
      </c>
      <c r="J1274" s="30">
        <v>0.0</v>
      </c>
      <c r="K1274" s="30">
        <v>0.0</v>
      </c>
      <c r="L1274" s="30">
        <v>0.0</v>
      </c>
      <c r="M1274" s="30">
        <v>0.0</v>
      </c>
      <c r="N1274" s="30">
        <v>233.33333333333326</v>
      </c>
      <c r="O1274" s="30">
        <v>-82.93333333333325</v>
      </c>
      <c r="P1274" s="30">
        <v>-5.923809523809518</v>
      </c>
      <c r="Q1274" s="30">
        <v>-7.108571428571421</v>
      </c>
    </row>
    <row r="1275">
      <c r="A1275" s="47">
        <v>1.1206173543E10</v>
      </c>
      <c r="B1275" s="48">
        <v>46148.808969907404</v>
      </c>
      <c r="C1275" s="30">
        <v>3.823259354E9</v>
      </c>
      <c r="D1275" s="47" t="s">
        <v>1509</v>
      </c>
      <c r="E1275" s="30">
        <v>489.0</v>
      </c>
      <c r="F1275" s="30">
        <v>130.0</v>
      </c>
      <c r="G1275" s="30">
        <v>0.0</v>
      </c>
      <c r="H1275" s="30">
        <v>0.0</v>
      </c>
      <c r="I1275" s="30">
        <v>97.8</v>
      </c>
      <c r="J1275" s="30">
        <v>0.0</v>
      </c>
      <c r="K1275" s="30">
        <v>0.0</v>
      </c>
      <c r="L1275" s="30">
        <v>0.0</v>
      </c>
      <c r="M1275" s="30">
        <v>0.0</v>
      </c>
      <c r="N1275" s="30">
        <v>81.5</v>
      </c>
      <c r="O1275" s="30">
        <v>179.7</v>
      </c>
      <c r="P1275" s="30">
        <v>36.74846625766871</v>
      </c>
      <c r="Q1275" s="30">
        <v>44.09815950920245</v>
      </c>
    </row>
    <row r="1276">
      <c r="A1276" s="47">
        <v>1.1206177675E10</v>
      </c>
      <c r="B1276" s="48">
        <v>46148.8096875</v>
      </c>
      <c r="C1276" s="30">
        <v>3.8232603E9</v>
      </c>
      <c r="D1276" s="47" t="s">
        <v>1509</v>
      </c>
      <c r="E1276" s="30">
        <v>472.0</v>
      </c>
      <c r="F1276" s="30">
        <v>130.0</v>
      </c>
      <c r="G1276" s="30">
        <v>0.0</v>
      </c>
      <c r="H1276" s="30">
        <v>0.0</v>
      </c>
      <c r="I1276" s="30">
        <v>94.4</v>
      </c>
      <c r="J1276" s="30">
        <v>0.0</v>
      </c>
      <c r="K1276" s="30">
        <v>0.0</v>
      </c>
      <c r="L1276" s="30">
        <v>0.0</v>
      </c>
      <c r="M1276" s="30">
        <v>0.0</v>
      </c>
      <c r="N1276" s="30">
        <v>78.66666666666663</v>
      </c>
      <c r="O1276" s="30">
        <v>168.93333333333337</v>
      </c>
      <c r="P1276" s="30">
        <v>35.79096045197741</v>
      </c>
      <c r="Q1276" s="30">
        <v>42.949152542372886</v>
      </c>
    </row>
    <row r="1277">
      <c r="A1277" s="47">
        <v>1.1207845416E10</v>
      </c>
      <c r="B1277" s="48">
        <v>46149.076574074075</v>
      </c>
      <c r="C1277" s="30">
        <v>3.824798576E9</v>
      </c>
      <c r="D1277" s="47" t="s">
        <v>1509</v>
      </c>
      <c r="E1277" s="30">
        <v>4430.0</v>
      </c>
      <c r="F1277" s="30">
        <v>3556.0</v>
      </c>
      <c r="G1277" s="30">
        <v>0.0</v>
      </c>
      <c r="H1277" s="30">
        <v>0.0</v>
      </c>
      <c r="I1277" s="30">
        <v>730.95</v>
      </c>
      <c r="J1277" s="30">
        <v>0.0</v>
      </c>
      <c r="K1277" s="30">
        <v>0.0</v>
      </c>
      <c r="L1277" s="30">
        <v>0.0</v>
      </c>
      <c r="M1277" s="30">
        <v>0.0</v>
      </c>
      <c r="N1277" s="30">
        <v>738.333333333333</v>
      </c>
      <c r="O1277" s="30">
        <v>-595.2833333333331</v>
      </c>
      <c r="P1277" s="30">
        <v>-13.437547027840477</v>
      </c>
      <c r="Q1277" s="30">
        <v>-16.12505643340857</v>
      </c>
    </row>
    <row r="1278">
      <c r="A1278" s="47">
        <v>1.1205444505E10</v>
      </c>
      <c r="B1278" s="48">
        <v>46148.68087962963</v>
      </c>
      <c r="C1278" s="30">
        <v>3.822555615E9</v>
      </c>
      <c r="D1278" s="47" t="s">
        <v>1509</v>
      </c>
      <c r="E1278" s="30">
        <v>1554.0</v>
      </c>
      <c r="F1278" s="30">
        <v>1210.0</v>
      </c>
      <c r="G1278" s="30">
        <v>0.0</v>
      </c>
      <c r="H1278" s="30">
        <v>0.0</v>
      </c>
      <c r="I1278" s="30">
        <v>99.456</v>
      </c>
      <c r="J1278" s="30">
        <v>0.0</v>
      </c>
      <c r="K1278" s="30">
        <v>0.0</v>
      </c>
      <c r="L1278" s="30">
        <v>0.0</v>
      </c>
      <c r="M1278" s="30">
        <v>0.0</v>
      </c>
      <c r="N1278" s="30">
        <v>259.0</v>
      </c>
      <c r="O1278" s="30">
        <v>-14.456000000000017</v>
      </c>
      <c r="P1278" s="30">
        <v>-0.9302445302445314</v>
      </c>
      <c r="Q1278" s="30">
        <v>-1.1162934362934376</v>
      </c>
    </row>
    <row r="1279">
      <c r="A1279" s="47">
        <v>1.1202112452E10</v>
      </c>
      <c r="B1279" s="48">
        <v>46147.78909722222</v>
      </c>
      <c r="C1279" s="30">
        <v>3.819328674E9</v>
      </c>
      <c r="D1279" s="47" t="s">
        <v>1509</v>
      </c>
      <c r="E1279" s="30">
        <v>1554.0</v>
      </c>
      <c r="F1279" s="30">
        <v>1210.0</v>
      </c>
      <c r="G1279" s="30">
        <v>0.0</v>
      </c>
      <c r="H1279" s="30">
        <v>0.0</v>
      </c>
      <c r="I1279" s="30">
        <v>99.456</v>
      </c>
      <c r="J1279" s="30">
        <v>0.0</v>
      </c>
      <c r="K1279" s="30">
        <v>0.0</v>
      </c>
      <c r="L1279" s="30">
        <v>0.0</v>
      </c>
      <c r="M1279" s="30">
        <v>0.0</v>
      </c>
      <c r="N1279" s="30">
        <v>259.0</v>
      </c>
      <c r="O1279" s="30">
        <v>-14.456000000000017</v>
      </c>
      <c r="P1279" s="30">
        <v>-0.9302445302445314</v>
      </c>
      <c r="Q1279" s="30">
        <v>-1.1162934362934376</v>
      </c>
    </row>
    <row r="1280">
      <c r="A1280" s="47">
        <v>1.1214858551E10</v>
      </c>
      <c r="B1280" s="48">
        <v>46150.99061342593</v>
      </c>
      <c r="C1280" s="30">
        <v>3.831985052E9</v>
      </c>
      <c r="D1280" s="47" t="s">
        <v>1511</v>
      </c>
      <c r="E1280" s="30">
        <v>489.0</v>
      </c>
      <c r="F1280" s="30">
        <v>130.0</v>
      </c>
      <c r="G1280" s="30">
        <v>0.0</v>
      </c>
      <c r="H1280" s="30">
        <v>0.0</v>
      </c>
      <c r="I1280" s="30">
        <v>97.8</v>
      </c>
      <c r="J1280" s="30">
        <v>0.0</v>
      </c>
      <c r="K1280" s="30">
        <v>0.0</v>
      </c>
      <c r="L1280" s="30">
        <v>0.0</v>
      </c>
      <c r="M1280" s="30">
        <v>0.0</v>
      </c>
      <c r="N1280" s="30">
        <v>81.5</v>
      </c>
      <c r="O1280" s="30">
        <v>179.7</v>
      </c>
      <c r="P1280" s="30">
        <v>36.74846625766871</v>
      </c>
      <c r="Q1280" s="30">
        <v>44.09815950920245</v>
      </c>
    </row>
    <row r="1281">
      <c r="A1281" s="47">
        <v>1.1213617949E10</v>
      </c>
      <c r="B1281" s="48">
        <v>46150.75896990741</v>
      </c>
      <c r="C1281" s="30">
        <v>3.83042225E9</v>
      </c>
      <c r="D1281" s="47" t="s">
        <v>1511</v>
      </c>
      <c r="E1281" s="30">
        <v>1482.0</v>
      </c>
      <c r="F1281" s="30">
        <v>1053.0</v>
      </c>
      <c r="G1281" s="30">
        <v>0.0</v>
      </c>
      <c r="H1281" s="30">
        <v>0.0</v>
      </c>
      <c r="I1281" s="30">
        <v>0.0</v>
      </c>
      <c r="J1281" s="30">
        <v>0.0</v>
      </c>
      <c r="K1281" s="30">
        <v>0.0</v>
      </c>
      <c r="L1281" s="30">
        <v>0.0</v>
      </c>
      <c r="M1281" s="30">
        <v>0.0</v>
      </c>
      <c r="N1281" s="30">
        <v>247.0</v>
      </c>
      <c r="O1281" s="30">
        <v>182.0</v>
      </c>
      <c r="P1281" s="30">
        <v>12.280701754385964</v>
      </c>
      <c r="Q1281" s="30">
        <v>14.736842105263156</v>
      </c>
    </row>
    <row r="1282">
      <c r="A1282" s="47">
        <v>1.1214858551E10</v>
      </c>
      <c r="B1282" s="48">
        <v>46150.99061342593</v>
      </c>
      <c r="C1282" s="30">
        <v>3.831430545E9</v>
      </c>
      <c r="D1282" s="47" t="s">
        <v>1511</v>
      </c>
      <c r="E1282" s="30">
        <v>978.0</v>
      </c>
      <c r="F1282" s="30">
        <v>260.0</v>
      </c>
      <c r="G1282" s="30">
        <v>0.0</v>
      </c>
      <c r="H1282" s="30">
        <v>0.0</v>
      </c>
      <c r="I1282" s="30">
        <v>195.6</v>
      </c>
      <c r="J1282" s="30">
        <v>0.0</v>
      </c>
      <c r="K1282" s="30">
        <v>0.0</v>
      </c>
      <c r="L1282" s="30">
        <v>0.0</v>
      </c>
      <c r="M1282" s="30">
        <v>0.0</v>
      </c>
      <c r="N1282" s="30">
        <v>163.0</v>
      </c>
      <c r="O1282" s="30">
        <v>359.4</v>
      </c>
      <c r="P1282" s="30">
        <v>36.74846625766871</v>
      </c>
      <c r="Q1282" s="30">
        <v>44.09815950920245</v>
      </c>
    </row>
    <row r="1283">
      <c r="A1283" s="47">
        <v>1.1203143524E10</v>
      </c>
      <c r="B1283" s="48">
        <v>46147.96571759259</v>
      </c>
      <c r="C1283" s="30">
        <v>3.820201927E9</v>
      </c>
      <c r="D1283" s="47" t="s">
        <v>1509</v>
      </c>
      <c r="E1283" s="30">
        <v>900.0</v>
      </c>
      <c r="F1283" s="30">
        <v>715.0</v>
      </c>
      <c r="G1283" s="30">
        <v>0.0</v>
      </c>
      <c r="H1283" s="30">
        <v>0.0</v>
      </c>
      <c r="I1283" s="30">
        <v>148.5</v>
      </c>
      <c r="J1283" s="30">
        <v>0.0</v>
      </c>
      <c r="K1283" s="30">
        <v>0.0</v>
      </c>
      <c r="L1283" s="30">
        <v>0.0</v>
      </c>
      <c r="M1283" s="30">
        <v>0.0</v>
      </c>
      <c r="N1283" s="30">
        <v>150.0</v>
      </c>
      <c r="O1283" s="30">
        <v>-113.5</v>
      </c>
      <c r="P1283" s="30">
        <v>-12.611111111111112</v>
      </c>
      <c r="Q1283" s="30">
        <v>-15.133333333333333</v>
      </c>
    </row>
    <row r="1284">
      <c r="A1284" s="47">
        <v>1.120443837E10</v>
      </c>
      <c r="B1284" s="48">
        <v>46148.3709375</v>
      </c>
      <c r="C1284" s="30">
        <v>3.821520787E9</v>
      </c>
      <c r="D1284" s="47" t="s">
        <v>1509</v>
      </c>
      <c r="E1284" s="30">
        <v>1870.0</v>
      </c>
      <c r="F1284" s="30">
        <v>1260.0</v>
      </c>
      <c r="G1284" s="30">
        <v>0.0</v>
      </c>
      <c r="H1284" s="30">
        <v>0.0</v>
      </c>
      <c r="I1284" s="30">
        <v>308.55</v>
      </c>
      <c r="J1284" s="30">
        <v>0.0</v>
      </c>
      <c r="K1284" s="30">
        <v>0.0</v>
      </c>
      <c r="L1284" s="30">
        <v>0.0</v>
      </c>
      <c r="M1284" s="30">
        <v>0.0</v>
      </c>
      <c r="N1284" s="30">
        <v>311.6666666666665</v>
      </c>
      <c r="O1284" s="30">
        <v>-10.216666666666526</v>
      </c>
      <c r="P1284" s="30">
        <v>-0.5463458110516859</v>
      </c>
      <c r="Q1284" s="30">
        <v>-0.655614973262023</v>
      </c>
    </row>
    <row r="1285">
      <c r="A1285" s="47">
        <v>1.1201351029E10</v>
      </c>
      <c r="B1285" s="48">
        <v>46147.645787037036</v>
      </c>
      <c r="C1285" s="30">
        <v>3.818635738E9</v>
      </c>
      <c r="D1285" s="47" t="s">
        <v>1509</v>
      </c>
      <c r="E1285" s="30">
        <v>319.0</v>
      </c>
      <c r="F1285" s="30">
        <v>180.0</v>
      </c>
      <c r="G1285" s="30">
        <v>0.0</v>
      </c>
      <c r="H1285" s="30">
        <v>0.0</v>
      </c>
      <c r="I1285" s="30">
        <v>52.635</v>
      </c>
      <c r="J1285" s="30">
        <v>0.0</v>
      </c>
      <c r="K1285" s="30">
        <v>0.0</v>
      </c>
      <c r="L1285" s="30">
        <v>0.0</v>
      </c>
      <c r="M1285" s="30">
        <v>0.0</v>
      </c>
      <c r="N1285" s="30">
        <v>53.16666666666663</v>
      </c>
      <c r="O1285" s="30">
        <v>33.19833333333338</v>
      </c>
      <c r="P1285" s="30">
        <v>10.407001044932095</v>
      </c>
      <c r="Q1285" s="30">
        <v>12.48840125391851</v>
      </c>
    </row>
    <row r="1286">
      <c r="A1286" s="47">
        <v>1.1207942124E10</v>
      </c>
      <c r="B1286" s="48">
        <v>46149.091886574075</v>
      </c>
      <c r="C1286" s="30">
        <v>3.824903167E9</v>
      </c>
      <c r="D1286" s="47" t="s">
        <v>1509</v>
      </c>
      <c r="E1286" s="30">
        <v>1400.0</v>
      </c>
      <c r="F1286" s="30">
        <v>1160.0</v>
      </c>
      <c r="G1286" s="30">
        <v>0.0</v>
      </c>
      <c r="H1286" s="30">
        <v>0.0</v>
      </c>
      <c r="I1286" s="30">
        <v>89.6</v>
      </c>
      <c r="J1286" s="30">
        <v>0.0</v>
      </c>
      <c r="K1286" s="30">
        <v>0.0</v>
      </c>
      <c r="L1286" s="30">
        <v>0.0</v>
      </c>
      <c r="M1286" s="30">
        <v>0.0</v>
      </c>
      <c r="N1286" s="30">
        <v>233.33333333333326</v>
      </c>
      <c r="O1286" s="30">
        <v>-82.93333333333325</v>
      </c>
      <c r="P1286" s="30">
        <v>-5.923809523809518</v>
      </c>
      <c r="Q1286" s="30">
        <v>-7.108571428571421</v>
      </c>
    </row>
    <row r="1287">
      <c r="A1287" s="47">
        <v>1.1191572708E10</v>
      </c>
      <c r="B1287" s="48">
        <v>46144.45909722222</v>
      </c>
      <c r="C1287" s="30">
        <v>3.810157035E9</v>
      </c>
      <c r="D1287" s="47" t="s">
        <v>1509</v>
      </c>
      <c r="E1287" s="30">
        <v>1049.0</v>
      </c>
      <c r="F1287" s="30">
        <v>713.0</v>
      </c>
      <c r="G1287" s="30">
        <v>0.0</v>
      </c>
      <c r="H1287" s="30">
        <v>0.0</v>
      </c>
      <c r="I1287" s="30">
        <v>173.085</v>
      </c>
      <c r="J1287" s="30">
        <v>0.0</v>
      </c>
      <c r="K1287" s="30">
        <v>0.0</v>
      </c>
      <c r="L1287" s="30">
        <v>0.0</v>
      </c>
      <c r="M1287" s="30">
        <v>0.0</v>
      </c>
      <c r="N1287" s="30">
        <v>174.83333333333326</v>
      </c>
      <c r="O1287" s="30">
        <v>-11.918333333333266</v>
      </c>
      <c r="P1287" s="30">
        <v>-1.1361614235780044</v>
      </c>
      <c r="Q1287" s="30">
        <v>-1.3633937082936052</v>
      </c>
    </row>
    <row r="1288">
      <c r="A1288" s="47">
        <v>1.1203671017E10</v>
      </c>
      <c r="B1288" s="48">
        <v>46148.050416666665</v>
      </c>
      <c r="C1288" s="30">
        <v>3.820698265E9</v>
      </c>
      <c r="D1288" s="47" t="s">
        <v>1509</v>
      </c>
      <c r="E1288" s="30">
        <v>1400.0</v>
      </c>
      <c r="F1288" s="30">
        <v>1160.0</v>
      </c>
      <c r="G1288" s="30">
        <v>0.0</v>
      </c>
      <c r="H1288" s="30">
        <v>0.0</v>
      </c>
      <c r="I1288" s="30">
        <v>89.6</v>
      </c>
      <c r="J1288" s="30">
        <v>0.0</v>
      </c>
      <c r="K1288" s="30">
        <v>0.0</v>
      </c>
      <c r="L1288" s="30">
        <v>0.0</v>
      </c>
      <c r="M1288" s="30">
        <v>0.0</v>
      </c>
      <c r="N1288" s="30">
        <v>233.33333333333326</v>
      </c>
      <c r="O1288" s="30">
        <v>-82.93333333333325</v>
      </c>
      <c r="P1288" s="30">
        <v>-5.923809523809518</v>
      </c>
      <c r="Q1288" s="30">
        <v>-7.108571428571421</v>
      </c>
    </row>
    <row r="1289">
      <c r="A1289" s="47">
        <v>1.1203539285E10</v>
      </c>
      <c r="B1289" s="48">
        <v>46148.02877314815</v>
      </c>
      <c r="C1289" s="30">
        <v>3.820566214E9</v>
      </c>
      <c r="D1289" s="47" t="s">
        <v>1509</v>
      </c>
      <c r="E1289" s="30">
        <v>1554.0</v>
      </c>
      <c r="F1289" s="30">
        <v>1210.0</v>
      </c>
      <c r="G1289" s="30">
        <v>0.0</v>
      </c>
      <c r="H1289" s="30">
        <v>0.0</v>
      </c>
      <c r="I1289" s="30">
        <v>99.456</v>
      </c>
      <c r="J1289" s="30">
        <v>0.0</v>
      </c>
      <c r="K1289" s="30">
        <v>0.0</v>
      </c>
      <c r="L1289" s="30">
        <v>0.0</v>
      </c>
      <c r="M1289" s="30">
        <v>0.0</v>
      </c>
      <c r="N1289" s="30">
        <v>259.0</v>
      </c>
      <c r="O1289" s="30">
        <v>-14.456000000000017</v>
      </c>
      <c r="P1289" s="30">
        <v>-0.9302445302445314</v>
      </c>
      <c r="Q1289" s="30">
        <v>-1.1162934362934376</v>
      </c>
    </row>
    <row r="1290">
      <c r="A1290" s="47">
        <v>1.1208689969E10</v>
      </c>
      <c r="B1290" s="48">
        <v>46149.52814814815</v>
      </c>
      <c r="C1290" s="30">
        <v>3.825739527E9</v>
      </c>
      <c r="D1290" s="47" t="s">
        <v>1509</v>
      </c>
      <c r="E1290" s="30">
        <v>1430.0</v>
      </c>
      <c r="F1290" s="30">
        <v>1165.0</v>
      </c>
      <c r="G1290" s="30">
        <v>0.0</v>
      </c>
      <c r="H1290" s="30">
        <v>0.0</v>
      </c>
      <c r="I1290" s="30">
        <v>91.52</v>
      </c>
      <c r="J1290" s="30">
        <v>0.0</v>
      </c>
      <c r="K1290" s="30">
        <v>0.0</v>
      </c>
      <c r="L1290" s="30">
        <v>0.0</v>
      </c>
      <c r="M1290" s="30">
        <v>0.0</v>
      </c>
      <c r="N1290" s="30">
        <v>238.33333333333326</v>
      </c>
      <c r="O1290" s="30">
        <v>-64.85333333333324</v>
      </c>
      <c r="P1290" s="30">
        <v>-4.5351981351981285</v>
      </c>
      <c r="Q1290" s="30">
        <v>-5.442237762237754</v>
      </c>
    </row>
    <row r="1291">
      <c r="A1291" s="47">
        <v>1.1201838031E10</v>
      </c>
      <c r="B1291" s="48">
        <v>46147.73678240741</v>
      </c>
      <c r="C1291" s="30">
        <v>3.819075706E9</v>
      </c>
      <c r="D1291" s="47" t="s">
        <v>1509</v>
      </c>
      <c r="E1291" s="30">
        <v>938.0</v>
      </c>
      <c r="F1291" s="30">
        <v>710.0</v>
      </c>
      <c r="G1291" s="30">
        <v>0.0</v>
      </c>
      <c r="H1291" s="30">
        <v>0.0</v>
      </c>
      <c r="I1291" s="30">
        <v>117.25</v>
      </c>
      <c r="J1291" s="30">
        <v>0.0</v>
      </c>
      <c r="K1291" s="30">
        <v>0.0</v>
      </c>
      <c r="L1291" s="30">
        <v>0.0</v>
      </c>
      <c r="M1291" s="30">
        <v>0.0</v>
      </c>
      <c r="N1291" s="30">
        <v>156.33333333333326</v>
      </c>
      <c r="O1291" s="30">
        <v>-45.58333333333326</v>
      </c>
      <c r="P1291" s="30">
        <v>-4.859630419331904</v>
      </c>
      <c r="Q1291" s="30">
        <v>-5.831556503198284</v>
      </c>
    </row>
    <row r="1292">
      <c r="A1292" s="47">
        <v>1.1202500207E10</v>
      </c>
      <c r="B1292" s="48">
        <v>46147.85738425926</v>
      </c>
      <c r="C1292" s="30">
        <v>3.819671789E9</v>
      </c>
      <c r="D1292" s="47" t="s">
        <v>1509</v>
      </c>
      <c r="E1292" s="30">
        <v>1482.0</v>
      </c>
      <c r="F1292" s="30">
        <v>1053.0</v>
      </c>
      <c r="G1292" s="30">
        <v>0.0</v>
      </c>
      <c r="H1292" s="30">
        <v>0.0</v>
      </c>
      <c r="I1292" s="30">
        <v>185.25</v>
      </c>
      <c r="J1292" s="30">
        <v>0.0</v>
      </c>
      <c r="K1292" s="30">
        <v>0.0</v>
      </c>
      <c r="L1292" s="30">
        <v>0.0</v>
      </c>
      <c r="M1292" s="30">
        <v>0.0</v>
      </c>
      <c r="N1292" s="30">
        <v>247.0</v>
      </c>
      <c r="O1292" s="30">
        <v>-3.25</v>
      </c>
      <c r="P1292" s="30">
        <v>-0.21929824561403508</v>
      </c>
      <c r="Q1292" s="30">
        <v>-0.2631578947368421</v>
      </c>
    </row>
    <row r="1293">
      <c r="A1293" s="47">
        <v>1.120129176E10</v>
      </c>
      <c r="B1293" s="48">
        <v>46147.63482638889</v>
      </c>
      <c r="C1293" s="30">
        <v>3.818584747E9</v>
      </c>
      <c r="D1293" s="47" t="s">
        <v>1509</v>
      </c>
      <c r="E1293" s="30">
        <v>1462.0</v>
      </c>
      <c r="F1293" s="30">
        <v>1165.0</v>
      </c>
      <c r="G1293" s="30">
        <v>0.0</v>
      </c>
      <c r="H1293" s="30">
        <v>0.0</v>
      </c>
      <c r="I1293" s="30">
        <v>127.194</v>
      </c>
      <c r="J1293" s="30">
        <v>0.0</v>
      </c>
      <c r="K1293" s="30">
        <v>0.0</v>
      </c>
      <c r="L1293" s="30">
        <v>0.0</v>
      </c>
      <c r="M1293" s="30">
        <v>0.0</v>
      </c>
      <c r="N1293" s="30">
        <v>243.66666666666652</v>
      </c>
      <c r="O1293" s="30">
        <v>-73.86066666666653</v>
      </c>
      <c r="P1293" s="30">
        <v>-5.052029183766521</v>
      </c>
      <c r="Q1293" s="30">
        <v>-6.062435020519824</v>
      </c>
    </row>
    <row r="1294">
      <c r="A1294" s="47">
        <v>1.1205397727E10</v>
      </c>
      <c r="B1294" s="48">
        <v>46148.67319444445</v>
      </c>
      <c r="C1294" s="30">
        <v>3.82251131E9</v>
      </c>
      <c r="D1294" s="47" t="s">
        <v>1509</v>
      </c>
      <c r="E1294" s="30">
        <v>1400.0</v>
      </c>
      <c r="F1294" s="30">
        <v>1160.0</v>
      </c>
      <c r="G1294" s="30">
        <v>0.0</v>
      </c>
      <c r="H1294" s="30">
        <v>0.0</v>
      </c>
      <c r="I1294" s="30">
        <v>89.6</v>
      </c>
      <c r="J1294" s="30">
        <v>0.0</v>
      </c>
      <c r="K1294" s="30">
        <v>0.0</v>
      </c>
      <c r="L1294" s="30">
        <v>0.0</v>
      </c>
      <c r="M1294" s="30">
        <v>0.0</v>
      </c>
      <c r="N1294" s="30">
        <v>233.33333333333326</v>
      </c>
      <c r="O1294" s="30">
        <v>-82.93333333333325</v>
      </c>
      <c r="P1294" s="30">
        <v>-5.923809523809518</v>
      </c>
      <c r="Q1294" s="30">
        <v>-7.108571428571421</v>
      </c>
    </row>
    <row r="1295">
      <c r="A1295" s="47">
        <v>1.1197013436E10</v>
      </c>
      <c r="B1295" s="48">
        <v>46146.097650462965</v>
      </c>
      <c r="C1295" s="30">
        <v>3.814546301E9</v>
      </c>
      <c r="D1295" s="47" t="s">
        <v>1509</v>
      </c>
      <c r="E1295" s="30">
        <v>2399.0</v>
      </c>
      <c r="F1295" s="30">
        <v>1560.0</v>
      </c>
      <c r="G1295" s="30">
        <v>0.0</v>
      </c>
      <c r="H1295" s="30">
        <v>0.0</v>
      </c>
      <c r="I1295" s="30">
        <v>323.865</v>
      </c>
      <c r="J1295" s="30">
        <v>0.0</v>
      </c>
      <c r="K1295" s="30">
        <v>0.0</v>
      </c>
      <c r="L1295" s="30">
        <v>0.0</v>
      </c>
      <c r="M1295" s="30">
        <v>0.0</v>
      </c>
      <c r="N1295" s="30">
        <v>399.83333333333326</v>
      </c>
      <c r="O1295" s="30">
        <v>115.30166666666673</v>
      </c>
      <c r="P1295" s="30">
        <v>4.806238710573853</v>
      </c>
      <c r="Q1295" s="30">
        <v>5.767486452688623</v>
      </c>
    </row>
    <row r="1296">
      <c r="A1296" s="47">
        <v>1.1208884419E10</v>
      </c>
      <c r="B1296" s="48">
        <v>46149.57775462963</v>
      </c>
      <c r="C1296" s="30">
        <v>3.825951022E9</v>
      </c>
      <c r="D1296" s="47" t="s">
        <v>1509</v>
      </c>
      <c r="E1296" s="30">
        <v>4430.0</v>
      </c>
      <c r="F1296" s="30">
        <v>3556.0</v>
      </c>
      <c r="G1296" s="30">
        <v>0.0</v>
      </c>
      <c r="H1296" s="30">
        <v>0.0</v>
      </c>
      <c r="I1296" s="30">
        <v>730.95</v>
      </c>
      <c r="J1296" s="30">
        <v>0.0</v>
      </c>
      <c r="K1296" s="30">
        <v>0.0</v>
      </c>
      <c r="L1296" s="30">
        <v>0.0</v>
      </c>
      <c r="M1296" s="30">
        <v>0.0</v>
      </c>
      <c r="N1296" s="30">
        <v>738.333333333333</v>
      </c>
      <c r="O1296" s="30">
        <v>-595.2833333333331</v>
      </c>
      <c r="P1296" s="30">
        <v>-13.437547027840477</v>
      </c>
      <c r="Q1296" s="30">
        <v>-16.12505643340857</v>
      </c>
    </row>
    <row r="1297">
      <c r="A1297" s="47">
        <v>1.1203405058E10</v>
      </c>
      <c r="B1297" s="48">
        <v>46148.007256944446</v>
      </c>
      <c r="C1297" s="30">
        <v>3.820435343E9</v>
      </c>
      <c r="D1297" s="47" t="s">
        <v>1509</v>
      </c>
      <c r="E1297" s="30">
        <v>1340.0</v>
      </c>
      <c r="F1297" s="30">
        <v>999.6</v>
      </c>
      <c r="G1297" s="30">
        <v>0.0</v>
      </c>
      <c r="H1297" s="30">
        <v>0.0</v>
      </c>
      <c r="I1297" s="30">
        <v>167.5</v>
      </c>
      <c r="J1297" s="30">
        <v>0.0</v>
      </c>
      <c r="K1297" s="30">
        <v>0.0</v>
      </c>
      <c r="L1297" s="30">
        <v>0.0</v>
      </c>
      <c r="M1297" s="30">
        <v>0.0</v>
      </c>
      <c r="N1297" s="30">
        <v>223.33333333333326</v>
      </c>
      <c r="O1297" s="30">
        <v>-50.43333333333328</v>
      </c>
      <c r="P1297" s="30">
        <v>-3.763681592039797</v>
      </c>
      <c r="Q1297" s="30">
        <v>-4.516417910447757</v>
      </c>
    </row>
    <row r="1298">
      <c r="A1298" s="47">
        <v>1.1208819943E10</v>
      </c>
      <c r="B1298" s="48">
        <v>46149.562256944446</v>
      </c>
      <c r="C1298" s="30">
        <v>3.825881395E9</v>
      </c>
      <c r="D1298" s="47" t="s">
        <v>1509</v>
      </c>
      <c r="E1298" s="30">
        <v>897.45</v>
      </c>
      <c r="F1298" s="30">
        <v>300.0</v>
      </c>
      <c r="G1298" s="30">
        <v>0.0</v>
      </c>
      <c r="H1298" s="30">
        <v>0.0</v>
      </c>
      <c r="I1298" s="30">
        <v>179.49</v>
      </c>
      <c r="J1298" s="30">
        <v>0.0</v>
      </c>
      <c r="K1298" s="30">
        <v>0.0</v>
      </c>
      <c r="L1298" s="30">
        <v>0.0</v>
      </c>
      <c r="M1298" s="30">
        <v>0.0</v>
      </c>
      <c r="N1298" s="30">
        <v>149.57499999999993</v>
      </c>
      <c r="O1298" s="30">
        <v>268.3850000000001</v>
      </c>
      <c r="P1298" s="30">
        <v>29.905287202629683</v>
      </c>
      <c r="Q1298" s="30">
        <v>35.88634464315562</v>
      </c>
    </row>
    <row r="1299">
      <c r="A1299" s="47">
        <v>1.1202056689E10</v>
      </c>
      <c r="B1299" s="48">
        <v>46147.77856481481</v>
      </c>
      <c r="C1299" s="30">
        <v>3.819274515E9</v>
      </c>
      <c r="D1299" s="47" t="s">
        <v>1509</v>
      </c>
      <c r="E1299" s="30">
        <v>1400.0</v>
      </c>
      <c r="F1299" s="30">
        <v>1160.0</v>
      </c>
      <c r="G1299" s="30">
        <v>0.0</v>
      </c>
      <c r="H1299" s="30">
        <v>0.0</v>
      </c>
      <c r="I1299" s="30">
        <v>89.6</v>
      </c>
      <c r="J1299" s="30">
        <v>0.0</v>
      </c>
      <c r="K1299" s="30">
        <v>0.0</v>
      </c>
      <c r="L1299" s="30">
        <v>0.0</v>
      </c>
      <c r="M1299" s="30">
        <v>0.0</v>
      </c>
      <c r="N1299" s="30">
        <v>233.33333333333326</v>
      </c>
      <c r="O1299" s="30">
        <v>-82.93333333333325</v>
      </c>
      <c r="P1299" s="30">
        <v>-5.923809523809518</v>
      </c>
      <c r="Q1299" s="30">
        <v>-7.108571428571421</v>
      </c>
    </row>
    <row r="1300">
      <c r="A1300" s="47">
        <v>1.1204430151E10</v>
      </c>
      <c r="B1300" s="48">
        <v>46148.339166666665</v>
      </c>
      <c r="C1300" s="30">
        <v>3.821512559E9</v>
      </c>
      <c r="D1300" s="47" t="s">
        <v>1509</v>
      </c>
      <c r="E1300" s="30">
        <v>1554.0</v>
      </c>
      <c r="F1300" s="30">
        <v>1210.0</v>
      </c>
      <c r="G1300" s="30">
        <v>0.0</v>
      </c>
      <c r="H1300" s="30">
        <v>0.0</v>
      </c>
      <c r="I1300" s="30">
        <v>99.456</v>
      </c>
      <c r="J1300" s="30">
        <v>0.0</v>
      </c>
      <c r="K1300" s="30">
        <v>0.0</v>
      </c>
      <c r="L1300" s="30">
        <v>0.0</v>
      </c>
      <c r="M1300" s="30">
        <v>0.0</v>
      </c>
      <c r="N1300" s="30">
        <v>259.0</v>
      </c>
      <c r="O1300" s="30">
        <v>-14.456000000000017</v>
      </c>
      <c r="P1300" s="30">
        <v>-0.9302445302445314</v>
      </c>
      <c r="Q1300" s="30">
        <v>-1.1162934362934376</v>
      </c>
    </row>
    <row r="1301">
      <c r="A1301" s="47">
        <v>1.1203619513E10</v>
      </c>
      <c r="B1301" s="48">
        <v>46148.04188657407</v>
      </c>
      <c r="C1301" s="30">
        <v>3.820648014E9</v>
      </c>
      <c r="D1301" s="47" t="s">
        <v>1509</v>
      </c>
      <c r="E1301" s="30">
        <v>1400.0</v>
      </c>
      <c r="F1301" s="30">
        <v>1160.0</v>
      </c>
      <c r="G1301" s="30">
        <v>0.0</v>
      </c>
      <c r="H1301" s="30">
        <v>0.0</v>
      </c>
      <c r="I1301" s="30">
        <v>89.6</v>
      </c>
      <c r="J1301" s="30">
        <v>0.0</v>
      </c>
      <c r="K1301" s="30">
        <v>0.0</v>
      </c>
      <c r="L1301" s="30">
        <v>0.0</v>
      </c>
      <c r="M1301" s="30">
        <v>0.0</v>
      </c>
      <c r="N1301" s="30">
        <v>233.33333333333326</v>
      </c>
      <c r="O1301" s="30">
        <v>-82.93333333333325</v>
      </c>
      <c r="P1301" s="30">
        <v>-5.923809523809518</v>
      </c>
      <c r="Q1301" s="30">
        <v>-7.108571428571421</v>
      </c>
    </row>
    <row r="1302">
      <c r="A1302" s="47">
        <v>1.1208971741E10</v>
      </c>
      <c r="B1302" s="48">
        <v>46149.59652777778</v>
      </c>
      <c r="C1302" s="30">
        <v>3.826039586E9</v>
      </c>
      <c r="D1302" s="47" t="s">
        <v>1509</v>
      </c>
      <c r="E1302" s="30">
        <v>4430.0</v>
      </c>
      <c r="F1302" s="30">
        <v>3556.0</v>
      </c>
      <c r="G1302" s="30">
        <v>0.0</v>
      </c>
      <c r="H1302" s="30">
        <v>0.0</v>
      </c>
      <c r="I1302" s="30">
        <v>730.95</v>
      </c>
      <c r="J1302" s="30">
        <v>0.0</v>
      </c>
      <c r="K1302" s="30">
        <v>0.0</v>
      </c>
      <c r="L1302" s="30">
        <v>0.0</v>
      </c>
      <c r="M1302" s="30">
        <v>0.0</v>
      </c>
      <c r="N1302" s="30">
        <v>738.333333333333</v>
      </c>
      <c r="O1302" s="30">
        <v>-595.2833333333331</v>
      </c>
      <c r="P1302" s="30">
        <v>-13.437547027840477</v>
      </c>
      <c r="Q1302" s="30">
        <v>-16.12505643340857</v>
      </c>
    </row>
    <row r="1303">
      <c r="A1303" s="47">
        <v>1.1203461275E10</v>
      </c>
      <c r="B1303" s="48">
        <v>46148.01619212963</v>
      </c>
      <c r="C1303" s="30">
        <v>3.82048905E9</v>
      </c>
      <c r="D1303" s="47" t="s">
        <v>1509</v>
      </c>
      <c r="E1303" s="30">
        <v>1400.0</v>
      </c>
      <c r="F1303" s="30">
        <v>1160.0</v>
      </c>
      <c r="G1303" s="30">
        <v>0.0</v>
      </c>
      <c r="H1303" s="30">
        <v>0.0</v>
      </c>
      <c r="I1303" s="30">
        <v>89.6</v>
      </c>
      <c r="J1303" s="30">
        <v>0.0</v>
      </c>
      <c r="K1303" s="30">
        <v>0.0</v>
      </c>
      <c r="L1303" s="30">
        <v>0.0</v>
      </c>
      <c r="M1303" s="30">
        <v>0.0</v>
      </c>
      <c r="N1303" s="30">
        <v>233.33333333333326</v>
      </c>
      <c r="O1303" s="30">
        <v>-82.93333333333325</v>
      </c>
      <c r="P1303" s="30">
        <v>-5.923809523809518</v>
      </c>
      <c r="Q1303" s="30">
        <v>-7.108571428571421</v>
      </c>
    </row>
    <row r="1304">
      <c r="A1304" s="47">
        <v>1.1208558251E10</v>
      </c>
      <c r="B1304" s="48">
        <v>46149.47891203704</v>
      </c>
      <c r="C1304" s="30">
        <v>3.82559216E9</v>
      </c>
      <c r="D1304" s="47" t="s">
        <v>1509</v>
      </c>
      <c r="E1304" s="30">
        <v>4430.0</v>
      </c>
      <c r="F1304" s="30">
        <v>3556.0</v>
      </c>
      <c r="G1304" s="30">
        <v>0.0</v>
      </c>
      <c r="H1304" s="30">
        <v>0.0</v>
      </c>
      <c r="I1304" s="30">
        <v>730.95</v>
      </c>
      <c r="J1304" s="30">
        <v>0.0</v>
      </c>
      <c r="K1304" s="30">
        <v>0.0</v>
      </c>
      <c r="L1304" s="30">
        <v>0.0</v>
      </c>
      <c r="M1304" s="30">
        <v>0.0</v>
      </c>
      <c r="N1304" s="30">
        <v>738.333333333333</v>
      </c>
      <c r="O1304" s="30">
        <v>-595.2833333333331</v>
      </c>
      <c r="P1304" s="30">
        <v>-13.437547027840477</v>
      </c>
      <c r="Q1304" s="30">
        <v>-16.12505643340857</v>
      </c>
    </row>
    <row r="1305">
      <c r="A1305" s="47">
        <v>1.1202838312E10</v>
      </c>
      <c r="B1305" s="48">
        <v>46147.915613425925</v>
      </c>
      <c r="C1305" s="30">
        <v>3.819953089E9</v>
      </c>
      <c r="D1305" s="47" t="s">
        <v>1509</v>
      </c>
      <c r="E1305" s="30">
        <v>2800.0</v>
      </c>
      <c r="F1305" s="30">
        <v>2320.0</v>
      </c>
      <c r="G1305" s="30">
        <v>0.0</v>
      </c>
      <c r="H1305" s="30">
        <v>0.0</v>
      </c>
      <c r="I1305" s="30">
        <v>179.2</v>
      </c>
      <c r="J1305" s="30">
        <v>0.0</v>
      </c>
      <c r="K1305" s="30">
        <v>0.0</v>
      </c>
      <c r="L1305" s="30">
        <v>0.0</v>
      </c>
      <c r="M1305" s="30">
        <v>0.0</v>
      </c>
      <c r="N1305" s="30">
        <v>466.6666666666665</v>
      </c>
      <c r="O1305" s="30">
        <v>-165.8666666666665</v>
      </c>
      <c r="P1305" s="30">
        <v>-5.923809523809518</v>
      </c>
      <c r="Q1305" s="30">
        <v>-7.108571428571421</v>
      </c>
    </row>
    <row r="1306">
      <c r="A1306" s="47">
        <v>1.1208256085E10</v>
      </c>
      <c r="B1306" s="48">
        <v>46149.157430555555</v>
      </c>
      <c r="C1306" s="30">
        <v>3.82524613E9</v>
      </c>
      <c r="D1306" s="47" t="s">
        <v>1509</v>
      </c>
      <c r="E1306" s="30">
        <v>1400.0</v>
      </c>
      <c r="F1306" s="30">
        <v>1160.0</v>
      </c>
      <c r="G1306" s="30">
        <v>0.0</v>
      </c>
      <c r="H1306" s="30">
        <v>0.0</v>
      </c>
      <c r="I1306" s="30">
        <v>89.6</v>
      </c>
      <c r="J1306" s="30">
        <v>0.0</v>
      </c>
      <c r="K1306" s="30">
        <v>0.0</v>
      </c>
      <c r="L1306" s="30">
        <v>0.0</v>
      </c>
      <c r="M1306" s="30">
        <v>0.0</v>
      </c>
      <c r="N1306" s="30">
        <v>233.33333333333326</v>
      </c>
      <c r="O1306" s="30">
        <v>-82.93333333333325</v>
      </c>
      <c r="P1306" s="30">
        <v>-5.923809523809518</v>
      </c>
      <c r="Q1306" s="30">
        <v>-7.108571428571421</v>
      </c>
    </row>
    <row r="1307">
      <c r="A1307" s="47">
        <v>1.1201919575E10</v>
      </c>
      <c r="B1307" s="48">
        <v>46147.752430555556</v>
      </c>
      <c r="C1307" s="30">
        <v>3.819150703E9</v>
      </c>
      <c r="D1307" s="47" t="s">
        <v>1509</v>
      </c>
      <c r="E1307" s="30">
        <v>1554.0</v>
      </c>
      <c r="F1307" s="30">
        <v>1210.0</v>
      </c>
      <c r="G1307" s="30">
        <v>0.0</v>
      </c>
      <c r="H1307" s="30">
        <v>0.0</v>
      </c>
      <c r="I1307" s="30">
        <v>99.456</v>
      </c>
      <c r="J1307" s="30">
        <v>0.0</v>
      </c>
      <c r="K1307" s="30">
        <v>0.0</v>
      </c>
      <c r="L1307" s="30">
        <v>0.0</v>
      </c>
      <c r="M1307" s="30">
        <v>0.0</v>
      </c>
      <c r="N1307" s="30">
        <v>259.0</v>
      </c>
      <c r="O1307" s="30">
        <v>-14.456000000000017</v>
      </c>
      <c r="P1307" s="30">
        <v>-0.9302445302445314</v>
      </c>
      <c r="Q1307" s="30">
        <v>-1.1162934362934376</v>
      </c>
    </row>
    <row r="1308">
      <c r="A1308" s="47">
        <v>1.1203599656E10</v>
      </c>
      <c r="B1308" s="48">
        <v>46148.03849537037</v>
      </c>
      <c r="C1308" s="30">
        <v>3.820625385E9</v>
      </c>
      <c r="D1308" s="47" t="s">
        <v>1509</v>
      </c>
      <c r="E1308" s="30">
        <v>900.0</v>
      </c>
      <c r="F1308" s="30">
        <v>715.0</v>
      </c>
      <c r="G1308" s="30">
        <v>0.0</v>
      </c>
      <c r="H1308" s="30">
        <v>0.0</v>
      </c>
      <c r="I1308" s="30">
        <v>148.5</v>
      </c>
      <c r="J1308" s="30">
        <v>0.0</v>
      </c>
      <c r="K1308" s="30">
        <v>0.0</v>
      </c>
      <c r="L1308" s="30">
        <v>0.0</v>
      </c>
      <c r="M1308" s="30">
        <v>0.0</v>
      </c>
      <c r="N1308" s="30">
        <v>150.0</v>
      </c>
      <c r="O1308" s="30">
        <v>-113.5</v>
      </c>
      <c r="P1308" s="30">
        <v>-12.611111111111112</v>
      </c>
      <c r="Q1308" s="30">
        <v>-15.133333333333333</v>
      </c>
    </row>
    <row r="1309">
      <c r="A1309" s="47">
        <v>1.1189401024E10</v>
      </c>
      <c r="B1309" s="48">
        <v>46143.69756944444</v>
      </c>
      <c r="C1309" s="30">
        <v>3.808466149E9</v>
      </c>
      <c r="D1309" s="47" t="s">
        <v>1509</v>
      </c>
      <c r="E1309" s="30">
        <v>447.0</v>
      </c>
      <c r="F1309" s="30">
        <v>0.0</v>
      </c>
      <c r="G1309" s="30">
        <v>0.0</v>
      </c>
      <c r="H1309" s="30">
        <v>0.0</v>
      </c>
      <c r="I1309" s="30">
        <v>89.4</v>
      </c>
      <c r="J1309" s="30">
        <v>0.0</v>
      </c>
      <c r="K1309" s="30">
        <v>0.0</v>
      </c>
      <c r="L1309" s="30">
        <v>0.0</v>
      </c>
      <c r="M1309" s="30">
        <v>0.0</v>
      </c>
      <c r="N1309" s="30">
        <v>74.5</v>
      </c>
      <c r="O1309" s="30">
        <v>283.1</v>
      </c>
      <c r="P1309" s="30">
        <v>63.33333333333334</v>
      </c>
      <c r="Q1309" s="30">
        <v>76.0</v>
      </c>
    </row>
    <row r="1310">
      <c r="A1310" s="47">
        <v>1.1193520959E10</v>
      </c>
      <c r="B1310" s="48">
        <v>46144.97777777778</v>
      </c>
      <c r="C1310" s="30">
        <v>3.81167741E9</v>
      </c>
      <c r="D1310" s="47" t="s">
        <v>1509</v>
      </c>
      <c r="E1310" s="30">
        <v>727.0</v>
      </c>
      <c r="F1310" s="30">
        <v>480.0</v>
      </c>
      <c r="G1310" s="30">
        <v>0.0</v>
      </c>
      <c r="H1310" s="30">
        <v>0.0</v>
      </c>
      <c r="I1310" s="30">
        <v>98.145</v>
      </c>
      <c r="J1310" s="30">
        <v>0.0</v>
      </c>
      <c r="K1310" s="30">
        <v>0.0</v>
      </c>
      <c r="L1310" s="30">
        <v>0.0</v>
      </c>
      <c r="M1310" s="30">
        <v>0.0</v>
      </c>
      <c r="N1310" s="30">
        <v>121.16666666666663</v>
      </c>
      <c r="O1310" s="30">
        <v>27.68833333333339</v>
      </c>
      <c r="P1310" s="30">
        <v>3.8085740486015665</v>
      </c>
      <c r="Q1310" s="30">
        <v>4.57028885832188</v>
      </c>
    </row>
    <row r="1311">
      <c r="A1311" s="47">
        <v>1.1206423519E10</v>
      </c>
      <c r="B1311" s="48">
        <v>46148.85246527778</v>
      </c>
      <c r="C1311" s="30">
        <v>3.82349017E9</v>
      </c>
      <c r="D1311" s="47" t="s">
        <v>1509</v>
      </c>
      <c r="E1311" s="30">
        <v>1325.0</v>
      </c>
      <c r="F1311" s="30">
        <v>1160.0</v>
      </c>
      <c r="G1311" s="30">
        <v>0.0</v>
      </c>
      <c r="H1311" s="30">
        <v>0.0</v>
      </c>
      <c r="I1311" s="30">
        <v>84.8</v>
      </c>
      <c r="J1311" s="30">
        <v>0.0</v>
      </c>
      <c r="K1311" s="30">
        <v>0.0</v>
      </c>
      <c r="L1311" s="30">
        <v>0.0</v>
      </c>
      <c r="M1311" s="30">
        <v>0.0</v>
      </c>
      <c r="N1311" s="30">
        <v>220.83333333333326</v>
      </c>
      <c r="O1311" s="30">
        <v>-140.63333333333327</v>
      </c>
      <c r="P1311" s="30">
        <v>-10.613836477987416</v>
      </c>
      <c r="Q1311" s="30">
        <v>-12.736603773584898</v>
      </c>
    </row>
    <row r="1312">
      <c r="A1312" s="47">
        <v>1.1206347121E10</v>
      </c>
      <c r="B1312" s="48">
        <v>46148.83920138889</v>
      </c>
      <c r="C1312" s="30">
        <v>3.823422065E9</v>
      </c>
      <c r="D1312" s="47" t="s">
        <v>1509</v>
      </c>
      <c r="E1312" s="30">
        <v>2635.0</v>
      </c>
      <c r="F1312" s="30">
        <v>2000.0</v>
      </c>
      <c r="G1312" s="30">
        <v>0.0</v>
      </c>
      <c r="H1312" s="30">
        <v>0.0</v>
      </c>
      <c r="I1312" s="30">
        <v>168.64</v>
      </c>
      <c r="J1312" s="30">
        <v>0.0</v>
      </c>
      <c r="K1312" s="30">
        <v>0.0</v>
      </c>
      <c r="L1312" s="30">
        <v>0.0</v>
      </c>
      <c r="M1312" s="30">
        <v>0.0</v>
      </c>
      <c r="N1312" s="30">
        <v>439.1666666666665</v>
      </c>
      <c r="O1312" s="30">
        <v>27.1933333333335</v>
      </c>
      <c r="P1312" s="30">
        <v>1.0320050600885577</v>
      </c>
      <c r="Q1312" s="30">
        <v>1.2384060721062693</v>
      </c>
    </row>
    <row r="1313">
      <c r="A1313" s="47">
        <v>1.1207689436E10</v>
      </c>
      <c r="B1313" s="48">
        <v>46149.052407407406</v>
      </c>
      <c r="C1313" s="30">
        <v>3.824634303E9</v>
      </c>
      <c r="D1313" s="47" t="s">
        <v>1509</v>
      </c>
      <c r="E1313" s="30">
        <v>1425.0</v>
      </c>
      <c r="F1313" s="30">
        <v>999.6</v>
      </c>
      <c r="G1313" s="30">
        <v>0.0</v>
      </c>
      <c r="H1313" s="30">
        <v>0.0</v>
      </c>
      <c r="I1313" s="30">
        <v>178.125</v>
      </c>
      <c r="J1313" s="30">
        <v>0.0</v>
      </c>
      <c r="K1313" s="30">
        <v>0.0</v>
      </c>
      <c r="L1313" s="30">
        <v>0.0</v>
      </c>
      <c r="M1313" s="30">
        <v>0.0</v>
      </c>
      <c r="N1313" s="30">
        <v>237.5</v>
      </c>
      <c r="O1313" s="30">
        <v>9.774999999999977</v>
      </c>
      <c r="P1313" s="30">
        <v>0.6859649122807001</v>
      </c>
      <c r="Q1313" s="30">
        <v>0.8231578947368402</v>
      </c>
    </row>
    <row r="1314">
      <c r="A1314" s="47">
        <v>1.1204932252E10</v>
      </c>
      <c r="B1314" s="48">
        <v>46148.59032407407</v>
      </c>
      <c r="C1314" s="30">
        <v>3.822087327E9</v>
      </c>
      <c r="D1314" s="47" t="s">
        <v>1509</v>
      </c>
      <c r="E1314" s="30">
        <v>1430.0</v>
      </c>
      <c r="F1314" s="30">
        <v>1165.0</v>
      </c>
      <c r="G1314" s="30">
        <v>0.0</v>
      </c>
      <c r="H1314" s="30">
        <v>0.0</v>
      </c>
      <c r="I1314" s="30">
        <v>91.52</v>
      </c>
      <c r="J1314" s="30">
        <v>0.0</v>
      </c>
      <c r="K1314" s="30">
        <v>0.0</v>
      </c>
      <c r="L1314" s="30">
        <v>0.0</v>
      </c>
      <c r="M1314" s="30">
        <v>0.0</v>
      </c>
      <c r="N1314" s="30">
        <v>238.33333333333326</v>
      </c>
      <c r="O1314" s="30">
        <v>-64.85333333333324</v>
      </c>
      <c r="P1314" s="30">
        <v>-4.5351981351981285</v>
      </c>
      <c r="Q1314" s="30">
        <v>-5.442237762237754</v>
      </c>
    </row>
    <row r="1315">
      <c r="A1315" s="47">
        <v>1.1203184202E10</v>
      </c>
      <c r="B1315" s="48">
        <v>46147.972708333335</v>
      </c>
      <c r="C1315" s="30">
        <v>3.820236834E9</v>
      </c>
      <c r="D1315" s="47" t="s">
        <v>1509</v>
      </c>
      <c r="E1315" s="30">
        <v>2635.0</v>
      </c>
      <c r="F1315" s="30">
        <v>2000.0</v>
      </c>
      <c r="G1315" s="30">
        <v>0.0</v>
      </c>
      <c r="H1315" s="30">
        <v>0.0</v>
      </c>
      <c r="I1315" s="30">
        <v>168.64</v>
      </c>
      <c r="J1315" s="30">
        <v>0.0</v>
      </c>
      <c r="K1315" s="30">
        <v>0.0</v>
      </c>
      <c r="L1315" s="30">
        <v>0.0</v>
      </c>
      <c r="M1315" s="30">
        <v>0.0</v>
      </c>
      <c r="N1315" s="30">
        <v>439.1666666666665</v>
      </c>
      <c r="O1315" s="30">
        <v>27.1933333333335</v>
      </c>
      <c r="P1315" s="30">
        <v>1.0320050600885577</v>
      </c>
      <c r="Q1315" s="30">
        <v>1.2384060721062693</v>
      </c>
    </row>
    <row r="1316">
      <c r="A1316" s="47">
        <v>1.1205537199E10</v>
      </c>
      <c r="B1316" s="48">
        <v>46148.696122685185</v>
      </c>
      <c r="C1316" s="30">
        <v>3.822647902E9</v>
      </c>
      <c r="D1316" s="47" t="s">
        <v>1509</v>
      </c>
      <c r="E1316" s="30">
        <v>1430.0</v>
      </c>
      <c r="F1316" s="30">
        <v>1165.0</v>
      </c>
      <c r="G1316" s="30">
        <v>0.0</v>
      </c>
      <c r="H1316" s="30">
        <v>0.0</v>
      </c>
      <c r="I1316" s="30">
        <v>91.52</v>
      </c>
      <c r="J1316" s="30">
        <v>0.0</v>
      </c>
      <c r="K1316" s="30">
        <v>0.0</v>
      </c>
      <c r="L1316" s="30">
        <v>0.0</v>
      </c>
      <c r="M1316" s="30">
        <v>0.0</v>
      </c>
      <c r="N1316" s="30">
        <v>238.33333333333326</v>
      </c>
      <c r="O1316" s="30">
        <v>-64.85333333333324</v>
      </c>
      <c r="P1316" s="30">
        <v>-4.5351981351981285</v>
      </c>
      <c r="Q1316" s="30">
        <v>-5.442237762237754</v>
      </c>
    </row>
    <row r="1317">
      <c r="A1317" s="47">
        <v>1.1204667591E10</v>
      </c>
      <c r="B1317" s="48">
        <v>46148.52690972222</v>
      </c>
      <c r="C1317" s="30">
        <v>3.82179385E9</v>
      </c>
      <c r="D1317" s="47" t="s">
        <v>1509</v>
      </c>
      <c r="E1317" s="30">
        <v>1554.0</v>
      </c>
      <c r="F1317" s="30">
        <v>1210.0</v>
      </c>
      <c r="G1317" s="30">
        <v>0.0</v>
      </c>
      <c r="H1317" s="30">
        <v>0.0</v>
      </c>
      <c r="I1317" s="30">
        <v>99.456</v>
      </c>
      <c r="J1317" s="30">
        <v>0.0</v>
      </c>
      <c r="K1317" s="30">
        <v>0.0</v>
      </c>
      <c r="L1317" s="30">
        <v>0.0</v>
      </c>
      <c r="M1317" s="30">
        <v>0.0</v>
      </c>
      <c r="N1317" s="30">
        <v>259.0</v>
      </c>
      <c r="O1317" s="30">
        <v>-14.456000000000017</v>
      </c>
      <c r="P1317" s="30">
        <v>-0.9302445302445314</v>
      </c>
      <c r="Q1317" s="30">
        <v>-1.1162934362934376</v>
      </c>
    </row>
    <row r="1318">
      <c r="A1318" s="47">
        <v>1.1205121283E10</v>
      </c>
      <c r="B1318" s="48">
        <v>46148.626226851855</v>
      </c>
      <c r="C1318" s="30">
        <v>3.822263289E9</v>
      </c>
      <c r="D1318" s="47" t="s">
        <v>1509</v>
      </c>
      <c r="E1318" s="30">
        <v>1400.0</v>
      </c>
      <c r="F1318" s="30">
        <v>1160.0</v>
      </c>
      <c r="G1318" s="30">
        <v>0.0</v>
      </c>
      <c r="H1318" s="30">
        <v>0.0</v>
      </c>
      <c r="I1318" s="30">
        <v>89.6</v>
      </c>
      <c r="J1318" s="30">
        <v>0.0</v>
      </c>
      <c r="K1318" s="30">
        <v>0.0</v>
      </c>
      <c r="L1318" s="30">
        <v>0.0</v>
      </c>
      <c r="M1318" s="30">
        <v>0.0</v>
      </c>
      <c r="N1318" s="30">
        <v>233.33333333333326</v>
      </c>
      <c r="O1318" s="30">
        <v>-82.93333333333325</v>
      </c>
      <c r="P1318" s="30">
        <v>-5.923809523809518</v>
      </c>
      <c r="Q1318" s="30">
        <v>-7.108571428571421</v>
      </c>
    </row>
    <row r="1319">
      <c r="A1319" s="47">
        <v>1.1204841269E10</v>
      </c>
      <c r="B1319" s="48">
        <v>46148.570810185185</v>
      </c>
      <c r="C1319" s="30">
        <v>3.821987794E9</v>
      </c>
      <c r="D1319" s="47" t="s">
        <v>1509</v>
      </c>
      <c r="E1319" s="30">
        <v>1430.0</v>
      </c>
      <c r="F1319" s="30">
        <v>1165.0</v>
      </c>
      <c r="G1319" s="30">
        <v>0.0</v>
      </c>
      <c r="H1319" s="30">
        <v>0.0</v>
      </c>
      <c r="I1319" s="30">
        <v>91.52</v>
      </c>
      <c r="J1319" s="30">
        <v>0.0</v>
      </c>
      <c r="K1319" s="30">
        <v>0.0</v>
      </c>
      <c r="L1319" s="30">
        <v>0.0</v>
      </c>
      <c r="M1319" s="30">
        <v>0.0</v>
      </c>
      <c r="N1319" s="30">
        <v>238.33333333333326</v>
      </c>
      <c r="O1319" s="30">
        <v>-64.85333333333324</v>
      </c>
      <c r="P1319" s="30">
        <v>-4.5351981351981285</v>
      </c>
      <c r="Q1319" s="30">
        <v>-5.442237762237754</v>
      </c>
    </row>
    <row r="1320">
      <c r="A1320" s="47">
        <v>1.1208161283E10</v>
      </c>
      <c r="B1320" s="48">
        <v>46149.132893518516</v>
      </c>
      <c r="C1320" s="30">
        <v>3.82514607E9</v>
      </c>
      <c r="D1320" s="47" t="s">
        <v>1509</v>
      </c>
      <c r="E1320" s="30">
        <v>1400.0</v>
      </c>
      <c r="F1320" s="30">
        <v>1160.0</v>
      </c>
      <c r="G1320" s="30">
        <v>0.0</v>
      </c>
      <c r="H1320" s="30">
        <v>0.0</v>
      </c>
      <c r="I1320" s="30">
        <v>89.6</v>
      </c>
      <c r="J1320" s="30">
        <v>0.0</v>
      </c>
      <c r="K1320" s="30">
        <v>0.0</v>
      </c>
      <c r="L1320" s="30">
        <v>0.0</v>
      </c>
      <c r="M1320" s="30">
        <v>0.0</v>
      </c>
      <c r="N1320" s="30">
        <v>233.33333333333326</v>
      </c>
      <c r="O1320" s="30">
        <v>-82.93333333333325</v>
      </c>
      <c r="P1320" s="30">
        <v>-5.923809523809518</v>
      </c>
      <c r="Q1320" s="30">
        <v>-7.108571428571421</v>
      </c>
    </row>
    <row r="1321">
      <c r="A1321" s="47">
        <v>1.1204643753E10</v>
      </c>
      <c r="B1321" s="48">
        <v>46148.519907407404</v>
      </c>
      <c r="C1321" s="30">
        <v>3.821769306E9</v>
      </c>
      <c r="D1321" s="47" t="s">
        <v>1509</v>
      </c>
      <c r="E1321" s="30">
        <v>2635.0</v>
      </c>
      <c r="F1321" s="30">
        <v>2000.0</v>
      </c>
      <c r="G1321" s="30">
        <v>0.0</v>
      </c>
      <c r="H1321" s="30">
        <v>0.0</v>
      </c>
      <c r="I1321" s="30">
        <v>168.64</v>
      </c>
      <c r="J1321" s="30">
        <v>0.0</v>
      </c>
      <c r="K1321" s="30">
        <v>0.0</v>
      </c>
      <c r="L1321" s="30">
        <v>0.0</v>
      </c>
      <c r="M1321" s="30">
        <v>0.0</v>
      </c>
      <c r="N1321" s="30">
        <v>439.1666666666665</v>
      </c>
      <c r="O1321" s="30">
        <v>27.1933333333335</v>
      </c>
      <c r="P1321" s="30">
        <v>1.0320050600885577</v>
      </c>
      <c r="Q1321" s="30">
        <v>1.2384060721062693</v>
      </c>
    </row>
    <row r="1322">
      <c r="A1322" s="47">
        <v>1.1202058075E10</v>
      </c>
      <c r="B1322" s="48">
        <v>46147.77883101852</v>
      </c>
      <c r="C1322" s="30">
        <v>3.819273344E9</v>
      </c>
      <c r="D1322" s="47" t="s">
        <v>1509</v>
      </c>
      <c r="E1322" s="30">
        <v>1400.0</v>
      </c>
      <c r="F1322" s="30">
        <v>1160.0</v>
      </c>
      <c r="G1322" s="30">
        <v>0.0</v>
      </c>
      <c r="H1322" s="30">
        <v>0.0</v>
      </c>
      <c r="I1322" s="30">
        <v>89.6</v>
      </c>
      <c r="J1322" s="30">
        <v>0.0</v>
      </c>
      <c r="K1322" s="30">
        <v>0.0</v>
      </c>
      <c r="L1322" s="30">
        <v>0.0</v>
      </c>
      <c r="M1322" s="30">
        <v>0.0</v>
      </c>
      <c r="N1322" s="30">
        <v>233.33333333333326</v>
      </c>
      <c r="O1322" s="30">
        <v>-82.93333333333325</v>
      </c>
      <c r="P1322" s="30">
        <v>-5.923809523809518</v>
      </c>
      <c r="Q1322" s="30">
        <v>-7.108571428571421</v>
      </c>
    </row>
    <row r="1323">
      <c r="A1323" s="47">
        <v>1.1205803456E10</v>
      </c>
      <c r="B1323" s="48">
        <v>46148.74283564815</v>
      </c>
      <c r="C1323" s="30">
        <v>3.822903322E9</v>
      </c>
      <c r="D1323" s="47" t="s">
        <v>1509</v>
      </c>
      <c r="E1323" s="30">
        <v>1400.0</v>
      </c>
      <c r="F1323" s="30">
        <v>1160.0</v>
      </c>
      <c r="G1323" s="30">
        <v>0.0</v>
      </c>
      <c r="H1323" s="30">
        <v>0.0</v>
      </c>
      <c r="I1323" s="30">
        <v>89.6</v>
      </c>
      <c r="J1323" s="30">
        <v>0.0</v>
      </c>
      <c r="K1323" s="30">
        <v>0.0</v>
      </c>
      <c r="L1323" s="30">
        <v>0.0</v>
      </c>
      <c r="M1323" s="30">
        <v>0.0</v>
      </c>
      <c r="N1323" s="30">
        <v>233.33333333333326</v>
      </c>
      <c r="O1323" s="30">
        <v>-82.93333333333325</v>
      </c>
      <c r="P1323" s="30">
        <v>-5.923809523809518</v>
      </c>
      <c r="Q1323" s="30">
        <v>-7.108571428571421</v>
      </c>
    </row>
    <row r="1324">
      <c r="A1324" s="47">
        <v>1.120226388E10</v>
      </c>
      <c r="B1324" s="48">
        <v>46147.81732638889</v>
      </c>
      <c r="C1324" s="30">
        <v>3.819463024E9</v>
      </c>
      <c r="D1324" s="47" t="s">
        <v>1509</v>
      </c>
      <c r="E1324" s="30">
        <v>1482.0</v>
      </c>
      <c r="F1324" s="30">
        <v>1053.0</v>
      </c>
      <c r="G1324" s="30">
        <v>0.0</v>
      </c>
      <c r="H1324" s="30">
        <v>0.0</v>
      </c>
      <c r="I1324" s="30">
        <v>185.25</v>
      </c>
      <c r="J1324" s="30">
        <v>0.0</v>
      </c>
      <c r="K1324" s="30">
        <v>0.0</v>
      </c>
      <c r="L1324" s="30">
        <v>0.0</v>
      </c>
      <c r="M1324" s="30">
        <v>0.0</v>
      </c>
      <c r="N1324" s="30">
        <v>247.0</v>
      </c>
      <c r="O1324" s="30">
        <v>-3.25</v>
      </c>
      <c r="P1324" s="30">
        <v>-0.21929824561403508</v>
      </c>
      <c r="Q1324" s="30">
        <v>-0.2631578947368421</v>
      </c>
    </row>
    <row r="1325">
      <c r="A1325" s="47">
        <v>1.1204355154E10</v>
      </c>
      <c r="B1325" s="48">
        <v>46148.21597222222</v>
      </c>
      <c r="C1325" s="30">
        <v>3.821429558E9</v>
      </c>
      <c r="D1325" s="47" t="s">
        <v>1509</v>
      </c>
      <c r="E1325" s="30">
        <v>1554.0</v>
      </c>
      <c r="F1325" s="30">
        <v>1210.0</v>
      </c>
      <c r="G1325" s="30">
        <v>0.0</v>
      </c>
      <c r="H1325" s="30">
        <v>0.0</v>
      </c>
      <c r="I1325" s="30">
        <v>99.456</v>
      </c>
      <c r="J1325" s="30">
        <v>0.0</v>
      </c>
      <c r="K1325" s="30">
        <v>0.0</v>
      </c>
      <c r="L1325" s="30">
        <v>0.0</v>
      </c>
      <c r="M1325" s="30">
        <v>0.0</v>
      </c>
      <c r="N1325" s="30">
        <v>259.0</v>
      </c>
      <c r="O1325" s="30">
        <v>-14.456000000000017</v>
      </c>
      <c r="P1325" s="30">
        <v>-0.9302445302445314</v>
      </c>
      <c r="Q1325" s="30">
        <v>-1.1162934362934376</v>
      </c>
    </row>
    <row r="1326">
      <c r="A1326" s="47">
        <v>1.1201828416E10</v>
      </c>
      <c r="B1326" s="48">
        <v>46147.73489583333</v>
      </c>
      <c r="C1326" s="30">
        <v>3.819066129E9</v>
      </c>
      <c r="D1326" s="47" t="s">
        <v>1509</v>
      </c>
      <c r="E1326" s="30">
        <v>1400.0</v>
      </c>
      <c r="F1326" s="30">
        <v>1160.0</v>
      </c>
      <c r="G1326" s="30">
        <v>0.0</v>
      </c>
      <c r="H1326" s="30">
        <v>0.0</v>
      </c>
      <c r="I1326" s="30">
        <v>89.6</v>
      </c>
      <c r="J1326" s="30">
        <v>0.0</v>
      </c>
      <c r="K1326" s="30">
        <v>0.0</v>
      </c>
      <c r="L1326" s="30">
        <v>0.0</v>
      </c>
      <c r="M1326" s="30">
        <v>0.0</v>
      </c>
      <c r="N1326" s="30">
        <v>233.33333333333326</v>
      </c>
      <c r="O1326" s="30">
        <v>-82.93333333333325</v>
      </c>
      <c r="P1326" s="30">
        <v>-5.923809523809518</v>
      </c>
      <c r="Q1326" s="30">
        <v>-7.108571428571421</v>
      </c>
    </row>
    <row r="1327">
      <c r="A1327" s="47">
        <v>1.1202781836E10</v>
      </c>
      <c r="B1327" s="48">
        <v>46147.906122685185</v>
      </c>
      <c r="C1327" s="30">
        <v>3.819905992E9</v>
      </c>
      <c r="D1327" s="47" t="s">
        <v>1509</v>
      </c>
      <c r="E1327" s="30">
        <v>1482.0</v>
      </c>
      <c r="F1327" s="30">
        <v>1053.0</v>
      </c>
      <c r="G1327" s="30">
        <v>0.0</v>
      </c>
      <c r="H1327" s="30">
        <v>0.0</v>
      </c>
      <c r="I1327" s="30">
        <v>185.25</v>
      </c>
      <c r="J1327" s="30">
        <v>0.0</v>
      </c>
      <c r="K1327" s="30">
        <v>0.0</v>
      </c>
      <c r="L1327" s="30">
        <v>0.0</v>
      </c>
      <c r="M1327" s="30">
        <v>0.0</v>
      </c>
      <c r="N1327" s="30">
        <v>247.0</v>
      </c>
      <c r="O1327" s="30">
        <v>-3.25</v>
      </c>
      <c r="P1327" s="30">
        <v>-0.21929824561403508</v>
      </c>
      <c r="Q1327" s="30">
        <v>-0.2631578947368421</v>
      </c>
    </row>
    <row r="1328">
      <c r="A1328" s="47">
        <v>1.1202451646E10</v>
      </c>
      <c r="B1328" s="48">
        <v>46147.84886574074</v>
      </c>
      <c r="C1328" s="30">
        <v>3.819630245E9</v>
      </c>
      <c r="D1328" s="47" t="s">
        <v>1509</v>
      </c>
      <c r="E1328" s="30">
        <v>1554.0</v>
      </c>
      <c r="F1328" s="30">
        <v>1210.0</v>
      </c>
      <c r="G1328" s="30">
        <v>0.0</v>
      </c>
      <c r="H1328" s="30">
        <v>0.0</v>
      </c>
      <c r="I1328" s="30">
        <v>99.456</v>
      </c>
      <c r="J1328" s="30">
        <v>0.0</v>
      </c>
      <c r="K1328" s="30">
        <v>0.0</v>
      </c>
      <c r="L1328" s="30">
        <v>0.0</v>
      </c>
      <c r="M1328" s="30">
        <v>0.0</v>
      </c>
      <c r="N1328" s="30">
        <v>259.0</v>
      </c>
      <c r="O1328" s="30">
        <v>-14.456000000000017</v>
      </c>
      <c r="P1328" s="30">
        <v>-0.9302445302445314</v>
      </c>
      <c r="Q1328" s="30">
        <v>-1.1162934362934376</v>
      </c>
    </row>
    <row r="1329">
      <c r="A1329" s="47">
        <v>1.1209064616E10</v>
      </c>
      <c r="B1329" s="48">
        <v>46149.61400462963</v>
      </c>
      <c r="C1329" s="30">
        <v>3.826127003E9</v>
      </c>
      <c r="D1329" s="47" t="s">
        <v>1509</v>
      </c>
      <c r="E1329" s="30">
        <v>1400.0</v>
      </c>
      <c r="F1329" s="30">
        <v>1160.0</v>
      </c>
      <c r="G1329" s="30">
        <v>0.0</v>
      </c>
      <c r="H1329" s="30">
        <v>0.0</v>
      </c>
      <c r="I1329" s="30">
        <v>89.6</v>
      </c>
      <c r="J1329" s="30">
        <v>0.0</v>
      </c>
      <c r="K1329" s="30">
        <v>0.0</v>
      </c>
      <c r="L1329" s="30">
        <v>0.0</v>
      </c>
      <c r="M1329" s="30">
        <v>0.0</v>
      </c>
      <c r="N1329" s="30">
        <v>233.33333333333326</v>
      </c>
      <c r="O1329" s="30">
        <v>-82.93333333333325</v>
      </c>
      <c r="P1329" s="30">
        <v>-5.923809523809518</v>
      </c>
      <c r="Q1329" s="30">
        <v>-7.108571428571421</v>
      </c>
    </row>
    <row r="1330">
      <c r="A1330" s="47">
        <v>1.1195245656E10</v>
      </c>
      <c r="B1330" s="48">
        <v>46145.743472222224</v>
      </c>
      <c r="C1330" s="30">
        <v>3.813162506E9</v>
      </c>
      <c r="D1330" s="47" t="s">
        <v>1509</v>
      </c>
      <c r="E1330" s="30">
        <v>2299.0</v>
      </c>
      <c r="F1330" s="30">
        <v>1500.0</v>
      </c>
      <c r="G1330" s="30">
        <v>0.0</v>
      </c>
      <c r="H1330" s="30">
        <v>0.0</v>
      </c>
      <c r="I1330" s="30">
        <v>379.335</v>
      </c>
      <c r="J1330" s="30">
        <v>0.0</v>
      </c>
      <c r="K1330" s="30">
        <v>0.0</v>
      </c>
      <c r="L1330" s="30">
        <v>0.0</v>
      </c>
      <c r="M1330" s="30">
        <v>0.0</v>
      </c>
      <c r="N1330" s="30">
        <v>383.1666666666665</v>
      </c>
      <c r="O1330" s="30">
        <v>36.498333333333505</v>
      </c>
      <c r="P1330" s="30">
        <v>1.5875743076700088</v>
      </c>
      <c r="Q1330" s="30">
        <v>1.9050891692040106</v>
      </c>
    </row>
    <row r="1331">
      <c r="A1331" s="47">
        <v>1.1206970033E10</v>
      </c>
      <c r="B1331" s="48">
        <v>46148.94329861111</v>
      </c>
      <c r="C1331" s="30">
        <v>3.823949497E9</v>
      </c>
      <c r="D1331" s="47" t="s">
        <v>1509</v>
      </c>
      <c r="E1331" s="30">
        <v>474.0</v>
      </c>
      <c r="F1331" s="30">
        <v>130.0</v>
      </c>
      <c r="G1331" s="30">
        <v>0.0</v>
      </c>
      <c r="H1331" s="30">
        <v>0.0</v>
      </c>
      <c r="I1331" s="30">
        <v>94.8</v>
      </c>
      <c r="J1331" s="30">
        <v>0.0</v>
      </c>
      <c r="K1331" s="30">
        <v>0.0</v>
      </c>
      <c r="L1331" s="30">
        <v>0.0</v>
      </c>
      <c r="M1331" s="30">
        <v>0.0</v>
      </c>
      <c r="N1331" s="30">
        <v>79.0</v>
      </c>
      <c r="O1331" s="30">
        <v>170.2</v>
      </c>
      <c r="P1331" s="30">
        <v>35.90717299578059</v>
      </c>
      <c r="Q1331" s="30">
        <v>43.088607594936704</v>
      </c>
    </row>
    <row r="1332">
      <c r="A1332" s="47">
        <v>1.1204449866E10</v>
      </c>
      <c r="B1332" s="48">
        <v>46148.40180555556</v>
      </c>
      <c r="C1332" s="30">
        <v>3.821536474E9</v>
      </c>
      <c r="D1332" s="47" t="s">
        <v>1509</v>
      </c>
      <c r="E1332" s="30">
        <v>2635.0</v>
      </c>
      <c r="F1332" s="30">
        <v>2000.0</v>
      </c>
      <c r="G1332" s="30">
        <v>0.0</v>
      </c>
      <c r="H1332" s="30">
        <v>0.0</v>
      </c>
      <c r="I1332" s="30">
        <v>168.64</v>
      </c>
      <c r="J1332" s="30">
        <v>0.0</v>
      </c>
      <c r="K1332" s="30">
        <v>0.0</v>
      </c>
      <c r="L1332" s="30">
        <v>0.0</v>
      </c>
      <c r="M1332" s="30">
        <v>0.0</v>
      </c>
      <c r="N1332" s="30">
        <v>439.1666666666665</v>
      </c>
      <c r="O1332" s="30">
        <v>27.1933333333335</v>
      </c>
      <c r="P1332" s="30">
        <v>1.0320050600885577</v>
      </c>
      <c r="Q1332" s="30">
        <v>1.2384060721062693</v>
      </c>
    </row>
    <row r="1333">
      <c r="A1333" s="47">
        <v>1.1204516875E10</v>
      </c>
      <c r="B1333" s="48">
        <v>46148.46958333333</v>
      </c>
      <c r="C1333" s="30">
        <v>3.821622134E9</v>
      </c>
      <c r="D1333" s="47" t="s">
        <v>1509</v>
      </c>
      <c r="E1333" s="30">
        <v>1430.0</v>
      </c>
      <c r="F1333" s="30">
        <v>1165.0</v>
      </c>
      <c r="G1333" s="30">
        <v>0.0</v>
      </c>
      <c r="H1333" s="30">
        <v>0.0</v>
      </c>
      <c r="I1333" s="30">
        <v>91.52</v>
      </c>
      <c r="J1333" s="30">
        <v>0.0</v>
      </c>
      <c r="K1333" s="30">
        <v>0.0</v>
      </c>
      <c r="L1333" s="30">
        <v>0.0</v>
      </c>
      <c r="M1333" s="30">
        <v>0.0</v>
      </c>
      <c r="N1333" s="30">
        <v>238.33333333333326</v>
      </c>
      <c r="O1333" s="30">
        <v>-64.85333333333324</v>
      </c>
      <c r="P1333" s="30">
        <v>-4.5351981351981285</v>
      </c>
      <c r="Q1333" s="30">
        <v>-5.442237762237754</v>
      </c>
    </row>
    <row r="1334">
      <c r="A1334" s="47">
        <v>1.1206299083E10</v>
      </c>
      <c r="B1334" s="48">
        <v>46148.83085648148</v>
      </c>
      <c r="C1334" s="30">
        <v>3.823375091E9</v>
      </c>
      <c r="D1334" s="47" t="s">
        <v>1509</v>
      </c>
      <c r="E1334" s="30">
        <v>2635.0</v>
      </c>
      <c r="F1334" s="30">
        <v>2000.0</v>
      </c>
      <c r="G1334" s="30">
        <v>0.0</v>
      </c>
      <c r="H1334" s="30">
        <v>0.0</v>
      </c>
      <c r="I1334" s="30">
        <v>168.64</v>
      </c>
      <c r="J1334" s="30">
        <v>0.0</v>
      </c>
      <c r="K1334" s="30">
        <v>0.0</v>
      </c>
      <c r="L1334" s="30">
        <v>0.0</v>
      </c>
      <c r="M1334" s="30">
        <v>0.0</v>
      </c>
      <c r="N1334" s="30">
        <v>439.1666666666665</v>
      </c>
      <c r="O1334" s="30">
        <v>27.1933333333335</v>
      </c>
      <c r="P1334" s="30">
        <v>1.0320050600885577</v>
      </c>
      <c r="Q1334" s="30">
        <v>1.2384060721062693</v>
      </c>
    </row>
    <row r="1335">
      <c r="A1335" s="47">
        <v>1.1202265981E10</v>
      </c>
      <c r="B1335" s="48">
        <v>46147.817708333336</v>
      </c>
      <c r="C1335" s="30">
        <v>3.819465372E9</v>
      </c>
      <c r="D1335" s="47" t="s">
        <v>1509</v>
      </c>
      <c r="E1335" s="30">
        <v>1400.0</v>
      </c>
      <c r="F1335" s="30">
        <v>1160.0</v>
      </c>
      <c r="G1335" s="30">
        <v>0.0</v>
      </c>
      <c r="H1335" s="30">
        <v>0.0</v>
      </c>
      <c r="I1335" s="30">
        <v>89.6</v>
      </c>
      <c r="J1335" s="30">
        <v>0.0</v>
      </c>
      <c r="K1335" s="30">
        <v>0.0</v>
      </c>
      <c r="L1335" s="30">
        <v>0.0</v>
      </c>
      <c r="M1335" s="30">
        <v>0.0</v>
      </c>
      <c r="N1335" s="30">
        <v>233.33333333333326</v>
      </c>
      <c r="O1335" s="30">
        <v>-82.93333333333325</v>
      </c>
      <c r="P1335" s="30">
        <v>-5.923809523809518</v>
      </c>
      <c r="Q1335" s="30">
        <v>-7.108571428571421</v>
      </c>
    </row>
    <row r="1336">
      <c r="A1336" s="47">
        <v>1.1159603252E10</v>
      </c>
      <c r="B1336" s="48">
        <v>46133.006006944444</v>
      </c>
      <c r="C1336" s="30">
        <v>3.783659162E9</v>
      </c>
      <c r="D1336" s="47" t="s">
        <v>1516</v>
      </c>
      <c r="E1336" s="30">
        <v>1650.0</v>
      </c>
      <c r="F1336" s="30">
        <v>1228.0</v>
      </c>
      <c r="G1336" s="30">
        <v>0.0</v>
      </c>
      <c r="H1336" s="30">
        <v>0.0</v>
      </c>
      <c r="I1336" s="30">
        <v>250.8</v>
      </c>
      <c r="J1336" s="30">
        <v>0.0</v>
      </c>
      <c r="K1336" s="30">
        <v>0.0</v>
      </c>
      <c r="L1336" s="30">
        <v>0.0</v>
      </c>
      <c r="M1336" s="30">
        <v>0.0</v>
      </c>
      <c r="N1336" s="30">
        <v>275.0</v>
      </c>
      <c r="O1336" s="30">
        <v>-103.80000000000001</v>
      </c>
      <c r="P1336" s="30">
        <v>-6.290909090909091</v>
      </c>
      <c r="Q1336" s="30">
        <v>-7.54909090909091</v>
      </c>
    </row>
    <row r="1337">
      <c r="A1337" s="47">
        <v>1.1159988833E10</v>
      </c>
      <c r="B1337" s="48">
        <v>46133.086377314816</v>
      </c>
      <c r="C1337" s="30">
        <v>3.784027901E9</v>
      </c>
      <c r="D1337" s="47" t="s">
        <v>1516</v>
      </c>
      <c r="E1337" s="30">
        <v>1528.0</v>
      </c>
      <c r="F1337" s="30">
        <v>1210.0</v>
      </c>
      <c r="G1337" s="30">
        <v>0.0</v>
      </c>
      <c r="H1337" s="30">
        <v>0.0</v>
      </c>
      <c r="I1337" s="30">
        <v>128.352</v>
      </c>
      <c r="J1337" s="30">
        <v>0.0</v>
      </c>
      <c r="K1337" s="30">
        <v>0.0</v>
      </c>
      <c r="L1337" s="30">
        <v>0.0</v>
      </c>
      <c r="M1337" s="30">
        <v>0.0</v>
      </c>
      <c r="N1337" s="30">
        <v>254.66666666666652</v>
      </c>
      <c r="O1337" s="30">
        <v>-65.01866666666652</v>
      </c>
      <c r="P1337" s="30">
        <v>-4.255148342059327</v>
      </c>
      <c r="Q1337" s="30">
        <v>-5.106178010471192</v>
      </c>
    </row>
    <row r="1338">
      <c r="A1338" s="47">
        <v>1.1146144235E10</v>
      </c>
      <c r="B1338" s="48">
        <v>46128.67025462963</v>
      </c>
      <c r="C1338" s="30">
        <v>3.772423446E9</v>
      </c>
      <c r="D1338" s="47" t="s">
        <v>1509</v>
      </c>
      <c r="E1338" s="30">
        <v>1410.0</v>
      </c>
      <c r="F1338" s="30">
        <v>1053.0</v>
      </c>
      <c r="G1338" s="30">
        <v>0.0</v>
      </c>
      <c r="H1338" s="30">
        <v>0.0</v>
      </c>
      <c r="I1338" s="30">
        <v>176.25</v>
      </c>
      <c r="J1338" s="30">
        <v>0.0</v>
      </c>
      <c r="K1338" s="30">
        <v>0.0</v>
      </c>
      <c r="L1338" s="30">
        <v>0.0</v>
      </c>
      <c r="M1338" s="30">
        <v>0.0</v>
      </c>
      <c r="N1338" s="30">
        <v>235.0</v>
      </c>
      <c r="O1338" s="30">
        <v>-54.25</v>
      </c>
      <c r="P1338" s="30">
        <v>-3.847517730496454</v>
      </c>
      <c r="Q1338" s="30">
        <v>-4.617021276595745</v>
      </c>
    </row>
    <row r="1339">
      <c r="A1339" s="47">
        <v>1.1208922014E10</v>
      </c>
      <c r="B1339" s="48">
        <v>46149.58627314815</v>
      </c>
      <c r="C1339" s="30">
        <v>3.825989369E9</v>
      </c>
      <c r="D1339" s="47" t="s">
        <v>1509</v>
      </c>
      <c r="E1339" s="30">
        <v>1482.0</v>
      </c>
      <c r="F1339" s="30">
        <v>1053.0</v>
      </c>
      <c r="G1339" s="30">
        <v>0.0</v>
      </c>
      <c r="H1339" s="30">
        <v>0.0</v>
      </c>
      <c r="I1339" s="30">
        <v>185.25</v>
      </c>
      <c r="J1339" s="30">
        <v>0.0</v>
      </c>
      <c r="K1339" s="30">
        <v>0.0</v>
      </c>
      <c r="L1339" s="30">
        <v>0.0</v>
      </c>
      <c r="M1339" s="30">
        <v>0.0</v>
      </c>
      <c r="N1339" s="30">
        <v>247.0</v>
      </c>
      <c r="O1339" s="30">
        <v>-3.25</v>
      </c>
      <c r="P1339" s="30">
        <v>-0.21929824561403508</v>
      </c>
      <c r="Q1339" s="30">
        <v>-0.2631578947368421</v>
      </c>
    </row>
    <row r="1340">
      <c r="A1340" s="47">
        <v>1.1212315823E10</v>
      </c>
      <c r="B1340" s="48">
        <v>46150.44101851852</v>
      </c>
      <c r="C1340" s="30">
        <v>3.829165613E9</v>
      </c>
      <c r="D1340" s="47" t="s">
        <v>1511</v>
      </c>
      <c r="E1340" s="30">
        <v>2170.96</v>
      </c>
      <c r="F1340" s="30">
        <v>1680.0</v>
      </c>
      <c r="G1340" s="30">
        <v>0.0</v>
      </c>
      <c r="H1340" s="30">
        <v>0.0</v>
      </c>
      <c r="I1340" s="30">
        <v>271.37</v>
      </c>
      <c r="J1340" s="30">
        <v>0.0</v>
      </c>
      <c r="K1340" s="30">
        <v>0.0</v>
      </c>
      <c r="L1340" s="30">
        <v>0.0</v>
      </c>
      <c r="M1340" s="30">
        <v>0.0</v>
      </c>
      <c r="N1340" s="30">
        <v>361.8266666666666</v>
      </c>
      <c r="O1340" s="30">
        <v>-142.23666666666657</v>
      </c>
      <c r="P1340" s="30">
        <v>-6.551786613602579</v>
      </c>
      <c r="Q1340" s="30">
        <v>-7.862143936323094</v>
      </c>
    </row>
    <row r="1341">
      <c r="A1341" s="47">
        <v>1.1204171732E10</v>
      </c>
      <c r="B1341" s="48">
        <v>46148.14519675926</v>
      </c>
      <c r="C1341" s="30">
        <v>3.821231205E9</v>
      </c>
      <c r="D1341" s="47" t="s">
        <v>1509</v>
      </c>
      <c r="E1341" s="30">
        <v>654.0</v>
      </c>
      <c r="F1341" s="30">
        <v>360.0</v>
      </c>
      <c r="G1341" s="30">
        <v>0.0</v>
      </c>
      <c r="H1341" s="30">
        <v>0.0</v>
      </c>
      <c r="I1341" s="30">
        <v>88.29</v>
      </c>
      <c r="J1341" s="30">
        <v>0.0</v>
      </c>
      <c r="K1341" s="30">
        <v>0.0</v>
      </c>
      <c r="L1341" s="30">
        <v>0.0</v>
      </c>
      <c r="M1341" s="30">
        <v>0.0</v>
      </c>
      <c r="N1341" s="30">
        <v>109.0</v>
      </c>
      <c r="O1341" s="30">
        <v>96.70999999999998</v>
      </c>
      <c r="P1341" s="30">
        <v>14.787461773700302</v>
      </c>
      <c r="Q1341" s="30">
        <v>17.744954128440362</v>
      </c>
    </row>
    <row r="1342">
      <c r="A1342" s="47">
        <v>1.1201695462E10</v>
      </c>
      <c r="B1342" s="48">
        <v>46147.70898148148</v>
      </c>
      <c r="C1342" s="30">
        <v>3.818943845E9</v>
      </c>
      <c r="D1342" s="47" t="s">
        <v>1509</v>
      </c>
      <c r="E1342" s="30">
        <v>1448.0</v>
      </c>
      <c r="F1342" s="30">
        <v>1160.0</v>
      </c>
      <c r="G1342" s="30">
        <v>0.0</v>
      </c>
      <c r="H1342" s="30">
        <v>0.0</v>
      </c>
      <c r="I1342" s="30">
        <v>181.0</v>
      </c>
      <c r="J1342" s="30">
        <v>0.0</v>
      </c>
      <c r="K1342" s="30">
        <v>0.0</v>
      </c>
      <c r="L1342" s="30">
        <v>0.0</v>
      </c>
      <c r="M1342" s="30">
        <v>0.0</v>
      </c>
      <c r="N1342" s="30">
        <v>241.33333333333326</v>
      </c>
      <c r="O1342" s="30">
        <v>-134.33333333333326</v>
      </c>
      <c r="P1342" s="30">
        <v>-9.277163904235723</v>
      </c>
      <c r="Q1342" s="30">
        <v>-11.132596685082866</v>
      </c>
    </row>
    <row r="1343">
      <c r="A1343" s="47">
        <v>1.1209605804E10</v>
      </c>
      <c r="B1343" s="48">
        <v>46149.70894675926</v>
      </c>
      <c r="C1343" s="30">
        <v>3.826613217E9</v>
      </c>
      <c r="D1343" s="47" t="s">
        <v>1511</v>
      </c>
      <c r="E1343" s="30">
        <v>319.0</v>
      </c>
      <c r="F1343" s="30">
        <v>180.0</v>
      </c>
      <c r="G1343" s="30">
        <v>0.0</v>
      </c>
      <c r="H1343" s="30">
        <v>0.0</v>
      </c>
      <c r="I1343" s="30">
        <v>0.0</v>
      </c>
      <c r="J1343" s="30">
        <v>0.0</v>
      </c>
      <c r="K1343" s="30">
        <v>0.0</v>
      </c>
      <c r="L1343" s="30">
        <v>0.0</v>
      </c>
      <c r="M1343" s="30">
        <v>0.0</v>
      </c>
      <c r="N1343" s="30">
        <v>53.16666666666663</v>
      </c>
      <c r="O1343" s="30">
        <v>85.83333333333337</v>
      </c>
      <c r="P1343" s="30">
        <v>26.907001044932095</v>
      </c>
      <c r="Q1343" s="30">
        <v>32.2884012539185</v>
      </c>
    </row>
    <row r="1344">
      <c r="A1344" s="47">
        <v>1.1204063274E10</v>
      </c>
      <c r="B1344" s="48">
        <v>46148.12021990741</v>
      </c>
      <c r="C1344" s="30">
        <v>3.821112121E9</v>
      </c>
      <c r="D1344" s="47" t="s">
        <v>1509</v>
      </c>
      <c r="E1344" s="30">
        <v>1554.0</v>
      </c>
      <c r="F1344" s="30">
        <v>1210.0</v>
      </c>
      <c r="G1344" s="30">
        <v>0.0</v>
      </c>
      <c r="H1344" s="30">
        <v>0.0</v>
      </c>
      <c r="I1344" s="30">
        <v>99.456</v>
      </c>
      <c r="J1344" s="30">
        <v>0.0</v>
      </c>
      <c r="K1344" s="30">
        <v>0.0</v>
      </c>
      <c r="L1344" s="30">
        <v>0.0</v>
      </c>
      <c r="M1344" s="30">
        <v>0.0</v>
      </c>
      <c r="N1344" s="30">
        <v>259.0</v>
      </c>
      <c r="O1344" s="30">
        <v>-14.456000000000017</v>
      </c>
      <c r="P1344" s="30">
        <v>-0.9302445302445314</v>
      </c>
      <c r="Q1344" s="30">
        <v>-1.1162934362934376</v>
      </c>
    </row>
    <row r="1345">
      <c r="A1345" s="47">
        <v>1.1204502666E10</v>
      </c>
      <c r="B1345" s="48">
        <v>46148.460868055554</v>
      </c>
      <c r="C1345" s="30">
        <v>3.821607081E9</v>
      </c>
      <c r="D1345" s="47" t="s">
        <v>1509</v>
      </c>
      <c r="E1345" s="30">
        <v>1400.0</v>
      </c>
      <c r="F1345" s="30">
        <v>1160.0</v>
      </c>
      <c r="G1345" s="30">
        <v>0.0</v>
      </c>
      <c r="H1345" s="30">
        <v>0.0</v>
      </c>
      <c r="I1345" s="30">
        <v>89.6</v>
      </c>
      <c r="J1345" s="30">
        <v>0.0</v>
      </c>
      <c r="K1345" s="30">
        <v>0.0</v>
      </c>
      <c r="L1345" s="30">
        <v>0.0</v>
      </c>
      <c r="M1345" s="30">
        <v>0.0</v>
      </c>
      <c r="N1345" s="30">
        <v>233.33333333333326</v>
      </c>
      <c r="O1345" s="30">
        <v>-82.93333333333325</v>
      </c>
      <c r="P1345" s="30">
        <v>-5.923809523809518</v>
      </c>
      <c r="Q1345" s="30">
        <v>-7.108571428571421</v>
      </c>
    </row>
    <row r="1346">
      <c r="A1346" s="47">
        <v>1.1204184075E10</v>
      </c>
      <c r="B1346" s="48">
        <v>46148.148368055554</v>
      </c>
      <c r="C1346" s="30">
        <v>3.821242937E9</v>
      </c>
      <c r="D1346" s="47" t="s">
        <v>1509</v>
      </c>
      <c r="E1346" s="30">
        <v>1430.0</v>
      </c>
      <c r="F1346" s="30">
        <v>1165.0</v>
      </c>
      <c r="G1346" s="30">
        <v>0.0</v>
      </c>
      <c r="H1346" s="30">
        <v>0.0</v>
      </c>
      <c r="I1346" s="30">
        <v>91.52</v>
      </c>
      <c r="J1346" s="30">
        <v>0.0</v>
      </c>
      <c r="K1346" s="30">
        <v>0.0</v>
      </c>
      <c r="L1346" s="30">
        <v>0.0</v>
      </c>
      <c r="M1346" s="30">
        <v>0.0</v>
      </c>
      <c r="N1346" s="30">
        <v>238.33333333333326</v>
      </c>
      <c r="O1346" s="30">
        <v>-64.85333333333324</v>
      </c>
      <c r="P1346" s="30">
        <v>-4.5351981351981285</v>
      </c>
      <c r="Q1346" s="30">
        <v>-5.442237762237754</v>
      </c>
    </row>
    <row r="1347">
      <c r="A1347" s="47">
        <v>1.1196218848E10</v>
      </c>
      <c r="B1347" s="48">
        <v>46145.937731481485</v>
      </c>
      <c r="C1347" s="30">
        <v>3.813860321E9</v>
      </c>
      <c r="D1347" s="47" t="s">
        <v>1509</v>
      </c>
      <c r="E1347" s="30">
        <v>1767.0</v>
      </c>
      <c r="F1347" s="30">
        <v>1260.0</v>
      </c>
      <c r="G1347" s="30">
        <v>0.0</v>
      </c>
      <c r="H1347" s="30">
        <v>0.0</v>
      </c>
      <c r="I1347" s="30">
        <v>220.875</v>
      </c>
      <c r="J1347" s="30">
        <v>0.0</v>
      </c>
      <c r="K1347" s="30">
        <v>0.0</v>
      </c>
      <c r="L1347" s="30">
        <v>0.0</v>
      </c>
      <c r="M1347" s="30">
        <v>0.0</v>
      </c>
      <c r="N1347" s="30">
        <v>294.5</v>
      </c>
      <c r="O1347" s="30">
        <v>-8.375</v>
      </c>
      <c r="P1347" s="30">
        <v>-0.4739671760045274</v>
      </c>
      <c r="Q1347" s="30">
        <v>-0.568760611205433</v>
      </c>
    </row>
    <row r="1348">
      <c r="A1348" s="47">
        <v>1.1196773816E10</v>
      </c>
      <c r="B1348" s="48">
        <v>46146.04591435185</v>
      </c>
      <c r="C1348" s="30">
        <v>3.81431386E9</v>
      </c>
      <c r="D1348" s="47" t="s">
        <v>1509</v>
      </c>
      <c r="E1348" s="30">
        <v>638.0</v>
      </c>
      <c r="F1348" s="30">
        <v>360.0</v>
      </c>
      <c r="G1348" s="30">
        <v>0.0</v>
      </c>
      <c r="H1348" s="30">
        <v>0.0</v>
      </c>
      <c r="I1348" s="30">
        <v>105.27</v>
      </c>
      <c r="J1348" s="30">
        <v>0.0</v>
      </c>
      <c r="K1348" s="30">
        <v>0.0</v>
      </c>
      <c r="L1348" s="30">
        <v>0.0</v>
      </c>
      <c r="M1348" s="30">
        <v>0.0</v>
      </c>
      <c r="N1348" s="30">
        <v>106.33333333333326</v>
      </c>
      <c r="O1348" s="30">
        <v>66.39666666666676</v>
      </c>
      <c r="P1348" s="30">
        <v>10.407001044932095</v>
      </c>
      <c r="Q1348" s="30">
        <v>12.48840125391851</v>
      </c>
    </row>
    <row r="1349">
      <c r="A1349" s="47">
        <v>1.1203407451E10</v>
      </c>
      <c r="B1349" s="48">
        <v>46148.00763888889</v>
      </c>
      <c r="C1349" s="30">
        <v>3.820439071E9</v>
      </c>
      <c r="D1349" s="47" t="s">
        <v>1509</v>
      </c>
      <c r="E1349" s="30">
        <v>2680.0</v>
      </c>
      <c r="F1349" s="30">
        <v>1999.2</v>
      </c>
      <c r="G1349" s="30">
        <v>0.0</v>
      </c>
      <c r="H1349" s="30">
        <v>0.0</v>
      </c>
      <c r="I1349" s="30">
        <v>335.0</v>
      </c>
      <c r="J1349" s="30">
        <v>0.0</v>
      </c>
      <c r="K1349" s="30">
        <v>0.0</v>
      </c>
      <c r="L1349" s="30">
        <v>0.0</v>
      </c>
      <c r="M1349" s="30">
        <v>0.0</v>
      </c>
      <c r="N1349" s="30">
        <v>446.6666666666665</v>
      </c>
      <c r="O1349" s="30">
        <v>-100.86666666666656</v>
      </c>
      <c r="P1349" s="30">
        <v>-3.763681592039797</v>
      </c>
      <c r="Q1349" s="30">
        <v>-4.516417910447757</v>
      </c>
    </row>
    <row r="1350">
      <c r="A1350" s="47">
        <v>1.1203567167E10</v>
      </c>
      <c r="B1350" s="48">
        <v>46148.0334375</v>
      </c>
      <c r="C1350" s="30">
        <v>3.820595961E9</v>
      </c>
      <c r="D1350" s="47" t="s">
        <v>1509</v>
      </c>
      <c r="E1350" s="30">
        <v>1400.0</v>
      </c>
      <c r="F1350" s="30">
        <v>1160.0</v>
      </c>
      <c r="G1350" s="30">
        <v>0.0</v>
      </c>
      <c r="H1350" s="30">
        <v>0.0</v>
      </c>
      <c r="I1350" s="30">
        <v>89.6</v>
      </c>
      <c r="J1350" s="30">
        <v>0.0</v>
      </c>
      <c r="K1350" s="30">
        <v>0.0</v>
      </c>
      <c r="L1350" s="30">
        <v>0.0</v>
      </c>
      <c r="M1350" s="30">
        <v>0.0</v>
      </c>
      <c r="N1350" s="30">
        <v>233.33333333333326</v>
      </c>
      <c r="O1350" s="30">
        <v>-82.93333333333325</v>
      </c>
      <c r="P1350" s="30">
        <v>-5.923809523809518</v>
      </c>
      <c r="Q1350" s="30">
        <v>-7.108571428571421</v>
      </c>
    </row>
    <row r="1351">
      <c r="A1351" s="47">
        <v>1.1203288843E10</v>
      </c>
      <c r="B1351" s="48">
        <v>46147.98902777778</v>
      </c>
      <c r="C1351" s="30">
        <v>3.820327686E9</v>
      </c>
      <c r="D1351" s="47" t="s">
        <v>1509</v>
      </c>
      <c r="E1351" s="30">
        <v>1400.0</v>
      </c>
      <c r="F1351" s="30">
        <v>1160.0</v>
      </c>
      <c r="G1351" s="30">
        <v>0.0</v>
      </c>
      <c r="H1351" s="30">
        <v>0.0</v>
      </c>
      <c r="I1351" s="30">
        <v>89.6</v>
      </c>
      <c r="J1351" s="30">
        <v>0.0</v>
      </c>
      <c r="K1351" s="30">
        <v>0.0</v>
      </c>
      <c r="L1351" s="30">
        <v>0.0</v>
      </c>
      <c r="M1351" s="30">
        <v>0.0</v>
      </c>
      <c r="N1351" s="30">
        <v>233.33333333333326</v>
      </c>
      <c r="O1351" s="30">
        <v>-82.93333333333325</v>
      </c>
      <c r="P1351" s="30">
        <v>-5.923809523809518</v>
      </c>
      <c r="Q1351" s="30">
        <v>-7.108571428571421</v>
      </c>
    </row>
    <row r="1352">
      <c r="A1352" s="47">
        <v>1.1193475229E10</v>
      </c>
      <c r="B1352" s="48">
        <v>46144.96789351852</v>
      </c>
      <c r="C1352" s="30">
        <v>3.811642467E9</v>
      </c>
      <c r="D1352" s="47" t="s">
        <v>1509</v>
      </c>
      <c r="E1352" s="30">
        <v>1099.0</v>
      </c>
      <c r="F1352" s="30">
        <v>780.0</v>
      </c>
      <c r="G1352" s="30">
        <v>0.0</v>
      </c>
      <c r="H1352" s="30">
        <v>0.0</v>
      </c>
      <c r="I1352" s="30">
        <v>148.365</v>
      </c>
      <c r="J1352" s="30">
        <v>0.0</v>
      </c>
      <c r="K1352" s="30">
        <v>0.0</v>
      </c>
      <c r="L1352" s="30">
        <v>0.0</v>
      </c>
      <c r="M1352" s="30">
        <v>0.0</v>
      </c>
      <c r="N1352" s="30">
        <v>183.16666666666663</v>
      </c>
      <c r="O1352" s="30">
        <v>-12.531666666666638</v>
      </c>
      <c r="P1352" s="30">
        <v>-1.1402790415529243</v>
      </c>
      <c r="Q1352" s="30">
        <v>-1.368334849863509</v>
      </c>
    </row>
    <row r="1353">
      <c r="A1353" s="47">
        <v>1.1203310925E10</v>
      </c>
      <c r="B1353" s="48">
        <v>46147.99261574074</v>
      </c>
      <c r="C1353" s="30">
        <v>3.820347779E9</v>
      </c>
      <c r="D1353" s="47" t="s">
        <v>1509</v>
      </c>
      <c r="E1353" s="30">
        <v>319.0</v>
      </c>
      <c r="F1353" s="30">
        <v>180.0</v>
      </c>
      <c r="G1353" s="30">
        <v>0.0</v>
      </c>
      <c r="H1353" s="30">
        <v>0.0</v>
      </c>
      <c r="I1353" s="30">
        <v>52.635</v>
      </c>
      <c r="J1353" s="30">
        <v>0.0</v>
      </c>
      <c r="K1353" s="30">
        <v>0.0</v>
      </c>
      <c r="L1353" s="30">
        <v>0.0</v>
      </c>
      <c r="M1353" s="30">
        <v>0.0</v>
      </c>
      <c r="N1353" s="30">
        <v>53.16666666666663</v>
      </c>
      <c r="O1353" s="30">
        <v>33.19833333333338</v>
      </c>
      <c r="P1353" s="30">
        <v>10.407001044932095</v>
      </c>
      <c r="Q1353" s="30">
        <v>12.48840125391851</v>
      </c>
    </row>
    <row r="1354">
      <c r="A1354" s="47">
        <v>1.120241476E10</v>
      </c>
      <c r="B1354" s="48">
        <v>46147.84238425926</v>
      </c>
      <c r="C1354" s="30">
        <v>3.819599618E9</v>
      </c>
      <c r="D1354" s="47" t="s">
        <v>1509</v>
      </c>
      <c r="E1354" s="30">
        <v>447.0</v>
      </c>
      <c r="F1354" s="30">
        <v>0.0</v>
      </c>
      <c r="G1354" s="30">
        <v>0.0</v>
      </c>
      <c r="H1354" s="30">
        <v>0.0</v>
      </c>
      <c r="I1354" s="30">
        <v>22.35</v>
      </c>
      <c r="J1354" s="30">
        <v>0.0</v>
      </c>
      <c r="K1354" s="30">
        <v>0.0</v>
      </c>
      <c r="L1354" s="30">
        <v>0.0</v>
      </c>
      <c r="M1354" s="30">
        <v>0.0</v>
      </c>
      <c r="N1354" s="30">
        <v>74.5</v>
      </c>
      <c r="O1354" s="30">
        <v>350.15</v>
      </c>
      <c r="P1354" s="30">
        <v>78.33333333333333</v>
      </c>
      <c r="Q1354" s="30">
        <v>94.0</v>
      </c>
    </row>
    <row r="1355">
      <c r="A1355" s="47">
        <v>1.1188084929E10</v>
      </c>
      <c r="B1355" s="48">
        <v>46143.02627314815</v>
      </c>
      <c r="C1355" s="30">
        <v>3.807313071E9</v>
      </c>
      <c r="D1355" s="47" t="s">
        <v>1509</v>
      </c>
      <c r="E1355" s="30">
        <v>1549.0</v>
      </c>
      <c r="F1355" s="30">
        <v>1210.0</v>
      </c>
      <c r="G1355" s="30">
        <v>0.0</v>
      </c>
      <c r="H1355" s="30">
        <v>0.0</v>
      </c>
      <c r="I1355" s="30">
        <v>193.625</v>
      </c>
      <c r="J1355" s="30">
        <v>0.0</v>
      </c>
      <c r="K1355" s="30">
        <v>0.0</v>
      </c>
      <c r="L1355" s="30">
        <v>0.0</v>
      </c>
      <c r="M1355" s="30">
        <v>0.0</v>
      </c>
      <c r="N1355" s="30">
        <v>258.1666666666665</v>
      </c>
      <c r="O1355" s="30">
        <v>-112.79166666666652</v>
      </c>
      <c r="P1355" s="30">
        <v>-7.2815795136647194</v>
      </c>
      <c r="Q1355" s="30">
        <v>-8.737895416397663</v>
      </c>
    </row>
    <row r="1356">
      <c r="A1356" s="47">
        <v>1.1201103713E10</v>
      </c>
      <c r="B1356" s="48">
        <v>46147.59883101852</v>
      </c>
      <c r="C1356" s="30">
        <v>3.818420694E9</v>
      </c>
      <c r="D1356" s="47" t="s">
        <v>1509</v>
      </c>
      <c r="E1356" s="30">
        <v>1956.0</v>
      </c>
      <c r="F1356" s="30">
        <v>1243.2</v>
      </c>
      <c r="G1356" s="30">
        <v>0.0</v>
      </c>
      <c r="H1356" s="30">
        <v>0.0</v>
      </c>
      <c r="I1356" s="30">
        <v>244.5</v>
      </c>
      <c r="J1356" s="30">
        <v>0.0</v>
      </c>
      <c r="K1356" s="30">
        <v>0.0</v>
      </c>
      <c r="L1356" s="30">
        <v>0.0</v>
      </c>
      <c r="M1356" s="30">
        <v>0.0</v>
      </c>
      <c r="N1356" s="30">
        <v>326.0</v>
      </c>
      <c r="O1356" s="30">
        <v>142.29999999999995</v>
      </c>
      <c r="P1356" s="30">
        <v>7.275051124744373</v>
      </c>
      <c r="Q1356" s="30">
        <v>8.73006134969325</v>
      </c>
    </row>
    <row r="1357">
      <c r="A1357" s="47">
        <v>1.1192886534E10</v>
      </c>
      <c r="B1357" s="48">
        <v>46144.83951388889</v>
      </c>
      <c r="C1357" s="30">
        <v>3.811244189E9</v>
      </c>
      <c r="D1357" s="47" t="s">
        <v>1509</v>
      </c>
      <c r="E1357" s="30">
        <v>1099.0</v>
      </c>
      <c r="F1357" s="30">
        <v>780.0</v>
      </c>
      <c r="G1357" s="30">
        <v>0.0</v>
      </c>
      <c r="H1357" s="30">
        <v>0.0</v>
      </c>
      <c r="I1357" s="30">
        <v>148.365</v>
      </c>
      <c r="J1357" s="30">
        <v>0.0</v>
      </c>
      <c r="K1357" s="30">
        <v>0.0</v>
      </c>
      <c r="L1357" s="30">
        <v>0.0</v>
      </c>
      <c r="M1357" s="30">
        <v>0.0</v>
      </c>
      <c r="N1357" s="30">
        <v>183.16666666666663</v>
      </c>
      <c r="O1357" s="30">
        <v>-12.531666666666638</v>
      </c>
      <c r="P1357" s="30">
        <v>-1.1402790415529243</v>
      </c>
      <c r="Q1357" s="30">
        <v>-1.368334849863509</v>
      </c>
    </row>
    <row r="1358">
      <c r="A1358" s="47">
        <v>1.1200451488E10</v>
      </c>
      <c r="B1358" s="48">
        <v>46147.14418981481</v>
      </c>
      <c r="C1358" s="30">
        <v>3.817711672E9</v>
      </c>
      <c r="D1358" s="47" t="s">
        <v>1509</v>
      </c>
      <c r="E1358" s="30">
        <v>1482.0</v>
      </c>
      <c r="F1358" s="30">
        <v>1053.0</v>
      </c>
      <c r="G1358" s="30">
        <v>0.0</v>
      </c>
      <c r="H1358" s="30">
        <v>0.0</v>
      </c>
      <c r="I1358" s="30">
        <v>185.25</v>
      </c>
      <c r="J1358" s="30">
        <v>0.0</v>
      </c>
      <c r="K1358" s="30">
        <v>0.0</v>
      </c>
      <c r="L1358" s="30">
        <v>0.0</v>
      </c>
      <c r="M1358" s="30">
        <v>0.0</v>
      </c>
      <c r="N1358" s="30">
        <v>247.0</v>
      </c>
      <c r="O1358" s="30">
        <v>-3.25</v>
      </c>
      <c r="P1358" s="30">
        <v>-0.21929824561403508</v>
      </c>
      <c r="Q1358" s="30">
        <v>-0.2631578947368421</v>
      </c>
    </row>
    <row r="1359">
      <c r="A1359" s="47">
        <v>1.1192223131E10</v>
      </c>
      <c r="B1359" s="48">
        <v>46144.689930555556</v>
      </c>
      <c r="C1359" s="30">
        <v>3.810737526E9</v>
      </c>
      <c r="D1359" s="47" t="s">
        <v>1509</v>
      </c>
      <c r="E1359" s="30">
        <v>4748.0</v>
      </c>
      <c r="F1359" s="30">
        <v>3663.0</v>
      </c>
      <c r="G1359" s="30">
        <v>0.0</v>
      </c>
      <c r="H1359" s="30">
        <v>0.0</v>
      </c>
      <c r="I1359" s="30">
        <v>783.42</v>
      </c>
      <c r="J1359" s="30">
        <v>0.0</v>
      </c>
      <c r="K1359" s="30">
        <v>0.0</v>
      </c>
      <c r="L1359" s="30">
        <v>0.0</v>
      </c>
      <c r="M1359" s="30">
        <v>0.0</v>
      </c>
      <c r="N1359" s="30">
        <v>791.333333333333</v>
      </c>
      <c r="O1359" s="30">
        <v>-489.753333333333</v>
      </c>
      <c r="P1359" s="30">
        <v>-10.3149396237012</v>
      </c>
      <c r="Q1359" s="30">
        <v>-12.37792754844144</v>
      </c>
    </row>
    <row r="1360">
      <c r="A1360" s="47">
        <v>1.1204225143E10</v>
      </c>
      <c r="B1360" s="48">
        <v>46148.159363425926</v>
      </c>
      <c r="C1360" s="30">
        <v>3.821286224E9</v>
      </c>
      <c r="D1360" s="47" t="s">
        <v>1509</v>
      </c>
      <c r="E1360" s="30">
        <v>1430.0</v>
      </c>
      <c r="F1360" s="30">
        <v>1165.0</v>
      </c>
      <c r="G1360" s="30">
        <v>0.0</v>
      </c>
      <c r="H1360" s="30">
        <v>0.0</v>
      </c>
      <c r="I1360" s="30">
        <v>91.52</v>
      </c>
      <c r="J1360" s="30">
        <v>0.0</v>
      </c>
      <c r="K1360" s="30">
        <v>0.0</v>
      </c>
      <c r="L1360" s="30">
        <v>0.0</v>
      </c>
      <c r="M1360" s="30">
        <v>0.0</v>
      </c>
      <c r="N1360" s="30">
        <v>238.33333333333326</v>
      </c>
      <c r="O1360" s="30">
        <v>-64.85333333333324</v>
      </c>
      <c r="P1360" s="30">
        <v>-4.5351981351981285</v>
      </c>
      <c r="Q1360" s="30">
        <v>-5.442237762237754</v>
      </c>
    </row>
    <row r="1361">
      <c r="A1361" s="47">
        <v>1.1197716109E10</v>
      </c>
      <c r="B1361" s="48">
        <v>46146.58677083333</v>
      </c>
      <c r="C1361" s="30">
        <v>3.815298441E9</v>
      </c>
      <c r="D1361" s="47" t="s">
        <v>1509</v>
      </c>
      <c r="E1361" s="30">
        <v>298.0</v>
      </c>
      <c r="F1361" s="30">
        <v>0.0</v>
      </c>
      <c r="G1361" s="30">
        <v>0.0</v>
      </c>
      <c r="H1361" s="30">
        <v>0.0</v>
      </c>
      <c r="I1361" s="30">
        <v>59.6</v>
      </c>
      <c r="J1361" s="30">
        <v>0.0</v>
      </c>
      <c r="K1361" s="30">
        <v>0.0</v>
      </c>
      <c r="L1361" s="30">
        <v>0.0</v>
      </c>
      <c r="M1361" s="30">
        <v>0.0</v>
      </c>
      <c r="N1361" s="30">
        <v>49.66666666666666</v>
      </c>
      <c r="O1361" s="30">
        <v>188.73333333333335</v>
      </c>
      <c r="P1361" s="30">
        <v>63.33333333333334</v>
      </c>
      <c r="Q1361" s="30">
        <v>76.0</v>
      </c>
    </row>
    <row r="1362">
      <c r="A1362" s="47">
        <v>1.1197200881E10</v>
      </c>
      <c r="B1362" s="48">
        <v>46146.149305555555</v>
      </c>
      <c r="C1362" s="30">
        <v>3.814742811E9</v>
      </c>
      <c r="D1362" s="47" t="s">
        <v>1509</v>
      </c>
      <c r="E1362" s="30">
        <v>4848.0</v>
      </c>
      <c r="F1362" s="30">
        <v>3663.0</v>
      </c>
      <c r="G1362" s="30">
        <v>0.0</v>
      </c>
      <c r="H1362" s="30">
        <v>0.0</v>
      </c>
      <c r="I1362" s="30">
        <v>799.92</v>
      </c>
      <c r="J1362" s="30">
        <v>0.0</v>
      </c>
      <c r="K1362" s="30">
        <v>0.0</v>
      </c>
      <c r="L1362" s="30">
        <v>0.0</v>
      </c>
      <c r="M1362" s="30">
        <v>0.0</v>
      </c>
      <c r="N1362" s="30">
        <v>808.0</v>
      </c>
      <c r="O1362" s="30">
        <v>-422.91999999999996</v>
      </c>
      <c r="P1362" s="30">
        <v>-8.723597359735972</v>
      </c>
      <c r="Q1362" s="30">
        <v>-10.468316831683168</v>
      </c>
    </row>
    <row r="1363">
      <c r="A1363" s="47">
        <v>1.1201165188E10</v>
      </c>
      <c r="B1363" s="48">
        <v>46147.61107638889</v>
      </c>
      <c r="C1363" s="30">
        <v>3.818479354E9</v>
      </c>
      <c r="D1363" s="47" t="s">
        <v>1509</v>
      </c>
      <c r="E1363" s="30">
        <v>149.0</v>
      </c>
      <c r="F1363" s="30">
        <v>0.0</v>
      </c>
      <c r="G1363" s="30">
        <v>0.0</v>
      </c>
      <c r="H1363" s="30">
        <v>0.0</v>
      </c>
      <c r="I1363" s="30">
        <v>7.45</v>
      </c>
      <c r="J1363" s="30">
        <v>0.0</v>
      </c>
      <c r="K1363" s="30">
        <v>0.0</v>
      </c>
      <c r="L1363" s="30">
        <v>0.0</v>
      </c>
      <c r="M1363" s="30">
        <v>0.0</v>
      </c>
      <c r="N1363" s="30">
        <v>24.83333333333333</v>
      </c>
      <c r="O1363" s="30">
        <v>116.71666666666668</v>
      </c>
      <c r="P1363" s="30">
        <v>78.33333333333334</v>
      </c>
      <c r="Q1363" s="30">
        <v>94.0</v>
      </c>
    </row>
    <row r="1364">
      <c r="A1364" s="47">
        <v>1.1197323335E10</v>
      </c>
      <c r="B1364" s="48">
        <v>46146.21359953703</v>
      </c>
      <c r="C1364" s="30">
        <v>3.814866218E9</v>
      </c>
      <c r="D1364" s="47" t="s">
        <v>1509</v>
      </c>
      <c r="E1364" s="30">
        <v>1535.0</v>
      </c>
      <c r="F1364" s="30">
        <v>1210.0</v>
      </c>
      <c r="G1364" s="30">
        <v>0.0</v>
      </c>
      <c r="H1364" s="30">
        <v>0.0</v>
      </c>
      <c r="I1364" s="30">
        <v>132.01</v>
      </c>
      <c r="J1364" s="30">
        <v>0.0</v>
      </c>
      <c r="K1364" s="30">
        <v>0.0</v>
      </c>
      <c r="L1364" s="30">
        <v>0.0</v>
      </c>
      <c r="M1364" s="30">
        <v>0.0</v>
      </c>
      <c r="N1364" s="30">
        <v>255.83333333333326</v>
      </c>
      <c r="O1364" s="30">
        <v>-62.84333333333325</v>
      </c>
      <c r="P1364" s="30">
        <v>-4.094028230184577</v>
      </c>
      <c r="Q1364" s="30">
        <v>-4.912833876221492</v>
      </c>
    </row>
    <row r="1365">
      <c r="A1365" s="47">
        <v>1.1200654277E10</v>
      </c>
      <c r="B1365" s="48">
        <v>46147.332453703704</v>
      </c>
      <c r="C1365" s="30">
        <v>3.817925374E9</v>
      </c>
      <c r="D1365" s="47" t="s">
        <v>1509</v>
      </c>
      <c r="E1365" s="30">
        <v>1482.0</v>
      </c>
      <c r="F1365" s="30">
        <v>1053.0</v>
      </c>
      <c r="G1365" s="30">
        <v>0.0</v>
      </c>
      <c r="H1365" s="30">
        <v>0.0</v>
      </c>
      <c r="I1365" s="30">
        <v>185.25</v>
      </c>
      <c r="J1365" s="30">
        <v>0.0</v>
      </c>
      <c r="K1365" s="30">
        <v>0.0</v>
      </c>
      <c r="L1365" s="30">
        <v>0.0</v>
      </c>
      <c r="M1365" s="30">
        <v>0.0</v>
      </c>
      <c r="N1365" s="30">
        <v>247.0</v>
      </c>
      <c r="O1365" s="30">
        <v>-3.25</v>
      </c>
      <c r="P1365" s="30">
        <v>-0.21929824561403508</v>
      </c>
      <c r="Q1365" s="30">
        <v>-0.2631578947368421</v>
      </c>
    </row>
    <row r="1366">
      <c r="A1366" s="47">
        <v>1.1202482167E10</v>
      </c>
      <c r="B1366" s="48">
        <v>46147.85439814815</v>
      </c>
      <c r="C1366" s="30">
        <v>3.819660926E9</v>
      </c>
      <c r="D1366" s="47" t="s">
        <v>1509</v>
      </c>
      <c r="E1366" s="30">
        <v>1400.0</v>
      </c>
      <c r="F1366" s="30">
        <v>1160.0</v>
      </c>
      <c r="G1366" s="30">
        <v>0.0</v>
      </c>
      <c r="H1366" s="30">
        <v>0.0</v>
      </c>
      <c r="I1366" s="30">
        <v>89.6</v>
      </c>
      <c r="J1366" s="30">
        <v>0.0</v>
      </c>
      <c r="K1366" s="30">
        <v>0.0</v>
      </c>
      <c r="L1366" s="30">
        <v>0.0</v>
      </c>
      <c r="M1366" s="30">
        <v>0.0</v>
      </c>
      <c r="N1366" s="30">
        <v>233.33333333333326</v>
      </c>
      <c r="O1366" s="30">
        <v>-82.93333333333325</v>
      </c>
      <c r="P1366" s="30">
        <v>-5.923809523809518</v>
      </c>
      <c r="Q1366" s="30">
        <v>-7.108571428571421</v>
      </c>
    </row>
    <row r="1367">
      <c r="A1367" s="47">
        <v>1.120288506E10</v>
      </c>
      <c r="B1367" s="48">
        <v>46147.92349537037</v>
      </c>
      <c r="C1367" s="30">
        <v>3.819994708E9</v>
      </c>
      <c r="D1367" s="47" t="s">
        <v>1509</v>
      </c>
      <c r="E1367" s="30">
        <v>1400.0</v>
      </c>
      <c r="F1367" s="30">
        <v>1160.0</v>
      </c>
      <c r="G1367" s="30">
        <v>0.0</v>
      </c>
      <c r="H1367" s="30">
        <v>0.0</v>
      </c>
      <c r="I1367" s="30">
        <v>89.6</v>
      </c>
      <c r="J1367" s="30">
        <v>0.0</v>
      </c>
      <c r="K1367" s="30">
        <v>0.0</v>
      </c>
      <c r="L1367" s="30">
        <v>0.0</v>
      </c>
      <c r="M1367" s="30">
        <v>0.0</v>
      </c>
      <c r="N1367" s="30">
        <v>233.33333333333326</v>
      </c>
      <c r="O1367" s="30">
        <v>-82.93333333333325</v>
      </c>
      <c r="P1367" s="30">
        <v>-5.923809523809518</v>
      </c>
      <c r="Q1367" s="30">
        <v>-7.108571428571421</v>
      </c>
    </row>
    <row r="1368">
      <c r="A1368" s="47">
        <v>1.1203109622E10</v>
      </c>
      <c r="B1368" s="48">
        <v>46147.96021990741</v>
      </c>
      <c r="C1368" s="30">
        <v>3.820172494E9</v>
      </c>
      <c r="D1368" s="47" t="s">
        <v>1509</v>
      </c>
      <c r="E1368" s="30">
        <v>1325.0</v>
      </c>
      <c r="F1368" s="30">
        <v>999.6</v>
      </c>
      <c r="G1368" s="30">
        <v>0.0</v>
      </c>
      <c r="H1368" s="30">
        <v>0.0</v>
      </c>
      <c r="I1368" s="30">
        <v>165.625</v>
      </c>
      <c r="J1368" s="30">
        <v>0.0</v>
      </c>
      <c r="K1368" s="30">
        <v>0.0</v>
      </c>
      <c r="L1368" s="30">
        <v>0.0</v>
      </c>
      <c r="M1368" s="30">
        <v>0.0</v>
      </c>
      <c r="N1368" s="30">
        <v>220.83333333333326</v>
      </c>
      <c r="O1368" s="30">
        <v>-61.05833333333328</v>
      </c>
      <c r="P1368" s="30">
        <v>-4.608176100628927</v>
      </c>
      <c r="Q1368" s="30">
        <v>-5.529811320754712</v>
      </c>
    </row>
    <row r="1369">
      <c r="A1369" s="47">
        <v>1.1204454691E10</v>
      </c>
      <c r="B1369" s="48">
        <v>46148.41075231481</v>
      </c>
      <c r="C1369" s="30">
        <v>3.82154214E9</v>
      </c>
      <c r="D1369" s="47" t="s">
        <v>1509</v>
      </c>
      <c r="E1369" s="30">
        <v>1554.0</v>
      </c>
      <c r="F1369" s="30">
        <v>1210.0</v>
      </c>
      <c r="G1369" s="30">
        <v>0.0</v>
      </c>
      <c r="H1369" s="30">
        <v>0.0</v>
      </c>
      <c r="I1369" s="30">
        <v>99.456</v>
      </c>
      <c r="J1369" s="30">
        <v>0.0</v>
      </c>
      <c r="K1369" s="30">
        <v>0.0</v>
      </c>
      <c r="L1369" s="30">
        <v>0.0</v>
      </c>
      <c r="M1369" s="30">
        <v>0.0</v>
      </c>
      <c r="N1369" s="30">
        <v>259.0</v>
      </c>
      <c r="O1369" s="30">
        <v>-14.456000000000017</v>
      </c>
      <c r="P1369" s="30">
        <v>-0.9302445302445314</v>
      </c>
      <c r="Q1369" s="30">
        <v>-1.1162934362934376</v>
      </c>
    </row>
    <row r="1370">
      <c r="A1370" s="47">
        <v>1.1202751128E10</v>
      </c>
      <c r="B1370" s="48">
        <v>46147.90118055556</v>
      </c>
      <c r="C1370" s="30">
        <v>3.819879342E9</v>
      </c>
      <c r="D1370" s="47" t="s">
        <v>1509</v>
      </c>
      <c r="E1370" s="30">
        <v>149.0</v>
      </c>
      <c r="F1370" s="30">
        <v>0.0</v>
      </c>
      <c r="G1370" s="30">
        <v>0.0</v>
      </c>
      <c r="H1370" s="30">
        <v>0.0</v>
      </c>
      <c r="I1370" s="30">
        <v>7.45</v>
      </c>
      <c r="J1370" s="30">
        <v>0.0</v>
      </c>
      <c r="K1370" s="30">
        <v>0.0</v>
      </c>
      <c r="L1370" s="30">
        <v>0.0</v>
      </c>
      <c r="M1370" s="30">
        <v>0.0</v>
      </c>
      <c r="N1370" s="30">
        <v>24.83333333333333</v>
      </c>
      <c r="O1370" s="30">
        <v>116.71666666666668</v>
      </c>
      <c r="P1370" s="30">
        <v>78.33333333333334</v>
      </c>
      <c r="Q1370" s="30">
        <v>94.0</v>
      </c>
    </row>
    <row r="1371">
      <c r="A1371" s="47">
        <v>1.1204176203E10</v>
      </c>
      <c r="B1371" s="48">
        <v>46148.146319444444</v>
      </c>
      <c r="C1371" s="30">
        <v>3.821238752E9</v>
      </c>
      <c r="D1371" s="47" t="s">
        <v>1509</v>
      </c>
      <c r="E1371" s="30">
        <v>1482.0</v>
      </c>
      <c r="F1371" s="30">
        <v>1053.0</v>
      </c>
      <c r="G1371" s="30">
        <v>0.0</v>
      </c>
      <c r="H1371" s="30">
        <v>0.0</v>
      </c>
      <c r="I1371" s="30">
        <v>185.25</v>
      </c>
      <c r="J1371" s="30">
        <v>0.0</v>
      </c>
      <c r="K1371" s="30">
        <v>0.0</v>
      </c>
      <c r="L1371" s="30">
        <v>0.0</v>
      </c>
      <c r="M1371" s="30">
        <v>0.0</v>
      </c>
      <c r="N1371" s="30">
        <v>247.0</v>
      </c>
      <c r="O1371" s="30">
        <v>-3.25</v>
      </c>
      <c r="P1371" s="30">
        <v>-0.21929824561403508</v>
      </c>
      <c r="Q1371" s="30">
        <v>-0.2631578947368421</v>
      </c>
    </row>
    <row r="1372">
      <c r="A1372" s="47">
        <v>1.1203693909E10</v>
      </c>
      <c r="B1372" s="48">
        <v>46148.05430555555</v>
      </c>
      <c r="C1372" s="30">
        <v>3.820720645E9</v>
      </c>
      <c r="D1372" s="47" t="s">
        <v>1509</v>
      </c>
      <c r="E1372" s="30">
        <v>1400.0</v>
      </c>
      <c r="F1372" s="30">
        <v>1160.0</v>
      </c>
      <c r="G1372" s="30">
        <v>0.0</v>
      </c>
      <c r="H1372" s="30">
        <v>0.0</v>
      </c>
      <c r="I1372" s="30">
        <v>89.6</v>
      </c>
      <c r="J1372" s="30">
        <v>0.0</v>
      </c>
      <c r="K1372" s="30">
        <v>0.0</v>
      </c>
      <c r="L1372" s="30">
        <v>0.0</v>
      </c>
      <c r="M1372" s="30">
        <v>0.0</v>
      </c>
      <c r="N1372" s="30">
        <v>233.33333333333326</v>
      </c>
      <c r="O1372" s="30">
        <v>-82.93333333333325</v>
      </c>
      <c r="P1372" s="30">
        <v>-5.923809523809518</v>
      </c>
      <c r="Q1372" s="30">
        <v>-7.108571428571421</v>
      </c>
    </row>
    <row r="1373">
      <c r="A1373" s="47">
        <v>1.1201793552E10</v>
      </c>
      <c r="B1373" s="48">
        <v>46147.727847222224</v>
      </c>
      <c r="C1373" s="30">
        <v>3.819034609E9</v>
      </c>
      <c r="D1373" s="47" t="s">
        <v>1509</v>
      </c>
      <c r="E1373" s="30">
        <v>613.0</v>
      </c>
      <c r="F1373" s="30">
        <v>420.0</v>
      </c>
      <c r="G1373" s="30">
        <v>0.0</v>
      </c>
      <c r="H1373" s="30">
        <v>0.0</v>
      </c>
      <c r="I1373" s="30">
        <v>82.755</v>
      </c>
      <c r="J1373" s="30">
        <v>0.0</v>
      </c>
      <c r="K1373" s="30">
        <v>0.0</v>
      </c>
      <c r="L1373" s="30">
        <v>0.0</v>
      </c>
      <c r="M1373" s="30">
        <v>0.0</v>
      </c>
      <c r="N1373" s="30">
        <v>102.16666666666663</v>
      </c>
      <c r="O1373" s="30">
        <v>8.078333333333376</v>
      </c>
      <c r="P1373" s="30">
        <v>1.3178357803153957</v>
      </c>
      <c r="Q1373" s="30">
        <v>1.581402936378475</v>
      </c>
    </row>
    <row r="1374">
      <c r="A1374" s="47">
        <v>1.120452224E10</v>
      </c>
      <c r="B1374" s="48">
        <v>46148.47262731481</v>
      </c>
      <c r="C1374" s="30">
        <v>3.821626896E9</v>
      </c>
      <c r="D1374" s="47" t="s">
        <v>1509</v>
      </c>
      <c r="E1374" s="30">
        <v>1400.0</v>
      </c>
      <c r="F1374" s="30">
        <v>1160.0</v>
      </c>
      <c r="G1374" s="30">
        <v>0.0</v>
      </c>
      <c r="H1374" s="30">
        <v>0.0</v>
      </c>
      <c r="I1374" s="30">
        <v>89.6</v>
      </c>
      <c r="J1374" s="30">
        <v>0.0</v>
      </c>
      <c r="K1374" s="30">
        <v>0.0</v>
      </c>
      <c r="L1374" s="30">
        <v>0.0</v>
      </c>
      <c r="M1374" s="30">
        <v>0.0</v>
      </c>
      <c r="N1374" s="30">
        <v>233.33333333333326</v>
      </c>
      <c r="O1374" s="30">
        <v>-82.93333333333325</v>
      </c>
      <c r="P1374" s="30">
        <v>-5.923809523809518</v>
      </c>
      <c r="Q1374" s="30">
        <v>-7.108571428571421</v>
      </c>
    </row>
    <row r="1375">
      <c r="A1375" s="47">
        <v>1.1198226494E10</v>
      </c>
      <c r="B1375" s="48">
        <v>46146.69232638889</v>
      </c>
      <c r="C1375" s="30">
        <v>3.815737876E9</v>
      </c>
      <c r="D1375" s="47" t="s">
        <v>1509</v>
      </c>
      <c r="E1375" s="30">
        <v>1615.0</v>
      </c>
      <c r="F1375" s="30">
        <v>1190.0</v>
      </c>
      <c r="G1375" s="30">
        <v>0.0</v>
      </c>
      <c r="H1375" s="30">
        <v>0.0</v>
      </c>
      <c r="I1375" s="30">
        <v>201.875</v>
      </c>
      <c r="J1375" s="30">
        <v>0.0</v>
      </c>
      <c r="K1375" s="30">
        <v>0.0</v>
      </c>
      <c r="L1375" s="30">
        <v>0.0</v>
      </c>
      <c r="M1375" s="30">
        <v>0.0</v>
      </c>
      <c r="N1375" s="30">
        <v>269.1666666666665</v>
      </c>
      <c r="O1375" s="30">
        <v>-46.041666666666515</v>
      </c>
      <c r="P1375" s="30">
        <v>-2.8508771929824466</v>
      </c>
      <c r="Q1375" s="30">
        <v>-3.421052631578936</v>
      </c>
    </row>
    <row r="1376">
      <c r="A1376" s="47">
        <v>1.1204034544E10</v>
      </c>
      <c r="B1376" s="48">
        <v>46148.11424768518</v>
      </c>
      <c r="C1376" s="30">
        <v>3.821079965E9</v>
      </c>
      <c r="D1376" s="47" t="s">
        <v>1509</v>
      </c>
      <c r="E1376" s="30">
        <v>1554.0</v>
      </c>
      <c r="F1376" s="30">
        <v>1210.0</v>
      </c>
      <c r="G1376" s="30">
        <v>0.0</v>
      </c>
      <c r="H1376" s="30">
        <v>0.0</v>
      </c>
      <c r="I1376" s="30">
        <v>99.456</v>
      </c>
      <c r="J1376" s="30">
        <v>0.0</v>
      </c>
      <c r="K1376" s="30">
        <v>0.0</v>
      </c>
      <c r="L1376" s="30">
        <v>0.0</v>
      </c>
      <c r="M1376" s="30">
        <v>0.0</v>
      </c>
      <c r="N1376" s="30">
        <v>259.0</v>
      </c>
      <c r="O1376" s="30">
        <v>-14.456000000000017</v>
      </c>
      <c r="P1376" s="30">
        <v>-0.9302445302445314</v>
      </c>
      <c r="Q1376" s="30">
        <v>-1.1162934362934376</v>
      </c>
    </row>
    <row r="1377">
      <c r="A1377" s="47">
        <v>1.1204421418E10</v>
      </c>
      <c r="B1377" s="48">
        <v>46148.30863425926</v>
      </c>
      <c r="C1377" s="30">
        <v>3.821501908E9</v>
      </c>
      <c r="D1377" s="47" t="s">
        <v>1509</v>
      </c>
      <c r="E1377" s="30">
        <v>489.0</v>
      </c>
      <c r="F1377" s="30">
        <v>130.0</v>
      </c>
      <c r="G1377" s="30">
        <v>0.0</v>
      </c>
      <c r="H1377" s="30">
        <v>0.0</v>
      </c>
      <c r="I1377" s="30">
        <v>97.8</v>
      </c>
      <c r="J1377" s="30">
        <v>0.0</v>
      </c>
      <c r="K1377" s="30">
        <v>0.0</v>
      </c>
      <c r="L1377" s="30">
        <v>0.0</v>
      </c>
      <c r="M1377" s="30">
        <v>0.0</v>
      </c>
      <c r="N1377" s="30">
        <v>81.5</v>
      </c>
      <c r="O1377" s="30">
        <v>179.7</v>
      </c>
      <c r="P1377" s="30">
        <v>36.74846625766871</v>
      </c>
      <c r="Q1377" s="30">
        <v>44.09815950920245</v>
      </c>
    </row>
    <row r="1378">
      <c r="A1378" s="47">
        <v>1.1205086713E10</v>
      </c>
      <c r="B1378" s="48">
        <v>46148.61783564815</v>
      </c>
      <c r="C1378" s="30">
        <v>3.822237773E9</v>
      </c>
      <c r="D1378" s="47" t="s">
        <v>1509</v>
      </c>
      <c r="E1378" s="30">
        <v>1554.0</v>
      </c>
      <c r="F1378" s="30">
        <v>1210.0</v>
      </c>
      <c r="G1378" s="30">
        <v>0.0</v>
      </c>
      <c r="H1378" s="30">
        <v>0.0</v>
      </c>
      <c r="I1378" s="30">
        <v>99.456</v>
      </c>
      <c r="J1378" s="30">
        <v>0.0</v>
      </c>
      <c r="K1378" s="30">
        <v>0.0</v>
      </c>
      <c r="L1378" s="30">
        <v>0.0</v>
      </c>
      <c r="M1378" s="30">
        <v>0.0</v>
      </c>
      <c r="N1378" s="30">
        <v>259.0</v>
      </c>
      <c r="O1378" s="30">
        <v>-14.456000000000017</v>
      </c>
      <c r="P1378" s="30">
        <v>-0.9302445302445314</v>
      </c>
      <c r="Q1378" s="30">
        <v>-1.1162934362934376</v>
      </c>
    </row>
    <row r="1379">
      <c r="A1379" s="47">
        <v>1.1203972788E10</v>
      </c>
      <c r="B1379" s="48">
        <v>46148.102175925924</v>
      </c>
      <c r="C1379" s="30">
        <v>3.82101229E9</v>
      </c>
      <c r="D1379" s="47" t="s">
        <v>1509</v>
      </c>
      <c r="E1379" s="30">
        <v>1133.0</v>
      </c>
      <c r="F1379" s="30">
        <v>832.44</v>
      </c>
      <c r="G1379" s="30">
        <v>0.0</v>
      </c>
      <c r="H1379" s="30">
        <v>0.0</v>
      </c>
      <c r="I1379" s="30">
        <v>141.625</v>
      </c>
      <c r="J1379" s="30">
        <v>0.0</v>
      </c>
      <c r="K1379" s="30">
        <v>0.0</v>
      </c>
      <c r="L1379" s="30">
        <v>0.0</v>
      </c>
      <c r="M1379" s="30">
        <v>0.0</v>
      </c>
      <c r="N1379" s="30">
        <v>188.83333333333326</v>
      </c>
      <c r="O1379" s="30">
        <v>-29.898333333333312</v>
      </c>
      <c r="P1379" s="30">
        <v>-2.638864371874079</v>
      </c>
      <c r="Q1379" s="30">
        <v>-3.1666372462488943</v>
      </c>
    </row>
    <row r="1380">
      <c r="A1380" s="47">
        <v>1.1204562535E10</v>
      </c>
      <c r="B1380" s="48">
        <v>46148.49253472222</v>
      </c>
      <c r="C1380" s="30">
        <v>3.821675539E9</v>
      </c>
      <c r="D1380" s="47" t="s">
        <v>1509</v>
      </c>
      <c r="E1380" s="30">
        <v>1407.0</v>
      </c>
      <c r="F1380" s="30">
        <v>1053.0</v>
      </c>
      <c r="G1380" s="30">
        <v>0.0</v>
      </c>
      <c r="H1380" s="30">
        <v>0.0</v>
      </c>
      <c r="I1380" s="30">
        <v>175.875</v>
      </c>
      <c r="J1380" s="30">
        <v>0.0</v>
      </c>
      <c r="K1380" s="30">
        <v>0.0</v>
      </c>
      <c r="L1380" s="30">
        <v>0.0</v>
      </c>
      <c r="M1380" s="30">
        <v>0.0</v>
      </c>
      <c r="N1380" s="30">
        <v>234.5</v>
      </c>
      <c r="O1380" s="30">
        <v>-56.375</v>
      </c>
      <c r="P1380" s="30">
        <v>-4.006751954513148</v>
      </c>
      <c r="Q1380" s="30">
        <v>-4.8081023454157785</v>
      </c>
    </row>
    <row r="1381">
      <c r="A1381" s="47">
        <v>1.1187441938E10</v>
      </c>
      <c r="B1381" s="48">
        <v>46142.88525462963</v>
      </c>
      <c r="C1381" s="30">
        <v>3.806854669E9</v>
      </c>
      <c r="D1381" s="47" t="s">
        <v>1509</v>
      </c>
      <c r="E1381" s="30">
        <v>609.0</v>
      </c>
      <c r="F1381" s="30">
        <v>390.0</v>
      </c>
      <c r="G1381" s="30">
        <v>0.0</v>
      </c>
      <c r="H1381" s="30">
        <v>0.0</v>
      </c>
      <c r="I1381" s="30">
        <v>82.215</v>
      </c>
      <c r="J1381" s="30">
        <v>0.0</v>
      </c>
      <c r="K1381" s="30">
        <v>0.0</v>
      </c>
      <c r="L1381" s="30">
        <v>0.0</v>
      </c>
      <c r="M1381" s="30">
        <v>0.0</v>
      </c>
      <c r="N1381" s="30">
        <v>101.5</v>
      </c>
      <c r="O1381" s="30">
        <v>35.285</v>
      </c>
      <c r="P1381" s="30">
        <v>5.793924466338258</v>
      </c>
      <c r="Q1381" s="30">
        <v>6.95270935960591</v>
      </c>
    </row>
    <row r="1382">
      <c r="A1382" s="47">
        <v>1.1204843183E10</v>
      </c>
      <c r="B1382" s="48">
        <v>46148.57126157408</v>
      </c>
      <c r="C1382" s="30">
        <v>3.821992138E9</v>
      </c>
      <c r="D1382" s="47" t="s">
        <v>1509</v>
      </c>
      <c r="E1382" s="30">
        <v>1400.0</v>
      </c>
      <c r="F1382" s="30">
        <v>1160.0</v>
      </c>
      <c r="G1382" s="30">
        <v>0.0</v>
      </c>
      <c r="H1382" s="30">
        <v>0.0</v>
      </c>
      <c r="I1382" s="30">
        <v>89.6</v>
      </c>
      <c r="J1382" s="30">
        <v>0.0</v>
      </c>
      <c r="K1382" s="30">
        <v>0.0</v>
      </c>
      <c r="L1382" s="30">
        <v>0.0</v>
      </c>
      <c r="M1382" s="30">
        <v>0.0</v>
      </c>
      <c r="N1382" s="30">
        <v>233.33333333333326</v>
      </c>
      <c r="O1382" s="30">
        <v>-82.93333333333325</v>
      </c>
      <c r="P1382" s="30">
        <v>-5.923809523809518</v>
      </c>
      <c r="Q1382" s="30">
        <v>-7.108571428571421</v>
      </c>
    </row>
    <row r="1383">
      <c r="A1383" s="47">
        <v>1.1186315362E10</v>
      </c>
      <c r="B1383" s="48">
        <v>46142.613541666666</v>
      </c>
      <c r="C1383" s="30">
        <v>3.805976993E9</v>
      </c>
      <c r="D1383" s="47" t="s">
        <v>1509</v>
      </c>
      <c r="E1383" s="30">
        <v>480.0</v>
      </c>
      <c r="F1383" s="30">
        <v>300.0</v>
      </c>
      <c r="G1383" s="30">
        <v>0.0</v>
      </c>
      <c r="H1383" s="30">
        <v>0.0</v>
      </c>
      <c r="I1383" s="30">
        <v>79.2</v>
      </c>
      <c r="J1383" s="30">
        <v>0.0</v>
      </c>
      <c r="K1383" s="30">
        <v>0.0</v>
      </c>
      <c r="L1383" s="30">
        <v>0.0</v>
      </c>
      <c r="M1383" s="30">
        <v>0.0</v>
      </c>
      <c r="N1383" s="30">
        <v>80.0</v>
      </c>
      <c r="O1383" s="30">
        <v>20.799999999999997</v>
      </c>
      <c r="P1383" s="30">
        <v>4.333333333333333</v>
      </c>
      <c r="Q1383" s="30">
        <v>5.199999999999999</v>
      </c>
    </row>
    <row r="1384">
      <c r="A1384" s="47">
        <v>1.1203327784E10</v>
      </c>
      <c r="B1384" s="48">
        <v>46147.99538194444</v>
      </c>
      <c r="C1384" s="30">
        <v>3.820363883E9</v>
      </c>
      <c r="D1384" s="47" t="s">
        <v>1509</v>
      </c>
      <c r="E1384" s="30">
        <v>1720.0</v>
      </c>
      <c r="F1384" s="30">
        <v>1260.0</v>
      </c>
      <c r="G1384" s="30">
        <v>0.0</v>
      </c>
      <c r="H1384" s="30">
        <v>0.0</v>
      </c>
      <c r="I1384" s="30">
        <v>283.8</v>
      </c>
      <c r="J1384" s="30">
        <v>0.0</v>
      </c>
      <c r="K1384" s="30">
        <v>0.0</v>
      </c>
      <c r="L1384" s="30">
        <v>0.0</v>
      </c>
      <c r="M1384" s="30">
        <v>0.0</v>
      </c>
      <c r="N1384" s="30">
        <v>286.6666666666665</v>
      </c>
      <c r="O1384" s="30">
        <v>-110.46666666666653</v>
      </c>
      <c r="P1384" s="30">
        <v>-6.42248062015503</v>
      </c>
      <c r="Q1384" s="30">
        <v>-7.706976744186036</v>
      </c>
    </row>
    <row r="1385">
      <c r="A1385" s="47">
        <v>1.1197097081E10</v>
      </c>
      <c r="B1385" s="48">
        <v>46146.11844907407</v>
      </c>
      <c r="C1385" s="30">
        <v>3.814630987E9</v>
      </c>
      <c r="D1385" s="47" t="s">
        <v>1509</v>
      </c>
      <c r="E1385" s="30">
        <v>1535.0</v>
      </c>
      <c r="F1385" s="30">
        <v>1210.0</v>
      </c>
      <c r="G1385" s="30">
        <v>0.0</v>
      </c>
      <c r="H1385" s="30">
        <v>0.0</v>
      </c>
      <c r="I1385" s="30">
        <v>132.01</v>
      </c>
      <c r="J1385" s="30">
        <v>0.0</v>
      </c>
      <c r="K1385" s="30">
        <v>0.0</v>
      </c>
      <c r="L1385" s="30">
        <v>0.0</v>
      </c>
      <c r="M1385" s="30">
        <v>0.0</v>
      </c>
      <c r="N1385" s="30">
        <v>255.83333333333326</v>
      </c>
      <c r="O1385" s="30">
        <v>-62.84333333333325</v>
      </c>
      <c r="P1385" s="30">
        <v>-4.094028230184577</v>
      </c>
      <c r="Q1385" s="30">
        <v>-4.912833876221492</v>
      </c>
    </row>
    <row r="1386">
      <c r="A1386" s="47">
        <v>1.1202541836E10</v>
      </c>
      <c r="B1386" s="48">
        <v>46147.86497685185</v>
      </c>
      <c r="C1386" s="30">
        <v>3.819708647E9</v>
      </c>
      <c r="D1386" s="47" t="s">
        <v>1509</v>
      </c>
      <c r="E1386" s="30">
        <v>978.0</v>
      </c>
      <c r="F1386" s="30">
        <v>621.6</v>
      </c>
      <c r="G1386" s="30">
        <v>0.0</v>
      </c>
      <c r="H1386" s="30">
        <v>0.0</v>
      </c>
      <c r="I1386" s="30">
        <v>122.25</v>
      </c>
      <c r="J1386" s="30">
        <v>0.0</v>
      </c>
      <c r="K1386" s="30">
        <v>0.0</v>
      </c>
      <c r="L1386" s="30">
        <v>0.0</v>
      </c>
      <c r="M1386" s="30">
        <v>0.0</v>
      </c>
      <c r="N1386" s="30">
        <v>163.0</v>
      </c>
      <c r="O1386" s="30">
        <v>71.14999999999998</v>
      </c>
      <c r="P1386" s="30">
        <v>7.275051124744373</v>
      </c>
      <c r="Q1386" s="30">
        <v>8.73006134969325</v>
      </c>
    </row>
    <row r="1387">
      <c r="A1387" s="47">
        <v>1.1199148556E10</v>
      </c>
      <c r="B1387" s="48">
        <v>46146.88232638889</v>
      </c>
      <c r="C1387" s="30">
        <v>3.81653287E9</v>
      </c>
      <c r="D1387" s="47" t="s">
        <v>1509</v>
      </c>
      <c r="E1387" s="30">
        <v>2229.0</v>
      </c>
      <c r="F1387" s="30">
        <v>1500.0</v>
      </c>
      <c r="G1387" s="30">
        <v>0.0</v>
      </c>
      <c r="H1387" s="30">
        <v>0.0</v>
      </c>
      <c r="I1387" s="30">
        <v>300.915</v>
      </c>
      <c r="J1387" s="30">
        <v>0.0</v>
      </c>
      <c r="K1387" s="30">
        <v>0.0</v>
      </c>
      <c r="L1387" s="30">
        <v>0.0</v>
      </c>
      <c r="M1387" s="30">
        <v>0.0</v>
      </c>
      <c r="N1387" s="30">
        <v>371.5</v>
      </c>
      <c r="O1387" s="30">
        <v>56.58499999999998</v>
      </c>
      <c r="P1387" s="30">
        <v>2.5385823239120673</v>
      </c>
      <c r="Q1387" s="30">
        <v>3.0462987886944806</v>
      </c>
    </row>
    <row r="1388">
      <c r="A1388" s="47">
        <v>1.1202479807E10</v>
      </c>
      <c r="B1388" s="48">
        <v>46147.85398148148</v>
      </c>
      <c r="C1388" s="30">
        <v>3.81965539E9</v>
      </c>
      <c r="D1388" s="47" t="s">
        <v>1509</v>
      </c>
      <c r="E1388" s="30">
        <v>1400.0</v>
      </c>
      <c r="F1388" s="30">
        <v>1160.0</v>
      </c>
      <c r="G1388" s="30">
        <v>0.0</v>
      </c>
      <c r="H1388" s="30">
        <v>0.0</v>
      </c>
      <c r="I1388" s="30">
        <v>89.6</v>
      </c>
      <c r="J1388" s="30">
        <v>0.0</v>
      </c>
      <c r="K1388" s="30">
        <v>0.0</v>
      </c>
      <c r="L1388" s="30">
        <v>0.0</v>
      </c>
      <c r="M1388" s="30">
        <v>0.0</v>
      </c>
      <c r="N1388" s="30">
        <v>233.33333333333326</v>
      </c>
      <c r="O1388" s="30">
        <v>-82.93333333333325</v>
      </c>
      <c r="P1388" s="30">
        <v>-5.923809523809518</v>
      </c>
      <c r="Q1388" s="30">
        <v>-7.108571428571421</v>
      </c>
    </row>
    <row r="1389">
      <c r="A1389" s="47">
        <v>1.1204195175E10</v>
      </c>
      <c r="B1389" s="48">
        <v>46148.15136574074</v>
      </c>
      <c r="C1389" s="30">
        <v>3.821254697E9</v>
      </c>
      <c r="D1389" s="47" t="s">
        <v>1509</v>
      </c>
      <c r="E1389" s="30">
        <v>1554.0</v>
      </c>
      <c r="F1389" s="30">
        <v>1210.0</v>
      </c>
      <c r="G1389" s="30">
        <v>0.0</v>
      </c>
      <c r="H1389" s="30">
        <v>0.0</v>
      </c>
      <c r="I1389" s="30">
        <v>99.456</v>
      </c>
      <c r="J1389" s="30">
        <v>0.0</v>
      </c>
      <c r="K1389" s="30">
        <v>0.0</v>
      </c>
      <c r="L1389" s="30">
        <v>0.0</v>
      </c>
      <c r="M1389" s="30">
        <v>0.0</v>
      </c>
      <c r="N1389" s="30">
        <v>259.0</v>
      </c>
      <c r="O1389" s="30">
        <v>-14.456000000000017</v>
      </c>
      <c r="P1389" s="30">
        <v>-0.9302445302445314</v>
      </c>
      <c r="Q1389" s="30">
        <v>-1.1162934362934376</v>
      </c>
    </row>
    <row r="1390">
      <c r="A1390" s="47">
        <v>1.1203913556E10</v>
      </c>
      <c r="B1390" s="48">
        <v>46148.091516203705</v>
      </c>
      <c r="C1390" s="30">
        <v>3.820949195E9</v>
      </c>
      <c r="D1390" s="47" t="s">
        <v>1509</v>
      </c>
      <c r="E1390" s="30">
        <v>1400.0</v>
      </c>
      <c r="F1390" s="30">
        <v>1160.0</v>
      </c>
      <c r="G1390" s="30">
        <v>0.0</v>
      </c>
      <c r="H1390" s="30">
        <v>0.0</v>
      </c>
      <c r="I1390" s="30">
        <v>89.6</v>
      </c>
      <c r="J1390" s="30">
        <v>0.0</v>
      </c>
      <c r="K1390" s="30">
        <v>0.0</v>
      </c>
      <c r="L1390" s="30">
        <v>0.0</v>
      </c>
      <c r="M1390" s="30">
        <v>0.0</v>
      </c>
      <c r="N1390" s="30">
        <v>233.33333333333326</v>
      </c>
      <c r="O1390" s="30">
        <v>-82.93333333333325</v>
      </c>
      <c r="P1390" s="30">
        <v>-5.923809523809518</v>
      </c>
      <c r="Q1390" s="30">
        <v>-7.108571428571421</v>
      </c>
    </row>
    <row r="1391">
      <c r="A1391" s="47">
        <v>1.1202751678E10</v>
      </c>
      <c r="B1391" s="48">
        <v>46147.90127314815</v>
      </c>
      <c r="C1391" s="30">
        <v>3.81988281E9</v>
      </c>
      <c r="D1391" s="47" t="s">
        <v>1509</v>
      </c>
      <c r="E1391" s="30">
        <v>1325.0</v>
      </c>
      <c r="F1391" s="30">
        <v>999.6</v>
      </c>
      <c r="G1391" s="30">
        <v>0.0</v>
      </c>
      <c r="H1391" s="30">
        <v>0.0</v>
      </c>
      <c r="I1391" s="30">
        <v>165.625</v>
      </c>
      <c r="J1391" s="30">
        <v>0.0</v>
      </c>
      <c r="K1391" s="30">
        <v>0.0</v>
      </c>
      <c r="L1391" s="30">
        <v>0.0</v>
      </c>
      <c r="M1391" s="30">
        <v>0.0</v>
      </c>
      <c r="N1391" s="30">
        <v>220.83333333333326</v>
      </c>
      <c r="O1391" s="30">
        <v>-61.05833333333328</v>
      </c>
      <c r="P1391" s="30">
        <v>-4.608176100628927</v>
      </c>
      <c r="Q1391" s="30">
        <v>-5.529811320754712</v>
      </c>
    </row>
    <row r="1392">
      <c r="A1392" s="47">
        <v>1.1203408436E10</v>
      </c>
      <c r="B1392" s="48">
        <v>46148.00780092592</v>
      </c>
      <c r="C1392" s="30">
        <v>3.820443116E9</v>
      </c>
      <c r="D1392" s="47" t="s">
        <v>1509</v>
      </c>
      <c r="E1392" s="30">
        <v>2635.0</v>
      </c>
      <c r="F1392" s="30">
        <v>2000.0</v>
      </c>
      <c r="G1392" s="30">
        <v>0.0</v>
      </c>
      <c r="H1392" s="30">
        <v>0.0</v>
      </c>
      <c r="I1392" s="30">
        <v>168.64</v>
      </c>
      <c r="J1392" s="30">
        <v>0.0</v>
      </c>
      <c r="K1392" s="30">
        <v>0.0</v>
      </c>
      <c r="L1392" s="30">
        <v>0.0</v>
      </c>
      <c r="M1392" s="30">
        <v>0.0</v>
      </c>
      <c r="N1392" s="30">
        <v>439.1666666666665</v>
      </c>
      <c r="O1392" s="30">
        <v>27.1933333333335</v>
      </c>
      <c r="P1392" s="30">
        <v>1.0320050600885577</v>
      </c>
      <c r="Q1392" s="30">
        <v>1.2384060721062693</v>
      </c>
    </row>
    <row r="1393">
      <c r="A1393" s="47">
        <v>1.1202402946E10</v>
      </c>
      <c r="B1393" s="48">
        <v>46147.840208333335</v>
      </c>
      <c r="C1393" s="30">
        <v>3.819587941E9</v>
      </c>
      <c r="D1393" s="47" t="s">
        <v>1509</v>
      </c>
      <c r="E1393" s="30">
        <v>1285.0</v>
      </c>
      <c r="F1393" s="30">
        <v>999.6</v>
      </c>
      <c r="G1393" s="30">
        <v>0.0</v>
      </c>
      <c r="H1393" s="30">
        <v>0.0</v>
      </c>
      <c r="I1393" s="30">
        <v>160.625</v>
      </c>
      <c r="J1393" s="30">
        <v>0.0</v>
      </c>
      <c r="K1393" s="30">
        <v>0.0</v>
      </c>
      <c r="L1393" s="30">
        <v>0.0</v>
      </c>
      <c r="M1393" s="30">
        <v>0.0</v>
      </c>
      <c r="N1393" s="30">
        <v>214.16666666666652</v>
      </c>
      <c r="O1393" s="30">
        <v>-89.39166666666654</v>
      </c>
      <c r="P1393" s="30">
        <v>-6.956549935149146</v>
      </c>
      <c r="Q1393" s="30">
        <v>-8.347859922178975</v>
      </c>
    </row>
    <row r="1394">
      <c r="A1394" s="47">
        <v>1.1193119266E10</v>
      </c>
      <c r="B1394" s="48">
        <v>46144.89010416667</v>
      </c>
      <c r="C1394" s="30">
        <v>3.811403834E9</v>
      </c>
      <c r="D1394" s="47" t="s">
        <v>1509</v>
      </c>
      <c r="E1394" s="30">
        <v>4748.0</v>
      </c>
      <c r="F1394" s="30">
        <v>3663.0</v>
      </c>
      <c r="G1394" s="30">
        <v>0.0</v>
      </c>
      <c r="H1394" s="30">
        <v>0.0</v>
      </c>
      <c r="I1394" s="30">
        <v>783.42</v>
      </c>
      <c r="J1394" s="30">
        <v>0.0</v>
      </c>
      <c r="K1394" s="30">
        <v>0.0</v>
      </c>
      <c r="L1394" s="30">
        <v>0.0</v>
      </c>
      <c r="M1394" s="30">
        <v>0.0</v>
      </c>
      <c r="N1394" s="30">
        <v>791.333333333333</v>
      </c>
      <c r="O1394" s="30">
        <v>-489.753333333333</v>
      </c>
      <c r="P1394" s="30">
        <v>-10.3149396237012</v>
      </c>
      <c r="Q1394" s="30">
        <v>-12.37792754844144</v>
      </c>
    </row>
    <row r="1395">
      <c r="A1395" s="47">
        <v>1.120255867E10</v>
      </c>
      <c r="B1395" s="48">
        <v>46147.86783564815</v>
      </c>
      <c r="C1395" s="30">
        <v>3.819722429E9</v>
      </c>
      <c r="D1395" s="47" t="s">
        <v>1509</v>
      </c>
      <c r="E1395" s="30">
        <v>1554.0</v>
      </c>
      <c r="F1395" s="30">
        <v>1210.0</v>
      </c>
      <c r="G1395" s="30">
        <v>0.0</v>
      </c>
      <c r="H1395" s="30">
        <v>0.0</v>
      </c>
      <c r="I1395" s="30">
        <v>99.456</v>
      </c>
      <c r="J1395" s="30">
        <v>0.0</v>
      </c>
      <c r="K1395" s="30">
        <v>0.0</v>
      </c>
      <c r="L1395" s="30">
        <v>0.0</v>
      </c>
      <c r="M1395" s="30">
        <v>0.0</v>
      </c>
      <c r="N1395" s="30">
        <v>259.0</v>
      </c>
      <c r="O1395" s="30">
        <v>-14.456000000000017</v>
      </c>
      <c r="P1395" s="30">
        <v>-0.9302445302445314</v>
      </c>
      <c r="Q1395" s="30">
        <v>-1.1162934362934376</v>
      </c>
    </row>
    <row r="1396">
      <c r="A1396" s="47">
        <v>1.1204053902E10</v>
      </c>
      <c r="B1396" s="48">
        <v>46148.118483796294</v>
      </c>
      <c r="C1396" s="30">
        <v>3.82110103E9</v>
      </c>
      <c r="D1396" s="47" t="s">
        <v>1509</v>
      </c>
      <c r="E1396" s="30">
        <v>2635.0</v>
      </c>
      <c r="F1396" s="30">
        <v>2000.0</v>
      </c>
      <c r="G1396" s="30">
        <v>0.0</v>
      </c>
      <c r="H1396" s="30">
        <v>0.0</v>
      </c>
      <c r="I1396" s="30">
        <v>168.64</v>
      </c>
      <c r="J1396" s="30">
        <v>0.0</v>
      </c>
      <c r="K1396" s="30">
        <v>0.0</v>
      </c>
      <c r="L1396" s="30">
        <v>0.0</v>
      </c>
      <c r="M1396" s="30">
        <v>0.0</v>
      </c>
      <c r="N1396" s="30">
        <v>439.1666666666665</v>
      </c>
      <c r="O1396" s="30">
        <v>27.1933333333335</v>
      </c>
      <c r="P1396" s="30">
        <v>1.0320050600885577</v>
      </c>
      <c r="Q1396" s="30">
        <v>1.2384060721062693</v>
      </c>
    </row>
    <row r="1397">
      <c r="A1397" s="47">
        <v>1.1199930102E10</v>
      </c>
      <c r="B1397" s="48">
        <v>46147.02880787037</v>
      </c>
      <c r="C1397" s="30">
        <v>3.817179828E9</v>
      </c>
      <c r="D1397" s="47" t="s">
        <v>1509</v>
      </c>
      <c r="E1397" s="30">
        <v>349.99</v>
      </c>
      <c r="F1397" s="30">
        <v>106.0</v>
      </c>
      <c r="G1397" s="30">
        <v>0.0</v>
      </c>
      <c r="H1397" s="30">
        <v>0.0</v>
      </c>
      <c r="I1397" s="30">
        <v>69.998</v>
      </c>
      <c r="J1397" s="30">
        <v>0.0</v>
      </c>
      <c r="K1397" s="30">
        <v>0.0</v>
      </c>
      <c r="L1397" s="30">
        <v>0.0</v>
      </c>
      <c r="M1397" s="30">
        <v>0.0</v>
      </c>
      <c r="N1397" s="30">
        <v>58.33166666666665</v>
      </c>
      <c r="O1397" s="30">
        <v>115.66033333333337</v>
      </c>
      <c r="P1397" s="30">
        <v>33.04675371677287</v>
      </c>
      <c r="Q1397" s="30">
        <v>39.65610446012744</v>
      </c>
    </row>
    <row r="1398">
      <c r="A1398" s="47">
        <v>1.1199921641E10</v>
      </c>
      <c r="B1398" s="48">
        <v>46147.02717592593</v>
      </c>
      <c r="C1398" s="30">
        <v>3.817174005E9</v>
      </c>
      <c r="D1398" s="47" t="s">
        <v>1509</v>
      </c>
      <c r="E1398" s="30">
        <v>1448.0</v>
      </c>
      <c r="F1398" s="30">
        <v>1160.0</v>
      </c>
      <c r="G1398" s="30">
        <v>0.0</v>
      </c>
      <c r="H1398" s="30">
        <v>0.0</v>
      </c>
      <c r="I1398" s="30">
        <v>124.52799999999999</v>
      </c>
      <c r="J1398" s="30">
        <v>0.0</v>
      </c>
      <c r="K1398" s="30">
        <v>0.0</v>
      </c>
      <c r="L1398" s="30">
        <v>0.0</v>
      </c>
      <c r="M1398" s="30">
        <v>0.0</v>
      </c>
      <c r="N1398" s="30">
        <v>241.33333333333326</v>
      </c>
      <c r="O1398" s="30">
        <v>-77.86133333333325</v>
      </c>
      <c r="P1398" s="30">
        <v>-5.377163904235722</v>
      </c>
      <c r="Q1398" s="30">
        <v>-6.452596685082866</v>
      </c>
    </row>
    <row r="1399">
      <c r="A1399" s="47">
        <v>1.1202559137E10</v>
      </c>
      <c r="B1399" s="48">
        <v>46147.86791666667</v>
      </c>
      <c r="C1399" s="30">
        <v>3.81972381E9</v>
      </c>
      <c r="D1399" s="47" t="s">
        <v>1509</v>
      </c>
      <c r="E1399" s="30">
        <v>1554.0</v>
      </c>
      <c r="F1399" s="30">
        <v>1210.0</v>
      </c>
      <c r="G1399" s="30">
        <v>0.0</v>
      </c>
      <c r="H1399" s="30">
        <v>0.0</v>
      </c>
      <c r="I1399" s="30">
        <v>99.456</v>
      </c>
      <c r="J1399" s="30">
        <v>0.0</v>
      </c>
      <c r="K1399" s="30">
        <v>0.0</v>
      </c>
      <c r="L1399" s="30">
        <v>0.0</v>
      </c>
      <c r="M1399" s="30">
        <v>0.0</v>
      </c>
      <c r="N1399" s="30">
        <v>259.0</v>
      </c>
      <c r="O1399" s="30">
        <v>-14.456000000000017</v>
      </c>
      <c r="P1399" s="30">
        <v>-0.9302445302445314</v>
      </c>
      <c r="Q1399" s="30">
        <v>-1.1162934362934376</v>
      </c>
    </row>
    <row r="1400">
      <c r="A1400" s="47">
        <v>1.1202609809E10</v>
      </c>
      <c r="B1400" s="48">
        <v>46147.87703703704</v>
      </c>
      <c r="C1400" s="30">
        <v>3.819766909E9</v>
      </c>
      <c r="D1400" s="47" t="s">
        <v>1509</v>
      </c>
      <c r="E1400" s="30">
        <v>1956.0</v>
      </c>
      <c r="F1400" s="30">
        <v>1243.2</v>
      </c>
      <c r="G1400" s="30">
        <v>0.0</v>
      </c>
      <c r="H1400" s="30">
        <v>0.0</v>
      </c>
      <c r="I1400" s="30">
        <v>244.5</v>
      </c>
      <c r="J1400" s="30">
        <v>0.0</v>
      </c>
      <c r="K1400" s="30">
        <v>0.0</v>
      </c>
      <c r="L1400" s="30">
        <v>0.0</v>
      </c>
      <c r="M1400" s="30">
        <v>0.0</v>
      </c>
      <c r="N1400" s="30">
        <v>326.0</v>
      </c>
      <c r="O1400" s="30">
        <v>142.29999999999995</v>
      </c>
      <c r="P1400" s="30">
        <v>7.275051124744373</v>
      </c>
      <c r="Q1400" s="30">
        <v>8.73006134969325</v>
      </c>
    </row>
    <row r="1401">
      <c r="A1401" s="47">
        <v>1.1203764905E10</v>
      </c>
      <c r="B1401" s="48">
        <v>46148.06637731481</v>
      </c>
      <c r="C1401" s="30">
        <v>3.820794671E9</v>
      </c>
      <c r="D1401" s="47" t="s">
        <v>1509</v>
      </c>
      <c r="E1401" s="30">
        <v>1640.0</v>
      </c>
      <c r="F1401" s="30">
        <v>1228.0</v>
      </c>
      <c r="G1401" s="30">
        <v>0.0</v>
      </c>
      <c r="H1401" s="30">
        <v>0.0</v>
      </c>
      <c r="I1401" s="30">
        <v>270.6</v>
      </c>
      <c r="J1401" s="30">
        <v>0.0</v>
      </c>
      <c r="K1401" s="30">
        <v>0.0</v>
      </c>
      <c r="L1401" s="30">
        <v>0.0</v>
      </c>
      <c r="M1401" s="30">
        <v>0.0</v>
      </c>
      <c r="N1401" s="30">
        <v>273.33333333333326</v>
      </c>
      <c r="O1401" s="30">
        <v>-131.93333333333328</v>
      </c>
      <c r="P1401" s="30">
        <v>-8.044715447154468</v>
      </c>
      <c r="Q1401" s="30">
        <v>-9.653658536585361</v>
      </c>
    </row>
    <row r="1402">
      <c r="A1402" s="47">
        <v>1.1203936992E10</v>
      </c>
      <c r="B1402" s="48">
        <v>46148.095555555556</v>
      </c>
      <c r="C1402" s="30">
        <v>3.820976712E9</v>
      </c>
      <c r="D1402" s="47" t="s">
        <v>1509</v>
      </c>
      <c r="E1402" s="30">
        <v>474.0</v>
      </c>
      <c r="F1402" s="30">
        <v>130.0</v>
      </c>
      <c r="G1402" s="30">
        <v>0.0</v>
      </c>
      <c r="H1402" s="30">
        <v>0.0</v>
      </c>
      <c r="I1402" s="30">
        <v>94.8</v>
      </c>
      <c r="J1402" s="30">
        <v>0.0</v>
      </c>
      <c r="K1402" s="30">
        <v>0.0</v>
      </c>
      <c r="L1402" s="30">
        <v>0.0</v>
      </c>
      <c r="M1402" s="30">
        <v>0.0</v>
      </c>
      <c r="N1402" s="30">
        <v>79.0</v>
      </c>
      <c r="O1402" s="30">
        <v>170.2</v>
      </c>
      <c r="P1402" s="30">
        <v>35.90717299578059</v>
      </c>
      <c r="Q1402" s="30">
        <v>43.088607594936704</v>
      </c>
    </row>
    <row r="1403">
      <c r="A1403" s="47">
        <v>1.1200989551E10</v>
      </c>
      <c r="B1403" s="48">
        <v>46147.57166666666</v>
      </c>
      <c r="C1403" s="30">
        <v>3.818307844E9</v>
      </c>
      <c r="D1403" s="47" t="s">
        <v>1509</v>
      </c>
      <c r="E1403" s="30">
        <v>1299.0</v>
      </c>
      <c r="F1403" s="30">
        <v>855.96</v>
      </c>
      <c r="G1403" s="30">
        <v>0.0</v>
      </c>
      <c r="H1403" s="30">
        <v>0.0</v>
      </c>
      <c r="I1403" s="30">
        <v>162.375</v>
      </c>
      <c r="J1403" s="30">
        <v>0.0</v>
      </c>
      <c r="K1403" s="30">
        <v>0.0</v>
      </c>
      <c r="L1403" s="30">
        <v>0.0</v>
      </c>
      <c r="M1403" s="30">
        <v>0.0</v>
      </c>
      <c r="N1403" s="30">
        <v>216.5</v>
      </c>
      <c r="O1403" s="30">
        <v>64.16499999999996</v>
      </c>
      <c r="P1403" s="30">
        <v>4.939568899153192</v>
      </c>
      <c r="Q1403" s="30">
        <v>5.92748267898383</v>
      </c>
    </row>
    <row r="1404">
      <c r="A1404" s="47">
        <v>1.1202098854E10</v>
      </c>
      <c r="B1404" s="48">
        <v>46147.78648148148</v>
      </c>
      <c r="C1404" s="30">
        <v>3.819310687E9</v>
      </c>
      <c r="D1404" s="47" t="s">
        <v>1509</v>
      </c>
      <c r="E1404" s="30">
        <v>1482.0</v>
      </c>
      <c r="F1404" s="30">
        <v>1053.0</v>
      </c>
      <c r="G1404" s="30">
        <v>0.0</v>
      </c>
      <c r="H1404" s="30">
        <v>0.0</v>
      </c>
      <c r="I1404" s="30">
        <v>185.25</v>
      </c>
      <c r="J1404" s="30">
        <v>0.0</v>
      </c>
      <c r="K1404" s="30">
        <v>0.0</v>
      </c>
      <c r="L1404" s="30">
        <v>0.0</v>
      </c>
      <c r="M1404" s="30">
        <v>0.0</v>
      </c>
      <c r="N1404" s="30">
        <v>247.0</v>
      </c>
      <c r="O1404" s="30">
        <v>-3.25</v>
      </c>
      <c r="P1404" s="30">
        <v>-0.21929824561403508</v>
      </c>
      <c r="Q1404" s="30">
        <v>-0.2631578947368421</v>
      </c>
    </row>
    <row r="1405">
      <c r="A1405" s="47">
        <v>1.1204354986E10</v>
      </c>
      <c r="B1405" s="48">
        <v>46148.215844907405</v>
      </c>
      <c r="C1405" s="30">
        <v>3.821427201E9</v>
      </c>
      <c r="D1405" s="47" t="s">
        <v>1509</v>
      </c>
      <c r="E1405" s="30">
        <v>1400.0</v>
      </c>
      <c r="F1405" s="30">
        <v>1160.0</v>
      </c>
      <c r="G1405" s="30">
        <v>0.0</v>
      </c>
      <c r="H1405" s="30">
        <v>0.0</v>
      </c>
      <c r="I1405" s="30">
        <v>89.6</v>
      </c>
      <c r="J1405" s="30">
        <v>0.0</v>
      </c>
      <c r="K1405" s="30">
        <v>0.0</v>
      </c>
      <c r="L1405" s="30">
        <v>0.0</v>
      </c>
      <c r="M1405" s="30">
        <v>0.0</v>
      </c>
      <c r="N1405" s="30">
        <v>233.33333333333326</v>
      </c>
      <c r="O1405" s="30">
        <v>-82.93333333333325</v>
      </c>
      <c r="P1405" s="30">
        <v>-5.923809523809518</v>
      </c>
      <c r="Q1405" s="30">
        <v>-7.108571428571421</v>
      </c>
    </row>
    <row r="1406">
      <c r="A1406" s="47">
        <v>1.1204809589E10</v>
      </c>
      <c r="B1406" s="48">
        <v>46148.56327546296</v>
      </c>
      <c r="C1406" s="30">
        <v>3.821952928E9</v>
      </c>
      <c r="D1406" s="47" t="s">
        <v>1509</v>
      </c>
      <c r="E1406" s="30">
        <v>1430.0</v>
      </c>
      <c r="F1406" s="30">
        <v>1165.0</v>
      </c>
      <c r="G1406" s="30">
        <v>0.0</v>
      </c>
      <c r="H1406" s="30">
        <v>0.0</v>
      </c>
      <c r="I1406" s="30">
        <v>91.52</v>
      </c>
      <c r="J1406" s="30">
        <v>0.0</v>
      </c>
      <c r="K1406" s="30">
        <v>0.0</v>
      </c>
      <c r="L1406" s="30">
        <v>0.0</v>
      </c>
      <c r="M1406" s="30">
        <v>0.0</v>
      </c>
      <c r="N1406" s="30">
        <v>238.33333333333326</v>
      </c>
      <c r="O1406" s="30">
        <v>-64.85333333333324</v>
      </c>
      <c r="P1406" s="30">
        <v>-4.5351981351981285</v>
      </c>
      <c r="Q1406" s="30">
        <v>-5.442237762237754</v>
      </c>
    </row>
    <row r="1407">
      <c r="A1407" s="47">
        <v>1.1204967608E10</v>
      </c>
      <c r="B1407" s="48">
        <v>46148.59690972222</v>
      </c>
      <c r="C1407" s="30">
        <v>3.822124963E9</v>
      </c>
      <c r="D1407" s="47" t="s">
        <v>1509</v>
      </c>
      <c r="E1407" s="30">
        <v>1482.0</v>
      </c>
      <c r="F1407" s="30">
        <v>1053.0</v>
      </c>
      <c r="G1407" s="30">
        <v>0.0</v>
      </c>
      <c r="H1407" s="30">
        <v>0.0</v>
      </c>
      <c r="I1407" s="30">
        <v>185.25</v>
      </c>
      <c r="J1407" s="30">
        <v>0.0</v>
      </c>
      <c r="K1407" s="30">
        <v>0.0</v>
      </c>
      <c r="L1407" s="30">
        <v>0.0</v>
      </c>
      <c r="M1407" s="30">
        <v>0.0</v>
      </c>
      <c r="N1407" s="30">
        <v>247.0</v>
      </c>
      <c r="O1407" s="30">
        <v>-3.25</v>
      </c>
      <c r="P1407" s="30">
        <v>-0.21929824561403508</v>
      </c>
      <c r="Q1407" s="30">
        <v>-0.2631578947368421</v>
      </c>
    </row>
    <row r="1408">
      <c r="A1408" s="47">
        <v>1.1202947311E10</v>
      </c>
      <c r="B1408" s="48">
        <v>46147.93373842593</v>
      </c>
      <c r="C1408" s="30">
        <v>3.820039078E9</v>
      </c>
      <c r="D1408" s="47" t="s">
        <v>1509</v>
      </c>
      <c r="E1408" s="30">
        <v>1325.0</v>
      </c>
      <c r="F1408" s="30">
        <v>999.6</v>
      </c>
      <c r="G1408" s="30">
        <v>0.0</v>
      </c>
      <c r="H1408" s="30">
        <v>0.0</v>
      </c>
      <c r="I1408" s="30">
        <v>165.625</v>
      </c>
      <c r="J1408" s="30">
        <v>0.0</v>
      </c>
      <c r="K1408" s="30">
        <v>0.0</v>
      </c>
      <c r="L1408" s="30">
        <v>0.0</v>
      </c>
      <c r="M1408" s="30">
        <v>0.0</v>
      </c>
      <c r="N1408" s="30">
        <v>220.83333333333326</v>
      </c>
      <c r="O1408" s="30">
        <v>-61.05833333333328</v>
      </c>
      <c r="P1408" s="30">
        <v>-4.608176100628927</v>
      </c>
      <c r="Q1408" s="30">
        <v>-5.529811320754712</v>
      </c>
    </row>
    <row r="1409">
      <c r="A1409" s="47">
        <v>1.1202158183E10</v>
      </c>
      <c r="B1409" s="48">
        <v>46147.797743055555</v>
      </c>
      <c r="C1409" s="30">
        <v>3.819364741E9</v>
      </c>
      <c r="D1409" s="47" t="s">
        <v>1509</v>
      </c>
      <c r="E1409" s="30">
        <v>1400.0</v>
      </c>
      <c r="F1409" s="30">
        <v>1160.0</v>
      </c>
      <c r="G1409" s="30">
        <v>0.0</v>
      </c>
      <c r="H1409" s="30">
        <v>0.0</v>
      </c>
      <c r="I1409" s="30">
        <v>89.6</v>
      </c>
      <c r="J1409" s="30">
        <v>0.0</v>
      </c>
      <c r="K1409" s="30">
        <v>0.0</v>
      </c>
      <c r="L1409" s="30">
        <v>0.0</v>
      </c>
      <c r="M1409" s="30">
        <v>0.0</v>
      </c>
      <c r="N1409" s="30">
        <v>233.33333333333326</v>
      </c>
      <c r="O1409" s="30">
        <v>-82.93333333333325</v>
      </c>
      <c r="P1409" s="30">
        <v>-5.923809523809518</v>
      </c>
      <c r="Q1409" s="30">
        <v>-7.108571428571421</v>
      </c>
    </row>
    <row r="1410">
      <c r="A1410" s="47">
        <v>1.1197643718E10</v>
      </c>
      <c r="B1410" s="48">
        <v>46146.56590277778</v>
      </c>
      <c r="C1410" s="30">
        <v>3.815224237E9</v>
      </c>
      <c r="D1410" s="47" t="s">
        <v>1509</v>
      </c>
      <c r="E1410" s="30">
        <v>1535.0</v>
      </c>
      <c r="F1410" s="30">
        <v>1210.0</v>
      </c>
      <c r="G1410" s="30">
        <v>0.0</v>
      </c>
      <c r="H1410" s="30">
        <v>0.0</v>
      </c>
      <c r="I1410" s="30">
        <v>132.01</v>
      </c>
      <c r="J1410" s="30">
        <v>0.0</v>
      </c>
      <c r="K1410" s="30">
        <v>0.0</v>
      </c>
      <c r="L1410" s="30">
        <v>0.0</v>
      </c>
      <c r="M1410" s="30">
        <v>0.0</v>
      </c>
      <c r="N1410" s="30">
        <v>255.83333333333326</v>
      </c>
      <c r="O1410" s="30">
        <v>-62.84333333333325</v>
      </c>
      <c r="P1410" s="30">
        <v>-4.094028230184577</v>
      </c>
      <c r="Q1410" s="30">
        <v>-4.912833876221492</v>
      </c>
    </row>
    <row r="1411">
      <c r="A1411" s="47">
        <v>1.1193896702E10</v>
      </c>
      <c r="B1411" s="48">
        <v>46145.06369212963</v>
      </c>
      <c r="C1411" s="30">
        <v>3.81198106E9</v>
      </c>
      <c r="D1411" s="47" t="s">
        <v>1509</v>
      </c>
      <c r="E1411" s="30">
        <v>1149.0</v>
      </c>
      <c r="F1411" s="30">
        <v>780.0</v>
      </c>
      <c r="G1411" s="30">
        <v>0.0</v>
      </c>
      <c r="H1411" s="30">
        <v>0.0</v>
      </c>
      <c r="I1411" s="30">
        <v>155.115</v>
      </c>
      <c r="J1411" s="30">
        <v>0.0</v>
      </c>
      <c r="K1411" s="30">
        <v>0.0</v>
      </c>
      <c r="L1411" s="30">
        <v>0.0</v>
      </c>
      <c r="M1411" s="30">
        <v>0.0</v>
      </c>
      <c r="N1411" s="30">
        <v>191.5</v>
      </c>
      <c r="O1411" s="30">
        <v>22.38499999999999</v>
      </c>
      <c r="P1411" s="30">
        <v>1.9482158398607476</v>
      </c>
      <c r="Q1411" s="30">
        <v>2.3378590078328974</v>
      </c>
    </row>
    <row r="1412">
      <c r="A1412" s="47">
        <v>1.1204332856E10</v>
      </c>
      <c r="B1412" s="48">
        <v>46148.2022337963</v>
      </c>
      <c r="C1412" s="30">
        <v>3.821403881E9</v>
      </c>
      <c r="D1412" s="47" t="s">
        <v>1509</v>
      </c>
      <c r="E1412" s="30">
        <v>1554.0</v>
      </c>
      <c r="F1412" s="30">
        <v>1210.0</v>
      </c>
      <c r="G1412" s="30">
        <v>0.0</v>
      </c>
      <c r="H1412" s="30">
        <v>0.0</v>
      </c>
      <c r="I1412" s="30">
        <v>99.456</v>
      </c>
      <c r="J1412" s="30">
        <v>0.0</v>
      </c>
      <c r="K1412" s="30">
        <v>0.0</v>
      </c>
      <c r="L1412" s="30">
        <v>0.0</v>
      </c>
      <c r="M1412" s="30">
        <v>0.0</v>
      </c>
      <c r="N1412" s="30">
        <v>259.0</v>
      </c>
      <c r="O1412" s="30">
        <v>-14.456000000000017</v>
      </c>
      <c r="P1412" s="30">
        <v>-0.9302445302445314</v>
      </c>
      <c r="Q1412" s="30">
        <v>-1.1162934362934376</v>
      </c>
    </row>
    <row r="1413">
      <c r="A1413" s="47">
        <v>1.1202944535E10</v>
      </c>
      <c r="B1413" s="48">
        <v>46147.933287037034</v>
      </c>
      <c r="C1413" s="30">
        <v>3.820037825E9</v>
      </c>
      <c r="D1413" s="47" t="s">
        <v>1509</v>
      </c>
      <c r="E1413" s="30">
        <v>2049.99</v>
      </c>
      <c r="F1413" s="30">
        <v>1535.52</v>
      </c>
      <c r="G1413" s="30">
        <v>0.0</v>
      </c>
      <c r="H1413" s="30">
        <v>0.0</v>
      </c>
      <c r="I1413" s="30">
        <v>256.24875</v>
      </c>
      <c r="J1413" s="30">
        <v>0.0</v>
      </c>
      <c r="K1413" s="30">
        <v>0.0</v>
      </c>
      <c r="L1413" s="30">
        <v>0.0</v>
      </c>
      <c r="M1413" s="30">
        <v>0.0</v>
      </c>
      <c r="N1413" s="30">
        <v>341.66499999999996</v>
      </c>
      <c r="O1413" s="30">
        <v>-83.44375000000014</v>
      </c>
      <c r="P1413" s="30">
        <v>-4.070446685105788</v>
      </c>
      <c r="Q1413" s="30">
        <v>-4.884536022126946</v>
      </c>
    </row>
    <row r="1414">
      <c r="A1414" s="47">
        <v>1.1203236307E10</v>
      </c>
      <c r="B1414" s="48">
        <v>46147.9809375</v>
      </c>
      <c r="C1414" s="30">
        <v>3.820281595E9</v>
      </c>
      <c r="D1414" s="47" t="s">
        <v>1509</v>
      </c>
      <c r="E1414" s="30">
        <v>978.0</v>
      </c>
      <c r="F1414" s="30">
        <v>621.6</v>
      </c>
      <c r="G1414" s="30">
        <v>0.0</v>
      </c>
      <c r="H1414" s="30">
        <v>0.0</v>
      </c>
      <c r="I1414" s="30">
        <v>122.25</v>
      </c>
      <c r="J1414" s="30">
        <v>0.0</v>
      </c>
      <c r="K1414" s="30">
        <v>0.0</v>
      </c>
      <c r="L1414" s="30">
        <v>0.0</v>
      </c>
      <c r="M1414" s="30">
        <v>0.0</v>
      </c>
      <c r="N1414" s="30">
        <v>163.0</v>
      </c>
      <c r="O1414" s="30">
        <v>71.14999999999998</v>
      </c>
      <c r="P1414" s="30">
        <v>7.275051124744373</v>
      </c>
      <c r="Q1414" s="30">
        <v>8.73006134969325</v>
      </c>
    </row>
    <row r="1415">
      <c r="A1415" s="47">
        <v>1.1204714174E10</v>
      </c>
      <c r="B1415" s="48">
        <v>46148.53971064815</v>
      </c>
      <c r="C1415" s="30">
        <v>3.821846883E9</v>
      </c>
      <c r="D1415" s="47" t="s">
        <v>1509</v>
      </c>
      <c r="E1415" s="30">
        <v>1430.0</v>
      </c>
      <c r="F1415" s="30">
        <v>1165.0</v>
      </c>
      <c r="G1415" s="30">
        <v>0.0</v>
      </c>
      <c r="H1415" s="30">
        <v>0.0</v>
      </c>
      <c r="I1415" s="30">
        <v>91.52</v>
      </c>
      <c r="J1415" s="30">
        <v>0.0</v>
      </c>
      <c r="K1415" s="30">
        <v>0.0</v>
      </c>
      <c r="L1415" s="30">
        <v>0.0</v>
      </c>
      <c r="M1415" s="30">
        <v>0.0</v>
      </c>
      <c r="N1415" s="30">
        <v>238.33333333333326</v>
      </c>
      <c r="O1415" s="30">
        <v>-64.85333333333324</v>
      </c>
      <c r="P1415" s="30">
        <v>-4.5351981351981285</v>
      </c>
      <c r="Q1415" s="30">
        <v>-5.442237762237754</v>
      </c>
    </row>
    <row r="1416">
      <c r="A1416" s="47">
        <v>1.1201903885E10</v>
      </c>
      <c r="B1416" s="48">
        <v>46147.749398148146</v>
      </c>
      <c r="C1416" s="30">
        <v>3.819134276E9</v>
      </c>
      <c r="D1416" s="47" t="s">
        <v>1509</v>
      </c>
      <c r="E1416" s="30">
        <v>1400.0</v>
      </c>
      <c r="F1416" s="30">
        <v>1160.0</v>
      </c>
      <c r="G1416" s="30">
        <v>0.0</v>
      </c>
      <c r="H1416" s="30">
        <v>0.0</v>
      </c>
      <c r="I1416" s="30">
        <v>89.6</v>
      </c>
      <c r="J1416" s="30">
        <v>0.0</v>
      </c>
      <c r="K1416" s="30">
        <v>0.0</v>
      </c>
      <c r="L1416" s="30">
        <v>0.0</v>
      </c>
      <c r="M1416" s="30">
        <v>0.0</v>
      </c>
      <c r="N1416" s="30">
        <v>233.33333333333326</v>
      </c>
      <c r="O1416" s="30">
        <v>-82.93333333333325</v>
      </c>
      <c r="P1416" s="30">
        <v>-5.923809523809518</v>
      </c>
      <c r="Q1416" s="30">
        <v>-7.108571428571421</v>
      </c>
    </row>
    <row r="1417">
      <c r="A1417" s="47">
        <v>1.1204718477E10</v>
      </c>
      <c r="B1417" s="48">
        <v>46148.5408912037</v>
      </c>
      <c r="C1417" s="30">
        <v>3.821850339E9</v>
      </c>
      <c r="D1417" s="47" t="s">
        <v>1509</v>
      </c>
      <c r="E1417" s="30">
        <v>474.47</v>
      </c>
      <c r="F1417" s="30">
        <v>130.0</v>
      </c>
      <c r="G1417" s="30">
        <v>0.0</v>
      </c>
      <c r="H1417" s="30">
        <v>0.0</v>
      </c>
      <c r="I1417" s="30">
        <v>94.89400000000002</v>
      </c>
      <c r="J1417" s="30">
        <v>0.0</v>
      </c>
      <c r="K1417" s="30">
        <v>0.0</v>
      </c>
      <c r="L1417" s="30">
        <v>0.0</v>
      </c>
      <c r="M1417" s="30">
        <v>0.0</v>
      </c>
      <c r="N1417" s="30">
        <v>79.07833333333332</v>
      </c>
      <c r="O1417" s="30">
        <v>170.4976666666667</v>
      </c>
      <c r="P1417" s="30">
        <v>35.93434077321363</v>
      </c>
      <c r="Q1417" s="30">
        <v>43.121208927856344</v>
      </c>
    </row>
    <row r="1418">
      <c r="A1418" s="47">
        <v>1.1201356901E10</v>
      </c>
      <c r="B1418" s="48">
        <v>46147.646875</v>
      </c>
      <c r="C1418" s="30">
        <v>3.818642886E9</v>
      </c>
      <c r="D1418" s="47" t="s">
        <v>1509</v>
      </c>
      <c r="E1418" s="30">
        <v>2980.0</v>
      </c>
      <c r="F1418" s="30">
        <v>0.0</v>
      </c>
      <c r="G1418" s="30">
        <v>0.0</v>
      </c>
      <c r="H1418" s="30">
        <v>0.0</v>
      </c>
      <c r="I1418" s="30">
        <v>149.0</v>
      </c>
      <c r="J1418" s="30">
        <v>0.0</v>
      </c>
      <c r="K1418" s="30">
        <v>0.0</v>
      </c>
      <c r="L1418" s="30">
        <v>0.0</v>
      </c>
      <c r="M1418" s="30">
        <v>0.0</v>
      </c>
      <c r="N1418" s="30">
        <v>496.6666666666665</v>
      </c>
      <c r="O1418" s="30">
        <v>2334.3333333333335</v>
      </c>
      <c r="P1418" s="30">
        <v>78.33333333333334</v>
      </c>
      <c r="Q1418" s="30">
        <v>94.0</v>
      </c>
    </row>
    <row r="1419">
      <c r="A1419" s="47">
        <v>1.1203089015E10</v>
      </c>
      <c r="B1419" s="48">
        <v>46147.956724537034</v>
      </c>
      <c r="C1419" s="30">
        <v>3.820157068E9</v>
      </c>
      <c r="D1419" s="47" t="s">
        <v>1509</v>
      </c>
      <c r="E1419" s="30">
        <v>1554.0</v>
      </c>
      <c r="F1419" s="30">
        <v>1210.0</v>
      </c>
      <c r="G1419" s="30">
        <v>0.0</v>
      </c>
      <c r="H1419" s="30">
        <v>0.0</v>
      </c>
      <c r="I1419" s="30">
        <v>99.456</v>
      </c>
      <c r="J1419" s="30">
        <v>0.0</v>
      </c>
      <c r="K1419" s="30">
        <v>0.0</v>
      </c>
      <c r="L1419" s="30">
        <v>0.0</v>
      </c>
      <c r="M1419" s="30">
        <v>0.0</v>
      </c>
      <c r="N1419" s="30">
        <v>259.0</v>
      </c>
      <c r="O1419" s="30">
        <v>-14.456000000000017</v>
      </c>
      <c r="P1419" s="30">
        <v>-0.9302445302445314</v>
      </c>
      <c r="Q1419" s="30">
        <v>-1.1162934362934376</v>
      </c>
    </row>
    <row r="1420">
      <c r="A1420" s="47">
        <v>1.1203399755E10</v>
      </c>
      <c r="B1420" s="48">
        <v>46148.00643518518</v>
      </c>
      <c r="C1420" s="30">
        <v>3.820432737E9</v>
      </c>
      <c r="D1420" s="47" t="s">
        <v>1509</v>
      </c>
      <c r="E1420" s="30">
        <v>2635.0</v>
      </c>
      <c r="F1420" s="30">
        <v>2000.0</v>
      </c>
      <c r="G1420" s="30">
        <v>0.0</v>
      </c>
      <c r="H1420" s="30">
        <v>0.0</v>
      </c>
      <c r="I1420" s="30">
        <v>168.64</v>
      </c>
      <c r="J1420" s="30">
        <v>0.0</v>
      </c>
      <c r="K1420" s="30">
        <v>0.0</v>
      </c>
      <c r="L1420" s="30">
        <v>0.0</v>
      </c>
      <c r="M1420" s="30">
        <v>0.0</v>
      </c>
      <c r="N1420" s="30">
        <v>439.1666666666665</v>
      </c>
      <c r="O1420" s="30">
        <v>27.1933333333335</v>
      </c>
      <c r="P1420" s="30">
        <v>1.0320050600885577</v>
      </c>
      <c r="Q1420" s="30">
        <v>1.2384060721062693</v>
      </c>
    </row>
    <row r="1421">
      <c r="A1421" s="47">
        <v>1.1203998195E10</v>
      </c>
      <c r="B1421" s="48">
        <v>46148.10697916667</v>
      </c>
      <c r="C1421" s="30">
        <v>3.821041229E9</v>
      </c>
      <c r="D1421" s="47" t="s">
        <v>1509</v>
      </c>
      <c r="E1421" s="30">
        <v>1554.0</v>
      </c>
      <c r="F1421" s="30">
        <v>1210.0</v>
      </c>
      <c r="G1421" s="30">
        <v>0.0</v>
      </c>
      <c r="H1421" s="30">
        <v>0.0</v>
      </c>
      <c r="I1421" s="30">
        <v>99.456</v>
      </c>
      <c r="J1421" s="30">
        <v>0.0</v>
      </c>
      <c r="K1421" s="30">
        <v>0.0</v>
      </c>
      <c r="L1421" s="30">
        <v>0.0</v>
      </c>
      <c r="M1421" s="30">
        <v>0.0</v>
      </c>
      <c r="N1421" s="30">
        <v>259.0</v>
      </c>
      <c r="O1421" s="30">
        <v>-14.456000000000017</v>
      </c>
      <c r="P1421" s="30">
        <v>-0.9302445302445314</v>
      </c>
      <c r="Q1421" s="30">
        <v>-1.1162934362934376</v>
      </c>
    </row>
    <row r="1422">
      <c r="A1422" s="47">
        <v>1.1202146371E10</v>
      </c>
      <c r="B1422" s="48">
        <v>46147.795625</v>
      </c>
      <c r="C1422" s="30">
        <v>3.819357629E9</v>
      </c>
      <c r="D1422" s="47" t="s">
        <v>1509</v>
      </c>
      <c r="E1422" s="30">
        <v>2570.0</v>
      </c>
      <c r="F1422" s="30">
        <v>1999.2</v>
      </c>
      <c r="G1422" s="30">
        <v>0.0</v>
      </c>
      <c r="H1422" s="30">
        <v>0.0</v>
      </c>
      <c r="I1422" s="30">
        <v>321.25</v>
      </c>
      <c r="J1422" s="30">
        <v>0.0</v>
      </c>
      <c r="K1422" s="30">
        <v>0.0</v>
      </c>
      <c r="L1422" s="30">
        <v>0.0</v>
      </c>
      <c r="M1422" s="30">
        <v>0.0</v>
      </c>
      <c r="N1422" s="30">
        <v>428.33333333333303</v>
      </c>
      <c r="O1422" s="30">
        <v>-178.78333333333308</v>
      </c>
      <c r="P1422" s="30">
        <v>-6.956549935149146</v>
      </c>
      <c r="Q1422" s="30">
        <v>-8.347859922178975</v>
      </c>
    </row>
    <row r="1423">
      <c r="A1423" s="47">
        <v>1.1204805028E10</v>
      </c>
      <c r="B1423" s="48">
        <v>46148.56219907408</v>
      </c>
      <c r="C1423" s="30">
        <v>3.821949503E9</v>
      </c>
      <c r="D1423" s="47" t="s">
        <v>1509</v>
      </c>
      <c r="E1423" s="30">
        <v>1430.0</v>
      </c>
      <c r="F1423" s="30">
        <v>1165.0</v>
      </c>
      <c r="G1423" s="30">
        <v>0.0</v>
      </c>
      <c r="H1423" s="30">
        <v>0.0</v>
      </c>
      <c r="I1423" s="30">
        <v>91.52</v>
      </c>
      <c r="J1423" s="30">
        <v>0.0</v>
      </c>
      <c r="K1423" s="30">
        <v>0.0</v>
      </c>
      <c r="L1423" s="30">
        <v>0.0</v>
      </c>
      <c r="M1423" s="30">
        <v>0.0</v>
      </c>
      <c r="N1423" s="30">
        <v>238.33333333333326</v>
      </c>
      <c r="O1423" s="30">
        <v>-64.85333333333324</v>
      </c>
      <c r="P1423" s="30">
        <v>-4.5351981351981285</v>
      </c>
      <c r="Q1423" s="30">
        <v>-5.442237762237754</v>
      </c>
    </row>
    <row r="1424">
      <c r="A1424" s="47">
        <v>1.1202691073E10</v>
      </c>
      <c r="B1424" s="48">
        <v>46147.891388888886</v>
      </c>
      <c r="C1424" s="30">
        <v>3.81982989E9</v>
      </c>
      <c r="D1424" s="47" t="s">
        <v>1509</v>
      </c>
      <c r="E1424" s="30">
        <v>1400.0</v>
      </c>
      <c r="F1424" s="30">
        <v>1160.0</v>
      </c>
      <c r="G1424" s="30">
        <v>0.0</v>
      </c>
      <c r="H1424" s="30">
        <v>0.0</v>
      </c>
      <c r="I1424" s="30">
        <v>89.6</v>
      </c>
      <c r="J1424" s="30">
        <v>0.0</v>
      </c>
      <c r="K1424" s="30">
        <v>0.0</v>
      </c>
      <c r="L1424" s="30">
        <v>0.0</v>
      </c>
      <c r="M1424" s="30">
        <v>0.0</v>
      </c>
      <c r="N1424" s="30">
        <v>233.33333333333326</v>
      </c>
      <c r="O1424" s="30">
        <v>-82.93333333333325</v>
      </c>
      <c r="P1424" s="30">
        <v>-5.923809523809518</v>
      </c>
      <c r="Q1424" s="30">
        <v>-7.108571428571421</v>
      </c>
    </row>
    <row r="1425">
      <c r="A1425" s="47">
        <v>1.1204843158E10</v>
      </c>
      <c r="B1425" s="48">
        <v>46148.57125</v>
      </c>
      <c r="C1425" s="30">
        <v>3.821991633E9</v>
      </c>
      <c r="D1425" s="47" t="s">
        <v>1509</v>
      </c>
      <c r="E1425" s="30">
        <v>1554.0</v>
      </c>
      <c r="F1425" s="30">
        <v>1210.0</v>
      </c>
      <c r="G1425" s="30">
        <v>0.0</v>
      </c>
      <c r="H1425" s="30">
        <v>0.0</v>
      </c>
      <c r="I1425" s="30">
        <v>99.456</v>
      </c>
      <c r="J1425" s="30">
        <v>0.0</v>
      </c>
      <c r="K1425" s="30">
        <v>0.0</v>
      </c>
      <c r="L1425" s="30">
        <v>0.0</v>
      </c>
      <c r="M1425" s="30">
        <v>0.0</v>
      </c>
      <c r="N1425" s="30">
        <v>259.0</v>
      </c>
      <c r="O1425" s="30">
        <v>-14.456000000000017</v>
      </c>
      <c r="P1425" s="30">
        <v>-0.9302445302445314</v>
      </c>
      <c r="Q1425" s="30">
        <v>-1.1162934362934376</v>
      </c>
    </row>
    <row r="1426">
      <c r="A1426" s="47">
        <v>1.1202902881E10</v>
      </c>
      <c r="B1426" s="48">
        <v>46147.92643518518</v>
      </c>
      <c r="C1426" s="30">
        <v>3.82000442E9</v>
      </c>
      <c r="D1426" s="47" t="s">
        <v>1509</v>
      </c>
      <c r="E1426" s="30">
        <v>1325.0</v>
      </c>
      <c r="F1426" s="30">
        <v>999.6</v>
      </c>
      <c r="G1426" s="30">
        <v>0.0</v>
      </c>
      <c r="H1426" s="30">
        <v>0.0</v>
      </c>
      <c r="I1426" s="30">
        <v>165.625</v>
      </c>
      <c r="J1426" s="30">
        <v>0.0</v>
      </c>
      <c r="K1426" s="30">
        <v>0.0</v>
      </c>
      <c r="L1426" s="30">
        <v>0.0</v>
      </c>
      <c r="M1426" s="30">
        <v>0.0</v>
      </c>
      <c r="N1426" s="30">
        <v>220.83333333333326</v>
      </c>
      <c r="O1426" s="30">
        <v>-61.05833333333328</v>
      </c>
      <c r="P1426" s="30">
        <v>-4.608176100628927</v>
      </c>
      <c r="Q1426" s="30">
        <v>-5.529811320754712</v>
      </c>
    </row>
    <row r="1427">
      <c r="A1427" s="47">
        <v>1.1204568088E10</v>
      </c>
      <c r="B1427" s="48">
        <v>46148.494618055556</v>
      </c>
      <c r="C1427" s="30">
        <v>3.82168185E9</v>
      </c>
      <c r="D1427" s="47" t="s">
        <v>1509</v>
      </c>
      <c r="E1427" s="30">
        <v>1599.0</v>
      </c>
      <c r="F1427" s="30">
        <v>1190.0</v>
      </c>
      <c r="G1427" s="30">
        <v>0.0</v>
      </c>
      <c r="H1427" s="30">
        <v>0.0</v>
      </c>
      <c r="I1427" s="30">
        <v>199.875</v>
      </c>
      <c r="J1427" s="30">
        <v>0.0</v>
      </c>
      <c r="K1427" s="30">
        <v>0.0</v>
      </c>
      <c r="L1427" s="30">
        <v>0.0</v>
      </c>
      <c r="M1427" s="30">
        <v>0.0</v>
      </c>
      <c r="N1427" s="30">
        <v>266.5</v>
      </c>
      <c r="O1427" s="30">
        <v>-57.375</v>
      </c>
      <c r="P1427" s="30">
        <v>-3.5881801125703565</v>
      </c>
      <c r="Q1427" s="30">
        <v>-4.305816135084427</v>
      </c>
    </row>
    <row r="1428">
      <c r="A1428" s="47">
        <v>1.1193009164E10</v>
      </c>
      <c r="B1428" s="48">
        <v>46144.86597222222</v>
      </c>
      <c r="C1428" s="30">
        <v>3.811331177E9</v>
      </c>
      <c r="D1428" s="47" t="s">
        <v>1509</v>
      </c>
      <c r="E1428" s="30">
        <v>1535.0</v>
      </c>
      <c r="F1428" s="30">
        <v>1210.0</v>
      </c>
      <c r="G1428" s="30">
        <v>0.0</v>
      </c>
      <c r="H1428" s="30">
        <v>0.0</v>
      </c>
      <c r="I1428" s="30">
        <v>132.01</v>
      </c>
      <c r="J1428" s="30">
        <v>0.0</v>
      </c>
      <c r="K1428" s="30">
        <v>0.0</v>
      </c>
      <c r="L1428" s="30">
        <v>0.0</v>
      </c>
      <c r="M1428" s="30">
        <v>0.0</v>
      </c>
      <c r="N1428" s="30">
        <v>255.83333333333326</v>
      </c>
      <c r="O1428" s="30">
        <v>-62.84333333333325</v>
      </c>
      <c r="P1428" s="30">
        <v>-4.094028230184577</v>
      </c>
      <c r="Q1428" s="30">
        <v>-4.912833876221492</v>
      </c>
    </row>
    <row r="1429">
      <c r="A1429" s="47">
        <v>1.1203332879E10</v>
      </c>
      <c r="B1429" s="48">
        <v>46147.99623842593</v>
      </c>
      <c r="C1429" s="30">
        <v>3.820371528E9</v>
      </c>
      <c r="D1429" s="47" t="s">
        <v>1509</v>
      </c>
      <c r="E1429" s="30">
        <v>1340.0</v>
      </c>
      <c r="F1429" s="30">
        <v>999.6</v>
      </c>
      <c r="G1429" s="30">
        <v>0.0</v>
      </c>
      <c r="H1429" s="30">
        <v>0.0</v>
      </c>
      <c r="I1429" s="30">
        <v>167.5</v>
      </c>
      <c r="J1429" s="30">
        <v>0.0</v>
      </c>
      <c r="K1429" s="30">
        <v>0.0</v>
      </c>
      <c r="L1429" s="30">
        <v>0.0</v>
      </c>
      <c r="M1429" s="30">
        <v>0.0</v>
      </c>
      <c r="N1429" s="30">
        <v>223.33333333333326</v>
      </c>
      <c r="O1429" s="30">
        <v>-50.43333333333328</v>
      </c>
      <c r="P1429" s="30">
        <v>-3.763681592039797</v>
      </c>
      <c r="Q1429" s="30">
        <v>-4.516417910447757</v>
      </c>
    </row>
    <row r="1430">
      <c r="A1430" s="47">
        <v>1.1202656585E10</v>
      </c>
      <c r="B1430" s="48">
        <v>46147.88521990741</v>
      </c>
      <c r="C1430" s="30">
        <v>3.819805153E9</v>
      </c>
      <c r="D1430" s="47" t="s">
        <v>1509</v>
      </c>
      <c r="E1430" s="30">
        <v>850.0</v>
      </c>
      <c r="F1430" s="30">
        <v>100.0</v>
      </c>
      <c r="G1430" s="30">
        <v>0.0</v>
      </c>
      <c r="H1430" s="30">
        <v>0.0</v>
      </c>
      <c r="I1430" s="30">
        <v>114.75</v>
      </c>
      <c r="J1430" s="30">
        <v>0.0</v>
      </c>
      <c r="K1430" s="30">
        <v>0.0</v>
      </c>
      <c r="L1430" s="30">
        <v>0.0</v>
      </c>
      <c r="M1430" s="30">
        <v>0.0</v>
      </c>
      <c r="N1430" s="30">
        <v>141.66666666666663</v>
      </c>
      <c r="O1430" s="30">
        <v>493.58333333333337</v>
      </c>
      <c r="P1430" s="30">
        <v>58.068627450980394</v>
      </c>
      <c r="Q1430" s="30">
        <v>69.68235294117648</v>
      </c>
    </row>
    <row r="1431">
      <c r="A1431" s="47">
        <v>1.1183630316E10</v>
      </c>
      <c r="B1431" s="48">
        <v>46141.695069444446</v>
      </c>
      <c r="C1431" s="30">
        <v>3.803832187E9</v>
      </c>
      <c r="D1431" s="47" t="s">
        <v>1509</v>
      </c>
      <c r="E1431" s="30">
        <v>1049.0</v>
      </c>
      <c r="F1431" s="30">
        <v>713.0</v>
      </c>
      <c r="G1431" s="30">
        <v>0.0</v>
      </c>
      <c r="H1431" s="30">
        <v>0.0</v>
      </c>
      <c r="I1431" s="30">
        <v>173.085</v>
      </c>
      <c r="J1431" s="30">
        <v>0.0</v>
      </c>
      <c r="K1431" s="30">
        <v>0.0</v>
      </c>
      <c r="L1431" s="30">
        <v>0.0</v>
      </c>
      <c r="M1431" s="30">
        <v>0.0</v>
      </c>
      <c r="N1431" s="30">
        <v>174.83333333333326</v>
      </c>
      <c r="O1431" s="30">
        <v>-11.918333333333266</v>
      </c>
      <c r="P1431" s="30">
        <v>-1.1361614235780044</v>
      </c>
      <c r="Q1431" s="30">
        <v>-1.3633937082936052</v>
      </c>
    </row>
    <row r="1432">
      <c r="A1432" s="47">
        <v>1.1192484216E10</v>
      </c>
      <c r="B1432" s="48">
        <v>46144.74865740741</v>
      </c>
      <c r="C1432" s="30">
        <v>3.810947978E9</v>
      </c>
      <c r="D1432" s="47" t="s">
        <v>1509</v>
      </c>
      <c r="E1432" s="30">
        <v>1454.0</v>
      </c>
      <c r="F1432" s="30">
        <v>960.0</v>
      </c>
      <c r="G1432" s="30">
        <v>0.0</v>
      </c>
      <c r="H1432" s="30">
        <v>0.0</v>
      </c>
      <c r="I1432" s="30">
        <v>196.29</v>
      </c>
      <c r="J1432" s="30">
        <v>0.0</v>
      </c>
      <c r="K1432" s="30">
        <v>0.0</v>
      </c>
      <c r="L1432" s="30">
        <v>0.0</v>
      </c>
      <c r="M1432" s="30">
        <v>0.0</v>
      </c>
      <c r="N1432" s="30">
        <v>242.33333333333326</v>
      </c>
      <c r="O1432" s="30">
        <v>55.37666666666678</v>
      </c>
      <c r="P1432" s="30">
        <v>3.8085740486015665</v>
      </c>
      <c r="Q1432" s="30">
        <v>4.57028885832188</v>
      </c>
    </row>
    <row r="1433">
      <c r="A1433" s="47">
        <v>1.1192499182E10</v>
      </c>
      <c r="B1433" s="48">
        <v>46144.75219907407</v>
      </c>
      <c r="C1433" s="30">
        <v>3.810960336E9</v>
      </c>
      <c r="D1433" s="47" t="s">
        <v>1509</v>
      </c>
      <c r="E1433" s="30">
        <v>2075.0</v>
      </c>
      <c r="F1433" s="30">
        <v>1500.0</v>
      </c>
      <c r="G1433" s="30">
        <v>0.0</v>
      </c>
      <c r="H1433" s="30">
        <v>0.0</v>
      </c>
      <c r="I1433" s="30">
        <v>342.375</v>
      </c>
      <c r="J1433" s="30">
        <v>0.0</v>
      </c>
      <c r="K1433" s="30">
        <v>0.0</v>
      </c>
      <c r="L1433" s="30">
        <v>0.0</v>
      </c>
      <c r="M1433" s="30">
        <v>0.0</v>
      </c>
      <c r="N1433" s="30">
        <v>345.83333333333326</v>
      </c>
      <c r="O1433" s="30">
        <v>-113.20833333333326</v>
      </c>
      <c r="P1433" s="30">
        <v>-5.4558232931726875</v>
      </c>
      <c r="Q1433" s="30">
        <v>-6.546987951807225</v>
      </c>
    </row>
    <row r="1434">
      <c r="A1434" s="47">
        <v>1.1192312275E10</v>
      </c>
      <c r="B1434" s="48">
        <v>46144.71041666667</v>
      </c>
      <c r="C1434" s="30">
        <v>3.810809396E9</v>
      </c>
      <c r="D1434" s="47" t="s">
        <v>1509</v>
      </c>
      <c r="E1434" s="30">
        <v>599.0</v>
      </c>
      <c r="F1434" s="30">
        <v>390.0</v>
      </c>
      <c r="G1434" s="30">
        <v>0.0</v>
      </c>
      <c r="H1434" s="30">
        <v>0.0</v>
      </c>
      <c r="I1434" s="30">
        <v>80.865</v>
      </c>
      <c r="J1434" s="30">
        <v>0.0</v>
      </c>
      <c r="K1434" s="30">
        <v>0.0</v>
      </c>
      <c r="L1434" s="30">
        <v>0.0</v>
      </c>
      <c r="M1434" s="30">
        <v>0.0</v>
      </c>
      <c r="N1434" s="30">
        <v>99.83333333333331</v>
      </c>
      <c r="O1434" s="30">
        <v>28.301666666666677</v>
      </c>
      <c r="P1434" s="30">
        <v>4.7248191430161395</v>
      </c>
      <c r="Q1434" s="30">
        <v>5.669782971619367</v>
      </c>
    </row>
    <row r="1435">
      <c r="A1435" s="47">
        <v>1.1192508945E10</v>
      </c>
      <c r="B1435" s="48">
        <v>46144.754479166666</v>
      </c>
      <c r="C1435" s="30">
        <v>3.81096673E9</v>
      </c>
      <c r="D1435" s="47" t="s">
        <v>1509</v>
      </c>
      <c r="E1435" s="30">
        <v>2134.0</v>
      </c>
      <c r="F1435" s="30">
        <v>1560.0</v>
      </c>
      <c r="G1435" s="30">
        <v>0.0</v>
      </c>
      <c r="H1435" s="30">
        <v>0.0</v>
      </c>
      <c r="I1435" s="30">
        <v>288.09</v>
      </c>
      <c r="J1435" s="30">
        <v>0.0</v>
      </c>
      <c r="K1435" s="30">
        <v>0.0</v>
      </c>
      <c r="L1435" s="30">
        <v>0.0</v>
      </c>
      <c r="M1435" s="30">
        <v>0.0</v>
      </c>
      <c r="N1435" s="30">
        <v>355.6666666666665</v>
      </c>
      <c r="O1435" s="30">
        <v>-69.75666666666649</v>
      </c>
      <c r="P1435" s="30">
        <v>-3.268822243049039</v>
      </c>
      <c r="Q1435" s="30">
        <v>-3.922586691658846</v>
      </c>
    </row>
    <row r="1436">
      <c r="A1436" s="47">
        <v>1.1197733623E10</v>
      </c>
      <c r="B1436" s="48">
        <v>46146.59144675926</v>
      </c>
      <c r="C1436" s="30">
        <v>3.815316684E9</v>
      </c>
      <c r="D1436" s="47" t="s">
        <v>1509</v>
      </c>
      <c r="E1436" s="30">
        <v>978.0</v>
      </c>
      <c r="F1436" s="30">
        <v>621.6</v>
      </c>
      <c r="G1436" s="30">
        <v>0.0</v>
      </c>
      <c r="H1436" s="30">
        <v>0.0</v>
      </c>
      <c r="I1436" s="30">
        <v>122.25</v>
      </c>
      <c r="J1436" s="30">
        <v>0.0</v>
      </c>
      <c r="K1436" s="30">
        <v>0.0</v>
      </c>
      <c r="L1436" s="30">
        <v>0.0</v>
      </c>
      <c r="M1436" s="30">
        <v>0.0</v>
      </c>
      <c r="N1436" s="30">
        <v>163.0</v>
      </c>
      <c r="O1436" s="30">
        <v>71.14999999999998</v>
      </c>
      <c r="P1436" s="30">
        <v>7.275051124744373</v>
      </c>
      <c r="Q1436" s="30">
        <v>8.73006134969325</v>
      </c>
    </row>
    <row r="1437">
      <c r="A1437" s="47">
        <v>1.1198201552E10</v>
      </c>
      <c r="B1437" s="48">
        <v>46146.68760416667</v>
      </c>
      <c r="C1437" s="30">
        <v>3.815716513E9</v>
      </c>
      <c r="D1437" s="47" t="s">
        <v>1509</v>
      </c>
      <c r="E1437" s="30">
        <v>1606.0</v>
      </c>
      <c r="F1437" s="30">
        <v>1260.0</v>
      </c>
      <c r="G1437" s="30">
        <v>0.0</v>
      </c>
      <c r="H1437" s="30">
        <v>0.0</v>
      </c>
      <c r="I1437" s="30">
        <v>200.75</v>
      </c>
      <c r="J1437" s="30">
        <v>0.0</v>
      </c>
      <c r="K1437" s="30">
        <v>0.0</v>
      </c>
      <c r="L1437" s="30">
        <v>0.0</v>
      </c>
      <c r="M1437" s="30">
        <v>0.0</v>
      </c>
      <c r="N1437" s="30">
        <v>267.6666666666665</v>
      </c>
      <c r="O1437" s="30">
        <v>-122.41666666666652</v>
      </c>
      <c r="P1437" s="30">
        <v>-7.622457451224565</v>
      </c>
      <c r="Q1437" s="30">
        <v>-9.146948941469477</v>
      </c>
    </row>
    <row r="1438">
      <c r="A1438" s="47">
        <v>1.1192525233E10</v>
      </c>
      <c r="B1438" s="48">
        <v>46144.75790509259</v>
      </c>
      <c r="C1438" s="30">
        <v>3.810980077E9</v>
      </c>
      <c r="D1438" s="47" t="s">
        <v>1509</v>
      </c>
      <c r="E1438" s="30">
        <v>1482.0</v>
      </c>
      <c r="F1438" s="30">
        <v>1053.0</v>
      </c>
      <c r="G1438" s="30">
        <v>0.0</v>
      </c>
      <c r="H1438" s="30">
        <v>0.0</v>
      </c>
      <c r="I1438" s="30">
        <v>185.25</v>
      </c>
      <c r="J1438" s="30">
        <v>0.0</v>
      </c>
      <c r="K1438" s="30">
        <v>0.0</v>
      </c>
      <c r="L1438" s="30">
        <v>0.0</v>
      </c>
      <c r="M1438" s="30">
        <v>0.0</v>
      </c>
      <c r="N1438" s="30">
        <v>247.0</v>
      </c>
      <c r="O1438" s="30">
        <v>-3.25</v>
      </c>
      <c r="P1438" s="30">
        <v>-0.21929824561403508</v>
      </c>
      <c r="Q1438" s="30">
        <v>-0.2631578947368421</v>
      </c>
    </row>
    <row r="1439">
      <c r="A1439" s="47">
        <v>1.1198292953E10</v>
      </c>
      <c r="B1439" s="48">
        <v>46146.705775462964</v>
      </c>
      <c r="C1439" s="30">
        <v>3.815797513E9</v>
      </c>
      <c r="D1439" s="47" t="s">
        <v>1509</v>
      </c>
      <c r="E1439" s="30">
        <v>978.0</v>
      </c>
      <c r="F1439" s="30">
        <v>621.6</v>
      </c>
      <c r="G1439" s="30">
        <v>0.0</v>
      </c>
      <c r="H1439" s="30">
        <v>0.0</v>
      </c>
      <c r="I1439" s="30">
        <v>122.25</v>
      </c>
      <c r="J1439" s="30">
        <v>0.0</v>
      </c>
      <c r="K1439" s="30">
        <v>0.0</v>
      </c>
      <c r="L1439" s="30">
        <v>0.0</v>
      </c>
      <c r="M1439" s="30">
        <v>0.0</v>
      </c>
      <c r="N1439" s="30">
        <v>163.0</v>
      </c>
      <c r="O1439" s="30">
        <v>71.14999999999998</v>
      </c>
      <c r="P1439" s="30">
        <v>7.275051124744373</v>
      </c>
      <c r="Q1439" s="30">
        <v>8.73006134969325</v>
      </c>
    </row>
    <row r="1440">
      <c r="A1440" s="47">
        <v>1.1199192447E10</v>
      </c>
      <c r="B1440" s="48">
        <v>46146.891076388885</v>
      </c>
      <c r="C1440" s="30">
        <v>3.816565881E9</v>
      </c>
      <c r="D1440" s="47" t="s">
        <v>1509</v>
      </c>
      <c r="E1440" s="30">
        <v>870.0</v>
      </c>
      <c r="F1440" s="30">
        <v>580.0</v>
      </c>
      <c r="G1440" s="30">
        <v>0.0</v>
      </c>
      <c r="H1440" s="30">
        <v>0.0</v>
      </c>
      <c r="I1440" s="30">
        <v>117.45</v>
      </c>
      <c r="J1440" s="30">
        <v>0.0</v>
      </c>
      <c r="K1440" s="30">
        <v>0.0</v>
      </c>
      <c r="L1440" s="30">
        <v>0.0</v>
      </c>
      <c r="M1440" s="30">
        <v>0.0</v>
      </c>
      <c r="N1440" s="30">
        <v>145.0</v>
      </c>
      <c r="O1440" s="30">
        <v>27.55000000000001</v>
      </c>
      <c r="P1440" s="30">
        <v>3.166666666666668</v>
      </c>
      <c r="Q1440" s="30">
        <v>3.800000000000001</v>
      </c>
    </row>
    <row r="1441">
      <c r="A1441" s="47">
        <v>1.1193082729E10</v>
      </c>
      <c r="B1441" s="48">
        <v>46144.88228009259</v>
      </c>
      <c r="C1441" s="30">
        <v>3.811380196E9</v>
      </c>
      <c r="D1441" s="47" t="s">
        <v>1509</v>
      </c>
      <c r="E1441" s="30">
        <v>1535.0</v>
      </c>
      <c r="F1441" s="30">
        <v>1210.0</v>
      </c>
      <c r="G1441" s="30">
        <v>0.0</v>
      </c>
      <c r="H1441" s="30">
        <v>0.0</v>
      </c>
      <c r="I1441" s="30">
        <v>132.01</v>
      </c>
      <c r="J1441" s="30">
        <v>0.0</v>
      </c>
      <c r="K1441" s="30">
        <v>0.0</v>
      </c>
      <c r="L1441" s="30">
        <v>0.0</v>
      </c>
      <c r="M1441" s="30">
        <v>0.0</v>
      </c>
      <c r="N1441" s="30">
        <v>255.83333333333326</v>
      </c>
      <c r="O1441" s="30">
        <v>-62.84333333333325</v>
      </c>
      <c r="P1441" s="30">
        <v>-4.094028230184577</v>
      </c>
      <c r="Q1441" s="30">
        <v>-4.912833876221492</v>
      </c>
    </row>
    <row r="1442">
      <c r="A1442" s="47">
        <v>1.1193104193E10</v>
      </c>
      <c r="B1442" s="48">
        <v>46144.887094907404</v>
      </c>
      <c r="C1442" s="30">
        <v>3.811394023E9</v>
      </c>
      <c r="D1442" s="47" t="s">
        <v>1509</v>
      </c>
      <c r="E1442" s="30">
        <v>727.0</v>
      </c>
      <c r="F1442" s="30">
        <v>480.0</v>
      </c>
      <c r="G1442" s="30">
        <v>0.0</v>
      </c>
      <c r="H1442" s="30">
        <v>0.0</v>
      </c>
      <c r="I1442" s="30">
        <v>98.145</v>
      </c>
      <c r="J1442" s="30">
        <v>0.0</v>
      </c>
      <c r="K1442" s="30">
        <v>0.0</v>
      </c>
      <c r="L1442" s="30">
        <v>0.0</v>
      </c>
      <c r="M1442" s="30">
        <v>0.0</v>
      </c>
      <c r="N1442" s="30">
        <v>121.16666666666663</v>
      </c>
      <c r="O1442" s="30">
        <v>27.68833333333339</v>
      </c>
      <c r="P1442" s="30">
        <v>3.8085740486015665</v>
      </c>
      <c r="Q1442" s="30">
        <v>4.57028885832188</v>
      </c>
    </row>
    <row r="1443">
      <c r="A1443" s="47">
        <v>1.1198620211E10</v>
      </c>
      <c r="B1443" s="48">
        <v>46146.774375</v>
      </c>
      <c r="C1443" s="30">
        <v>3.816090625E9</v>
      </c>
      <c r="D1443" s="47" t="s">
        <v>1509</v>
      </c>
      <c r="E1443" s="30">
        <v>1482.0</v>
      </c>
      <c r="F1443" s="30">
        <v>1053.0</v>
      </c>
      <c r="G1443" s="30">
        <v>0.0</v>
      </c>
      <c r="H1443" s="30">
        <v>0.0</v>
      </c>
      <c r="I1443" s="30">
        <v>185.25</v>
      </c>
      <c r="J1443" s="30">
        <v>0.0</v>
      </c>
      <c r="K1443" s="30">
        <v>0.0</v>
      </c>
      <c r="L1443" s="30">
        <v>0.0</v>
      </c>
      <c r="M1443" s="30">
        <v>0.0</v>
      </c>
      <c r="N1443" s="30">
        <v>247.0</v>
      </c>
      <c r="O1443" s="30">
        <v>-3.25</v>
      </c>
      <c r="P1443" s="30">
        <v>-0.21929824561403508</v>
      </c>
      <c r="Q1443" s="30">
        <v>-0.2631578947368421</v>
      </c>
    </row>
    <row r="1444">
      <c r="A1444" s="47">
        <v>1.1195825651E10</v>
      </c>
      <c r="B1444" s="48">
        <v>46145.861597222225</v>
      </c>
      <c r="C1444" s="30">
        <v>3.813584773E9</v>
      </c>
      <c r="D1444" s="47" t="s">
        <v>1509</v>
      </c>
      <c r="E1444" s="30">
        <v>1535.0</v>
      </c>
      <c r="F1444" s="30">
        <v>1210.0</v>
      </c>
      <c r="G1444" s="30">
        <v>0.0</v>
      </c>
      <c r="H1444" s="30">
        <v>0.0</v>
      </c>
      <c r="I1444" s="30">
        <v>132.01</v>
      </c>
      <c r="J1444" s="30">
        <v>0.0</v>
      </c>
      <c r="K1444" s="30">
        <v>0.0</v>
      </c>
      <c r="L1444" s="30">
        <v>0.0</v>
      </c>
      <c r="M1444" s="30">
        <v>0.0</v>
      </c>
      <c r="N1444" s="30">
        <v>255.83333333333326</v>
      </c>
      <c r="O1444" s="30">
        <v>-62.84333333333325</v>
      </c>
      <c r="P1444" s="30">
        <v>-4.094028230184577</v>
      </c>
      <c r="Q1444" s="30">
        <v>-4.912833876221492</v>
      </c>
    </row>
    <row r="1445">
      <c r="A1445" s="47">
        <v>1.1193373192E10</v>
      </c>
      <c r="B1445" s="48">
        <v>46144.94582175926</v>
      </c>
      <c r="C1445" s="30">
        <v>3.811570294E9</v>
      </c>
      <c r="D1445" s="47" t="s">
        <v>1509</v>
      </c>
      <c r="E1445" s="30">
        <v>599.0</v>
      </c>
      <c r="F1445" s="30">
        <v>390.0</v>
      </c>
      <c r="G1445" s="30">
        <v>0.0</v>
      </c>
      <c r="H1445" s="30">
        <v>0.0</v>
      </c>
      <c r="I1445" s="30">
        <v>80.865</v>
      </c>
      <c r="J1445" s="30">
        <v>0.0</v>
      </c>
      <c r="K1445" s="30">
        <v>0.0</v>
      </c>
      <c r="L1445" s="30">
        <v>0.0</v>
      </c>
      <c r="M1445" s="30">
        <v>0.0</v>
      </c>
      <c r="N1445" s="30">
        <v>99.83333333333331</v>
      </c>
      <c r="O1445" s="30">
        <v>28.301666666666677</v>
      </c>
      <c r="P1445" s="30">
        <v>4.7248191430161395</v>
      </c>
      <c r="Q1445" s="30">
        <v>5.669782971619367</v>
      </c>
    </row>
    <row r="1446">
      <c r="A1446" s="47">
        <v>1.1194935461E10</v>
      </c>
      <c r="B1446" s="48">
        <v>46145.67471064815</v>
      </c>
      <c r="C1446" s="30">
        <v>3.812906487E9</v>
      </c>
      <c r="D1446" s="47" t="s">
        <v>1509</v>
      </c>
      <c r="E1446" s="30">
        <v>1535.0</v>
      </c>
      <c r="F1446" s="30">
        <v>1210.0</v>
      </c>
      <c r="G1446" s="30">
        <v>0.0</v>
      </c>
      <c r="H1446" s="30">
        <v>0.0</v>
      </c>
      <c r="I1446" s="30">
        <v>132.01</v>
      </c>
      <c r="J1446" s="30">
        <v>0.0</v>
      </c>
      <c r="K1446" s="30">
        <v>0.0</v>
      </c>
      <c r="L1446" s="30">
        <v>0.0</v>
      </c>
      <c r="M1446" s="30">
        <v>0.0</v>
      </c>
      <c r="N1446" s="30">
        <v>255.83333333333326</v>
      </c>
      <c r="O1446" s="30">
        <v>-62.84333333333325</v>
      </c>
      <c r="P1446" s="30">
        <v>-4.094028230184577</v>
      </c>
      <c r="Q1446" s="30">
        <v>-4.912833876221492</v>
      </c>
    </row>
    <row r="1447">
      <c r="A1447" s="47">
        <v>1.1193567987E10</v>
      </c>
      <c r="B1447" s="48">
        <v>46144.98813657407</v>
      </c>
      <c r="C1447" s="30">
        <v>3.811709035E9</v>
      </c>
      <c r="D1447" s="47" t="s">
        <v>1509</v>
      </c>
      <c r="E1447" s="30">
        <v>1099.0</v>
      </c>
      <c r="F1447" s="30">
        <v>780.0</v>
      </c>
      <c r="G1447" s="30">
        <v>0.0</v>
      </c>
      <c r="H1447" s="30">
        <v>0.0</v>
      </c>
      <c r="I1447" s="30">
        <v>148.365</v>
      </c>
      <c r="J1447" s="30">
        <v>0.0</v>
      </c>
      <c r="K1447" s="30">
        <v>0.0</v>
      </c>
      <c r="L1447" s="30">
        <v>0.0</v>
      </c>
      <c r="M1447" s="30">
        <v>0.0</v>
      </c>
      <c r="N1447" s="30">
        <v>183.16666666666663</v>
      </c>
      <c r="O1447" s="30">
        <v>-12.531666666666638</v>
      </c>
      <c r="P1447" s="30">
        <v>-1.1402790415529243</v>
      </c>
      <c r="Q1447" s="30">
        <v>-1.368334849863509</v>
      </c>
    </row>
    <row r="1448">
      <c r="A1448" s="47">
        <v>1.1193681003E10</v>
      </c>
      <c r="B1448" s="48">
        <v>46145.01273148148</v>
      </c>
      <c r="C1448" s="30">
        <v>3.811798205E9</v>
      </c>
      <c r="D1448" s="47" t="s">
        <v>1509</v>
      </c>
      <c r="E1448" s="30">
        <v>1198.0</v>
      </c>
      <c r="F1448" s="30">
        <v>780.0</v>
      </c>
      <c r="G1448" s="30">
        <v>0.0</v>
      </c>
      <c r="H1448" s="30">
        <v>0.0</v>
      </c>
      <c r="I1448" s="30">
        <v>161.73</v>
      </c>
      <c r="J1448" s="30">
        <v>0.0</v>
      </c>
      <c r="K1448" s="30">
        <v>0.0</v>
      </c>
      <c r="L1448" s="30">
        <v>0.0</v>
      </c>
      <c r="M1448" s="30">
        <v>0.0</v>
      </c>
      <c r="N1448" s="30">
        <v>199.66666666666663</v>
      </c>
      <c r="O1448" s="30">
        <v>56.60333333333335</v>
      </c>
      <c r="P1448" s="30">
        <v>4.7248191430161395</v>
      </c>
      <c r="Q1448" s="30">
        <v>5.669782971619367</v>
      </c>
    </row>
    <row r="1449">
      <c r="A1449" s="47">
        <v>1.1199205394E10</v>
      </c>
      <c r="B1449" s="48">
        <v>46146.89365740741</v>
      </c>
      <c r="C1449" s="30">
        <v>3.816576508E9</v>
      </c>
      <c r="D1449" s="47" t="s">
        <v>1509</v>
      </c>
      <c r="E1449" s="30">
        <v>897.45</v>
      </c>
      <c r="F1449" s="30">
        <v>300.0</v>
      </c>
      <c r="G1449" s="30">
        <v>0.0</v>
      </c>
      <c r="H1449" s="30">
        <v>0.0</v>
      </c>
      <c r="I1449" s="30">
        <v>179.49</v>
      </c>
      <c r="J1449" s="30">
        <v>0.0</v>
      </c>
      <c r="K1449" s="30">
        <v>0.0</v>
      </c>
      <c r="L1449" s="30">
        <v>0.0</v>
      </c>
      <c r="M1449" s="30">
        <v>0.0</v>
      </c>
      <c r="N1449" s="30">
        <v>149.57499999999993</v>
      </c>
      <c r="O1449" s="30">
        <v>268.3850000000001</v>
      </c>
      <c r="P1449" s="30">
        <v>29.905287202629683</v>
      </c>
      <c r="Q1449" s="30">
        <v>35.88634464315562</v>
      </c>
    </row>
    <row r="1450">
      <c r="A1450" s="47">
        <v>1.1192395204E10</v>
      </c>
      <c r="B1450" s="48">
        <v>46144.72875</v>
      </c>
      <c r="C1450" s="30">
        <v>3.810877367E9</v>
      </c>
      <c r="D1450" s="47" t="s">
        <v>1509</v>
      </c>
      <c r="E1450" s="30">
        <v>1535.0</v>
      </c>
      <c r="F1450" s="30">
        <v>1210.0</v>
      </c>
      <c r="G1450" s="30">
        <v>0.0</v>
      </c>
      <c r="H1450" s="30">
        <v>0.0</v>
      </c>
      <c r="I1450" s="30">
        <v>132.01</v>
      </c>
      <c r="J1450" s="30">
        <v>0.0</v>
      </c>
      <c r="K1450" s="30">
        <v>0.0</v>
      </c>
      <c r="L1450" s="30">
        <v>0.0</v>
      </c>
      <c r="M1450" s="30">
        <v>0.0</v>
      </c>
      <c r="N1450" s="30">
        <v>255.83333333333326</v>
      </c>
      <c r="O1450" s="30">
        <v>-62.84333333333325</v>
      </c>
      <c r="P1450" s="30">
        <v>-4.094028230184577</v>
      </c>
      <c r="Q1450" s="30">
        <v>-4.912833876221492</v>
      </c>
    </row>
    <row r="1451">
      <c r="A1451" s="47">
        <v>1.1195663693E10</v>
      </c>
      <c r="B1451" s="48">
        <v>46145.829733796294</v>
      </c>
      <c r="C1451" s="30">
        <v>3.813473119E9</v>
      </c>
      <c r="D1451" s="47" t="s">
        <v>1509</v>
      </c>
      <c r="E1451" s="30">
        <v>1535.0</v>
      </c>
      <c r="F1451" s="30">
        <v>1210.0</v>
      </c>
      <c r="G1451" s="30">
        <v>0.0</v>
      </c>
      <c r="H1451" s="30">
        <v>0.0</v>
      </c>
      <c r="I1451" s="30">
        <v>132.01</v>
      </c>
      <c r="J1451" s="30">
        <v>0.0</v>
      </c>
      <c r="K1451" s="30">
        <v>0.0</v>
      </c>
      <c r="L1451" s="30">
        <v>0.0</v>
      </c>
      <c r="M1451" s="30">
        <v>0.0</v>
      </c>
      <c r="N1451" s="30">
        <v>255.83333333333326</v>
      </c>
      <c r="O1451" s="30">
        <v>-62.84333333333325</v>
      </c>
      <c r="P1451" s="30">
        <v>-4.094028230184577</v>
      </c>
      <c r="Q1451" s="30">
        <v>-4.912833876221492</v>
      </c>
    </row>
    <row r="1452">
      <c r="A1452" s="47">
        <v>1.1193724966E10</v>
      </c>
      <c r="B1452" s="48">
        <v>46145.02270833333</v>
      </c>
      <c r="C1452" s="30">
        <v>3.811832487E9</v>
      </c>
      <c r="D1452" s="47" t="s">
        <v>1509</v>
      </c>
      <c r="E1452" s="30">
        <v>599.0</v>
      </c>
      <c r="F1452" s="30">
        <v>390.0</v>
      </c>
      <c r="G1452" s="30">
        <v>0.0</v>
      </c>
      <c r="H1452" s="30">
        <v>0.0</v>
      </c>
      <c r="I1452" s="30">
        <v>80.865</v>
      </c>
      <c r="J1452" s="30">
        <v>0.0</v>
      </c>
      <c r="K1452" s="30">
        <v>0.0</v>
      </c>
      <c r="L1452" s="30">
        <v>0.0</v>
      </c>
      <c r="M1452" s="30">
        <v>0.0</v>
      </c>
      <c r="N1452" s="30">
        <v>99.83333333333331</v>
      </c>
      <c r="O1452" s="30">
        <v>28.301666666666677</v>
      </c>
      <c r="P1452" s="30">
        <v>4.7248191430161395</v>
      </c>
      <c r="Q1452" s="30">
        <v>5.669782971619367</v>
      </c>
    </row>
    <row r="1453">
      <c r="A1453" s="47">
        <v>1.1193786755E10</v>
      </c>
      <c r="B1453" s="48">
        <v>46145.03758101852</v>
      </c>
      <c r="C1453" s="30">
        <v>3.811884496E9</v>
      </c>
      <c r="D1453" s="47" t="s">
        <v>1509</v>
      </c>
      <c r="E1453" s="30">
        <v>1482.0</v>
      </c>
      <c r="F1453" s="30">
        <v>1053.0</v>
      </c>
      <c r="G1453" s="30">
        <v>0.0</v>
      </c>
      <c r="H1453" s="30">
        <v>0.0</v>
      </c>
      <c r="I1453" s="30">
        <v>185.25</v>
      </c>
      <c r="J1453" s="30">
        <v>0.0</v>
      </c>
      <c r="K1453" s="30">
        <v>0.0</v>
      </c>
      <c r="L1453" s="30">
        <v>0.0</v>
      </c>
      <c r="M1453" s="30">
        <v>0.0</v>
      </c>
      <c r="N1453" s="30">
        <v>247.0</v>
      </c>
      <c r="O1453" s="30">
        <v>-3.25</v>
      </c>
      <c r="P1453" s="30">
        <v>-0.21929824561403508</v>
      </c>
      <c r="Q1453" s="30">
        <v>-0.2631578947368421</v>
      </c>
    </row>
    <row r="1454">
      <c r="A1454" s="47">
        <v>1.1195246035E10</v>
      </c>
      <c r="B1454" s="48">
        <v>46145.74356481482</v>
      </c>
      <c r="C1454" s="30">
        <v>3.813161571E9</v>
      </c>
      <c r="D1454" s="47" t="s">
        <v>1509</v>
      </c>
      <c r="E1454" s="30">
        <v>719.0</v>
      </c>
      <c r="F1454" s="30">
        <v>390.0</v>
      </c>
      <c r="G1454" s="30">
        <v>0.0</v>
      </c>
      <c r="H1454" s="30">
        <v>0.0</v>
      </c>
      <c r="I1454" s="30">
        <v>97.065</v>
      </c>
      <c r="J1454" s="30">
        <v>0.0</v>
      </c>
      <c r="K1454" s="30">
        <v>0.0</v>
      </c>
      <c r="L1454" s="30">
        <v>0.0</v>
      </c>
      <c r="M1454" s="30">
        <v>0.0</v>
      </c>
      <c r="N1454" s="30">
        <v>119.83333333333326</v>
      </c>
      <c r="O1454" s="30">
        <v>112.10166666666674</v>
      </c>
      <c r="P1454" s="30">
        <v>15.591330551692176</v>
      </c>
      <c r="Q1454" s="30">
        <v>18.70959666203061</v>
      </c>
    </row>
    <row r="1455">
      <c r="A1455" s="47">
        <v>1.1195691755E10</v>
      </c>
      <c r="B1455" s="48">
        <v>46145.835543981484</v>
      </c>
      <c r="C1455" s="30">
        <v>3.813493519E9</v>
      </c>
      <c r="D1455" s="47" t="s">
        <v>1509</v>
      </c>
      <c r="E1455" s="30">
        <v>4748.0</v>
      </c>
      <c r="F1455" s="30">
        <v>3663.0</v>
      </c>
      <c r="G1455" s="30">
        <v>0.0</v>
      </c>
      <c r="H1455" s="30">
        <v>0.0</v>
      </c>
      <c r="I1455" s="30">
        <v>783.42</v>
      </c>
      <c r="J1455" s="30">
        <v>0.0</v>
      </c>
      <c r="K1455" s="30">
        <v>0.0</v>
      </c>
      <c r="L1455" s="30">
        <v>0.0</v>
      </c>
      <c r="M1455" s="30">
        <v>0.0</v>
      </c>
      <c r="N1455" s="30">
        <v>791.333333333333</v>
      </c>
      <c r="O1455" s="30">
        <v>-489.753333333333</v>
      </c>
      <c r="P1455" s="30">
        <v>-10.3149396237012</v>
      </c>
      <c r="Q1455" s="30">
        <v>-12.37792754844144</v>
      </c>
    </row>
    <row r="1456">
      <c r="A1456" s="47">
        <v>1.1192304851E10</v>
      </c>
      <c r="B1456" s="48">
        <v>46144.708645833336</v>
      </c>
      <c r="C1456" s="30">
        <v>3.810804956E9</v>
      </c>
      <c r="D1456" s="47" t="s">
        <v>1509</v>
      </c>
      <c r="E1456" s="30">
        <v>2073.0</v>
      </c>
      <c r="F1456" s="30">
        <v>1500.0</v>
      </c>
      <c r="G1456" s="30">
        <v>0.0</v>
      </c>
      <c r="H1456" s="30">
        <v>0.0</v>
      </c>
      <c r="I1456" s="30">
        <v>263.27099999999996</v>
      </c>
      <c r="J1456" s="30">
        <v>0.0</v>
      </c>
      <c r="K1456" s="30">
        <v>0.0</v>
      </c>
      <c r="L1456" s="30">
        <v>0.0</v>
      </c>
      <c r="M1456" s="30">
        <v>0.0</v>
      </c>
      <c r="N1456" s="30">
        <v>345.5</v>
      </c>
      <c r="O1456" s="30">
        <v>-35.77099999999996</v>
      </c>
      <c r="P1456" s="30">
        <v>-1.725566811384465</v>
      </c>
      <c r="Q1456" s="30">
        <v>-2.070680173661358</v>
      </c>
    </row>
    <row r="1457">
      <c r="A1457" s="47">
        <v>1.1191166866E10</v>
      </c>
      <c r="B1457" s="48">
        <v>46144.09104166667</v>
      </c>
      <c r="C1457" s="30">
        <v>3.809760746E9</v>
      </c>
      <c r="D1457" s="47" t="s">
        <v>1509</v>
      </c>
      <c r="E1457" s="30">
        <v>1535.0</v>
      </c>
      <c r="F1457" s="30">
        <v>1210.0</v>
      </c>
      <c r="G1457" s="30">
        <v>0.0</v>
      </c>
      <c r="H1457" s="30">
        <v>0.0</v>
      </c>
      <c r="I1457" s="30">
        <v>132.01</v>
      </c>
      <c r="J1457" s="30">
        <v>0.0</v>
      </c>
      <c r="K1457" s="30">
        <v>0.0</v>
      </c>
      <c r="L1457" s="30">
        <v>0.0</v>
      </c>
      <c r="M1457" s="30">
        <v>0.0</v>
      </c>
      <c r="N1457" s="30">
        <v>255.83333333333326</v>
      </c>
      <c r="O1457" s="30">
        <v>-62.84333333333325</v>
      </c>
      <c r="P1457" s="30">
        <v>-4.094028230184577</v>
      </c>
      <c r="Q1457" s="30">
        <v>-4.912833876221492</v>
      </c>
    </row>
    <row r="1458">
      <c r="A1458" s="47">
        <v>1.11920996E10</v>
      </c>
      <c r="B1458" s="48">
        <v>46144.662314814814</v>
      </c>
      <c r="C1458" s="30">
        <v>3.810633037E9</v>
      </c>
      <c r="D1458" s="47" t="s">
        <v>1509</v>
      </c>
      <c r="E1458" s="30">
        <v>1535.0</v>
      </c>
      <c r="F1458" s="30">
        <v>1210.0</v>
      </c>
      <c r="G1458" s="30">
        <v>0.0</v>
      </c>
      <c r="H1458" s="30">
        <v>0.0</v>
      </c>
      <c r="I1458" s="30">
        <v>132.01</v>
      </c>
      <c r="J1458" s="30">
        <v>0.0</v>
      </c>
      <c r="K1458" s="30">
        <v>0.0</v>
      </c>
      <c r="L1458" s="30">
        <v>0.0</v>
      </c>
      <c r="M1458" s="30">
        <v>0.0</v>
      </c>
      <c r="N1458" s="30">
        <v>255.83333333333326</v>
      </c>
      <c r="O1458" s="30">
        <v>-62.84333333333325</v>
      </c>
      <c r="P1458" s="30">
        <v>-4.094028230184577</v>
      </c>
      <c r="Q1458" s="30">
        <v>-4.912833876221492</v>
      </c>
    </row>
    <row r="1459">
      <c r="A1459" s="47">
        <v>1.1196440633E10</v>
      </c>
      <c r="B1459" s="48">
        <v>46145.980219907404</v>
      </c>
      <c r="C1459" s="30">
        <v>3.814024674E9</v>
      </c>
      <c r="D1459" s="47" t="s">
        <v>1509</v>
      </c>
      <c r="E1459" s="30">
        <v>1482.0</v>
      </c>
      <c r="F1459" s="30">
        <v>1053.0</v>
      </c>
      <c r="G1459" s="30">
        <v>0.0</v>
      </c>
      <c r="H1459" s="30">
        <v>0.0</v>
      </c>
      <c r="I1459" s="30">
        <v>185.25</v>
      </c>
      <c r="J1459" s="30">
        <v>0.0</v>
      </c>
      <c r="K1459" s="30">
        <v>0.0</v>
      </c>
      <c r="L1459" s="30">
        <v>0.0</v>
      </c>
      <c r="M1459" s="30">
        <v>0.0</v>
      </c>
      <c r="N1459" s="30">
        <v>247.0</v>
      </c>
      <c r="O1459" s="30">
        <v>-3.25</v>
      </c>
      <c r="P1459" s="30">
        <v>-0.21929824561403508</v>
      </c>
      <c r="Q1459" s="30">
        <v>-0.2631578947368421</v>
      </c>
    </row>
    <row r="1460">
      <c r="A1460" s="47">
        <v>1.1200262241E10</v>
      </c>
      <c r="B1460" s="48">
        <v>46147.0946875</v>
      </c>
      <c r="C1460" s="30">
        <v>3.81752221E9</v>
      </c>
      <c r="D1460" s="47" t="s">
        <v>1509</v>
      </c>
      <c r="E1460" s="30">
        <v>1870.0</v>
      </c>
      <c r="F1460" s="30">
        <v>1260.0</v>
      </c>
      <c r="G1460" s="30">
        <v>0.0</v>
      </c>
      <c r="H1460" s="30">
        <v>0.0</v>
      </c>
      <c r="I1460" s="30">
        <v>308.55</v>
      </c>
      <c r="J1460" s="30">
        <v>0.0</v>
      </c>
      <c r="K1460" s="30">
        <v>0.0</v>
      </c>
      <c r="L1460" s="30">
        <v>0.0</v>
      </c>
      <c r="M1460" s="30">
        <v>0.0</v>
      </c>
      <c r="N1460" s="30">
        <v>311.6666666666665</v>
      </c>
      <c r="O1460" s="30">
        <v>-10.216666666666526</v>
      </c>
      <c r="P1460" s="30">
        <v>-0.5463458110516859</v>
      </c>
      <c r="Q1460" s="30">
        <v>-0.655614973262023</v>
      </c>
    </row>
    <row r="1461">
      <c r="A1461" s="47">
        <v>1.1187194029E10</v>
      </c>
      <c r="B1461" s="48">
        <v>46142.8266087963</v>
      </c>
      <c r="C1461" s="30">
        <v>3.806674685E9</v>
      </c>
      <c r="D1461" s="47" t="s">
        <v>1509</v>
      </c>
      <c r="E1461" s="30">
        <v>645.0</v>
      </c>
      <c r="F1461" s="30">
        <v>0.0</v>
      </c>
      <c r="G1461" s="30">
        <v>0.0</v>
      </c>
      <c r="H1461" s="30">
        <v>0.0</v>
      </c>
      <c r="I1461" s="30">
        <v>129.0</v>
      </c>
      <c r="J1461" s="30">
        <v>0.0</v>
      </c>
      <c r="K1461" s="30">
        <v>0.0</v>
      </c>
      <c r="L1461" s="30">
        <v>0.0</v>
      </c>
      <c r="M1461" s="30">
        <v>0.0</v>
      </c>
      <c r="N1461" s="30">
        <v>107.5</v>
      </c>
      <c r="O1461" s="30">
        <v>408.5</v>
      </c>
      <c r="P1461" s="30">
        <v>63.33333333333333</v>
      </c>
      <c r="Q1461" s="30">
        <v>76.0</v>
      </c>
    </row>
    <row r="1462">
      <c r="A1462" s="47">
        <v>1.1192065528E10</v>
      </c>
      <c r="B1462" s="48">
        <v>46144.653912037036</v>
      </c>
      <c r="C1462" s="30">
        <v>3.810610453E9</v>
      </c>
      <c r="D1462" s="47" t="s">
        <v>1509</v>
      </c>
      <c r="E1462" s="30">
        <v>2134.0</v>
      </c>
      <c r="F1462" s="30">
        <v>1560.0</v>
      </c>
      <c r="G1462" s="30">
        <v>0.0</v>
      </c>
      <c r="H1462" s="30">
        <v>0.0</v>
      </c>
      <c r="I1462" s="30">
        <v>288.09</v>
      </c>
      <c r="J1462" s="30">
        <v>0.0</v>
      </c>
      <c r="K1462" s="30">
        <v>0.0</v>
      </c>
      <c r="L1462" s="30">
        <v>0.0</v>
      </c>
      <c r="M1462" s="30">
        <v>0.0</v>
      </c>
      <c r="N1462" s="30">
        <v>355.6666666666665</v>
      </c>
      <c r="O1462" s="30">
        <v>-69.75666666666649</v>
      </c>
      <c r="P1462" s="30">
        <v>-3.268822243049039</v>
      </c>
      <c r="Q1462" s="30">
        <v>-3.922586691658846</v>
      </c>
    </row>
    <row r="1463">
      <c r="A1463" s="47">
        <v>1.1194596663E10</v>
      </c>
      <c r="B1463" s="48">
        <v>46145.58126157407</v>
      </c>
      <c r="C1463" s="30">
        <v>3.812623803E9</v>
      </c>
      <c r="D1463" s="47" t="s">
        <v>1509</v>
      </c>
      <c r="E1463" s="30">
        <v>1535.0</v>
      </c>
      <c r="F1463" s="30">
        <v>1210.0</v>
      </c>
      <c r="G1463" s="30">
        <v>0.0</v>
      </c>
      <c r="H1463" s="30">
        <v>0.0</v>
      </c>
      <c r="I1463" s="30">
        <v>132.01</v>
      </c>
      <c r="J1463" s="30">
        <v>0.0</v>
      </c>
      <c r="K1463" s="30">
        <v>0.0</v>
      </c>
      <c r="L1463" s="30">
        <v>0.0</v>
      </c>
      <c r="M1463" s="30">
        <v>0.0</v>
      </c>
      <c r="N1463" s="30">
        <v>255.83333333333326</v>
      </c>
      <c r="O1463" s="30">
        <v>-62.84333333333325</v>
      </c>
      <c r="P1463" s="30">
        <v>-4.094028230184577</v>
      </c>
      <c r="Q1463" s="30">
        <v>-4.912833876221492</v>
      </c>
    </row>
    <row r="1464">
      <c r="A1464" s="47">
        <v>1.1196423703E10</v>
      </c>
      <c r="B1464" s="48">
        <v>46145.977222222224</v>
      </c>
      <c r="C1464" s="30">
        <v>3.814013203E9</v>
      </c>
      <c r="D1464" s="47" t="s">
        <v>1509</v>
      </c>
      <c r="E1464" s="30">
        <v>2034.0</v>
      </c>
      <c r="F1464" s="30">
        <v>0.0</v>
      </c>
      <c r="G1464" s="30">
        <v>0.0</v>
      </c>
      <c r="H1464" s="30">
        <v>0.0</v>
      </c>
      <c r="I1464" s="30">
        <v>254.25</v>
      </c>
      <c r="J1464" s="30">
        <v>0.0</v>
      </c>
      <c r="K1464" s="30">
        <v>0.0</v>
      </c>
      <c r="L1464" s="30">
        <v>0.0</v>
      </c>
      <c r="M1464" s="30">
        <v>0.0</v>
      </c>
      <c r="N1464" s="30">
        <v>339.0</v>
      </c>
      <c r="O1464" s="30">
        <v>1440.75</v>
      </c>
      <c r="P1464" s="30">
        <v>70.83333333333334</v>
      </c>
      <c r="Q1464" s="30">
        <v>85.0</v>
      </c>
    </row>
    <row r="1465">
      <c r="A1465" s="47">
        <v>1.1198841687E10</v>
      </c>
      <c r="B1465" s="48">
        <v>46146.82015046296</v>
      </c>
      <c r="C1465" s="30">
        <v>3.816285953E9</v>
      </c>
      <c r="D1465" s="47" t="s">
        <v>1509</v>
      </c>
      <c r="E1465" s="30">
        <v>319.0</v>
      </c>
      <c r="F1465" s="30">
        <v>180.0</v>
      </c>
      <c r="G1465" s="30">
        <v>0.0</v>
      </c>
      <c r="H1465" s="30">
        <v>0.0</v>
      </c>
      <c r="I1465" s="30">
        <v>52.635</v>
      </c>
      <c r="J1465" s="30">
        <v>0.0</v>
      </c>
      <c r="K1465" s="30">
        <v>0.0</v>
      </c>
      <c r="L1465" s="30">
        <v>0.0</v>
      </c>
      <c r="M1465" s="30">
        <v>0.0</v>
      </c>
      <c r="N1465" s="30">
        <v>53.16666666666663</v>
      </c>
      <c r="O1465" s="30">
        <v>33.19833333333338</v>
      </c>
      <c r="P1465" s="30">
        <v>10.407001044932095</v>
      </c>
      <c r="Q1465" s="30">
        <v>12.48840125391851</v>
      </c>
    </row>
    <row r="1466">
      <c r="A1466" s="47">
        <v>1.1192409091E10</v>
      </c>
      <c r="B1466" s="48">
        <v>46144.73200231481</v>
      </c>
      <c r="C1466" s="30">
        <v>3.810885995E9</v>
      </c>
      <c r="D1466" s="47" t="s">
        <v>1509</v>
      </c>
      <c r="E1466" s="30">
        <v>599.0</v>
      </c>
      <c r="F1466" s="30">
        <v>390.0</v>
      </c>
      <c r="G1466" s="30">
        <v>0.0</v>
      </c>
      <c r="H1466" s="30">
        <v>0.0</v>
      </c>
      <c r="I1466" s="30">
        <v>80.865</v>
      </c>
      <c r="J1466" s="30">
        <v>0.0</v>
      </c>
      <c r="K1466" s="30">
        <v>0.0</v>
      </c>
      <c r="L1466" s="30">
        <v>0.0</v>
      </c>
      <c r="M1466" s="30">
        <v>0.0</v>
      </c>
      <c r="N1466" s="30">
        <v>99.83333333333331</v>
      </c>
      <c r="O1466" s="30">
        <v>28.301666666666677</v>
      </c>
      <c r="P1466" s="30">
        <v>4.7248191430161395</v>
      </c>
      <c r="Q1466" s="30">
        <v>5.669782971619367</v>
      </c>
    </row>
    <row r="1467">
      <c r="A1467" s="47">
        <v>1.1201082754E10</v>
      </c>
      <c r="B1467" s="48">
        <v>46147.59453703704</v>
      </c>
      <c r="C1467" s="30">
        <v>3.818402731E9</v>
      </c>
      <c r="D1467" s="47" t="s">
        <v>1509</v>
      </c>
      <c r="E1467" s="30">
        <v>1289.0</v>
      </c>
      <c r="F1467" s="30">
        <v>1000.0</v>
      </c>
      <c r="G1467" s="30">
        <v>0.0</v>
      </c>
      <c r="H1467" s="30">
        <v>0.0</v>
      </c>
      <c r="I1467" s="30">
        <v>161.125</v>
      </c>
      <c r="J1467" s="30">
        <v>0.0</v>
      </c>
      <c r="K1467" s="30">
        <v>0.0</v>
      </c>
      <c r="L1467" s="30">
        <v>0.0</v>
      </c>
      <c r="M1467" s="30">
        <v>0.0</v>
      </c>
      <c r="N1467" s="30">
        <v>214.83333333333326</v>
      </c>
      <c r="O1467" s="30">
        <v>-86.95833333333326</v>
      </c>
      <c r="P1467" s="30">
        <v>-6.746185673648817</v>
      </c>
      <c r="Q1467" s="30">
        <v>-8.09542280837858</v>
      </c>
    </row>
    <row r="1468">
      <c r="A1468" s="47">
        <v>1.1191658033E10</v>
      </c>
      <c r="B1468" s="48">
        <v>46144.52685185185</v>
      </c>
      <c r="C1468" s="30">
        <v>3.810242927E9</v>
      </c>
      <c r="D1468" s="47" t="s">
        <v>1509</v>
      </c>
      <c r="E1468" s="30">
        <v>2134.0</v>
      </c>
      <c r="F1468" s="30">
        <v>1560.0</v>
      </c>
      <c r="G1468" s="30">
        <v>0.0</v>
      </c>
      <c r="H1468" s="30">
        <v>0.0</v>
      </c>
      <c r="I1468" s="30">
        <v>288.09</v>
      </c>
      <c r="J1468" s="30">
        <v>0.0</v>
      </c>
      <c r="K1468" s="30">
        <v>0.0</v>
      </c>
      <c r="L1468" s="30">
        <v>0.0</v>
      </c>
      <c r="M1468" s="30">
        <v>0.0</v>
      </c>
      <c r="N1468" s="30">
        <v>355.6666666666665</v>
      </c>
      <c r="O1468" s="30">
        <v>-69.75666666666649</v>
      </c>
      <c r="P1468" s="30">
        <v>-3.268822243049039</v>
      </c>
      <c r="Q1468" s="30">
        <v>-3.922586691658846</v>
      </c>
    </row>
    <row r="1469">
      <c r="A1469" s="47">
        <v>1.1198351604E10</v>
      </c>
      <c r="B1469" s="48">
        <v>46146.717939814815</v>
      </c>
      <c r="C1469" s="30">
        <v>3.815847898E9</v>
      </c>
      <c r="D1469" s="47" t="s">
        <v>1509</v>
      </c>
      <c r="E1469" s="30">
        <v>1482.0</v>
      </c>
      <c r="F1469" s="30">
        <v>1053.0</v>
      </c>
      <c r="G1469" s="30">
        <v>0.0</v>
      </c>
      <c r="H1469" s="30">
        <v>0.0</v>
      </c>
      <c r="I1469" s="30">
        <v>185.25</v>
      </c>
      <c r="J1469" s="30">
        <v>0.0</v>
      </c>
      <c r="K1469" s="30">
        <v>0.0</v>
      </c>
      <c r="L1469" s="30">
        <v>0.0</v>
      </c>
      <c r="M1469" s="30">
        <v>0.0</v>
      </c>
      <c r="N1469" s="30">
        <v>247.0</v>
      </c>
      <c r="O1469" s="30">
        <v>-3.25</v>
      </c>
      <c r="P1469" s="30">
        <v>-0.21929824561403508</v>
      </c>
      <c r="Q1469" s="30">
        <v>-0.2631578947368421</v>
      </c>
    </row>
    <row r="1470">
      <c r="A1470" s="47">
        <v>1.1196717032E10</v>
      </c>
      <c r="B1470" s="48">
        <v>46146.03429398148</v>
      </c>
      <c r="C1470" s="30">
        <v>3.814260784E9</v>
      </c>
      <c r="D1470" s="47" t="s">
        <v>1509</v>
      </c>
      <c r="E1470" s="30">
        <v>1535.0</v>
      </c>
      <c r="F1470" s="30">
        <v>1210.0</v>
      </c>
      <c r="G1470" s="30">
        <v>0.0</v>
      </c>
      <c r="H1470" s="30">
        <v>0.0</v>
      </c>
      <c r="I1470" s="30">
        <v>132.01</v>
      </c>
      <c r="J1470" s="30">
        <v>0.0</v>
      </c>
      <c r="K1470" s="30">
        <v>0.0</v>
      </c>
      <c r="L1470" s="30">
        <v>0.0</v>
      </c>
      <c r="M1470" s="30">
        <v>0.0</v>
      </c>
      <c r="N1470" s="30">
        <v>255.83333333333326</v>
      </c>
      <c r="O1470" s="30">
        <v>-62.84333333333325</v>
      </c>
      <c r="P1470" s="30">
        <v>-4.094028230184577</v>
      </c>
      <c r="Q1470" s="30">
        <v>-4.912833876221492</v>
      </c>
    </row>
    <row r="1471">
      <c r="A1471" s="47">
        <v>1.1196126969E10</v>
      </c>
      <c r="B1471" s="48">
        <v>46145.919803240744</v>
      </c>
      <c r="C1471" s="30">
        <v>3.813790837E9</v>
      </c>
      <c r="D1471" s="47" t="s">
        <v>1509</v>
      </c>
      <c r="E1471" s="30">
        <v>1535.0</v>
      </c>
      <c r="F1471" s="30">
        <v>1210.0</v>
      </c>
      <c r="G1471" s="30">
        <v>0.0</v>
      </c>
      <c r="H1471" s="30">
        <v>0.0</v>
      </c>
      <c r="I1471" s="30">
        <v>132.01</v>
      </c>
      <c r="J1471" s="30">
        <v>0.0</v>
      </c>
      <c r="K1471" s="30">
        <v>0.0</v>
      </c>
      <c r="L1471" s="30">
        <v>0.0</v>
      </c>
      <c r="M1471" s="30">
        <v>0.0</v>
      </c>
      <c r="N1471" s="30">
        <v>255.83333333333326</v>
      </c>
      <c r="O1471" s="30">
        <v>-62.84333333333325</v>
      </c>
      <c r="P1471" s="30">
        <v>-4.094028230184577</v>
      </c>
      <c r="Q1471" s="30">
        <v>-4.912833876221492</v>
      </c>
    </row>
    <row r="1472">
      <c r="A1472" s="47">
        <v>1.1198499352E10</v>
      </c>
      <c r="B1472" s="48">
        <v>46146.74925925926</v>
      </c>
      <c r="C1472" s="30">
        <v>3.815983523E9</v>
      </c>
      <c r="D1472" s="47" t="s">
        <v>1509</v>
      </c>
      <c r="E1472" s="30">
        <v>1606.0</v>
      </c>
      <c r="F1472" s="30">
        <v>1260.0</v>
      </c>
      <c r="G1472" s="30">
        <v>0.0</v>
      </c>
      <c r="H1472" s="30">
        <v>0.0</v>
      </c>
      <c r="I1472" s="30">
        <v>200.75</v>
      </c>
      <c r="J1472" s="30">
        <v>0.0</v>
      </c>
      <c r="K1472" s="30">
        <v>0.0</v>
      </c>
      <c r="L1472" s="30">
        <v>0.0</v>
      </c>
      <c r="M1472" s="30">
        <v>0.0</v>
      </c>
      <c r="N1472" s="30">
        <v>267.6666666666665</v>
      </c>
      <c r="O1472" s="30">
        <v>-122.41666666666652</v>
      </c>
      <c r="P1472" s="30">
        <v>-7.622457451224565</v>
      </c>
      <c r="Q1472" s="30">
        <v>-9.146948941469477</v>
      </c>
    </row>
    <row r="1473">
      <c r="A1473" s="47">
        <v>1.1195319296E10</v>
      </c>
      <c r="B1473" s="48">
        <v>46145.75917824074</v>
      </c>
      <c r="C1473" s="30">
        <v>3.813218143E9</v>
      </c>
      <c r="D1473" s="47" t="s">
        <v>1509</v>
      </c>
      <c r="E1473" s="30">
        <v>349.99</v>
      </c>
      <c r="F1473" s="30">
        <v>53.0</v>
      </c>
      <c r="G1473" s="30">
        <v>0.0</v>
      </c>
      <c r="H1473" s="30">
        <v>0.0</v>
      </c>
      <c r="I1473" s="30">
        <v>69.998</v>
      </c>
      <c r="J1473" s="30">
        <v>0.0</v>
      </c>
      <c r="K1473" s="30">
        <v>0.0</v>
      </c>
      <c r="L1473" s="30">
        <v>0.0</v>
      </c>
      <c r="M1473" s="30">
        <v>0.0</v>
      </c>
      <c r="N1473" s="30">
        <v>58.33166666666665</v>
      </c>
      <c r="O1473" s="30">
        <v>168.66033333333337</v>
      </c>
      <c r="P1473" s="30">
        <v>48.190043525053106</v>
      </c>
      <c r="Q1473" s="30">
        <v>57.82805223006372</v>
      </c>
    </row>
    <row r="1474">
      <c r="A1474" s="47">
        <v>1.1199238228E10</v>
      </c>
      <c r="B1474" s="48">
        <v>46146.89990740741</v>
      </c>
      <c r="C1474" s="30">
        <v>3.816602912E9</v>
      </c>
      <c r="D1474" s="47" t="s">
        <v>1509</v>
      </c>
      <c r="E1474" s="30">
        <v>4458.0</v>
      </c>
      <c r="F1474" s="30">
        <v>3000.0</v>
      </c>
      <c r="G1474" s="30">
        <v>0.0</v>
      </c>
      <c r="H1474" s="30">
        <v>0.0</v>
      </c>
      <c r="I1474" s="30">
        <v>601.83</v>
      </c>
      <c r="J1474" s="30">
        <v>0.0</v>
      </c>
      <c r="K1474" s="30">
        <v>0.0</v>
      </c>
      <c r="L1474" s="30">
        <v>0.0</v>
      </c>
      <c r="M1474" s="30">
        <v>0.0</v>
      </c>
      <c r="N1474" s="30">
        <v>743.0</v>
      </c>
      <c r="O1474" s="30">
        <v>113.16999999999996</v>
      </c>
      <c r="P1474" s="30">
        <v>2.5385823239120673</v>
      </c>
      <c r="Q1474" s="30">
        <v>3.0462987886944806</v>
      </c>
    </row>
    <row r="1475">
      <c r="A1475" s="47">
        <v>1.1192086068E10</v>
      </c>
      <c r="B1475" s="48">
        <v>46144.65899305556</v>
      </c>
      <c r="C1475" s="30">
        <v>3.810622768E9</v>
      </c>
      <c r="D1475" s="47" t="s">
        <v>1509</v>
      </c>
      <c r="E1475" s="30">
        <v>1535.0</v>
      </c>
      <c r="F1475" s="30">
        <v>1210.0</v>
      </c>
      <c r="G1475" s="30">
        <v>0.0</v>
      </c>
      <c r="H1475" s="30">
        <v>0.0</v>
      </c>
      <c r="I1475" s="30">
        <v>132.01</v>
      </c>
      <c r="J1475" s="30">
        <v>0.0</v>
      </c>
      <c r="K1475" s="30">
        <v>0.0</v>
      </c>
      <c r="L1475" s="30">
        <v>0.0</v>
      </c>
      <c r="M1475" s="30">
        <v>0.0</v>
      </c>
      <c r="N1475" s="30">
        <v>255.83333333333326</v>
      </c>
      <c r="O1475" s="30">
        <v>-62.84333333333325</v>
      </c>
      <c r="P1475" s="30">
        <v>-4.094028230184577</v>
      </c>
      <c r="Q1475" s="30">
        <v>-4.912833876221492</v>
      </c>
    </row>
    <row r="1476">
      <c r="A1476" s="47">
        <v>1.1194688916E10</v>
      </c>
      <c r="B1476" s="48">
        <v>46145.61208333333</v>
      </c>
      <c r="C1476" s="30">
        <v>3.812699539E9</v>
      </c>
      <c r="D1476" s="47" t="s">
        <v>1509</v>
      </c>
      <c r="E1476" s="30">
        <v>1535.0</v>
      </c>
      <c r="F1476" s="30">
        <v>1210.0</v>
      </c>
      <c r="G1476" s="30">
        <v>0.0</v>
      </c>
      <c r="H1476" s="30">
        <v>0.0</v>
      </c>
      <c r="I1476" s="30">
        <v>132.01</v>
      </c>
      <c r="J1476" s="30">
        <v>0.0</v>
      </c>
      <c r="K1476" s="30">
        <v>0.0</v>
      </c>
      <c r="L1476" s="30">
        <v>0.0</v>
      </c>
      <c r="M1476" s="30">
        <v>0.0</v>
      </c>
      <c r="N1476" s="30">
        <v>255.83333333333326</v>
      </c>
      <c r="O1476" s="30">
        <v>-62.84333333333325</v>
      </c>
      <c r="P1476" s="30">
        <v>-4.094028230184577</v>
      </c>
      <c r="Q1476" s="30">
        <v>-4.912833876221492</v>
      </c>
    </row>
    <row r="1477">
      <c r="A1477" s="47">
        <v>1.1200884954E10</v>
      </c>
      <c r="B1477" s="48">
        <v>46147.54137731482</v>
      </c>
      <c r="C1477" s="30">
        <v>3.818195824E9</v>
      </c>
      <c r="D1477" s="47" t="s">
        <v>1509</v>
      </c>
      <c r="E1477" s="30">
        <v>1482.0</v>
      </c>
      <c r="F1477" s="30">
        <v>1053.0</v>
      </c>
      <c r="G1477" s="30">
        <v>0.0</v>
      </c>
      <c r="H1477" s="30">
        <v>0.0</v>
      </c>
      <c r="I1477" s="30">
        <v>185.25</v>
      </c>
      <c r="J1477" s="30">
        <v>0.0</v>
      </c>
      <c r="K1477" s="30">
        <v>0.0</v>
      </c>
      <c r="L1477" s="30">
        <v>0.0</v>
      </c>
      <c r="M1477" s="30">
        <v>0.0</v>
      </c>
      <c r="N1477" s="30">
        <v>247.0</v>
      </c>
      <c r="O1477" s="30">
        <v>-3.25</v>
      </c>
      <c r="P1477" s="30">
        <v>-0.21929824561403508</v>
      </c>
      <c r="Q1477" s="30">
        <v>-0.2631578947368421</v>
      </c>
    </row>
    <row r="1478">
      <c r="A1478" s="47">
        <v>1.1201174441E10</v>
      </c>
      <c r="B1478" s="48">
        <v>46147.612905092596</v>
      </c>
      <c r="C1478" s="30">
        <v>3.818486817E9</v>
      </c>
      <c r="D1478" s="47" t="s">
        <v>1509</v>
      </c>
      <c r="E1478" s="30">
        <v>1615.0</v>
      </c>
      <c r="F1478" s="30">
        <v>1190.0</v>
      </c>
      <c r="G1478" s="30">
        <v>0.0</v>
      </c>
      <c r="H1478" s="30">
        <v>0.0</v>
      </c>
      <c r="I1478" s="30">
        <v>201.875</v>
      </c>
      <c r="J1478" s="30">
        <v>0.0</v>
      </c>
      <c r="K1478" s="30">
        <v>0.0</v>
      </c>
      <c r="L1478" s="30">
        <v>0.0</v>
      </c>
      <c r="M1478" s="30">
        <v>0.0</v>
      </c>
      <c r="N1478" s="30">
        <v>269.1666666666665</v>
      </c>
      <c r="O1478" s="30">
        <v>-46.041666666666515</v>
      </c>
      <c r="P1478" s="30">
        <v>-2.8508771929824466</v>
      </c>
      <c r="Q1478" s="30">
        <v>-3.421052631578936</v>
      </c>
    </row>
    <row r="1479">
      <c r="A1479" s="47">
        <v>1.1198241247E10</v>
      </c>
      <c r="B1479" s="48">
        <v>46146.695335648146</v>
      </c>
      <c r="C1479" s="30">
        <v>3.815748843E9</v>
      </c>
      <c r="D1479" s="47" t="s">
        <v>1509</v>
      </c>
      <c r="E1479" s="30">
        <v>1715.0</v>
      </c>
      <c r="F1479" s="30">
        <v>1137.36</v>
      </c>
      <c r="G1479" s="30">
        <v>0.0</v>
      </c>
      <c r="H1479" s="30">
        <v>0.0</v>
      </c>
      <c r="I1479" s="30">
        <v>214.375</v>
      </c>
      <c r="J1479" s="30">
        <v>0.0</v>
      </c>
      <c r="K1479" s="30">
        <v>0.0</v>
      </c>
      <c r="L1479" s="30">
        <v>0.0</v>
      </c>
      <c r="M1479" s="30">
        <v>0.0</v>
      </c>
      <c r="N1479" s="30">
        <v>285.83333333333326</v>
      </c>
      <c r="O1479" s="30">
        <v>77.43166666666684</v>
      </c>
      <c r="P1479" s="30">
        <v>4.514965986394568</v>
      </c>
      <c r="Q1479" s="30">
        <v>5.4179591836734815</v>
      </c>
    </row>
    <row r="1480">
      <c r="A1480" s="47">
        <v>1.1193621095E10</v>
      </c>
      <c r="B1480" s="48">
        <v>46144.999814814815</v>
      </c>
      <c r="C1480" s="30">
        <v>3.811750034E9</v>
      </c>
      <c r="D1480" s="47" t="s">
        <v>1509</v>
      </c>
      <c r="E1480" s="30">
        <v>1454.0</v>
      </c>
      <c r="F1480" s="30">
        <v>960.0</v>
      </c>
      <c r="G1480" s="30">
        <v>0.0</v>
      </c>
      <c r="H1480" s="30">
        <v>0.0</v>
      </c>
      <c r="I1480" s="30">
        <v>196.29</v>
      </c>
      <c r="J1480" s="30">
        <v>0.0</v>
      </c>
      <c r="K1480" s="30">
        <v>0.0</v>
      </c>
      <c r="L1480" s="30">
        <v>0.0</v>
      </c>
      <c r="M1480" s="30">
        <v>0.0</v>
      </c>
      <c r="N1480" s="30">
        <v>242.33333333333326</v>
      </c>
      <c r="O1480" s="30">
        <v>55.37666666666678</v>
      </c>
      <c r="P1480" s="30">
        <v>3.8085740486015665</v>
      </c>
      <c r="Q1480" s="30">
        <v>4.57028885832188</v>
      </c>
    </row>
    <row r="1481">
      <c r="A1481" s="47">
        <v>1.1193274539E10</v>
      </c>
      <c r="B1481" s="48">
        <v>46144.92427083333</v>
      </c>
      <c r="C1481" s="30">
        <v>3.811507582E9</v>
      </c>
      <c r="D1481" s="47" t="s">
        <v>1509</v>
      </c>
      <c r="E1481" s="30">
        <v>1137.0</v>
      </c>
      <c r="F1481" s="30">
        <v>824.0</v>
      </c>
      <c r="G1481" s="30">
        <v>0.0</v>
      </c>
      <c r="H1481" s="30">
        <v>0.0</v>
      </c>
      <c r="I1481" s="30">
        <v>187.605</v>
      </c>
      <c r="J1481" s="30">
        <v>0.0</v>
      </c>
      <c r="K1481" s="30">
        <v>0.0</v>
      </c>
      <c r="L1481" s="30">
        <v>0.0</v>
      </c>
      <c r="M1481" s="30">
        <v>0.0</v>
      </c>
      <c r="N1481" s="30">
        <v>189.5</v>
      </c>
      <c r="O1481" s="30">
        <v>-64.10499999999999</v>
      </c>
      <c r="P1481" s="30">
        <v>-5.638082673702725</v>
      </c>
      <c r="Q1481" s="30">
        <v>-6.765699208443271</v>
      </c>
    </row>
    <row r="1482">
      <c r="A1482" s="47">
        <v>1.1196029533E10</v>
      </c>
      <c r="B1482" s="48">
        <v>46145.9008912037</v>
      </c>
      <c r="C1482" s="30">
        <v>3.813726854E9</v>
      </c>
      <c r="D1482" s="47" t="s">
        <v>1509</v>
      </c>
      <c r="E1482" s="30">
        <v>2222.0</v>
      </c>
      <c r="F1482" s="30">
        <v>1500.0</v>
      </c>
      <c r="G1482" s="30">
        <v>0.0</v>
      </c>
      <c r="H1482" s="30">
        <v>0.0</v>
      </c>
      <c r="I1482" s="30">
        <v>366.63</v>
      </c>
      <c r="J1482" s="30">
        <v>0.0</v>
      </c>
      <c r="K1482" s="30">
        <v>0.0</v>
      </c>
      <c r="L1482" s="30">
        <v>0.0</v>
      </c>
      <c r="M1482" s="30">
        <v>0.0</v>
      </c>
      <c r="N1482" s="30">
        <v>370.33333333333326</v>
      </c>
      <c r="O1482" s="30">
        <v>-14.963333333333253</v>
      </c>
      <c r="P1482" s="30">
        <v>-0.6734173417341698</v>
      </c>
      <c r="Q1482" s="30">
        <v>-0.8081008100810038</v>
      </c>
    </row>
    <row r="1483">
      <c r="A1483" s="47">
        <v>1.1192933835E10</v>
      </c>
      <c r="B1483" s="48">
        <v>46144.84951388889</v>
      </c>
      <c r="C1483" s="30">
        <v>3.811278538E9</v>
      </c>
      <c r="D1483" s="47" t="s">
        <v>1509</v>
      </c>
      <c r="E1483" s="30">
        <v>2075.0</v>
      </c>
      <c r="F1483" s="30">
        <v>1500.0</v>
      </c>
      <c r="G1483" s="30">
        <v>0.0</v>
      </c>
      <c r="H1483" s="30">
        <v>0.0</v>
      </c>
      <c r="I1483" s="30">
        <v>342.375</v>
      </c>
      <c r="J1483" s="30">
        <v>0.0</v>
      </c>
      <c r="K1483" s="30">
        <v>0.0</v>
      </c>
      <c r="L1483" s="30">
        <v>0.0</v>
      </c>
      <c r="M1483" s="30">
        <v>0.0</v>
      </c>
      <c r="N1483" s="30">
        <v>345.83333333333326</v>
      </c>
      <c r="O1483" s="30">
        <v>-113.20833333333326</v>
      </c>
      <c r="P1483" s="30">
        <v>-5.4558232931726875</v>
      </c>
      <c r="Q1483" s="30">
        <v>-6.546987951807225</v>
      </c>
    </row>
    <row r="1484">
      <c r="A1484" s="47">
        <v>1.1197785926E10</v>
      </c>
      <c r="B1484" s="48">
        <v>46146.60386574074</v>
      </c>
      <c r="C1484" s="30">
        <v>3.815365631E9</v>
      </c>
      <c r="D1484" s="47" t="s">
        <v>1509</v>
      </c>
      <c r="E1484" s="30">
        <v>1186.0</v>
      </c>
      <c r="F1484" s="30">
        <v>850.0</v>
      </c>
      <c r="G1484" s="30">
        <v>0.0</v>
      </c>
      <c r="H1484" s="30">
        <v>0.0</v>
      </c>
      <c r="I1484" s="30">
        <v>160.11</v>
      </c>
      <c r="J1484" s="30">
        <v>0.0</v>
      </c>
      <c r="K1484" s="30">
        <v>0.0</v>
      </c>
      <c r="L1484" s="30">
        <v>0.0</v>
      </c>
      <c r="M1484" s="30">
        <v>0.0</v>
      </c>
      <c r="N1484" s="30">
        <v>197.66666666666663</v>
      </c>
      <c r="O1484" s="30">
        <v>-21.776666666666642</v>
      </c>
      <c r="P1484" s="30">
        <v>-1.8361439010680138</v>
      </c>
      <c r="Q1484" s="30">
        <v>-2.2033726812816163</v>
      </c>
    </row>
    <row r="1485">
      <c r="A1485" s="47">
        <v>1.1197116237E10</v>
      </c>
      <c r="B1485" s="48">
        <v>46146.12383101852</v>
      </c>
      <c r="C1485" s="30">
        <v>3.814653454E9</v>
      </c>
      <c r="D1485" s="47" t="s">
        <v>1509</v>
      </c>
      <c r="E1485" s="30">
        <v>1535.0</v>
      </c>
      <c r="F1485" s="30">
        <v>1210.0</v>
      </c>
      <c r="G1485" s="30">
        <v>0.0</v>
      </c>
      <c r="H1485" s="30">
        <v>0.0</v>
      </c>
      <c r="I1485" s="30">
        <v>132.01</v>
      </c>
      <c r="J1485" s="30">
        <v>0.0</v>
      </c>
      <c r="K1485" s="30">
        <v>0.0</v>
      </c>
      <c r="L1485" s="30">
        <v>0.0</v>
      </c>
      <c r="M1485" s="30">
        <v>0.0</v>
      </c>
      <c r="N1485" s="30">
        <v>255.83333333333326</v>
      </c>
      <c r="O1485" s="30">
        <v>-62.84333333333325</v>
      </c>
      <c r="P1485" s="30">
        <v>-4.094028230184577</v>
      </c>
      <c r="Q1485" s="30">
        <v>-4.912833876221492</v>
      </c>
    </row>
    <row r="1486">
      <c r="A1486" s="47">
        <v>1.1200856038E10</v>
      </c>
      <c r="B1486" s="48">
        <v>46147.531875</v>
      </c>
      <c r="C1486" s="30">
        <v>3.818160395E9</v>
      </c>
      <c r="D1486" s="47" t="s">
        <v>1509</v>
      </c>
      <c r="E1486" s="30">
        <v>349.99</v>
      </c>
      <c r="F1486" s="30">
        <v>106.0</v>
      </c>
      <c r="G1486" s="30">
        <v>0.0</v>
      </c>
      <c r="H1486" s="30">
        <v>0.0</v>
      </c>
      <c r="I1486" s="30">
        <v>69.998</v>
      </c>
      <c r="J1486" s="30">
        <v>0.0</v>
      </c>
      <c r="K1486" s="30">
        <v>0.0</v>
      </c>
      <c r="L1486" s="30">
        <v>0.0</v>
      </c>
      <c r="M1486" s="30">
        <v>0.0</v>
      </c>
      <c r="N1486" s="30">
        <v>58.33166666666665</v>
      </c>
      <c r="O1486" s="30">
        <v>115.66033333333337</v>
      </c>
      <c r="P1486" s="30">
        <v>33.04675371677287</v>
      </c>
      <c r="Q1486" s="30">
        <v>39.65610446012744</v>
      </c>
    </row>
    <row r="1487">
      <c r="A1487" s="47">
        <v>1.1199606004E10</v>
      </c>
      <c r="B1487" s="48">
        <v>46146.96923611111</v>
      </c>
      <c r="C1487" s="30">
        <v>3.81689153E9</v>
      </c>
      <c r="D1487" s="47" t="s">
        <v>1509</v>
      </c>
      <c r="E1487" s="30">
        <v>2579.0</v>
      </c>
      <c r="F1487" s="30">
        <v>1999.6</v>
      </c>
      <c r="G1487" s="30">
        <v>0.0</v>
      </c>
      <c r="H1487" s="30">
        <v>0.0</v>
      </c>
      <c r="I1487" s="30">
        <v>322.375</v>
      </c>
      <c r="J1487" s="30">
        <v>0.0</v>
      </c>
      <c r="K1487" s="30">
        <v>0.0</v>
      </c>
      <c r="L1487" s="30">
        <v>0.0</v>
      </c>
      <c r="M1487" s="30">
        <v>0.0</v>
      </c>
      <c r="N1487" s="30">
        <v>429.83333333333326</v>
      </c>
      <c r="O1487" s="30">
        <v>-172.80833333333317</v>
      </c>
      <c r="P1487" s="30">
        <v>-6.700594545689537</v>
      </c>
      <c r="Q1487" s="30">
        <v>-8.040713454827443</v>
      </c>
    </row>
    <row r="1488">
      <c r="A1488" s="47">
        <v>1.119401151E10</v>
      </c>
      <c r="B1488" s="48">
        <v>46145.09170138889</v>
      </c>
      <c r="C1488" s="30">
        <v>3.812081776E9</v>
      </c>
      <c r="D1488" s="47" t="s">
        <v>1509</v>
      </c>
      <c r="E1488" s="30">
        <v>1535.0</v>
      </c>
      <c r="F1488" s="30">
        <v>1210.0</v>
      </c>
      <c r="G1488" s="30">
        <v>0.0</v>
      </c>
      <c r="H1488" s="30">
        <v>0.0</v>
      </c>
      <c r="I1488" s="30">
        <v>132.01</v>
      </c>
      <c r="J1488" s="30">
        <v>0.0</v>
      </c>
      <c r="K1488" s="30">
        <v>0.0</v>
      </c>
      <c r="L1488" s="30">
        <v>0.0</v>
      </c>
      <c r="M1488" s="30">
        <v>0.0</v>
      </c>
      <c r="N1488" s="30">
        <v>255.83333333333326</v>
      </c>
      <c r="O1488" s="30">
        <v>-62.84333333333325</v>
      </c>
      <c r="P1488" s="30">
        <v>-4.094028230184577</v>
      </c>
      <c r="Q1488" s="30">
        <v>-4.912833876221492</v>
      </c>
    </row>
    <row r="1489">
      <c r="A1489" s="47">
        <v>1.1198676494E10</v>
      </c>
      <c r="B1489" s="48">
        <v>46146.786203703705</v>
      </c>
      <c r="C1489" s="30">
        <v>3.816138681E9</v>
      </c>
      <c r="D1489" s="47" t="s">
        <v>1509</v>
      </c>
      <c r="E1489" s="30">
        <v>1870.0</v>
      </c>
      <c r="F1489" s="30">
        <v>1260.0</v>
      </c>
      <c r="G1489" s="30">
        <v>0.0</v>
      </c>
      <c r="H1489" s="30">
        <v>0.0</v>
      </c>
      <c r="I1489" s="30">
        <v>308.55</v>
      </c>
      <c r="J1489" s="30">
        <v>0.0</v>
      </c>
      <c r="K1489" s="30">
        <v>0.0</v>
      </c>
      <c r="L1489" s="30">
        <v>0.0</v>
      </c>
      <c r="M1489" s="30">
        <v>0.0</v>
      </c>
      <c r="N1489" s="30">
        <v>311.6666666666665</v>
      </c>
      <c r="O1489" s="30">
        <v>-10.216666666666526</v>
      </c>
      <c r="P1489" s="30">
        <v>-0.5463458110516859</v>
      </c>
      <c r="Q1489" s="30">
        <v>-0.655614973262023</v>
      </c>
    </row>
    <row r="1490">
      <c r="A1490" s="47">
        <v>1.1178235958E10</v>
      </c>
      <c r="B1490" s="48">
        <v>46139.79467592593</v>
      </c>
      <c r="C1490" s="30">
        <v>3.799109612E9</v>
      </c>
      <c r="D1490" s="47" t="s">
        <v>1509</v>
      </c>
      <c r="E1490" s="30">
        <v>1555.0</v>
      </c>
      <c r="F1490" s="30">
        <v>1210.0</v>
      </c>
      <c r="G1490" s="30">
        <v>0.0</v>
      </c>
      <c r="H1490" s="30">
        <v>0.0</v>
      </c>
      <c r="I1490" s="30">
        <v>132.175</v>
      </c>
      <c r="J1490" s="30">
        <v>0.0</v>
      </c>
      <c r="K1490" s="30">
        <v>0.0</v>
      </c>
      <c r="L1490" s="30">
        <v>0.0</v>
      </c>
      <c r="M1490" s="30">
        <v>0.0</v>
      </c>
      <c r="N1490" s="30">
        <v>259.1666666666665</v>
      </c>
      <c r="O1490" s="30">
        <v>-46.34166666666653</v>
      </c>
      <c r="P1490" s="30">
        <v>-2.980171489817783</v>
      </c>
      <c r="Q1490" s="30">
        <v>-3.576205787781339</v>
      </c>
    </row>
    <row r="1491">
      <c r="A1491" s="47">
        <v>1.1204559577E10</v>
      </c>
      <c r="B1491" s="48">
        <v>46148.49125</v>
      </c>
      <c r="C1491" s="30">
        <v>3.82167406E9</v>
      </c>
      <c r="D1491" s="47" t="s">
        <v>1511</v>
      </c>
      <c r="E1491" s="30">
        <v>1554.0</v>
      </c>
      <c r="F1491" s="30">
        <v>1210.0</v>
      </c>
      <c r="G1491" s="30">
        <v>0.0</v>
      </c>
      <c r="H1491" s="30">
        <v>0.0</v>
      </c>
      <c r="I1491" s="30">
        <v>0.0</v>
      </c>
      <c r="J1491" s="30">
        <v>0.0</v>
      </c>
      <c r="K1491" s="30">
        <v>0.0</v>
      </c>
      <c r="L1491" s="30">
        <v>0.0</v>
      </c>
      <c r="M1491" s="30">
        <v>0.0</v>
      </c>
      <c r="N1491" s="30">
        <v>259.0</v>
      </c>
      <c r="O1491" s="30">
        <v>85.0</v>
      </c>
      <c r="P1491" s="30">
        <v>5.469755469755469</v>
      </c>
      <c r="Q1491" s="30">
        <v>6.563706563706563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5.75"/>
    <col customWidth="1" min="3" max="3" width="10.0"/>
    <col customWidth="1" min="4" max="4" width="13.5"/>
    <col customWidth="1" min="5" max="5" width="19.75"/>
    <col customWidth="1" min="6" max="6" width="10.5"/>
    <col customWidth="1" min="7" max="7" width="87.38"/>
    <col customWidth="1" min="8" max="8" width="4.25"/>
    <col customWidth="1" min="9" max="9" width="12.5"/>
    <col customWidth="1" min="10" max="10" width="12.38"/>
    <col customWidth="1" min="11" max="11" width="13.75"/>
    <col customWidth="1" min="12" max="12" width="12.25"/>
    <col customWidth="1" min="13" max="13" width="14.38"/>
    <col customWidth="1" min="14" max="14" width="16.0"/>
    <col customWidth="1" min="15" max="15" width="8.38"/>
    <col customWidth="1" min="16" max="16" width="14.63"/>
    <col customWidth="1" min="17" max="17" width="9.63"/>
  </cols>
  <sheetData>
    <row r="1">
      <c r="A1" s="47" t="s">
        <v>1491</v>
      </c>
      <c r="B1" s="47" t="s">
        <v>1492</v>
      </c>
      <c r="C1" s="47" t="s">
        <v>1493</v>
      </c>
      <c r="D1" s="47" t="s">
        <v>1494</v>
      </c>
      <c r="E1" s="47" t="s">
        <v>19</v>
      </c>
      <c r="F1" s="47" t="s">
        <v>44</v>
      </c>
      <c r="G1" s="47" t="s">
        <v>871</v>
      </c>
      <c r="H1" s="47" t="s">
        <v>1517</v>
      </c>
      <c r="I1" s="47" t="s">
        <v>1518</v>
      </c>
      <c r="J1" s="47" t="s">
        <v>1519</v>
      </c>
      <c r="K1" s="47" t="s">
        <v>886</v>
      </c>
      <c r="L1" s="47" t="s">
        <v>1499</v>
      </c>
      <c r="M1" s="47" t="s">
        <v>1520</v>
      </c>
      <c r="N1" s="47" t="s">
        <v>1521</v>
      </c>
      <c r="O1" s="47" t="s">
        <v>1497</v>
      </c>
      <c r="P1" s="47" t="s">
        <v>1498</v>
      </c>
      <c r="Q1" s="47" t="s">
        <v>1522</v>
      </c>
    </row>
    <row r="2">
      <c r="A2" s="47">
        <v>1.1252105455E10</v>
      </c>
      <c r="B2" s="48">
        <v>46162.12634259259</v>
      </c>
      <c r="C2" s="30">
        <v>3.864180923E9</v>
      </c>
      <c r="D2" s="47" t="s">
        <v>1508</v>
      </c>
      <c r="E2" s="47">
        <v>5.060255492161E12</v>
      </c>
      <c r="F2" s="47" t="s">
        <v>1523</v>
      </c>
      <c r="G2" s="47" t="s">
        <v>1524</v>
      </c>
      <c r="H2" s="30">
        <v>2.0</v>
      </c>
      <c r="I2" s="30">
        <v>1200.0</v>
      </c>
      <c r="J2" s="30">
        <v>2400.0</v>
      </c>
      <c r="K2" s="30">
        <v>14.5</v>
      </c>
      <c r="L2" s="30">
        <v>348.0</v>
      </c>
      <c r="M2" s="30">
        <v>800.0</v>
      </c>
      <c r="N2" s="30">
        <v>1600.0</v>
      </c>
      <c r="O2" s="30">
        <v>0.0</v>
      </c>
      <c r="P2" s="30">
        <v>0.0</v>
      </c>
      <c r="Q2" s="30">
        <v>452.0</v>
      </c>
    </row>
    <row r="3">
      <c r="A3" s="47">
        <v>1.1252066856E10</v>
      </c>
      <c r="B3" s="48">
        <v>46162.11704861111</v>
      </c>
      <c r="C3" s="30">
        <v>3.864140677E9</v>
      </c>
      <c r="D3" s="47" t="s">
        <v>1508</v>
      </c>
      <c r="E3" s="47">
        <v>8.410650151656E12</v>
      </c>
      <c r="F3" s="47" t="s">
        <v>1523</v>
      </c>
      <c r="G3" s="47" t="s">
        <v>1525</v>
      </c>
      <c r="H3" s="30">
        <v>1.0</v>
      </c>
      <c r="I3" s="30">
        <v>1630.0</v>
      </c>
      <c r="J3" s="30">
        <v>1630.0</v>
      </c>
      <c r="K3" s="30">
        <v>15.9</v>
      </c>
      <c r="L3" s="30">
        <v>259.17</v>
      </c>
      <c r="M3" s="30">
        <v>1228.0</v>
      </c>
      <c r="N3" s="30">
        <v>1228.0</v>
      </c>
      <c r="O3" s="30">
        <v>0.0</v>
      </c>
      <c r="P3" s="30">
        <v>0.0</v>
      </c>
      <c r="Q3" s="30">
        <v>142.82999999999998</v>
      </c>
    </row>
    <row r="4">
      <c r="A4" s="47">
        <v>1.1252051509E10</v>
      </c>
      <c r="B4" s="48">
        <v>46162.11331018519</v>
      </c>
      <c r="C4" s="30">
        <v>3.864121996E9</v>
      </c>
      <c r="D4" s="47" t="s">
        <v>1508</v>
      </c>
      <c r="E4" s="47">
        <v>3.182550721738E12</v>
      </c>
      <c r="F4" s="47" t="s">
        <v>1523</v>
      </c>
      <c r="G4" s="47" t="s">
        <v>1526</v>
      </c>
      <c r="H4" s="30">
        <v>1.0</v>
      </c>
      <c r="I4" s="30">
        <v>1541.0</v>
      </c>
      <c r="J4" s="30">
        <v>1541.0</v>
      </c>
      <c r="K4" s="30">
        <v>12.5</v>
      </c>
      <c r="L4" s="30">
        <v>192.625</v>
      </c>
      <c r="M4" s="30">
        <v>1210.0</v>
      </c>
      <c r="N4" s="30">
        <v>1210.0</v>
      </c>
      <c r="O4" s="30">
        <v>0.0</v>
      </c>
      <c r="P4" s="30">
        <v>0.0</v>
      </c>
      <c r="Q4" s="30">
        <v>138.375</v>
      </c>
    </row>
    <row r="5">
      <c r="A5" s="47">
        <v>1.1252018377E10</v>
      </c>
      <c r="B5" s="48">
        <v>46162.10603009259</v>
      </c>
      <c r="C5" s="30">
        <v>3.86409202E9</v>
      </c>
      <c r="D5" s="47" t="s">
        <v>1508</v>
      </c>
      <c r="E5" s="47">
        <v>3.182550721738E12</v>
      </c>
      <c r="F5" s="47" t="s">
        <v>1523</v>
      </c>
      <c r="G5" s="47" t="s">
        <v>1526</v>
      </c>
      <c r="H5" s="30">
        <v>1.0</v>
      </c>
      <c r="I5" s="30">
        <v>1529.0</v>
      </c>
      <c r="J5" s="30">
        <v>1529.0</v>
      </c>
      <c r="K5" s="30">
        <v>12.5</v>
      </c>
      <c r="L5" s="30">
        <v>191.125</v>
      </c>
      <c r="M5" s="30">
        <v>1210.0</v>
      </c>
      <c r="N5" s="30">
        <v>1210.0</v>
      </c>
      <c r="O5" s="30">
        <v>0.0</v>
      </c>
      <c r="P5" s="30">
        <v>0.0</v>
      </c>
      <c r="Q5" s="30">
        <v>127.875</v>
      </c>
    </row>
    <row r="6">
      <c r="A6" s="47">
        <v>1.1242789246E10</v>
      </c>
      <c r="B6" s="48">
        <v>46159.58524305555</v>
      </c>
      <c r="C6" s="30">
        <v>3.856423519E9</v>
      </c>
      <c r="D6" s="47" t="s">
        <v>1509</v>
      </c>
      <c r="E6" s="47">
        <v>7.613033560064E12</v>
      </c>
      <c r="F6" s="47" t="s">
        <v>1523</v>
      </c>
      <c r="G6" s="47" t="s">
        <v>1527</v>
      </c>
      <c r="H6" s="30">
        <v>1.0</v>
      </c>
      <c r="I6" s="30">
        <v>1283.0</v>
      </c>
      <c r="J6" s="30">
        <v>1283.0</v>
      </c>
      <c r="K6" s="30">
        <v>2.7</v>
      </c>
      <c r="L6" s="30">
        <v>34.641000000000005</v>
      </c>
      <c r="M6" s="30">
        <v>1190.0</v>
      </c>
      <c r="N6" s="30">
        <v>1190.0</v>
      </c>
      <c r="O6" s="30">
        <v>0.0</v>
      </c>
      <c r="P6" s="30">
        <v>0.0</v>
      </c>
      <c r="Q6" s="30">
        <v>58.358999999999995</v>
      </c>
    </row>
    <row r="7">
      <c r="A7" s="47">
        <v>1.1251979394E10</v>
      </c>
      <c r="B7" s="48">
        <v>46162.097662037035</v>
      </c>
      <c r="C7" s="30">
        <v>3.864055822E9</v>
      </c>
      <c r="D7" s="47" t="s">
        <v>1508</v>
      </c>
      <c r="E7" s="47">
        <v>8.005852171108E12</v>
      </c>
      <c r="F7" s="47" t="s">
        <v>1523</v>
      </c>
      <c r="G7" s="47" t="s">
        <v>1528</v>
      </c>
      <c r="H7" s="30">
        <v>6.0</v>
      </c>
      <c r="I7" s="30">
        <v>175.0</v>
      </c>
      <c r="J7" s="30">
        <v>1050.0</v>
      </c>
      <c r="K7" s="30">
        <v>16.5</v>
      </c>
      <c r="L7" s="30">
        <v>173.25</v>
      </c>
      <c r="M7" s="30">
        <v>0.0</v>
      </c>
      <c r="N7" s="30">
        <v>0.0</v>
      </c>
      <c r="O7" s="30">
        <v>0.0</v>
      </c>
      <c r="P7" s="30">
        <v>0.0</v>
      </c>
      <c r="Q7" s="30">
        <v>876.75</v>
      </c>
    </row>
    <row r="8">
      <c r="A8" s="47">
        <v>1.1251763065E10</v>
      </c>
      <c r="B8" s="48">
        <v>46162.054074074076</v>
      </c>
      <c r="C8" s="30">
        <v>3.863848302E9</v>
      </c>
      <c r="D8" s="47" t="s">
        <v>1508</v>
      </c>
      <c r="E8" s="47">
        <v>3.182550737593E12</v>
      </c>
      <c r="F8" s="47" t="s">
        <v>1523</v>
      </c>
      <c r="G8" s="47" t="s">
        <v>1529</v>
      </c>
      <c r="H8" s="30">
        <v>1.0</v>
      </c>
      <c r="I8" s="30">
        <v>1125.0</v>
      </c>
      <c r="J8" s="30">
        <v>1125.0</v>
      </c>
      <c r="K8" s="30">
        <v>0.0</v>
      </c>
      <c r="L8" s="30">
        <v>0.0</v>
      </c>
      <c r="M8" s="30">
        <v>832.44</v>
      </c>
      <c r="N8" s="30">
        <v>832.44</v>
      </c>
      <c r="O8" s="30">
        <v>0.0</v>
      </c>
      <c r="P8" s="30">
        <v>0.0</v>
      </c>
      <c r="Q8" s="30">
        <v>292.55999999999995</v>
      </c>
    </row>
    <row r="9">
      <c r="A9" s="47">
        <v>1.1251732339E10</v>
      </c>
      <c r="B9" s="48">
        <v>46162.048368055555</v>
      </c>
      <c r="C9" s="30">
        <v>3.86382636E9</v>
      </c>
      <c r="D9" s="47" t="s">
        <v>1508</v>
      </c>
      <c r="E9" s="47">
        <v>8.410650239156E12</v>
      </c>
      <c r="F9" s="47" t="s">
        <v>1523</v>
      </c>
      <c r="G9" s="47" t="s">
        <v>1530</v>
      </c>
      <c r="H9" s="30">
        <v>1.0</v>
      </c>
      <c r="I9" s="30">
        <v>1728.0</v>
      </c>
      <c r="J9" s="30">
        <v>1728.0</v>
      </c>
      <c r="K9" s="30">
        <v>0.0</v>
      </c>
      <c r="L9" s="30">
        <v>0.0</v>
      </c>
      <c r="M9" s="30">
        <v>1260.0</v>
      </c>
      <c r="N9" s="30">
        <v>1260.0</v>
      </c>
      <c r="O9" s="30">
        <v>0.0</v>
      </c>
      <c r="P9" s="30">
        <v>0.0</v>
      </c>
      <c r="Q9" s="30">
        <v>468.0</v>
      </c>
    </row>
    <row r="10">
      <c r="A10" s="47">
        <v>1.1251590122E10</v>
      </c>
      <c r="B10" s="48">
        <v>46162.021099537036</v>
      </c>
      <c r="C10" s="30">
        <v>3.86369466E9</v>
      </c>
      <c r="D10" s="47" t="s">
        <v>1508</v>
      </c>
      <c r="E10" s="47" t="s">
        <v>411</v>
      </c>
      <c r="F10" s="47" t="s">
        <v>1523</v>
      </c>
      <c r="G10" s="47" t="s">
        <v>1531</v>
      </c>
      <c r="H10" s="30">
        <v>1.0</v>
      </c>
      <c r="I10" s="30">
        <v>781.0</v>
      </c>
      <c r="J10" s="30">
        <v>781.0</v>
      </c>
      <c r="K10" s="30">
        <v>6.7</v>
      </c>
      <c r="L10" s="30">
        <v>52.327</v>
      </c>
      <c r="M10" s="30">
        <v>580.0</v>
      </c>
      <c r="N10" s="30">
        <v>580.0</v>
      </c>
      <c r="O10" s="30">
        <v>0.0</v>
      </c>
      <c r="P10" s="30">
        <v>0.0</v>
      </c>
      <c r="Q10" s="30">
        <v>148.673</v>
      </c>
    </row>
    <row r="11">
      <c r="A11" s="47">
        <v>1.1251471012E10</v>
      </c>
      <c r="B11" s="48">
        <v>46161.998715277776</v>
      </c>
      <c r="C11" s="30">
        <v>3.863598907E9</v>
      </c>
      <c r="D11" s="47" t="s">
        <v>1508</v>
      </c>
      <c r="E11" s="47">
        <v>5.060255492161E12</v>
      </c>
      <c r="F11" s="47" t="s">
        <v>1523</v>
      </c>
      <c r="G11" s="47" t="s">
        <v>1524</v>
      </c>
      <c r="H11" s="30">
        <v>1.0</v>
      </c>
      <c r="I11" s="30">
        <v>1200.0</v>
      </c>
      <c r="J11" s="30">
        <v>1200.0</v>
      </c>
      <c r="K11" s="30">
        <v>14.5</v>
      </c>
      <c r="L11" s="30">
        <v>174.0</v>
      </c>
      <c r="M11" s="30">
        <v>800.0</v>
      </c>
      <c r="N11" s="30">
        <v>800.0</v>
      </c>
      <c r="O11" s="30">
        <v>0.0</v>
      </c>
      <c r="P11" s="30">
        <v>0.0</v>
      </c>
      <c r="Q11" s="30">
        <v>226.0</v>
      </c>
    </row>
    <row r="12">
      <c r="A12" s="47">
        <v>1.1245214215E10</v>
      </c>
      <c r="B12" s="48">
        <v>46160.061064814814</v>
      </c>
      <c r="C12" s="30">
        <v>3.85826049E9</v>
      </c>
      <c r="D12" s="47" t="s">
        <v>1509</v>
      </c>
      <c r="E12" s="47" t="s">
        <v>356</v>
      </c>
      <c r="F12" s="47" t="s">
        <v>1523</v>
      </c>
      <c r="G12" s="47" t="s">
        <v>1532</v>
      </c>
      <c r="H12" s="30">
        <v>1.0</v>
      </c>
      <c r="I12" s="30">
        <v>729.0</v>
      </c>
      <c r="J12" s="30">
        <v>729.0</v>
      </c>
      <c r="K12" s="30">
        <v>4.95</v>
      </c>
      <c r="L12" s="30">
        <v>36.0855</v>
      </c>
      <c r="M12" s="30">
        <v>580.0</v>
      </c>
      <c r="N12" s="30">
        <v>580.0</v>
      </c>
      <c r="O12" s="30">
        <v>0.0</v>
      </c>
      <c r="P12" s="30">
        <v>0.0</v>
      </c>
      <c r="Q12" s="30">
        <v>112.9145</v>
      </c>
    </row>
    <row r="13">
      <c r="A13" s="47">
        <v>1.1238312517E10</v>
      </c>
      <c r="B13" s="48">
        <v>46157.967210648145</v>
      </c>
      <c r="C13" s="30">
        <v>3.852680054E9</v>
      </c>
      <c r="D13" s="47" t="s">
        <v>1509</v>
      </c>
      <c r="E13" s="47">
        <v>7.613033560064E12</v>
      </c>
      <c r="F13" s="47" t="s">
        <v>1523</v>
      </c>
      <c r="G13" s="47" t="s">
        <v>1527</v>
      </c>
      <c r="H13" s="30">
        <v>1.0</v>
      </c>
      <c r="I13" s="30">
        <v>1291.0</v>
      </c>
      <c r="J13" s="30">
        <v>1291.0</v>
      </c>
      <c r="K13" s="30">
        <v>2.7</v>
      </c>
      <c r="L13" s="30">
        <v>34.857</v>
      </c>
      <c r="M13" s="30">
        <v>1190.0</v>
      </c>
      <c r="N13" s="30">
        <v>1190.0</v>
      </c>
      <c r="O13" s="30">
        <v>0.0</v>
      </c>
      <c r="P13" s="30">
        <v>0.0</v>
      </c>
      <c r="Q13" s="30">
        <v>66.143</v>
      </c>
    </row>
    <row r="14">
      <c r="A14" s="47">
        <v>1.1243814818E10</v>
      </c>
      <c r="B14" s="48">
        <v>46159.8059375</v>
      </c>
      <c r="C14" s="30">
        <v>3.857230979E9</v>
      </c>
      <c r="D14" s="47" t="s">
        <v>1510</v>
      </c>
      <c r="E14" s="47">
        <v>7.613033560064E12</v>
      </c>
      <c r="F14" s="47" t="s">
        <v>1523</v>
      </c>
      <c r="G14" s="47" t="s">
        <v>1527</v>
      </c>
      <c r="H14" s="30">
        <v>1.0</v>
      </c>
      <c r="I14" s="30">
        <v>1281.0</v>
      </c>
      <c r="J14" s="30">
        <v>1281.0</v>
      </c>
      <c r="K14" s="30">
        <v>2.7</v>
      </c>
      <c r="L14" s="30">
        <v>34.587</v>
      </c>
      <c r="M14" s="30">
        <v>1190.0</v>
      </c>
      <c r="N14" s="30">
        <v>1190.0</v>
      </c>
      <c r="O14" s="30">
        <v>0.0</v>
      </c>
      <c r="P14" s="30">
        <v>0.0</v>
      </c>
      <c r="Q14" s="30">
        <v>56.413</v>
      </c>
    </row>
    <row r="15">
      <c r="A15" s="47">
        <v>1.1245844957E10</v>
      </c>
      <c r="B15" s="48">
        <v>46160.42775462963</v>
      </c>
      <c r="C15" s="30">
        <v>3.85890483E9</v>
      </c>
      <c r="D15" s="47" t="s">
        <v>1510</v>
      </c>
      <c r="E15" s="47" t="s">
        <v>356</v>
      </c>
      <c r="F15" s="47" t="s">
        <v>1523</v>
      </c>
      <c r="G15" s="47" t="s">
        <v>1532</v>
      </c>
      <c r="H15" s="30">
        <v>1.0</v>
      </c>
      <c r="I15" s="30">
        <v>729.0</v>
      </c>
      <c r="J15" s="30">
        <v>729.0</v>
      </c>
      <c r="K15" s="30">
        <v>4.95</v>
      </c>
      <c r="L15" s="30">
        <v>36.0855</v>
      </c>
      <c r="M15" s="30">
        <v>580.0</v>
      </c>
      <c r="N15" s="30">
        <v>580.0</v>
      </c>
      <c r="O15" s="30">
        <v>0.0</v>
      </c>
      <c r="P15" s="30">
        <v>0.0</v>
      </c>
      <c r="Q15" s="30">
        <v>112.9145</v>
      </c>
    </row>
    <row r="16">
      <c r="A16" s="47">
        <v>1.1251259961E10</v>
      </c>
      <c r="B16" s="48">
        <v>46161.9575462963</v>
      </c>
      <c r="C16" s="30">
        <v>3.863439575E9</v>
      </c>
      <c r="D16" s="47" t="s">
        <v>1508</v>
      </c>
      <c r="E16" s="47" t="s">
        <v>411</v>
      </c>
      <c r="F16" s="47" t="s">
        <v>1523</v>
      </c>
      <c r="G16" s="47" t="s">
        <v>1531</v>
      </c>
      <c r="H16" s="30">
        <v>1.0</v>
      </c>
      <c r="I16" s="30">
        <v>781.0</v>
      </c>
      <c r="J16" s="30">
        <v>781.0</v>
      </c>
      <c r="K16" s="30">
        <v>0.0</v>
      </c>
      <c r="L16" s="30">
        <v>0.0</v>
      </c>
      <c r="M16" s="30">
        <v>580.0</v>
      </c>
      <c r="N16" s="30">
        <v>580.0</v>
      </c>
      <c r="O16" s="30">
        <v>0.0</v>
      </c>
      <c r="P16" s="30">
        <v>0.0</v>
      </c>
      <c r="Q16" s="30">
        <v>201.0</v>
      </c>
    </row>
    <row r="17">
      <c r="A17" s="47">
        <v>1.1251253466E10</v>
      </c>
      <c r="B17" s="48">
        <v>46161.95626157407</v>
      </c>
      <c r="C17" s="30">
        <v>3.863436827E9</v>
      </c>
      <c r="D17" s="47" t="s">
        <v>1508</v>
      </c>
      <c r="E17" s="47">
        <v>7.613032816536E12</v>
      </c>
      <c r="F17" s="47" t="s">
        <v>1523</v>
      </c>
      <c r="G17" s="47" t="s">
        <v>1533</v>
      </c>
      <c r="H17" s="30">
        <v>1.0</v>
      </c>
      <c r="I17" s="30">
        <v>745.0</v>
      </c>
      <c r="J17" s="30">
        <v>745.0</v>
      </c>
      <c r="K17" s="30">
        <v>6.0</v>
      </c>
      <c r="L17" s="30">
        <v>44.7</v>
      </c>
      <c r="M17" s="30">
        <v>580.0</v>
      </c>
      <c r="N17" s="30">
        <v>580.0</v>
      </c>
      <c r="O17" s="30">
        <v>0.0</v>
      </c>
      <c r="P17" s="30">
        <v>0.0</v>
      </c>
      <c r="Q17" s="30">
        <v>120.3</v>
      </c>
    </row>
    <row r="18">
      <c r="A18" s="47">
        <v>1.1251226463E10</v>
      </c>
      <c r="B18" s="48">
        <v>46161.951157407406</v>
      </c>
      <c r="C18" s="30">
        <v>3.863416539E9</v>
      </c>
      <c r="D18" s="47" t="s">
        <v>1508</v>
      </c>
      <c r="E18" s="47" t="s">
        <v>411</v>
      </c>
      <c r="F18" s="47" t="s">
        <v>1523</v>
      </c>
      <c r="G18" s="47" t="s">
        <v>1531</v>
      </c>
      <c r="H18" s="30">
        <v>1.0</v>
      </c>
      <c r="I18" s="30">
        <v>781.0</v>
      </c>
      <c r="J18" s="30">
        <v>781.0</v>
      </c>
      <c r="K18" s="30">
        <v>6.7</v>
      </c>
      <c r="L18" s="30">
        <v>52.327</v>
      </c>
      <c r="M18" s="30">
        <v>580.0</v>
      </c>
      <c r="N18" s="30">
        <v>580.0</v>
      </c>
      <c r="O18" s="30">
        <v>0.0</v>
      </c>
      <c r="P18" s="30">
        <v>0.0</v>
      </c>
      <c r="Q18" s="30">
        <v>148.673</v>
      </c>
    </row>
    <row r="19">
      <c r="A19" s="47">
        <v>1.1235752335E10</v>
      </c>
      <c r="B19" s="48">
        <v>46157.120729166665</v>
      </c>
      <c r="C19" s="30">
        <v>3.850451359E9</v>
      </c>
      <c r="D19" s="47" t="s">
        <v>1509</v>
      </c>
      <c r="E19" s="47" t="s">
        <v>356</v>
      </c>
      <c r="F19" s="47" t="s">
        <v>1523</v>
      </c>
      <c r="G19" s="47" t="s">
        <v>1532</v>
      </c>
      <c r="H19" s="30">
        <v>1.0</v>
      </c>
      <c r="I19" s="30">
        <v>729.0</v>
      </c>
      <c r="J19" s="30">
        <v>729.0</v>
      </c>
      <c r="K19" s="30">
        <v>4.95</v>
      </c>
      <c r="L19" s="30">
        <v>36.0855</v>
      </c>
      <c r="M19" s="30">
        <v>580.0</v>
      </c>
      <c r="N19" s="30">
        <v>580.0</v>
      </c>
      <c r="O19" s="30">
        <v>0.0</v>
      </c>
      <c r="P19" s="30">
        <v>0.0</v>
      </c>
      <c r="Q19" s="30">
        <v>112.9145</v>
      </c>
    </row>
    <row r="20">
      <c r="A20" s="47">
        <v>1.1251187518E10</v>
      </c>
      <c r="B20" s="48">
        <v>46161.94328703704</v>
      </c>
      <c r="C20" s="30">
        <v>3.863388371E9</v>
      </c>
      <c r="D20" s="47" t="s">
        <v>1508</v>
      </c>
      <c r="E20" s="47">
        <v>3.182550721738E12</v>
      </c>
      <c r="F20" s="47" t="s">
        <v>1523</v>
      </c>
      <c r="G20" s="47" t="s">
        <v>1526</v>
      </c>
      <c r="H20" s="30">
        <v>1.0</v>
      </c>
      <c r="I20" s="30">
        <v>1529.0</v>
      </c>
      <c r="J20" s="30">
        <v>1529.0</v>
      </c>
      <c r="K20" s="30">
        <v>0.0</v>
      </c>
      <c r="L20" s="30">
        <v>0.0</v>
      </c>
      <c r="M20" s="30">
        <v>1210.0</v>
      </c>
      <c r="N20" s="30">
        <v>1210.0</v>
      </c>
      <c r="O20" s="30">
        <v>0.0</v>
      </c>
      <c r="P20" s="30">
        <v>0.0</v>
      </c>
      <c r="Q20" s="30">
        <v>319.0</v>
      </c>
    </row>
    <row r="21">
      <c r="A21" s="47">
        <v>1.1251166372E10</v>
      </c>
      <c r="B21" s="48">
        <v>46161.93918981482</v>
      </c>
      <c r="C21" s="30">
        <v>3.863374156E9</v>
      </c>
      <c r="D21" s="47" t="s">
        <v>1508</v>
      </c>
      <c r="E21" s="47">
        <v>8.46799273637E11</v>
      </c>
      <c r="F21" s="47" t="s">
        <v>1523</v>
      </c>
      <c r="G21" s="47" t="s">
        <v>1534</v>
      </c>
      <c r="H21" s="30">
        <v>1.0</v>
      </c>
      <c r="I21" s="30">
        <v>659.0</v>
      </c>
      <c r="J21" s="30">
        <v>659.0</v>
      </c>
      <c r="K21" s="30">
        <v>16.5</v>
      </c>
      <c r="L21" s="30">
        <v>108.735</v>
      </c>
      <c r="M21" s="30">
        <v>420.0</v>
      </c>
      <c r="N21" s="30">
        <v>420.0</v>
      </c>
      <c r="O21" s="30">
        <v>0.0</v>
      </c>
      <c r="P21" s="30">
        <v>0.0</v>
      </c>
      <c r="Q21" s="30">
        <v>130.265</v>
      </c>
    </row>
    <row r="22">
      <c r="A22" s="47">
        <v>1.124326489E10</v>
      </c>
      <c r="B22" s="48">
        <v>46159.696226851855</v>
      </c>
      <c r="C22" s="30">
        <v>3.856815947E9</v>
      </c>
      <c r="D22" s="47" t="s">
        <v>1509</v>
      </c>
      <c r="E22" s="47" t="s">
        <v>356</v>
      </c>
      <c r="F22" s="47" t="s">
        <v>1523</v>
      </c>
      <c r="G22" s="47" t="s">
        <v>1532</v>
      </c>
      <c r="H22" s="30">
        <v>1.0</v>
      </c>
      <c r="I22" s="30">
        <v>729.0</v>
      </c>
      <c r="J22" s="30">
        <v>729.0</v>
      </c>
      <c r="K22" s="30">
        <v>4.95</v>
      </c>
      <c r="L22" s="30">
        <v>36.0855</v>
      </c>
      <c r="M22" s="30">
        <v>580.0</v>
      </c>
      <c r="N22" s="30">
        <v>580.0</v>
      </c>
      <c r="O22" s="30">
        <v>0.0</v>
      </c>
      <c r="P22" s="30">
        <v>0.0</v>
      </c>
      <c r="Q22" s="30">
        <v>112.9145</v>
      </c>
    </row>
    <row r="23">
      <c r="A23" s="47">
        <v>1.1243285895E10</v>
      </c>
      <c r="B23" s="48">
        <v>46159.700219907405</v>
      </c>
      <c r="C23" s="30">
        <v>3.856833252E9</v>
      </c>
      <c r="D23" s="47" t="s">
        <v>1509</v>
      </c>
      <c r="E23" s="47" t="s">
        <v>356</v>
      </c>
      <c r="F23" s="47" t="s">
        <v>1523</v>
      </c>
      <c r="G23" s="47" t="s">
        <v>1532</v>
      </c>
      <c r="H23" s="30">
        <v>1.0</v>
      </c>
      <c r="I23" s="30">
        <v>729.0</v>
      </c>
      <c r="J23" s="30">
        <v>729.0</v>
      </c>
      <c r="K23" s="30">
        <v>4.95</v>
      </c>
      <c r="L23" s="30">
        <v>36.0855</v>
      </c>
      <c r="M23" s="30">
        <v>580.0</v>
      </c>
      <c r="N23" s="30">
        <v>580.0</v>
      </c>
      <c r="O23" s="30">
        <v>0.0</v>
      </c>
      <c r="P23" s="30">
        <v>0.0</v>
      </c>
      <c r="Q23" s="30">
        <v>112.9145</v>
      </c>
    </row>
    <row r="24">
      <c r="A24" s="47">
        <v>1.1240965806E10</v>
      </c>
      <c r="B24" s="48">
        <v>46158.867002314815</v>
      </c>
      <c r="C24" s="30">
        <v>3.85494217E9</v>
      </c>
      <c r="D24" s="47" t="s">
        <v>1509</v>
      </c>
      <c r="E24" s="47">
        <v>7.613033560064E12</v>
      </c>
      <c r="F24" s="47" t="s">
        <v>1523</v>
      </c>
      <c r="G24" s="47" t="s">
        <v>1527</v>
      </c>
      <c r="H24" s="30">
        <v>1.0</v>
      </c>
      <c r="I24" s="30">
        <v>1285.0</v>
      </c>
      <c r="J24" s="30">
        <v>1285.0</v>
      </c>
      <c r="K24" s="30">
        <v>2.7</v>
      </c>
      <c r="L24" s="30">
        <v>34.69500000000001</v>
      </c>
      <c r="M24" s="30">
        <v>1190.0</v>
      </c>
      <c r="N24" s="30">
        <v>1190.0</v>
      </c>
      <c r="O24" s="30">
        <v>0.0</v>
      </c>
      <c r="P24" s="30">
        <v>0.0</v>
      </c>
      <c r="Q24" s="30">
        <v>60.30499999999999</v>
      </c>
    </row>
    <row r="25">
      <c r="A25" s="47">
        <v>1.1242778482E10</v>
      </c>
      <c r="B25" s="48">
        <v>46159.58180555556</v>
      </c>
      <c r="C25" s="30">
        <v>3.856411643E9</v>
      </c>
      <c r="D25" s="47" t="s">
        <v>1509</v>
      </c>
      <c r="E25" s="47">
        <v>7.613033560064E12</v>
      </c>
      <c r="F25" s="47" t="s">
        <v>1523</v>
      </c>
      <c r="G25" s="47" t="s">
        <v>1527</v>
      </c>
      <c r="H25" s="30">
        <v>1.0</v>
      </c>
      <c r="I25" s="30">
        <v>1283.0</v>
      </c>
      <c r="J25" s="30">
        <v>1283.0</v>
      </c>
      <c r="K25" s="30">
        <v>2.7</v>
      </c>
      <c r="L25" s="30">
        <v>34.641000000000005</v>
      </c>
      <c r="M25" s="30">
        <v>1190.0</v>
      </c>
      <c r="N25" s="30">
        <v>1190.0</v>
      </c>
      <c r="O25" s="30">
        <v>0.0</v>
      </c>
      <c r="P25" s="30">
        <v>0.0</v>
      </c>
      <c r="Q25" s="30">
        <v>58.358999999999995</v>
      </c>
    </row>
    <row r="26">
      <c r="A26" s="47">
        <v>1.1251114973E10</v>
      </c>
      <c r="B26" s="48">
        <v>46161.92886574074</v>
      </c>
      <c r="C26" s="30">
        <v>3.863337931E9</v>
      </c>
      <c r="D26" s="47" t="s">
        <v>1508</v>
      </c>
      <c r="E26" s="47">
        <v>7.613035846708E12</v>
      </c>
      <c r="F26" s="47" t="s">
        <v>1523</v>
      </c>
      <c r="G26" s="47" t="s">
        <v>1535</v>
      </c>
      <c r="H26" s="30">
        <v>1.0</v>
      </c>
      <c r="I26" s="30">
        <v>1387.0</v>
      </c>
      <c r="J26" s="30">
        <v>1387.0</v>
      </c>
      <c r="K26" s="30">
        <v>12.5</v>
      </c>
      <c r="L26" s="30">
        <v>173.375</v>
      </c>
      <c r="M26" s="30">
        <v>1160.0</v>
      </c>
      <c r="N26" s="30">
        <v>1160.0</v>
      </c>
      <c r="O26" s="30">
        <v>0.0</v>
      </c>
      <c r="P26" s="30">
        <v>0.0</v>
      </c>
      <c r="Q26" s="30">
        <v>53.625</v>
      </c>
    </row>
    <row r="27">
      <c r="A27" s="47">
        <v>1.12403563E10</v>
      </c>
      <c r="B27" s="48">
        <v>46158.73983796296</v>
      </c>
      <c r="C27" s="30">
        <v>3.854495576E9</v>
      </c>
      <c r="D27" s="47" t="s">
        <v>1509</v>
      </c>
      <c r="E27" s="47">
        <v>7.613033560064E12</v>
      </c>
      <c r="F27" s="47" t="s">
        <v>1523</v>
      </c>
      <c r="G27" s="47" t="s">
        <v>1527</v>
      </c>
      <c r="H27" s="30">
        <v>1.0</v>
      </c>
      <c r="I27" s="30">
        <v>1286.0</v>
      </c>
      <c r="J27" s="30">
        <v>1286.0</v>
      </c>
      <c r="K27" s="30">
        <v>2.7</v>
      </c>
      <c r="L27" s="30">
        <v>34.722</v>
      </c>
      <c r="M27" s="30">
        <v>1190.0</v>
      </c>
      <c r="N27" s="30">
        <v>1190.0</v>
      </c>
      <c r="O27" s="30">
        <v>0.0</v>
      </c>
      <c r="P27" s="30">
        <v>0.0</v>
      </c>
      <c r="Q27" s="30">
        <v>61.278</v>
      </c>
    </row>
    <row r="28">
      <c r="A28" s="47">
        <v>1.1243786626E10</v>
      </c>
      <c r="B28" s="48">
        <v>46159.80060185185</v>
      </c>
      <c r="C28" s="30">
        <v>3.857210239E9</v>
      </c>
      <c r="D28" s="47" t="s">
        <v>1509</v>
      </c>
      <c r="E28" s="47">
        <v>7.613033560064E12</v>
      </c>
      <c r="F28" s="47" t="s">
        <v>1523</v>
      </c>
      <c r="G28" s="47" t="s">
        <v>1527</v>
      </c>
      <c r="H28" s="30">
        <v>1.0</v>
      </c>
      <c r="I28" s="30">
        <v>1281.0</v>
      </c>
      <c r="J28" s="30">
        <v>1281.0</v>
      </c>
      <c r="K28" s="30">
        <v>2.7</v>
      </c>
      <c r="L28" s="30">
        <v>34.587</v>
      </c>
      <c r="M28" s="30">
        <v>1190.0</v>
      </c>
      <c r="N28" s="30">
        <v>1190.0</v>
      </c>
      <c r="O28" s="30">
        <v>0.0</v>
      </c>
      <c r="P28" s="30">
        <v>0.0</v>
      </c>
      <c r="Q28" s="30">
        <v>56.413</v>
      </c>
    </row>
    <row r="29">
      <c r="A29" s="47">
        <v>1.1251064147E10</v>
      </c>
      <c r="B29" s="48">
        <v>46161.91855324074</v>
      </c>
      <c r="C29" s="30">
        <v>3.863302221E9</v>
      </c>
      <c r="D29" s="47" t="s">
        <v>1508</v>
      </c>
      <c r="E29" s="47">
        <v>3.18255078458E12</v>
      </c>
      <c r="F29" s="47" t="s">
        <v>1523</v>
      </c>
      <c r="G29" s="47" t="s">
        <v>1536</v>
      </c>
      <c r="H29" s="30">
        <v>1.0</v>
      </c>
      <c r="I29" s="30">
        <v>1614.0</v>
      </c>
      <c r="J29" s="30">
        <v>1614.0</v>
      </c>
      <c r="K29" s="30">
        <v>3.3</v>
      </c>
      <c r="L29" s="30">
        <v>53.262</v>
      </c>
      <c r="M29" s="30">
        <v>1604.0</v>
      </c>
      <c r="N29" s="30">
        <v>1604.0</v>
      </c>
      <c r="O29" s="30">
        <v>0.0</v>
      </c>
      <c r="P29" s="30">
        <v>0.0</v>
      </c>
      <c r="Q29" s="30">
        <v>-43.262</v>
      </c>
    </row>
    <row r="30">
      <c r="A30" s="47">
        <v>1.1238575606E10</v>
      </c>
      <c r="B30" s="48">
        <v>46158.017384259256</v>
      </c>
      <c r="C30" s="30">
        <v>3.852879656E9</v>
      </c>
      <c r="D30" s="47" t="s">
        <v>1509</v>
      </c>
      <c r="E30" s="47">
        <v>7.613033560064E12</v>
      </c>
      <c r="F30" s="47" t="s">
        <v>1523</v>
      </c>
      <c r="G30" s="47" t="s">
        <v>1527</v>
      </c>
      <c r="H30" s="30">
        <v>1.0</v>
      </c>
      <c r="I30" s="30">
        <v>1291.0</v>
      </c>
      <c r="J30" s="30">
        <v>1291.0</v>
      </c>
      <c r="K30" s="30">
        <v>2.7</v>
      </c>
      <c r="L30" s="30">
        <v>34.857</v>
      </c>
      <c r="M30" s="30">
        <v>1190.0</v>
      </c>
      <c r="N30" s="30">
        <v>1190.0</v>
      </c>
      <c r="O30" s="30">
        <v>0.0</v>
      </c>
      <c r="P30" s="30">
        <v>0.0</v>
      </c>
      <c r="Q30" s="30">
        <v>66.143</v>
      </c>
    </row>
    <row r="31">
      <c r="A31" s="47">
        <v>1.123943273E10</v>
      </c>
      <c r="B31" s="48">
        <v>46158.50681712963</v>
      </c>
      <c r="C31" s="30">
        <v>3.853692467E9</v>
      </c>
      <c r="D31" s="47" t="s">
        <v>1509</v>
      </c>
      <c r="E31" s="47">
        <v>7.613033560064E12</v>
      </c>
      <c r="F31" s="47" t="s">
        <v>1523</v>
      </c>
      <c r="G31" s="47" t="s">
        <v>1527</v>
      </c>
      <c r="H31" s="30">
        <v>1.0</v>
      </c>
      <c r="I31" s="30">
        <v>1289.0</v>
      </c>
      <c r="J31" s="30">
        <v>1289.0</v>
      </c>
      <c r="K31" s="30">
        <v>2.7</v>
      </c>
      <c r="L31" s="30">
        <v>34.803000000000004</v>
      </c>
      <c r="M31" s="30">
        <v>1190.0</v>
      </c>
      <c r="N31" s="30">
        <v>1190.0</v>
      </c>
      <c r="O31" s="30">
        <v>0.0</v>
      </c>
      <c r="P31" s="30">
        <v>0.0</v>
      </c>
      <c r="Q31" s="30">
        <v>64.197</v>
      </c>
    </row>
    <row r="32">
      <c r="A32" s="47">
        <v>1.1245889968E10</v>
      </c>
      <c r="B32" s="48">
        <v>46160.474814814814</v>
      </c>
      <c r="C32" s="30">
        <v>3.858960295E9</v>
      </c>
      <c r="D32" s="47" t="s">
        <v>1509</v>
      </c>
      <c r="E32" s="47">
        <v>7.613032816536E12</v>
      </c>
      <c r="F32" s="47" t="s">
        <v>1523</v>
      </c>
      <c r="G32" s="47" t="s">
        <v>1533</v>
      </c>
      <c r="H32" s="30">
        <v>1.0</v>
      </c>
      <c r="I32" s="30">
        <v>729.0</v>
      </c>
      <c r="J32" s="30">
        <v>729.0</v>
      </c>
      <c r="K32" s="30">
        <v>4.41</v>
      </c>
      <c r="L32" s="30">
        <v>32.148900000000005</v>
      </c>
      <c r="M32" s="30">
        <v>580.0</v>
      </c>
      <c r="N32" s="30">
        <v>580.0</v>
      </c>
      <c r="O32" s="30">
        <v>0.0</v>
      </c>
      <c r="P32" s="30">
        <v>0.0</v>
      </c>
      <c r="Q32" s="30">
        <v>116.8511</v>
      </c>
    </row>
    <row r="33">
      <c r="A33" s="47">
        <v>1.1251010244E10</v>
      </c>
      <c r="B33" s="48">
        <v>46161.907685185186</v>
      </c>
      <c r="C33" s="30">
        <v>3.863266852E9</v>
      </c>
      <c r="D33" s="47" t="s">
        <v>1508</v>
      </c>
      <c r="E33" s="47" t="s">
        <v>411</v>
      </c>
      <c r="F33" s="47" t="s">
        <v>1523</v>
      </c>
      <c r="G33" s="47" t="s">
        <v>1531</v>
      </c>
      <c r="H33" s="30">
        <v>1.0</v>
      </c>
      <c r="I33" s="30">
        <v>781.0</v>
      </c>
      <c r="J33" s="30">
        <v>781.0</v>
      </c>
      <c r="K33" s="30">
        <v>6.7</v>
      </c>
      <c r="L33" s="30">
        <v>52.327</v>
      </c>
      <c r="M33" s="30">
        <v>580.0</v>
      </c>
      <c r="N33" s="30">
        <v>580.0</v>
      </c>
      <c r="O33" s="30">
        <v>0.0</v>
      </c>
      <c r="P33" s="30">
        <v>0.0</v>
      </c>
      <c r="Q33" s="30">
        <v>148.673</v>
      </c>
    </row>
    <row r="34">
      <c r="A34" s="47">
        <v>1.1244760143E10</v>
      </c>
      <c r="B34" s="48">
        <v>46159.98025462963</v>
      </c>
      <c r="C34" s="30">
        <v>3.857874135E9</v>
      </c>
      <c r="D34" s="47" t="s">
        <v>1509</v>
      </c>
      <c r="E34" s="47">
        <v>7.613032816536E12</v>
      </c>
      <c r="F34" s="47" t="s">
        <v>1523</v>
      </c>
      <c r="G34" s="47" t="s">
        <v>1533</v>
      </c>
      <c r="H34" s="30">
        <v>1.0</v>
      </c>
      <c r="I34" s="30">
        <v>729.0</v>
      </c>
      <c r="J34" s="30">
        <v>729.0</v>
      </c>
      <c r="K34" s="30">
        <v>4.41</v>
      </c>
      <c r="L34" s="30">
        <v>32.148900000000005</v>
      </c>
      <c r="M34" s="30">
        <v>580.0</v>
      </c>
      <c r="N34" s="30">
        <v>580.0</v>
      </c>
      <c r="O34" s="30">
        <v>0.0</v>
      </c>
      <c r="P34" s="30">
        <v>0.0</v>
      </c>
      <c r="Q34" s="30">
        <v>116.8511</v>
      </c>
    </row>
    <row r="35">
      <c r="A35" s="47">
        <v>1.1234446324E10</v>
      </c>
      <c r="B35" s="48">
        <v>46156.84340277778</v>
      </c>
      <c r="C35" s="30">
        <v>3.84935561E9</v>
      </c>
      <c r="D35" s="47" t="s">
        <v>1509</v>
      </c>
      <c r="E35" s="47">
        <v>7.613032816536E12</v>
      </c>
      <c r="F35" s="47" t="s">
        <v>1523</v>
      </c>
      <c r="G35" s="47" t="s">
        <v>1533</v>
      </c>
      <c r="H35" s="30">
        <v>1.0</v>
      </c>
      <c r="I35" s="30">
        <v>727.0</v>
      </c>
      <c r="J35" s="30">
        <v>727.0</v>
      </c>
      <c r="K35" s="30">
        <v>4.41</v>
      </c>
      <c r="L35" s="30">
        <v>32.060700000000004</v>
      </c>
      <c r="M35" s="30">
        <v>580.0</v>
      </c>
      <c r="N35" s="30">
        <v>580.0</v>
      </c>
      <c r="O35" s="30">
        <v>0.0</v>
      </c>
      <c r="P35" s="30">
        <v>0.0</v>
      </c>
      <c r="Q35" s="30">
        <v>114.9393</v>
      </c>
    </row>
    <row r="36">
      <c r="A36" s="47">
        <v>1.1251000645E10</v>
      </c>
      <c r="B36" s="48">
        <v>46161.90587962963</v>
      </c>
      <c r="C36" s="30">
        <v>3.863260204E9</v>
      </c>
      <c r="D36" s="47" t="s">
        <v>1508</v>
      </c>
      <c r="E36" s="47">
        <v>3.18255078458E12</v>
      </c>
      <c r="F36" s="47" t="s">
        <v>1523</v>
      </c>
      <c r="G36" s="47" t="s">
        <v>1536</v>
      </c>
      <c r="H36" s="30">
        <v>2.0</v>
      </c>
      <c r="I36" s="30">
        <v>1614.0</v>
      </c>
      <c r="J36" s="30">
        <v>3228.0</v>
      </c>
      <c r="K36" s="30">
        <v>3.3</v>
      </c>
      <c r="L36" s="30">
        <v>106.524</v>
      </c>
      <c r="M36" s="30">
        <v>1604.0</v>
      </c>
      <c r="N36" s="30">
        <v>3208.0</v>
      </c>
      <c r="O36" s="30">
        <v>0.0</v>
      </c>
      <c r="P36" s="30">
        <v>0.0</v>
      </c>
      <c r="Q36" s="30">
        <v>-86.524</v>
      </c>
    </row>
    <row r="37">
      <c r="A37" s="47">
        <v>1.1250984878E10</v>
      </c>
      <c r="B37" s="48">
        <v>46161.90283564815</v>
      </c>
      <c r="C37" s="30">
        <v>3.863248952E9</v>
      </c>
      <c r="D37" s="47" t="s">
        <v>1511</v>
      </c>
      <c r="E37" s="47">
        <v>8.410650151656E12</v>
      </c>
      <c r="F37" s="47" t="s">
        <v>1523</v>
      </c>
      <c r="G37" s="47" t="s">
        <v>1525</v>
      </c>
      <c r="H37" s="30">
        <v>1.0</v>
      </c>
      <c r="I37" s="30">
        <v>1630.0</v>
      </c>
      <c r="J37" s="30">
        <v>1630.0</v>
      </c>
      <c r="K37" s="30">
        <v>15.9</v>
      </c>
      <c r="L37" s="30">
        <v>259.17</v>
      </c>
      <c r="M37" s="30">
        <v>1228.0</v>
      </c>
      <c r="N37" s="30">
        <v>1228.0</v>
      </c>
      <c r="O37" s="30">
        <v>0.0</v>
      </c>
      <c r="P37" s="30">
        <v>0.0</v>
      </c>
      <c r="Q37" s="30">
        <v>142.82999999999998</v>
      </c>
    </row>
    <row r="38">
      <c r="A38" s="47">
        <v>1.1250972567E10</v>
      </c>
      <c r="B38" s="48">
        <v>46161.90032407407</v>
      </c>
      <c r="C38" s="30">
        <v>3.863241725E9</v>
      </c>
      <c r="D38" s="47" t="s">
        <v>1508</v>
      </c>
      <c r="E38" s="47">
        <v>7.613032816536E12</v>
      </c>
      <c r="F38" s="47" t="s">
        <v>1523</v>
      </c>
      <c r="G38" s="47" t="s">
        <v>1533</v>
      </c>
      <c r="H38" s="30">
        <v>1.0</v>
      </c>
      <c r="I38" s="30">
        <v>745.0</v>
      </c>
      <c r="J38" s="30">
        <v>745.0</v>
      </c>
      <c r="K38" s="30">
        <v>6.0</v>
      </c>
      <c r="L38" s="30">
        <v>44.7</v>
      </c>
      <c r="M38" s="30">
        <v>580.0</v>
      </c>
      <c r="N38" s="30">
        <v>580.0</v>
      </c>
      <c r="O38" s="30">
        <v>0.0</v>
      </c>
      <c r="P38" s="30">
        <v>0.0</v>
      </c>
      <c r="Q38" s="30">
        <v>120.3</v>
      </c>
    </row>
    <row r="39">
      <c r="A39" s="47">
        <v>1.1241232319E10</v>
      </c>
      <c r="B39" s="48">
        <v>46158.92017361111</v>
      </c>
      <c r="C39" s="30">
        <v>3.855114398E9</v>
      </c>
      <c r="D39" s="47" t="s">
        <v>1509</v>
      </c>
      <c r="E39" s="47" t="s">
        <v>356</v>
      </c>
      <c r="F39" s="47" t="s">
        <v>1523</v>
      </c>
      <c r="G39" s="47" t="s">
        <v>1532</v>
      </c>
      <c r="H39" s="30">
        <v>3.0</v>
      </c>
      <c r="I39" s="30">
        <v>729.0</v>
      </c>
      <c r="J39" s="30">
        <v>2187.0</v>
      </c>
      <c r="K39" s="30">
        <v>4.95</v>
      </c>
      <c r="L39" s="30">
        <v>108.2565</v>
      </c>
      <c r="M39" s="30">
        <v>580.0</v>
      </c>
      <c r="N39" s="30">
        <v>1740.0</v>
      </c>
      <c r="O39" s="30">
        <v>0.0</v>
      </c>
      <c r="P39" s="30">
        <v>0.0</v>
      </c>
      <c r="Q39" s="30">
        <v>338.7435</v>
      </c>
    </row>
    <row r="40">
      <c r="A40" s="47">
        <v>1.1241516545E10</v>
      </c>
      <c r="B40" s="48">
        <v>46158.977638888886</v>
      </c>
      <c r="C40" s="30">
        <v>3.855309232E9</v>
      </c>
      <c r="D40" s="47" t="s">
        <v>1509</v>
      </c>
      <c r="E40" s="47" t="s">
        <v>356</v>
      </c>
      <c r="F40" s="47" t="s">
        <v>1523</v>
      </c>
      <c r="G40" s="47" t="s">
        <v>1532</v>
      </c>
      <c r="H40" s="30">
        <v>5.0</v>
      </c>
      <c r="I40" s="30">
        <v>729.0</v>
      </c>
      <c r="J40" s="30">
        <v>3645.0</v>
      </c>
      <c r="K40" s="30">
        <v>4.95</v>
      </c>
      <c r="L40" s="30">
        <v>180.4275</v>
      </c>
      <c r="M40" s="30">
        <v>580.0</v>
      </c>
      <c r="N40" s="30">
        <v>2900.0</v>
      </c>
      <c r="O40" s="30">
        <v>0.0</v>
      </c>
      <c r="P40" s="30">
        <v>0.0</v>
      </c>
      <c r="Q40" s="30">
        <v>564.5725</v>
      </c>
    </row>
    <row r="41">
      <c r="A41" s="47">
        <v>1.124088554E10</v>
      </c>
      <c r="B41" s="48">
        <v>46158.8503587963</v>
      </c>
      <c r="C41" s="30">
        <v>3.854887177E9</v>
      </c>
      <c r="D41" s="47" t="s">
        <v>1509</v>
      </c>
      <c r="E41" s="47">
        <v>7.613033560064E12</v>
      </c>
      <c r="F41" s="47" t="s">
        <v>1523</v>
      </c>
      <c r="G41" s="47" t="s">
        <v>1527</v>
      </c>
      <c r="H41" s="30">
        <v>1.0</v>
      </c>
      <c r="I41" s="30">
        <v>1285.0</v>
      </c>
      <c r="J41" s="30">
        <v>1285.0</v>
      </c>
      <c r="K41" s="30">
        <v>2.7</v>
      </c>
      <c r="L41" s="30">
        <v>34.69500000000001</v>
      </c>
      <c r="M41" s="30">
        <v>1190.0</v>
      </c>
      <c r="N41" s="30">
        <v>1190.0</v>
      </c>
      <c r="O41" s="30">
        <v>0.0</v>
      </c>
      <c r="P41" s="30">
        <v>0.0</v>
      </c>
      <c r="Q41" s="30">
        <v>60.30499999999999</v>
      </c>
    </row>
    <row r="42">
      <c r="A42" s="47">
        <v>1.1240816893E10</v>
      </c>
      <c r="B42" s="48">
        <v>46158.836180555554</v>
      </c>
      <c r="C42" s="30">
        <v>3.854836784E9</v>
      </c>
      <c r="D42" s="47" t="s">
        <v>1509</v>
      </c>
      <c r="E42" s="47">
        <v>7.613033560064E12</v>
      </c>
      <c r="F42" s="47" t="s">
        <v>1523</v>
      </c>
      <c r="G42" s="47" t="s">
        <v>1527</v>
      </c>
      <c r="H42" s="30">
        <v>1.0</v>
      </c>
      <c r="I42" s="30">
        <v>1285.0</v>
      </c>
      <c r="J42" s="30">
        <v>1285.0</v>
      </c>
      <c r="K42" s="30">
        <v>2.7</v>
      </c>
      <c r="L42" s="30">
        <v>34.69500000000001</v>
      </c>
      <c r="M42" s="30">
        <v>1190.0</v>
      </c>
      <c r="N42" s="30">
        <v>1190.0</v>
      </c>
      <c r="O42" s="30">
        <v>0.0</v>
      </c>
      <c r="P42" s="30">
        <v>0.0</v>
      </c>
      <c r="Q42" s="30">
        <v>60.30499999999999</v>
      </c>
    </row>
    <row r="43">
      <c r="A43" s="47">
        <v>1.1240679696E10</v>
      </c>
      <c r="B43" s="48">
        <v>46158.80761574074</v>
      </c>
      <c r="C43" s="30">
        <v>3.854742498E9</v>
      </c>
      <c r="D43" s="47" t="s">
        <v>1509</v>
      </c>
      <c r="E43" s="47" t="s">
        <v>356</v>
      </c>
      <c r="F43" s="47" t="s">
        <v>1523</v>
      </c>
      <c r="G43" s="47" t="s">
        <v>1532</v>
      </c>
      <c r="H43" s="30">
        <v>1.0</v>
      </c>
      <c r="I43" s="30">
        <v>729.0</v>
      </c>
      <c r="J43" s="30">
        <v>729.0</v>
      </c>
      <c r="K43" s="30">
        <v>4.95</v>
      </c>
      <c r="L43" s="30">
        <v>36.0855</v>
      </c>
      <c r="M43" s="30">
        <v>580.0</v>
      </c>
      <c r="N43" s="30">
        <v>580.0</v>
      </c>
      <c r="O43" s="30">
        <v>0.0</v>
      </c>
      <c r="P43" s="30">
        <v>0.0</v>
      </c>
      <c r="Q43" s="30">
        <v>112.9145</v>
      </c>
    </row>
    <row r="44">
      <c r="A44" s="47">
        <v>1.1236787735E10</v>
      </c>
      <c r="B44" s="48">
        <v>46157.66253472222</v>
      </c>
      <c r="C44" s="30">
        <v>3.851496123E9</v>
      </c>
      <c r="D44" s="47" t="s">
        <v>1509</v>
      </c>
      <c r="E44" s="47">
        <v>7.613035613898E12</v>
      </c>
      <c r="F44" s="47" t="s">
        <v>1523</v>
      </c>
      <c r="G44" s="47" t="s">
        <v>1537</v>
      </c>
      <c r="H44" s="30">
        <v>2.0</v>
      </c>
      <c r="I44" s="30">
        <v>719.0</v>
      </c>
      <c r="J44" s="30">
        <v>1438.0</v>
      </c>
      <c r="K44" s="30">
        <v>14.85</v>
      </c>
      <c r="L44" s="30">
        <v>213.543</v>
      </c>
      <c r="M44" s="30">
        <v>377.0</v>
      </c>
      <c r="N44" s="30">
        <v>754.0</v>
      </c>
      <c r="O44" s="30">
        <v>0.0</v>
      </c>
      <c r="P44" s="30">
        <v>0.0</v>
      </c>
      <c r="Q44" s="30">
        <v>470.457</v>
      </c>
    </row>
    <row r="45">
      <c r="A45" s="47">
        <v>1.12405382E10</v>
      </c>
      <c r="B45" s="48">
        <v>46158.777604166666</v>
      </c>
      <c r="C45" s="30">
        <v>3.854634667E9</v>
      </c>
      <c r="D45" s="47" t="s">
        <v>1509</v>
      </c>
      <c r="E45" s="47">
        <v>7.613032816536E12</v>
      </c>
      <c r="F45" s="47" t="s">
        <v>1523</v>
      </c>
      <c r="G45" s="47" t="s">
        <v>1533</v>
      </c>
      <c r="H45" s="30">
        <v>1.0</v>
      </c>
      <c r="I45" s="30">
        <v>729.0</v>
      </c>
      <c r="J45" s="30">
        <v>729.0</v>
      </c>
      <c r="K45" s="30">
        <v>4.41</v>
      </c>
      <c r="L45" s="30">
        <v>32.148900000000005</v>
      </c>
      <c r="M45" s="30">
        <v>580.0</v>
      </c>
      <c r="N45" s="30">
        <v>580.0</v>
      </c>
      <c r="O45" s="30">
        <v>0.0</v>
      </c>
      <c r="P45" s="30">
        <v>0.0</v>
      </c>
      <c r="Q45" s="30">
        <v>116.8511</v>
      </c>
    </row>
    <row r="46">
      <c r="A46" s="47">
        <v>1.1235847973E10</v>
      </c>
      <c r="B46" s="48">
        <v>46157.15143518519</v>
      </c>
      <c r="C46" s="30">
        <v>3.85054931E9</v>
      </c>
      <c r="D46" s="47" t="s">
        <v>1509</v>
      </c>
      <c r="E46" s="47">
        <v>7.613032816536E12</v>
      </c>
      <c r="F46" s="47" t="s">
        <v>1523</v>
      </c>
      <c r="G46" s="47" t="s">
        <v>1533</v>
      </c>
      <c r="H46" s="30">
        <v>1.0</v>
      </c>
      <c r="I46" s="30">
        <v>727.0</v>
      </c>
      <c r="J46" s="30">
        <v>727.0</v>
      </c>
      <c r="K46" s="30">
        <v>4.41</v>
      </c>
      <c r="L46" s="30">
        <v>32.060700000000004</v>
      </c>
      <c r="M46" s="30">
        <v>580.0</v>
      </c>
      <c r="N46" s="30">
        <v>580.0</v>
      </c>
      <c r="O46" s="30">
        <v>0.0</v>
      </c>
      <c r="P46" s="30">
        <v>0.0</v>
      </c>
      <c r="Q46" s="30">
        <v>114.9393</v>
      </c>
    </row>
    <row r="47">
      <c r="A47" s="47">
        <v>1.1240455761E10</v>
      </c>
      <c r="B47" s="48">
        <v>46158.76027777778</v>
      </c>
      <c r="C47" s="30">
        <v>3.854572263E9</v>
      </c>
      <c r="D47" s="47" t="s">
        <v>1509</v>
      </c>
      <c r="E47" s="47">
        <v>7.613033560064E12</v>
      </c>
      <c r="F47" s="47" t="s">
        <v>1523</v>
      </c>
      <c r="G47" s="47" t="s">
        <v>1527</v>
      </c>
      <c r="H47" s="30">
        <v>1.0</v>
      </c>
      <c r="I47" s="30">
        <v>1286.0</v>
      </c>
      <c r="J47" s="30">
        <v>1286.0</v>
      </c>
      <c r="K47" s="30">
        <v>2.7</v>
      </c>
      <c r="L47" s="30">
        <v>34.722</v>
      </c>
      <c r="M47" s="30">
        <v>1190.0</v>
      </c>
      <c r="N47" s="30">
        <v>1190.0</v>
      </c>
      <c r="O47" s="30">
        <v>0.0</v>
      </c>
      <c r="P47" s="30">
        <v>0.0</v>
      </c>
      <c r="Q47" s="30">
        <v>61.278</v>
      </c>
    </row>
    <row r="48">
      <c r="A48" s="47">
        <v>1.1243814895E10</v>
      </c>
      <c r="B48" s="48">
        <v>46159.80594907407</v>
      </c>
      <c r="C48" s="30">
        <v>3.857233105E9</v>
      </c>
      <c r="D48" s="47" t="s">
        <v>1509</v>
      </c>
      <c r="E48" s="47" t="s">
        <v>356</v>
      </c>
      <c r="F48" s="47" t="s">
        <v>1523</v>
      </c>
      <c r="G48" s="47" t="s">
        <v>1532</v>
      </c>
      <c r="H48" s="30">
        <v>1.0</v>
      </c>
      <c r="I48" s="30">
        <v>729.0</v>
      </c>
      <c r="J48" s="30">
        <v>729.0</v>
      </c>
      <c r="K48" s="30">
        <v>4.95</v>
      </c>
      <c r="L48" s="30">
        <v>36.0855</v>
      </c>
      <c r="M48" s="30">
        <v>580.0</v>
      </c>
      <c r="N48" s="30">
        <v>580.0</v>
      </c>
      <c r="O48" s="30">
        <v>0.0</v>
      </c>
      <c r="P48" s="30">
        <v>0.0</v>
      </c>
      <c r="Q48" s="30">
        <v>112.9145</v>
      </c>
    </row>
    <row r="49">
      <c r="A49" s="47">
        <v>1.124262816E10</v>
      </c>
      <c r="B49" s="48">
        <v>46159.52376157408</v>
      </c>
      <c r="C49" s="30">
        <v>3.85628404E9</v>
      </c>
      <c r="D49" s="47" t="s">
        <v>1509</v>
      </c>
      <c r="E49" s="47">
        <v>7.613032816536E12</v>
      </c>
      <c r="F49" s="47" t="s">
        <v>1523</v>
      </c>
      <c r="G49" s="47" t="s">
        <v>1533</v>
      </c>
      <c r="H49" s="30">
        <v>1.0</v>
      </c>
      <c r="I49" s="30">
        <v>729.0</v>
      </c>
      <c r="J49" s="30">
        <v>729.0</v>
      </c>
      <c r="K49" s="30">
        <v>4.41</v>
      </c>
      <c r="L49" s="30">
        <v>32.148900000000005</v>
      </c>
      <c r="M49" s="30">
        <v>580.0</v>
      </c>
      <c r="N49" s="30">
        <v>580.0</v>
      </c>
      <c r="O49" s="30">
        <v>0.0</v>
      </c>
      <c r="P49" s="30">
        <v>0.0</v>
      </c>
      <c r="Q49" s="30">
        <v>116.8511</v>
      </c>
    </row>
    <row r="50">
      <c r="A50" s="47">
        <v>1.1240959323E10</v>
      </c>
      <c r="B50" s="48">
        <v>46158.86561342593</v>
      </c>
      <c r="C50" s="30">
        <v>3.854936193E9</v>
      </c>
      <c r="D50" s="47" t="s">
        <v>1509</v>
      </c>
      <c r="E50" s="47">
        <v>7.613032816536E12</v>
      </c>
      <c r="F50" s="47" t="s">
        <v>1523</v>
      </c>
      <c r="G50" s="47" t="s">
        <v>1533</v>
      </c>
      <c r="H50" s="30">
        <v>1.0</v>
      </c>
      <c r="I50" s="30">
        <v>729.0</v>
      </c>
      <c r="J50" s="30">
        <v>729.0</v>
      </c>
      <c r="K50" s="30">
        <v>4.41</v>
      </c>
      <c r="L50" s="30">
        <v>32.148900000000005</v>
      </c>
      <c r="M50" s="30">
        <v>580.0</v>
      </c>
      <c r="N50" s="30">
        <v>580.0</v>
      </c>
      <c r="O50" s="30">
        <v>0.0</v>
      </c>
      <c r="P50" s="30">
        <v>0.0</v>
      </c>
      <c r="Q50" s="30">
        <v>116.8511</v>
      </c>
    </row>
    <row r="51">
      <c r="A51" s="47">
        <v>1.124265118E10</v>
      </c>
      <c r="B51" s="48">
        <v>46159.534791666665</v>
      </c>
      <c r="C51" s="30">
        <v>3.856305441E9</v>
      </c>
      <c r="D51" s="47" t="s">
        <v>1509</v>
      </c>
      <c r="E51" s="47">
        <v>7.613032816536E12</v>
      </c>
      <c r="F51" s="47" t="s">
        <v>1523</v>
      </c>
      <c r="G51" s="47" t="s">
        <v>1533</v>
      </c>
      <c r="H51" s="30">
        <v>1.0</v>
      </c>
      <c r="I51" s="30">
        <v>729.0</v>
      </c>
      <c r="J51" s="30">
        <v>729.0</v>
      </c>
      <c r="K51" s="30">
        <v>4.41</v>
      </c>
      <c r="L51" s="30">
        <v>32.148900000000005</v>
      </c>
      <c r="M51" s="30">
        <v>580.0</v>
      </c>
      <c r="N51" s="30">
        <v>580.0</v>
      </c>
      <c r="O51" s="30">
        <v>0.0</v>
      </c>
      <c r="P51" s="30">
        <v>0.0</v>
      </c>
      <c r="Q51" s="30">
        <v>116.8511</v>
      </c>
    </row>
    <row r="52">
      <c r="A52" s="47">
        <v>1.123376411E10</v>
      </c>
      <c r="B52" s="48">
        <v>46156.694548611114</v>
      </c>
      <c r="C52" s="30">
        <v>3.84878482E9</v>
      </c>
      <c r="D52" s="47" t="s">
        <v>1509</v>
      </c>
      <c r="E52" s="47">
        <v>7.613032816536E12</v>
      </c>
      <c r="F52" s="47" t="s">
        <v>1523</v>
      </c>
      <c r="G52" s="47" t="s">
        <v>1533</v>
      </c>
      <c r="H52" s="30">
        <v>2.0</v>
      </c>
      <c r="I52" s="30">
        <v>727.0</v>
      </c>
      <c r="J52" s="30">
        <v>1454.0</v>
      </c>
      <c r="K52" s="30">
        <v>4.41</v>
      </c>
      <c r="L52" s="30">
        <v>64.12140000000001</v>
      </c>
      <c r="M52" s="30">
        <v>580.0</v>
      </c>
      <c r="N52" s="30">
        <v>1160.0</v>
      </c>
      <c r="O52" s="30">
        <v>0.0</v>
      </c>
      <c r="P52" s="30">
        <v>0.0</v>
      </c>
      <c r="Q52" s="30">
        <v>229.8786</v>
      </c>
    </row>
    <row r="53">
      <c r="A53" s="47">
        <v>1.1242246255E10</v>
      </c>
      <c r="B53" s="48">
        <v>46159.135046296295</v>
      </c>
      <c r="C53" s="30">
        <v>3.855925676E9</v>
      </c>
      <c r="D53" s="47" t="s">
        <v>1509</v>
      </c>
      <c r="E53" s="47">
        <v>7.613033560064E12</v>
      </c>
      <c r="F53" s="47" t="s">
        <v>1523</v>
      </c>
      <c r="G53" s="47" t="s">
        <v>1527</v>
      </c>
      <c r="H53" s="30">
        <v>1.0</v>
      </c>
      <c r="I53" s="30">
        <v>1284.0</v>
      </c>
      <c r="J53" s="30">
        <v>1284.0</v>
      </c>
      <c r="K53" s="30">
        <v>2.7</v>
      </c>
      <c r="L53" s="30">
        <v>34.668</v>
      </c>
      <c r="M53" s="30">
        <v>1190.0</v>
      </c>
      <c r="N53" s="30">
        <v>1190.0</v>
      </c>
      <c r="O53" s="30">
        <v>0.0</v>
      </c>
      <c r="P53" s="30">
        <v>0.0</v>
      </c>
      <c r="Q53" s="30">
        <v>59.332</v>
      </c>
    </row>
    <row r="54">
      <c r="A54" s="47">
        <v>1.1245921084E10</v>
      </c>
      <c r="B54" s="48">
        <v>46160.49396990741</v>
      </c>
      <c r="C54" s="30">
        <v>3.858998606E9</v>
      </c>
      <c r="D54" s="47" t="s">
        <v>1509</v>
      </c>
      <c r="E54" s="47">
        <v>7.613032816536E12</v>
      </c>
      <c r="F54" s="47" t="s">
        <v>1523</v>
      </c>
      <c r="G54" s="47" t="s">
        <v>1533</v>
      </c>
      <c r="H54" s="30">
        <v>2.0</v>
      </c>
      <c r="I54" s="30">
        <v>729.0</v>
      </c>
      <c r="J54" s="30">
        <v>1458.0</v>
      </c>
      <c r="K54" s="30">
        <v>4.41</v>
      </c>
      <c r="L54" s="30">
        <v>64.29780000000001</v>
      </c>
      <c r="M54" s="30">
        <v>580.0</v>
      </c>
      <c r="N54" s="30">
        <v>1160.0</v>
      </c>
      <c r="O54" s="30">
        <v>0.0</v>
      </c>
      <c r="P54" s="30">
        <v>0.0</v>
      </c>
      <c r="Q54" s="30">
        <v>233.7022</v>
      </c>
    </row>
    <row r="55">
      <c r="A55" s="47">
        <v>1.1242180863E10</v>
      </c>
      <c r="B55" s="48">
        <v>46159.11798611111</v>
      </c>
      <c r="C55" s="30">
        <v>3.855864454E9</v>
      </c>
      <c r="D55" s="47" t="s">
        <v>1509</v>
      </c>
      <c r="E55" s="47">
        <v>7.613033560064E12</v>
      </c>
      <c r="F55" s="47" t="s">
        <v>1523</v>
      </c>
      <c r="G55" s="47" t="s">
        <v>1527</v>
      </c>
      <c r="H55" s="30">
        <v>1.0</v>
      </c>
      <c r="I55" s="30">
        <v>1284.0</v>
      </c>
      <c r="J55" s="30">
        <v>1284.0</v>
      </c>
      <c r="K55" s="30">
        <v>2.7</v>
      </c>
      <c r="L55" s="30">
        <v>34.668</v>
      </c>
      <c r="M55" s="30">
        <v>1190.0</v>
      </c>
      <c r="N55" s="30">
        <v>1190.0</v>
      </c>
      <c r="O55" s="30">
        <v>0.0</v>
      </c>
      <c r="P55" s="30">
        <v>0.0</v>
      </c>
      <c r="Q55" s="30">
        <v>59.332</v>
      </c>
    </row>
    <row r="56">
      <c r="A56" s="47">
        <v>1.1239081857E10</v>
      </c>
      <c r="B56" s="48">
        <v>46158.13211805555</v>
      </c>
      <c r="C56" s="30">
        <v>3.853337106E9</v>
      </c>
      <c r="D56" s="47" t="s">
        <v>1509</v>
      </c>
      <c r="E56" s="47">
        <v>2.584503166745E12</v>
      </c>
      <c r="F56" s="47" t="s">
        <v>1523</v>
      </c>
      <c r="G56" s="47" t="s">
        <v>1538</v>
      </c>
      <c r="H56" s="30">
        <v>1.0</v>
      </c>
      <c r="I56" s="30">
        <v>4609.03</v>
      </c>
      <c r="J56" s="30">
        <v>4609.03</v>
      </c>
      <c r="K56" s="30">
        <v>11.25</v>
      </c>
      <c r="L56" s="30">
        <v>518.5158749999999</v>
      </c>
      <c r="M56" s="30">
        <v>3475.0</v>
      </c>
      <c r="N56" s="30">
        <v>3475.0</v>
      </c>
      <c r="O56" s="30">
        <v>0.0</v>
      </c>
      <c r="P56" s="30">
        <v>0.0</v>
      </c>
      <c r="Q56" s="30">
        <v>615.5141249999998</v>
      </c>
    </row>
    <row r="57">
      <c r="A57" s="47">
        <v>1.1240441245E10</v>
      </c>
      <c r="B57" s="48">
        <v>46158.75753472222</v>
      </c>
      <c r="C57" s="30">
        <v>3.85456352E9</v>
      </c>
      <c r="D57" s="47" t="s">
        <v>1510</v>
      </c>
      <c r="E57" s="47">
        <v>7.613032816536E12</v>
      </c>
      <c r="F57" s="47" t="s">
        <v>1523</v>
      </c>
      <c r="G57" s="47" t="s">
        <v>1533</v>
      </c>
      <c r="H57" s="30">
        <v>3.0</v>
      </c>
      <c r="I57" s="30">
        <v>729.0</v>
      </c>
      <c r="J57" s="30">
        <v>2187.0</v>
      </c>
      <c r="K57" s="30">
        <v>4.41</v>
      </c>
      <c r="L57" s="30">
        <v>96.4467</v>
      </c>
      <c r="M57" s="30">
        <v>580.0</v>
      </c>
      <c r="N57" s="30">
        <v>1740.0</v>
      </c>
      <c r="O57" s="30">
        <v>0.0</v>
      </c>
      <c r="P57" s="30">
        <v>0.0</v>
      </c>
      <c r="Q57" s="30">
        <v>350.5533</v>
      </c>
    </row>
    <row r="58">
      <c r="A58" s="47">
        <v>1.1239549203E10</v>
      </c>
      <c r="B58" s="48">
        <v>46158.55385416667</v>
      </c>
      <c r="C58" s="30">
        <v>3.853801275E9</v>
      </c>
      <c r="D58" s="47" t="s">
        <v>1509</v>
      </c>
      <c r="E58" s="47" t="s">
        <v>356</v>
      </c>
      <c r="F58" s="47" t="s">
        <v>1523</v>
      </c>
      <c r="G58" s="47" t="s">
        <v>1532</v>
      </c>
      <c r="H58" s="30">
        <v>1.0</v>
      </c>
      <c r="I58" s="30">
        <v>729.0</v>
      </c>
      <c r="J58" s="30">
        <v>729.0</v>
      </c>
      <c r="K58" s="30">
        <v>4.95</v>
      </c>
      <c r="L58" s="30">
        <v>36.0855</v>
      </c>
      <c r="M58" s="30">
        <v>580.0</v>
      </c>
      <c r="N58" s="30">
        <v>580.0</v>
      </c>
      <c r="O58" s="30">
        <v>0.0</v>
      </c>
      <c r="P58" s="30">
        <v>0.0</v>
      </c>
      <c r="Q58" s="30">
        <v>112.9145</v>
      </c>
    </row>
    <row r="59">
      <c r="A59" s="47">
        <v>1.1240528368E10</v>
      </c>
      <c r="B59" s="48">
        <v>46158.775416666664</v>
      </c>
      <c r="C59" s="30">
        <v>3.854628044E9</v>
      </c>
      <c r="D59" s="47" t="s">
        <v>1509</v>
      </c>
      <c r="E59" s="47">
        <v>7.613032816536E12</v>
      </c>
      <c r="F59" s="47" t="s">
        <v>1523</v>
      </c>
      <c r="G59" s="47" t="s">
        <v>1533</v>
      </c>
      <c r="H59" s="30">
        <v>2.0</v>
      </c>
      <c r="I59" s="30">
        <v>729.0</v>
      </c>
      <c r="J59" s="30">
        <v>1458.0</v>
      </c>
      <c r="K59" s="30">
        <v>4.41</v>
      </c>
      <c r="L59" s="30">
        <v>64.29780000000001</v>
      </c>
      <c r="M59" s="30">
        <v>580.0</v>
      </c>
      <c r="N59" s="30">
        <v>1160.0</v>
      </c>
      <c r="O59" s="30">
        <v>0.0</v>
      </c>
      <c r="P59" s="30">
        <v>0.0</v>
      </c>
      <c r="Q59" s="30">
        <v>233.7022</v>
      </c>
    </row>
    <row r="60">
      <c r="A60" s="47">
        <v>1.1241860607E10</v>
      </c>
      <c r="B60" s="48">
        <v>46159.04707175926</v>
      </c>
      <c r="C60" s="30">
        <v>3.855579053E9</v>
      </c>
      <c r="D60" s="47" t="s">
        <v>1510</v>
      </c>
      <c r="E60" s="47">
        <v>7.613033560064E12</v>
      </c>
      <c r="F60" s="47" t="s">
        <v>1523</v>
      </c>
      <c r="G60" s="47" t="s">
        <v>1527</v>
      </c>
      <c r="H60" s="30">
        <v>1.0</v>
      </c>
      <c r="I60" s="30">
        <v>1284.0</v>
      </c>
      <c r="J60" s="30">
        <v>1284.0</v>
      </c>
      <c r="K60" s="30">
        <v>2.7</v>
      </c>
      <c r="L60" s="30">
        <v>34.668</v>
      </c>
      <c r="M60" s="30">
        <v>1190.0</v>
      </c>
      <c r="N60" s="30">
        <v>1190.0</v>
      </c>
      <c r="O60" s="30">
        <v>0.0</v>
      </c>
      <c r="P60" s="30">
        <v>0.0</v>
      </c>
      <c r="Q60" s="30">
        <v>59.332</v>
      </c>
    </row>
    <row r="61">
      <c r="A61" s="47">
        <v>1.123999675E10</v>
      </c>
      <c r="B61" s="48">
        <v>46158.66636574074</v>
      </c>
      <c r="C61" s="30">
        <v>3.854202067E9</v>
      </c>
      <c r="D61" s="47" t="s">
        <v>1510</v>
      </c>
      <c r="E61" s="47">
        <v>7.613033560033E12</v>
      </c>
      <c r="F61" s="47">
        <v>0.0</v>
      </c>
      <c r="G61" s="47" t="s">
        <v>1539</v>
      </c>
      <c r="H61" s="30">
        <v>1.0</v>
      </c>
      <c r="I61" s="30">
        <v>1287.0</v>
      </c>
      <c r="J61" s="30">
        <v>1287.0</v>
      </c>
      <c r="K61" s="30">
        <v>3.6</v>
      </c>
      <c r="L61" s="30">
        <v>46.332</v>
      </c>
      <c r="M61" s="30">
        <v>1165.0</v>
      </c>
      <c r="N61" s="30">
        <v>1165.0</v>
      </c>
      <c r="O61" s="30">
        <v>0.0</v>
      </c>
      <c r="P61" s="30">
        <v>0.0</v>
      </c>
      <c r="Q61" s="30">
        <v>75.668</v>
      </c>
    </row>
    <row r="62">
      <c r="A62" s="47">
        <v>1.1242333199E10</v>
      </c>
      <c r="B62" s="48">
        <v>46159.16233796296</v>
      </c>
      <c r="C62" s="30">
        <v>3.856000048E9</v>
      </c>
      <c r="D62" s="47" t="s">
        <v>1509</v>
      </c>
      <c r="E62" s="47">
        <v>7.613033560064E12</v>
      </c>
      <c r="F62" s="47" t="s">
        <v>1523</v>
      </c>
      <c r="G62" s="47" t="s">
        <v>1527</v>
      </c>
      <c r="H62" s="30">
        <v>1.0</v>
      </c>
      <c r="I62" s="30">
        <v>1284.0</v>
      </c>
      <c r="J62" s="30">
        <v>1284.0</v>
      </c>
      <c r="K62" s="30">
        <v>2.7</v>
      </c>
      <c r="L62" s="30">
        <v>34.668</v>
      </c>
      <c r="M62" s="30">
        <v>1190.0</v>
      </c>
      <c r="N62" s="30">
        <v>1190.0</v>
      </c>
      <c r="O62" s="30">
        <v>0.0</v>
      </c>
      <c r="P62" s="30">
        <v>0.0</v>
      </c>
      <c r="Q62" s="30">
        <v>59.332</v>
      </c>
    </row>
    <row r="63">
      <c r="A63" s="47">
        <v>1.1239593971E10</v>
      </c>
      <c r="B63" s="48">
        <v>46158.56831018518</v>
      </c>
      <c r="C63" s="30">
        <v>3.853843047E9</v>
      </c>
      <c r="D63" s="47" t="s">
        <v>1509</v>
      </c>
      <c r="E63" s="47">
        <v>7.613033560064E12</v>
      </c>
      <c r="F63" s="47" t="s">
        <v>1523</v>
      </c>
      <c r="G63" s="47" t="s">
        <v>1527</v>
      </c>
      <c r="H63" s="30">
        <v>1.0</v>
      </c>
      <c r="I63" s="30">
        <v>1289.0</v>
      </c>
      <c r="J63" s="30">
        <v>1289.0</v>
      </c>
      <c r="K63" s="30">
        <v>2.7</v>
      </c>
      <c r="L63" s="30">
        <v>34.803000000000004</v>
      </c>
      <c r="M63" s="30">
        <v>1190.0</v>
      </c>
      <c r="N63" s="30">
        <v>1190.0</v>
      </c>
      <c r="O63" s="30">
        <v>0.0</v>
      </c>
      <c r="P63" s="30">
        <v>0.0</v>
      </c>
      <c r="Q63" s="30">
        <v>64.197</v>
      </c>
    </row>
    <row r="64">
      <c r="A64" s="47">
        <v>1.1242040473E10</v>
      </c>
      <c r="B64" s="48">
        <v>46159.085335648146</v>
      </c>
      <c r="C64" s="30">
        <v>3.855737779E9</v>
      </c>
      <c r="D64" s="47" t="s">
        <v>1509</v>
      </c>
      <c r="E64" s="47">
        <v>9.00357931015112E14</v>
      </c>
      <c r="F64" s="47" t="s">
        <v>1523</v>
      </c>
      <c r="G64" s="47" t="s">
        <v>1540</v>
      </c>
      <c r="H64" s="30">
        <v>2.0</v>
      </c>
      <c r="I64" s="30">
        <v>958.0</v>
      </c>
      <c r="J64" s="30">
        <v>1916.0</v>
      </c>
      <c r="K64" s="30">
        <v>11.25</v>
      </c>
      <c r="L64" s="30">
        <v>215.55</v>
      </c>
      <c r="M64" s="30">
        <v>1.0</v>
      </c>
      <c r="N64" s="30">
        <v>2.0</v>
      </c>
      <c r="O64" s="30">
        <v>0.0</v>
      </c>
      <c r="P64" s="30">
        <v>0.0</v>
      </c>
      <c r="Q64" s="30">
        <v>1698.45</v>
      </c>
    </row>
    <row r="65">
      <c r="A65" s="47">
        <v>1.1241460569E10</v>
      </c>
      <c r="B65" s="48">
        <v>46158.966469907406</v>
      </c>
      <c r="C65" s="30">
        <v>3.855268072E9</v>
      </c>
      <c r="D65" s="47" t="s">
        <v>1509</v>
      </c>
      <c r="E65" s="47" t="s">
        <v>356</v>
      </c>
      <c r="F65" s="47" t="s">
        <v>1523</v>
      </c>
      <c r="G65" s="47" t="s">
        <v>1532</v>
      </c>
      <c r="H65" s="30">
        <v>1.0</v>
      </c>
      <c r="I65" s="30">
        <v>729.0</v>
      </c>
      <c r="J65" s="30">
        <v>729.0</v>
      </c>
      <c r="K65" s="30">
        <v>4.95</v>
      </c>
      <c r="L65" s="30">
        <v>36.0855</v>
      </c>
      <c r="M65" s="30">
        <v>580.0</v>
      </c>
      <c r="N65" s="30">
        <v>580.0</v>
      </c>
      <c r="O65" s="30">
        <v>0.0</v>
      </c>
      <c r="P65" s="30">
        <v>0.0</v>
      </c>
      <c r="Q65" s="30">
        <v>112.9145</v>
      </c>
    </row>
    <row r="66">
      <c r="A66" s="47">
        <v>1.1244207814E10</v>
      </c>
      <c r="B66" s="48">
        <v>46159.88012731481</v>
      </c>
      <c r="C66" s="30">
        <v>3.857495786E9</v>
      </c>
      <c r="D66" s="47" t="s">
        <v>1509</v>
      </c>
      <c r="E66" s="47" t="s">
        <v>356</v>
      </c>
      <c r="F66" s="47" t="s">
        <v>1523</v>
      </c>
      <c r="G66" s="47" t="s">
        <v>1532</v>
      </c>
      <c r="H66" s="30">
        <v>2.0</v>
      </c>
      <c r="I66" s="30">
        <v>729.0</v>
      </c>
      <c r="J66" s="30">
        <v>1458.0</v>
      </c>
      <c r="K66" s="30">
        <v>4.95</v>
      </c>
      <c r="L66" s="30">
        <v>72.171</v>
      </c>
      <c r="M66" s="30">
        <v>580.0</v>
      </c>
      <c r="N66" s="30">
        <v>1160.0</v>
      </c>
      <c r="O66" s="30">
        <v>0.0</v>
      </c>
      <c r="P66" s="30">
        <v>0.0</v>
      </c>
      <c r="Q66" s="30">
        <v>225.829</v>
      </c>
    </row>
    <row r="67">
      <c r="A67" s="47">
        <v>1.124491729E10</v>
      </c>
      <c r="B67" s="48">
        <v>46160.0077662037</v>
      </c>
      <c r="C67" s="30">
        <v>3.857995947E9</v>
      </c>
      <c r="D67" s="47" t="s">
        <v>1509</v>
      </c>
      <c r="E67" s="47">
        <v>7.613031680992E12</v>
      </c>
      <c r="F67" s="47" t="s">
        <v>1523</v>
      </c>
      <c r="G67" s="47" t="s">
        <v>1541</v>
      </c>
      <c r="H67" s="30">
        <v>1.0</v>
      </c>
      <c r="I67" s="30">
        <v>768.0</v>
      </c>
      <c r="J67" s="30">
        <v>768.0</v>
      </c>
      <c r="K67" s="30">
        <v>3.69</v>
      </c>
      <c r="L67" s="30">
        <v>28.3392</v>
      </c>
      <c r="M67" s="30">
        <v>580.0</v>
      </c>
      <c r="N67" s="30">
        <v>580.0</v>
      </c>
      <c r="O67" s="30">
        <v>0.0</v>
      </c>
      <c r="P67" s="30">
        <v>0.0</v>
      </c>
      <c r="Q67" s="30">
        <v>159.6608</v>
      </c>
    </row>
    <row r="68">
      <c r="A68" s="47">
        <v>1.1250667516E10</v>
      </c>
      <c r="B68" s="48">
        <v>46161.83881944444</v>
      </c>
      <c r="C68" s="30">
        <v>3.863029955E9</v>
      </c>
      <c r="D68" s="47" t="s">
        <v>1508</v>
      </c>
      <c r="E68" s="47">
        <v>7.613032816536E12</v>
      </c>
      <c r="F68" s="47" t="s">
        <v>1523</v>
      </c>
      <c r="G68" s="47" t="s">
        <v>1533</v>
      </c>
      <c r="H68" s="30">
        <v>1.0</v>
      </c>
      <c r="I68" s="30">
        <v>745.0</v>
      </c>
      <c r="J68" s="30">
        <v>745.0</v>
      </c>
      <c r="K68" s="30">
        <v>6.0</v>
      </c>
      <c r="L68" s="30">
        <v>44.7</v>
      </c>
      <c r="M68" s="30">
        <v>580.0</v>
      </c>
      <c r="N68" s="30">
        <v>580.0</v>
      </c>
      <c r="O68" s="30">
        <v>0.0</v>
      </c>
      <c r="P68" s="30">
        <v>0.0</v>
      </c>
      <c r="Q68" s="30">
        <v>120.3</v>
      </c>
    </row>
    <row r="69">
      <c r="A69" s="47">
        <v>1.124478015E10</v>
      </c>
      <c r="B69" s="48">
        <v>46159.983981481484</v>
      </c>
      <c r="C69" s="30">
        <v>3.857890091E9</v>
      </c>
      <c r="D69" s="47" t="s">
        <v>1509</v>
      </c>
      <c r="E69" s="47">
        <v>8.410650218663E12</v>
      </c>
      <c r="F69" s="47" t="s">
        <v>1523</v>
      </c>
      <c r="G69" s="47" t="s">
        <v>1542</v>
      </c>
      <c r="H69" s="30">
        <v>1.0</v>
      </c>
      <c r="I69" s="30">
        <v>4374.87</v>
      </c>
      <c r="J69" s="30">
        <v>4374.87</v>
      </c>
      <c r="K69" s="30">
        <v>11.79</v>
      </c>
      <c r="L69" s="30">
        <v>515.7971729999999</v>
      </c>
      <c r="M69" s="30">
        <v>3556.0</v>
      </c>
      <c r="N69" s="30">
        <v>3556.0</v>
      </c>
      <c r="O69" s="30">
        <v>0.0</v>
      </c>
      <c r="P69" s="30">
        <v>0.0</v>
      </c>
      <c r="Q69" s="30">
        <v>303.07282699999996</v>
      </c>
    </row>
    <row r="70">
      <c r="A70" s="47">
        <v>1.124478015E10</v>
      </c>
      <c r="B70" s="48">
        <v>46159.983981481484</v>
      </c>
      <c r="C70" s="30">
        <v>3.857890091E9</v>
      </c>
      <c r="D70" s="47" t="s">
        <v>1509</v>
      </c>
      <c r="E70" s="47">
        <v>8.684501941837E12</v>
      </c>
      <c r="F70" s="47" t="s">
        <v>289</v>
      </c>
      <c r="G70" s="47" t="s">
        <v>1543</v>
      </c>
      <c r="H70" s="30">
        <v>1.0</v>
      </c>
      <c r="I70" s="30">
        <v>339.13</v>
      </c>
      <c r="J70" s="30">
        <v>339.13</v>
      </c>
      <c r="K70" s="30">
        <v>18.0</v>
      </c>
      <c r="L70" s="30">
        <v>61.0434</v>
      </c>
      <c r="M70" s="30">
        <v>53.0</v>
      </c>
      <c r="N70" s="30">
        <v>53.0</v>
      </c>
      <c r="O70" s="30">
        <v>0.0</v>
      </c>
      <c r="P70" s="30">
        <v>0.0</v>
      </c>
      <c r="Q70" s="30">
        <v>225.0866</v>
      </c>
    </row>
    <row r="71">
      <c r="A71" s="47">
        <v>1.1239776256E10</v>
      </c>
      <c r="B71" s="48">
        <v>46158.61722222222</v>
      </c>
      <c r="C71" s="30">
        <v>3.85401217E9</v>
      </c>
      <c r="D71" s="47" t="s">
        <v>1509</v>
      </c>
      <c r="E71" s="47">
        <v>6.923632570003E12</v>
      </c>
      <c r="F71" s="47" t="s">
        <v>1523</v>
      </c>
      <c r="G71" s="47" t="s">
        <v>1544</v>
      </c>
      <c r="H71" s="30">
        <v>1.0</v>
      </c>
      <c r="I71" s="30">
        <v>489.0</v>
      </c>
      <c r="J71" s="30">
        <v>489.0</v>
      </c>
      <c r="K71" s="30">
        <v>18.0</v>
      </c>
      <c r="L71" s="30">
        <v>88.02</v>
      </c>
      <c r="M71" s="30">
        <v>130.0</v>
      </c>
      <c r="N71" s="30">
        <v>130.0</v>
      </c>
      <c r="O71" s="30">
        <v>0.0</v>
      </c>
      <c r="P71" s="30">
        <v>0.0</v>
      </c>
      <c r="Q71" s="30">
        <v>270.98</v>
      </c>
    </row>
    <row r="72">
      <c r="A72" s="47">
        <v>1.1240288083E10</v>
      </c>
      <c r="B72" s="48">
        <v>46158.72572916667</v>
      </c>
      <c r="C72" s="30">
        <v>3.854443755E9</v>
      </c>
      <c r="D72" s="47" t="s">
        <v>1509</v>
      </c>
      <c r="E72" s="47">
        <v>7.613033560064E12</v>
      </c>
      <c r="F72" s="47" t="s">
        <v>1523</v>
      </c>
      <c r="G72" s="47" t="s">
        <v>1527</v>
      </c>
      <c r="H72" s="30">
        <v>1.0</v>
      </c>
      <c r="I72" s="30">
        <v>1286.0</v>
      </c>
      <c r="J72" s="30">
        <v>1286.0</v>
      </c>
      <c r="K72" s="30">
        <v>2.7</v>
      </c>
      <c r="L72" s="30">
        <v>34.722</v>
      </c>
      <c r="M72" s="30">
        <v>1190.0</v>
      </c>
      <c r="N72" s="30">
        <v>1190.0</v>
      </c>
      <c r="O72" s="30">
        <v>0.0</v>
      </c>
      <c r="P72" s="30">
        <v>0.0</v>
      </c>
      <c r="Q72" s="30">
        <v>61.278</v>
      </c>
    </row>
    <row r="73">
      <c r="A73" s="47">
        <v>1.1237488007E10</v>
      </c>
      <c r="B73" s="48">
        <v>46157.80517361111</v>
      </c>
      <c r="C73" s="30">
        <v>3.852086796E9</v>
      </c>
      <c r="D73" s="47" t="s">
        <v>1509</v>
      </c>
      <c r="E73" s="47" t="s">
        <v>356</v>
      </c>
      <c r="F73" s="47" t="s">
        <v>1523</v>
      </c>
      <c r="G73" s="47" t="s">
        <v>1532</v>
      </c>
      <c r="H73" s="30">
        <v>2.0</v>
      </c>
      <c r="I73" s="30">
        <v>729.0</v>
      </c>
      <c r="J73" s="30">
        <v>1458.0</v>
      </c>
      <c r="K73" s="30">
        <v>4.95</v>
      </c>
      <c r="L73" s="30">
        <v>72.171</v>
      </c>
      <c r="M73" s="30">
        <v>580.0</v>
      </c>
      <c r="N73" s="30">
        <v>1160.0</v>
      </c>
      <c r="O73" s="30">
        <v>0.0</v>
      </c>
      <c r="P73" s="30">
        <v>0.0</v>
      </c>
      <c r="Q73" s="30">
        <v>225.829</v>
      </c>
    </row>
    <row r="74">
      <c r="A74" s="47">
        <v>1.1250649436E10</v>
      </c>
      <c r="B74" s="48">
        <v>46161.835277777776</v>
      </c>
      <c r="C74" s="30">
        <v>3.863019611E9</v>
      </c>
      <c r="D74" s="47" t="s">
        <v>1508</v>
      </c>
      <c r="E74" s="47">
        <v>3.18255078458E12</v>
      </c>
      <c r="F74" s="47" t="s">
        <v>1523</v>
      </c>
      <c r="G74" s="47" t="s">
        <v>1536</v>
      </c>
      <c r="H74" s="30">
        <v>1.0</v>
      </c>
      <c r="I74" s="30">
        <v>1614.0</v>
      </c>
      <c r="J74" s="30">
        <v>1614.0</v>
      </c>
      <c r="K74" s="30">
        <v>0.0</v>
      </c>
      <c r="L74" s="30">
        <v>0.0</v>
      </c>
      <c r="M74" s="30">
        <v>1604.0</v>
      </c>
      <c r="N74" s="30">
        <v>1604.0</v>
      </c>
      <c r="O74" s="30">
        <v>0.0</v>
      </c>
      <c r="P74" s="30">
        <v>0.0</v>
      </c>
      <c r="Q74" s="30">
        <v>10.0</v>
      </c>
    </row>
    <row r="75">
      <c r="A75" s="47">
        <v>1.124301985E10</v>
      </c>
      <c r="B75" s="48">
        <v>46159.644224537034</v>
      </c>
      <c r="C75" s="30">
        <v>3.85661323E9</v>
      </c>
      <c r="D75" s="47" t="s">
        <v>1509</v>
      </c>
      <c r="E75" s="47" t="s">
        <v>143</v>
      </c>
      <c r="F75" s="47" t="s">
        <v>1523</v>
      </c>
      <c r="G75" s="47" t="s">
        <v>1545</v>
      </c>
      <c r="H75" s="30">
        <v>1.0</v>
      </c>
      <c r="I75" s="30">
        <v>319.0</v>
      </c>
      <c r="J75" s="30">
        <v>319.0</v>
      </c>
      <c r="K75" s="30">
        <v>14.85</v>
      </c>
      <c r="L75" s="30">
        <v>47.3715</v>
      </c>
      <c r="M75" s="30">
        <v>180.0</v>
      </c>
      <c r="N75" s="30">
        <v>180.0</v>
      </c>
      <c r="O75" s="30">
        <v>0.0</v>
      </c>
      <c r="P75" s="30">
        <v>0.0</v>
      </c>
      <c r="Q75" s="30">
        <v>91.6285</v>
      </c>
    </row>
    <row r="76">
      <c r="A76" s="47">
        <v>1.1243011682E10</v>
      </c>
      <c r="B76" s="48">
        <v>46159.64226851852</v>
      </c>
      <c r="C76" s="30">
        <v>3.856604251E9</v>
      </c>
      <c r="D76" s="47" t="s">
        <v>1509</v>
      </c>
      <c r="E76" s="47">
        <v>6.927749871187E12</v>
      </c>
      <c r="F76" s="47" t="s">
        <v>1523</v>
      </c>
      <c r="G76" s="47" t="s">
        <v>1546</v>
      </c>
      <c r="H76" s="30">
        <v>1.0</v>
      </c>
      <c r="I76" s="30">
        <v>425.0</v>
      </c>
      <c r="J76" s="30">
        <v>425.0</v>
      </c>
      <c r="K76" s="30">
        <v>11.25</v>
      </c>
      <c r="L76" s="30">
        <v>47.8125</v>
      </c>
      <c r="M76" s="30">
        <v>196.5</v>
      </c>
      <c r="N76" s="30">
        <v>196.5</v>
      </c>
      <c r="O76" s="30">
        <v>0.0</v>
      </c>
      <c r="P76" s="30">
        <v>0.0</v>
      </c>
      <c r="Q76" s="30">
        <v>180.6875</v>
      </c>
    </row>
    <row r="77">
      <c r="A77" s="47">
        <v>1.1243011682E10</v>
      </c>
      <c r="B77" s="48">
        <v>46159.64226851852</v>
      </c>
      <c r="C77" s="30">
        <v>3.856604251E9</v>
      </c>
      <c r="D77" s="47" t="s">
        <v>1509</v>
      </c>
      <c r="E77" s="47">
        <v>7.613033560064E12</v>
      </c>
      <c r="F77" s="47" t="s">
        <v>1523</v>
      </c>
      <c r="G77" s="47" t="s">
        <v>1527</v>
      </c>
      <c r="H77" s="30">
        <v>1.0</v>
      </c>
      <c r="I77" s="30">
        <v>1283.0</v>
      </c>
      <c r="J77" s="30">
        <v>1283.0</v>
      </c>
      <c r="K77" s="30">
        <v>2.7</v>
      </c>
      <c r="L77" s="30">
        <v>34.641000000000005</v>
      </c>
      <c r="M77" s="30">
        <v>1190.0</v>
      </c>
      <c r="N77" s="30">
        <v>1190.0</v>
      </c>
      <c r="O77" s="30">
        <v>0.0</v>
      </c>
      <c r="P77" s="30">
        <v>0.0</v>
      </c>
      <c r="Q77" s="30">
        <v>58.358999999999995</v>
      </c>
    </row>
    <row r="78">
      <c r="A78" s="47">
        <v>1.1243689169E10</v>
      </c>
      <c r="B78" s="48">
        <v>46159.78136574074</v>
      </c>
      <c r="C78" s="30">
        <v>3.857141216E9</v>
      </c>
      <c r="D78" s="47" t="s">
        <v>1509</v>
      </c>
      <c r="E78" s="47">
        <v>7.613035846708E12</v>
      </c>
      <c r="F78" s="47" t="s">
        <v>1523</v>
      </c>
      <c r="G78" s="47" t="s">
        <v>1535</v>
      </c>
      <c r="H78" s="30">
        <v>1.0</v>
      </c>
      <c r="I78" s="30">
        <v>1262.9</v>
      </c>
      <c r="J78" s="30">
        <v>1262.9</v>
      </c>
      <c r="K78" s="30">
        <v>4.5</v>
      </c>
      <c r="L78" s="30">
        <v>56.8305</v>
      </c>
      <c r="M78" s="30">
        <v>1160.0</v>
      </c>
      <c r="N78" s="30">
        <v>1160.0</v>
      </c>
      <c r="O78" s="30">
        <v>0.0</v>
      </c>
      <c r="P78" s="30">
        <v>0.0</v>
      </c>
      <c r="Q78" s="30">
        <v>46.06950000000009</v>
      </c>
    </row>
    <row r="79">
      <c r="A79" s="47">
        <v>1.124252122E10</v>
      </c>
      <c r="B79" s="48">
        <v>46159.390752314815</v>
      </c>
      <c r="C79" s="30">
        <v>3.856176429E9</v>
      </c>
      <c r="D79" s="47" t="s">
        <v>1509</v>
      </c>
      <c r="E79" s="47" t="s">
        <v>356</v>
      </c>
      <c r="F79" s="47" t="s">
        <v>1523</v>
      </c>
      <c r="G79" s="47" t="s">
        <v>1532</v>
      </c>
      <c r="H79" s="30">
        <v>1.0</v>
      </c>
      <c r="I79" s="30">
        <v>729.0</v>
      </c>
      <c r="J79" s="30">
        <v>729.0</v>
      </c>
      <c r="K79" s="30">
        <v>4.95</v>
      </c>
      <c r="L79" s="30">
        <v>36.0855</v>
      </c>
      <c r="M79" s="30">
        <v>580.0</v>
      </c>
      <c r="N79" s="30">
        <v>580.0</v>
      </c>
      <c r="O79" s="30">
        <v>0.0</v>
      </c>
      <c r="P79" s="30">
        <v>0.0</v>
      </c>
      <c r="Q79" s="30">
        <v>112.9145</v>
      </c>
    </row>
    <row r="80">
      <c r="A80" s="47">
        <v>1.1243800514E10</v>
      </c>
      <c r="B80" s="48">
        <v>46159.80341435185</v>
      </c>
      <c r="C80" s="30">
        <v>3.857220974E9</v>
      </c>
      <c r="D80" s="47" t="s">
        <v>1509</v>
      </c>
      <c r="E80" s="47">
        <v>8.410650151656E12</v>
      </c>
      <c r="F80" s="47" t="s">
        <v>1523</v>
      </c>
      <c r="G80" s="47" t="s">
        <v>1525</v>
      </c>
      <c r="H80" s="30">
        <v>1.0</v>
      </c>
      <c r="I80" s="30">
        <v>1640.0</v>
      </c>
      <c r="J80" s="30">
        <v>1640.0</v>
      </c>
      <c r="K80" s="30">
        <v>12.15</v>
      </c>
      <c r="L80" s="30">
        <v>199.26</v>
      </c>
      <c r="M80" s="30">
        <v>1228.0</v>
      </c>
      <c r="N80" s="30">
        <v>1228.0</v>
      </c>
      <c r="O80" s="30">
        <v>0.0</v>
      </c>
      <c r="P80" s="30">
        <v>0.0</v>
      </c>
      <c r="Q80" s="30">
        <v>212.74</v>
      </c>
    </row>
    <row r="81">
      <c r="A81" s="47">
        <v>1.1244793002E10</v>
      </c>
      <c r="B81" s="48">
        <v>46159.98605324074</v>
      </c>
      <c r="C81" s="30">
        <v>3.85789895E9</v>
      </c>
      <c r="D81" s="47" t="s">
        <v>1509</v>
      </c>
      <c r="E81" s="47">
        <v>8.410650218663E12</v>
      </c>
      <c r="F81" s="47" t="s">
        <v>1523</v>
      </c>
      <c r="G81" s="47" t="s">
        <v>1542</v>
      </c>
      <c r="H81" s="30">
        <v>1.0</v>
      </c>
      <c r="I81" s="30">
        <v>4515.0</v>
      </c>
      <c r="J81" s="30">
        <v>4515.0</v>
      </c>
      <c r="K81" s="30">
        <v>11.79</v>
      </c>
      <c r="L81" s="30">
        <v>532.3185</v>
      </c>
      <c r="M81" s="30">
        <v>3556.0</v>
      </c>
      <c r="N81" s="30">
        <v>3556.0</v>
      </c>
      <c r="O81" s="30">
        <v>0.0</v>
      </c>
      <c r="P81" s="30">
        <v>0.0</v>
      </c>
      <c r="Q81" s="30">
        <v>426.6815</v>
      </c>
    </row>
    <row r="82">
      <c r="A82" s="47">
        <v>1.1235750054E10</v>
      </c>
      <c r="B82" s="48">
        <v>46157.120046296295</v>
      </c>
      <c r="C82" s="30">
        <v>3.850448136E9</v>
      </c>
      <c r="D82" s="47" t="s">
        <v>1509</v>
      </c>
      <c r="E82" s="47">
        <v>7.613032816536E12</v>
      </c>
      <c r="F82" s="47" t="s">
        <v>1523</v>
      </c>
      <c r="G82" s="47" t="s">
        <v>1533</v>
      </c>
      <c r="H82" s="30">
        <v>1.0</v>
      </c>
      <c r="I82" s="30">
        <v>727.0</v>
      </c>
      <c r="J82" s="30">
        <v>727.0</v>
      </c>
      <c r="K82" s="30">
        <v>4.41</v>
      </c>
      <c r="L82" s="30">
        <v>32.060700000000004</v>
      </c>
      <c r="M82" s="30">
        <v>580.0</v>
      </c>
      <c r="N82" s="30">
        <v>580.0</v>
      </c>
      <c r="O82" s="30">
        <v>0.0</v>
      </c>
      <c r="P82" s="30">
        <v>0.0</v>
      </c>
      <c r="Q82" s="30">
        <v>114.9393</v>
      </c>
    </row>
    <row r="83">
      <c r="A83" s="47">
        <v>1.1239903327E10</v>
      </c>
      <c r="B83" s="48">
        <v>46158.646527777775</v>
      </c>
      <c r="C83" s="30">
        <v>3.854124818E9</v>
      </c>
      <c r="D83" s="47" t="s">
        <v>1509</v>
      </c>
      <c r="E83" s="47">
        <v>7.613031680992E12</v>
      </c>
      <c r="F83" s="47" t="s">
        <v>1523</v>
      </c>
      <c r="G83" s="47" t="s">
        <v>1541</v>
      </c>
      <c r="H83" s="30">
        <v>1.0</v>
      </c>
      <c r="I83" s="30">
        <v>768.0</v>
      </c>
      <c r="J83" s="30">
        <v>768.0</v>
      </c>
      <c r="K83" s="30">
        <v>3.69</v>
      </c>
      <c r="L83" s="30">
        <v>28.3392</v>
      </c>
      <c r="M83" s="30">
        <v>580.0</v>
      </c>
      <c r="N83" s="30">
        <v>580.0</v>
      </c>
      <c r="O83" s="30">
        <v>0.0</v>
      </c>
      <c r="P83" s="30">
        <v>0.0</v>
      </c>
      <c r="Q83" s="30">
        <v>159.6608</v>
      </c>
    </row>
    <row r="84">
      <c r="A84" s="47">
        <v>1.1243103945E10</v>
      </c>
      <c r="B84" s="48">
        <v>46159.662627314814</v>
      </c>
      <c r="C84" s="30">
        <v>3.856683585E9</v>
      </c>
      <c r="D84" s="47" t="s">
        <v>1509</v>
      </c>
      <c r="E84" s="47" t="s">
        <v>411</v>
      </c>
      <c r="F84" s="47" t="s">
        <v>1523</v>
      </c>
      <c r="G84" s="47" t="s">
        <v>1531</v>
      </c>
      <c r="H84" s="30">
        <v>3.0</v>
      </c>
      <c r="I84" s="30">
        <v>768.0</v>
      </c>
      <c r="J84" s="30">
        <v>2304.0</v>
      </c>
      <c r="K84" s="30">
        <v>4.95</v>
      </c>
      <c r="L84" s="30">
        <v>114.04800000000002</v>
      </c>
      <c r="M84" s="30">
        <v>580.0</v>
      </c>
      <c r="N84" s="30">
        <v>1740.0</v>
      </c>
      <c r="O84" s="30">
        <v>0.0</v>
      </c>
      <c r="P84" s="30">
        <v>0.0</v>
      </c>
      <c r="Q84" s="30">
        <v>449.952</v>
      </c>
    </row>
    <row r="85">
      <c r="A85" s="47">
        <v>1.1241162109E10</v>
      </c>
      <c r="B85" s="48">
        <v>46158.90604166667</v>
      </c>
      <c r="C85" s="30">
        <v>3.855067433E9</v>
      </c>
      <c r="D85" s="47" t="s">
        <v>1509</v>
      </c>
      <c r="E85" s="47" t="s">
        <v>356</v>
      </c>
      <c r="F85" s="47" t="s">
        <v>1523</v>
      </c>
      <c r="G85" s="47" t="s">
        <v>1532</v>
      </c>
      <c r="H85" s="30">
        <v>1.0</v>
      </c>
      <c r="I85" s="30">
        <v>729.0</v>
      </c>
      <c r="J85" s="30">
        <v>729.0</v>
      </c>
      <c r="K85" s="30">
        <v>4.95</v>
      </c>
      <c r="L85" s="30">
        <v>36.0855</v>
      </c>
      <c r="M85" s="30">
        <v>580.0</v>
      </c>
      <c r="N85" s="30">
        <v>580.0</v>
      </c>
      <c r="O85" s="30">
        <v>0.0</v>
      </c>
      <c r="P85" s="30">
        <v>0.0</v>
      </c>
      <c r="Q85" s="30">
        <v>112.9145</v>
      </c>
    </row>
    <row r="86">
      <c r="A86" s="47">
        <v>1.1240739972E10</v>
      </c>
      <c r="B86" s="48">
        <v>46158.82030092592</v>
      </c>
      <c r="C86" s="30">
        <v>3.854782969E9</v>
      </c>
      <c r="D86" s="47" t="s">
        <v>1509</v>
      </c>
      <c r="E86" s="47">
        <v>7.613033560064E12</v>
      </c>
      <c r="F86" s="47" t="s">
        <v>1523</v>
      </c>
      <c r="G86" s="47" t="s">
        <v>1527</v>
      </c>
      <c r="H86" s="30">
        <v>1.0</v>
      </c>
      <c r="I86" s="30">
        <v>1285.0</v>
      </c>
      <c r="J86" s="30">
        <v>1285.0</v>
      </c>
      <c r="K86" s="30">
        <v>2.7</v>
      </c>
      <c r="L86" s="30">
        <v>34.69500000000001</v>
      </c>
      <c r="M86" s="30">
        <v>1190.0</v>
      </c>
      <c r="N86" s="30">
        <v>1190.0</v>
      </c>
      <c r="O86" s="30">
        <v>0.0</v>
      </c>
      <c r="P86" s="30">
        <v>0.0</v>
      </c>
      <c r="Q86" s="30">
        <v>60.30499999999999</v>
      </c>
    </row>
    <row r="87">
      <c r="A87" s="47">
        <v>1.1242293792E10</v>
      </c>
      <c r="B87" s="48">
        <v>46159.14902777778</v>
      </c>
      <c r="C87" s="30">
        <v>3.855967114E9</v>
      </c>
      <c r="D87" s="47" t="s">
        <v>1509</v>
      </c>
      <c r="E87" s="47">
        <v>7.613033560064E12</v>
      </c>
      <c r="F87" s="47" t="s">
        <v>1523</v>
      </c>
      <c r="G87" s="47" t="s">
        <v>1527</v>
      </c>
      <c r="H87" s="30">
        <v>1.0</v>
      </c>
      <c r="I87" s="30">
        <v>1284.0</v>
      </c>
      <c r="J87" s="30">
        <v>1284.0</v>
      </c>
      <c r="K87" s="30">
        <v>2.7</v>
      </c>
      <c r="L87" s="30">
        <v>34.668</v>
      </c>
      <c r="M87" s="30">
        <v>1190.0</v>
      </c>
      <c r="N87" s="30">
        <v>1190.0</v>
      </c>
      <c r="O87" s="30">
        <v>0.0</v>
      </c>
      <c r="P87" s="30">
        <v>0.0</v>
      </c>
      <c r="Q87" s="30">
        <v>59.332</v>
      </c>
    </row>
    <row r="88">
      <c r="A88" s="47">
        <v>1.1241000545E10</v>
      </c>
      <c r="B88" s="48">
        <v>46158.87378472222</v>
      </c>
      <c r="C88" s="30">
        <v>3.854963235E9</v>
      </c>
      <c r="D88" s="47" t="s">
        <v>1509</v>
      </c>
      <c r="E88" s="47" t="s">
        <v>356</v>
      </c>
      <c r="F88" s="47" t="s">
        <v>1523</v>
      </c>
      <c r="G88" s="47" t="s">
        <v>1532</v>
      </c>
      <c r="H88" s="30">
        <v>1.0</v>
      </c>
      <c r="I88" s="30">
        <v>729.0</v>
      </c>
      <c r="J88" s="30">
        <v>729.0</v>
      </c>
      <c r="K88" s="30">
        <v>4.95</v>
      </c>
      <c r="L88" s="30">
        <v>36.0855</v>
      </c>
      <c r="M88" s="30">
        <v>580.0</v>
      </c>
      <c r="N88" s="30">
        <v>580.0</v>
      </c>
      <c r="O88" s="30">
        <v>0.0</v>
      </c>
      <c r="P88" s="30">
        <v>0.0</v>
      </c>
      <c r="Q88" s="30">
        <v>112.9145</v>
      </c>
    </row>
    <row r="89">
      <c r="A89" s="47">
        <v>1.1244835167E10</v>
      </c>
      <c r="B89" s="48">
        <v>46159.99369212963</v>
      </c>
      <c r="C89" s="30">
        <v>3.857933067E9</v>
      </c>
      <c r="D89" s="47" t="s">
        <v>1509</v>
      </c>
      <c r="E89" s="47">
        <v>7.613032816536E12</v>
      </c>
      <c r="F89" s="47" t="s">
        <v>1523</v>
      </c>
      <c r="G89" s="47" t="s">
        <v>1533</v>
      </c>
      <c r="H89" s="30">
        <v>1.0</v>
      </c>
      <c r="I89" s="30">
        <v>729.0</v>
      </c>
      <c r="J89" s="30">
        <v>729.0</v>
      </c>
      <c r="K89" s="30">
        <v>4.41</v>
      </c>
      <c r="L89" s="30">
        <v>32.148900000000005</v>
      </c>
      <c r="M89" s="30">
        <v>580.0</v>
      </c>
      <c r="N89" s="30">
        <v>580.0</v>
      </c>
      <c r="O89" s="30">
        <v>0.0</v>
      </c>
      <c r="P89" s="30">
        <v>0.0</v>
      </c>
      <c r="Q89" s="30">
        <v>116.8511</v>
      </c>
    </row>
    <row r="90">
      <c r="A90" s="47">
        <v>1.1239843501E10</v>
      </c>
      <c r="B90" s="48">
        <v>46158.63315972222</v>
      </c>
      <c r="C90" s="30">
        <v>3.854070885E9</v>
      </c>
      <c r="D90" s="47" t="s">
        <v>1509</v>
      </c>
      <c r="E90" s="47">
        <v>7.613033560064E12</v>
      </c>
      <c r="F90" s="47" t="s">
        <v>1523</v>
      </c>
      <c r="G90" s="47" t="s">
        <v>1527</v>
      </c>
      <c r="H90" s="30">
        <v>1.0</v>
      </c>
      <c r="I90" s="30">
        <v>1289.0</v>
      </c>
      <c r="J90" s="30">
        <v>1289.0</v>
      </c>
      <c r="K90" s="30">
        <v>2.7</v>
      </c>
      <c r="L90" s="30">
        <v>34.803000000000004</v>
      </c>
      <c r="M90" s="30">
        <v>1190.0</v>
      </c>
      <c r="N90" s="30">
        <v>1190.0</v>
      </c>
      <c r="O90" s="30">
        <v>0.0</v>
      </c>
      <c r="P90" s="30">
        <v>0.0</v>
      </c>
      <c r="Q90" s="30">
        <v>64.197</v>
      </c>
    </row>
    <row r="91">
      <c r="A91" s="47">
        <v>1.1241948889E10</v>
      </c>
      <c r="B91" s="48">
        <v>46159.06508101852</v>
      </c>
      <c r="C91" s="30">
        <v>3.855653396E9</v>
      </c>
      <c r="D91" s="47" t="s">
        <v>1509</v>
      </c>
      <c r="E91" s="47">
        <v>7.613033560033E12</v>
      </c>
      <c r="F91" s="47">
        <v>0.0</v>
      </c>
      <c r="G91" s="47" t="s">
        <v>1539</v>
      </c>
      <c r="H91" s="30">
        <v>1.0</v>
      </c>
      <c r="I91" s="30">
        <v>1287.0</v>
      </c>
      <c r="J91" s="30">
        <v>1287.0</v>
      </c>
      <c r="K91" s="30">
        <v>3.6</v>
      </c>
      <c r="L91" s="30">
        <v>46.332</v>
      </c>
      <c r="M91" s="30">
        <v>1165.0</v>
      </c>
      <c r="N91" s="30">
        <v>1165.0</v>
      </c>
      <c r="O91" s="30">
        <v>0.0</v>
      </c>
      <c r="P91" s="30">
        <v>0.0</v>
      </c>
      <c r="Q91" s="30">
        <v>75.668</v>
      </c>
    </row>
    <row r="92">
      <c r="A92" s="47">
        <v>1.1239229156E10</v>
      </c>
      <c r="B92" s="48">
        <v>46158.188564814816</v>
      </c>
      <c r="C92" s="30">
        <v>3.853477861E9</v>
      </c>
      <c r="D92" s="47" t="s">
        <v>1509</v>
      </c>
      <c r="E92" s="47">
        <v>7.613032816536E12</v>
      </c>
      <c r="F92" s="47" t="s">
        <v>1523</v>
      </c>
      <c r="G92" s="47" t="s">
        <v>1533</v>
      </c>
      <c r="H92" s="30">
        <v>1.0</v>
      </c>
      <c r="I92" s="30">
        <v>626.99</v>
      </c>
      <c r="J92" s="30">
        <v>626.99</v>
      </c>
      <c r="K92" s="30">
        <v>4.41</v>
      </c>
      <c r="L92" s="30">
        <v>27.650259000000002</v>
      </c>
      <c r="M92" s="30">
        <v>580.0</v>
      </c>
      <c r="N92" s="30">
        <v>580.0</v>
      </c>
      <c r="O92" s="30">
        <v>0.0</v>
      </c>
      <c r="P92" s="30">
        <v>0.0</v>
      </c>
      <c r="Q92" s="30">
        <v>19.339741000000007</v>
      </c>
    </row>
    <row r="93">
      <c r="A93" s="47">
        <v>1.1239229156E10</v>
      </c>
      <c r="B93" s="48">
        <v>46158.188564814816</v>
      </c>
      <c r="C93" s="30">
        <v>3.853477861E9</v>
      </c>
      <c r="D93" s="47" t="s">
        <v>1509</v>
      </c>
      <c r="E93" s="47">
        <v>8.684501941837E12</v>
      </c>
      <c r="F93" s="47" t="s">
        <v>289</v>
      </c>
      <c r="G93" s="47" t="s">
        <v>1543</v>
      </c>
      <c r="H93" s="30">
        <v>1.0</v>
      </c>
      <c r="I93" s="30">
        <v>301.01</v>
      </c>
      <c r="J93" s="30">
        <v>301.01</v>
      </c>
      <c r="K93" s="30">
        <v>18.0</v>
      </c>
      <c r="L93" s="30">
        <v>54.1818</v>
      </c>
      <c r="M93" s="30">
        <v>53.0</v>
      </c>
      <c r="N93" s="30">
        <v>53.0</v>
      </c>
      <c r="O93" s="30">
        <v>0.0</v>
      </c>
      <c r="P93" s="30">
        <v>0.0</v>
      </c>
      <c r="Q93" s="30">
        <v>193.82819999999998</v>
      </c>
    </row>
    <row r="94">
      <c r="A94" s="47">
        <v>1.1242147453E10</v>
      </c>
      <c r="B94" s="48">
        <v>46159.10967592592</v>
      </c>
      <c r="C94" s="30">
        <v>3.855831289E9</v>
      </c>
      <c r="D94" s="47" t="s">
        <v>1509</v>
      </c>
      <c r="E94" s="47">
        <v>7.613033560064E12</v>
      </c>
      <c r="F94" s="47" t="s">
        <v>1523</v>
      </c>
      <c r="G94" s="47" t="s">
        <v>1527</v>
      </c>
      <c r="H94" s="30">
        <v>1.0</v>
      </c>
      <c r="I94" s="30">
        <v>1284.0</v>
      </c>
      <c r="J94" s="30">
        <v>1284.0</v>
      </c>
      <c r="K94" s="30">
        <v>2.7</v>
      </c>
      <c r="L94" s="30">
        <v>34.668</v>
      </c>
      <c r="M94" s="30">
        <v>1190.0</v>
      </c>
      <c r="N94" s="30">
        <v>1190.0</v>
      </c>
      <c r="O94" s="30">
        <v>0.0</v>
      </c>
      <c r="P94" s="30">
        <v>0.0</v>
      </c>
      <c r="Q94" s="30">
        <v>59.332</v>
      </c>
    </row>
    <row r="95">
      <c r="A95" s="47">
        <v>1.1241833566E10</v>
      </c>
      <c r="B95" s="48">
        <v>46159.041180555556</v>
      </c>
      <c r="C95" s="30">
        <v>3.85555517E9</v>
      </c>
      <c r="D95" s="47" t="s">
        <v>1509</v>
      </c>
      <c r="E95" s="47">
        <v>7.613033560064E12</v>
      </c>
      <c r="F95" s="47" t="s">
        <v>1523</v>
      </c>
      <c r="G95" s="47" t="s">
        <v>1527</v>
      </c>
      <c r="H95" s="30">
        <v>1.0</v>
      </c>
      <c r="I95" s="30">
        <v>1284.0</v>
      </c>
      <c r="J95" s="30">
        <v>1284.0</v>
      </c>
      <c r="K95" s="30">
        <v>2.7</v>
      </c>
      <c r="L95" s="30">
        <v>34.668</v>
      </c>
      <c r="M95" s="30">
        <v>1190.0</v>
      </c>
      <c r="N95" s="30">
        <v>1190.0</v>
      </c>
      <c r="O95" s="30">
        <v>0.0</v>
      </c>
      <c r="P95" s="30">
        <v>0.0</v>
      </c>
      <c r="Q95" s="30">
        <v>59.332</v>
      </c>
    </row>
    <row r="96">
      <c r="A96" s="47">
        <v>1.1240831577E10</v>
      </c>
      <c r="B96" s="48">
        <v>46158.83928240741</v>
      </c>
      <c r="C96" s="30">
        <v>3.854848866E9</v>
      </c>
      <c r="D96" s="47" t="s">
        <v>1509</v>
      </c>
      <c r="E96" s="47">
        <v>7.613033560064E12</v>
      </c>
      <c r="F96" s="47" t="s">
        <v>1523</v>
      </c>
      <c r="G96" s="47" t="s">
        <v>1527</v>
      </c>
      <c r="H96" s="30">
        <v>1.0</v>
      </c>
      <c r="I96" s="30">
        <v>1285.0</v>
      </c>
      <c r="J96" s="30">
        <v>1285.0</v>
      </c>
      <c r="K96" s="30">
        <v>2.7</v>
      </c>
      <c r="L96" s="30">
        <v>34.69500000000001</v>
      </c>
      <c r="M96" s="30">
        <v>1190.0</v>
      </c>
      <c r="N96" s="30">
        <v>1190.0</v>
      </c>
      <c r="O96" s="30">
        <v>0.0</v>
      </c>
      <c r="P96" s="30">
        <v>0.0</v>
      </c>
      <c r="Q96" s="30">
        <v>60.30499999999999</v>
      </c>
    </row>
    <row r="97">
      <c r="A97" s="47">
        <v>1.1241034282E10</v>
      </c>
      <c r="B97" s="48">
        <v>46158.880740740744</v>
      </c>
      <c r="C97" s="30">
        <v>3.854985765E9</v>
      </c>
      <c r="D97" s="47" t="s">
        <v>1509</v>
      </c>
      <c r="E97" s="47">
        <v>7.613032816536E12</v>
      </c>
      <c r="F97" s="47" t="s">
        <v>1523</v>
      </c>
      <c r="G97" s="47" t="s">
        <v>1533</v>
      </c>
      <c r="H97" s="30">
        <v>1.0</v>
      </c>
      <c r="I97" s="30">
        <v>729.0</v>
      </c>
      <c r="J97" s="30">
        <v>729.0</v>
      </c>
      <c r="K97" s="30">
        <v>4.41</v>
      </c>
      <c r="L97" s="30">
        <v>32.148900000000005</v>
      </c>
      <c r="M97" s="30">
        <v>580.0</v>
      </c>
      <c r="N97" s="30">
        <v>580.0</v>
      </c>
      <c r="O97" s="30">
        <v>0.0</v>
      </c>
      <c r="P97" s="30">
        <v>0.0</v>
      </c>
      <c r="Q97" s="30">
        <v>116.8511</v>
      </c>
    </row>
    <row r="98">
      <c r="A98" s="47">
        <v>1.1239627204E10</v>
      </c>
      <c r="B98" s="48">
        <v>46158.57840277778</v>
      </c>
      <c r="C98" s="30">
        <v>3.853874675E9</v>
      </c>
      <c r="D98" s="47" t="s">
        <v>1509</v>
      </c>
      <c r="E98" s="47">
        <v>7.613033560064E12</v>
      </c>
      <c r="F98" s="47" t="s">
        <v>1523</v>
      </c>
      <c r="G98" s="47" t="s">
        <v>1527</v>
      </c>
      <c r="H98" s="30">
        <v>1.0</v>
      </c>
      <c r="I98" s="30">
        <v>1289.0</v>
      </c>
      <c r="J98" s="30">
        <v>1289.0</v>
      </c>
      <c r="K98" s="30">
        <v>2.7</v>
      </c>
      <c r="L98" s="30">
        <v>34.803000000000004</v>
      </c>
      <c r="M98" s="30">
        <v>1190.0</v>
      </c>
      <c r="N98" s="30">
        <v>1190.0</v>
      </c>
      <c r="O98" s="30">
        <v>0.0</v>
      </c>
      <c r="P98" s="30">
        <v>0.0</v>
      </c>
      <c r="Q98" s="30">
        <v>64.197</v>
      </c>
    </row>
    <row r="99">
      <c r="A99" s="47">
        <v>1.1250533459E10</v>
      </c>
      <c r="B99" s="48">
        <v>46161.811840277776</v>
      </c>
      <c r="C99" s="30">
        <v>3.862929998E9</v>
      </c>
      <c r="D99" s="47" t="s">
        <v>1508</v>
      </c>
      <c r="E99" s="47">
        <v>3.18255078458E12</v>
      </c>
      <c r="F99" s="47" t="s">
        <v>1523</v>
      </c>
      <c r="G99" s="47" t="s">
        <v>1536</v>
      </c>
      <c r="H99" s="30">
        <v>1.0</v>
      </c>
      <c r="I99" s="30">
        <v>1614.0</v>
      </c>
      <c r="J99" s="30">
        <v>1614.0</v>
      </c>
      <c r="K99" s="30">
        <v>0.0</v>
      </c>
      <c r="L99" s="30">
        <v>0.0</v>
      </c>
      <c r="M99" s="30">
        <v>1604.0</v>
      </c>
      <c r="N99" s="30">
        <v>1604.0</v>
      </c>
      <c r="O99" s="30">
        <v>0.0</v>
      </c>
      <c r="P99" s="30">
        <v>0.0</v>
      </c>
      <c r="Q99" s="30">
        <v>10.0</v>
      </c>
    </row>
    <row r="100">
      <c r="A100" s="47">
        <v>1.1242219589E10</v>
      </c>
      <c r="B100" s="48">
        <v>46159.127847222226</v>
      </c>
      <c r="C100" s="30">
        <v>3.855900361E9</v>
      </c>
      <c r="D100" s="47" t="s">
        <v>1509</v>
      </c>
      <c r="E100" s="47">
        <v>7.613033560064E12</v>
      </c>
      <c r="F100" s="47" t="s">
        <v>1523</v>
      </c>
      <c r="G100" s="47" t="s">
        <v>1527</v>
      </c>
      <c r="H100" s="30">
        <v>1.0</v>
      </c>
      <c r="I100" s="30">
        <v>1284.0</v>
      </c>
      <c r="J100" s="30">
        <v>1284.0</v>
      </c>
      <c r="K100" s="30">
        <v>2.7</v>
      </c>
      <c r="L100" s="30">
        <v>34.668</v>
      </c>
      <c r="M100" s="30">
        <v>1190.0</v>
      </c>
      <c r="N100" s="30">
        <v>1190.0</v>
      </c>
      <c r="O100" s="30">
        <v>0.0</v>
      </c>
      <c r="P100" s="30">
        <v>0.0</v>
      </c>
      <c r="Q100" s="30">
        <v>59.332</v>
      </c>
    </row>
    <row r="101">
      <c r="A101" s="47">
        <v>1.1240732057E10</v>
      </c>
      <c r="B101" s="48">
        <v>46158.81862268518</v>
      </c>
      <c r="C101" s="30">
        <v>3.854776936E9</v>
      </c>
      <c r="D101" s="47" t="s">
        <v>1509</v>
      </c>
      <c r="E101" s="47">
        <v>7.613033560064E12</v>
      </c>
      <c r="F101" s="47" t="s">
        <v>1523</v>
      </c>
      <c r="G101" s="47" t="s">
        <v>1527</v>
      </c>
      <c r="H101" s="30">
        <v>1.0</v>
      </c>
      <c r="I101" s="30">
        <v>1285.0</v>
      </c>
      <c r="J101" s="30">
        <v>1285.0</v>
      </c>
      <c r="K101" s="30">
        <v>2.7</v>
      </c>
      <c r="L101" s="30">
        <v>34.69500000000001</v>
      </c>
      <c r="M101" s="30">
        <v>1190.0</v>
      </c>
      <c r="N101" s="30">
        <v>1190.0</v>
      </c>
      <c r="O101" s="30">
        <v>0.0</v>
      </c>
      <c r="P101" s="30">
        <v>0.0</v>
      </c>
      <c r="Q101" s="30">
        <v>60.30499999999999</v>
      </c>
    </row>
    <row r="102">
      <c r="A102" s="47">
        <v>1.1242662776E10</v>
      </c>
      <c r="B102" s="48">
        <v>46159.540300925924</v>
      </c>
      <c r="C102" s="30">
        <v>3.856313893E9</v>
      </c>
      <c r="D102" s="47" t="s">
        <v>1509</v>
      </c>
      <c r="E102" s="47">
        <v>8.410650239156E12</v>
      </c>
      <c r="F102" s="47" t="s">
        <v>1523</v>
      </c>
      <c r="G102" s="47" t="s">
        <v>1530</v>
      </c>
      <c r="H102" s="30">
        <v>1.0</v>
      </c>
      <c r="I102" s="30">
        <v>1728.0</v>
      </c>
      <c r="J102" s="30">
        <v>1728.0</v>
      </c>
      <c r="K102" s="30">
        <v>11.61</v>
      </c>
      <c r="L102" s="30">
        <v>200.62079999999997</v>
      </c>
      <c r="M102" s="30">
        <v>1260.0</v>
      </c>
      <c r="N102" s="30">
        <v>1260.0</v>
      </c>
      <c r="O102" s="30">
        <v>0.0</v>
      </c>
      <c r="P102" s="30">
        <v>0.0</v>
      </c>
      <c r="Q102" s="30">
        <v>267.3792</v>
      </c>
    </row>
    <row r="103">
      <c r="A103" s="47">
        <v>1.1250512112E10</v>
      </c>
      <c r="B103" s="48">
        <v>46161.8074537037</v>
      </c>
      <c r="C103" s="30">
        <v>3.86291661E9</v>
      </c>
      <c r="D103" s="47" t="s">
        <v>1508</v>
      </c>
      <c r="E103" s="47">
        <v>8.005852171108E12</v>
      </c>
      <c r="F103" s="47" t="s">
        <v>1523</v>
      </c>
      <c r="G103" s="47" t="s">
        <v>1528</v>
      </c>
      <c r="H103" s="30">
        <v>1.0</v>
      </c>
      <c r="I103" s="30">
        <v>175.0</v>
      </c>
      <c r="J103" s="30">
        <v>175.0</v>
      </c>
      <c r="K103" s="30">
        <v>16.5</v>
      </c>
      <c r="L103" s="30">
        <v>28.875</v>
      </c>
      <c r="M103" s="30">
        <v>0.0</v>
      </c>
      <c r="N103" s="30">
        <v>0.0</v>
      </c>
      <c r="O103" s="30">
        <v>0.0</v>
      </c>
      <c r="P103" s="30">
        <v>0.0</v>
      </c>
      <c r="Q103" s="30">
        <v>146.125</v>
      </c>
    </row>
    <row r="104">
      <c r="A104" s="47">
        <v>1.1241567041E10</v>
      </c>
      <c r="B104" s="48">
        <v>46158.988032407404</v>
      </c>
      <c r="C104" s="30">
        <v>3.855343482E9</v>
      </c>
      <c r="D104" s="47" t="s">
        <v>1509</v>
      </c>
      <c r="E104" s="47">
        <v>7.613035846708E12</v>
      </c>
      <c r="F104" s="47" t="s">
        <v>1523</v>
      </c>
      <c r="G104" s="47" t="s">
        <v>1535</v>
      </c>
      <c r="H104" s="30">
        <v>1.0</v>
      </c>
      <c r="I104" s="30">
        <v>1266.9</v>
      </c>
      <c r="J104" s="30">
        <v>1266.9</v>
      </c>
      <c r="K104" s="30">
        <v>4.5</v>
      </c>
      <c r="L104" s="30">
        <v>57.0105</v>
      </c>
      <c r="M104" s="30">
        <v>1160.0</v>
      </c>
      <c r="N104" s="30">
        <v>1160.0</v>
      </c>
      <c r="O104" s="30">
        <v>0.0</v>
      </c>
      <c r="P104" s="30">
        <v>0.0</v>
      </c>
      <c r="Q104" s="30">
        <v>49.88950000000009</v>
      </c>
    </row>
    <row r="105">
      <c r="A105" s="47">
        <v>1.1243129532E10</v>
      </c>
      <c r="B105" s="48">
        <v>46159.66832175926</v>
      </c>
      <c r="C105" s="30">
        <v>3.856704302E9</v>
      </c>
      <c r="D105" s="47" t="s">
        <v>1509</v>
      </c>
      <c r="E105" s="47">
        <v>7.613031680992E12</v>
      </c>
      <c r="F105" s="47" t="s">
        <v>1523</v>
      </c>
      <c r="G105" s="47" t="s">
        <v>1541</v>
      </c>
      <c r="H105" s="30">
        <v>1.0</v>
      </c>
      <c r="I105" s="30">
        <v>768.0</v>
      </c>
      <c r="J105" s="30">
        <v>768.0</v>
      </c>
      <c r="K105" s="30">
        <v>3.69</v>
      </c>
      <c r="L105" s="30">
        <v>28.3392</v>
      </c>
      <c r="M105" s="30">
        <v>580.0</v>
      </c>
      <c r="N105" s="30">
        <v>580.0</v>
      </c>
      <c r="O105" s="30">
        <v>0.0</v>
      </c>
      <c r="P105" s="30">
        <v>0.0</v>
      </c>
      <c r="Q105" s="30">
        <v>159.6608</v>
      </c>
    </row>
    <row r="106">
      <c r="A106" s="47">
        <v>1.1242308322E10</v>
      </c>
      <c r="B106" s="48">
        <v>46159.153969907406</v>
      </c>
      <c r="C106" s="30">
        <v>3.855977695E9</v>
      </c>
      <c r="D106" s="47" t="s">
        <v>1509</v>
      </c>
      <c r="E106" s="47" t="s">
        <v>356</v>
      </c>
      <c r="F106" s="47" t="s">
        <v>1523</v>
      </c>
      <c r="G106" s="47" t="s">
        <v>1532</v>
      </c>
      <c r="H106" s="30">
        <v>1.0</v>
      </c>
      <c r="I106" s="30">
        <v>729.0</v>
      </c>
      <c r="J106" s="30">
        <v>729.0</v>
      </c>
      <c r="K106" s="30">
        <v>4.95</v>
      </c>
      <c r="L106" s="30">
        <v>36.0855</v>
      </c>
      <c r="M106" s="30">
        <v>580.0</v>
      </c>
      <c r="N106" s="30">
        <v>580.0</v>
      </c>
      <c r="O106" s="30">
        <v>0.0</v>
      </c>
      <c r="P106" s="30">
        <v>0.0</v>
      </c>
      <c r="Q106" s="30">
        <v>112.9145</v>
      </c>
    </row>
    <row r="107">
      <c r="A107" s="47">
        <v>1.1243815809E10</v>
      </c>
      <c r="B107" s="48">
        <v>46159.80613425926</v>
      </c>
      <c r="C107" s="30">
        <v>3.857233645E9</v>
      </c>
      <c r="D107" s="47" t="s">
        <v>1510</v>
      </c>
      <c r="E107" s="47">
        <v>8.684501941837E12</v>
      </c>
      <c r="F107" s="47" t="s">
        <v>289</v>
      </c>
      <c r="G107" s="47" t="s">
        <v>1543</v>
      </c>
      <c r="H107" s="30">
        <v>1.0</v>
      </c>
      <c r="I107" s="30">
        <v>174.99</v>
      </c>
      <c r="J107" s="30">
        <v>174.99</v>
      </c>
      <c r="K107" s="30">
        <v>18.0</v>
      </c>
      <c r="L107" s="30">
        <v>31.4982</v>
      </c>
      <c r="M107" s="30">
        <v>53.0</v>
      </c>
      <c r="N107" s="30">
        <v>53.0</v>
      </c>
      <c r="O107" s="30">
        <v>0.0</v>
      </c>
      <c r="P107" s="30">
        <v>0.0</v>
      </c>
      <c r="Q107" s="30">
        <v>90.49180000000001</v>
      </c>
    </row>
    <row r="108">
      <c r="A108" s="47">
        <v>1.1243815809E10</v>
      </c>
      <c r="B108" s="48">
        <v>46159.80613425926</v>
      </c>
      <c r="C108" s="30">
        <v>3.857233645E9</v>
      </c>
      <c r="D108" s="47" t="s">
        <v>1510</v>
      </c>
      <c r="E108" s="47">
        <v>8.684501941813E12</v>
      </c>
      <c r="F108" s="47" t="s">
        <v>287</v>
      </c>
      <c r="G108" s="47" t="s">
        <v>1547</v>
      </c>
      <c r="H108" s="30">
        <v>1.0</v>
      </c>
      <c r="I108" s="30">
        <v>175.0</v>
      </c>
      <c r="J108" s="30">
        <v>175.0</v>
      </c>
      <c r="K108" s="30">
        <v>18.0</v>
      </c>
      <c r="L108" s="30">
        <v>31.5</v>
      </c>
      <c r="M108" s="30">
        <v>53.0</v>
      </c>
      <c r="N108" s="30">
        <v>53.0</v>
      </c>
      <c r="O108" s="30">
        <v>0.0</v>
      </c>
      <c r="P108" s="30">
        <v>0.0</v>
      </c>
      <c r="Q108" s="30">
        <v>90.5</v>
      </c>
    </row>
    <row r="109">
      <c r="A109" s="47">
        <v>1.1243815809E10</v>
      </c>
      <c r="B109" s="48">
        <v>46159.80613425926</v>
      </c>
      <c r="C109" s="30">
        <v>3.857233645E9</v>
      </c>
      <c r="D109" s="47" t="s">
        <v>1510</v>
      </c>
      <c r="E109" s="47">
        <v>7.613033560064E12</v>
      </c>
      <c r="F109" s="47" t="s">
        <v>1523</v>
      </c>
      <c r="G109" s="47" t="s">
        <v>1527</v>
      </c>
      <c r="H109" s="30">
        <v>1.0</v>
      </c>
      <c r="I109" s="30">
        <v>1281.0</v>
      </c>
      <c r="J109" s="30">
        <v>1281.0</v>
      </c>
      <c r="K109" s="30">
        <v>2.7</v>
      </c>
      <c r="L109" s="30">
        <v>34.587</v>
      </c>
      <c r="M109" s="30">
        <v>1190.0</v>
      </c>
      <c r="N109" s="30">
        <v>1190.0</v>
      </c>
      <c r="O109" s="30">
        <v>0.0</v>
      </c>
      <c r="P109" s="30">
        <v>0.0</v>
      </c>
      <c r="Q109" s="30">
        <v>56.413</v>
      </c>
    </row>
    <row r="110">
      <c r="A110" s="47">
        <v>1.1239543715E10</v>
      </c>
      <c r="B110" s="48">
        <v>46158.55196759259</v>
      </c>
      <c r="C110" s="30">
        <v>3.853797142E9</v>
      </c>
      <c r="D110" s="47" t="s">
        <v>1509</v>
      </c>
      <c r="E110" s="47" t="s">
        <v>411</v>
      </c>
      <c r="F110" s="47" t="s">
        <v>1523</v>
      </c>
      <c r="G110" s="47" t="s">
        <v>1531</v>
      </c>
      <c r="H110" s="30">
        <v>3.0</v>
      </c>
      <c r="I110" s="30">
        <v>768.0</v>
      </c>
      <c r="J110" s="30">
        <v>2304.0</v>
      </c>
      <c r="K110" s="30">
        <v>4.95</v>
      </c>
      <c r="L110" s="30">
        <v>114.04800000000002</v>
      </c>
      <c r="M110" s="30">
        <v>580.0</v>
      </c>
      <c r="N110" s="30">
        <v>1740.0</v>
      </c>
      <c r="O110" s="30">
        <v>0.0</v>
      </c>
      <c r="P110" s="30">
        <v>0.0</v>
      </c>
      <c r="Q110" s="30">
        <v>449.952</v>
      </c>
    </row>
    <row r="111">
      <c r="A111" s="47">
        <v>1.1242106375E10</v>
      </c>
      <c r="B111" s="48">
        <v>46159.09984953704</v>
      </c>
      <c r="C111" s="30">
        <v>3.855796021E9</v>
      </c>
      <c r="D111" s="47" t="s">
        <v>1509</v>
      </c>
      <c r="E111" s="47">
        <v>7.613033560064E12</v>
      </c>
      <c r="F111" s="47" t="s">
        <v>1523</v>
      </c>
      <c r="G111" s="47" t="s">
        <v>1527</v>
      </c>
      <c r="H111" s="30">
        <v>1.0</v>
      </c>
      <c r="I111" s="30">
        <v>1284.0</v>
      </c>
      <c r="J111" s="30">
        <v>1284.0</v>
      </c>
      <c r="K111" s="30">
        <v>2.7</v>
      </c>
      <c r="L111" s="30">
        <v>34.668</v>
      </c>
      <c r="M111" s="30">
        <v>1190.0</v>
      </c>
      <c r="N111" s="30">
        <v>1190.0</v>
      </c>
      <c r="O111" s="30">
        <v>0.0</v>
      </c>
      <c r="P111" s="30">
        <v>0.0</v>
      </c>
      <c r="Q111" s="30">
        <v>59.332</v>
      </c>
    </row>
    <row r="112">
      <c r="A112" s="47">
        <v>1.1238761463E10</v>
      </c>
      <c r="B112" s="48">
        <v>46158.05503472222</v>
      </c>
      <c r="C112" s="30">
        <v>3.85303595E9</v>
      </c>
      <c r="D112" s="47" t="s">
        <v>1509</v>
      </c>
      <c r="E112" s="47">
        <v>7.613033560064E12</v>
      </c>
      <c r="F112" s="47" t="s">
        <v>1523</v>
      </c>
      <c r="G112" s="47" t="s">
        <v>1527</v>
      </c>
      <c r="H112" s="30">
        <v>1.0</v>
      </c>
      <c r="I112" s="30">
        <v>1291.0</v>
      </c>
      <c r="J112" s="30">
        <v>1291.0</v>
      </c>
      <c r="K112" s="30">
        <v>2.7</v>
      </c>
      <c r="L112" s="30">
        <v>34.857</v>
      </c>
      <c r="M112" s="30">
        <v>1190.0</v>
      </c>
      <c r="N112" s="30">
        <v>1190.0</v>
      </c>
      <c r="O112" s="30">
        <v>0.0</v>
      </c>
      <c r="P112" s="30">
        <v>0.0</v>
      </c>
      <c r="Q112" s="30">
        <v>66.143</v>
      </c>
    </row>
    <row r="113">
      <c r="A113" s="47">
        <v>1.1239923389E10</v>
      </c>
      <c r="B113" s="48">
        <v>46158.65113425926</v>
      </c>
      <c r="C113" s="30">
        <v>3.854138884E9</v>
      </c>
      <c r="D113" s="47" t="s">
        <v>1509</v>
      </c>
      <c r="E113" s="47" t="s">
        <v>356</v>
      </c>
      <c r="F113" s="47" t="s">
        <v>1523</v>
      </c>
      <c r="G113" s="47" t="s">
        <v>1532</v>
      </c>
      <c r="H113" s="30">
        <v>1.0</v>
      </c>
      <c r="I113" s="30">
        <v>729.0</v>
      </c>
      <c r="J113" s="30">
        <v>729.0</v>
      </c>
      <c r="K113" s="30">
        <v>4.95</v>
      </c>
      <c r="L113" s="30">
        <v>36.0855</v>
      </c>
      <c r="M113" s="30">
        <v>580.0</v>
      </c>
      <c r="N113" s="30">
        <v>580.0</v>
      </c>
      <c r="O113" s="30">
        <v>0.0</v>
      </c>
      <c r="P113" s="30">
        <v>0.0</v>
      </c>
      <c r="Q113" s="30">
        <v>112.9145</v>
      </c>
    </row>
    <row r="114">
      <c r="A114" s="47">
        <v>1.1239503578E10</v>
      </c>
      <c r="B114" s="48">
        <v>46158.53743055555</v>
      </c>
      <c r="C114" s="30">
        <v>3.853758434E9</v>
      </c>
      <c r="D114" s="47" t="s">
        <v>1509</v>
      </c>
      <c r="E114" s="47">
        <v>7.613033560064E12</v>
      </c>
      <c r="F114" s="47" t="s">
        <v>1523</v>
      </c>
      <c r="G114" s="47" t="s">
        <v>1527</v>
      </c>
      <c r="H114" s="30">
        <v>1.0</v>
      </c>
      <c r="I114" s="30">
        <v>1289.0</v>
      </c>
      <c r="J114" s="30">
        <v>1289.0</v>
      </c>
      <c r="K114" s="30">
        <v>2.7</v>
      </c>
      <c r="L114" s="30">
        <v>34.803000000000004</v>
      </c>
      <c r="M114" s="30">
        <v>1190.0</v>
      </c>
      <c r="N114" s="30">
        <v>1190.0</v>
      </c>
      <c r="O114" s="30">
        <v>0.0</v>
      </c>
      <c r="P114" s="30">
        <v>0.0</v>
      </c>
      <c r="Q114" s="30">
        <v>64.197</v>
      </c>
    </row>
    <row r="115">
      <c r="A115" s="47">
        <v>1.1239776876E10</v>
      </c>
      <c r="B115" s="48">
        <v>46158.61739583333</v>
      </c>
      <c r="C115" s="30">
        <v>3.854011877E9</v>
      </c>
      <c r="D115" s="47" t="s">
        <v>1509</v>
      </c>
      <c r="E115" s="47">
        <v>7.613032816536E12</v>
      </c>
      <c r="F115" s="47" t="s">
        <v>1523</v>
      </c>
      <c r="G115" s="47" t="s">
        <v>1533</v>
      </c>
      <c r="H115" s="30">
        <v>1.0</v>
      </c>
      <c r="I115" s="30">
        <v>729.0</v>
      </c>
      <c r="J115" s="30">
        <v>729.0</v>
      </c>
      <c r="K115" s="30">
        <v>4.41</v>
      </c>
      <c r="L115" s="30">
        <v>32.148900000000005</v>
      </c>
      <c r="M115" s="30">
        <v>580.0</v>
      </c>
      <c r="N115" s="30">
        <v>580.0</v>
      </c>
      <c r="O115" s="30">
        <v>0.0</v>
      </c>
      <c r="P115" s="30">
        <v>0.0</v>
      </c>
      <c r="Q115" s="30">
        <v>116.8511</v>
      </c>
    </row>
    <row r="116">
      <c r="A116" s="47">
        <v>1.1243880494E10</v>
      </c>
      <c r="B116" s="48">
        <v>46159.81859953704</v>
      </c>
      <c r="C116" s="30">
        <v>3.857280156E9</v>
      </c>
      <c r="D116" s="47" t="s">
        <v>1509</v>
      </c>
      <c r="E116" s="47">
        <v>7.613033560064E12</v>
      </c>
      <c r="F116" s="47" t="s">
        <v>1523</v>
      </c>
      <c r="G116" s="47" t="s">
        <v>1527</v>
      </c>
      <c r="H116" s="30">
        <v>1.0</v>
      </c>
      <c r="I116" s="30">
        <v>1281.0</v>
      </c>
      <c r="J116" s="30">
        <v>1281.0</v>
      </c>
      <c r="K116" s="30">
        <v>2.7</v>
      </c>
      <c r="L116" s="30">
        <v>34.587</v>
      </c>
      <c r="M116" s="30">
        <v>1190.0</v>
      </c>
      <c r="N116" s="30">
        <v>1190.0</v>
      </c>
      <c r="O116" s="30">
        <v>0.0</v>
      </c>
      <c r="P116" s="30">
        <v>0.0</v>
      </c>
      <c r="Q116" s="30">
        <v>56.413</v>
      </c>
    </row>
    <row r="117">
      <c r="A117" s="47">
        <v>1.1250431793E10</v>
      </c>
      <c r="B117" s="48">
        <v>46161.79099537037</v>
      </c>
      <c r="C117" s="30">
        <v>3.862856805E9</v>
      </c>
      <c r="D117" s="47" t="s">
        <v>1508</v>
      </c>
      <c r="E117" s="47">
        <v>1.10201908E8</v>
      </c>
      <c r="F117" s="47" t="s">
        <v>1523</v>
      </c>
      <c r="G117" s="47" t="s">
        <v>1548</v>
      </c>
      <c r="H117" s="30">
        <v>1.0</v>
      </c>
      <c r="I117" s="30">
        <v>1450.0</v>
      </c>
      <c r="J117" s="30">
        <v>1450.0</v>
      </c>
      <c r="K117" s="30">
        <v>16.5</v>
      </c>
      <c r="L117" s="30">
        <v>239.25</v>
      </c>
      <c r="M117" s="30">
        <v>0.0</v>
      </c>
      <c r="N117" s="30">
        <v>0.0</v>
      </c>
      <c r="O117" s="30">
        <v>0.0</v>
      </c>
      <c r="P117" s="30">
        <v>0.0</v>
      </c>
      <c r="Q117" s="30">
        <v>1210.75</v>
      </c>
    </row>
    <row r="118">
      <c r="A118" s="47">
        <v>1.124410506E10</v>
      </c>
      <c r="B118" s="48">
        <v>46159.86130787037</v>
      </c>
      <c r="C118" s="30">
        <v>3.857429979E9</v>
      </c>
      <c r="D118" s="47" t="s">
        <v>1509</v>
      </c>
      <c r="E118" s="47">
        <v>7.613032816536E12</v>
      </c>
      <c r="F118" s="47" t="s">
        <v>1523</v>
      </c>
      <c r="G118" s="47" t="s">
        <v>1549</v>
      </c>
      <c r="H118" s="30">
        <v>3.0</v>
      </c>
      <c r="I118" s="30">
        <v>729.0</v>
      </c>
      <c r="J118" s="30">
        <v>2187.0</v>
      </c>
      <c r="K118" s="30">
        <v>4.41</v>
      </c>
      <c r="L118" s="30">
        <v>96.4467</v>
      </c>
      <c r="M118" s="30">
        <v>580.0</v>
      </c>
      <c r="N118" s="30">
        <v>1740.0</v>
      </c>
      <c r="O118" s="30">
        <v>0.0</v>
      </c>
      <c r="P118" s="30">
        <v>0.0</v>
      </c>
      <c r="Q118" s="30">
        <v>350.5533</v>
      </c>
    </row>
    <row r="119">
      <c r="A119" s="47">
        <v>1.1243199807E10</v>
      </c>
      <c r="B119" s="48">
        <v>46159.68284722222</v>
      </c>
      <c r="C119" s="30">
        <v>3.856760978E9</v>
      </c>
      <c r="D119" s="47" t="s">
        <v>1509</v>
      </c>
      <c r="E119" s="47">
        <v>7.613033560064E12</v>
      </c>
      <c r="F119" s="47" t="s">
        <v>1523</v>
      </c>
      <c r="G119" s="47" t="s">
        <v>1527</v>
      </c>
      <c r="H119" s="30">
        <v>1.0</v>
      </c>
      <c r="I119" s="30">
        <v>1282.0</v>
      </c>
      <c r="J119" s="30">
        <v>1282.0</v>
      </c>
      <c r="K119" s="30">
        <v>2.7</v>
      </c>
      <c r="L119" s="30">
        <v>34.614000000000004</v>
      </c>
      <c r="M119" s="30">
        <v>1190.0</v>
      </c>
      <c r="N119" s="30">
        <v>1190.0</v>
      </c>
      <c r="O119" s="30">
        <v>0.0</v>
      </c>
      <c r="P119" s="30">
        <v>0.0</v>
      </c>
      <c r="Q119" s="30">
        <v>57.385999999999996</v>
      </c>
    </row>
    <row r="120">
      <c r="A120" s="47">
        <v>1.1242167513E10</v>
      </c>
      <c r="B120" s="48">
        <v>46159.11436342593</v>
      </c>
      <c r="C120" s="30">
        <v>3.855851924E9</v>
      </c>
      <c r="D120" s="47" t="s">
        <v>1509</v>
      </c>
      <c r="E120" s="47">
        <v>7.613033560064E12</v>
      </c>
      <c r="F120" s="47" t="s">
        <v>1523</v>
      </c>
      <c r="G120" s="47" t="s">
        <v>1527</v>
      </c>
      <c r="H120" s="30">
        <v>1.0</v>
      </c>
      <c r="I120" s="30">
        <v>1284.0</v>
      </c>
      <c r="J120" s="30">
        <v>1284.0</v>
      </c>
      <c r="K120" s="30">
        <v>2.7</v>
      </c>
      <c r="L120" s="30">
        <v>34.668</v>
      </c>
      <c r="M120" s="30">
        <v>1190.0</v>
      </c>
      <c r="N120" s="30">
        <v>1190.0</v>
      </c>
      <c r="O120" s="30">
        <v>0.0</v>
      </c>
      <c r="P120" s="30">
        <v>0.0</v>
      </c>
      <c r="Q120" s="30">
        <v>59.332</v>
      </c>
    </row>
    <row r="121">
      <c r="A121" s="47">
        <v>1.1241900869E10</v>
      </c>
      <c r="B121" s="48">
        <v>46159.055243055554</v>
      </c>
      <c r="C121" s="30">
        <v>3.855613705E9</v>
      </c>
      <c r="D121" s="47" t="s">
        <v>1509</v>
      </c>
      <c r="E121" s="47">
        <v>7.613035846708E12</v>
      </c>
      <c r="F121" s="47" t="s">
        <v>1523</v>
      </c>
      <c r="G121" s="47" t="s">
        <v>1535</v>
      </c>
      <c r="H121" s="30">
        <v>1.0</v>
      </c>
      <c r="I121" s="30">
        <v>1266.9</v>
      </c>
      <c r="J121" s="30">
        <v>1266.9</v>
      </c>
      <c r="K121" s="30">
        <v>4.5</v>
      </c>
      <c r="L121" s="30">
        <v>57.0105</v>
      </c>
      <c r="M121" s="30">
        <v>1160.0</v>
      </c>
      <c r="N121" s="30">
        <v>1160.0</v>
      </c>
      <c r="O121" s="30">
        <v>0.0</v>
      </c>
      <c r="P121" s="30">
        <v>0.0</v>
      </c>
      <c r="Q121" s="30">
        <v>49.88950000000009</v>
      </c>
    </row>
    <row r="122">
      <c r="A122" s="47">
        <v>1.1245357298E10</v>
      </c>
      <c r="B122" s="48">
        <v>46160.08804398148</v>
      </c>
      <c r="C122" s="30">
        <v>3.858398367E9</v>
      </c>
      <c r="D122" s="47" t="s">
        <v>1509</v>
      </c>
      <c r="E122" s="47">
        <v>7.613032816536E12</v>
      </c>
      <c r="F122" s="47" t="s">
        <v>1523</v>
      </c>
      <c r="G122" s="47" t="s">
        <v>1533</v>
      </c>
      <c r="H122" s="30">
        <v>1.0</v>
      </c>
      <c r="I122" s="30">
        <v>729.0</v>
      </c>
      <c r="J122" s="30">
        <v>729.0</v>
      </c>
      <c r="K122" s="30">
        <v>4.41</v>
      </c>
      <c r="L122" s="30">
        <v>32.148900000000005</v>
      </c>
      <c r="M122" s="30">
        <v>580.0</v>
      </c>
      <c r="N122" s="30">
        <v>580.0</v>
      </c>
      <c r="O122" s="30">
        <v>0.0</v>
      </c>
      <c r="P122" s="30">
        <v>0.0</v>
      </c>
      <c r="Q122" s="30">
        <v>116.8511</v>
      </c>
    </row>
    <row r="123">
      <c r="A123" s="47">
        <v>1.1250397668E10</v>
      </c>
      <c r="B123" s="48">
        <v>46161.784108796295</v>
      </c>
      <c r="C123" s="30">
        <v>3.862831606E9</v>
      </c>
      <c r="D123" s="47" t="s">
        <v>1508</v>
      </c>
      <c r="E123" s="47">
        <v>7.613032816536E12</v>
      </c>
      <c r="F123" s="47" t="s">
        <v>1523</v>
      </c>
      <c r="G123" s="47" t="s">
        <v>1533</v>
      </c>
      <c r="H123" s="30">
        <v>1.0</v>
      </c>
      <c r="I123" s="30">
        <v>850.0</v>
      </c>
      <c r="J123" s="30">
        <v>850.0</v>
      </c>
      <c r="K123" s="30">
        <v>13.5</v>
      </c>
      <c r="L123" s="30">
        <v>114.75</v>
      </c>
      <c r="M123" s="30">
        <v>580.0</v>
      </c>
      <c r="N123" s="30">
        <v>580.0</v>
      </c>
      <c r="O123" s="30">
        <v>0.0</v>
      </c>
      <c r="P123" s="30">
        <v>0.0</v>
      </c>
      <c r="Q123" s="30">
        <v>155.25</v>
      </c>
    </row>
    <row r="124">
      <c r="A124" s="47">
        <v>1.1250386791E10</v>
      </c>
      <c r="B124" s="48">
        <v>46161.78178240741</v>
      </c>
      <c r="C124" s="30">
        <v>3.862820942E9</v>
      </c>
      <c r="D124" s="47" t="s">
        <v>1508</v>
      </c>
      <c r="E124" s="47">
        <v>1.172022022E9</v>
      </c>
      <c r="F124" s="47" t="s">
        <v>1523</v>
      </c>
      <c r="G124" s="47" t="s">
        <v>1550</v>
      </c>
      <c r="H124" s="30">
        <v>1.0</v>
      </c>
      <c r="I124" s="30">
        <v>855.0</v>
      </c>
      <c r="J124" s="30">
        <v>855.0</v>
      </c>
      <c r="K124" s="30">
        <v>12.5</v>
      </c>
      <c r="L124" s="30">
        <v>106.875</v>
      </c>
      <c r="M124" s="30">
        <v>0.0</v>
      </c>
      <c r="N124" s="30">
        <v>0.0</v>
      </c>
      <c r="O124" s="30">
        <v>0.0</v>
      </c>
      <c r="P124" s="30">
        <v>0.0</v>
      </c>
      <c r="Q124" s="30">
        <v>748.125</v>
      </c>
    </row>
    <row r="125">
      <c r="A125" s="47">
        <v>1.1240375E10</v>
      </c>
      <c r="B125" s="48">
        <v>46158.74381944445</v>
      </c>
      <c r="C125" s="30">
        <v>3.854510412E9</v>
      </c>
      <c r="D125" s="47" t="s">
        <v>1509</v>
      </c>
      <c r="E125" s="47" t="s">
        <v>356</v>
      </c>
      <c r="F125" s="47" t="s">
        <v>1523</v>
      </c>
      <c r="G125" s="47" t="s">
        <v>1532</v>
      </c>
      <c r="H125" s="30">
        <v>1.0</v>
      </c>
      <c r="I125" s="30">
        <v>729.0</v>
      </c>
      <c r="J125" s="30">
        <v>729.0</v>
      </c>
      <c r="K125" s="30">
        <v>4.95</v>
      </c>
      <c r="L125" s="30">
        <v>36.0855</v>
      </c>
      <c r="M125" s="30">
        <v>580.0</v>
      </c>
      <c r="N125" s="30">
        <v>580.0</v>
      </c>
      <c r="O125" s="30">
        <v>0.0</v>
      </c>
      <c r="P125" s="30">
        <v>0.0</v>
      </c>
      <c r="Q125" s="30">
        <v>112.9145</v>
      </c>
    </row>
    <row r="126">
      <c r="A126" s="47">
        <v>1.1239539717E10</v>
      </c>
      <c r="B126" s="48">
        <v>46158.55056712963</v>
      </c>
      <c r="C126" s="30">
        <v>3.853793654E9</v>
      </c>
      <c r="D126" s="47" t="s">
        <v>1509</v>
      </c>
      <c r="E126" s="47">
        <v>7.613035846708E12</v>
      </c>
      <c r="F126" s="47" t="s">
        <v>1523</v>
      </c>
      <c r="G126" s="47" t="s">
        <v>1535</v>
      </c>
      <c r="H126" s="30">
        <v>1.0</v>
      </c>
      <c r="I126" s="30">
        <v>1267.9</v>
      </c>
      <c r="J126" s="30">
        <v>1267.9</v>
      </c>
      <c r="K126" s="30">
        <v>4.5</v>
      </c>
      <c r="L126" s="30">
        <v>57.0555</v>
      </c>
      <c r="M126" s="30">
        <v>1160.0</v>
      </c>
      <c r="N126" s="30">
        <v>1160.0</v>
      </c>
      <c r="O126" s="30">
        <v>0.0</v>
      </c>
      <c r="P126" s="30">
        <v>0.0</v>
      </c>
      <c r="Q126" s="30">
        <v>50.84450000000009</v>
      </c>
    </row>
    <row r="127">
      <c r="A127" s="47">
        <v>1.1240055381E10</v>
      </c>
      <c r="B127" s="48">
        <v>46158.67831018518</v>
      </c>
      <c r="C127" s="30">
        <v>3.854251285E9</v>
      </c>
      <c r="D127" s="47" t="s">
        <v>1509</v>
      </c>
      <c r="E127" s="47">
        <v>7.613033560064E12</v>
      </c>
      <c r="F127" s="47" t="s">
        <v>1523</v>
      </c>
      <c r="G127" s="47" t="s">
        <v>1527</v>
      </c>
      <c r="H127" s="30">
        <v>1.0</v>
      </c>
      <c r="I127" s="30">
        <v>1287.0</v>
      </c>
      <c r="J127" s="30">
        <v>1287.0</v>
      </c>
      <c r="K127" s="30">
        <v>2.7</v>
      </c>
      <c r="L127" s="30">
        <v>34.749</v>
      </c>
      <c r="M127" s="30">
        <v>1190.0</v>
      </c>
      <c r="N127" s="30">
        <v>1190.0</v>
      </c>
      <c r="O127" s="30">
        <v>0.0</v>
      </c>
      <c r="P127" s="30">
        <v>0.0</v>
      </c>
      <c r="Q127" s="30">
        <v>62.251</v>
      </c>
    </row>
    <row r="128">
      <c r="A128" s="47">
        <v>1.1241582882E10</v>
      </c>
      <c r="B128" s="48">
        <v>46158.99086805555</v>
      </c>
      <c r="C128" s="30">
        <v>3.855354047E9</v>
      </c>
      <c r="D128" s="47" t="s">
        <v>1509</v>
      </c>
      <c r="E128" s="47">
        <v>7.613033560064E12</v>
      </c>
      <c r="F128" s="47" t="s">
        <v>1523</v>
      </c>
      <c r="G128" s="47" t="s">
        <v>1527</v>
      </c>
      <c r="H128" s="30">
        <v>1.0</v>
      </c>
      <c r="I128" s="30">
        <v>1284.0</v>
      </c>
      <c r="J128" s="30">
        <v>1284.0</v>
      </c>
      <c r="K128" s="30">
        <v>2.7</v>
      </c>
      <c r="L128" s="30">
        <v>34.668</v>
      </c>
      <c r="M128" s="30">
        <v>1190.0</v>
      </c>
      <c r="N128" s="30">
        <v>1190.0</v>
      </c>
      <c r="O128" s="30">
        <v>0.0</v>
      </c>
      <c r="P128" s="30">
        <v>0.0</v>
      </c>
      <c r="Q128" s="30">
        <v>59.332</v>
      </c>
    </row>
    <row r="129">
      <c r="A129" s="47">
        <v>1.1243546358E10</v>
      </c>
      <c r="B129" s="48">
        <v>46159.75335648148</v>
      </c>
      <c r="C129" s="30">
        <v>3.857035891E9</v>
      </c>
      <c r="D129" s="47" t="s">
        <v>1509</v>
      </c>
      <c r="E129" s="47" t="s">
        <v>356</v>
      </c>
      <c r="F129" s="47" t="s">
        <v>1523</v>
      </c>
      <c r="G129" s="47" t="s">
        <v>1532</v>
      </c>
      <c r="H129" s="30">
        <v>2.0</v>
      </c>
      <c r="I129" s="30">
        <v>729.0</v>
      </c>
      <c r="J129" s="30">
        <v>1458.0</v>
      </c>
      <c r="K129" s="30">
        <v>4.95</v>
      </c>
      <c r="L129" s="30">
        <v>72.171</v>
      </c>
      <c r="M129" s="30">
        <v>580.0</v>
      </c>
      <c r="N129" s="30">
        <v>1160.0</v>
      </c>
      <c r="O129" s="30">
        <v>0.0</v>
      </c>
      <c r="P129" s="30">
        <v>0.0</v>
      </c>
      <c r="Q129" s="30">
        <v>225.829</v>
      </c>
    </row>
    <row r="130">
      <c r="A130" s="47">
        <v>1.1244430023E10</v>
      </c>
      <c r="B130" s="48">
        <v>46159.92060185185</v>
      </c>
      <c r="C130" s="30">
        <v>3.857644375E9</v>
      </c>
      <c r="D130" s="47" t="s">
        <v>1509</v>
      </c>
      <c r="E130" s="47" t="s">
        <v>356</v>
      </c>
      <c r="F130" s="47" t="s">
        <v>1523</v>
      </c>
      <c r="G130" s="47" t="s">
        <v>1532</v>
      </c>
      <c r="H130" s="30">
        <v>1.0</v>
      </c>
      <c r="I130" s="30">
        <v>729.0</v>
      </c>
      <c r="J130" s="30">
        <v>729.0</v>
      </c>
      <c r="K130" s="30">
        <v>4.95</v>
      </c>
      <c r="L130" s="30">
        <v>36.0855</v>
      </c>
      <c r="M130" s="30">
        <v>580.0</v>
      </c>
      <c r="N130" s="30">
        <v>580.0</v>
      </c>
      <c r="O130" s="30">
        <v>0.0</v>
      </c>
      <c r="P130" s="30">
        <v>0.0</v>
      </c>
      <c r="Q130" s="30">
        <v>112.9145</v>
      </c>
    </row>
    <row r="131">
      <c r="A131" s="47">
        <v>1.1240500008E10</v>
      </c>
      <c r="B131" s="48">
        <v>46158.769780092596</v>
      </c>
      <c r="C131" s="30">
        <v>3.854604342E9</v>
      </c>
      <c r="D131" s="47" t="s">
        <v>1509</v>
      </c>
      <c r="E131" s="47">
        <v>7.613033560064E12</v>
      </c>
      <c r="F131" s="47" t="s">
        <v>1523</v>
      </c>
      <c r="G131" s="47" t="s">
        <v>1527</v>
      </c>
      <c r="H131" s="30">
        <v>1.0</v>
      </c>
      <c r="I131" s="30">
        <v>1286.0</v>
      </c>
      <c r="J131" s="30">
        <v>1286.0</v>
      </c>
      <c r="K131" s="30">
        <v>2.7</v>
      </c>
      <c r="L131" s="30">
        <v>34.722</v>
      </c>
      <c r="M131" s="30">
        <v>1190.0</v>
      </c>
      <c r="N131" s="30">
        <v>1190.0</v>
      </c>
      <c r="O131" s="30">
        <v>0.0</v>
      </c>
      <c r="P131" s="30">
        <v>0.0</v>
      </c>
      <c r="Q131" s="30">
        <v>61.278</v>
      </c>
    </row>
    <row r="132">
      <c r="A132" s="47">
        <v>1.1245936491E10</v>
      </c>
      <c r="B132" s="48">
        <v>46160.50188657407</v>
      </c>
      <c r="C132" s="30">
        <v>3.859014933E9</v>
      </c>
      <c r="D132" s="47" t="s">
        <v>1509</v>
      </c>
      <c r="E132" s="47" t="s">
        <v>356</v>
      </c>
      <c r="F132" s="47" t="s">
        <v>1523</v>
      </c>
      <c r="G132" s="47" t="s">
        <v>1532</v>
      </c>
      <c r="H132" s="30">
        <v>1.0</v>
      </c>
      <c r="I132" s="30">
        <v>729.0</v>
      </c>
      <c r="J132" s="30">
        <v>729.0</v>
      </c>
      <c r="K132" s="30">
        <v>4.95</v>
      </c>
      <c r="L132" s="30">
        <v>36.0855</v>
      </c>
      <c r="M132" s="30">
        <v>580.0</v>
      </c>
      <c r="N132" s="30">
        <v>580.0</v>
      </c>
      <c r="O132" s="30">
        <v>0.0</v>
      </c>
      <c r="P132" s="30">
        <v>0.0</v>
      </c>
      <c r="Q132" s="30">
        <v>112.9145</v>
      </c>
    </row>
    <row r="133">
      <c r="A133" s="47">
        <v>1.1244591782E10</v>
      </c>
      <c r="B133" s="48">
        <v>46159.94982638889</v>
      </c>
      <c r="C133" s="30">
        <v>3.857753629E9</v>
      </c>
      <c r="D133" s="47" t="s">
        <v>1509</v>
      </c>
      <c r="E133" s="47">
        <v>7.613032816536E12</v>
      </c>
      <c r="F133" s="47" t="s">
        <v>1523</v>
      </c>
      <c r="G133" s="47" t="s">
        <v>1533</v>
      </c>
      <c r="H133" s="30">
        <v>1.0</v>
      </c>
      <c r="I133" s="30">
        <v>729.0</v>
      </c>
      <c r="J133" s="30">
        <v>729.0</v>
      </c>
      <c r="K133" s="30">
        <v>4.41</v>
      </c>
      <c r="L133" s="30">
        <v>32.148900000000005</v>
      </c>
      <c r="M133" s="30">
        <v>580.0</v>
      </c>
      <c r="N133" s="30">
        <v>580.0</v>
      </c>
      <c r="O133" s="30">
        <v>0.0</v>
      </c>
      <c r="P133" s="30">
        <v>0.0</v>
      </c>
      <c r="Q133" s="30">
        <v>116.8511</v>
      </c>
    </row>
    <row r="134">
      <c r="A134" s="47">
        <v>1.1216178071E10</v>
      </c>
      <c r="B134" s="48">
        <v>46151.57072916667</v>
      </c>
      <c r="C134" s="30">
        <v>3.832742717E9</v>
      </c>
      <c r="D134" s="47" t="s">
        <v>1509</v>
      </c>
      <c r="E134" s="47">
        <v>7.613031680992E12</v>
      </c>
      <c r="F134" s="47" t="s">
        <v>1523</v>
      </c>
      <c r="G134" s="47" t="s">
        <v>1541</v>
      </c>
      <c r="H134" s="30">
        <v>2.0</v>
      </c>
      <c r="I134" s="30">
        <v>817.0</v>
      </c>
      <c r="J134" s="30">
        <v>1634.0</v>
      </c>
      <c r="K134" s="30">
        <v>13.5</v>
      </c>
      <c r="L134" s="30">
        <v>220.59</v>
      </c>
      <c r="M134" s="30">
        <v>580.0</v>
      </c>
      <c r="N134" s="30">
        <v>1160.0</v>
      </c>
      <c r="O134" s="30">
        <v>0.0</v>
      </c>
      <c r="P134" s="30">
        <v>0.0</v>
      </c>
      <c r="Q134" s="30">
        <v>253.41</v>
      </c>
    </row>
    <row r="135">
      <c r="A135" s="47">
        <v>1.1241150462E10</v>
      </c>
      <c r="B135" s="48">
        <v>46158.90393518518</v>
      </c>
      <c r="C135" s="30">
        <v>3.855060741E9</v>
      </c>
      <c r="D135" s="47" t="s">
        <v>1512</v>
      </c>
      <c r="E135" s="47">
        <v>7.613032816536E12</v>
      </c>
      <c r="F135" s="47" t="s">
        <v>1523</v>
      </c>
      <c r="G135" s="47" t="s">
        <v>1533</v>
      </c>
      <c r="H135" s="30">
        <v>1.0</v>
      </c>
      <c r="I135" s="30">
        <v>729.0</v>
      </c>
      <c r="J135" s="30">
        <v>729.0</v>
      </c>
      <c r="K135" s="30">
        <v>4.41</v>
      </c>
      <c r="L135" s="30">
        <v>32.148900000000005</v>
      </c>
      <c r="M135" s="30">
        <v>580.0</v>
      </c>
      <c r="N135" s="30">
        <v>580.0</v>
      </c>
      <c r="O135" s="30">
        <v>0.0</v>
      </c>
      <c r="P135" s="30">
        <v>0.0</v>
      </c>
      <c r="Q135" s="30">
        <v>116.8511</v>
      </c>
    </row>
    <row r="136">
      <c r="A136" s="47">
        <v>1.1240391825E10</v>
      </c>
      <c r="B136" s="48">
        <v>46158.74725694444</v>
      </c>
      <c r="C136" s="30">
        <v>3.854523303E9</v>
      </c>
      <c r="D136" s="47" t="s">
        <v>1509</v>
      </c>
      <c r="E136" s="47">
        <v>7.613033560064E12</v>
      </c>
      <c r="F136" s="47" t="s">
        <v>1523</v>
      </c>
      <c r="G136" s="47" t="s">
        <v>1527</v>
      </c>
      <c r="H136" s="30">
        <v>1.0</v>
      </c>
      <c r="I136" s="30">
        <v>1286.0</v>
      </c>
      <c r="J136" s="30">
        <v>1286.0</v>
      </c>
      <c r="K136" s="30">
        <v>2.7</v>
      </c>
      <c r="L136" s="30">
        <v>34.722</v>
      </c>
      <c r="M136" s="30">
        <v>1190.0</v>
      </c>
      <c r="N136" s="30">
        <v>1190.0</v>
      </c>
      <c r="O136" s="30">
        <v>0.0</v>
      </c>
      <c r="P136" s="30">
        <v>0.0</v>
      </c>
      <c r="Q136" s="30">
        <v>61.278</v>
      </c>
    </row>
    <row r="137">
      <c r="A137" s="47">
        <v>1.12438403E10</v>
      </c>
      <c r="B137" s="48">
        <v>46159.811006944445</v>
      </c>
      <c r="C137" s="30">
        <v>3.857249617E9</v>
      </c>
      <c r="D137" s="47" t="s">
        <v>1509</v>
      </c>
      <c r="E137" s="47">
        <v>7.613033560064E12</v>
      </c>
      <c r="F137" s="47" t="s">
        <v>1523</v>
      </c>
      <c r="G137" s="47" t="s">
        <v>1527</v>
      </c>
      <c r="H137" s="30">
        <v>1.0</v>
      </c>
      <c r="I137" s="30">
        <v>1281.0</v>
      </c>
      <c r="J137" s="30">
        <v>1281.0</v>
      </c>
      <c r="K137" s="30">
        <v>2.7</v>
      </c>
      <c r="L137" s="30">
        <v>34.587</v>
      </c>
      <c r="M137" s="30">
        <v>1190.0</v>
      </c>
      <c r="N137" s="30">
        <v>1190.0</v>
      </c>
      <c r="O137" s="30">
        <v>0.0</v>
      </c>
      <c r="P137" s="30">
        <v>0.0</v>
      </c>
      <c r="Q137" s="30">
        <v>56.413</v>
      </c>
    </row>
    <row r="138">
      <c r="A138" s="47">
        <v>1.124479015E10</v>
      </c>
      <c r="B138" s="48">
        <v>46159.98553240741</v>
      </c>
      <c r="C138" s="30">
        <v>3.85789809E9</v>
      </c>
      <c r="D138" s="47" t="s">
        <v>1509</v>
      </c>
      <c r="E138" s="47">
        <v>8.410650167909E12</v>
      </c>
      <c r="F138" s="47" t="s">
        <v>1523</v>
      </c>
      <c r="G138" s="47" t="s">
        <v>1551</v>
      </c>
      <c r="H138" s="30">
        <v>1.0</v>
      </c>
      <c r="I138" s="30">
        <v>1590.0</v>
      </c>
      <c r="J138" s="30">
        <v>1590.0</v>
      </c>
      <c r="K138" s="30">
        <v>10.62</v>
      </c>
      <c r="L138" s="30">
        <v>168.858</v>
      </c>
      <c r="M138" s="30">
        <v>1228.0</v>
      </c>
      <c r="N138" s="30">
        <v>1228.0</v>
      </c>
      <c r="O138" s="30">
        <v>0.0</v>
      </c>
      <c r="P138" s="30">
        <v>0.0</v>
      </c>
      <c r="Q138" s="30">
        <v>193.142</v>
      </c>
    </row>
    <row r="139">
      <c r="A139" s="47">
        <v>1.1240894636E10</v>
      </c>
      <c r="B139" s="48">
        <v>46158.852326388886</v>
      </c>
      <c r="C139" s="30">
        <v>3.854892809E9</v>
      </c>
      <c r="D139" s="47" t="s">
        <v>1509</v>
      </c>
      <c r="E139" s="47">
        <v>7.613032816536E12</v>
      </c>
      <c r="F139" s="47" t="s">
        <v>1523</v>
      </c>
      <c r="G139" s="47" t="s">
        <v>1533</v>
      </c>
      <c r="H139" s="30">
        <v>1.0</v>
      </c>
      <c r="I139" s="30">
        <v>729.0</v>
      </c>
      <c r="J139" s="30">
        <v>729.0</v>
      </c>
      <c r="K139" s="30">
        <v>4.41</v>
      </c>
      <c r="L139" s="30">
        <v>32.148900000000005</v>
      </c>
      <c r="M139" s="30">
        <v>580.0</v>
      </c>
      <c r="N139" s="30">
        <v>580.0</v>
      </c>
      <c r="O139" s="30">
        <v>0.0</v>
      </c>
      <c r="P139" s="30">
        <v>0.0</v>
      </c>
      <c r="Q139" s="30">
        <v>116.8511</v>
      </c>
    </row>
    <row r="140">
      <c r="A140" s="47">
        <v>1.124410095E10</v>
      </c>
      <c r="B140" s="48">
        <v>46159.86050925926</v>
      </c>
      <c r="C140" s="30">
        <v>3.857430914E9</v>
      </c>
      <c r="D140" s="47" t="s">
        <v>1509</v>
      </c>
      <c r="E140" s="47">
        <v>7.613031680992E12</v>
      </c>
      <c r="F140" s="47" t="s">
        <v>1523</v>
      </c>
      <c r="G140" s="47" t="s">
        <v>1541</v>
      </c>
      <c r="H140" s="30">
        <v>1.0</v>
      </c>
      <c r="I140" s="30">
        <v>768.0</v>
      </c>
      <c r="J140" s="30">
        <v>768.0</v>
      </c>
      <c r="K140" s="30">
        <v>3.69</v>
      </c>
      <c r="L140" s="30">
        <v>28.3392</v>
      </c>
      <c r="M140" s="30">
        <v>580.0</v>
      </c>
      <c r="N140" s="30">
        <v>580.0</v>
      </c>
      <c r="O140" s="30">
        <v>0.0</v>
      </c>
      <c r="P140" s="30">
        <v>0.0</v>
      </c>
      <c r="Q140" s="30">
        <v>159.6608</v>
      </c>
    </row>
    <row r="141">
      <c r="A141" s="47">
        <v>1.124492343E10</v>
      </c>
      <c r="B141" s="48">
        <v>46160.00885416667</v>
      </c>
      <c r="C141" s="30">
        <v>3.858002304E9</v>
      </c>
      <c r="D141" s="47" t="s">
        <v>1509</v>
      </c>
      <c r="E141" s="47">
        <v>7.613031680992E12</v>
      </c>
      <c r="F141" s="47" t="s">
        <v>1523</v>
      </c>
      <c r="G141" s="47" t="s">
        <v>1541</v>
      </c>
      <c r="H141" s="30">
        <v>1.0</v>
      </c>
      <c r="I141" s="30">
        <v>768.0</v>
      </c>
      <c r="J141" s="30">
        <v>768.0</v>
      </c>
      <c r="K141" s="30">
        <v>3.69</v>
      </c>
      <c r="L141" s="30">
        <v>28.3392</v>
      </c>
      <c r="M141" s="30">
        <v>580.0</v>
      </c>
      <c r="N141" s="30">
        <v>580.0</v>
      </c>
      <c r="O141" s="30">
        <v>0.0</v>
      </c>
      <c r="P141" s="30">
        <v>0.0</v>
      </c>
      <c r="Q141" s="30">
        <v>159.6608</v>
      </c>
    </row>
    <row r="142">
      <c r="A142" s="47">
        <v>1.1241927028E10</v>
      </c>
      <c r="B142" s="48">
        <v>46159.060891203706</v>
      </c>
      <c r="C142" s="30">
        <v>3.855634785E9</v>
      </c>
      <c r="D142" s="47" t="s">
        <v>1509</v>
      </c>
      <c r="E142" s="47">
        <v>7.613033560064E12</v>
      </c>
      <c r="F142" s="47" t="s">
        <v>1523</v>
      </c>
      <c r="G142" s="47" t="s">
        <v>1527</v>
      </c>
      <c r="H142" s="30">
        <v>1.0</v>
      </c>
      <c r="I142" s="30">
        <v>1284.0</v>
      </c>
      <c r="J142" s="30">
        <v>1284.0</v>
      </c>
      <c r="K142" s="30">
        <v>2.7</v>
      </c>
      <c r="L142" s="30">
        <v>34.668</v>
      </c>
      <c r="M142" s="30">
        <v>1190.0</v>
      </c>
      <c r="N142" s="30">
        <v>1190.0</v>
      </c>
      <c r="O142" s="30">
        <v>0.0</v>
      </c>
      <c r="P142" s="30">
        <v>0.0</v>
      </c>
      <c r="Q142" s="30">
        <v>59.332</v>
      </c>
    </row>
    <row r="143">
      <c r="A143" s="47">
        <v>1.1241630526E10</v>
      </c>
      <c r="B143" s="48">
        <v>46159.00056712963</v>
      </c>
      <c r="C143" s="30">
        <v>3.855392863E9</v>
      </c>
      <c r="D143" s="47" t="s">
        <v>1509</v>
      </c>
      <c r="E143" s="47">
        <v>7.613033560064E12</v>
      </c>
      <c r="F143" s="47" t="s">
        <v>1523</v>
      </c>
      <c r="G143" s="47" t="s">
        <v>1527</v>
      </c>
      <c r="H143" s="30">
        <v>1.0</v>
      </c>
      <c r="I143" s="30">
        <v>1284.0</v>
      </c>
      <c r="J143" s="30">
        <v>1284.0</v>
      </c>
      <c r="K143" s="30">
        <v>2.7</v>
      </c>
      <c r="L143" s="30">
        <v>34.668</v>
      </c>
      <c r="M143" s="30">
        <v>1190.0</v>
      </c>
      <c r="N143" s="30">
        <v>1190.0</v>
      </c>
      <c r="O143" s="30">
        <v>0.0</v>
      </c>
      <c r="P143" s="30">
        <v>0.0</v>
      </c>
      <c r="Q143" s="30">
        <v>59.332</v>
      </c>
    </row>
    <row r="144">
      <c r="A144" s="47">
        <v>1.1250282782E10</v>
      </c>
      <c r="B144" s="48">
        <v>46161.760613425926</v>
      </c>
      <c r="C144" s="30">
        <v>3.862746059E9</v>
      </c>
      <c r="D144" s="47" t="s">
        <v>1508</v>
      </c>
      <c r="E144" s="47">
        <v>8.410650167909E12</v>
      </c>
      <c r="F144" s="47" t="s">
        <v>1523</v>
      </c>
      <c r="G144" s="47" t="s">
        <v>1551</v>
      </c>
      <c r="H144" s="30">
        <v>1.0</v>
      </c>
      <c r="I144" s="30">
        <v>1750.0</v>
      </c>
      <c r="J144" s="30">
        <v>1750.0</v>
      </c>
      <c r="K144" s="30">
        <v>16.5</v>
      </c>
      <c r="L144" s="30">
        <v>288.75</v>
      </c>
      <c r="M144" s="30">
        <v>1228.0</v>
      </c>
      <c r="N144" s="30">
        <v>1228.0</v>
      </c>
      <c r="O144" s="30">
        <v>0.0</v>
      </c>
      <c r="P144" s="30">
        <v>0.0</v>
      </c>
      <c r="Q144" s="30">
        <v>233.25</v>
      </c>
    </row>
    <row r="145">
      <c r="A145" s="47">
        <v>1.1242092779E10</v>
      </c>
      <c r="B145" s="48">
        <v>46159.097037037034</v>
      </c>
      <c r="C145" s="30">
        <v>3.855784077E9</v>
      </c>
      <c r="D145" s="47" t="s">
        <v>1509</v>
      </c>
      <c r="E145" s="47">
        <v>7.613033560064E12</v>
      </c>
      <c r="F145" s="47" t="s">
        <v>1523</v>
      </c>
      <c r="G145" s="47" t="s">
        <v>1527</v>
      </c>
      <c r="H145" s="30">
        <v>1.0</v>
      </c>
      <c r="I145" s="30">
        <v>1284.0</v>
      </c>
      <c r="J145" s="30">
        <v>1284.0</v>
      </c>
      <c r="K145" s="30">
        <v>2.7</v>
      </c>
      <c r="L145" s="30">
        <v>34.668</v>
      </c>
      <c r="M145" s="30">
        <v>1190.0</v>
      </c>
      <c r="N145" s="30">
        <v>1190.0</v>
      </c>
      <c r="O145" s="30">
        <v>0.0</v>
      </c>
      <c r="P145" s="30">
        <v>0.0</v>
      </c>
      <c r="Q145" s="30">
        <v>59.332</v>
      </c>
    </row>
    <row r="146">
      <c r="A146" s="47">
        <v>1.1245438772E10</v>
      </c>
      <c r="B146" s="48">
        <v>46160.10420138889</v>
      </c>
      <c r="C146" s="30">
        <v>3.858480521E9</v>
      </c>
      <c r="D146" s="47" t="s">
        <v>1509</v>
      </c>
      <c r="E146" s="47">
        <v>7.613032816536E12</v>
      </c>
      <c r="F146" s="47" t="s">
        <v>1523</v>
      </c>
      <c r="G146" s="47" t="s">
        <v>1533</v>
      </c>
      <c r="H146" s="30">
        <v>1.0</v>
      </c>
      <c r="I146" s="30">
        <v>729.0</v>
      </c>
      <c r="J146" s="30">
        <v>729.0</v>
      </c>
      <c r="K146" s="30">
        <v>4.41</v>
      </c>
      <c r="L146" s="30">
        <v>32.148900000000005</v>
      </c>
      <c r="M146" s="30">
        <v>580.0</v>
      </c>
      <c r="N146" s="30">
        <v>580.0</v>
      </c>
      <c r="O146" s="30">
        <v>0.0</v>
      </c>
      <c r="P146" s="30">
        <v>0.0</v>
      </c>
      <c r="Q146" s="30">
        <v>116.8511</v>
      </c>
    </row>
    <row r="147">
      <c r="A147" s="47">
        <v>1.1243372847E10</v>
      </c>
      <c r="B147" s="48">
        <v>46159.718252314815</v>
      </c>
      <c r="C147" s="30">
        <v>3.856902024E9</v>
      </c>
      <c r="D147" s="47" t="s">
        <v>1509</v>
      </c>
      <c r="E147" s="47">
        <v>7.613033560064E12</v>
      </c>
      <c r="F147" s="47" t="s">
        <v>1523</v>
      </c>
      <c r="G147" s="47" t="s">
        <v>1527</v>
      </c>
      <c r="H147" s="30">
        <v>1.0</v>
      </c>
      <c r="I147" s="30">
        <v>1282.0</v>
      </c>
      <c r="J147" s="30">
        <v>1282.0</v>
      </c>
      <c r="K147" s="30">
        <v>2.7</v>
      </c>
      <c r="L147" s="30">
        <v>34.614000000000004</v>
      </c>
      <c r="M147" s="30">
        <v>1190.0</v>
      </c>
      <c r="N147" s="30">
        <v>1190.0</v>
      </c>
      <c r="O147" s="30">
        <v>0.0</v>
      </c>
      <c r="P147" s="30">
        <v>0.0</v>
      </c>
      <c r="Q147" s="30">
        <v>57.385999999999996</v>
      </c>
    </row>
    <row r="148">
      <c r="A148" s="47">
        <v>1.124463496E10</v>
      </c>
      <c r="B148" s="48">
        <v>46159.95778935185</v>
      </c>
      <c r="C148" s="30">
        <v>3.857784761E9</v>
      </c>
      <c r="D148" s="47" t="s">
        <v>1510</v>
      </c>
      <c r="E148" s="47" t="s">
        <v>356</v>
      </c>
      <c r="F148" s="47" t="s">
        <v>1523</v>
      </c>
      <c r="G148" s="47" t="s">
        <v>1532</v>
      </c>
      <c r="H148" s="30">
        <v>1.0</v>
      </c>
      <c r="I148" s="30">
        <v>729.0</v>
      </c>
      <c r="J148" s="30">
        <v>729.0</v>
      </c>
      <c r="K148" s="30">
        <v>4.95</v>
      </c>
      <c r="L148" s="30">
        <v>36.0855</v>
      </c>
      <c r="M148" s="30">
        <v>580.0</v>
      </c>
      <c r="N148" s="30">
        <v>580.0</v>
      </c>
      <c r="O148" s="30">
        <v>0.0</v>
      </c>
      <c r="P148" s="30">
        <v>0.0</v>
      </c>
      <c r="Q148" s="30">
        <v>112.9145</v>
      </c>
    </row>
    <row r="149">
      <c r="A149" s="47">
        <v>1.124463496E10</v>
      </c>
      <c r="B149" s="48">
        <v>46159.95778935185</v>
      </c>
      <c r="C149" s="30">
        <v>3.857784761E9</v>
      </c>
      <c r="D149" s="47" t="s">
        <v>1510</v>
      </c>
      <c r="E149" s="47">
        <v>7.613032816536E12</v>
      </c>
      <c r="F149" s="47" t="s">
        <v>1523</v>
      </c>
      <c r="G149" s="47" t="s">
        <v>1533</v>
      </c>
      <c r="H149" s="30">
        <v>1.0</v>
      </c>
      <c r="I149" s="30">
        <v>729.0</v>
      </c>
      <c r="J149" s="30">
        <v>729.0</v>
      </c>
      <c r="K149" s="30">
        <v>4.41</v>
      </c>
      <c r="L149" s="30">
        <v>32.148900000000005</v>
      </c>
      <c r="M149" s="30">
        <v>580.0</v>
      </c>
      <c r="N149" s="30">
        <v>580.0</v>
      </c>
      <c r="O149" s="30">
        <v>0.0</v>
      </c>
      <c r="P149" s="30">
        <v>0.0</v>
      </c>
      <c r="Q149" s="30">
        <v>116.8511</v>
      </c>
    </row>
    <row r="150">
      <c r="A150" s="47">
        <v>1.1240463423E10</v>
      </c>
      <c r="B150" s="48">
        <v>46158.76186342593</v>
      </c>
      <c r="C150" s="30">
        <v>3.854577086E9</v>
      </c>
      <c r="D150" s="47" t="s">
        <v>1509</v>
      </c>
      <c r="E150" s="47">
        <v>7.613033560064E12</v>
      </c>
      <c r="F150" s="47" t="s">
        <v>1523</v>
      </c>
      <c r="G150" s="47" t="s">
        <v>1527</v>
      </c>
      <c r="H150" s="30">
        <v>1.0</v>
      </c>
      <c r="I150" s="30">
        <v>1286.0</v>
      </c>
      <c r="J150" s="30">
        <v>1286.0</v>
      </c>
      <c r="K150" s="30">
        <v>2.7</v>
      </c>
      <c r="L150" s="30">
        <v>34.722</v>
      </c>
      <c r="M150" s="30">
        <v>1190.0</v>
      </c>
      <c r="N150" s="30">
        <v>1190.0</v>
      </c>
      <c r="O150" s="30">
        <v>0.0</v>
      </c>
      <c r="P150" s="30">
        <v>0.0</v>
      </c>
      <c r="Q150" s="30">
        <v>61.278</v>
      </c>
    </row>
    <row r="151">
      <c r="A151" s="47">
        <v>1.1245091478E10</v>
      </c>
      <c r="B151" s="48">
        <v>46160.03890046296</v>
      </c>
      <c r="C151" s="30">
        <v>3.858147684E9</v>
      </c>
      <c r="D151" s="47" t="s">
        <v>1509</v>
      </c>
      <c r="E151" s="47" t="s">
        <v>318</v>
      </c>
      <c r="F151" s="47" t="s">
        <v>1523</v>
      </c>
      <c r="G151" s="47" t="s">
        <v>1552</v>
      </c>
      <c r="H151" s="30">
        <v>1.0</v>
      </c>
      <c r="I151" s="30">
        <v>200.0</v>
      </c>
      <c r="J151" s="30">
        <v>200.0</v>
      </c>
      <c r="K151" s="30">
        <v>11.25</v>
      </c>
      <c r="L151" s="30">
        <v>22.5</v>
      </c>
      <c r="M151" s="30">
        <v>78.6</v>
      </c>
      <c r="N151" s="30">
        <v>78.6</v>
      </c>
      <c r="O151" s="30">
        <v>0.0</v>
      </c>
      <c r="P151" s="30">
        <v>0.0</v>
      </c>
      <c r="Q151" s="30">
        <v>98.9</v>
      </c>
    </row>
    <row r="152">
      <c r="A152" s="47">
        <v>1.1245091478E10</v>
      </c>
      <c r="B152" s="48">
        <v>46160.03890046296</v>
      </c>
      <c r="C152" s="30">
        <v>3.858147684E9</v>
      </c>
      <c r="D152" s="47" t="s">
        <v>1509</v>
      </c>
      <c r="E152" s="47">
        <v>8.410650167909E12</v>
      </c>
      <c r="F152" s="47" t="s">
        <v>1523</v>
      </c>
      <c r="G152" s="47" t="s">
        <v>1551</v>
      </c>
      <c r="H152" s="30">
        <v>1.0</v>
      </c>
      <c r="I152" s="30">
        <v>1590.0</v>
      </c>
      <c r="J152" s="30">
        <v>1590.0</v>
      </c>
      <c r="K152" s="30">
        <v>10.62</v>
      </c>
      <c r="L152" s="30">
        <v>168.858</v>
      </c>
      <c r="M152" s="30">
        <v>1228.0</v>
      </c>
      <c r="N152" s="30">
        <v>1228.0</v>
      </c>
      <c r="O152" s="30">
        <v>0.0</v>
      </c>
      <c r="P152" s="30">
        <v>0.0</v>
      </c>
      <c r="Q152" s="30">
        <v>193.142</v>
      </c>
    </row>
    <row r="153">
      <c r="A153" s="47">
        <v>1.1245091478E10</v>
      </c>
      <c r="B153" s="48">
        <v>46160.03890046296</v>
      </c>
      <c r="C153" s="30">
        <v>3.858147684E9</v>
      </c>
      <c r="D153" s="47" t="s">
        <v>1509</v>
      </c>
      <c r="E153" s="47">
        <v>8.684501941813E12</v>
      </c>
      <c r="F153" s="47" t="s">
        <v>287</v>
      </c>
      <c r="G153" s="47" t="s">
        <v>1547</v>
      </c>
      <c r="H153" s="30">
        <v>1.0</v>
      </c>
      <c r="I153" s="30">
        <v>349.99</v>
      </c>
      <c r="J153" s="30">
        <v>349.99</v>
      </c>
      <c r="K153" s="30">
        <v>18.0</v>
      </c>
      <c r="L153" s="30">
        <v>62.9982</v>
      </c>
      <c r="M153" s="30">
        <v>53.0</v>
      </c>
      <c r="N153" s="30">
        <v>53.0</v>
      </c>
      <c r="O153" s="30">
        <v>0.0</v>
      </c>
      <c r="P153" s="30">
        <v>0.0</v>
      </c>
      <c r="Q153" s="30">
        <v>233.9918</v>
      </c>
    </row>
    <row r="154">
      <c r="A154" s="47">
        <v>1.1240816264E10</v>
      </c>
      <c r="B154" s="48">
        <v>46158.83604166667</v>
      </c>
      <c r="C154" s="30">
        <v>3.854836543E9</v>
      </c>
      <c r="D154" s="47" t="s">
        <v>1509</v>
      </c>
      <c r="E154" s="47">
        <v>7.613033560064E12</v>
      </c>
      <c r="F154" s="47" t="s">
        <v>1523</v>
      </c>
      <c r="G154" s="47" t="s">
        <v>1527</v>
      </c>
      <c r="H154" s="30">
        <v>1.0</v>
      </c>
      <c r="I154" s="30">
        <v>1285.0</v>
      </c>
      <c r="J154" s="30">
        <v>1285.0</v>
      </c>
      <c r="K154" s="30">
        <v>2.7</v>
      </c>
      <c r="L154" s="30">
        <v>34.69500000000001</v>
      </c>
      <c r="M154" s="30">
        <v>1190.0</v>
      </c>
      <c r="N154" s="30">
        <v>1190.0</v>
      </c>
      <c r="O154" s="30">
        <v>0.0</v>
      </c>
      <c r="P154" s="30">
        <v>0.0</v>
      </c>
      <c r="Q154" s="30">
        <v>60.30499999999999</v>
      </c>
    </row>
    <row r="155">
      <c r="A155" s="47">
        <v>1.1239467268E10</v>
      </c>
      <c r="B155" s="48">
        <v>46158.52306712963</v>
      </c>
      <c r="C155" s="30">
        <v>3.853725709E9</v>
      </c>
      <c r="D155" s="47" t="s">
        <v>1509</v>
      </c>
      <c r="E155" s="47">
        <v>7.613033560064E12</v>
      </c>
      <c r="F155" s="47" t="s">
        <v>1523</v>
      </c>
      <c r="G155" s="47" t="s">
        <v>1527</v>
      </c>
      <c r="H155" s="30">
        <v>2.0</v>
      </c>
      <c r="I155" s="30">
        <v>1289.0</v>
      </c>
      <c r="J155" s="30">
        <v>2578.0</v>
      </c>
      <c r="K155" s="30">
        <v>2.7</v>
      </c>
      <c r="L155" s="30">
        <v>69.60600000000001</v>
      </c>
      <c r="M155" s="30">
        <v>1190.0</v>
      </c>
      <c r="N155" s="30">
        <v>2380.0</v>
      </c>
      <c r="O155" s="30">
        <v>0.0</v>
      </c>
      <c r="P155" s="30">
        <v>0.0</v>
      </c>
      <c r="Q155" s="30">
        <v>128.394</v>
      </c>
    </row>
    <row r="156">
      <c r="A156" s="47">
        <v>1.1240324492E10</v>
      </c>
      <c r="B156" s="48">
        <v>46158.73357638889</v>
      </c>
      <c r="C156" s="30">
        <v>3.854468987E9</v>
      </c>
      <c r="D156" s="47" t="s">
        <v>1509</v>
      </c>
      <c r="E156" s="47">
        <v>7.613033560064E12</v>
      </c>
      <c r="F156" s="47" t="s">
        <v>1523</v>
      </c>
      <c r="G156" s="47" t="s">
        <v>1527</v>
      </c>
      <c r="H156" s="30">
        <v>1.0</v>
      </c>
      <c r="I156" s="30">
        <v>1286.0</v>
      </c>
      <c r="J156" s="30">
        <v>1286.0</v>
      </c>
      <c r="K156" s="30">
        <v>2.7</v>
      </c>
      <c r="L156" s="30">
        <v>34.722</v>
      </c>
      <c r="M156" s="30">
        <v>1190.0</v>
      </c>
      <c r="N156" s="30">
        <v>1190.0</v>
      </c>
      <c r="O156" s="30">
        <v>0.0</v>
      </c>
      <c r="P156" s="30">
        <v>0.0</v>
      </c>
      <c r="Q156" s="30">
        <v>61.278</v>
      </c>
    </row>
    <row r="157">
      <c r="A157" s="47">
        <v>1.1239346325E10</v>
      </c>
      <c r="B157" s="48">
        <v>46158.414768518516</v>
      </c>
      <c r="C157" s="30">
        <v>3.853594945E9</v>
      </c>
      <c r="D157" s="47" t="s">
        <v>1509</v>
      </c>
      <c r="E157" s="47">
        <v>7.613032816536E12</v>
      </c>
      <c r="F157" s="47" t="s">
        <v>1523</v>
      </c>
      <c r="G157" s="47" t="s">
        <v>1533</v>
      </c>
      <c r="H157" s="30">
        <v>2.0</v>
      </c>
      <c r="I157" s="30">
        <v>729.0</v>
      </c>
      <c r="J157" s="30">
        <v>1458.0</v>
      </c>
      <c r="K157" s="30">
        <v>4.41</v>
      </c>
      <c r="L157" s="30">
        <v>64.29780000000001</v>
      </c>
      <c r="M157" s="30">
        <v>580.0</v>
      </c>
      <c r="N157" s="30">
        <v>1160.0</v>
      </c>
      <c r="O157" s="30">
        <v>0.0</v>
      </c>
      <c r="P157" s="30">
        <v>0.0</v>
      </c>
      <c r="Q157" s="30">
        <v>233.7022</v>
      </c>
    </row>
    <row r="158">
      <c r="A158" s="47">
        <v>1.124198911E10</v>
      </c>
      <c r="B158" s="48">
        <v>46159.07387731481</v>
      </c>
      <c r="C158" s="30">
        <v>3.855689669E9</v>
      </c>
      <c r="D158" s="47" t="s">
        <v>1509</v>
      </c>
      <c r="E158" s="47">
        <v>8.410650167909E12</v>
      </c>
      <c r="F158" s="47" t="s">
        <v>1523</v>
      </c>
      <c r="G158" s="47" t="s">
        <v>1551</v>
      </c>
      <c r="H158" s="30">
        <v>1.0</v>
      </c>
      <c r="I158" s="30">
        <v>1600.0</v>
      </c>
      <c r="J158" s="30">
        <v>1600.0</v>
      </c>
      <c r="K158" s="30">
        <v>10.62</v>
      </c>
      <c r="L158" s="30">
        <v>169.92</v>
      </c>
      <c r="M158" s="30">
        <v>1228.0</v>
      </c>
      <c r="N158" s="30">
        <v>1228.0</v>
      </c>
      <c r="O158" s="30">
        <v>0.0</v>
      </c>
      <c r="P158" s="30">
        <v>0.0</v>
      </c>
      <c r="Q158" s="30">
        <v>202.08</v>
      </c>
    </row>
    <row r="159">
      <c r="A159" s="47">
        <v>1.1240792883E10</v>
      </c>
      <c r="B159" s="48">
        <v>46158.83138888889</v>
      </c>
      <c r="C159" s="30">
        <v>3.854822564E9</v>
      </c>
      <c r="D159" s="47" t="s">
        <v>1509</v>
      </c>
      <c r="E159" s="47">
        <v>7.613033560064E12</v>
      </c>
      <c r="F159" s="47" t="s">
        <v>1523</v>
      </c>
      <c r="G159" s="47" t="s">
        <v>1527</v>
      </c>
      <c r="H159" s="30">
        <v>1.0</v>
      </c>
      <c r="I159" s="30">
        <v>1285.0</v>
      </c>
      <c r="J159" s="30">
        <v>1285.0</v>
      </c>
      <c r="K159" s="30">
        <v>2.7</v>
      </c>
      <c r="L159" s="30">
        <v>34.69500000000001</v>
      </c>
      <c r="M159" s="30">
        <v>1190.0</v>
      </c>
      <c r="N159" s="30">
        <v>1190.0</v>
      </c>
      <c r="O159" s="30">
        <v>0.0</v>
      </c>
      <c r="P159" s="30">
        <v>0.0</v>
      </c>
      <c r="Q159" s="30">
        <v>60.30499999999999</v>
      </c>
    </row>
    <row r="160">
      <c r="A160" s="47">
        <v>1.1241467847E10</v>
      </c>
      <c r="B160" s="48">
        <v>46158.96774305555</v>
      </c>
      <c r="C160" s="30">
        <v>3.855273527E9</v>
      </c>
      <c r="D160" s="47" t="s">
        <v>1509</v>
      </c>
      <c r="E160" s="47">
        <v>7.613032816536E12</v>
      </c>
      <c r="F160" s="47" t="s">
        <v>1523</v>
      </c>
      <c r="G160" s="47" t="s">
        <v>1533</v>
      </c>
      <c r="H160" s="30">
        <v>1.0</v>
      </c>
      <c r="I160" s="30">
        <v>729.0</v>
      </c>
      <c r="J160" s="30">
        <v>729.0</v>
      </c>
      <c r="K160" s="30">
        <v>4.41</v>
      </c>
      <c r="L160" s="30">
        <v>32.148900000000005</v>
      </c>
      <c r="M160" s="30">
        <v>580.0</v>
      </c>
      <c r="N160" s="30">
        <v>580.0</v>
      </c>
      <c r="O160" s="30">
        <v>0.0</v>
      </c>
      <c r="P160" s="30">
        <v>0.0</v>
      </c>
      <c r="Q160" s="30">
        <v>116.8511</v>
      </c>
    </row>
    <row r="161">
      <c r="A161" s="47">
        <v>1.1244126109E10</v>
      </c>
      <c r="B161" s="48">
        <v>46159.8653587963</v>
      </c>
      <c r="C161" s="30">
        <v>3.85744466E9</v>
      </c>
      <c r="D161" s="47" t="s">
        <v>1509</v>
      </c>
      <c r="E161" s="47">
        <v>7.613032816536E12</v>
      </c>
      <c r="F161" s="47" t="s">
        <v>1523</v>
      </c>
      <c r="G161" s="47" t="s">
        <v>1533</v>
      </c>
      <c r="H161" s="30">
        <v>1.0</v>
      </c>
      <c r="I161" s="30">
        <v>729.0</v>
      </c>
      <c r="J161" s="30">
        <v>729.0</v>
      </c>
      <c r="K161" s="30">
        <v>4.41</v>
      </c>
      <c r="L161" s="30">
        <v>32.148900000000005</v>
      </c>
      <c r="M161" s="30">
        <v>580.0</v>
      </c>
      <c r="N161" s="30">
        <v>580.0</v>
      </c>
      <c r="O161" s="30">
        <v>0.0</v>
      </c>
      <c r="P161" s="30">
        <v>0.0</v>
      </c>
      <c r="Q161" s="30">
        <v>116.8511</v>
      </c>
    </row>
    <row r="162">
      <c r="A162" s="47">
        <v>1.1250214117E10</v>
      </c>
      <c r="B162" s="48">
        <v>46161.74662037037</v>
      </c>
      <c r="C162" s="30">
        <v>3.862693217E9</v>
      </c>
      <c r="D162" s="47" t="s">
        <v>1508</v>
      </c>
      <c r="E162" s="47" t="s">
        <v>411</v>
      </c>
      <c r="F162" s="47" t="s">
        <v>1523</v>
      </c>
      <c r="G162" s="47" t="s">
        <v>1531</v>
      </c>
      <c r="H162" s="30">
        <v>2.0</v>
      </c>
      <c r="I162" s="30">
        <v>781.0</v>
      </c>
      <c r="J162" s="30">
        <v>1562.0</v>
      </c>
      <c r="K162" s="30">
        <v>0.0</v>
      </c>
      <c r="L162" s="30">
        <v>0.0</v>
      </c>
      <c r="M162" s="30">
        <v>580.0</v>
      </c>
      <c r="N162" s="30">
        <v>1160.0</v>
      </c>
      <c r="O162" s="30">
        <v>0.0</v>
      </c>
      <c r="P162" s="30">
        <v>0.0</v>
      </c>
      <c r="Q162" s="30">
        <v>402.0</v>
      </c>
    </row>
    <row r="163">
      <c r="A163" s="47">
        <v>1.1238272336E10</v>
      </c>
      <c r="B163" s="48">
        <v>46157.959398148145</v>
      </c>
      <c r="C163" s="30">
        <v>3.852650487E9</v>
      </c>
      <c r="D163" s="47" t="s">
        <v>1509</v>
      </c>
      <c r="E163" s="47">
        <v>8.410650167909E12</v>
      </c>
      <c r="F163" s="47" t="s">
        <v>1523</v>
      </c>
      <c r="G163" s="47" t="s">
        <v>1551</v>
      </c>
      <c r="H163" s="30">
        <v>1.0</v>
      </c>
      <c r="I163" s="30">
        <v>1820.0</v>
      </c>
      <c r="J163" s="30">
        <v>1820.0</v>
      </c>
      <c r="K163" s="30">
        <v>14.85</v>
      </c>
      <c r="L163" s="30">
        <v>270.27</v>
      </c>
      <c r="M163" s="30">
        <v>1228.0</v>
      </c>
      <c r="N163" s="30">
        <v>1228.0</v>
      </c>
      <c r="O163" s="30">
        <v>0.0</v>
      </c>
      <c r="P163" s="30">
        <v>0.0</v>
      </c>
      <c r="Q163" s="30">
        <v>321.73</v>
      </c>
    </row>
    <row r="164">
      <c r="A164" s="47">
        <v>1.1240957291E10</v>
      </c>
      <c r="B164" s="48">
        <v>46158.86519675926</v>
      </c>
      <c r="C164" s="30">
        <v>3.854935556E9</v>
      </c>
      <c r="D164" s="47" t="s">
        <v>1509</v>
      </c>
      <c r="E164" s="47">
        <v>8.46799273637E11</v>
      </c>
      <c r="F164" s="47" t="s">
        <v>1523</v>
      </c>
      <c r="G164" s="47" t="s">
        <v>1553</v>
      </c>
      <c r="H164" s="30">
        <v>1.0</v>
      </c>
      <c r="I164" s="30">
        <v>659.0</v>
      </c>
      <c r="J164" s="30">
        <v>659.0</v>
      </c>
      <c r="K164" s="30">
        <v>14.85</v>
      </c>
      <c r="L164" s="30">
        <v>97.86149999999999</v>
      </c>
      <c r="M164" s="30">
        <v>420.0</v>
      </c>
      <c r="N164" s="30">
        <v>420.0</v>
      </c>
      <c r="O164" s="30">
        <v>0.0</v>
      </c>
      <c r="P164" s="30">
        <v>0.0</v>
      </c>
      <c r="Q164" s="30">
        <v>141.13850000000002</v>
      </c>
    </row>
    <row r="165">
      <c r="A165" s="47">
        <v>1.1239448423E10</v>
      </c>
      <c r="B165" s="48">
        <v>46158.51429398148</v>
      </c>
      <c r="C165" s="30">
        <v>3.853705982E9</v>
      </c>
      <c r="D165" s="47" t="s">
        <v>1509</v>
      </c>
      <c r="E165" s="47">
        <v>7.613033560064E12</v>
      </c>
      <c r="F165" s="47" t="s">
        <v>1523</v>
      </c>
      <c r="G165" s="47" t="s">
        <v>1527</v>
      </c>
      <c r="H165" s="30">
        <v>1.0</v>
      </c>
      <c r="I165" s="30">
        <v>1289.0</v>
      </c>
      <c r="J165" s="30">
        <v>1289.0</v>
      </c>
      <c r="K165" s="30">
        <v>2.7</v>
      </c>
      <c r="L165" s="30">
        <v>34.803000000000004</v>
      </c>
      <c r="M165" s="30">
        <v>1190.0</v>
      </c>
      <c r="N165" s="30">
        <v>1190.0</v>
      </c>
      <c r="O165" s="30">
        <v>0.0</v>
      </c>
      <c r="P165" s="30">
        <v>0.0</v>
      </c>
      <c r="Q165" s="30">
        <v>64.197</v>
      </c>
    </row>
    <row r="166">
      <c r="A166" s="47">
        <v>1.1241347705E10</v>
      </c>
      <c r="B166" s="48">
        <v>46158.94342592593</v>
      </c>
      <c r="C166" s="30">
        <v>3.855194166E9</v>
      </c>
      <c r="D166" s="47" t="s">
        <v>1509</v>
      </c>
      <c r="E166" s="47" t="s">
        <v>356</v>
      </c>
      <c r="F166" s="47" t="s">
        <v>1523</v>
      </c>
      <c r="G166" s="47" t="s">
        <v>1532</v>
      </c>
      <c r="H166" s="30">
        <v>1.0</v>
      </c>
      <c r="I166" s="30">
        <v>729.0</v>
      </c>
      <c r="J166" s="30">
        <v>729.0</v>
      </c>
      <c r="K166" s="30">
        <v>4.95</v>
      </c>
      <c r="L166" s="30">
        <v>36.0855</v>
      </c>
      <c r="M166" s="30">
        <v>580.0</v>
      </c>
      <c r="N166" s="30">
        <v>580.0</v>
      </c>
      <c r="O166" s="30">
        <v>0.0</v>
      </c>
      <c r="P166" s="30">
        <v>0.0</v>
      </c>
      <c r="Q166" s="30">
        <v>112.9145</v>
      </c>
    </row>
    <row r="167">
      <c r="A167" s="47">
        <v>1.1241740465E10</v>
      </c>
      <c r="B167" s="48">
        <v>46159.02233796296</v>
      </c>
      <c r="C167" s="30">
        <v>3.855477419E9</v>
      </c>
      <c r="D167" s="47" t="s">
        <v>1509</v>
      </c>
      <c r="E167" s="47">
        <v>8.684501941837E12</v>
      </c>
      <c r="F167" s="47" t="s">
        <v>289</v>
      </c>
      <c r="G167" s="47" t="s">
        <v>1543</v>
      </c>
      <c r="H167" s="30">
        <v>1.0</v>
      </c>
      <c r="I167" s="30">
        <v>317.65</v>
      </c>
      <c r="J167" s="30">
        <v>317.65</v>
      </c>
      <c r="K167" s="30">
        <v>18.0</v>
      </c>
      <c r="L167" s="30">
        <v>57.177</v>
      </c>
      <c r="M167" s="30">
        <v>53.0</v>
      </c>
      <c r="N167" s="30">
        <v>53.0</v>
      </c>
      <c r="O167" s="30">
        <v>0.0</v>
      </c>
      <c r="P167" s="30">
        <v>0.0</v>
      </c>
      <c r="Q167" s="30">
        <v>207.47299999999998</v>
      </c>
    </row>
    <row r="168">
      <c r="A168" s="47">
        <v>1.1241740465E10</v>
      </c>
      <c r="B168" s="48">
        <v>46159.02233796296</v>
      </c>
      <c r="C168" s="30">
        <v>3.855477419E9</v>
      </c>
      <c r="D168" s="47" t="s">
        <v>1509</v>
      </c>
      <c r="E168" s="47">
        <v>7.613033560064E12</v>
      </c>
      <c r="F168" s="47" t="s">
        <v>1523</v>
      </c>
      <c r="G168" s="47" t="s">
        <v>1527</v>
      </c>
      <c r="H168" s="30">
        <v>1.0</v>
      </c>
      <c r="I168" s="30">
        <v>1165.35</v>
      </c>
      <c r="J168" s="30">
        <v>1165.35</v>
      </c>
      <c r="K168" s="30">
        <v>2.7</v>
      </c>
      <c r="L168" s="30">
        <v>31.464450000000003</v>
      </c>
      <c r="M168" s="30">
        <v>1190.0</v>
      </c>
      <c r="N168" s="30">
        <v>1190.0</v>
      </c>
      <c r="O168" s="30">
        <v>0.0</v>
      </c>
      <c r="P168" s="30">
        <v>0.0</v>
      </c>
      <c r="Q168" s="30">
        <v>-56.11445000000009</v>
      </c>
    </row>
    <row r="169">
      <c r="A169" s="47">
        <v>1.1241057451E10</v>
      </c>
      <c r="B169" s="48">
        <v>46158.88511574074</v>
      </c>
      <c r="C169" s="30">
        <v>3.855001383E9</v>
      </c>
      <c r="D169" s="47" t="s">
        <v>1509</v>
      </c>
      <c r="E169" s="47">
        <v>7.613033560064E12</v>
      </c>
      <c r="F169" s="47" t="s">
        <v>1523</v>
      </c>
      <c r="G169" s="47" t="s">
        <v>1527</v>
      </c>
      <c r="H169" s="30">
        <v>1.0</v>
      </c>
      <c r="I169" s="30">
        <v>1285.0</v>
      </c>
      <c r="J169" s="30">
        <v>1285.0</v>
      </c>
      <c r="K169" s="30">
        <v>2.7</v>
      </c>
      <c r="L169" s="30">
        <v>34.69500000000001</v>
      </c>
      <c r="M169" s="30">
        <v>1190.0</v>
      </c>
      <c r="N169" s="30">
        <v>1190.0</v>
      </c>
      <c r="O169" s="30">
        <v>0.0</v>
      </c>
      <c r="P169" s="30">
        <v>0.0</v>
      </c>
      <c r="Q169" s="30">
        <v>60.30499999999999</v>
      </c>
    </row>
    <row r="170">
      <c r="A170" s="47">
        <v>1.1243277525E10</v>
      </c>
      <c r="B170" s="48">
        <v>46159.69855324074</v>
      </c>
      <c r="C170" s="30">
        <v>3.856826407E9</v>
      </c>
      <c r="D170" s="47" t="s">
        <v>1509</v>
      </c>
      <c r="E170" s="47" t="s">
        <v>143</v>
      </c>
      <c r="F170" s="47" t="s">
        <v>1523</v>
      </c>
      <c r="G170" s="47" t="s">
        <v>1545</v>
      </c>
      <c r="H170" s="30">
        <v>1.0</v>
      </c>
      <c r="I170" s="30">
        <v>319.0</v>
      </c>
      <c r="J170" s="30">
        <v>319.0</v>
      </c>
      <c r="K170" s="30">
        <v>14.85</v>
      </c>
      <c r="L170" s="30">
        <v>47.3715</v>
      </c>
      <c r="M170" s="30">
        <v>180.0</v>
      </c>
      <c r="N170" s="30">
        <v>180.0</v>
      </c>
      <c r="O170" s="30">
        <v>0.0</v>
      </c>
      <c r="P170" s="30">
        <v>0.0</v>
      </c>
      <c r="Q170" s="30">
        <v>91.6285</v>
      </c>
    </row>
    <row r="171">
      <c r="A171" s="47">
        <v>1.1243277525E10</v>
      </c>
      <c r="B171" s="48">
        <v>46159.69855324074</v>
      </c>
      <c r="C171" s="30">
        <v>3.856826407E9</v>
      </c>
      <c r="D171" s="47" t="s">
        <v>1509</v>
      </c>
      <c r="E171" s="47">
        <v>9.003579311301E12</v>
      </c>
      <c r="F171" s="47" t="s">
        <v>1523</v>
      </c>
      <c r="G171" s="47" t="s">
        <v>1554</v>
      </c>
      <c r="H171" s="30">
        <v>1.0</v>
      </c>
      <c r="I171" s="30">
        <v>71.0</v>
      </c>
      <c r="J171" s="30">
        <v>71.0</v>
      </c>
      <c r="K171" s="30">
        <v>2.7</v>
      </c>
      <c r="L171" s="30">
        <v>1.9170000000000003</v>
      </c>
      <c r="M171" s="30">
        <v>0.0</v>
      </c>
      <c r="N171" s="30">
        <v>0.0</v>
      </c>
      <c r="O171" s="30">
        <v>0.0</v>
      </c>
      <c r="P171" s="30">
        <v>0.0</v>
      </c>
      <c r="Q171" s="30">
        <v>69.083</v>
      </c>
    </row>
    <row r="172">
      <c r="A172" s="47">
        <v>1.1239625603E10</v>
      </c>
      <c r="B172" s="48">
        <v>46158.577893518515</v>
      </c>
      <c r="C172" s="30">
        <v>3.853873467E9</v>
      </c>
      <c r="D172" s="47" t="s">
        <v>1509</v>
      </c>
      <c r="E172" s="47">
        <v>7.613033560064E12</v>
      </c>
      <c r="F172" s="47" t="s">
        <v>1523</v>
      </c>
      <c r="G172" s="47" t="s">
        <v>1527</v>
      </c>
      <c r="H172" s="30">
        <v>1.0</v>
      </c>
      <c r="I172" s="30">
        <v>1289.0</v>
      </c>
      <c r="J172" s="30">
        <v>1289.0</v>
      </c>
      <c r="K172" s="30">
        <v>2.7</v>
      </c>
      <c r="L172" s="30">
        <v>34.803000000000004</v>
      </c>
      <c r="M172" s="30">
        <v>1190.0</v>
      </c>
      <c r="N172" s="30">
        <v>1190.0</v>
      </c>
      <c r="O172" s="30">
        <v>0.0</v>
      </c>
      <c r="P172" s="30">
        <v>0.0</v>
      </c>
      <c r="Q172" s="30">
        <v>64.197</v>
      </c>
    </row>
    <row r="173">
      <c r="A173" s="47">
        <v>1.125015417E10</v>
      </c>
      <c r="B173" s="48">
        <v>46161.734456018516</v>
      </c>
      <c r="C173" s="30">
        <v>3.862645513E9</v>
      </c>
      <c r="D173" s="47" t="s">
        <v>1508</v>
      </c>
      <c r="E173" s="47">
        <v>8.410650239156E12</v>
      </c>
      <c r="F173" s="47" t="s">
        <v>1523</v>
      </c>
      <c r="G173" s="47" t="s">
        <v>1530</v>
      </c>
      <c r="H173" s="30">
        <v>1.0</v>
      </c>
      <c r="I173" s="30">
        <v>1728.0</v>
      </c>
      <c r="J173" s="30">
        <v>1728.0</v>
      </c>
      <c r="K173" s="30">
        <v>15.3</v>
      </c>
      <c r="L173" s="30">
        <v>264.384</v>
      </c>
      <c r="M173" s="30">
        <v>1260.0</v>
      </c>
      <c r="N173" s="30">
        <v>1260.0</v>
      </c>
      <c r="O173" s="30">
        <v>0.0</v>
      </c>
      <c r="P173" s="30">
        <v>0.0</v>
      </c>
      <c r="Q173" s="30">
        <v>203.61599999999999</v>
      </c>
    </row>
    <row r="174">
      <c r="A174" s="47">
        <v>1.1242154778E10</v>
      </c>
      <c r="B174" s="48">
        <v>46159.11101851852</v>
      </c>
      <c r="C174" s="30">
        <v>3.85584026E9</v>
      </c>
      <c r="D174" s="47" t="s">
        <v>1509</v>
      </c>
      <c r="E174" s="47">
        <v>7.613032816536E12</v>
      </c>
      <c r="F174" s="47" t="s">
        <v>1523</v>
      </c>
      <c r="G174" s="47" t="s">
        <v>1533</v>
      </c>
      <c r="H174" s="30">
        <v>1.0</v>
      </c>
      <c r="I174" s="30">
        <v>729.0</v>
      </c>
      <c r="J174" s="30">
        <v>729.0</v>
      </c>
      <c r="K174" s="30">
        <v>4.41</v>
      </c>
      <c r="L174" s="30">
        <v>32.148900000000005</v>
      </c>
      <c r="M174" s="30">
        <v>580.0</v>
      </c>
      <c r="N174" s="30">
        <v>580.0</v>
      </c>
      <c r="O174" s="30">
        <v>0.0</v>
      </c>
      <c r="P174" s="30">
        <v>0.0</v>
      </c>
      <c r="Q174" s="30">
        <v>116.8511</v>
      </c>
    </row>
    <row r="175">
      <c r="A175" s="47">
        <v>1.1238017473E10</v>
      </c>
      <c r="B175" s="48">
        <v>46157.911203703705</v>
      </c>
      <c r="C175" s="30">
        <v>3.852475805E9</v>
      </c>
      <c r="D175" s="47" t="s">
        <v>1509</v>
      </c>
      <c r="E175" s="47">
        <v>7.613033560064E12</v>
      </c>
      <c r="F175" s="47" t="s">
        <v>1523</v>
      </c>
      <c r="G175" s="47" t="s">
        <v>1527</v>
      </c>
      <c r="H175" s="30">
        <v>1.0</v>
      </c>
      <c r="I175" s="30">
        <v>1291.0</v>
      </c>
      <c r="J175" s="30">
        <v>1291.0</v>
      </c>
      <c r="K175" s="30">
        <v>2.7</v>
      </c>
      <c r="L175" s="30">
        <v>34.857</v>
      </c>
      <c r="M175" s="30">
        <v>1190.0</v>
      </c>
      <c r="N175" s="30">
        <v>1190.0</v>
      </c>
      <c r="O175" s="30">
        <v>0.0</v>
      </c>
      <c r="P175" s="30">
        <v>0.0</v>
      </c>
      <c r="Q175" s="30">
        <v>66.143</v>
      </c>
    </row>
    <row r="176">
      <c r="A176" s="47">
        <v>1.1239432907E10</v>
      </c>
      <c r="B176" s="48">
        <v>46158.506886574076</v>
      </c>
      <c r="C176" s="30">
        <v>3.853692058E9</v>
      </c>
      <c r="D176" s="47" t="s">
        <v>1509</v>
      </c>
      <c r="E176" s="47">
        <v>7.613033560064E12</v>
      </c>
      <c r="F176" s="47" t="s">
        <v>1523</v>
      </c>
      <c r="G176" s="47" t="s">
        <v>1527</v>
      </c>
      <c r="H176" s="30">
        <v>1.0</v>
      </c>
      <c r="I176" s="30">
        <v>1289.0</v>
      </c>
      <c r="J176" s="30">
        <v>1289.0</v>
      </c>
      <c r="K176" s="30">
        <v>2.7</v>
      </c>
      <c r="L176" s="30">
        <v>34.803000000000004</v>
      </c>
      <c r="M176" s="30">
        <v>1190.0</v>
      </c>
      <c r="N176" s="30">
        <v>1190.0</v>
      </c>
      <c r="O176" s="30">
        <v>0.0</v>
      </c>
      <c r="P176" s="30">
        <v>0.0</v>
      </c>
      <c r="Q176" s="30">
        <v>64.197</v>
      </c>
    </row>
    <row r="177">
      <c r="A177" s="47">
        <v>1.1237482532E10</v>
      </c>
      <c r="B177" s="48">
        <v>46157.8040625</v>
      </c>
      <c r="C177" s="30">
        <v>3.852081387E9</v>
      </c>
      <c r="D177" s="47" t="s">
        <v>1509</v>
      </c>
      <c r="E177" s="47" t="s">
        <v>356</v>
      </c>
      <c r="F177" s="47" t="s">
        <v>1523</v>
      </c>
      <c r="G177" s="47" t="s">
        <v>1532</v>
      </c>
      <c r="H177" s="30">
        <v>1.0</v>
      </c>
      <c r="I177" s="30">
        <v>729.0</v>
      </c>
      <c r="J177" s="30">
        <v>729.0</v>
      </c>
      <c r="K177" s="30">
        <v>4.95</v>
      </c>
      <c r="L177" s="30">
        <v>36.0855</v>
      </c>
      <c r="M177" s="30">
        <v>580.0</v>
      </c>
      <c r="N177" s="30">
        <v>580.0</v>
      </c>
      <c r="O177" s="30">
        <v>0.0</v>
      </c>
      <c r="P177" s="30">
        <v>0.0</v>
      </c>
      <c r="Q177" s="30">
        <v>112.9145</v>
      </c>
    </row>
    <row r="178">
      <c r="A178" s="47">
        <v>1.1242210931E10</v>
      </c>
      <c r="B178" s="48">
        <v>46159.1253125</v>
      </c>
      <c r="C178" s="30">
        <v>3.85589297E9</v>
      </c>
      <c r="D178" s="47" t="s">
        <v>1509</v>
      </c>
      <c r="E178" s="47">
        <v>8.410650167909E12</v>
      </c>
      <c r="F178" s="47" t="s">
        <v>1523</v>
      </c>
      <c r="G178" s="47" t="s">
        <v>1551</v>
      </c>
      <c r="H178" s="30">
        <v>1.0</v>
      </c>
      <c r="I178" s="30">
        <v>1600.0</v>
      </c>
      <c r="J178" s="30">
        <v>1600.0</v>
      </c>
      <c r="K178" s="30">
        <v>10.62</v>
      </c>
      <c r="L178" s="30">
        <v>169.92</v>
      </c>
      <c r="M178" s="30">
        <v>1228.0</v>
      </c>
      <c r="N178" s="30">
        <v>1228.0</v>
      </c>
      <c r="O178" s="30">
        <v>0.0</v>
      </c>
      <c r="P178" s="30">
        <v>0.0</v>
      </c>
      <c r="Q178" s="30">
        <v>202.08</v>
      </c>
    </row>
    <row r="179">
      <c r="A179" s="47">
        <v>1.1242253393E10</v>
      </c>
      <c r="B179" s="48">
        <v>46159.13689814815</v>
      </c>
      <c r="C179" s="30">
        <v>3.855930972E9</v>
      </c>
      <c r="D179" s="47" t="s">
        <v>1509</v>
      </c>
      <c r="E179" s="47" t="s">
        <v>356</v>
      </c>
      <c r="F179" s="47" t="s">
        <v>1523</v>
      </c>
      <c r="G179" s="47" t="s">
        <v>1532</v>
      </c>
      <c r="H179" s="30">
        <v>1.0</v>
      </c>
      <c r="I179" s="30">
        <v>729.0</v>
      </c>
      <c r="J179" s="30">
        <v>729.0</v>
      </c>
      <c r="K179" s="30">
        <v>4.95</v>
      </c>
      <c r="L179" s="30">
        <v>36.0855</v>
      </c>
      <c r="M179" s="30">
        <v>580.0</v>
      </c>
      <c r="N179" s="30">
        <v>580.0</v>
      </c>
      <c r="O179" s="30">
        <v>0.0</v>
      </c>
      <c r="P179" s="30">
        <v>0.0</v>
      </c>
      <c r="Q179" s="30">
        <v>112.9145</v>
      </c>
    </row>
    <row r="180">
      <c r="A180" s="47">
        <v>1.1238048427E10</v>
      </c>
      <c r="B180" s="48">
        <v>46157.917083333334</v>
      </c>
      <c r="C180" s="30">
        <v>3.852495916E9</v>
      </c>
      <c r="D180" s="47" t="s">
        <v>1509</v>
      </c>
      <c r="E180" s="47">
        <v>7.613033560064E12</v>
      </c>
      <c r="F180" s="47" t="s">
        <v>1523</v>
      </c>
      <c r="G180" s="47" t="s">
        <v>1527</v>
      </c>
      <c r="H180" s="30">
        <v>1.0</v>
      </c>
      <c r="I180" s="30">
        <v>1291.0</v>
      </c>
      <c r="J180" s="30">
        <v>1291.0</v>
      </c>
      <c r="K180" s="30">
        <v>2.7</v>
      </c>
      <c r="L180" s="30">
        <v>34.857</v>
      </c>
      <c r="M180" s="30">
        <v>1190.0</v>
      </c>
      <c r="N180" s="30">
        <v>1190.0</v>
      </c>
      <c r="O180" s="30">
        <v>0.0</v>
      </c>
      <c r="P180" s="30">
        <v>0.0</v>
      </c>
      <c r="Q180" s="30">
        <v>66.143</v>
      </c>
    </row>
    <row r="181">
      <c r="A181" s="47">
        <v>1.124208138E10</v>
      </c>
      <c r="B181" s="48">
        <v>46159.0943287037</v>
      </c>
      <c r="C181" s="30">
        <v>3.85577311E9</v>
      </c>
      <c r="D181" s="47" t="s">
        <v>1509</v>
      </c>
      <c r="E181" s="47">
        <v>7.613033560064E12</v>
      </c>
      <c r="F181" s="47" t="s">
        <v>1523</v>
      </c>
      <c r="G181" s="47" t="s">
        <v>1527</v>
      </c>
      <c r="H181" s="30">
        <v>1.0</v>
      </c>
      <c r="I181" s="30">
        <v>1284.0</v>
      </c>
      <c r="J181" s="30">
        <v>1284.0</v>
      </c>
      <c r="K181" s="30">
        <v>2.7</v>
      </c>
      <c r="L181" s="30">
        <v>34.668</v>
      </c>
      <c r="M181" s="30">
        <v>1190.0</v>
      </c>
      <c r="N181" s="30">
        <v>1190.0</v>
      </c>
      <c r="O181" s="30">
        <v>0.0</v>
      </c>
      <c r="P181" s="30">
        <v>0.0</v>
      </c>
      <c r="Q181" s="30">
        <v>59.332</v>
      </c>
    </row>
    <row r="182">
      <c r="A182" s="47">
        <v>1.1240284886E10</v>
      </c>
      <c r="B182" s="48">
        <v>46158.72503472222</v>
      </c>
      <c r="C182" s="30">
        <v>3.854439161E9</v>
      </c>
      <c r="D182" s="47" t="s">
        <v>1509</v>
      </c>
      <c r="E182" s="47">
        <v>7.613033560064E12</v>
      </c>
      <c r="F182" s="47" t="s">
        <v>1523</v>
      </c>
      <c r="G182" s="47" t="s">
        <v>1527</v>
      </c>
      <c r="H182" s="30">
        <v>1.0</v>
      </c>
      <c r="I182" s="30">
        <v>1286.0</v>
      </c>
      <c r="J182" s="30">
        <v>1286.0</v>
      </c>
      <c r="K182" s="30">
        <v>2.7</v>
      </c>
      <c r="L182" s="30">
        <v>34.722</v>
      </c>
      <c r="M182" s="30">
        <v>1190.0</v>
      </c>
      <c r="N182" s="30">
        <v>1190.0</v>
      </c>
      <c r="O182" s="30">
        <v>0.0</v>
      </c>
      <c r="P182" s="30">
        <v>0.0</v>
      </c>
      <c r="Q182" s="30">
        <v>61.278</v>
      </c>
    </row>
    <row r="183">
      <c r="A183" s="47">
        <v>1.125008874E10</v>
      </c>
      <c r="B183" s="48">
        <v>46161.72122685185</v>
      </c>
      <c r="C183" s="30">
        <v>3.862598008E9</v>
      </c>
      <c r="D183" s="47" t="s">
        <v>1508</v>
      </c>
      <c r="E183" s="47">
        <v>6.923632570121E12</v>
      </c>
      <c r="F183" s="47" t="s">
        <v>306</v>
      </c>
      <c r="G183" s="47" t="s">
        <v>1555</v>
      </c>
      <c r="H183" s="30">
        <v>1.0</v>
      </c>
      <c r="I183" s="30">
        <v>852.0</v>
      </c>
      <c r="J183" s="30">
        <v>852.0</v>
      </c>
      <c r="K183" s="30">
        <v>19.0</v>
      </c>
      <c r="L183" s="30">
        <v>161.88</v>
      </c>
      <c r="M183" s="30">
        <v>300.0</v>
      </c>
      <c r="N183" s="30">
        <v>300.0</v>
      </c>
      <c r="O183" s="30">
        <v>0.0</v>
      </c>
      <c r="P183" s="30">
        <v>0.0</v>
      </c>
      <c r="Q183" s="30">
        <v>390.12</v>
      </c>
    </row>
    <row r="184">
      <c r="A184" s="47">
        <v>1.1242295462E10</v>
      </c>
      <c r="B184" s="48">
        <v>46159.14957175926</v>
      </c>
      <c r="C184" s="30">
        <v>3.855968511E9</v>
      </c>
      <c r="D184" s="47" t="s">
        <v>1509</v>
      </c>
      <c r="E184" s="47">
        <v>7.613031680992E12</v>
      </c>
      <c r="F184" s="47" t="s">
        <v>1523</v>
      </c>
      <c r="G184" s="47" t="s">
        <v>1541</v>
      </c>
      <c r="H184" s="30">
        <v>2.0</v>
      </c>
      <c r="I184" s="30">
        <v>768.0</v>
      </c>
      <c r="J184" s="30">
        <v>1536.0</v>
      </c>
      <c r="K184" s="30">
        <v>3.69</v>
      </c>
      <c r="L184" s="30">
        <v>56.6784</v>
      </c>
      <c r="M184" s="30">
        <v>580.0</v>
      </c>
      <c r="N184" s="30">
        <v>1160.0</v>
      </c>
      <c r="O184" s="30">
        <v>0.0</v>
      </c>
      <c r="P184" s="30">
        <v>0.0</v>
      </c>
      <c r="Q184" s="30">
        <v>319.3216</v>
      </c>
    </row>
    <row r="185">
      <c r="A185" s="47">
        <v>1.1236578453E10</v>
      </c>
      <c r="B185" s="48">
        <v>46157.621886574074</v>
      </c>
      <c r="C185" s="30">
        <v>3.851324355E9</v>
      </c>
      <c r="D185" s="47" t="s">
        <v>1510</v>
      </c>
      <c r="E185" s="47" t="s">
        <v>356</v>
      </c>
      <c r="F185" s="47" t="s">
        <v>1523</v>
      </c>
      <c r="G185" s="47" t="s">
        <v>1532</v>
      </c>
      <c r="H185" s="30">
        <v>1.0</v>
      </c>
      <c r="I185" s="30">
        <v>729.0</v>
      </c>
      <c r="J185" s="30">
        <v>729.0</v>
      </c>
      <c r="K185" s="30">
        <v>4.95</v>
      </c>
      <c r="L185" s="30">
        <v>36.0855</v>
      </c>
      <c r="M185" s="30">
        <v>580.0</v>
      </c>
      <c r="N185" s="30">
        <v>580.0</v>
      </c>
      <c r="O185" s="30">
        <v>0.0</v>
      </c>
      <c r="P185" s="30">
        <v>0.0</v>
      </c>
      <c r="Q185" s="30">
        <v>112.9145</v>
      </c>
    </row>
    <row r="186">
      <c r="A186" s="47">
        <v>1.1234563166E10</v>
      </c>
      <c r="B186" s="48">
        <v>46156.868263888886</v>
      </c>
      <c r="C186" s="30">
        <v>3.849443612E9</v>
      </c>
      <c r="D186" s="47" t="s">
        <v>1509</v>
      </c>
      <c r="E186" s="47">
        <v>7.613033560064E12</v>
      </c>
      <c r="F186" s="47" t="s">
        <v>1523</v>
      </c>
      <c r="G186" s="47" t="s">
        <v>1527</v>
      </c>
      <c r="H186" s="30">
        <v>1.0</v>
      </c>
      <c r="I186" s="30">
        <v>1290.0</v>
      </c>
      <c r="J186" s="30">
        <v>1290.0</v>
      </c>
      <c r="K186" s="30">
        <v>2.7</v>
      </c>
      <c r="L186" s="30">
        <v>34.830000000000005</v>
      </c>
      <c r="M186" s="30">
        <v>1190.0</v>
      </c>
      <c r="N186" s="30">
        <v>1190.0</v>
      </c>
      <c r="O186" s="30">
        <v>0.0</v>
      </c>
      <c r="P186" s="30">
        <v>0.0</v>
      </c>
      <c r="Q186" s="30">
        <v>65.16999999999999</v>
      </c>
    </row>
    <row r="187">
      <c r="A187" s="47">
        <v>1.1239637562E10</v>
      </c>
      <c r="B187" s="48">
        <v>46158.58131944444</v>
      </c>
      <c r="C187" s="30">
        <v>3.853884557E9</v>
      </c>
      <c r="D187" s="47" t="s">
        <v>1509</v>
      </c>
      <c r="E187" s="47">
        <v>7.613033560064E12</v>
      </c>
      <c r="F187" s="47" t="s">
        <v>1523</v>
      </c>
      <c r="G187" s="47" t="s">
        <v>1527</v>
      </c>
      <c r="H187" s="30">
        <v>1.0</v>
      </c>
      <c r="I187" s="30">
        <v>1289.0</v>
      </c>
      <c r="J187" s="30">
        <v>1289.0</v>
      </c>
      <c r="K187" s="30">
        <v>2.7</v>
      </c>
      <c r="L187" s="30">
        <v>34.803000000000004</v>
      </c>
      <c r="M187" s="30">
        <v>1190.0</v>
      </c>
      <c r="N187" s="30">
        <v>1190.0</v>
      </c>
      <c r="O187" s="30">
        <v>0.0</v>
      </c>
      <c r="P187" s="30">
        <v>0.0</v>
      </c>
      <c r="Q187" s="30">
        <v>64.197</v>
      </c>
    </row>
    <row r="188">
      <c r="A188" s="47">
        <v>1.1239610614E10</v>
      </c>
      <c r="B188" s="48">
        <v>46158.573125</v>
      </c>
      <c r="C188" s="30">
        <v>3.853860053E9</v>
      </c>
      <c r="D188" s="47" t="s">
        <v>1509</v>
      </c>
      <c r="E188" s="47">
        <v>7.613033560064E12</v>
      </c>
      <c r="F188" s="47" t="s">
        <v>1523</v>
      </c>
      <c r="G188" s="47" t="s">
        <v>1527</v>
      </c>
      <c r="H188" s="30">
        <v>1.0</v>
      </c>
      <c r="I188" s="30">
        <v>1289.0</v>
      </c>
      <c r="J188" s="30">
        <v>1289.0</v>
      </c>
      <c r="K188" s="30">
        <v>2.7</v>
      </c>
      <c r="L188" s="30">
        <v>34.803000000000004</v>
      </c>
      <c r="M188" s="30">
        <v>1190.0</v>
      </c>
      <c r="N188" s="30">
        <v>1190.0</v>
      </c>
      <c r="O188" s="30">
        <v>0.0</v>
      </c>
      <c r="P188" s="30">
        <v>0.0</v>
      </c>
      <c r="Q188" s="30">
        <v>64.197</v>
      </c>
    </row>
    <row r="189">
      <c r="A189" s="47">
        <v>1.1244865055E10</v>
      </c>
      <c r="B189" s="48">
        <v>46159.99872685185</v>
      </c>
      <c r="C189" s="30">
        <v>3.85795427E9</v>
      </c>
      <c r="D189" s="47" t="s">
        <v>1509</v>
      </c>
      <c r="E189" s="47" t="s">
        <v>356</v>
      </c>
      <c r="F189" s="47" t="s">
        <v>1523</v>
      </c>
      <c r="G189" s="47" t="s">
        <v>1532</v>
      </c>
      <c r="H189" s="30">
        <v>2.0</v>
      </c>
      <c r="I189" s="30">
        <v>729.0</v>
      </c>
      <c r="J189" s="30">
        <v>1458.0</v>
      </c>
      <c r="K189" s="30">
        <v>4.95</v>
      </c>
      <c r="L189" s="30">
        <v>72.171</v>
      </c>
      <c r="M189" s="30">
        <v>580.0</v>
      </c>
      <c r="N189" s="30">
        <v>1160.0</v>
      </c>
      <c r="O189" s="30">
        <v>0.0</v>
      </c>
      <c r="P189" s="30">
        <v>0.0</v>
      </c>
      <c r="Q189" s="30">
        <v>225.829</v>
      </c>
    </row>
    <row r="190">
      <c r="A190" s="47">
        <v>1.1236801763E10</v>
      </c>
      <c r="B190" s="48">
        <v>46157.66540509259</v>
      </c>
      <c r="C190" s="30">
        <v>3.851508249E9</v>
      </c>
      <c r="D190" s="47" t="s">
        <v>1509</v>
      </c>
      <c r="E190" s="47" t="s">
        <v>356</v>
      </c>
      <c r="F190" s="47" t="s">
        <v>1523</v>
      </c>
      <c r="G190" s="47" t="s">
        <v>1532</v>
      </c>
      <c r="H190" s="30">
        <v>1.0</v>
      </c>
      <c r="I190" s="30">
        <v>729.0</v>
      </c>
      <c r="J190" s="30">
        <v>729.0</v>
      </c>
      <c r="K190" s="30">
        <v>4.95</v>
      </c>
      <c r="L190" s="30">
        <v>36.0855</v>
      </c>
      <c r="M190" s="30">
        <v>580.0</v>
      </c>
      <c r="N190" s="30">
        <v>580.0</v>
      </c>
      <c r="O190" s="30">
        <v>0.0</v>
      </c>
      <c r="P190" s="30">
        <v>0.0</v>
      </c>
      <c r="Q190" s="30">
        <v>112.9145</v>
      </c>
    </row>
    <row r="191">
      <c r="A191" s="47">
        <v>1.125006156E10</v>
      </c>
      <c r="B191" s="48">
        <v>46161.715844907405</v>
      </c>
      <c r="C191" s="30">
        <v>3.862574233E9</v>
      </c>
      <c r="D191" s="47" t="s">
        <v>1508</v>
      </c>
      <c r="E191" s="47">
        <v>8.410650151656E12</v>
      </c>
      <c r="F191" s="47" t="s">
        <v>1523</v>
      </c>
      <c r="G191" s="47" t="s">
        <v>1525</v>
      </c>
      <c r="H191" s="30">
        <v>1.0</v>
      </c>
      <c r="I191" s="30">
        <v>1630.0</v>
      </c>
      <c r="J191" s="30">
        <v>1630.0</v>
      </c>
      <c r="K191" s="30">
        <v>15.9</v>
      </c>
      <c r="L191" s="30">
        <v>259.17</v>
      </c>
      <c r="M191" s="30">
        <v>1228.0</v>
      </c>
      <c r="N191" s="30">
        <v>1228.0</v>
      </c>
      <c r="O191" s="30">
        <v>0.0</v>
      </c>
      <c r="P191" s="30">
        <v>0.0</v>
      </c>
      <c r="Q191" s="30">
        <v>142.82999999999998</v>
      </c>
    </row>
    <row r="192">
      <c r="A192" s="47">
        <v>1.1239597433E10</v>
      </c>
      <c r="B192" s="48">
        <v>46158.56945601852</v>
      </c>
      <c r="C192" s="30">
        <v>3.853846966E9</v>
      </c>
      <c r="D192" s="47" t="s">
        <v>1509</v>
      </c>
      <c r="E192" s="47">
        <v>7.613033560064E12</v>
      </c>
      <c r="F192" s="47" t="s">
        <v>1523</v>
      </c>
      <c r="G192" s="47" t="s">
        <v>1527</v>
      </c>
      <c r="H192" s="30">
        <v>1.0</v>
      </c>
      <c r="I192" s="30">
        <v>1289.0</v>
      </c>
      <c r="J192" s="30">
        <v>1289.0</v>
      </c>
      <c r="K192" s="30">
        <v>2.7</v>
      </c>
      <c r="L192" s="30">
        <v>34.803000000000004</v>
      </c>
      <c r="M192" s="30">
        <v>1190.0</v>
      </c>
      <c r="N192" s="30">
        <v>1190.0</v>
      </c>
      <c r="O192" s="30">
        <v>0.0</v>
      </c>
      <c r="P192" s="30">
        <v>0.0</v>
      </c>
      <c r="Q192" s="30">
        <v>64.197</v>
      </c>
    </row>
    <row r="193">
      <c r="A193" s="47">
        <v>1.1244381033E10</v>
      </c>
      <c r="B193" s="48">
        <v>46159.91174768518</v>
      </c>
      <c r="C193" s="30">
        <v>3.857612416E9</v>
      </c>
      <c r="D193" s="47" t="s">
        <v>1509</v>
      </c>
      <c r="E193" s="47">
        <v>7.613032816536E12</v>
      </c>
      <c r="F193" s="47" t="s">
        <v>1523</v>
      </c>
      <c r="G193" s="47" t="s">
        <v>1533</v>
      </c>
      <c r="H193" s="30">
        <v>2.0</v>
      </c>
      <c r="I193" s="30">
        <v>677.995</v>
      </c>
      <c r="J193" s="30">
        <v>1355.99</v>
      </c>
      <c r="K193" s="30">
        <v>4.41</v>
      </c>
      <c r="L193" s="30">
        <v>59.799159</v>
      </c>
      <c r="M193" s="30">
        <v>580.0</v>
      </c>
      <c r="N193" s="30">
        <v>1160.0</v>
      </c>
      <c r="O193" s="30">
        <v>0.0</v>
      </c>
      <c r="P193" s="30">
        <v>0.0</v>
      </c>
      <c r="Q193" s="30">
        <v>136.190841</v>
      </c>
    </row>
    <row r="194">
      <c r="A194" s="47">
        <v>1.1244381033E10</v>
      </c>
      <c r="B194" s="48">
        <v>46159.91174768518</v>
      </c>
      <c r="C194" s="30">
        <v>3.857612416E9</v>
      </c>
      <c r="D194" s="47" t="s">
        <v>1509</v>
      </c>
      <c r="E194" s="47">
        <v>8.684501941837E12</v>
      </c>
      <c r="F194" s="47" t="s">
        <v>289</v>
      </c>
      <c r="G194" s="47" t="s">
        <v>1543</v>
      </c>
      <c r="H194" s="30">
        <v>1.0</v>
      </c>
      <c r="I194" s="30">
        <v>301.01</v>
      </c>
      <c r="J194" s="30">
        <v>301.01</v>
      </c>
      <c r="K194" s="30">
        <v>18.0</v>
      </c>
      <c r="L194" s="30">
        <v>54.1818</v>
      </c>
      <c r="M194" s="30">
        <v>53.0</v>
      </c>
      <c r="N194" s="30">
        <v>53.0</v>
      </c>
      <c r="O194" s="30">
        <v>0.0</v>
      </c>
      <c r="P194" s="30">
        <v>0.0</v>
      </c>
      <c r="Q194" s="30">
        <v>193.82819999999998</v>
      </c>
    </row>
    <row r="195">
      <c r="A195" s="47">
        <v>1.1242888948E10</v>
      </c>
      <c r="B195" s="48">
        <v>46159.61273148148</v>
      </c>
      <c r="C195" s="30">
        <v>3.856504417E9</v>
      </c>
      <c r="D195" s="47" t="s">
        <v>1509</v>
      </c>
      <c r="E195" s="47">
        <v>8.410650218663E12</v>
      </c>
      <c r="F195" s="47" t="s">
        <v>1523</v>
      </c>
      <c r="G195" s="47" t="s">
        <v>1542</v>
      </c>
      <c r="H195" s="30">
        <v>1.0</v>
      </c>
      <c r="I195" s="30">
        <v>4515.0</v>
      </c>
      <c r="J195" s="30">
        <v>4515.0</v>
      </c>
      <c r="K195" s="30">
        <v>11.79</v>
      </c>
      <c r="L195" s="30">
        <v>532.3185</v>
      </c>
      <c r="M195" s="30">
        <v>3556.0</v>
      </c>
      <c r="N195" s="30">
        <v>3556.0</v>
      </c>
      <c r="O195" s="30">
        <v>0.0</v>
      </c>
      <c r="P195" s="30">
        <v>0.0</v>
      </c>
      <c r="Q195" s="30">
        <v>426.6815</v>
      </c>
    </row>
    <row r="196">
      <c r="A196" s="47">
        <v>1.1240904706E10</v>
      </c>
      <c r="B196" s="48">
        <v>46158.85449074074</v>
      </c>
      <c r="C196" s="30">
        <v>3.854898612E9</v>
      </c>
      <c r="D196" s="47" t="s">
        <v>1509</v>
      </c>
      <c r="E196" s="47">
        <v>7.613033560064E12</v>
      </c>
      <c r="F196" s="47" t="s">
        <v>1523</v>
      </c>
      <c r="G196" s="47" t="s">
        <v>1527</v>
      </c>
      <c r="H196" s="30">
        <v>1.0</v>
      </c>
      <c r="I196" s="30">
        <v>1285.0</v>
      </c>
      <c r="J196" s="30">
        <v>1285.0</v>
      </c>
      <c r="K196" s="30">
        <v>2.7</v>
      </c>
      <c r="L196" s="30">
        <v>34.69500000000001</v>
      </c>
      <c r="M196" s="30">
        <v>1190.0</v>
      </c>
      <c r="N196" s="30">
        <v>1190.0</v>
      </c>
      <c r="O196" s="30">
        <v>0.0</v>
      </c>
      <c r="P196" s="30">
        <v>0.0</v>
      </c>
      <c r="Q196" s="30">
        <v>60.30499999999999</v>
      </c>
    </row>
    <row r="197">
      <c r="A197" s="47">
        <v>1.1240809728E10</v>
      </c>
      <c r="B197" s="48">
        <v>46158.83462962963</v>
      </c>
      <c r="C197" s="30">
        <v>3.85483287E9</v>
      </c>
      <c r="D197" s="47" t="s">
        <v>1509</v>
      </c>
      <c r="E197" s="47" t="s">
        <v>356</v>
      </c>
      <c r="F197" s="47" t="s">
        <v>1523</v>
      </c>
      <c r="G197" s="47" t="s">
        <v>1532</v>
      </c>
      <c r="H197" s="30">
        <v>2.0</v>
      </c>
      <c r="I197" s="30">
        <v>729.0</v>
      </c>
      <c r="J197" s="30">
        <v>1458.0</v>
      </c>
      <c r="K197" s="30">
        <v>4.95</v>
      </c>
      <c r="L197" s="30">
        <v>72.171</v>
      </c>
      <c r="M197" s="30">
        <v>580.0</v>
      </c>
      <c r="N197" s="30">
        <v>1160.0</v>
      </c>
      <c r="O197" s="30">
        <v>0.0</v>
      </c>
      <c r="P197" s="30">
        <v>0.0</v>
      </c>
      <c r="Q197" s="30">
        <v>225.829</v>
      </c>
    </row>
    <row r="198">
      <c r="A198" s="47">
        <v>1.1242605774E10</v>
      </c>
      <c r="B198" s="48">
        <v>46159.51150462963</v>
      </c>
      <c r="C198" s="30">
        <v>3.85626493E9</v>
      </c>
      <c r="D198" s="47" t="s">
        <v>1509</v>
      </c>
      <c r="E198" s="47">
        <v>7.613033560064E12</v>
      </c>
      <c r="F198" s="47" t="s">
        <v>1523</v>
      </c>
      <c r="G198" s="47" t="s">
        <v>1527</v>
      </c>
      <c r="H198" s="30">
        <v>1.0</v>
      </c>
      <c r="I198" s="30">
        <v>1283.0</v>
      </c>
      <c r="J198" s="30">
        <v>1283.0</v>
      </c>
      <c r="K198" s="30">
        <v>2.7</v>
      </c>
      <c r="L198" s="30">
        <v>34.641000000000005</v>
      </c>
      <c r="M198" s="30">
        <v>1190.0</v>
      </c>
      <c r="N198" s="30">
        <v>1190.0</v>
      </c>
      <c r="O198" s="30">
        <v>0.0</v>
      </c>
      <c r="P198" s="30">
        <v>0.0</v>
      </c>
      <c r="Q198" s="30">
        <v>58.358999999999995</v>
      </c>
    </row>
    <row r="199">
      <c r="A199" s="47">
        <v>1.1240072518E10</v>
      </c>
      <c r="B199" s="48">
        <v>46158.68193287037</v>
      </c>
      <c r="C199" s="30">
        <v>3.854266377E9</v>
      </c>
      <c r="D199" s="47" t="s">
        <v>1509</v>
      </c>
      <c r="E199" s="47">
        <v>7.613031680992E12</v>
      </c>
      <c r="F199" s="47" t="s">
        <v>1523</v>
      </c>
      <c r="G199" s="47" t="s">
        <v>1541</v>
      </c>
      <c r="H199" s="30">
        <v>1.0</v>
      </c>
      <c r="I199" s="30">
        <v>768.0</v>
      </c>
      <c r="J199" s="30">
        <v>768.0</v>
      </c>
      <c r="K199" s="30">
        <v>3.69</v>
      </c>
      <c r="L199" s="30">
        <v>28.3392</v>
      </c>
      <c r="M199" s="30">
        <v>580.0</v>
      </c>
      <c r="N199" s="30">
        <v>580.0</v>
      </c>
      <c r="O199" s="30">
        <v>0.0</v>
      </c>
      <c r="P199" s="30">
        <v>0.0</v>
      </c>
      <c r="Q199" s="30">
        <v>159.6608</v>
      </c>
    </row>
    <row r="200">
      <c r="A200" s="47">
        <v>1.1241313769E10</v>
      </c>
      <c r="B200" s="48">
        <v>46158.93671296296</v>
      </c>
      <c r="C200" s="30">
        <v>3.85517056E9</v>
      </c>
      <c r="D200" s="47" t="s">
        <v>1509</v>
      </c>
      <c r="E200" s="47">
        <v>7.613032816536E12</v>
      </c>
      <c r="F200" s="47" t="s">
        <v>1523</v>
      </c>
      <c r="G200" s="47" t="s">
        <v>1533</v>
      </c>
      <c r="H200" s="30">
        <v>1.0</v>
      </c>
      <c r="I200" s="30">
        <v>729.0</v>
      </c>
      <c r="J200" s="30">
        <v>729.0</v>
      </c>
      <c r="K200" s="30">
        <v>4.41</v>
      </c>
      <c r="L200" s="30">
        <v>32.148900000000005</v>
      </c>
      <c r="M200" s="30">
        <v>580.0</v>
      </c>
      <c r="N200" s="30">
        <v>580.0</v>
      </c>
      <c r="O200" s="30">
        <v>0.0</v>
      </c>
      <c r="P200" s="30">
        <v>0.0</v>
      </c>
      <c r="Q200" s="30">
        <v>116.8511</v>
      </c>
    </row>
    <row r="201">
      <c r="A201" s="47">
        <v>1.1242436766E10</v>
      </c>
      <c r="B201" s="48">
        <v>46159.2128125</v>
      </c>
      <c r="C201" s="30">
        <v>3.856097107E9</v>
      </c>
      <c r="D201" s="47" t="s">
        <v>1509</v>
      </c>
      <c r="E201" s="47">
        <v>7.613033560064E12</v>
      </c>
      <c r="F201" s="47" t="s">
        <v>1523</v>
      </c>
      <c r="G201" s="47" t="s">
        <v>1527</v>
      </c>
      <c r="H201" s="30">
        <v>1.0</v>
      </c>
      <c r="I201" s="30">
        <v>1284.0</v>
      </c>
      <c r="J201" s="30">
        <v>1284.0</v>
      </c>
      <c r="K201" s="30">
        <v>2.7</v>
      </c>
      <c r="L201" s="30">
        <v>34.668</v>
      </c>
      <c r="M201" s="30">
        <v>1190.0</v>
      </c>
      <c r="N201" s="30">
        <v>1190.0</v>
      </c>
      <c r="O201" s="30">
        <v>0.0</v>
      </c>
      <c r="P201" s="30">
        <v>0.0</v>
      </c>
      <c r="Q201" s="30">
        <v>59.332</v>
      </c>
    </row>
    <row r="202">
      <c r="A202" s="47">
        <v>1.1237375226E10</v>
      </c>
      <c r="B202" s="48">
        <v>46157.781273148146</v>
      </c>
      <c r="C202" s="30">
        <v>3.851992245E9</v>
      </c>
      <c r="D202" s="47" t="s">
        <v>1509</v>
      </c>
      <c r="E202" s="47">
        <v>7.613035846708E12</v>
      </c>
      <c r="F202" s="47" t="s">
        <v>1523</v>
      </c>
      <c r="G202" s="47" t="s">
        <v>1535</v>
      </c>
      <c r="H202" s="30">
        <v>1.0</v>
      </c>
      <c r="I202" s="30">
        <v>1267.9</v>
      </c>
      <c r="J202" s="30">
        <v>1267.9</v>
      </c>
      <c r="K202" s="30">
        <v>4.5</v>
      </c>
      <c r="L202" s="30">
        <v>57.0555</v>
      </c>
      <c r="M202" s="30">
        <v>1160.0</v>
      </c>
      <c r="N202" s="30">
        <v>1160.0</v>
      </c>
      <c r="O202" s="30">
        <v>0.0</v>
      </c>
      <c r="P202" s="30">
        <v>0.0</v>
      </c>
      <c r="Q202" s="30">
        <v>50.84450000000009</v>
      </c>
    </row>
    <row r="203">
      <c r="A203" s="47">
        <v>1.1243261712E10</v>
      </c>
      <c r="B203" s="48">
        <v>46159.695543981485</v>
      </c>
      <c r="C203" s="30">
        <v>3.85681149E9</v>
      </c>
      <c r="D203" s="47" t="s">
        <v>1509</v>
      </c>
      <c r="E203" s="47">
        <v>8.410650218663E12</v>
      </c>
      <c r="F203" s="47" t="s">
        <v>1523</v>
      </c>
      <c r="G203" s="47" t="s">
        <v>1542</v>
      </c>
      <c r="H203" s="30">
        <v>1.0</v>
      </c>
      <c r="I203" s="30">
        <v>4515.0</v>
      </c>
      <c r="J203" s="30">
        <v>4515.0</v>
      </c>
      <c r="K203" s="30">
        <v>11.79</v>
      </c>
      <c r="L203" s="30">
        <v>532.3185</v>
      </c>
      <c r="M203" s="30">
        <v>3556.0</v>
      </c>
      <c r="N203" s="30">
        <v>3556.0</v>
      </c>
      <c r="O203" s="30">
        <v>0.0</v>
      </c>
      <c r="P203" s="30">
        <v>0.0</v>
      </c>
      <c r="Q203" s="30">
        <v>426.6815</v>
      </c>
    </row>
    <row r="204">
      <c r="A204" s="47">
        <v>1.1241174617E10</v>
      </c>
      <c r="B204" s="48">
        <v>46158.90856481482</v>
      </c>
      <c r="C204" s="30">
        <v>3.855078111E9</v>
      </c>
      <c r="D204" s="47" t="s">
        <v>1509</v>
      </c>
      <c r="E204" s="47">
        <v>7.613033560064E12</v>
      </c>
      <c r="F204" s="47" t="s">
        <v>1523</v>
      </c>
      <c r="G204" s="47" t="s">
        <v>1527</v>
      </c>
      <c r="H204" s="30">
        <v>1.0</v>
      </c>
      <c r="I204" s="30">
        <v>1285.0</v>
      </c>
      <c r="J204" s="30">
        <v>1285.0</v>
      </c>
      <c r="K204" s="30">
        <v>2.7</v>
      </c>
      <c r="L204" s="30">
        <v>34.69500000000001</v>
      </c>
      <c r="M204" s="30">
        <v>1190.0</v>
      </c>
      <c r="N204" s="30">
        <v>1190.0</v>
      </c>
      <c r="O204" s="30">
        <v>0.0</v>
      </c>
      <c r="P204" s="30">
        <v>0.0</v>
      </c>
      <c r="Q204" s="30">
        <v>60.30499999999999</v>
      </c>
    </row>
    <row r="205">
      <c r="A205" s="47">
        <v>1.1243962098E10</v>
      </c>
      <c r="B205" s="48">
        <v>46159.8344212963</v>
      </c>
      <c r="C205" s="30">
        <v>3.857333667E9</v>
      </c>
      <c r="D205" s="47" t="s">
        <v>1509</v>
      </c>
      <c r="E205" s="47">
        <v>7.613032816536E12</v>
      </c>
      <c r="F205" s="47" t="s">
        <v>1523</v>
      </c>
      <c r="G205" s="47" t="s">
        <v>1533</v>
      </c>
      <c r="H205" s="30">
        <v>1.0</v>
      </c>
      <c r="I205" s="30">
        <v>729.0</v>
      </c>
      <c r="J205" s="30">
        <v>729.0</v>
      </c>
      <c r="K205" s="30">
        <v>4.41</v>
      </c>
      <c r="L205" s="30">
        <v>32.148900000000005</v>
      </c>
      <c r="M205" s="30">
        <v>580.0</v>
      </c>
      <c r="N205" s="30">
        <v>580.0</v>
      </c>
      <c r="O205" s="30">
        <v>0.0</v>
      </c>
      <c r="P205" s="30">
        <v>0.0</v>
      </c>
      <c r="Q205" s="30">
        <v>116.8511</v>
      </c>
    </row>
    <row r="206">
      <c r="A206" s="47">
        <v>1.1245485137E10</v>
      </c>
      <c r="B206" s="48">
        <v>46160.114328703705</v>
      </c>
      <c r="C206" s="30">
        <v>3.858525983E9</v>
      </c>
      <c r="D206" s="47" t="s">
        <v>1509</v>
      </c>
      <c r="E206" s="47" t="s">
        <v>356</v>
      </c>
      <c r="F206" s="47" t="s">
        <v>1523</v>
      </c>
      <c r="G206" s="47" t="s">
        <v>1532</v>
      </c>
      <c r="H206" s="30">
        <v>1.0</v>
      </c>
      <c r="I206" s="30">
        <v>729.0</v>
      </c>
      <c r="J206" s="30">
        <v>729.0</v>
      </c>
      <c r="K206" s="30">
        <v>4.95</v>
      </c>
      <c r="L206" s="30">
        <v>36.0855</v>
      </c>
      <c r="M206" s="30">
        <v>580.0</v>
      </c>
      <c r="N206" s="30">
        <v>580.0</v>
      </c>
      <c r="O206" s="30">
        <v>0.0</v>
      </c>
      <c r="P206" s="30">
        <v>0.0</v>
      </c>
      <c r="Q206" s="30">
        <v>112.9145</v>
      </c>
    </row>
    <row r="207">
      <c r="A207" s="47">
        <v>1.1241831656E10</v>
      </c>
      <c r="B207" s="48">
        <v>46159.04076388889</v>
      </c>
      <c r="C207" s="30">
        <v>3.855553681E9</v>
      </c>
      <c r="D207" s="47" t="s">
        <v>1509</v>
      </c>
      <c r="E207" s="47">
        <v>7.613032816536E12</v>
      </c>
      <c r="F207" s="47" t="s">
        <v>1523</v>
      </c>
      <c r="G207" s="47" t="s">
        <v>1533</v>
      </c>
      <c r="H207" s="30">
        <v>1.0</v>
      </c>
      <c r="I207" s="30">
        <v>729.0</v>
      </c>
      <c r="J207" s="30">
        <v>729.0</v>
      </c>
      <c r="K207" s="30">
        <v>4.41</v>
      </c>
      <c r="L207" s="30">
        <v>32.148900000000005</v>
      </c>
      <c r="M207" s="30">
        <v>580.0</v>
      </c>
      <c r="N207" s="30">
        <v>580.0</v>
      </c>
      <c r="O207" s="30">
        <v>0.0</v>
      </c>
      <c r="P207" s="30">
        <v>0.0</v>
      </c>
      <c r="Q207" s="30">
        <v>116.8511</v>
      </c>
    </row>
    <row r="208">
      <c r="A208" s="47">
        <v>1.1241910388E10</v>
      </c>
      <c r="B208" s="48">
        <v>46159.05730324074</v>
      </c>
      <c r="C208" s="30">
        <v>3.855621265E9</v>
      </c>
      <c r="D208" s="47" t="s">
        <v>1509</v>
      </c>
      <c r="E208" s="47">
        <v>7.613033560064E12</v>
      </c>
      <c r="F208" s="47" t="s">
        <v>1523</v>
      </c>
      <c r="G208" s="47" t="s">
        <v>1527</v>
      </c>
      <c r="H208" s="30">
        <v>1.0</v>
      </c>
      <c r="I208" s="30">
        <v>1284.0</v>
      </c>
      <c r="J208" s="30">
        <v>1284.0</v>
      </c>
      <c r="K208" s="30">
        <v>2.7</v>
      </c>
      <c r="L208" s="30">
        <v>34.668</v>
      </c>
      <c r="M208" s="30">
        <v>1190.0</v>
      </c>
      <c r="N208" s="30">
        <v>1190.0</v>
      </c>
      <c r="O208" s="30">
        <v>0.0</v>
      </c>
      <c r="P208" s="30">
        <v>0.0</v>
      </c>
      <c r="Q208" s="30">
        <v>59.332</v>
      </c>
    </row>
    <row r="209">
      <c r="A209" s="47">
        <v>1.1241900226E10</v>
      </c>
      <c r="B209" s="48">
        <v>46159.05510416667</v>
      </c>
      <c r="C209" s="30">
        <v>3.855614956E9</v>
      </c>
      <c r="D209" s="47" t="s">
        <v>1509</v>
      </c>
      <c r="E209" s="47">
        <v>7.613033560064E12</v>
      </c>
      <c r="F209" s="47" t="s">
        <v>1523</v>
      </c>
      <c r="G209" s="47" t="s">
        <v>1527</v>
      </c>
      <c r="H209" s="30">
        <v>1.0</v>
      </c>
      <c r="I209" s="30">
        <v>1284.0</v>
      </c>
      <c r="J209" s="30">
        <v>1284.0</v>
      </c>
      <c r="K209" s="30">
        <v>2.7</v>
      </c>
      <c r="L209" s="30">
        <v>34.668</v>
      </c>
      <c r="M209" s="30">
        <v>1190.0</v>
      </c>
      <c r="N209" s="30">
        <v>1190.0</v>
      </c>
      <c r="O209" s="30">
        <v>0.0</v>
      </c>
      <c r="P209" s="30">
        <v>0.0</v>
      </c>
      <c r="Q209" s="30">
        <v>59.332</v>
      </c>
    </row>
    <row r="210">
      <c r="A210" s="47">
        <v>1.1239762406E10</v>
      </c>
      <c r="B210" s="48">
        <v>46158.61423611111</v>
      </c>
      <c r="C210" s="30">
        <v>3.853998441E9</v>
      </c>
      <c r="D210" s="47" t="s">
        <v>1509</v>
      </c>
      <c r="E210" s="47">
        <v>8.410650167909E12</v>
      </c>
      <c r="F210" s="47" t="s">
        <v>1523</v>
      </c>
      <c r="G210" s="47" t="s">
        <v>1551</v>
      </c>
      <c r="H210" s="30">
        <v>1.0</v>
      </c>
      <c r="I210" s="30">
        <v>1620.0</v>
      </c>
      <c r="J210" s="30">
        <v>1620.0</v>
      </c>
      <c r="K210" s="30">
        <v>14.85</v>
      </c>
      <c r="L210" s="30">
        <v>240.57</v>
      </c>
      <c r="M210" s="30">
        <v>1228.0</v>
      </c>
      <c r="N210" s="30">
        <v>1228.0</v>
      </c>
      <c r="O210" s="30">
        <v>0.0</v>
      </c>
      <c r="P210" s="30">
        <v>0.0</v>
      </c>
      <c r="Q210" s="30">
        <v>151.43</v>
      </c>
    </row>
    <row r="211">
      <c r="A211" s="47">
        <v>1.1244346473E10</v>
      </c>
      <c r="B211" s="48">
        <v>46159.90523148148</v>
      </c>
      <c r="C211" s="30">
        <v>3.857586836E9</v>
      </c>
      <c r="D211" s="47" t="s">
        <v>1509</v>
      </c>
      <c r="E211" s="47">
        <v>7.613033560064E12</v>
      </c>
      <c r="F211" s="47" t="s">
        <v>1523</v>
      </c>
      <c r="G211" s="47" t="s">
        <v>1527</v>
      </c>
      <c r="H211" s="30">
        <v>1.0</v>
      </c>
      <c r="I211" s="30">
        <v>1530.0</v>
      </c>
      <c r="J211" s="30">
        <v>1530.0</v>
      </c>
      <c r="K211" s="30">
        <v>6.3</v>
      </c>
      <c r="L211" s="30">
        <v>96.39</v>
      </c>
      <c r="M211" s="30">
        <v>1190.0</v>
      </c>
      <c r="N211" s="30">
        <v>1190.0</v>
      </c>
      <c r="O211" s="30">
        <v>0.0</v>
      </c>
      <c r="P211" s="30">
        <v>0.0</v>
      </c>
      <c r="Q211" s="30">
        <v>243.61</v>
      </c>
    </row>
    <row r="212">
      <c r="A212" s="47">
        <v>1.1244008385E10</v>
      </c>
      <c r="B212" s="48">
        <v>46159.84296296296</v>
      </c>
      <c r="C212" s="30">
        <v>3.857364339E9</v>
      </c>
      <c r="D212" s="47" t="s">
        <v>1509</v>
      </c>
      <c r="E212" s="47">
        <v>7.613032816536E12</v>
      </c>
      <c r="F212" s="47" t="s">
        <v>1523</v>
      </c>
      <c r="G212" s="47" t="s">
        <v>1533</v>
      </c>
      <c r="H212" s="30">
        <v>1.0</v>
      </c>
      <c r="I212" s="30">
        <v>729.0</v>
      </c>
      <c r="J212" s="30">
        <v>729.0</v>
      </c>
      <c r="K212" s="30">
        <v>4.41</v>
      </c>
      <c r="L212" s="30">
        <v>32.148900000000005</v>
      </c>
      <c r="M212" s="30">
        <v>580.0</v>
      </c>
      <c r="N212" s="30">
        <v>580.0</v>
      </c>
      <c r="O212" s="30">
        <v>0.0</v>
      </c>
      <c r="P212" s="30">
        <v>0.0</v>
      </c>
      <c r="Q212" s="30">
        <v>116.8511</v>
      </c>
    </row>
    <row r="213">
      <c r="A213" s="47">
        <v>1.1240745333E10</v>
      </c>
      <c r="B213" s="48">
        <v>46158.82104166667</v>
      </c>
      <c r="C213" s="30">
        <v>3.85478724E9</v>
      </c>
      <c r="D213" s="47" t="s">
        <v>1509</v>
      </c>
      <c r="E213" s="47">
        <v>7.613033560064E12</v>
      </c>
      <c r="F213" s="47" t="s">
        <v>1523</v>
      </c>
      <c r="G213" s="47" t="s">
        <v>1527</v>
      </c>
      <c r="H213" s="30">
        <v>1.0</v>
      </c>
      <c r="I213" s="30">
        <v>1285.0</v>
      </c>
      <c r="J213" s="30">
        <v>1285.0</v>
      </c>
      <c r="K213" s="30">
        <v>2.7</v>
      </c>
      <c r="L213" s="30">
        <v>34.69500000000001</v>
      </c>
      <c r="M213" s="30">
        <v>1190.0</v>
      </c>
      <c r="N213" s="30">
        <v>1190.0</v>
      </c>
      <c r="O213" s="30">
        <v>0.0</v>
      </c>
      <c r="P213" s="30">
        <v>0.0</v>
      </c>
      <c r="Q213" s="30">
        <v>60.30499999999999</v>
      </c>
    </row>
    <row r="214">
      <c r="A214" s="47">
        <v>1.1235101681E10</v>
      </c>
      <c r="B214" s="48">
        <v>46156.97751157408</v>
      </c>
      <c r="C214" s="30">
        <v>3.849847326E9</v>
      </c>
      <c r="D214" s="47" t="s">
        <v>1509</v>
      </c>
      <c r="E214" s="47">
        <v>7.613033560064E12</v>
      </c>
      <c r="F214" s="47" t="s">
        <v>1523</v>
      </c>
      <c r="G214" s="47" t="s">
        <v>1527</v>
      </c>
      <c r="H214" s="30">
        <v>1.0</v>
      </c>
      <c r="I214" s="30">
        <v>1297.9</v>
      </c>
      <c r="J214" s="30">
        <v>1297.9</v>
      </c>
      <c r="K214" s="30">
        <v>2.7</v>
      </c>
      <c r="L214" s="30">
        <v>35.0433</v>
      </c>
      <c r="M214" s="30">
        <v>1190.0</v>
      </c>
      <c r="N214" s="30">
        <v>1190.0</v>
      </c>
      <c r="O214" s="30">
        <v>0.0</v>
      </c>
      <c r="P214" s="30">
        <v>0.0</v>
      </c>
      <c r="Q214" s="30">
        <v>72.85670000000009</v>
      </c>
    </row>
    <row r="215">
      <c r="A215" s="47">
        <v>1.1240834255E10</v>
      </c>
      <c r="B215" s="48">
        <v>46158.839849537035</v>
      </c>
      <c r="C215" s="30">
        <v>3.854849331E9</v>
      </c>
      <c r="D215" s="47" t="s">
        <v>1509</v>
      </c>
      <c r="E215" s="47">
        <v>7.613033560064E12</v>
      </c>
      <c r="F215" s="47" t="s">
        <v>1523</v>
      </c>
      <c r="G215" s="47" t="s">
        <v>1527</v>
      </c>
      <c r="H215" s="30">
        <v>1.0</v>
      </c>
      <c r="I215" s="30">
        <v>1285.0</v>
      </c>
      <c r="J215" s="30">
        <v>1285.0</v>
      </c>
      <c r="K215" s="30">
        <v>2.7</v>
      </c>
      <c r="L215" s="30">
        <v>34.69500000000001</v>
      </c>
      <c r="M215" s="30">
        <v>1190.0</v>
      </c>
      <c r="N215" s="30">
        <v>1190.0</v>
      </c>
      <c r="O215" s="30">
        <v>0.0</v>
      </c>
      <c r="P215" s="30">
        <v>0.0</v>
      </c>
      <c r="Q215" s="30">
        <v>60.30499999999999</v>
      </c>
    </row>
    <row r="216">
      <c r="A216" s="47">
        <v>1.1240612812E10</v>
      </c>
      <c r="B216" s="48">
        <v>46158.79351851852</v>
      </c>
      <c r="C216" s="30">
        <v>3.854691305E9</v>
      </c>
      <c r="D216" s="47" t="s">
        <v>1509</v>
      </c>
      <c r="E216" s="47">
        <v>7.613033560033E12</v>
      </c>
      <c r="F216" s="47">
        <v>0.0</v>
      </c>
      <c r="G216" s="47" t="s">
        <v>1539</v>
      </c>
      <c r="H216" s="30">
        <v>1.0</v>
      </c>
      <c r="I216" s="30">
        <v>1287.0</v>
      </c>
      <c r="J216" s="30">
        <v>1287.0</v>
      </c>
      <c r="K216" s="30">
        <v>3.6</v>
      </c>
      <c r="L216" s="30">
        <v>46.332</v>
      </c>
      <c r="M216" s="30">
        <v>1165.0</v>
      </c>
      <c r="N216" s="30">
        <v>1165.0</v>
      </c>
      <c r="O216" s="30">
        <v>0.0</v>
      </c>
      <c r="P216" s="30">
        <v>0.0</v>
      </c>
      <c r="Q216" s="30">
        <v>75.668</v>
      </c>
    </row>
    <row r="217">
      <c r="A217" s="47">
        <v>1.124168108E10</v>
      </c>
      <c r="B217" s="48">
        <v>46159.01048611111</v>
      </c>
      <c r="C217" s="30">
        <v>3.855429283E9</v>
      </c>
      <c r="D217" s="47" t="s">
        <v>1509</v>
      </c>
      <c r="E217" s="47">
        <v>7.613033560064E12</v>
      </c>
      <c r="F217" s="47" t="s">
        <v>1523</v>
      </c>
      <c r="G217" s="47" t="s">
        <v>1527</v>
      </c>
      <c r="H217" s="30">
        <v>1.0</v>
      </c>
      <c r="I217" s="30">
        <v>1284.0</v>
      </c>
      <c r="J217" s="30">
        <v>1284.0</v>
      </c>
      <c r="K217" s="30">
        <v>2.7</v>
      </c>
      <c r="L217" s="30">
        <v>34.668</v>
      </c>
      <c r="M217" s="30">
        <v>1190.0</v>
      </c>
      <c r="N217" s="30">
        <v>1190.0</v>
      </c>
      <c r="O217" s="30">
        <v>0.0</v>
      </c>
      <c r="P217" s="30">
        <v>0.0</v>
      </c>
      <c r="Q217" s="30">
        <v>59.332</v>
      </c>
    </row>
    <row r="218">
      <c r="A218" s="47">
        <v>1.1238231689E10</v>
      </c>
      <c r="B218" s="48">
        <v>46157.9516087963</v>
      </c>
      <c r="C218" s="30">
        <v>3.852620689E9</v>
      </c>
      <c r="D218" s="47" t="s">
        <v>1509</v>
      </c>
      <c r="E218" s="47">
        <v>7.613032816536E12</v>
      </c>
      <c r="F218" s="47" t="s">
        <v>1523</v>
      </c>
      <c r="G218" s="47" t="s">
        <v>1533</v>
      </c>
      <c r="H218" s="30">
        <v>1.0</v>
      </c>
      <c r="I218" s="30">
        <v>729.0</v>
      </c>
      <c r="J218" s="30">
        <v>729.0</v>
      </c>
      <c r="K218" s="30">
        <v>4.41</v>
      </c>
      <c r="L218" s="30">
        <v>32.148900000000005</v>
      </c>
      <c r="M218" s="30">
        <v>580.0</v>
      </c>
      <c r="N218" s="30">
        <v>580.0</v>
      </c>
      <c r="O218" s="30">
        <v>0.0</v>
      </c>
      <c r="P218" s="30">
        <v>0.0</v>
      </c>
      <c r="Q218" s="30">
        <v>116.8511</v>
      </c>
    </row>
    <row r="219">
      <c r="A219" s="47">
        <v>1.1240312387E10</v>
      </c>
      <c r="B219" s="48">
        <v>46158.73096064815</v>
      </c>
      <c r="C219" s="30">
        <v>3.85446199E9</v>
      </c>
      <c r="D219" s="47" t="s">
        <v>1509</v>
      </c>
      <c r="E219" s="47">
        <v>7.613033560064E12</v>
      </c>
      <c r="F219" s="47" t="s">
        <v>1523</v>
      </c>
      <c r="G219" s="47" t="s">
        <v>1527</v>
      </c>
      <c r="H219" s="30">
        <v>2.0</v>
      </c>
      <c r="I219" s="30">
        <v>1286.0</v>
      </c>
      <c r="J219" s="30">
        <v>2572.0</v>
      </c>
      <c r="K219" s="30">
        <v>2.7</v>
      </c>
      <c r="L219" s="30">
        <v>69.444</v>
      </c>
      <c r="M219" s="30">
        <v>1190.0</v>
      </c>
      <c r="N219" s="30">
        <v>2380.0</v>
      </c>
      <c r="O219" s="30">
        <v>0.0</v>
      </c>
      <c r="P219" s="30">
        <v>0.0</v>
      </c>
      <c r="Q219" s="30">
        <v>122.556</v>
      </c>
    </row>
    <row r="220">
      <c r="A220" s="47">
        <v>1.1240926203E10</v>
      </c>
      <c r="B220" s="48">
        <v>46158.85854166667</v>
      </c>
      <c r="C220" s="30">
        <v>3.854912001E9</v>
      </c>
      <c r="D220" s="47" t="s">
        <v>1509</v>
      </c>
      <c r="E220" s="47">
        <v>7.613033560064E12</v>
      </c>
      <c r="F220" s="47" t="s">
        <v>1523</v>
      </c>
      <c r="G220" s="47" t="s">
        <v>1527</v>
      </c>
      <c r="H220" s="30">
        <v>1.0</v>
      </c>
      <c r="I220" s="30">
        <v>1285.0</v>
      </c>
      <c r="J220" s="30">
        <v>1285.0</v>
      </c>
      <c r="K220" s="30">
        <v>2.7</v>
      </c>
      <c r="L220" s="30">
        <v>34.69500000000001</v>
      </c>
      <c r="M220" s="30">
        <v>1190.0</v>
      </c>
      <c r="N220" s="30">
        <v>1190.0</v>
      </c>
      <c r="O220" s="30">
        <v>0.0</v>
      </c>
      <c r="P220" s="30">
        <v>0.0</v>
      </c>
      <c r="Q220" s="30">
        <v>60.30499999999999</v>
      </c>
    </row>
    <row r="221">
      <c r="A221" s="47">
        <v>1.1243141002E10</v>
      </c>
      <c r="B221" s="48">
        <v>46159.670798611114</v>
      </c>
      <c r="C221" s="30">
        <v>3.856712321E9</v>
      </c>
      <c r="D221" s="47" t="s">
        <v>1509</v>
      </c>
      <c r="E221" s="47">
        <v>7.613033560064E12</v>
      </c>
      <c r="F221" s="47" t="s">
        <v>1523</v>
      </c>
      <c r="G221" s="47" t="s">
        <v>1527</v>
      </c>
      <c r="H221" s="30">
        <v>1.0</v>
      </c>
      <c r="I221" s="30">
        <v>1282.0</v>
      </c>
      <c r="J221" s="30">
        <v>1282.0</v>
      </c>
      <c r="K221" s="30">
        <v>2.7</v>
      </c>
      <c r="L221" s="30">
        <v>34.614000000000004</v>
      </c>
      <c r="M221" s="30">
        <v>1190.0</v>
      </c>
      <c r="N221" s="30">
        <v>1190.0</v>
      </c>
      <c r="O221" s="30">
        <v>0.0</v>
      </c>
      <c r="P221" s="30">
        <v>0.0</v>
      </c>
      <c r="Q221" s="30">
        <v>57.385999999999996</v>
      </c>
    </row>
    <row r="222">
      <c r="A222" s="47">
        <v>1.1249168794E10</v>
      </c>
      <c r="B222" s="48">
        <v>46161.43881944445</v>
      </c>
      <c r="C222" s="30">
        <v>3.861807297E9</v>
      </c>
      <c r="D222" s="47" t="s">
        <v>1512</v>
      </c>
      <c r="E222" s="47">
        <v>7.613035846708E12</v>
      </c>
      <c r="F222" s="47" t="s">
        <v>1523</v>
      </c>
      <c r="G222" s="47" t="s">
        <v>1535</v>
      </c>
      <c r="H222" s="30">
        <v>1.0</v>
      </c>
      <c r="I222" s="30">
        <v>1387.0</v>
      </c>
      <c r="J222" s="30">
        <v>1387.0</v>
      </c>
      <c r="K222" s="30">
        <v>6.39</v>
      </c>
      <c r="L222" s="30">
        <v>88.6293</v>
      </c>
      <c r="M222" s="30">
        <v>1160.0</v>
      </c>
      <c r="N222" s="30">
        <v>1160.0</v>
      </c>
      <c r="O222" s="30">
        <v>0.0</v>
      </c>
      <c r="P222" s="30">
        <v>0.0</v>
      </c>
      <c r="Q222" s="30">
        <v>138.3707</v>
      </c>
    </row>
    <row r="223">
      <c r="A223" s="47">
        <v>1.1246661118E10</v>
      </c>
      <c r="B223" s="48">
        <v>46160.677511574075</v>
      </c>
      <c r="C223" s="30">
        <v>3.859685681E9</v>
      </c>
      <c r="D223" s="47" t="s">
        <v>1512</v>
      </c>
      <c r="E223" s="47">
        <v>7.613031680992E12</v>
      </c>
      <c r="F223" s="47" t="s">
        <v>1523</v>
      </c>
      <c r="G223" s="47" t="s">
        <v>1541</v>
      </c>
      <c r="H223" s="30">
        <v>1.0</v>
      </c>
      <c r="I223" s="30">
        <v>768.0</v>
      </c>
      <c r="J223" s="30">
        <v>768.0</v>
      </c>
      <c r="K223" s="30">
        <v>3.69</v>
      </c>
      <c r="L223" s="30">
        <v>28.3392</v>
      </c>
      <c r="M223" s="30">
        <v>580.0</v>
      </c>
      <c r="N223" s="30">
        <v>580.0</v>
      </c>
      <c r="O223" s="30">
        <v>0.0</v>
      </c>
      <c r="P223" s="30">
        <v>0.0</v>
      </c>
      <c r="Q223" s="30">
        <v>159.6608</v>
      </c>
    </row>
    <row r="224">
      <c r="A224" s="47">
        <v>1.1246441845E10</v>
      </c>
      <c r="B224" s="48">
        <v>46160.635729166665</v>
      </c>
      <c r="C224" s="30">
        <v>3.859506706E9</v>
      </c>
      <c r="D224" s="47" t="s">
        <v>1512</v>
      </c>
      <c r="E224" s="47">
        <v>8.684501941806E12</v>
      </c>
      <c r="F224" s="47" t="s">
        <v>291</v>
      </c>
      <c r="G224" s="47" t="s">
        <v>1556</v>
      </c>
      <c r="H224" s="30">
        <v>2.0</v>
      </c>
      <c r="I224" s="30">
        <v>174.99</v>
      </c>
      <c r="J224" s="30">
        <v>349.98</v>
      </c>
      <c r="K224" s="30">
        <v>18.0</v>
      </c>
      <c r="L224" s="30">
        <v>62.9964</v>
      </c>
      <c r="M224" s="30">
        <v>53.0</v>
      </c>
      <c r="N224" s="30">
        <v>106.0</v>
      </c>
      <c r="O224" s="30">
        <v>0.0</v>
      </c>
      <c r="P224" s="30">
        <v>0.0</v>
      </c>
      <c r="Q224" s="30">
        <v>180.98360000000002</v>
      </c>
    </row>
    <row r="225">
      <c r="A225" s="47">
        <v>1.1246441845E10</v>
      </c>
      <c r="B225" s="48">
        <v>46160.635729166665</v>
      </c>
      <c r="C225" s="30">
        <v>3.859506706E9</v>
      </c>
      <c r="D225" s="47" t="s">
        <v>1512</v>
      </c>
      <c r="E225" s="47">
        <v>8.684501941837E12</v>
      </c>
      <c r="F225" s="47" t="s">
        <v>289</v>
      </c>
      <c r="G225" s="47" t="s">
        <v>1543</v>
      </c>
      <c r="H225" s="30">
        <v>1.0</v>
      </c>
      <c r="I225" s="30">
        <v>175.01</v>
      </c>
      <c r="J225" s="30">
        <v>175.01</v>
      </c>
      <c r="K225" s="30">
        <v>18.0</v>
      </c>
      <c r="L225" s="30">
        <v>31.5018</v>
      </c>
      <c r="M225" s="30">
        <v>53.0</v>
      </c>
      <c r="N225" s="30">
        <v>53.0</v>
      </c>
      <c r="O225" s="30">
        <v>0.0</v>
      </c>
      <c r="P225" s="30">
        <v>0.0</v>
      </c>
      <c r="Q225" s="30">
        <v>90.50819999999999</v>
      </c>
    </row>
    <row r="226">
      <c r="A226" s="47">
        <v>1.1246441845E10</v>
      </c>
      <c r="B226" s="48">
        <v>46160.635729166665</v>
      </c>
      <c r="C226" s="30">
        <v>3.859506706E9</v>
      </c>
      <c r="D226" s="47" t="s">
        <v>1512</v>
      </c>
      <c r="E226" s="47">
        <v>8.684501941813E12</v>
      </c>
      <c r="F226" s="47" t="s">
        <v>287</v>
      </c>
      <c r="G226" s="47" t="s">
        <v>1547</v>
      </c>
      <c r="H226" s="30">
        <v>1.0</v>
      </c>
      <c r="I226" s="30">
        <v>174.99</v>
      </c>
      <c r="J226" s="30">
        <v>174.99</v>
      </c>
      <c r="K226" s="30">
        <v>18.0</v>
      </c>
      <c r="L226" s="30">
        <v>31.4982</v>
      </c>
      <c r="M226" s="30">
        <v>53.0</v>
      </c>
      <c r="N226" s="30">
        <v>53.0</v>
      </c>
      <c r="O226" s="30">
        <v>0.0</v>
      </c>
      <c r="P226" s="30">
        <v>0.0</v>
      </c>
      <c r="Q226" s="30">
        <v>90.49180000000001</v>
      </c>
    </row>
    <row r="227">
      <c r="A227" s="47">
        <v>1.1246568727E10</v>
      </c>
      <c r="B227" s="48">
        <v>46160.66013888889</v>
      </c>
      <c r="C227" s="30">
        <v>3.859607149E9</v>
      </c>
      <c r="D227" s="47" t="s">
        <v>1512</v>
      </c>
      <c r="E227" s="47" t="s">
        <v>143</v>
      </c>
      <c r="F227" s="47" t="s">
        <v>1523</v>
      </c>
      <c r="G227" s="47" t="s">
        <v>1545</v>
      </c>
      <c r="H227" s="30">
        <v>1.0</v>
      </c>
      <c r="I227" s="30">
        <v>319.0</v>
      </c>
      <c r="J227" s="30">
        <v>319.0</v>
      </c>
      <c r="K227" s="30">
        <v>14.85</v>
      </c>
      <c r="L227" s="30">
        <v>47.3715</v>
      </c>
      <c r="M227" s="30">
        <v>180.0</v>
      </c>
      <c r="N227" s="30">
        <v>180.0</v>
      </c>
      <c r="O227" s="30">
        <v>0.0</v>
      </c>
      <c r="P227" s="30">
        <v>0.0</v>
      </c>
      <c r="Q227" s="30">
        <v>91.6285</v>
      </c>
    </row>
    <row r="228">
      <c r="A228" s="47">
        <v>1.124888791E10</v>
      </c>
      <c r="B228" s="48">
        <v>46161.13313657408</v>
      </c>
      <c r="C228" s="30">
        <v>3.861529691E9</v>
      </c>
      <c r="D228" s="47" t="s">
        <v>1512</v>
      </c>
      <c r="E228" s="47">
        <v>7.613033560033E12</v>
      </c>
      <c r="F228" s="47">
        <v>0.0</v>
      </c>
      <c r="G228" s="47" t="s">
        <v>1539</v>
      </c>
      <c r="H228" s="30">
        <v>1.0</v>
      </c>
      <c r="I228" s="30">
        <v>1280.0</v>
      </c>
      <c r="J228" s="30">
        <v>1280.0</v>
      </c>
      <c r="K228" s="30">
        <v>3.6</v>
      </c>
      <c r="L228" s="30">
        <v>46.08</v>
      </c>
      <c r="M228" s="30">
        <v>1165.0</v>
      </c>
      <c r="N228" s="30">
        <v>1165.0</v>
      </c>
      <c r="O228" s="30">
        <v>0.0</v>
      </c>
      <c r="P228" s="30">
        <v>0.0</v>
      </c>
      <c r="Q228" s="30">
        <v>68.92</v>
      </c>
    </row>
    <row r="229">
      <c r="A229" s="47">
        <v>1.1246059015E10</v>
      </c>
      <c r="B229" s="48">
        <v>46160.54640046296</v>
      </c>
      <c r="C229" s="30">
        <v>3.859147507E9</v>
      </c>
      <c r="D229" s="47" t="s">
        <v>1512</v>
      </c>
      <c r="E229" s="47" t="s">
        <v>411</v>
      </c>
      <c r="F229" s="47" t="s">
        <v>1523</v>
      </c>
      <c r="G229" s="47" t="s">
        <v>1531</v>
      </c>
      <c r="H229" s="30">
        <v>1.0</v>
      </c>
      <c r="I229" s="30">
        <v>768.0</v>
      </c>
      <c r="J229" s="30">
        <v>768.0</v>
      </c>
      <c r="K229" s="30">
        <v>4.95</v>
      </c>
      <c r="L229" s="30">
        <v>38.016000000000005</v>
      </c>
      <c r="M229" s="30">
        <v>580.0</v>
      </c>
      <c r="N229" s="30">
        <v>580.0</v>
      </c>
      <c r="O229" s="30">
        <v>0.0</v>
      </c>
      <c r="P229" s="30">
        <v>0.0</v>
      </c>
      <c r="Q229" s="30">
        <v>149.98399999999998</v>
      </c>
    </row>
    <row r="230">
      <c r="A230" s="47">
        <v>1.1247353376E10</v>
      </c>
      <c r="B230" s="48">
        <v>46160.81722222222</v>
      </c>
      <c r="C230" s="30">
        <v>3.860277337E9</v>
      </c>
      <c r="D230" s="47" t="s">
        <v>1512</v>
      </c>
      <c r="E230" s="47" t="s">
        <v>411</v>
      </c>
      <c r="F230" s="47" t="s">
        <v>1523</v>
      </c>
      <c r="G230" s="47" t="s">
        <v>1531</v>
      </c>
      <c r="H230" s="30">
        <v>1.0</v>
      </c>
      <c r="I230" s="30">
        <v>768.0</v>
      </c>
      <c r="J230" s="30">
        <v>768.0</v>
      </c>
      <c r="K230" s="30">
        <v>4.95</v>
      </c>
      <c r="L230" s="30">
        <v>38.016000000000005</v>
      </c>
      <c r="M230" s="30">
        <v>580.0</v>
      </c>
      <c r="N230" s="30">
        <v>580.0</v>
      </c>
      <c r="O230" s="30">
        <v>0.0</v>
      </c>
      <c r="P230" s="30">
        <v>0.0</v>
      </c>
      <c r="Q230" s="30">
        <v>149.98399999999998</v>
      </c>
    </row>
    <row r="231">
      <c r="A231" s="47">
        <v>1.124002824E10</v>
      </c>
      <c r="B231" s="48">
        <v>46158.67304398148</v>
      </c>
      <c r="C231" s="30">
        <v>3.854229365E9</v>
      </c>
      <c r="D231" s="47" t="s">
        <v>1509</v>
      </c>
      <c r="E231" s="47">
        <v>7.613032816536E12</v>
      </c>
      <c r="F231" s="47" t="s">
        <v>1523</v>
      </c>
      <c r="G231" s="47" t="s">
        <v>1533</v>
      </c>
      <c r="H231" s="30">
        <v>1.0</v>
      </c>
      <c r="I231" s="30">
        <v>729.0</v>
      </c>
      <c r="J231" s="30">
        <v>729.0</v>
      </c>
      <c r="K231" s="30">
        <v>4.41</v>
      </c>
      <c r="L231" s="30">
        <v>32.148900000000005</v>
      </c>
      <c r="M231" s="30">
        <v>580.0</v>
      </c>
      <c r="N231" s="30">
        <v>580.0</v>
      </c>
      <c r="O231" s="30">
        <v>0.0</v>
      </c>
      <c r="P231" s="30">
        <v>0.0</v>
      </c>
      <c r="Q231" s="30">
        <v>116.8511</v>
      </c>
    </row>
    <row r="232">
      <c r="A232" s="47">
        <v>1.1246115047E10</v>
      </c>
      <c r="B232" s="48">
        <v>46160.5625</v>
      </c>
      <c r="C232" s="30">
        <v>3.85920494E9</v>
      </c>
      <c r="D232" s="47" t="s">
        <v>1512</v>
      </c>
      <c r="E232" s="47">
        <v>7.613031680992E12</v>
      </c>
      <c r="F232" s="47" t="s">
        <v>1523</v>
      </c>
      <c r="G232" s="47" t="s">
        <v>1541</v>
      </c>
      <c r="H232" s="30">
        <v>1.0</v>
      </c>
      <c r="I232" s="30">
        <v>768.0</v>
      </c>
      <c r="J232" s="30">
        <v>768.0</v>
      </c>
      <c r="K232" s="30">
        <v>3.69</v>
      </c>
      <c r="L232" s="30">
        <v>28.3392</v>
      </c>
      <c r="M232" s="30">
        <v>580.0</v>
      </c>
      <c r="N232" s="30">
        <v>580.0</v>
      </c>
      <c r="O232" s="30">
        <v>0.0</v>
      </c>
      <c r="P232" s="30">
        <v>0.0</v>
      </c>
      <c r="Q232" s="30">
        <v>159.6608</v>
      </c>
    </row>
    <row r="233">
      <c r="A233" s="47">
        <v>1.1246892317E10</v>
      </c>
      <c r="B233" s="48">
        <v>46160.72251157407</v>
      </c>
      <c r="C233" s="30">
        <v>3.859889218E9</v>
      </c>
      <c r="D233" s="47" t="s">
        <v>1512</v>
      </c>
      <c r="E233" s="47">
        <v>7.613031680992E12</v>
      </c>
      <c r="F233" s="47" t="s">
        <v>1523</v>
      </c>
      <c r="G233" s="47" t="s">
        <v>1541</v>
      </c>
      <c r="H233" s="30">
        <v>1.0</v>
      </c>
      <c r="I233" s="30">
        <v>666.2</v>
      </c>
      <c r="J233" s="30">
        <v>666.2</v>
      </c>
      <c r="K233" s="30">
        <v>3.69</v>
      </c>
      <c r="L233" s="30">
        <v>24.582780000000003</v>
      </c>
      <c r="M233" s="30">
        <v>580.0</v>
      </c>
      <c r="N233" s="30">
        <v>580.0</v>
      </c>
      <c r="O233" s="30">
        <v>0.0</v>
      </c>
      <c r="P233" s="30">
        <v>0.0</v>
      </c>
      <c r="Q233" s="30">
        <v>61.617220000000046</v>
      </c>
    </row>
    <row r="234">
      <c r="A234" s="47">
        <v>1.1246162484E10</v>
      </c>
      <c r="B234" s="48">
        <v>46160.57585648148</v>
      </c>
      <c r="C234" s="30">
        <v>3.859253144E9</v>
      </c>
      <c r="D234" s="47" t="s">
        <v>1512</v>
      </c>
      <c r="E234" s="47" t="s">
        <v>411</v>
      </c>
      <c r="F234" s="47" t="s">
        <v>1523</v>
      </c>
      <c r="G234" s="47" t="s">
        <v>1531</v>
      </c>
      <c r="H234" s="30">
        <v>1.0</v>
      </c>
      <c r="I234" s="30">
        <v>768.0</v>
      </c>
      <c r="J234" s="30">
        <v>768.0</v>
      </c>
      <c r="K234" s="30">
        <v>4.95</v>
      </c>
      <c r="L234" s="30">
        <v>38.016000000000005</v>
      </c>
      <c r="M234" s="30">
        <v>580.0</v>
      </c>
      <c r="N234" s="30">
        <v>580.0</v>
      </c>
      <c r="O234" s="30">
        <v>0.0</v>
      </c>
      <c r="P234" s="30">
        <v>0.0</v>
      </c>
      <c r="Q234" s="30">
        <v>149.98399999999998</v>
      </c>
    </row>
    <row r="235">
      <c r="A235" s="47">
        <v>1.1247928041E10</v>
      </c>
      <c r="B235" s="48">
        <v>46160.93381944444</v>
      </c>
      <c r="C235" s="30">
        <v>3.860705832E9</v>
      </c>
      <c r="D235" s="47" t="s">
        <v>1512</v>
      </c>
      <c r="E235" s="47">
        <v>7.613031680992E12</v>
      </c>
      <c r="F235" s="47" t="s">
        <v>1523</v>
      </c>
      <c r="G235" s="47" t="s">
        <v>1541</v>
      </c>
      <c r="H235" s="30">
        <v>1.0</v>
      </c>
      <c r="I235" s="30">
        <v>768.0</v>
      </c>
      <c r="J235" s="30">
        <v>768.0</v>
      </c>
      <c r="K235" s="30">
        <v>3.69</v>
      </c>
      <c r="L235" s="30">
        <v>28.3392</v>
      </c>
      <c r="M235" s="30">
        <v>580.0</v>
      </c>
      <c r="N235" s="30">
        <v>580.0</v>
      </c>
      <c r="O235" s="30">
        <v>0.0</v>
      </c>
      <c r="P235" s="30">
        <v>0.0</v>
      </c>
      <c r="Q235" s="30">
        <v>159.6608</v>
      </c>
    </row>
    <row r="236">
      <c r="A236" s="47">
        <v>1.1246546515E10</v>
      </c>
      <c r="B236" s="48">
        <v>46160.65576388889</v>
      </c>
      <c r="C236" s="30">
        <v>3.85958878E9</v>
      </c>
      <c r="D236" s="47" t="s">
        <v>1512</v>
      </c>
      <c r="E236" s="47">
        <v>7.613031680992E12</v>
      </c>
      <c r="F236" s="47" t="s">
        <v>1523</v>
      </c>
      <c r="G236" s="47" t="s">
        <v>1541</v>
      </c>
      <c r="H236" s="30">
        <v>1.0</v>
      </c>
      <c r="I236" s="30">
        <v>768.0</v>
      </c>
      <c r="J236" s="30">
        <v>768.0</v>
      </c>
      <c r="K236" s="30">
        <v>3.69</v>
      </c>
      <c r="L236" s="30">
        <v>28.3392</v>
      </c>
      <c r="M236" s="30">
        <v>580.0</v>
      </c>
      <c r="N236" s="30">
        <v>580.0</v>
      </c>
      <c r="O236" s="30">
        <v>0.0</v>
      </c>
      <c r="P236" s="30">
        <v>0.0</v>
      </c>
      <c r="Q236" s="30">
        <v>159.6608</v>
      </c>
    </row>
    <row r="237">
      <c r="A237" s="47">
        <v>1.1248188078E10</v>
      </c>
      <c r="B237" s="48">
        <v>46160.985659722224</v>
      </c>
      <c r="C237" s="30">
        <v>3.860901226E9</v>
      </c>
      <c r="D237" s="47" t="s">
        <v>1512</v>
      </c>
      <c r="E237" s="47">
        <v>7.613033560033E12</v>
      </c>
      <c r="F237" s="47">
        <v>0.0</v>
      </c>
      <c r="G237" s="47" t="s">
        <v>1539</v>
      </c>
      <c r="H237" s="30">
        <v>1.0</v>
      </c>
      <c r="I237" s="30">
        <v>1280.0</v>
      </c>
      <c r="J237" s="30">
        <v>1280.0</v>
      </c>
      <c r="K237" s="30">
        <v>3.6</v>
      </c>
      <c r="L237" s="30">
        <v>46.08</v>
      </c>
      <c r="M237" s="30">
        <v>1165.0</v>
      </c>
      <c r="N237" s="30">
        <v>1165.0</v>
      </c>
      <c r="O237" s="30">
        <v>0.0</v>
      </c>
      <c r="P237" s="30">
        <v>0.0</v>
      </c>
      <c r="Q237" s="30">
        <v>68.92</v>
      </c>
    </row>
    <row r="238">
      <c r="A238" s="47">
        <v>1.1248459422E10</v>
      </c>
      <c r="B238" s="48">
        <v>46161.038506944446</v>
      </c>
      <c r="C238" s="30">
        <v>3.86112672E9</v>
      </c>
      <c r="D238" s="47" t="s">
        <v>1512</v>
      </c>
      <c r="E238" s="47">
        <v>7.613031680992E12</v>
      </c>
      <c r="F238" s="47" t="s">
        <v>1523</v>
      </c>
      <c r="G238" s="47" t="s">
        <v>1541</v>
      </c>
      <c r="H238" s="30">
        <v>1.0</v>
      </c>
      <c r="I238" s="30">
        <v>768.0</v>
      </c>
      <c r="J238" s="30">
        <v>768.0</v>
      </c>
      <c r="K238" s="30">
        <v>3.69</v>
      </c>
      <c r="L238" s="30">
        <v>28.3392</v>
      </c>
      <c r="M238" s="30">
        <v>580.0</v>
      </c>
      <c r="N238" s="30">
        <v>580.0</v>
      </c>
      <c r="O238" s="30">
        <v>0.0</v>
      </c>
      <c r="P238" s="30">
        <v>0.0</v>
      </c>
      <c r="Q238" s="30">
        <v>159.6608</v>
      </c>
    </row>
    <row r="239">
      <c r="A239" s="47">
        <v>1.124892785E10</v>
      </c>
      <c r="B239" s="48">
        <v>46161.14505787037</v>
      </c>
      <c r="C239" s="30">
        <v>3.861569128E9</v>
      </c>
      <c r="D239" s="47" t="s">
        <v>1512</v>
      </c>
      <c r="E239" s="47">
        <v>7.613035846708E12</v>
      </c>
      <c r="F239" s="47" t="s">
        <v>1523</v>
      </c>
      <c r="G239" s="47" t="s">
        <v>1535</v>
      </c>
      <c r="H239" s="30">
        <v>1.0</v>
      </c>
      <c r="I239" s="30">
        <v>1387.0</v>
      </c>
      <c r="J239" s="30">
        <v>1387.0</v>
      </c>
      <c r="K239" s="30">
        <v>6.39</v>
      </c>
      <c r="L239" s="30">
        <v>88.6293</v>
      </c>
      <c r="M239" s="30">
        <v>1160.0</v>
      </c>
      <c r="N239" s="30">
        <v>1160.0</v>
      </c>
      <c r="O239" s="30">
        <v>0.0</v>
      </c>
      <c r="P239" s="30">
        <v>0.0</v>
      </c>
      <c r="Q239" s="30">
        <v>138.3707</v>
      </c>
    </row>
    <row r="240">
      <c r="A240" s="47">
        <v>1.1246759249E10</v>
      </c>
      <c r="B240" s="48">
        <v>46160.69616898148</v>
      </c>
      <c r="C240" s="30">
        <v>3.859772157E9</v>
      </c>
      <c r="D240" s="47" t="s">
        <v>1512</v>
      </c>
      <c r="E240" s="47">
        <v>7.613031680992E12</v>
      </c>
      <c r="F240" s="47" t="s">
        <v>1523</v>
      </c>
      <c r="G240" s="47" t="s">
        <v>1541</v>
      </c>
      <c r="H240" s="30">
        <v>1.0</v>
      </c>
      <c r="I240" s="30">
        <v>768.0</v>
      </c>
      <c r="J240" s="30">
        <v>768.0</v>
      </c>
      <c r="K240" s="30">
        <v>3.69</v>
      </c>
      <c r="L240" s="30">
        <v>28.3392</v>
      </c>
      <c r="M240" s="30">
        <v>580.0</v>
      </c>
      <c r="N240" s="30">
        <v>580.0</v>
      </c>
      <c r="O240" s="30">
        <v>0.0</v>
      </c>
      <c r="P240" s="30">
        <v>0.0</v>
      </c>
      <c r="Q240" s="30">
        <v>159.6608</v>
      </c>
    </row>
    <row r="241">
      <c r="A241" s="47">
        <v>1.1242589249E10</v>
      </c>
      <c r="B241" s="48">
        <v>46159.50150462963</v>
      </c>
      <c r="C241" s="30">
        <v>3.856250223E9</v>
      </c>
      <c r="D241" s="47" t="s">
        <v>1509</v>
      </c>
      <c r="E241" s="47">
        <v>7.613032816536E12</v>
      </c>
      <c r="F241" s="47" t="s">
        <v>1523</v>
      </c>
      <c r="G241" s="47" t="s">
        <v>1533</v>
      </c>
      <c r="H241" s="30">
        <v>1.0</v>
      </c>
      <c r="I241" s="30">
        <v>729.0</v>
      </c>
      <c r="J241" s="30">
        <v>729.0</v>
      </c>
      <c r="K241" s="30">
        <v>4.41</v>
      </c>
      <c r="L241" s="30">
        <v>32.148900000000005</v>
      </c>
      <c r="M241" s="30">
        <v>580.0</v>
      </c>
      <c r="N241" s="30">
        <v>580.0</v>
      </c>
      <c r="O241" s="30">
        <v>0.0</v>
      </c>
      <c r="P241" s="30">
        <v>0.0</v>
      </c>
      <c r="Q241" s="30">
        <v>116.8511</v>
      </c>
    </row>
    <row r="242">
      <c r="A242" s="47">
        <v>1.12391843E10</v>
      </c>
      <c r="B242" s="48">
        <v>46158.167291666665</v>
      </c>
      <c r="C242" s="30">
        <v>3.853434835E9</v>
      </c>
      <c r="D242" s="47" t="s">
        <v>1509</v>
      </c>
      <c r="E242" s="47">
        <v>8.684501941837E12</v>
      </c>
      <c r="F242" s="47" t="s">
        <v>289</v>
      </c>
      <c r="G242" s="47" t="s">
        <v>1543</v>
      </c>
      <c r="H242" s="30">
        <v>2.0</v>
      </c>
      <c r="I242" s="30">
        <v>174.995</v>
      </c>
      <c r="J242" s="30">
        <v>349.99</v>
      </c>
      <c r="K242" s="30">
        <v>18.0</v>
      </c>
      <c r="L242" s="30">
        <v>62.9982</v>
      </c>
      <c r="M242" s="30">
        <v>53.0</v>
      </c>
      <c r="N242" s="30">
        <v>106.0</v>
      </c>
      <c r="O242" s="30">
        <v>0.0</v>
      </c>
      <c r="P242" s="30">
        <v>0.0</v>
      </c>
      <c r="Q242" s="30">
        <v>180.9918</v>
      </c>
    </row>
    <row r="243">
      <c r="A243" s="47">
        <v>1.12391843E10</v>
      </c>
      <c r="B243" s="48">
        <v>46158.167291666665</v>
      </c>
      <c r="C243" s="30">
        <v>3.853434835E9</v>
      </c>
      <c r="D243" s="47" t="s">
        <v>1509</v>
      </c>
      <c r="E243" s="47">
        <v>7.613033560064E12</v>
      </c>
      <c r="F243" s="47" t="s">
        <v>1523</v>
      </c>
      <c r="G243" s="47" t="s">
        <v>1527</v>
      </c>
      <c r="H243" s="30">
        <v>1.0</v>
      </c>
      <c r="I243" s="30">
        <v>1291.0</v>
      </c>
      <c r="J243" s="30">
        <v>1291.0</v>
      </c>
      <c r="K243" s="30">
        <v>2.7</v>
      </c>
      <c r="L243" s="30">
        <v>34.857</v>
      </c>
      <c r="M243" s="30">
        <v>1190.0</v>
      </c>
      <c r="N243" s="30">
        <v>1190.0</v>
      </c>
      <c r="O243" s="30">
        <v>0.0</v>
      </c>
      <c r="P243" s="30">
        <v>0.0</v>
      </c>
      <c r="Q243" s="30">
        <v>66.143</v>
      </c>
    </row>
    <row r="244">
      <c r="A244" s="47">
        <v>1.1242853916E10</v>
      </c>
      <c r="B244" s="48">
        <v>46159.60306712963</v>
      </c>
      <c r="C244" s="30">
        <v>3.856476065E9</v>
      </c>
      <c r="D244" s="47" t="s">
        <v>1509</v>
      </c>
      <c r="E244" s="47">
        <v>7.613033560064E12</v>
      </c>
      <c r="F244" s="47" t="s">
        <v>1523</v>
      </c>
      <c r="G244" s="47" t="s">
        <v>1527</v>
      </c>
      <c r="H244" s="30">
        <v>1.0</v>
      </c>
      <c r="I244" s="30">
        <v>1283.0</v>
      </c>
      <c r="J244" s="30">
        <v>1283.0</v>
      </c>
      <c r="K244" s="30">
        <v>2.7</v>
      </c>
      <c r="L244" s="30">
        <v>34.641000000000005</v>
      </c>
      <c r="M244" s="30">
        <v>1190.0</v>
      </c>
      <c r="N244" s="30">
        <v>1190.0</v>
      </c>
      <c r="O244" s="30">
        <v>0.0</v>
      </c>
      <c r="P244" s="30">
        <v>0.0</v>
      </c>
      <c r="Q244" s="30">
        <v>58.358999999999995</v>
      </c>
    </row>
    <row r="245">
      <c r="A245" s="47">
        <v>1.1243997253E10</v>
      </c>
      <c r="B245" s="48">
        <v>46159.84113425926</v>
      </c>
      <c r="C245" s="30">
        <v>3.857359277E9</v>
      </c>
      <c r="D245" s="47" t="s">
        <v>1509</v>
      </c>
      <c r="E245" s="47">
        <v>6.923632570121E12</v>
      </c>
      <c r="F245" s="47" t="s">
        <v>306</v>
      </c>
      <c r="G245" s="47" t="s">
        <v>1555</v>
      </c>
      <c r="H245" s="30">
        <v>1.0</v>
      </c>
      <c r="I245" s="30">
        <v>852.0</v>
      </c>
      <c r="J245" s="30">
        <v>852.0</v>
      </c>
      <c r="K245" s="30">
        <v>14.49</v>
      </c>
      <c r="L245" s="30">
        <v>123.45479999999999</v>
      </c>
      <c r="M245" s="30">
        <v>300.0</v>
      </c>
      <c r="N245" s="30">
        <v>300.0</v>
      </c>
      <c r="O245" s="30">
        <v>0.0</v>
      </c>
      <c r="P245" s="30">
        <v>0.0</v>
      </c>
      <c r="Q245" s="30">
        <v>428.5452</v>
      </c>
    </row>
    <row r="246">
      <c r="A246" s="47">
        <v>1.1240478659E10</v>
      </c>
      <c r="B246" s="48">
        <v>46158.765127314815</v>
      </c>
      <c r="C246" s="30">
        <v>3.854590702E9</v>
      </c>
      <c r="D246" s="47" t="s">
        <v>1509</v>
      </c>
      <c r="E246" s="47">
        <v>7.613033560033E12</v>
      </c>
      <c r="F246" s="47">
        <v>0.0</v>
      </c>
      <c r="G246" s="47" t="s">
        <v>1539</v>
      </c>
      <c r="H246" s="30">
        <v>1.0</v>
      </c>
      <c r="I246" s="30">
        <v>1287.0</v>
      </c>
      <c r="J246" s="30">
        <v>1287.0</v>
      </c>
      <c r="K246" s="30">
        <v>3.6</v>
      </c>
      <c r="L246" s="30">
        <v>46.332</v>
      </c>
      <c r="M246" s="30">
        <v>1165.0</v>
      </c>
      <c r="N246" s="30">
        <v>1165.0</v>
      </c>
      <c r="O246" s="30">
        <v>0.0</v>
      </c>
      <c r="P246" s="30">
        <v>0.0</v>
      </c>
      <c r="Q246" s="30">
        <v>75.668</v>
      </c>
    </row>
    <row r="247">
      <c r="A247" s="47">
        <v>1.1245609916E10</v>
      </c>
      <c r="B247" s="48">
        <v>46160.14641203704</v>
      </c>
      <c r="C247" s="30">
        <v>3.858656906E9</v>
      </c>
      <c r="D247" s="47" t="s">
        <v>1509</v>
      </c>
      <c r="E247" s="47" t="s">
        <v>143</v>
      </c>
      <c r="F247" s="47" t="s">
        <v>1523</v>
      </c>
      <c r="G247" s="47" t="s">
        <v>1545</v>
      </c>
      <c r="H247" s="30">
        <v>1.0</v>
      </c>
      <c r="I247" s="30">
        <v>319.0</v>
      </c>
      <c r="J247" s="30">
        <v>319.0</v>
      </c>
      <c r="K247" s="30">
        <v>14.85</v>
      </c>
      <c r="L247" s="30">
        <v>47.3715</v>
      </c>
      <c r="M247" s="30">
        <v>180.0</v>
      </c>
      <c r="N247" s="30">
        <v>180.0</v>
      </c>
      <c r="O247" s="30">
        <v>0.0</v>
      </c>
      <c r="P247" s="30">
        <v>0.0</v>
      </c>
      <c r="Q247" s="30">
        <v>91.6285</v>
      </c>
    </row>
    <row r="248">
      <c r="A248" s="47">
        <v>1.1240057846E10</v>
      </c>
      <c r="B248" s="48">
        <v>46158.67884259259</v>
      </c>
      <c r="C248" s="30">
        <v>3.854254515E9</v>
      </c>
      <c r="D248" s="47" t="s">
        <v>1509</v>
      </c>
      <c r="E248" s="47">
        <v>7.613032816536E12</v>
      </c>
      <c r="F248" s="47" t="s">
        <v>1523</v>
      </c>
      <c r="G248" s="47" t="s">
        <v>1533</v>
      </c>
      <c r="H248" s="30">
        <v>1.0</v>
      </c>
      <c r="I248" s="30">
        <v>729.0</v>
      </c>
      <c r="J248" s="30">
        <v>729.0</v>
      </c>
      <c r="K248" s="30">
        <v>4.41</v>
      </c>
      <c r="L248" s="30">
        <v>32.148900000000005</v>
      </c>
      <c r="M248" s="30">
        <v>580.0</v>
      </c>
      <c r="N248" s="30">
        <v>580.0</v>
      </c>
      <c r="O248" s="30">
        <v>0.0</v>
      </c>
      <c r="P248" s="30">
        <v>0.0</v>
      </c>
      <c r="Q248" s="30">
        <v>116.8511</v>
      </c>
    </row>
    <row r="249">
      <c r="A249" s="47">
        <v>1.1237614227E10</v>
      </c>
      <c r="B249" s="48">
        <v>46157.83133101852</v>
      </c>
      <c r="C249" s="30">
        <v>3.852189894E9</v>
      </c>
      <c r="D249" s="47" t="s">
        <v>1509</v>
      </c>
      <c r="E249" s="47">
        <v>7.613032816536E12</v>
      </c>
      <c r="F249" s="47" t="s">
        <v>1523</v>
      </c>
      <c r="G249" s="47" t="s">
        <v>1533</v>
      </c>
      <c r="H249" s="30">
        <v>1.0</v>
      </c>
      <c r="I249" s="30">
        <v>735.0</v>
      </c>
      <c r="J249" s="30">
        <v>735.0</v>
      </c>
      <c r="K249" s="30">
        <v>4.41</v>
      </c>
      <c r="L249" s="30">
        <v>32.4135</v>
      </c>
      <c r="M249" s="30">
        <v>580.0</v>
      </c>
      <c r="N249" s="30">
        <v>580.0</v>
      </c>
      <c r="O249" s="30">
        <v>0.0</v>
      </c>
      <c r="P249" s="30">
        <v>0.0</v>
      </c>
      <c r="Q249" s="30">
        <v>122.5865</v>
      </c>
    </row>
    <row r="250">
      <c r="A250" s="47">
        <v>1.1239959484E10</v>
      </c>
      <c r="B250" s="48">
        <v>46158.65871527778</v>
      </c>
      <c r="C250" s="30">
        <v>3.854170539E9</v>
      </c>
      <c r="D250" s="47" t="s">
        <v>1509</v>
      </c>
      <c r="E250" s="47">
        <v>7.613033560064E12</v>
      </c>
      <c r="F250" s="47" t="s">
        <v>1523</v>
      </c>
      <c r="G250" s="47" t="s">
        <v>1527</v>
      </c>
      <c r="H250" s="30">
        <v>3.0</v>
      </c>
      <c r="I250" s="30">
        <v>1288.0</v>
      </c>
      <c r="J250" s="30">
        <v>3864.0</v>
      </c>
      <c r="K250" s="30">
        <v>2.7</v>
      </c>
      <c r="L250" s="30">
        <v>104.32800000000002</v>
      </c>
      <c r="M250" s="30">
        <v>1190.0</v>
      </c>
      <c r="N250" s="30">
        <v>3570.0</v>
      </c>
      <c r="O250" s="30">
        <v>0.0</v>
      </c>
      <c r="P250" s="30">
        <v>0.0</v>
      </c>
      <c r="Q250" s="30">
        <v>189.67199999999997</v>
      </c>
    </row>
    <row r="251">
      <c r="A251" s="47">
        <v>1.1242035071E10</v>
      </c>
      <c r="B251" s="48">
        <v>46159.08405092593</v>
      </c>
      <c r="C251" s="30">
        <v>3.855729595E9</v>
      </c>
      <c r="D251" s="47" t="s">
        <v>1509</v>
      </c>
      <c r="E251" s="47">
        <v>8.410650218663E12</v>
      </c>
      <c r="F251" s="47" t="s">
        <v>1523</v>
      </c>
      <c r="G251" s="47" t="s">
        <v>1542</v>
      </c>
      <c r="H251" s="30">
        <v>1.0</v>
      </c>
      <c r="I251" s="30">
        <v>4515.0</v>
      </c>
      <c r="J251" s="30">
        <v>4515.0</v>
      </c>
      <c r="K251" s="30">
        <v>11.79</v>
      </c>
      <c r="L251" s="30">
        <v>532.3185</v>
      </c>
      <c r="M251" s="30">
        <v>3556.0</v>
      </c>
      <c r="N251" s="30">
        <v>3556.0</v>
      </c>
      <c r="O251" s="30">
        <v>0.0</v>
      </c>
      <c r="P251" s="30">
        <v>0.0</v>
      </c>
      <c r="Q251" s="30">
        <v>426.6815</v>
      </c>
    </row>
    <row r="252">
      <c r="A252" s="47">
        <v>1.1239463457E10</v>
      </c>
      <c r="B252" s="48">
        <v>46158.52135416667</v>
      </c>
      <c r="C252" s="30">
        <v>3.85372201E9</v>
      </c>
      <c r="D252" s="47" t="s">
        <v>1509</v>
      </c>
      <c r="E252" s="47">
        <v>7.613035846708E12</v>
      </c>
      <c r="F252" s="47" t="s">
        <v>1523</v>
      </c>
      <c r="G252" s="47" t="s">
        <v>1535</v>
      </c>
      <c r="H252" s="30">
        <v>1.0</v>
      </c>
      <c r="I252" s="30">
        <v>1267.9</v>
      </c>
      <c r="J252" s="30">
        <v>1267.9</v>
      </c>
      <c r="K252" s="30">
        <v>4.5</v>
      </c>
      <c r="L252" s="30">
        <v>57.0555</v>
      </c>
      <c r="M252" s="30">
        <v>1160.0</v>
      </c>
      <c r="N252" s="30">
        <v>1160.0</v>
      </c>
      <c r="O252" s="30">
        <v>0.0</v>
      </c>
      <c r="P252" s="30">
        <v>0.0</v>
      </c>
      <c r="Q252" s="30">
        <v>50.84450000000009</v>
      </c>
    </row>
    <row r="253">
      <c r="A253" s="47">
        <v>1.1249789232E10</v>
      </c>
      <c r="B253" s="48">
        <v>46161.662094907406</v>
      </c>
      <c r="C253" s="30">
        <v>3.862357261E9</v>
      </c>
      <c r="D253" s="47" t="s">
        <v>1508</v>
      </c>
      <c r="E253" s="47">
        <v>7.613031680992E12</v>
      </c>
      <c r="F253" s="47" t="s">
        <v>1523</v>
      </c>
      <c r="G253" s="47" t="s">
        <v>1541</v>
      </c>
      <c r="H253" s="30">
        <v>1.0</v>
      </c>
      <c r="I253" s="30">
        <v>796.0</v>
      </c>
      <c r="J253" s="30">
        <v>796.0</v>
      </c>
      <c r="K253" s="30">
        <v>7.0</v>
      </c>
      <c r="L253" s="30">
        <v>55.72</v>
      </c>
      <c r="M253" s="30">
        <v>580.0</v>
      </c>
      <c r="N253" s="30">
        <v>580.0</v>
      </c>
      <c r="O253" s="30">
        <v>0.0</v>
      </c>
      <c r="P253" s="30">
        <v>0.0</v>
      </c>
      <c r="Q253" s="30">
        <v>160.28</v>
      </c>
    </row>
    <row r="254">
      <c r="A254" s="47">
        <v>1.1239582344E10</v>
      </c>
      <c r="B254" s="48">
        <v>46158.56445601852</v>
      </c>
      <c r="C254" s="30">
        <v>3.853830948E9</v>
      </c>
      <c r="D254" s="47" t="s">
        <v>1509</v>
      </c>
      <c r="E254" s="47">
        <v>7.613033560064E12</v>
      </c>
      <c r="F254" s="47" t="s">
        <v>1523</v>
      </c>
      <c r="G254" s="47" t="s">
        <v>1527</v>
      </c>
      <c r="H254" s="30">
        <v>1.0</v>
      </c>
      <c r="I254" s="30">
        <v>1289.0</v>
      </c>
      <c r="J254" s="30">
        <v>1289.0</v>
      </c>
      <c r="K254" s="30">
        <v>2.7</v>
      </c>
      <c r="L254" s="30">
        <v>34.803000000000004</v>
      </c>
      <c r="M254" s="30">
        <v>1190.0</v>
      </c>
      <c r="N254" s="30">
        <v>1190.0</v>
      </c>
      <c r="O254" s="30">
        <v>0.0</v>
      </c>
      <c r="P254" s="30">
        <v>0.0</v>
      </c>
      <c r="Q254" s="30">
        <v>64.197</v>
      </c>
    </row>
    <row r="255">
      <c r="A255" s="47">
        <v>1.124586439E10</v>
      </c>
      <c r="B255" s="48">
        <v>46160.45300925926</v>
      </c>
      <c r="C255" s="30">
        <v>3.858928847E9</v>
      </c>
      <c r="D255" s="47" t="s">
        <v>1513</v>
      </c>
      <c r="E255" s="47">
        <v>7.613032816536E12</v>
      </c>
      <c r="F255" s="47" t="s">
        <v>1523</v>
      </c>
      <c r="G255" s="47" t="s">
        <v>1533</v>
      </c>
      <c r="H255" s="30">
        <v>1.0</v>
      </c>
      <c r="I255" s="30">
        <v>729.0</v>
      </c>
      <c r="J255" s="30">
        <v>729.0</v>
      </c>
      <c r="K255" s="30">
        <v>4.41</v>
      </c>
      <c r="L255" s="30">
        <v>32.148900000000005</v>
      </c>
      <c r="M255" s="30">
        <v>580.0</v>
      </c>
      <c r="N255" s="30">
        <v>580.0</v>
      </c>
      <c r="O255" s="30">
        <v>0.0</v>
      </c>
      <c r="P255" s="30">
        <v>0.0</v>
      </c>
      <c r="Q255" s="30">
        <v>116.8511</v>
      </c>
    </row>
    <row r="256">
      <c r="A256" s="47">
        <v>1.1240170109E10</v>
      </c>
      <c r="B256" s="48">
        <v>46158.701516203706</v>
      </c>
      <c r="C256" s="30">
        <v>3.854345933E9</v>
      </c>
      <c r="D256" s="47" t="s">
        <v>1509</v>
      </c>
      <c r="E256" s="47">
        <v>7.613035846708E12</v>
      </c>
      <c r="F256" s="47" t="s">
        <v>1523</v>
      </c>
      <c r="G256" s="47" t="s">
        <v>1535</v>
      </c>
      <c r="H256" s="30">
        <v>1.0</v>
      </c>
      <c r="I256" s="30">
        <v>1267.9</v>
      </c>
      <c r="J256" s="30">
        <v>1267.9</v>
      </c>
      <c r="K256" s="30">
        <v>4.5</v>
      </c>
      <c r="L256" s="30">
        <v>57.0555</v>
      </c>
      <c r="M256" s="30">
        <v>1160.0</v>
      </c>
      <c r="N256" s="30">
        <v>1160.0</v>
      </c>
      <c r="O256" s="30">
        <v>0.0</v>
      </c>
      <c r="P256" s="30">
        <v>0.0</v>
      </c>
      <c r="Q256" s="30">
        <v>50.84450000000009</v>
      </c>
    </row>
    <row r="257">
      <c r="A257" s="47">
        <v>1.1239475963E10</v>
      </c>
      <c r="B257" s="48">
        <v>46158.52638888889</v>
      </c>
      <c r="C257" s="30">
        <v>3.853733357E9</v>
      </c>
      <c r="D257" s="47" t="s">
        <v>1509</v>
      </c>
      <c r="E257" s="47" t="s">
        <v>356</v>
      </c>
      <c r="F257" s="47" t="s">
        <v>1523</v>
      </c>
      <c r="G257" s="47" t="s">
        <v>1532</v>
      </c>
      <c r="H257" s="30">
        <v>1.0</v>
      </c>
      <c r="I257" s="30">
        <v>729.0</v>
      </c>
      <c r="J257" s="30">
        <v>729.0</v>
      </c>
      <c r="K257" s="30">
        <v>4.95</v>
      </c>
      <c r="L257" s="30">
        <v>36.0855</v>
      </c>
      <c r="M257" s="30">
        <v>580.0</v>
      </c>
      <c r="N257" s="30">
        <v>580.0</v>
      </c>
      <c r="O257" s="30">
        <v>0.0</v>
      </c>
      <c r="P257" s="30">
        <v>0.0</v>
      </c>
      <c r="Q257" s="30">
        <v>112.9145</v>
      </c>
    </row>
    <row r="258">
      <c r="A258" s="47">
        <v>1.1241921541E10</v>
      </c>
      <c r="B258" s="48">
        <v>46159.05978009259</v>
      </c>
      <c r="C258" s="30">
        <v>3.855628397E9</v>
      </c>
      <c r="D258" s="47" t="s">
        <v>1509</v>
      </c>
      <c r="E258" s="47">
        <v>7.613033560064E12</v>
      </c>
      <c r="F258" s="47" t="s">
        <v>1523</v>
      </c>
      <c r="G258" s="47" t="s">
        <v>1527</v>
      </c>
      <c r="H258" s="30">
        <v>1.0</v>
      </c>
      <c r="I258" s="30">
        <v>1284.0</v>
      </c>
      <c r="J258" s="30">
        <v>1284.0</v>
      </c>
      <c r="K258" s="30">
        <v>2.7</v>
      </c>
      <c r="L258" s="30">
        <v>34.668</v>
      </c>
      <c r="M258" s="30">
        <v>1190.0</v>
      </c>
      <c r="N258" s="30">
        <v>1190.0</v>
      </c>
      <c r="O258" s="30">
        <v>0.0</v>
      </c>
      <c r="P258" s="30">
        <v>0.0</v>
      </c>
      <c r="Q258" s="30">
        <v>59.332</v>
      </c>
    </row>
    <row r="259">
      <c r="A259" s="47">
        <v>1.1241976575E10</v>
      </c>
      <c r="B259" s="48">
        <v>46159.07126157408</v>
      </c>
      <c r="C259" s="30">
        <v>3.855680305E9</v>
      </c>
      <c r="D259" s="47" t="s">
        <v>1509</v>
      </c>
      <c r="E259" s="47" t="s">
        <v>411</v>
      </c>
      <c r="F259" s="47" t="s">
        <v>1523</v>
      </c>
      <c r="G259" s="47" t="s">
        <v>1531</v>
      </c>
      <c r="H259" s="30">
        <v>4.0</v>
      </c>
      <c r="I259" s="30">
        <v>768.0</v>
      </c>
      <c r="J259" s="30">
        <v>3072.0</v>
      </c>
      <c r="K259" s="30">
        <v>4.95</v>
      </c>
      <c r="L259" s="30">
        <v>152.06400000000002</v>
      </c>
      <c r="M259" s="30">
        <v>580.0</v>
      </c>
      <c r="N259" s="30">
        <v>2320.0</v>
      </c>
      <c r="O259" s="30">
        <v>0.0</v>
      </c>
      <c r="P259" s="30">
        <v>0.0</v>
      </c>
      <c r="Q259" s="30">
        <v>599.9359999999999</v>
      </c>
    </row>
    <row r="260">
      <c r="A260" s="47">
        <v>1.1238998166E10</v>
      </c>
      <c r="B260" s="48">
        <v>46158.10974537037</v>
      </c>
      <c r="C260" s="30">
        <v>3.853255865E9</v>
      </c>
      <c r="D260" s="47" t="s">
        <v>1509</v>
      </c>
      <c r="E260" s="47">
        <v>7.613032816536E12</v>
      </c>
      <c r="F260" s="47" t="s">
        <v>1523</v>
      </c>
      <c r="G260" s="47" t="s">
        <v>1533</v>
      </c>
      <c r="H260" s="30">
        <v>1.0</v>
      </c>
      <c r="I260" s="30">
        <v>729.0</v>
      </c>
      <c r="J260" s="30">
        <v>729.0</v>
      </c>
      <c r="K260" s="30">
        <v>4.41</v>
      </c>
      <c r="L260" s="30">
        <v>32.148900000000005</v>
      </c>
      <c r="M260" s="30">
        <v>580.0</v>
      </c>
      <c r="N260" s="30">
        <v>580.0</v>
      </c>
      <c r="O260" s="30">
        <v>0.0</v>
      </c>
      <c r="P260" s="30">
        <v>0.0</v>
      </c>
      <c r="Q260" s="30">
        <v>116.8511</v>
      </c>
    </row>
    <row r="261">
      <c r="A261" s="47">
        <v>1.1240145636E10</v>
      </c>
      <c r="B261" s="48">
        <v>46158.69689814815</v>
      </c>
      <c r="C261" s="30">
        <v>3.854326776E9</v>
      </c>
      <c r="D261" s="47" t="s">
        <v>1509</v>
      </c>
      <c r="E261" s="47">
        <v>8.684501941837E12</v>
      </c>
      <c r="F261" s="47" t="s">
        <v>289</v>
      </c>
      <c r="G261" s="47" t="s">
        <v>1543</v>
      </c>
      <c r="H261" s="30">
        <v>1.0</v>
      </c>
      <c r="I261" s="30">
        <v>174.99</v>
      </c>
      <c r="J261" s="30">
        <v>174.99</v>
      </c>
      <c r="K261" s="30">
        <v>18.0</v>
      </c>
      <c r="L261" s="30">
        <v>31.4982</v>
      </c>
      <c r="M261" s="30">
        <v>53.0</v>
      </c>
      <c r="N261" s="30">
        <v>53.0</v>
      </c>
      <c r="O261" s="30">
        <v>0.0</v>
      </c>
      <c r="P261" s="30">
        <v>0.0</v>
      </c>
      <c r="Q261" s="30">
        <v>90.49180000000001</v>
      </c>
    </row>
    <row r="262">
      <c r="A262" s="47">
        <v>1.1240145636E10</v>
      </c>
      <c r="B262" s="48">
        <v>46158.69689814815</v>
      </c>
      <c r="C262" s="30">
        <v>3.854326776E9</v>
      </c>
      <c r="D262" s="47" t="s">
        <v>1509</v>
      </c>
      <c r="E262" s="47">
        <v>7.613033560033E12</v>
      </c>
      <c r="F262" s="47">
        <v>0.0</v>
      </c>
      <c r="G262" s="47" t="s">
        <v>1539</v>
      </c>
      <c r="H262" s="30">
        <v>1.0</v>
      </c>
      <c r="I262" s="30">
        <v>1287.0</v>
      </c>
      <c r="J262" s="30">
        <v>1287.0</v>
      </c>
      <c r="K262" s="30">
        <v>3.6</v>
      </c>
      <c r="L262" s="30">
        <v>46.332</v>
      </c>
      <c r="M262" s="30">
        <v>1165.0</v>
      </c>
      <c r="N262" s="30">
        <v>1165.0</v>
      </c>
      <c r="O262" s="30">
        <v>0.0</v>
      </c>
      <c r="P262" s="30">
        <v>0.0</v>
      </c>
      <c r="Q262" s="30">
        <v>75.668</v>
      </c>
    </row>
    <row r="263">
      <c r="A263" s="47">
        <v>1.1240145636E10</v>
      </c>
      <c r="B263" s="48">
        <v>46158.69689814815</v>
      </c>
      <c r="C263" s="30">
        <v>3.854326776E9</v>
      </c>
      <c r="D263" s="47" t="s">
        <v>1509</v>
      </c>
      <c r="E263" s="47">
        <v>8.684501941813E12</v>
      </c>
      <c r="F263" s="47" t="s">
        <v>287</v>
      </c>
      <c r="G263" s="47" t="s">
        <v>1547</v>
      </c>
      <c r="H263" s="30">
        <v>1.0</v>
      </c>
      <c r="I263" s="30">
        <v>175.0</v>
      </c>
      <c r="J263" s="30">
        <v>175.0</v>
      </c>
      <c r="K263" s="30">
        <v>18.0</v>
      </c>
      <c r="L263" s="30">
        <v>31.5</v>
      </c>
      <c r="M263" s="30">
        <v>53.0</v>
      </c>
      <c r="N263" s="30">
        <v>53.0</v>
      </c>
      <c r="O263" s="30">
        <v>0.0</v>
      </c>
      <c r="P263" s="30">
        <v>0.0</v>
      </c>
      <c r="Q263" s="30">
        <v>90.5</v>
      </c>
    </row>
    <row r="264">
      <c r="A264" s="47">
        <v>1.1243819982E10</v>
      </c>
      <c r="B264" s="48">
        <v>46159.80699074074</v>
      </c>
      <c r="C264" s="30">
        <v>3.857234781E9</v>
      </c>
      <c r="D264" s="47" t="s">
        <v>1509</v>
      </c>
      <c r="E264" s="47">
        <v>7.613033560064E12</v>
      </c>
      <c r="F264" s="47" t="s">
        <v>1523</v>
      </c>
      <c r="G264" s="47" t="s">
        <v>1527</v>
      </c>
      <c r="H264" s="30">
        <v>1.0</v>
      </c>
      <c r="I264" s="30">
        <v>1281.0</v>
      </c>
      <c r="J264" s="30">
        <v>1281.0</v>
      </c>
      <c r="K264" s="30">
        <v>2.7</v>
      </c>
      <c r="L264" s="30">
        <v>34.587</v>
      </c>
      <c r="M264" s="30">
        <v>1190.0</v>
      </c>
      <c r="N264" s="30">
        <v>1190.0</v>
      </c>
      <c r="O264" s="30">
        <v>0.0</v>
      </c>
      <c r="P264" s="30">
        <v>0.0</v>
      </c>
      <c r="Q264" s="30">
        <v>56.413</v>
      </c>
    </row>
    <row r="265">
      <c r="A265" s="47">
        <v>1.1244297467E10</v>
      </c>
      <c r="B265" s="48">
        <v>46159.89644675926</v>
      </c>
      <c r="C265" s="30">
        <v>3.857554385E9</v>
      </c>
      <c r="D265" s="47" t="s">
        <v>1509</v>
      </c>
      <c r="E265" s="47" t="s">
        <v>356</v>
      </c>
      <c r="F265" s="47" t="s">
        <v>1523</v>
      </c>
      <c r="G265" s="47" t="s">
        <v>1532</v>
      </c>
      <c r="H265" s="30">
        <v>1.0</v>
      </c>
      <c r="I265" s="30">
        <v>729.0</v>
      </c>
      <c r="J265" s="30">
        <v>729.0</v>
      </c>
      <c r="K265" s="30">
        <v>4.95</v>
      </c>
      <c r="L265" s="30">
        <v>36.0855</v>
      </c>
      <c r="M265" s="30">
        <v>580.0</v>
      </c>
      <c r="N265" s="30">
        <v>580.0</v>
      </c>
      <c r="O265" s="30">
        <v>0.0</v>
      </c>
      <c r="P265" s="30">
        <v>0.0</v>
      </c>
      <c r="Q265" s="30">
        <v>112.9145</v>
      </c>
    </row>
    <row r="266">
      <c r="A266" s="47">
        <v>1.1239231633E10</v>
      </c>
      <c r="B266" s="48">
        <v>46158.190092592595</v>
      </c>
      <c r="C266" s="30">
        <v>3.853480153E9</v>
      </c>
      <c r="D266" s="47" t="s">
        <v>1509</v>
      </c>
      <c r="E266" s="47">
        <v>7.613035846708E12</v>
      </c>
      <c r="F266" s="47" t="s">
        <v>1523</v>
      </c>
      <c r="G266" s="47" t="s">
        <v>1535</v>
      </c>
      <c r="H266" s="30">
        <v>1.0</v>
      </c>
      <c r="I266" s="30">
        <v>1267.9</v>
      </c>
      <c r="J266" s="30">
        <v>1267.9</v>
      </c>
      <c r="K266" s="30">
        <v>4.5</v>
      </c>
      <c r="L266" s="30">
        <v>57.0555</v>
      </c>
      <c r="M266" s="30">
        <v>1160.0</v>
      </c>
      <c r="N266" s="30">
        <v>1160.0</v>
      </c>
      <c r="O266" s="30">
        <v>0.0</v>
      </c>
      <c r="P266" s="30">
        <v>0.0</v>
      </c>
      <c r="Q266" s="30">
        <v>50.84450000000009</v>
      </c>
    </row>
    <row r="267">
      <c r="A267" s="47">
        <v>1.1249720379E10</v>
      </c>
      <c r="B267" s="48">
        <v>46161.6478125</v>
      </c>
      <c r="C267" s="30">
        <v>3.862300715E9</v>
      </c>
      <c r="D267" s="47" t="s">
        <v>1508</v>
      </c>
      <c r="E267" s="47">
        <v>7.613033560064E12</v>
      </c>
      <c r="F267" s="47" t="s">
        <v>1523</v>
      </c>
      <c r="G267" s="47" t="s">
        <v>1527</v>
      </c>
      <c r="H267" s="30">
        <v>1.0</v>
      </c>
      <c r="I267" s="30">
        <v>1530.0</v>
      </c>
      <c r="J267" s="30">
        <v>1530.0</v>
      </c>
      <c r="K267" s="30">
        <v>12.5</v>
      </c>
      <c r="L267" s="30">
        <v>191.25</v>
      </c>
      <c r="M267" s="30">
        <v>1190.0</v>
      </c>
      <c r="N267" s="30">
        <v>1190.0</v>
      </c>
      <c r="O267" s="30">
        <v>0.0</v>
      </c>
      <c r="P267" s="30">
        <v>0.0</v>
      </c>
      <c r="Q267" s="30">
        <v>148.75</v>
      </c>
    </row>
    <row r="268">
      <c r="A268" s="47">
        <v>1.123968653E10</v>
      </c>
      <c r="B268" s="48">
        <v>46158.59459490741</v>
      </c>
      <c r="C268" s="30">
        <v>3.853929044E9</v>
      </c>
      <c r="D268" s="47" t="s">
        <v>1509</v>
      </c>
      <c r="E268" s="47">
        <v>7.613033560064E12</v>
      </c>
      <c r="F268" s="47" t="s">
        <v>1523</v>
      </c>
      <c r="G268" s="47" t="s">
        <v>1527</v>
      </c>
      <c r="H268" s="30">
        <v>1.0</v>
      </c>
      <c r="I268" s="30">
        <v>1289.0</v>
      </c>
      <c r="J268" s="30">
        <v>1289.0</v>
      </c>
      <c r="K268" s="30">
        <v>2.7</v>
      </c>
      <c r="L268" s="30">
        <v>34.803000000000004</v>
      </c>
      <c r="M268" s="30">
        <v>1190.0</v>
      </c>
      <c r="N268" s="30">
        <v>1190.0</v>
      </c>
      <c r="O268" s="30">
        <v>0.0</v>
      </c>
      <c r="P268" s="30">
        <v>0.0</v>
      </c>
      <c r="Q268" s="30">
        <v>64.197</v>
      </c>
    </row>
    <row r="269">
      <c r="A269" s="47">
        <v>1.1228250238E10</v>
      </c>
      <c r="B269" s="48">
        <v>46154.88494212963</v>
      </c>
      <c r="C269" s="30">
        <v>3.843713881E9</v>
      </c>
      <c r="D269" s="47" t="s">
        <v>1509</v>
      </c>
      <c r="E269" s="47">
        <v>3.182550894128E12</v>
      </c>
      <c r="F269" s="47" t="s">
        <v>1523</v>
      </c>
      <c r="G269" s="47" t="s">
        <v>1557</v>
      </c>
      <c r="H269" s="30">
        <v>1.0</v>
      </c>
      <c r="I269" s="30">
        <v>1595.0</v>
      </c>
      <c r="J269" s="30">
        <v>1595.0</v>
      </c>
      <c r="K269" s="30">
        <v>6.66</v>
      </c>
      <c r="L269" s="30">
        <v>106.227</v>
      </c>
      <c r="M269" s="30">
        <v>1394.04</v>
      </c>
      <c r="N269" s="30">
        <v>1394.04</v>
      </c>
      <c r="O269" s="30">
        <v>0.0</v>
      </c>
      <c r="P269" s="30">
        <v>0.0</v>
      </c>
      <c r="Q269" s="30">
        <v>94.73300000000003</v>
      </c>
    </row>
    <row r="270">
      <c r="A270" s="47">
        <v>1.1249703491E10</v>
      </c>
      <c r="B270" s="48">
        <v>46161.64417824074</v>
      </c>
      <c r="C270" s="30">
        <v>3.862288627E9</v>
      </c>
      <c r="D270" s="47" t="s">
        <v>1508</v>
      </c>
      <c r="E270" s="47">
        <v>8.410650239156E12</v>
      </c>
      <c r="F270" s="47" t="s">
        <v>1523</v>
      </c>
      <c r="G270" s="47" t="s">
        <v>1530</v>
      </c>
      <c r="H270" s="30">
        <v>1.0</v>
      </c>
      <c r="I270" s="30">
        <v>1728.0</v>
      </c>
      <c r="J270" s="30">
        <v>1728.0</v>
      </c>
      <c r="K270" s="30">
        <v>15.3</v>
      </c>
      <c r="L270" s="30">
        <v>264.384</v>
      </c>
      <c r="M270" s="30">
        <v>1260.0</v>
      </c>
      <c r="N270" s="30">
        <v>1260.0</v>
      </c>
      <c r="O270" s="30">
        <v>0.0</v>
      </c>
      <c r="P270" s="30">
        <v>0.0</v>
      </c>
      <c r="Q270" s="30">
        <v>203.61599999999999</v>
      </c>
    </row>
    <row r="271">
      <c r="A271" s="47">
        <v>1.1239326227E10</v>
      </c>
      <c r="B271" s="48">
        <v>46158.32271990741</v>
      </c>
      <c r="C271" s="30">
        <v>3.853571424E9</v>
      </c>
      <c r="D271" s="47" t="s">
        <v>1509</v>
      </c>
      <c r="E271" s="47">
        <v>7.613035846708E12</v>
      </c>
      <c r="F271" s="47" t="s">
        <v>1523</v>
      </c>
      <c r="G271" s="47" t="s">
        <v>1535</v>
      </c>
      <c r="H271" s="30">
        <v>1.0</v>
      </c>
      <c r="I271" s="30">
        <v>1267.9</v>
      </c>
      <c r="J271" s="30">
        <v>1267.9</v>
      </c>
      <c r="K271" s="30">
        <v>4.5</v>
      </c>
      <c r="L271" s="30">
        <v>57.0555</v>
      </c>
      <c r="M271" s="30">
        <v>1160.0</v>
      </c>
      <c r="N271" s="30">
        <v>1160.0</v>
      </c>
      <c r="O271" s="30">
        <v>0.0</v>
      </c>
      <c r="P271" s="30">
        <v>0.0</v>
      </c>
      <c r="Q271" s="30">
        <v>50.84450000000009</v>
      </c>
    </row>
    <row r="272">
      <c r="A272" s="47">
        <v>1.1241009333E10</v>
      </c>
      <c r="B272" s="48">
        <v>46158.87556712963</v>
      </c>
      <c r="C272" s="30">
        <v>3.854969965E9</v>
      </c>
      <c r="D272" s="47" t="s">
        <v>1513</v>
      </c>
      <c r="E272" s="47">
        <v>7.613032816536E12</v>
      </c>
      <c r="F272" s="47" t="s">
        <v>1523</v>
      </c>
      <c r="G272" s="47" t="s">
        <v>1533</v>
      </c>
      <c r="H272" s="30">
        <v>1.0</v>
      </c>
      <c r="I272" s="30">
        <v>729.0</v>
      </c>
      <c r="J272" s="30">
        <v>729.0</v>
      </c>
      <c r="K272" s="30">
        <v>4.41</v>
      </c>
      <c r="L272" s="30">
        <v>32.148900000000005</v>
      </c>
      <c r="M272" s="30">
        <v>580.0</v>
      </c>
      <c r="N272" s="30">
        <v>580.0</v>
      </c>
      <c r="O272" s="30">
        <v>0.0</v>
      </c>
      <c r="P272" s="30">
        <v>0.0</v>
      </c>
      <c r="Q272" s="30">
        <v>116.8511</v>
      </c>
    </row>
    <row r="273">
      <c r="A273" s="47">
        <v>1.124357322E10</v>
      </c>
      <c r="B273" s="48">
        <v>46159.758425925924</v>
      </c>
      <c r="C273" s="30">
        <v>3.8570533E9</v>
      </c>
      <c r="D273" s="47" t="s">
        <v>1509</v>
      </c>
      <c r="E273" s="47" t="s">
        <v>356</v>
      </c>
      <c r="F273" s="47" t="s">
        <v>1523</v>
      </c>
      <c r="G273" s="47" t="s">
        <v>1532</v>
      </c>
      <c r="H273" s="30">
        <v>1.0</v>
      </c>
      <c r="I273" s="30">
        <v>729.0</v>
      </c>
      <c r="J273" s="30">
        <v>729.0</v>
      </c>
      <c r="K273" s="30">
        <v>4.95</v>
      </c>
      <c r="L273" s="30">
        <v>36.0855</v>
      </c>
      <c r="M273" s="30">
        <v>580.0</v>
      </c>
      <c r="N273" s="30">
        <v>580.0</v>
      </c>
      <c r="O273" s="30">
        <v>0.0</v>
      </c>
      <c r="P273" s="30">
        <v>0.0</v>
      </c>
      <c r="Q273" s="30">
        <v>112.9145</v>
      </c>
    </row>
    <row r="274">
      <c r="A274" s="47">
        <v>1.1244725147E10</v>
      </c>
      <c r="B274" s="48">
        <v>46159.97394675926</v>
      </c>
      <c r="C274" s="30">
        <v>3.85784799E9</v>
      </c>
      <c r="D274" s="47" t="s">
        <v>1509</v>
      </c>
      <c r="E274" s="47" t="s">
        <v>411</v>
      </c>
      <c r="F274" s="47" t="s">
        <v>1523</v>
      </c>
      <c r="G274" s="47" t="s">
        <v>1531</v>
      </c>
      <c r="H274" s="30">
        <v>1.0</v>
      </c>
      <c r="I274" s="30">
        <v>768.0</v>
      </c>
      <c r="J274" s="30">
        <v>768.0</v>
      </c>
      <c r="K274" s="30">
        <v>4.95</v>
      </c>
      <c r="L274" s="30">
        <v>38.016000000000005</v>
      </c>
      <c r="M274" s="30">
        <v>580.0</v>
      </c>
      <c r="N274" s="30">
        <v>580.0</v>
      </c>
      <c r="O274" s="30">
        <v>0.0</v>
      </c>
      <c r="P274" s="30">
        <v>0.0</v>
      </c>
      <c r="Q274" s="30">
        <v>149.98399999999998</v>
      </c>
    </row>
    <row r="275">
      <c r="A275" s="47">
        <v>1.1243620147E10</v>
      </c>
      <c r="B275" s="48">
        <v>46159.76773148148</v>
      </c>
      <c r="C275" s="30">
        <v>3.857088682E9</v>
      </c>
      <c r="D275" s="47" t="s">
        <v>1509</v>
      </c>
      <c r="E275" s="47" t="s">
        <v>356</v>
      </c>
      <c r="F275" s="47" t="s">
        <v>1523</v>
      </c>
      <c r="G275" s="47" t="s">
        <v>1532</v>
      </c>
      <c r="H275" s="30">
        <v>1.0</v>
      </c>
      <c r="I275" s="30">
        <v>729.0</v>
      </c>
      <c r="J275" s="30">
        <v>729.0</v>
      </c>
      <c r="K275" s="30">
        <v>4.95</v>
      </c>
      <c r="L275" s="30">
        <v>36.0855</v>
      </c>
      <c r="M275" s="30">
        <v>580.0</v>
      </c>
      <c r="N275" s="30">
        <v>580.0</v>
      </c>
      <c r="O275" s="30">
        <v>0.0</v>
      </c>
      <c r="P275" s="30">
        <v>0.0</v>
      </c>
      <c r="Q275" s="30">
        <v>112.9145</v>
      </c>
    </row>
    <row r="276">
      <c r="A276" s="47">
        <v>1.124304621E10</v>
      </c>
      <c r="B276" s="48">
        <v>46159.64990740741</v>
      </c>
      <c r="C276" s="30">
        <v>3.856633291E9</v>
      </c>
      <c r="D276" s="47" t="s">
        <v>1509</v>
      </c>
      <c r="E276" s="47">
        <v>7.613035846708E12</v>
      </c>
      <c r="F276" s="47" t="s">
        <v>1523</v>
      </c>
      <c r="G276" s="47" t="s">
        <v>1535</v>
      </c>
      <c r="H276" s="30">
        <v>1.0</v>
      </c>
      <c r="I276" s="30">
        <v>1264.9</v>
      </c>
      <c r="J276" s="30">
        <v>1264.9</v>
      </c>
      <c r="K276" s="30">
        <v>4.5</v>
      </c>
      <c r="L276" s="30">
        <v>56.920500000000004</v>
      </c>
      <c r="M276" s="30">
        <v>1160.0</v>
      </c>
      <c r="N276" s="30">
        <v>1160.0</v>
      </c>
      <c r="O276" s="30">
        <v>0.0</v>
      </c>
      <c r="P276" s="30">
        <v>0.0</v>
      </c>
      <c r="Q276" s="30">
        <v>47.97950000000009</v>
      </c>
    </row>
    <row r="277">
      <c r="A277" s="47">
        <v>1.124304621E10</v>
      </c>
      <c r="B277" s="48">
        <v>46159.64990740741</v>
      </c>
      <c r="C277" s="30">
        <v>3.856633291E9</v>
      </c>
      <c r="D277" s="47" t="s">
        <v>1509</v>
      </c>
      <c r="E277" s="47" t="s">
        <v>356</v>
      </c>
      <c r="F277" s="47" t="s">
        <v>1523</v>
      </c>
      <c r="G277" s="47" t="s">
        <v>1532</v>
      </c>
      <c r="H277" s="30">
        <v>1.0</v>
      </c>
      <c r="I277" s="30">
        <v>729.0</v>
      </c>
      <c r="J277" s="30">
        <v>729.0</v>
      </c>
      <c r="K277" s="30">
        <v>4.95</v>
      </c>
      <c r="L277" s="30">
        <v>36.0855</v>
      </c>
      <c r="M277" s="30">
        <v>580.0</v>
      </c>
      <c r="N277" s="30">
        <v>580.0</v>
      </c>
      <c r="O277" s="30">
        <v>0.0</v>
      </c>
      <c r="P277" s="30">
        <v>0.0</v>
      </c>
      <c r="Q277" s="30">
        <v>112.9145</v>
      </c>
    </row>
    <row r="278">
      <c r="A278" s="47">
        <v>1.1237195532E10</v>
      </c>
      <c r="B278" s="48">
        <v>46157.74375</v>
      </c>
      <c r="C278" s="30">
        <v>3.851843363E9</v>
      </c>
      <c r="D278" s="47" t="s">
        <v>1509</v>
      </c>
      <c r="E278" s="47">
        <v>7.613035846708E12</v>
      </c>
      <c r="F278" s="47" t="s">
        <v>1523</v>
      </c>
      <c r="G278" s="47" t="s">
        <v>1535</v>
      </c>
      <c r="H278" s="30">
        <v>1.0</v>
      </c>
      <c r="I278" s="30">
        <v>1267.9</v>
      </c>
      <c r="J278" s="30">
        <v>1267.9</v>
      </c>
      <c r="K278" s="30">
        <v>4.5</v>
      </c>
      <c r="L278" s="30">
        <v>57.0555</v>
      </c>
      <c r="M278" s="30">
        <v>1160.0</v>
      </c>
      <c r="N278" s="30">
        <v>1160.0</v>
      </c>
      <c r="O278" s="30">
        <v>0.0</v>
      </c>
      <c r="P278" s="30">
        <v>0.0</v>
      </c>
      <c r="Q278" s="30">
        <v>50.84450000000009</v>
      </c>
    </row>
    <row r="279">
      <c r="A279" s="47">
        <v>1.1239726951E10</v>
      </c>
      <c r="B279" s="48">
        <v>46158.60523148148</v>
      </c>
      <c r="C279" s="30">
        <v>3.853966338E9</v>
      </c>
      <c r="D279" s="47" t="s">
        <v>1509</v>
      </c>
      <c r="E279" s="47">
        <v>7.613035846708E12</v>
      </c>
      <c r="F279" s="47" t="s">
        <v>1523</v>
      </c>
      <c r="G279" s="47" t="s">
        <v>1535</v>
      </c>
      <c r="H279" s="30">
        <v>1.0</v>
      </c>
      <c r="I279" s="30">
        <v>1267.9</v>
      </c>
      <c r="J279" s="30">
        <v>1267.9</v>
      </c>
      <c r="K279" s="30">
        <v>4.5</v>
      </c>
      <c r="L279" s="30">
        <v>57.0555</v>
      </c>
      <c r="M279" s="30">
        <v>1160.0</v>
      </c>
      <c r="N279" s="30">
        <v>1160.0</v>
      </c>
      <c r="O279" s="30">
        <v>0.0</v>
      </c>
      <c r="P279" s="30">
        <v>0.0</v>
      </c>
      <c r="Q279" s="30">
        <v>50.84450000000009</v>
      </c>
    </row>
    <row r="280">
      <c r="A280" s="47">
        <v>1.1240283077E10</v>
      </c>
      <c r="B280" s="48">
        <v>46158.72462962963</v>
      </c>
      <c r="C280" s="30">
        <v>3.854436924E9</v>
      </c>
      <c r="D280" s="47" t="s">
        <v>1509</v>
      </c>
      <c r="E280" s="47">
        <v>7.613033560064E12</v>
      </c>
      <c r="F280" s="47" t="s">
        <v>1523</v>
      </c>
      <c r="G280" s="47" t="s">
        <v>1527</v>
      </c>
      <c r="H280" s="30">
        <v>1.0</v>
      </c>
      <c r="I280" s="30">
        <v>1286.0</v>
      </c>
      <c r="J280" s="30">
        <v>1286.0</v>
      </c>
      <c r="K280" s="30">
        <v>2.7</v>
      </c>
      <c r="L280" s="30">
        <v>34.722</v>
      </c>
      <c r="M280" s="30">
        <v>1190.0</v>
      </c>
      <c r="N280" s="30">
        <v>1190.0</v>
      </c>
      <c r="O280" s="30">
        <v>0.0</v>
      </c>
      <c r="P280" s="30">
        <v>0.0</v>
      </c>
      <c r="Q280" s="30">
        <v>61.278</v>
      </c>
    </row>
    <row r="281">
      <c r="A281" s="47">
        <v>1.1239407384E10</v>
      </c>
      <c r="B281" s="48">
        <v>46158.49136574074</v>
      </c>
      <c r="C281" s="30">
        <v>3.853663833E9</v>
      </c>
      <c r="D281" s="47" t="s">
        <v>1509</v>
      </c>
      <c r="E281" s="47">
        <v>7.613032816536E12</v>
      </c>
      <c r="F281" s="47" t="s">
        <v>1523</v>
      </c>
      <c r="G281" s="47" t="s">
        <v>1533</v>
      </c>
      <c r="H281" s="30">
        <v>1.0</v>
      </c>
      <c r="I281" s="30">
        <v>729.0</v>
      </c>
      <c r="J281" s="30">
        <v>729.0</v>
      </c>
      <c r="K281" s="30">
        <v>4.41</v>
      </c>
      <c r="L281" s="30">
        <v>32.148900000000005</v>
      </c>
      <c r="M281" s="30">
        <v>580.0</v>
      </c>
      <c r="N281" s="30">
        <v>580.0</v>
      </c>
      <c r="O281" s="30">
        <v>0.0</v>
      </c>
      <c r="P281" s="30">
        <v>0.0</v>
      </c>
      <c r="Q281" s="30">
        <v>116.8511</v>
      </c>
    </row>
    <row r="282">
      <c r="A282" s="47">
        <v>1.1239809331E10</v>
      </c>
      <c r="B282" s="48">
        <v>46158.625451388885</v>
      </c>
      <c r="C282" s="30">
        <v>3.8540394E9</v>
      </c>
      <c r="D282" s="47" t="s">
        <v>1509</v>
      </c>
      <c r="E282" s="47">
        <v>7.613033560064E12</v>
      </c>
      <c r="F282" s="47" t="s">
        <v>1523</v>
      </c>
      <c r="G282" s="47" t="s">
        <v>1527</v>
      </c>
      <c r="H282" s="30">
        <v>1.0</v>
      </c>
      <c r="I282" s="30">
        <v>1289.0</v>
      </c>
      <c r="J282" s="30">
        <v>1289.0</v>
      </c>
      <c r="K282" s="30">
        <v>2.7</v>
      </c>
      <c r="L282" s="30">
        <v>34.803000000000004</v>
      </c>
      <c r="M282" s="30">
        <v>1190.0</v>
      </c>
      <c r="N282" s="30">
        <v>1190.0</v>
      </c>
      <c r="O282" s="30">
        <v>0.0</v>
      </c>
      <c r="P282" s="30">
        <v>0.0</v>
      </c>
      <c r="Q282" s="30">
        <v>64.197</v>
      </c>
    </row>
    <row r="283">
      <c r="A283" s="47">
        <v>1.1239861484E10</v>
      </c>
      <c r="B283" s="48">
        <v>46158.637395833335</v>
      </c>
      <c r="C283" s="30">
        <v>3.854088659E9</v>
      </c>
      <c r="D283" s="47" t="s">
        <v>1509</v>
      </c>
      <c r="E283" s="47">
        <v>7.613032816536E12</v>
      </c>
      <c r="F283" s="47" t="s">
        <v>1523</v>
      </c>
      <c r="G283" s="47" t="s">
        <v>1533</v>
      </c>
      <c r="H283" s="30">
        <v>1.0</v>
      </c>
      <c r="I283" s="30">
        <v>729.0</v>
      </c>
      <c r="J283" s="30">
        <v>729.0</v>
      </c>
      <c r="K283" s="30">
        <v>4.41</v>
      </c>
      <c r="L283" s="30">
        <v>32.148900000000005</v>
      </c>
      <c r="M283" s="30">
        <v>580.0</v>
      </c>
      <c r="N283" s="30">
        <v>580.0</v>
      </c>
      <c r="O283" s="30">
        <v>0.0</v>
      </c>
      <c r="P283" s="30">
        <v>0.0</v>
      </c>
      <c r="Q283" s="30">
        <v>116.8511</v>
      </c>
    </row>
    <row r="284">
      <c r="A284" s="47">
        <v>1.1239861484E10</v>
      </c>
      <c r="B284" s="48">
        <v>46158.637395833335</v>
      </c>
      <c r="C284" s="30">
        <v>3.854088659E9</v>
      </c>
      <c r="D284" s="47" t="s">
        <v>1509</v>
      </c>
      <c r="E284" s="47" t="s">
        <v>356</v>
      </c>
      <c r="F284" s="47" t="s">
        <v>1523</v>
      </c>
      <c r="G284" s="47" t="s">
        <v>1532</v>
      </c>
      <c r="H284" s="30">
        <v>2.0</v>
      </c>
      <c r="I284" s="30">
        <v>729.0</v>
      </c>
      <c r="J284" s="30">
        <v>1458.0</v>
      </c>
      <c r="K284" s="30">
        <v>4.95</v>
      </c>
      <c r="L284" s="30">
        <v>72.171</v>
      </c>
      <c r="M284" s="30">
        <v>580.0</v>
      </c>
      <c r="N284" s="30">
        <v>1160.0</v>
      </c>
      <c r="O284" s="30">
        <v>0.0</v>
      </c>
      <c r="P284" s="30">
        <v>0.0</v>
      </c>
      <c r="Q284" s="30">
        <v>225.829</v>
      </c>
    </row>
    <row r="285">
      <c r="A285" s="47">
        <v>1.1245120123E10</v>
      </c>
      <c r="B285" s="48">
        <v>46160.04418981481</v>
      </c>
      <c r="C285" s="30">
        <v>3.858172148E9</v>
      </c>
      <c r="D285" s="47" t="s">
        <v>1509</v>
      </c>
      <c r="E285" s="47" t="s">
        <v>411</v>
      </c>
      <c r="F285" s="47" t="s">
        <v>1523</v>
      </c>
      <c r="G285" s="47" t="s">
        <v>1531</v>
      </c>
      <c r="H285" s="30">
        <v>1.0</v>
      </c>
      <c r="I285" s="30">
        <v>768.0</v>
      </c>
      <c r="J285" s="30">
        <v>768.0</v>
      </c>
      <c r="K285" s="30">
        <v>4.95</v>
      </c>
      <c r="L285" s="30">
        <v>38.016000000000005</v>
      </c>
      <c r="M285" s="30">
        <v>580.0</v>
      </c>
      <c r="N285" s="30">
        <v>580.0</v>
      </c>
      <c r="O285" s="30">
        <v>0.0</v>
      </c>
      <c r="P285" s="30">
        <v>0.0</v>
      </c>
      <c r="Q285" s="30">
        <v>149.98399999999998</v>
      </c>
    </row>
    <row r="286">
      <c r="A286" s="47">
        <v>1.1239422531E10</v>
      </c>
      <c r="B286" s="48">
        <v>46158.50163194445</v>
      </c>
      <c r="C286" s="30">
        <v>3.85368163E9</v>
      </c>
      <c r="D286" s="47" t="s">
        <v>1509</v>
      </c>
      <c r="E286" s="47">
        <v>7.613033560064E12</v>
      </c>
      <c r="F286" s="47" t="s">
        <v>1523</v>
      </c>
      <c r="G286" s="47" t="s">
        <v>1527</v>
      </c>
      <c r="H286" s="30">
        <v>1.0</v>
      </c>
      <c r="I286" s="30">
        <v>1289.0</v>
      </c>
      <c r="J286" s="30">
        <v>1289.0</v>
      </c>
      <c r="K286" s="30">
        <v>2.7</v>
      </c>
      <c r="L286" s="30">
        <v>34.803000000000004</v>
      </c>
      <c r="M286" s="30">
        <v>1190.0</v>
      </c>
      <c r="N286" s="30">
        <v>1190.0</v>
      </c>
      <c r="O286" s="30">
        <v>0.0</v>
      </c>
      <c r="P286" s="30">
        <v>0.0</v>
      </c>
      <c r="Q286" s="30">
        <v>64.197</v>
      </c>
    </row>
    <row r="287">
      <c r="A287" s="47">
        <v>1.1239431788E10</v>
      </c>
      <c r="B287" s="48">
        <v>46158.50633101852</v>
      </c>
      <c r="C287" s="30">
        <v>3.853691717E9</v>
      </c>
      <c r="D287" s="47" t="s">
        <v>1509</v>
      </c>
      <c r="E287" s="47">
        <v>8.410650173535E12</v>
      </c>
      <c r="F287" s="47" t="s">
        <v>1523</v>
      </c>
      <c r="G287" s="47" t="s">
        <v>1558</v>
      </c>
      <c r="H287" s="30">
        <v>1.0</v>
      </c>
      <c r="I287" s="30">
        <v>3990.0</v>
      </c>
      <c r="J287" s="30">
        <v>3990.0</v>
      </c>
      <c r="K287" s="30">
        <v>14.85</v>
      </c>
      <c r="L287" s="30">
        <v>592.515</v>
      </c>
      <c r="M287" s="30">
        <v>3034.0</v>
      </c>
      <c r="N287" s="30">
        <v>3034.0</v>
      </c>
      <c r="O287" s="30">
        <v>0.0</v>
      </c>
      <c r="P287" s="30">
        <v>0.0</v>
      </c>
      <c r="Q287" s="30">
        <v>363.485</v>
      </c>
    </row>
    <row r="288">
      <c r="A288" s="47">
        <v>1.1241683747E10</v>
      </c>
      <c r="B288" s="48">
        <v>46159.011030092595</v>
      </c>
      <c r="C288" s="30">
        <v>3.855431757E9</v>
      </c>
      <c r="D288" s="47" t="s">
        <v>1509</v>
      </c>
      <c r="E288" s="47">
        <v>7.613033560064E12</v>
      </c>
      <c r="F288" s="47" t="s">
        <v>1523</v>
      </c>
      <c r="G288" s="47" t="s">
        <v>1527</v>
      </c>
      <c r="H288" s="30">
        <v>1.0</v>
      </c>
      <c r="I288" s="30">
        <v>1284.0</v>
      </c>
      <c r="J288" s="30">
        <v>1284.0</v>
      </c>
      <c r="K288" s="30">
        <v>2.7</v>
      </c>
      <c r="L288" s="30">
        <v>34.668</v>
      </c>
      <c r="M288" s="30">
        <v>1190.0</v>
      </c>
      <c r="N288" s="30">
        <v>1190.0</v>
      </c>
      <c r="O288" s="30">
        <v>0.0</v>
      </c>
      <c r="P288" s="30">
        <v>0.0</v>
      </c>
      <c r="Q288" s="30">
        <v>59.332</v>
      </c>
    </row>
    <row r="289">
      <c r="A289" s="47">
        <v>1.1243070699E10</v>
      </c>
      <c r="B289" s="48">
        <v>46159.65550925926</v>
      </c>
      <c r="C289" s="30">
        <v>3.856655068E9</v>
      </c>
      <c r="D289" s="47" t="s">
        <v>1509</v>
      </c>
      <c r="E289" s="47">
        <v>7.613033560064E12</v>
      </c>
      <c r="F289" s="47" t="s">
        <v>1523</v>
      </c>
      <c r="G289" s="47" t="s">
        <v>1527</v>
      </c>
      <c r="H289" s="30">
        <v>1.0</v>
      </c>
      <c r="I289" s="30">
        <v>1282.0</v>
      </c>
      <c r="J289" s="30">
        <v>1282.0</v>
      </c>
      <c r="K289" s="30">
        <v>2.7</v>
      </c>
      <c r="L289" s="30">
        <v>34.614000000000004</v>
      </c>
      <c r="M289" s="30">
        <v>1190.0</v>
      </c>
      <c r="N289" s="30">
        <v>1190.0</v>
      </c>
      <c r="O289" s="30">
        <v>0.0</v>
      </c>
      <c r="P289" s="30">
        <v>0.0</v>
      </c>
      <c r="Q289" s="30">
        <v>57.385999999999996</v>
      </c>
    </row>
    <row r="290">
      <c r="A290" s="47">
        <v>1.1243677201E10</v>
      </c>
      <c r="B290" s="48">
        <v>46159.77912037037</v>
      </c>
      <c r="C290" s="30">
        <v>3.857132526E9</v>
      </c>
      <c r="D290" s="47" t="s">
        <v>1509</v>
      </c>
      <c r="E290" s="47">
        <v>7.613035846708E12</v>
      </c>
      <c r="F290" s="47" t="s">
        <v>1523</v>
      </c>
      <c r="G290" s="47" t="s">
        <v>1535</v>
      </c>
      <c r="H290" s="30">
        <v>1.0</v>
      </c>
      <c r="I290" s="30">
        <v>1262.9</v>
      </c>
      <c r="J290" s="30">
        <v>1262.9</v>
      </c>
      <c r="K290" s="30">
        <v>4.5</v>
      </c>
      <c r="L290" s="30">
        <v>56.8305</v>
      </c>
      <c r="M290" s="30">
        <v>1160.0</v>
      </c>
      <c r="N290" s="30">
        <v>1160.0</v>
      </c>
      <c r="O290" s="30">
        <v>0.0</v>
      </c>
      <c r="P290" s="30">
        <v>0.0</v>
      </c>
      <c r="Q290" s="30">
        <v>46.06950000000009</v>
      </c>
    </row>
    <row r="291">
      <c r="A291" s="47">
        <v>1.1240553663E10</v>
      </c>
      <c r="B291" s="48">
        <v>46158.781006944446</v>
      </c>
      <c r="C291" s="30">
        <v>3.854646225E9</v>
      </c>
      <c r="D291" s="47" t="s">
        <v>1509</v>
      </c>
      <c r="E291" s="47">
        <v>7.613033560064E12</v>
      </c>
      <c r="F291" s="47" t="s">
        <v>1523</v>
      </c>
      <c r="G291" s="47" t="s">
        <v>1527</v>
      </c>
      <c r="H291" s="30">
        <v>1.0</v>
      </c>
      <c r="I291" s="30">
        <v>1286.0</v>
      </c>
      <c r="J291" s="30">
        <v>1286.0</v>
      </c>
      <c r="K291" s="30">
        <v>2.7</v>
      </c>
      <c r="L291" s="30">
        <v>34.722</v>
      </c>
      <c r="M291" s="30">
        <v>1190.0</v>
      </c>
      <c r="N291" s="30">
        <v>1190.0</v>
      </c>
      <c r="O291" s="30">
        <v>0.0</v>
      </c>
      <c r="P291" s="30">
        <v>0.0</v>
      </c>
      <c r="Q291" s="30">
        <v>61.278</v>
      </c>
    </row>
    <row r="292">
      <c r="A292" s="47">
        <v>1.1249610717E10</v>
      </c>
      <c r="B292" s="48">
        <v>46161.62373842593</v>
      </c>
      <c r="C292" s="30">
        <v>3.862211017E9</v>
      </c>
      <c r="D292" s="47" t="s">
        <v>1508</v>
      </c>
      <c r="E292" s="47">
        <v>5.060255492161E12</v>
      </c>
      <c r="F292" s="47" t="s">
        <v>1523</v>
      </c>
      <c r="G292" s="47" t="s">
        <v>1524</v>
      </c>
      <c r="H292" s="30">
        <v>2.0</v>
      </c>
      <c r="I292" s="30">
        <v>1100.0</v>
      </c>
      <c r="J292" s="30">
        <v>2200.0</v>
      </c>
      <c r="K292" s="30">
        <v>0.0</v>
      </c>
      <c r="L292" s="30">
        <v>0.0</v>
      </c>
      <c r="M292" s="30">
        <v>800.0</v>
      </c>
      <c r="N292" s="30">
        <v>1600.0</v>
      </c>
      <c r="O292" s="30">
        <v>0.0</v>
      </c>
      <c r="P292" s="30">
        <v>0.0</v>
      </c>
      <c r="Q292" s="30">
        <v>600.0</v>
      </c>
    </row>
    <row r="293">
      <c r="A293" s="47">
        <v>1.1239964759E10</v>
      </c>
      <c r="B293" s="48">
        <v>46158.659895833334</v>
      </c>
      <c r="C293" s="30">
        <v>3.854176268E9</v>
      </c>
      <c r="D293" s="47" t="s">
        <v>1509</v>
      </c>
      <c r="E293" s="47">
        <v>7.613033560064E12</v>
      </c>
      <c r="F293" s="47" t="s">
        <v>1523</v>
      </c>
      <c r="G293" s="47" t="s">
        <v>1527</v>
      </c>
      <c r="H293" s="30">
        <v>1.0</v>
      </c>
      <c r="I293" s="30">
        <v>1288.0</v>
      </c>
      <c r="J293" s="30">
        <v>1288.0</v>
      </c>
      <c r="K293" s="30">
        <v>2.7</v>
      </c>
      <c r="L293" s="30">
        <v>34.776</v>
      </c>
      <c r="M293" s="30">
        <v>1190.0</v>
      </c>
      <c r="N293" s="30">
        <v>1190.0</v>
      </c>
      <c r="O293" s="30">
        <v>0.0</v>
      </c>
      <c r="P293" s="30">
        <v>0.0</v>
      </c>
      <c r="Q293" s="30">
        <v>63.224</v>
      </c>
    </row>
    <row r="294">
      <c r="A294" s="47">
        <v>1.12396603E10</v>
      </c>
      <c r="B294" s="48">
        <v>46158.58783564815</v>
      </c>
      <c r="C294" s="30">
        <v>3.853908626E9</v>
      </c>
      <c r="D294" s="47" t="s">
        <v>1509</v>
      </c>
      <c r="E294" s="47" t="s">
        <v>318</v>
      </c>
      <c r="F294" s="47" t="s">
        <v>1523</v>
      </c>
      <c r="G294" s="47" t="s">
        <v>1552</v>
      </c>
      <c r="H294" s="30">
        <v>1.0</v>
      </c>
      <c r="I294" s="30">
        <v>200.0</v>
      </c>
      <c r="J294" s="30">
        <v>200.0</v>
      </c>
      <c r="K294" s="30">
        <v>11.25</v>
      </c>
      <c r="L294" s="30">
        <v>22.5</v>
      </c>
      <c r="M294" s="30">
        <v>78.6</v>
      </c>
      <c r="N294" s="30">
        <v>78.6</v>
      </c>
      <c r="O294" s="30">
        <v>0.0</v>
      </c>
      <c r="P294" s="30">
        <v>0.0</v>
      </c>
      <c r="Q294" s="30">
        <v>98.9</v>
      </c>
    </row>
    <row r="295">
      <c r="A295" s="47">
        <v>1.12396603E10</v>
      </c>
      <c r="B295" s="48">
        <v>46158.58783564815</v>
      </c>
      <c r="C295" s="30">
        <v>3.853908626E9</v>
      </c>
      <c r="D295" s="47" t="s">
        <v>1509</v>
      </c>
      <c r="E295" s="47">
        <v>7.613033560064E12</v>
      </c>
      <c r="F295" s="47" t="s">
        <v>1523</v>
      </c>
      <c r="G295" s="47" t="s">
        <v>1527</v>
      </c>
      <c r="H295" s="30">
        <v>1.0</v>
      </c>
      <c r="I295" s="30">
        <v>1289.0</v>
      </c>
      <c r="J295" s="30">
        <v>1289.0</v>
      </c>
      <c r="K295" s="30">
        <v>2.7</v>
      </c>
      <c r="L295" s="30">
        <v>34.803000000000004</v>
      </c>
      <c r="M295" s="30">
        <v>1190.0</v>
      </c>
      <c r="N295" s="30">
        <v>1190.0</v>
      </c>
      <c r="O295" s="30">
        <v>0.0</v>
      </c>
      <c r="P295" s="30">
        <v>0.0</v>
      </c>
      <c r="Q295" s="30">
        <v>64.197</v>
      </c>
    </row>
    <row r="296">
      <c r="A296" s="47">
        <v>1.12396603E10</v>
      </c>
      <c r="B296" s="48">
        <v>46158.58783564815</v>
      </c>
      <c r="C296" s="30">
        <v>3.853908626E9</v>
      </c>
      <c r="D296" s="47" t="s">
        <v>1509</v>
      </c>
      <c r="E296" s="47">
        <v>8.681002997592E12</v>
      </c>
      <c r="F296" s="47" t="s">
        <v>1523</v>
      </c>
      <c r="G296" s="47" t="s">
        <v>1559</v>
      </c>
      <c r="H296" s="30">
        <v>1.0</v>
      </c>
      <c r="I296" s="30">
        <v>1750.0</v>
      </c>
      <c r="J296" s="30">
        <v>1750.0</v>
      </c>
      <c r="K296" s="30">
        <v>18.0</v>
      </c>
      <c r="L296" s="30">
        <v>315.0</v>
      </c>
      <c r="M296" s="30">
        <v>100.0</v>
      </c>
      <c r="N296" s="30">
        <v>100.0</v>
      </c>
      <c r="O296" s="30">
        <v>0.0</v>
      </c>
      <c r="P296" s="30">
        <v>0.0</v>
      </c>
      <c r="Q296" s="30">
        <v>1335.0</v>
      </c>
    </row>
    <row r="297">
      <c r="A297" s="47">
        <v>1.1241604179E10</v>
      </c>
      <c r="B297" s="48">
        <v>46158.99527777778</v>
      </c>
      <c r="C297" s="30">
        <v>3.855370868E9</v>
      </c>
      <c r="D297" s="47" t="s">
        <v>1509</v>
      </c>
      <c r="E297" s="47">
        <v>8.684501941837E12</v>
      </c>
      <c r="F297" s="47" t="s">
        <v>289</v>
      </c>
      <c r="G297" s="47" t="s">
        <v>1543</v>
      </c>
      <c r="H297" s="30">
        <v>1.0</v>
      </c>
      <c r="I297" s="30">
        <v>175.0</v>
      </c>
      <c r="J297" s="30">
        <v>175.0</v>
      </c>
      <c r="K297" s="30">
        <v>18.0</v>
      </c>
      <c r="L297" s="30">
        <v>31.5</v>
      </c>
      <c r="M297" s="30">
        <v>53.0</v>
      </c>
      <c r="N297" s="30">
        <v>53.0</v>
      </c>
      <c r="O297" s="30">
        <v>0.0</v>
      </c>
      <c r="P297" s="30">
        <v>0.0</v>
      </c>
      <c r="Q297" s="30">
        <v>90.5</v>
      </c>
    </row>
    <row r="298">
      <c r="A298" s="47">
        <v>1.1241604179E10</v>
      </c>
      <c r="B298" s="48">
        <v>46158.99527777778</v>
      </c>
      <c r="C298" s="30">
        <v>3.855370868E9</v>
      </c>
      <c r="D298" s="47" t="s">
        <v>1509</v>
      </c>
      <c r="E298" s="47">
        <v>7.613033560064E12</v>
      </c>
      <c r="F298" s="47" t="s">
        <v>1523</v>
      </c>
      <c r="G298" s="47" t="s">
        <v>1527</v>
      </c>
      <c r="H298" s="30">
        <v>1.0</v>
      </c>
      <c r="I298" s="30">
        <v>1284.0</v>
      </c>
      <c r="J298" s="30">
        <v>1284.0</v>
      </c>
      <c r="K298" s="30">
        <v>2.7</v>
      </c>
      <c r="L298" s="30">
        <v>34.668</v>
      </c>
      <c r="M298" s="30">
        <v>1190.0</v>
      </c>
      <c r="N298" s="30">
        <v>1190.0</v>
      </c>
      <c r="O298" s="30">
        <v>0.0</v>
      </c>
      <c r="P298" s="30">
        <v>0.0</v>
      </c>
      <c r="Q298" s="30">
        <v>59.332</v>
      </c>
    </row>
    <row r="299">
      <c r="A299" s="47">
        <v>1.1241604179E10</v>
      </c>
      <c r="B299" s="48">
        <v>46158.99527777778</v>
      </c>
      <c r="C299" s="30">
        <v>3.855370868E9</v>
      </c>
      <c r="D299" s="47" t="s">
        <v>1509</v>
      </c>
      <c r="E299" s="47">
        <v>8.684501941813E12</v>
      </c>
      <c r="F299" s="47" t="s">
        <v>287</v>
      </c>
      <c r="G299" s="47" t="s">
        <v>1547</v>
      </c>
      <c r="H299" s="30">
        <v>1.0</v>
      </c>
      <c r="I299" s="30">
        <v>174.99</v>
      </c>
      <c r="J299" s="30">
        <v>174.99</v>
      </c>
      <c r="K299" s="30">
        <v>18.0</v>
      </c>
      <c r="L299" s="30">
        <v>31.4982</v>
      </c>
      <c r="M299" s="30">
        <v>53.0</v>
      </c>
      <c r="N299" s="30">
        <v>53.0</v>
      </c>
      <c r="O299" s="30">
        <v>0.0</v>
      </c>
      <c r="P299" s="30">
        <v>0.0</v>
      </c>
      <c r="Q299" s="30">
        <v>90.49180000000001</v>
      </c>
    </row>
    <row r="300">
      <c r="A300" s="47">
        <v>1.1242200703E10</v>
      </c>
      <c r="B300" s="48">
        <v>46159.12284722222</v>
      </c>
      <c r="C300" s="30">
        <v>3.855884218E9</v>
      </c>
      <c r="D300" s="47" t="s">
        <v>1509</v>
      </c>
      <c r="E300" s="47">
        <v>8.410650151656E12</v>
      </c>
      <c r="F300" s="47" t="s">
        <v>1523</v>
      </c>
      <c r="G300" s="47" t="s">
        <v>1525</v>
      </c>
      <c r="H300" s="30">
        <v>1.0</v>
      </c>
      <c r="I300" s="30">
        <v>1640.0</v>
      </c>
      <c r="J300" s="30">
        <v>1640.0</v>
      </c>
      <c r="K300" s="30">
        <v>12.15</v>
      </c>
      <c r="L300" s="30">
        <v>199.26</v>
      </c>
      <c r="M300" s="30">
        <v>1228.0</v>
      </c>
      <c r="N300" s="30">
        <v>1228.0</v>
      </c>
      <c r="O300" s="30">
        <v>0.0</v>
      </c>
      <c r="P300" s="30">
        <v>0.0</v>
      </c>
      <c r="Q300" s="30">
        <v>212.74</v>
      </c>
    </row>
    <row r="301">
      <c r="A301" s="47">
        <v>1.1249596933E10</v>
      </c>
      <c r="B301" s="48">
        <v>46161.620405092595</v>
      </c>
      <c r="C301" s="30">
        <v>3.862198971E9</v>
      </c>
      <c r="D301" s="47" t="s">
        <v>1508</v>
      </c>
      <c r="E301" s="47">
        <v>1.172022022E9</v>
      </c>
      <c r="F301" s="47" t="s">
        <v>1523</v>
      </c>
      <c r="G301" s="47" t="s">
        <v>1550</v>
      </c>
      <c r="H301" s="30">
        <v>1.0</v>
      </c>
      <c r="I301" s="30">
        <v>855.0</v>
      </c>
      <c r="J301" s="30">
        <v>855.0</v>
      </c>
      <c r="K301" s="30">
        <v>0.0</v>
      </c>
      <c r="L301" s="30">
        <v>0.0</v>
      </c>
      <c r="M301" s="30">
        <v>0.0</v>
      </c>
      <c r="N301" s="30">
        <v>0.0</v>
      </c>
      <c r="O301" s="30">
        <v>0.0</v>
      </c>
      <c r="P301" s="30">
        <v>0.0</v>
      </c>
      <c r="Q301" s="30">
        <v>855.0</v>
      </c>
    </row>
    <row r="302">
      <c r="A302" s="47">
        <v>1.1240597657E10</v>
      </c>
      <c r="B302" s="48">
        <v>46158.79023148148</v>
      </c>
      <c r="C302" s="30">
        <v>3.854680493E9</v>
      </c>
      <c r="D302" s="47" t="s">
        <v>1509</v>
      </c>
      <c r="E302" s="47" t="s">
        <v>411</v>
      </c>
      <c r="F302" s="47" t="s">
        <v>1523</v>
      </c>
      <c r="G302" s="47" t="s">
        <v>1531</v>
      </c>
      <c r="H302" s="30">
        <v>2.0</v>
      </c>
      <c r="I302" s="30">
        <v>768.0</v>
      </c>
      <c r="J302" s="30">
        <v>1536.0</v>
      </c>
      <c r="K302" s="30">
        <v>4.95</v>
      </c>
      <c r="L302" s="30">
        <v>76.03200000000001</v>
      </c>
      <c r="M302" s="30">
        <v>580.0</v>
      </c>
      <c r="N302" s="30">
        <v>1160.0</v>
      </c>
      <c r="O302" s="30">
        <v>0.0</v>
      </c>
      <c r="P302" s="30">
        <v>0.0</v>
      </c>
      <c r="Q302" s="30">
        <v>299.96799999999996</v>
      </c>
    </row>
    <row r="303">
      <c r="A303" s="47">
        <v>1.1239906023E10</v>
      </c>
      <c r="B303" s="48">
        <v>46158.64712962963</v>
      </c>
      <c r="C303" s="30">
        <v>3.854124986E9</v>
      </c>
      <c r="D303" s="47" t="s">
        <v>1513</v>
      </c>
      <c r="E303" s="47" t="s">
        <v>356</v>
      </c>
      <c r="F303" s="47" t="s">
        <v>1523</v>
      </c>
      <c r="G303" s="47" t="s">
        <v>1532</v>
      </c>
      <c r="H303" s="30">
        <v>1.0</v>
      </c>
      <c r="I303" s="30">
        <v>729.0</v>
      </c>
      <c r="J303" s="30">
        <v>729.0</v>
      </c>
      <c r="K303" s="30">
        <v>4.95</v>
      </c>
      <c r="L303" s="30">
        <v>36.0855</v>
      </c>
      <c r="M303" s="30">
        <v>580.0</v>
      </c>
      <c r="N303" s="30">
        <v>580.0</v>
      </c>
      <c r="O303" s="30">
        <v>0.0</v>
      </c>
      <c r="P303" s="30">
        <v>0.0</v>
      </c>
      <c r="Q303" s="30">
        <v>112.9145</v>
      </c>
    </row>
    <row r="304">
      <c r="A304" s="47">
        <v>1.1243244208E10</v>
      </c>
      <c r="B304" s="48">
        <v>46159.69180555556</v>
      </c>
      <c r="C304" s="30">
        <v>3.856800663E9</v>
      </c>
      <c r="D304" s="47" t="s">
        <v>1509</v>
      </c>
      <c r="E304" s="47">
        <v>1.172022022E9</v>
      </c>
      <c r="F304" s="47" t="s">
        <v>1523</v>
      </c>
      <c r="G304" s="47" t="s">
        <v>1550</v>
      </c>
      <c r="H304" s="30">
        <v>1.0</v>
      </c>
      <c r="I304" s="30">
        <v>855.0</v>
      </c>
      <c r="J304" s="30">
        <v>855.0</v>
      </c>
      <c r="K304" s="30">
        <v>11.25</v>
      </c>
      <c r="L304" s="30">
        <v>96.1875</v>
      </c>
      <c r="M304" s="30">
        <v>0.0</v>
      </c>
      <c r="N304" s="30">
        <v>0.0</v>
      </c>
      <c r="O304" s="30">
        <v>0.0</v>
      </c>
      <c r="P304" s="30">
        <v>0.0</v>
      </c>
      <c r="Q304" s="30">
        <v>758.8125</v>
      </c>
    </row>
    <row r="305">
      <c r="A305" s="47">
        <v>1.1240842579E10</v>
      </c>
      <c r="B305" s="48">
        <v>46158.841631944444</v>
      </c>
      <c r="C305" s="30">
        <v>3.854857507E9</v>
      </c>
      <c r="D305" s="47" t="s">
        <v>1509</v>
      </c>
      <c r="E305" s="47">
        <v>6.923632570121E12</v>
      </c>
      <c r="F305" s="47" t="s">
        <v>306</v>
      </c>
      <c r="G305" s="47" t="s">
        <v>1555</v>
      </c>
      <c r="H305" s="30">
        <v>1.0</v>
      </c>
      <c r="I305" s="30">
        <v>852.0</v>
      </c>
      <c r="J305" s="30">
        <v>852.0</v>
      </c>
      <c r="K305" s="30">
        <v>14.49</v>
      </c>
      <c r="L305" s="30">
        <v>123.45479999999999</v>
      </c>
      <c r="M305" s="30">
        <v>300.0</v>
      </c>
      <c r="N305" s="30">
        <v>300.0</v>
      </c>
      <c r="O305" s="30">
        <v>0.0</v>
      </c>
      <c r="P305" s="30">
        <v>0.0</v>
      </c>
      <c r="Q305" s="30">
        <v>428.5452</v>
      </c>
    </row>
    <row r="306">
      <c r="A306" s="47">
        <v>1.1240842579E10</v>
      </c>
      <c r="B306" s="48">
        <v>46158.841631944444</v>
      </c>
      <c r="C306" s="30">
        <v>3.854857507E9</v>
      </c>
      <c r="D306" s="47" t="s">
        <v>1509</v>
      </c>
      <c r="E306" s="47">
        <v>6.927749871187E12</v>
      </c>
      <c r="F306" s="47" t="s">
        <v>1523</v>
      </c>
      <c r="G306" s="47" t="s">
        <v>1546</v>
      </c>
      <c r="H306" s="30">
        <v>1.0</v>
      </c>
      <c r="I306" s="30">
        <v>425.0</v>
      </c>
      <c r="J306" s="30">
        <v>425.0</v>
      </c>
      <c r="K306" s="30">
        <v>11.25</v>
      </c>
      <c r="L306" s="30">
        <v>47.8125</v>
      </c>
      <c r="M306" s="30">
        <v>196.5</v>
      </c>
      <c r="N306" s="30">
        <v>196.5</v>
      </c>
      <c r="O306" s="30">
        <v>0.0</v>
      </c>
      <c r="P306" s="30">
        <v>0.0</v>
      </c>
      <c r="Q306" s="30">
        <v>180.6875</v>
      </c>
    </row>
    <row r="307">
      <c r="A307" s="47">
        <v>1.1240842579E10</v>
      </c>
      <c r="B307" s="48">
        <v>46158.841631944444</v>
      </c>
      <c r="C307" s="30">
        <v>3.854857507E9</v>
      </c>
      <c r="D307" s="47" t="s">
        <v>1509</v>
      </c>
      <c r="E307" s="47">
        <v>7.613033560064E12</v>
      </c>
      <c r="F307" s="47" t="s">
        <v>1523</v>
      </c>
      <c r="G307" s="47" t="s">
        <v>1527</v>
      </c>
      <c r="H307" s="30">
        <v>1.0</v>
      </c>
      <c r="I307" s="30">
        <v>1285.0</v>
      </c>
      <c r="J307" s="30">
        <v>1285.0</v>
      </c>
      <c r="K307" s="30">
        <v>2.7</v>
      </c>
      <c r="L307" s="30">
        <v>34.69500000000001</v>
      </c>
      <c r="M307" s="30">
        <v>1190.0</v>
      </c>
      <c r="N307" s="30">
        <v>1190.0</v>
      </c>
      <c r="O307" s="30">
        <v>0.0</v>
      </c>
      <c r="P307" s="30">
        <v>0.0</v>
      </c>
      <c r="Q307" s="30">
        <v>60.30499999999999</v>
      </c>
    </row>
    <row r="308">
      <c r="A308" s="47">
        <v>1.1245853712E10</v>
      </c>
      <c r="B308" s="48">
        <v>46160.44023148148</v>
      </c>
      <c r="C308" s="30">
        <v>3.858916273E9</v>
      </c>
      <c r="D308" s="47" t="s">
        <v>1509</v>
      </c>
      <c r="E308" s="47" t="s">
        <v>411</v>
      </c>
      <c r="F308" s="47" t="s">
        <v>1523</v>
      </c>
      <c r="G308" s="47" t="s">
        <v>1531</v>
      </c>
      <c r="H308" s="30">
        <v>1.0</v>
      </c>
      <c r="I308" s="30">
        <v>768.0</v>
      </c>
      <c r="J308" s="30">
        <v>768.0</v>
      </c>
      <c r="K308" s="30">
        <v>4.95</v>
      </c>
      <c r="L308" s="30">
        <v>38.016000000000005</v>
      </c>
      <c r="M308" s="30">
        <v>580.0</v>
      </c>
      <c r="N308" s="30">
        <v>580.0</v>
      </c>
      <c r="O308" s="30">
        <v>0.0</v>
      </c>
      <c r="P308" s="30">
        <v>0.0</v>
      </c>
      <c r="Q308" s="30">
        <v>149.98399999999998</v>
      </c>
    </row>
    <row r="309">
      <c r="A309" s="47">
        <v>1.1243905599E10</v>
      </c>
      <c r="B309" s="48">
        <v>46159.823645833334</v>
      </c>
      <c r="C309" s="30">
        <v>3.857294187E9</v>
      </c>
      <c r="D309" s="47" t="s">
        <v>1509</v>
      </c>
      <c r="E309" s="47">
        <v>7.613033560064E12</v>
      </c>
      <c r="F309" s="47" t="s">
        <v>1523</v>
      </c>
      <c r="G309" s="47" t="s">
        <v>1527</v>
      </c>
      <c r="H309" s="30">
        <v>1.0</v>
      </c>
      <c r="I309" s="30">
        <v>1281.0</v>
      </c>
      <c r="J309" s="30">
        <v>1281.0</v>
      </c>
      <c r="K309" s="30">
        <v>2.7</v>
      </c>
      <c r="L309" s="30">
        <v>34.587</v>
      </c>
      <c r="M309" s="30">
        <v>1190.0</v>
      </c>
      <c r="N309" s="30">
        <v>1190.0</v>
      </c>
      <c r="O309" s="30">
        <v>0.0</v>
      </c>
      <c r="P309" s="30">
        <v>0.0</v>
      </c>
      <c r="Q309" s="30">
        <v>56.413</v>
      </c>
    </row>
    <row r="310">
      <c r="A310" s="47">
        <v>1.1245906372E10</v>
      </c>
      <c r="B310" s="48">
        <v>46160.485671296294</v>
      </c>
      <c r="C310" s="30">
        <v>3.858979448E9</v>
      </c>
      <c r="D310" s="47" t="s">
        <v>1509</v>
      </c>
      <c r="E310" s="47">
        <v>7.613032816536E12</v>
      </c>
      <c r="F310" s="47" t="s">
        <v>1523</v>
      </c>
      <c r="G310" s="47" t="s">
        <v>1533</v>
      </c>
      <c r="H310" s="30">
        <v>1.0</v>
      </c>
      <c r="I310" s="30">
        <v>729.0</v>
      </c>
      <c r="J310" s="30">
        <v>729.0</v>
      </c>
      <c r="K310" s="30">
        <v>4.41</v>
      </c>
      <c r="L310" s="30">
        <v>32.148900000000005</v>
      </c>
      <c r="M310" s="30">
        <v>580.0</v>
      </c>
      <c r="N310" s="30">
        <v>580.0</v>
      </c>
      <c r="O310" s="30">
        <v>0.0</v>
      </c>
      <c r="P310" s="30">
        <v>0.0</v>
      </c>
      <c r="Q310" s="30">
        <v>116.8511</v>
      </c>
    </row>
    <row r="311">
      <c r="A311" s="47">
        <v>1.1240579209E10</v>
      </c>
      <c r="B311" s="48">
        <v>46158.78612268518</v>
      </c>
      <c r="C311" s="30">
        <v>3.854665969E9</v>
      </c>
      <c r="D311" s="47" t="s">
        <v>1509</v>
      </c>
      <c r="E311" s="47">
        <v>7.613033560064E12</v>
      </c>
      <c r="F311" s="47" t="s">
        <v>1523</v>
      </c>
      <c r="G311" s="47" t="s">
        <v>1527</v>
      </c>
      <c r="H311" s="30">
        <v>1.0</v>
      </c>
      <c r="I311" s="30">
        <v>1286.0</v>
      </c>
      <c r="J311" s="30">
        <v>1286.0</v>
      </c>
      <c r="K311" s="30">
        <v>2.7</v>
      </c>
      <c r="L311" s="30">
        <v>34.722</v>
      </c>
      <c r="M311" s="30">
        <v>1190.0</v>
      </c>
      <c r="N311" s="30">
        <v>1190.0</v>
      </c>
      <c r="O311" s="30">
        <v>0.0</v>
      </c>
      <c r="P311" s="30">
        <v>0.0</v>
      </c>
      <c r="Q311" s="30">
        <v>61.278</v>
      </c>
    </row>
    <row r="312">
      <c r="A312" s="47">
        <v>1.1240579209E10</v>
      </c>
      <c r="B312" s="48">
        <v>46158.78612268518</v>
      </c>
      <c r="C312" s="30">
        <v>3.854665969E9</v>
      </c>
      <c r="D312" s="47" t="s">
        <v>1509</v>
      </c>
      <c r="E312" s="47" t="s">
        <v>356</v>
      </c>
      <c r="F312" s="47" t="s">
        <v>1523</v>
      </c>
      <c r="G312" s="47" t="s">
        <v>1532</v>
      </c>
      <c r="H312" s="30">
        <v>1.0</v>
      </c>
      <c r="I312" s="30">
        <v>729.0</v>
      </c>
      <c r="J312" s="30">
        <v>729.0</v>
      </c>
      <c r="K312" s="30">
        <v>4.95</v>
      </c>
      <c r="L312" s="30">
        <v>36.0855</v>
      </c>
      <c r="M312" s="30">
        <v>580.0</v>
      </c>
      <c r="N312" s="30">
        <v>580.0</v>
      </c>
      <c r="O312" s="30">
        <v>0.0</v>
      </c>
      <c r="P312" s="30">
        <v>0.0</v>
      </c>
      <c r="Q312" s="30">
        <v>112.9145</v>
      </c>
    </row>
    <row r="313">
      <c r="A313" s="47">
        <v>1.1239401376E10</v>
      </c>
      <c r="B313" s="48">
        <v>46158.4874537037</v>
      </c>
      <c r="C313" s="30">
        <v>3.853660503E9</v>
      </c>
      <c r="D313" s="47" t="s">
        <v>1509</v>
      </c>
      <c r="E313" s="47">
        <v>7.613032816536E12</v>
      </c>
      <c r="F313" s="47" t="s">
        <v>1523</v>
      </c>
      <c r="G313" s="47" t="s">
        <v>1533</v>
      </c>
      <c r="H313" s="30">
        <v>1.0</v>
      </c>
      <c r="I313" s="30">
        <v>729.0</v>
      </c>
      <c r="J313" s="30">
        <v>729.0</v>
      </c>
      <c r="K313" s="30">
        <v>4.41</v>
      </c>
      <c r="L313" s="30">
        <v>32.148900000000005</v>
      </c>
      <c r="M313" s="30">
        <v>580.0</v>
      </c>
      <c r="N313" s="30">
        <v>580.0</v>
      </c>
      <c r="O313" s="30">
        <v>0.0</v>
      </c>
      <c r="P313" s="30">
        <v>0.0</v>
      </c>
      <c r="Q313" s="30">
        <v>116.8511</v>
      </c>
    </row>
    <row r="314">
      <c r="A314" s="47">
        <v>1.1249557827E10</v>
      </c>
      <c r="B314" s="48">
        <v>46161.611134259256</v>
      </c>
      <c r="C314" s="30">
        <v>3.862170406E9</v>
      </c>
      <c r="D314" s="47" t="s">
        <v>1508</v>
      </c>
      <c r="E314" s="47" t="s">
        <v>123</v>
      </c>
      <c r="F314" s="47" t="s">
        <v>1523</v>
      </c>
      <c r="G314" s="47" t="s">
        <v>1560</v>
      </c>
      <c r="H314" s="30">
        <v>1.0</v>
      </c>
      <c r="I314" s="30">
        <v>1199.0</v>
      </c>
      <c r="J314" s="30">
        <v>1199.0</v>
      </c>
      <c r="K314" s="30">
        <v>0.0</v>
      </c>
      <c r="L314" s="30">
        <v>0.0</v>
      </c>
      <c r="M314" s="30">
        <v>792.0</v>
      </c>
      <c r="N314" s="30">
        <v>792.0</v>
      </c>
      <c r="O314" s="30">
        <v>0.0</v>
      </c>
      <c r="P314" s="30">
        <v>0.0</v>
      </c>
      <c r="Q314" s="30">
        <v>407.0</v>
      </c>
    </row>
    <row r="315">
      <c r="A315" s="47">
        <v>1.1240993471E10</v>
      </c>
      <c r="B315" s="48">
        <v>46158.87233796297</v>
      </c>
      <c r="C315" s="30">
        <v>3.854957948E9</v>
      </c>
      <c r="D315" s="47" t="s">
        <v>1509</v>
      </c>
      <c r="E315" s="47">
        <v>7.613032816536E12</v>
      </c>
      <c r="F315" s="47" t="s">
        <v>1523</v>
      </c>
      <c r="G315" s="47" t="s">
        <v>1533</v>
      </c>
      <c r="H315" s="30">
        <v>1.0</v>
      </c>
      <c r="I315" s="30">
        <v>729.0</v>
      </c>
      <c r="J315" s="30">
        <v>729.0</v>
      </c>
      <c r="K315" s="30">
        <v>4.41</v>
      </c>
      <c r="L315" s="30">
        <v>32.148900000000005</v>
      </c>
      <c r="M315" s="30">
        <v>580.0</v>
      </c>
      <c r="N315" s="30">
        <v>580.0</v>
      </c>
      <c r="O315" s="30">
        <v>0.0</v>
      </c>
      <c r="P315" s="30">
        <v>0.0</v>
      </c>
      <c r="Q315" s="30">
        <v>116.8511</v>
      </c>
    </row>
    <row r="316">
      <c r="A316" s="47">
        <v>1.1243189171E10</v>
      </c>
      <c r="B316" s="48">
        <v>46159.68056712963</v>
      </c>
      <c r="C316" s="30">
        <v>3.856754157E9</v>
      </c>
      <c r="D316" s="47" t="s">
        <v>1509</v>
      </c>
      <c r="E316" s="47">
        <v>7.613032816536E12</v>
      </c>
      <c r="F316" s="47" t="s">
        <v>1523</v>
      </c>
      <c r="G316" s="47" t="s">
        <v>1533</v>
      </c>
      <c r="H316" s="30">
        <v>1.0</v>
      </c>
      <c r="I316" s="30">
        <v>729.0</v>
      </c>
      <c r="J316" s="30">
        <v>729.0</v>
      </c>
      <c r="K316" s="30">
        <v>4.41</v>
      </c>
      <c r="L316" s="30">
        <v>32.148900000000005</v>
      </c>
      <c r="M316" s="30">
        <v>580.0</v>
      </c>
      <c r="N316" s="30">
        <v>580.0</v>
      </c>
      <c r="O316" s="30">
        <v>0.0</v>
      </c>
      <c r="P316" s="30">
        <v>0.0</v>
      </c>
      <c r="Q316" s="30">
        <v>116.8511</v>
      </c>
    </row>
    <row r="317">
      <c r="A317" s="47">
        <v>1.1242753452E10</v>
      </c>
      <c r="B317" s="48">
        <v>46159.574016203704</v>
      </c>
      <c r="C317" s="30">
        <v>3.856393155E9</v>
      </c>
      <c r="D317" s="47" t="s">
        <v>1509</v>
      </c>
      <c r="E317" s="47">
        <v>7.613032816536E12</v>
      </c>
      <c r="F317" s="47" t="s">
        <v>1523</v>
      </c>
      <c r="G317" s="47" t="s">
        <v>1533</v>
      </c>
      <c r="H317" s="30">
        <v>1.0</v>
      </c>
      <c r="I317" s="30">
        <v>729.0</v>
      </c>
      <c r="J317" s="30">
        <v>729.0</v>
      </c>
      <c r="K317" s="30">
        <v>4.41</v>
      </c>
      <c r="L317" s="30">
        <v>32.148900000000005</v>
      </c>
      <c r="M317" s="30">
        <v>580.0</v>
      </c>
      <c r="N317" s="30">
        <v>580.0</v>
      </c>
      <c r="O317" s="30">
        <v>0.0</v>
      </c>
      <c r="P317" s="30">
        <v>0.0</v>
      </c>
      <c r="Q317" s="30">
        <v>116.8511</v>
      </c>
    </row>
    <row r="318">
      <c r="A318" s="47">
        <v>1.1242405492E10</v>
      </c>
      <c r="B318" s="48">
        <v>46159.19380787037</v>
      </c>
      <c r="C318" s="30">
        <v>3.856067174E9</v>
      </c>
      <c r="D318" s="47" t="s">
        <v>1509</v>
      </c>
      <c r="E318" s="47">
        <v>7.613032816536E12</v>
      </c>
      <c r="F318" s="47" t="s">
        <v>1523</v>
      </c>
      <c r="G318" s="47" t="s">
        <v>1533</v>
      </c>
      <c r="H318" s="30">
        <v>1.0</v>
      </c>
      <c r="I318" s="30">
        <v>729.0</v>
      </c>
      <c r="J318" s="30">
        <v>729.0</v>
      </c>
      <c r="K318" s="30">
        <v>4.41</v>
      </c>
      <c r="L318" s="30">
        <v>32.148900000000005</v>
      </c>
      <c r="M318" s="30">
        <v>580.0</v>
      </c>
      <c r="N318" s="30">
        <v>580.0</v>
      </c>
      <c r="O318" s="30">
        <v>0.0</v>
      </c>
      <c r="P318" s="30">
        <v>0.0</v>
      </c>
      <c r="Q318" s="30">
        <v>116.8511</v>
      </c>
    </row>
    <row r="319">
      <c r="A319" s="47">
        <v>1.1244749603E10</v>
      </c>
      <c r="B319" s="48">
        <v>46159.97828703704</v>
      </c>
      <c r="C319" s="30">
        <v>3.857867231E9</v>
      </c>
      <c r="D319" s="47" t="s">
        <v>1509</v>
      </c>
      <c r="E319" s="47" t="s">
        <v>356</v>
      </c>
      <c r="F319" s="47" t="s">
        <v>1523</v>
      </c>
      <c r="G319" s="47" t="s">
        <v>1532</v>
      </c>
      <c r="H319" s="30">
        <v>1.0</v>
      </c>
      <c r="I319" s="30">
        <v>729.0</v>
      </c>
      <c r="J319" s="30">
        <v>729.0</v>
      </c>
      <c r="K319" s="30">
        <v>4.95</v>
      </c>
      <c r="L319" s="30">
        <v>36.0855</v>
      </c>
      <c r="M319" s="30">
        <v>580.0</v>
      </c>
      <c r="N319" s="30">
        <v>580.0</v>
      </c>
      <c r="O319" s="30">
        <v>0.0</v>
      </c>
      <c r="P319" s="30">
        <v>0.0</v>
      </c>
      <c r="Q319" s="30">
        <v>112.9145</v>
      </c>
    </row>
    <row r="320">
      <c r="A320" s="47">
        <v>1.1235140289E10</v>
      </c>
      <c r="B320" s="48">
        <v>46156.985081018516</v>
      </c>
      <c r="C320" s="30">
        <v>3.849872618E9</v>
      </c>
      <c r="D320" s="47" t="s">
        <v>1509</v>
      </c>
      <c r="E320" s="47">
        <v>7.613033560064E12</v>
      </c>
      <c r="F320" s="47" t="s">
        <v>1523</v>
      </c>
      <c r="G320" s="47" t="s">
        <v>1527</v>
      </c>
      <c r="H320" s="30">
        <v>1.0</v>
      </c>
      <c r="I320" s="30">
        <v>1297.9</v>
      </c>
      <c r="J320" s="30">
        <v>1297.9</v>
      </c>
      <c r="K320" s="30">
        <v>2.7</v>
      </c>
      <c r="L320" s="30">
        <v>35.0433</v>
      </c>
      <c r="M320" s="30">
        <v>1190.0</v>
      </c>
      <c r="N320" s="30">
        <v>1190.0</v>
      </c>
      <c r="O320" s="30">
        <v>0.0</v>
      </c>
      <c r="P320" s="30">
        <v>0.0</v>
      </c>
      <c r="Q320" s="30">
        <v>72.85670000000009</v>
      </c>
    </row>
    <row r="321">
      <c r="A321" s="47">
        <v>1.1245962389E10</v>
      </c>
      <c r="B321" s="48">
        <v>46160.5128125</v>
      </c>
      <c r="C321" s="30">
        <v>3.85904302E9</v>
      </c>
      <c r="D321" s="47" t="s">
        <v>1509</v>
      </c>
      <c r="E321" s="47" t="s">
        <v>356</v>
      </c>
      <c r="F321" s="47" t="s">
        <v>1523</v>
      </c>
      <c r="G321" s="47" t="s">
        <v>1532</v>
      </c>
      <c r="H321" s="30">
        <v>5.0</v>
      </c>
      <c r="I321" s="30">
        <v>729.0</v>
      </c>
      <c r="J321" s="30">
        <v>3645.0</v>
      </c>
      <c r="K321" s="30">
        <v>4.95</v>
      </c>
      <c r="L321" s="30">
        <v>180.4275</v>
      </c>
      <c r="M321" s="30">
        <v>580.0</v>
      </c>
      <c r="N321" s="30">
        <v>2900.0</v>
      </c>
      <c r="O321" s="30">
        <v>0.0</v>
      </c>
      <c r="P321" s="30">
        <v>0.0</v>
      </c>
      <c r="Q321" s="30">
        <v>564.5725</v>
      </c>
    </row>
    <row r="322">
      <c r="A322" s="47">
        <v>1.1249533485E10</v>
      </c>
      <c r="B322" s="48">
        <v>46161.60530092593</v>
      </c>
      <c r="C322" s="30">
        <v>3.862144441E9</v>
      </c>
      <c r="D322" s="47" t="s">
        <v>1508</v>
      </c>
      <c r="E322" s="47">
        <v>5.060255492161E12</v>
      </c>
      <c r="F322" s="47" t="s">
        <v>1523</v>
      </c>
      <c r="G322" s="47" t="s">
        <v>1524</v>
      </c>
      <c r="H322" s="30">
        <v>1.0</v>
      </c>
      <c r="I322" s="30">
        <v>1200.0</v>
      </c>
      <c r="J322" s="30">
        <v>1200.0</v>
      </c>
      <c r="K322" s="30">
        <v>14.5</v>
      </c>
      <c r="L322" s="30">
        <v>174.0</v>
      </c>
      <c r="M322" s="30">
        <v>800.0</v>
      </c>
      <c r="N322" s="30">
        <v>800.0</v>
      </c>
      <c r="O322" s="30">
        <v>0.0</v>
      </c>
      <c r="P322" s="30">
        <v>0.0</v>
      </c>
      <c r="Q322" s="30">
        <v>226.0</v>
      </c>
    </row>
    <row r="323">
      <c r="A323" s="47">
        <v>1.1241836361E10</v>
      </c>
      <c r="B323" s="48">
        <v>46159.04179398148</v>
      </c>
      <c r="C323" s="30">
        <v>3.855558603E9</v>
      </c>
      <c r="D323" s="47" t="s">
        <v>1509</v>
      </c>
      <c r="E323" s="47" t="s">
        <v>356</v>
      </c>
      <c r="F323" s="47" t="s">
        <v>1523</v>
      </c>
      <c r="G323" s="47" t="s">
        <v>1532</v>
      </c>
      <c r="H323" s="30">
        <v>1.0</v>
      </c>
      <c r="I323" s="30">
        <v>729.0</v>
      </c>
      <c r="J323" s="30">
        <v>729.0</v>
      </c>
      <c r="K323" s="30">
        <v>4.95</v>
      </c>
      <c r="L323" s="30">
        <v>36.0855</v>
      </c>
      <c r="M323" s="30">
        <v>580.0</v>
      </c>
      <c r="N323" s="30">
        <v>580.0</v>
      </c>
      <c r="O323" s="30">
        <v>0.0</v>
      </c>
      <c r="P323" s="30">
        <v>0.0</v>
      </c>
      <c r="Q323" s="30">
        <v>112.9145</v>
      </c>
    </row>
    <row r="324">
      <c r="A324" s="47">
        <v>1.1235881775E10</v>
      </c>
      <c r="B324" s="48">
        <v>46157.16496527778</v>
      </c>
      <c r="C324" s="30">
        <v>3.850584451E9</v>
      </c>
      <c r="D324" s="47" t="s">
        <v>1509</v>
      </c>
      <c r="E324" s="47">
        <v>7.613033560064E12</v>
      </c>
      <c r="F324" s="47" t="s">
        <v>1523</v>
      </c>
      <c r="G324" s="47" t="s">
        <v>1527</v>
      </c>
      <c r="H324" s="30">
        <v>1.0</v>
      </c>
      <c r="I324" s="30">
        <v>1295.9</v>
      </c>
      <c r="J324" s="30">
        <v>1295.9</v>
      </c>
      <c r="K324" s="30">
        <v>2.7</v>
      </c>
      <c r="L324" s="30">
        <v>34.9893</v>
      </c>
      <c r="M324" s="30">
        <v>1190.0</v>
      </c>
      <c r="N324" s="30">
        <v>1190.0</v>
      </c>
      <c r="O324" s="30">
        <v>0.0</v>
      </c>
      <c r="P324" s="30">
        <v>0.0</v>
      </c>
      <c r="Q324" s="30">
        <v>70.91070000000009</v>
      </c>
    </row>
    <row r="325">
      <c r="A325" s="47">
        <v>1.1240863383E10</v>
      </c>
      <c r="B325" s="48">
        <v>46158.845659722225</v>
      </c>
      <c r="C325" s="30">
        <v>3.854869839E9</v>
      </c>
      <c r="D325" s="47" t="s">
        <v>1509</v>
      </c>
      <c r="E325" s="47">
        <v>7.613033560064E12</v>
      </c>
      <c r="F325" s="47" t="s">
        <v>1523</v>
      </c>
      <c r="G325" s="47" t="s">
        <v>1527</v>
      </c>
      <c r="H325" s="30">
        <v>1.0</v>
      </c>
      <c r="I325" s="30">
        <v>1285.0</v>
      </c>
      <c r="J325" s="30">
        <v>1285.0</v>
      </c>
      <c r="K325" s="30">
        <v>2.7</v>
      </c>
      <c r="L325" s="30">
        <v>34.69500000000001</v>
      </c>
      <c r="M325" s="30">
        <v>1190.0</v>
      </c>
      <c r="N325" s="30">
        <v>1190.0</v>
      </c>
      <c r="O325" s="30">
        <v>0.0</v>
      </c>
      <c r="P325" s="30">
        <v>0.0</v>
      </c>
      <c r="Q325" s="30">
        <v>60.30499999999999</v>
      </c>
    </row>
    <row r="326">
      <c r="A326" s="47">
        <v>1.1249519312E10</v>
      </c>
      <c r="B326" s="48">
        <v>46161.601585648146</v>
      </c>
      <c r="C326" s="30">
        <v>3.862131745E9</v>
      </c>
      <c r="D326" s="47" t="s">
        <v>1508</v>
      </c>
      <c r="E326" s="47">
        <v>1.172022022E9</v>
      </c>
      <c r="F326" s="47" t="s">
        <v>1523</v>
      </c>
      <c r="G326" s="47" t="s">
        <v>1550</v>
      </c>
      <c r="H326" s="30">
        <v>1.0</v>
      </c>
      <c r="I326" s="30">
        <v>855.0</v>
      </c>
      <c r="J326" s="30">
        <v>855.0</v>
      </c>
      <c r="K326" s="30">
        <v>0.0</v>
      </c>
      <c r="L326" s="30">
        <v>0.0</v>
      </c>
      <c r="M326" s="30">
        <v>0.0</v>
      </c>
      <c r="N326" s="30">
        <v>0.0</v>
      </c>
      <c r="O326" s="30">
        <v>0.0</v>
      </c>
      <c r="P326" s="30">
        <v>0.0</v>
      </c>
      <c r="Q326" s="30">
        <v>855.0</v>
      </c>
    </row>
    <row r="327">
      <c r="A327" s="47">
        <v>1.1240696454E10</v>
      </c>
      <c r="B327" s="48">
        <v>46158.81077546296</v>
      </c>
      <c r="C327" s="30">
        <v>3.854751E9</v>
      </c>
      <c r="D327" s="47" t="s">
        <v>1509</v>
      </c>
      <c r="E327" s="47">
        <v>7.613033560064E12</v>
      </c>
      <c r="F327" s="47" t="s">
        <v>1523</v>
      </c>
      <c r="G327" s="47" t="s">
        <v>1527</v>
      </c>
      <c r="H327" s="30">
        <v>1.0</v>
      </c>
      <c r="I327" s="30">
        <v>1286.0</v>
      </c>
      <c r="J327" s="30">
        <v>1286.0</v>
      </c>
      <c r="K327" s="30">
        <v>2.7</v>
      </c>
      <c r="L327" s="30">
        <v>34.722</v>
      </c>
      <c r="M327" s="30">
        <v>1190.0</v>
      </c>
      <c r="N327" s="30">
        <v>1190.0</v>
      </c>
      <c r="O327" s="30">
        <v>0.0</v>
      </c>
      <c r="P327" s="30">
        <v>0.0</v>
      </c>
      <c r="Q327" s="30">
        <v>61.278</v>
      </c>
    </row>
    <row r="328">
      <c r="A328" s="47">
        <v>1.1234558706E10</v>
      </c>
      <c r="B328" s="48">
        <v>46156.86729166667</v>
      </c>
      <c r="C328" s="30">
        <v>3.849440954E9</v>
      </c>
      <c r="D328" s="47" t="s">
        <v>1509</v>
      </c>
      <c r="E328" s="47">
        <v>7.613032816536E12</v>
      </c>
      <c r="F328" s="47" t="s">
        <v>1523</v>
      </c>
      <c r="G328" s="47" t="s">
        <v>1533</v>
      </c>
      <c r="H328" s="30">
        <v>1.0</v>
      </c>
      <c r="I328" s="30">
        <v>727.0</v>
      </c>
      <c r="J328" s="30">
        <v>727.0</v>
      </c>
      <c r="K328" s="30">
        <v>4.41</v>
      </c>
      <c r="L328" s="30">
        <v>32.060700000000004</v>
      </c>
      <c r="M328" s="30">
        <v>580.0</v>
      </c>
      <c r="N328" s="30">
        <v>580.0</v>
      </c>
      <c r="O328" s="30">
        <v>0.0</v>
      </c>
      <c r="P328" s="30">
        <v>0.0</v>
      </c>
      <c r="Q328" s="30">
        <v>114.9393</v>
      </c>
    </row>
    <row r="329">
      <c r="A329" s="47">
        <v>1.1243032097E10</v>
      </c>
      <c r="B329" s="48">
        <v>46159.647141203706</v>
      </c>
      <c r="C329" s="30">
        <v>3.856622678E9</v>
      </c>
      <c r="D329" s="47" t="s">
        <v>1509</v>
      </c>
      <c r="E329" s="47">
        <v>8.410650167909E12</v>
      </c>
      <c r="F329" s="47" t="s">
        <v>1523</v>
      </c>
      <c r="G329" s="47" t="s">
        <v>1551</v>
      </c>
      <c r="H329" s="30">
        <v>1.0</v>
      </c>
      <c r="I329" s="30">
        <v>1600.0</v>
      </c>
      <c r="J329" s="30">
        <v>1600.0</v>
      </c>
      <c r="K329" s="30">
        <v>10.62</v>
      </c>
      <c r="L329" s="30">
        <v>169.92</v>
      </c>
      <c r="M329" s="30">
        <v>1228.0</v>
      </c>
      <c r="N329" s="30">
        <v>1228.0</v>
      </c>
      <c r="O329" s="30">
        <v>0.0</v>
      </c>
      <c r="P329" s="30">
        <v>0.0</v>
      </c>
      <c r="Q329" s="30">
        <v>202.08</v>
      </c>
    </row>
    <row r="330">
      <c r="A330" s="47">
        <v>1.1239264588E10</v>
      </c>
      <c r="B330" s="48">
        <v>46158.21262731482</v>
      </c>
      <c r="C330" s="30">
        <v>3.853510681E9</v>
      </c>
      <c r="D330" s="47" t="s">
        <v>1509</v>
      </c>
      <c r="E330" s="47" t="s">
        <v>269</v>
      </c>
      <c r="F330" s="47" t="s">
        <v>271</v>
      </c>
      <c r="G330" s="47" t="s">
        <v>1561</v>
      </c>
      <c r="H330" s="30">
        <v>1.0</v>
      </c>
      <c r="I330" s="30">
        <v>613.0</v>
      </c>
      <c r="J330" s="30">
        <v>613.0</v>
      </c>
      <c r="K330" s="30">
        <v>12.15</v>
      </c>
      <c r="L330" s="30">
        <v>74.4795</v>
      </c>
      <c r="M330" s="30">
        <v>420.0</v>
      </c>
      <c r="N330" s="30">
        <v>420.0</v>
      </c>
      <c r="O330" s="30">
        <v>0.0</v>
      </c>
      <c r="P330" s="30">
        <v>0.0</v>
      </c>
      <c r="Q330" s="30">
        <v>118.5205</v>
      </c>
    </row>
    <row r="331">
      <c r="A331" s="47">
        <v>1.1243726848E10</v>
      </c>
      <c r="B331" s="48">
        <v>46159.78895833333</v>
      </c>
      <c r="C331" s="30">
        <v>3.85716689E9</v>
      </c>
      <c r="D331" s="47" t="s">
        <v>1509</v>
      </c>
      <c r="E331" s="47">
        <v>7.613033560064E12</v>
      </c>
      <c r="F331" s="47" t="s">
        <v>1523</v>
      </c>
      <c r="G331" s="47" t="s">
        <v>1527</v>
      </c>
      <c r="H331" s="30">
        <v>1.0</v>
      </c>
      <c r="I331" s="30">
        <v>1162.41</v>
      </c>
      <c r="J331" s="30">
        <v>1162.41</v>
      </c>
      <c r="K331" s="30">
        <v>2.7</v>
      </c>
      <c r="L331" s="30">
        <v>31.385070000000006</v>
      </c>
      <c r="M331" s="30">
        <v>1190.0</v>
      </c>
      <c r="N331" s="30">
        <v>1190.0</v>
      </c>
      <c r="O331" s="30">
        <v>0.0</v>
      </c>
      <c r="P331" s="30">
        <v>0.0</v>
      </c>
      <c r="Q331" s="30">
        <v>-58.975069999999924</v>
      </c>
    </row>
    <row r="332">
      <c r="A332" s="47">
        <v>1.1243726848E10</v>
      </c>
      <c r="B332" s="48">
        <v>46159.78895833333</v>
      </c>
      <c r="C332" s="30">
        <v>3.85716689E9</v>
      </c>
      <c r="D332" s="47" t="s">
        <v>1509</v>
      </c>
      <c r="E332" s="47">
        <v>8.684501941837E12</v>
      </c>
      <c r="F332" s="47" t="s">
        <v>289</v>
      </c>
      <c r="G332" s="47" t="s">
        <v>1543</v>
      </c>
      <c r="H332" s="30">
        <v>1.0</v>
      </c>
      <c r="I332" s="30">
        <v>317.59</v>
      </c>
      <c r="J332" s="30">
        <v>317.59</v>
      </c>
      <c r="K332" s="30">
        <v>18.0</v>
      </c>
      <c r="L332" s="30">
        <v>57.166199999999996</v>
      </c>
      <c r="M332" s="30">
        <v>53.0</v>
      </c>
      <c r="N332" s="30">
        <v>53.0</v>
      </c>
      <c r="O332" s="30">
        <v>0.0</v>
      </c>
      <c r="P332" s="30">
        <v>0.0</v>
      </c>
      <c r="Q332" s="30">
        <v>207.42379999999997</v>
      </c>
    </row>
    <row r="333">
      <c r="A333" s="47">
        <v>1.1240204388E10</v>
      </c>
      <c r="B333" s="48">
        <v>46158.70887731481</v>
      </c>
      <c r="C333" s="30">
        <v>3.854373685E9</v>
      </c>
      <c r="D333" s="47" t="s">
        <v>1509</v>
      </c>
      <c r="E333" s="47" t="s">
        <v>356</v>
      </c>
      <c r="F333" s="47" t="s">
        <v>1523</v>
      </c>
      <c r="G333" s="47" t="s">
        <v>1532</v>
      </c>
      <c r="H333" s="30">
        <v>1.0</v>
      </c>
      <c r="I333" s="30">
        <v>729.0</v>
      </c>
      <c r="J333" s="30">
        <v>729.0</v>
      </c>
      <c r="K333" s="30">
        <v>4.95</v>
      </c>
      <c r="L333" s="30">
        <v>36.0855</v>
      </c>
      <c r="M333" s="30">
        <v>580.0</v>
      </c>
      <c r="N333" s="30">
        <v>580.0</v>
      </c>
      <c r="O333" s="30">
        <v>0.0</v>
      </c>
      <c r="P333" s="30">
        <v>0.0</v>
      </c>
      <c r="Q333" s="30">
        <v>112.9145</v>
      </c>
    </row>
    <row r="334">
      <c r="A334" s="47">
        <v>1.1241188454E10</v>
      </c>
      <c r="B334" s="48">
        <v>46158.91144675926</v>
      </c>
      <c r="C334" s="30">
        <v>3.855086094E9</v>
      </c>
      <c r="D334" s="47" t="s">
        <v>1509</v>
      </c>
      <c r="E334" s="47">
        <v>7.613032816536E12</v>
      </c>
      <c r="F334" s="47" t="s">
        <v>1523</v>
      </c>
      <c r="G334" s="47" t="s">
        <v>1533</v>
      </c>
      <c r="H334" s="30">
        <v>2.0</v>
      </c>
      <c r="I334" s="30">
        <v>729.0</v>
      </c>
      <c r="J334" s="30">
        <v>1458.0</v>
      </c>
      <c r="K334" s="30">
        <v>4.41</v>
      </c>
      <c r="L334" s="30">
        <v>64.29780000000001</v>
      </c>
      <c r="M334" s="30">
        <v>580.0</v>
      </c>
      <c r="N334" s="30">
        <v>1160.0</v>
      </c>
      <c r="O334" s="30">
        <v>0.0</v>
      </c>
      <c r="P334" s="30">
        <v>0.0</v>
      </c>
      <c r="Q334" s="30">
        <v>233.7022</v>
      </c>
    </row>
    <row r="335">
      <c r="A335" s="47">
        <v>1.1244946884E10</v>
      </c>
      <c r="B335" s="48">
        <v>46160.012870370374</v>
      </c>
      <c r="C335" s="30">
        <v>3.858023271E9</v>
      </c>
      <c r="D335" s="47" t="s">
        <v>1509</v>
      </c>
      <c r="E335" s="47">
        <v>6.923632570121E12</v>
      </c>
      <c r="F335" s="47" t="s">
        <v>306</v>
      </c>
      <c r="G335" s="47" t="s">
        <v>1555</v>
      </c>
      <c r="H335" s="30">
        <v>1.0</v>
      </c>
      <c r="I335" s="30">
        <v>852.0</v>
      </c>
      <c r="J335" s="30">
        <v>852.0</v>
      </c>
      <c r="K335" s="30">
        <v>14.49</v>
      </c>
      <c r="L335" s="30">
        <v>123.45479999999999</v>
      </c>
      <c r="M335" s="30">
        <v>300.0</v>
      </c>
      <c r="N335" s="30">
        <v>300.0</v>
      </c>
      <c r="O335" s="30">
        <v>0.0</v>
      </c>
      <c r="P335" s="30">
        <v>0.0</v>
      </c>
      <c r="Q335" s="30">
        <v>428.5452</v>
      </c>
    </row>
    <row r="336">
      <c r="A336" s="47">
        <v>1.1240856715E10</v>
      </c>
      <c r="B336" s="48">
        <v>46158.84449074074</v>
      </c>
      <c r="C336" s="30">
        <v>3.854866758E9</v>
      </c>
      <c r="D336" s="47" t="s">
        <v>1509</v>
      </c>
      <c r="E336" s="47">
        <v>7.613033560064E12</v>
      </c>
      <c r="F336" s="47" t="s">
        <v>1523</v>
      </c>
      <c r="G336" s="47" t="s">
        <v>1527</v>
      </c>
      <c r="H336" s="30">
        <v>1.0</v>
      </c>
      <c r="I336" s="30">
        <v>1285.0</v>
      </c>
      <c r="J336" s="30">
        <v>1285.0</v>
      </c>
      <c r="K336" s="30">
        <v>2.7</v>
      </c>
      <c r="L336" s="30">
        <v>34.69500000000001</v>
      </c>
      <c r="M336" s="30">
        <v>1190.0</v>
      </c>
      <c r="N336" s="30">
        <v>1190.0</v>
      </c>
      <c r="O336" s="30">
        <v>0.0</v>
      </c>
      <c r="P336" s="30">
        <v>0.0</v>
      </c>
      <c r="Q336" s="30">
        <v>60.30499999999999</v>
      </c>
    </row>
    <row r="337">
      <c r="A337" s="47">
        <v>1.1239110901E10</v>
      </c>
      <c r="B337" s="48">
        <v>46158.1406712963</v>
      </c>
      <c r="C337" s="30">
        <v>3.853363377E9</v>
      </c>
      <c r="D337" s="47" t="s">
        <v>1509</v>
      </c>
      <c r="E337" s="47">
        <v>7.613032816536E12</v>
      </c>
      <c r="F337" s="47" t="s">
        <v>1523</v>
      </c>
      <c r="G337" s="47" t="s">
        <v>1533</v>
      </c>
      <c r="H337" s="30">
        <v>1.0</v>
      </c>
      <c r="I337" s="30">
        <v>729.0</v>
      </c>
      <c r="J337" s="30">
        <v>729.0</v>
      </c>
      <c r="K337" s="30">
        <v>4.41</v>
      </c>
      <c r="L337" s="30">
        <v>32.148900000000005</v>
      </c>
      <c r="M337" s="30">
        <v>580.0</v>
      </c>
      <c r="N337" s="30">
        <v>580.0</v>
      </c>
      <c r="O337" s="30">
        <v>0.0</v>
      </c>
      <c r="P337" s="30">
        <v>0.0</v>
      </c>
      <c r="Q337" s="30">
        <v>116.8511</v>
      </c>
    </row>
    <row r="338">
      <c r="A338" s="47">
        <v>1.1244249121E10</v>
      </c>
      <c r="B338" s="48">
        <v>46159.88784722222</v>
      </c>
      <c r="C338" s="30">
        <v>3.857522345E9</v>
      </c>
      <c r="D338" s="47" t="s">
        <v>1509</v>
      </c>
      <c r="E338" s="47" t="s">
        <v>356</v>
      </c>
      <c r="F338" s="47" t="s">
        <v>1523</v>
      </c>
      <c r="G338" s="47" t="s">
        <v>1532</v>
      </c>
      <c r="H338" s="30">
        <v>4.0</v>
      </c>
      <c r="I338" s="30">
        <v>729.0</v>
      </c>
      <c r="J338" s="30">
        <v>2916.0</v>
      </c>
      <c r="K338" s="30">
        <v>4.95</v>
      </c>
      <c r="L338" s="30">
        <v>144.342</v>
      </c>
      <c r="M338" s="30">
        <v>580.0</v>
      </c>
      <c r="N338" s="30">
        <v>2320.0</v>
      </c>
      <c r="O338" s="30">
        <v>0.0</v>
      </c>
      <c r="P338" s="30">
        <v>0.0</v>
      </c>
      <c r="Q338" s="30">
        <v>451.658</v>
      </c>
    </row>
    <row r="339">
      <c r="A339" s="47">
        <v>1.1243955738E10</v>
      </c>
      <c r="B339" s="48">
        <v>46159.8331712963</v>
      </c>
      <c r="C339" s="30">
        <v>3.857332818E9</v>
      </c>
      <c r="D339" s="47" t="s">
        <v>1509</v>
      </c>
      <c r="E339" s="47">
        <v>8.410650218663E12</v>
      </c>
      <c r="F339" s="47" t="s">
        <v>1523</v>
      </c>
      <c r="G339" s="47" t="s">
        <v>1542</v>
      </c>
      <c r="H339" s="30">
        <v>1.0</v>
      </c>
      <c r="I339" s="30">
        <v>4515.0</v>
      </c>
      <c r="J339" s="30">
        <v>4515.0</v>
      </c>
      <c r="K339" s="30">
        <v>11.79</v>
      </c>
      <c r="L339" s="30">
        <v>532.3185</v>
      </c>
      <c r="M339" s="30">
        <v>3556.0</v>
      </c>
      <c r="N339" s="30">
        <v>3556.0</v>
      </c>
      <c r="O339" s="30">
        <v>0.0</v>
      </c>
      <c r="P339" s="30">
        <v>0.0</v>
      </c>
      <c r="Q339" s="30">
        <v>426.6815</v>
      </c>
    </row>
    <row r="340">
      <c r="A340" s="47">
        <v>1.124601298E10</v>
      </c>
      <c r="B340" s="48">
        <v>46160.5312037037</v>
      </c>
      <c r="C340" s="30">
        <v>3.85909774E9</v>
      </c>
      <c r="D340" s="47" t="s">
        <v>1509</v>
      </c>
      <c r="E340" s="47">
        <v>7.613032816536E12</v>
      </c>
      <c r="F340" s="47" t="s">
        <v>1523</v>
      </c>
      <c r="G340" s="47" t="s">
        <v>1533</v>
      </c>
      <c r="H340" s="30">
        <v>1.0</v>
      </c>
      <c r="I340" s="30">
        <v>729.0</v>
      </c>
      <c r="J340" s="30">
        <v>729.0</v>
      </c>
      <c r="K340" s="30">
        <v>4.41</v>
      </c>
      <c r="L340" s="30">
        <v>32.148900000000005</v>
      </c>
      <c r="M340" s="30">
        <v>580.0</v>
      </c>
      <c r="N340" s="30">
        <v>580.0</v>
      </c>
      <c r="O340" s="30">
        <v>0.0</v>
      </c>
      <c r="P340" s="30">
        <v>0.0</v>
      </c>
      <c r="Q340" s="30">
        <v>116.8511</v>
      </c>
    </row>
    <row r="341">
      <c r="A341" s="47">
        <v>1.1239941401E10</v>
      </c>
      <c r="B341" s="48">
        <v>46158.654641203706</v>
      </c>
      <c r="C341" s="30">
        <v>3.854156161E9</v>
      </c>
      <c r="D341" s="47" t="s">
        <v>1509</v>
      </c>
      <c r="E341" s="47">
        <v>7.613035846708E12</v>
      </c>
      <c r="F341" s="47" t="s">
        <v>1523</v>
      </c>
      <c r="G341" s="47" t="s">
        <v>1535</v>
      </c>
      <c r="H341" s="30">
        <v>1.0</v>
      </c>
      <c r="I341" s="30">
        <v>1267.9</v>
      </c>
      <c r="J341" s="30">
        <v>1267.9</v>
      </c>
      <c r="K341" s="30">
        <v>4.5</v>
      </c>
      <c r="L341" s="30">
        <v>57.0555</v>
      </c>
      <c r="M341" s="30">
        <v>1160.0</v>
      </c>
      <c r="N341" s="30">
        <v>1160.0</v>
      </c>
      <c r="O341" s="30">
        <v>0.0</v>
      </c>
      <c r="P341" s="30">
        <v>0.0</v>
      </c>
      <c r="Q341" s="30">
        <v>50.84450000000009</v>
      </c>
    </row>
    <row r="342">
      <c r="A342" s="47">
        <v>1.1249446994E10</v>
      </c>
      <c r="B342" s="48">
        <v>46161.58226851852</v>
      </c>
      <c r="C342" s="30">
        <v>3.86207032E9</v>
      </c>
      <c r="D342" s="47" t="s">
        <v>1508</v>
      </c>
      <c r="E342" s="47">
        <v>7.613031680992E12</v>
      </c>
      <c r="F342" s="47" t="s">
        <v>1523</v>
      </c>
      <c r="G342" s="47" t="s">
        <v>1541</v>
      </c>
      <c r="H342" s="30">
        <v>1.0</v>
      </c>
      <c r="I342" s="30">
        <v>796.0</v>
      </c>
      <c r="J342" s="30">
        <v>796.0</v>
      </c>
      <c r="K342" s="30">
        <v>7.0</v>
      </c>
      <c r="L342" s="30">
        <v>55.72</v>
      </c>
      <c r="M342" s="30">
        <v>580.0</v>
      </c>
      <c r="N342" s="30">
        <v>580.0</v>
      </c>
      <c r="O342" s="30">
        <v>0.0</v>
      </c>
      <c r="P342" s="30">
        <v>0.0</v>
      </c>
      <c r="Q342" s="30">
        <v>160.28</v>
      </c>
    </row>
    <row r="343">
      <c r="A343" s="47">
        <v>1.1245151137E10</v>
      </c>
      <c r="B343" s="48">
        <v>46160.049791666665</v>
      </c>
      <c r="C343" s="30">
        <v>3.858203172E9</v>
      </c>
      <c r="D343" s="47" t="s">
        <v>1509</v>
      </c>
      <c r="E343" s="47" t="s">
        <v>356</v>
      </c>
      <c r="F343" s="47" t="s">
        <v>1523</v>
      </c>
      <c r="G343" s="47" t="s">
        <v>1532</v>
      </c>
      <c r="H343" s="30">
        <v>1.0</v>
      </c>
      <c r="I343" s="30">
        <v>729.0</v>
      </c>
      <c r="J343" s="30">
        <v>729.0</v>
      </c>
      <c r="K343" s="30">
        <v>4.95</v>
      </c>
      <c r="L343" s="30">
        <v>36.0855</v>
      </c>
      <c r="M343" s="30">
        <v>580.0</v>
      </c>
      <c r="N343" s="30">
        <v>580.0</v>
      </c>
      <c r="O343" s="30">
        <v>0.0</v>
      </c>
      <c r="P343" s="30">
        <v>0.0</v>
      </c>
      <c r="Q343" s="30">
        <v>112.9145</v>
      </c>
    </row>
    <row r="344">
      <c r="A344" s="47">
        <v>1.1242537503E10</v>
      </c>
      <c r="B344" s="48">
        <v>46159.44394675926</v>
      </c>
      <c r="C344" s="30">
        <v>3.856197602E9</v>
      </c>
      <c r="D344" s="47" t="s">
        <v>1509</v>
      </c>
      <c r="E344" s="47">
        <v>7.613035846708E12</v>
      </c>
      <c r="F344" s="47" t="s">
        <v>1523</v>
      </c>
      <c r="G344" s="47" t="s">
        <v>1535</v>
      </c>
      <c r="H344" s="30">
        <v>1.0</v>
      </c>
      <c r="I344" s="30">
        <v>1264.9</v>
      </c>
      <c r="J344" s="30">
        <v>1264.9</v>
      </c>
      <c r="K344" s="30">
        <v>4.5</v>
      </c>
      <c r="L344" s="30">
        <v>56.920500000000004</v>
      </c>
      <c r="M344" s="30">
        <v>1160.0</v>
      </c>
      <c r="N344" s="30">
        <v>1160.0</v>
      </c>
      <c r="O344" s="30">
        <v>0.0</v>
      </c>
      <c r="P344" s="30">
        <v>0.0</v>
      </c>
      <c r="Q344" s="30">
        <v>47.97950000000009</v>
      </c>
    </row>
    <row r="345">
      <c r="A345" s="47">
        <v>1.1239609994E10</v>
      </c>
      <c r="B345" s="48">
        <v>46158.57292824074</v>
      </c>
      <c r="C345" s="30">
        <v>3.853857874E9</v>
      </c>
      <c r="D345" s="47" t="s">
        <v>1509</v>
      </c>
      <c r="E345" s="47" t="s">
        <v>356</v>
      </c>
      <c r="F345" s="47" t="s">
        <v>1523</v>
      </c>
      <c r="G345" s="47" t="s">
        <v>1532</v>
      </c>
      <c r="H345" s="30">
        <v>1.0</v>
      </c>
      <c r="I345" s="30">
        <v>729.0</v>
      </c>
      <c r="J345" s="30">
        <v>729.0</v>
      </c>
      <c r="K345" s="30">
        <v>4.95</v>
      </c>
      <c r="L345" s="30">
        <v>36.0855</v>
      </c>
      <c r="M345" s="30">
        <v>580.0</v>
      </c>
      <c r="N345" s="30">
        <v>580.0</v>
      </c>
      <c r="O345" s="30">
        <v>0.0</v>
      </c>
      <c r="P345" s="30">
        <v>0.0</v>
      </c>
      <c r="Q345" s="30">
        <v>112.9145</v>
      </c>
    </row>
    <row r="346">
      <c r="A346" s="47">
        <v>1.1240038363E10</v>
      </c>
      <c r="B346" s="48">
        <v>46158.675046296295</v>
      </c>
      <c r="C346" s="30">
        <v>3.854237468E9</v>
      </c>
      <c r="D346" s="47" t="s">
        <v>1509</v>
      </c>
      <c r="E346" s="47">
        <v>7.613031680992E12</v>
      </c>
      <c r="F346" s="47" t="s">
        <v>1523</v>
      </c>
      <c r="G346" s="47" t="s">
        <v>1541</v>
      </c>
      <c r="H346" s="30">
        <v>1.0</v>
      </c>
      <c r="I346" s="30">
        <v>768.0</v>
      </c>
      <c r="J346" s="30">
        <v>768.0</v>
      </c>
      <c r="K346" s="30">
        <v>3.69</v>
      </c>
      <c r="L346" s="30">
        <v>28.3392</v>
      </c>
      <c r="M346" s="30">
        <v>580.0</v>
      </c>
      <c r="N346" s="30">
        <v>580.0</v>
      </c>
      <c r="O346" s="30">
        <v>0.0</v>
      </c>
      <c r="P346" s="30">
        <v>0.0</v>
      </c>
      <c r="Q346" s="30">
        <v>159.6608</v>
      </c>
    </row>
    <row r="347">
      <c r="A347" s="47">
        <v>1.1240230991E10</v>
      </c>
      <c r="B347" s="48">
        <v>46158.714050925926</v>
      </c>
      <c r="C347" s="30">
        <v>3.854395049E9</v>
      </c>
      <c r="D347" s="47" t="s">
        <v>1509</v>
      </c>
      <c r="E347" s="47">
        <v>7.613033560064E12</v>
      </c>
      <c r="F347" s="47" t="s">
        <v>1523</v>
      </c>
      <c r="G347" s="47" t="s">
        <v>1527</v>
      </c>
      <c r="H347" s="30">
        <v>1.0</v>
      </c>
      <c r="I347" s="30">
        <v>1286.0</v>
      </c>
      <c r="J347" s="30">
        <v>1286.0</v>
      </c>
      <c r="K347" s="30">
        <v>2.7</v>
      </c>
      <c r="L347" s="30">
        <v>34.722</v>
      </c>
      <c r="M347" s="30">
        <v>1190.0</v>
      </c>
      <c r="N347" s="30">
        <v>1190.0</v>
      </c>
      <c r="O347" s="30">
        <v>0.0</v>
      </c>
      <c r="P347" s="30">
        <v>0.0</v>
      </c>
      <c r="Q347" s="30">
        <v>61.278</v>
      </c>
    </row>
    <row r="348">
      <c r="A348" s="47">
        <v>1.1240921625E10</v>
      </c>
      <c r="B348" s="48">
        <v>46158.85778935185</v>
      </c>
      <c r="C348" s="30">
        <v>3.854909828E9</v>
      </c>
      <c r="D348" s="47" t="s">
        <v>1509</v>
      </c>
      <c r="E348" s="47">
        <v>7.613033560064E12</v>
      </c>
      <c r="F348" s="47" t="s">
        <v>1523</v>
      </c>
      <c r="G348" s="47" t="s">
        <v>1527</v>
      </c>
      <c r="H348" s="30">
        <v>1.0</v>
      </c>
      <c r="I348" s="30">
        <v>1285.0</v>
      </c>
      <c r="J348" s="30">
        <v>1285.0</v>
      </c>
      <c r="K348" s="30">
        <v>2.7</v>
      </c>
      <c r="L348" s="30">
        <v>34.69500000000001</v>
      </c>
      <c r="M348" s="30">
        <v>1190.0</v>
      </c>
      <c r="N348" s="30">
        <v>1190.0</v>
      </c>
      <c r="O348" s="30">
        <v>0.0</v>
      </c>
      <c r="P348" s="30">
        <v>0.0</v>
      </c>
      <c r="Q348" s="30">
        <v>60.30499999999999</v>
      </c>
    </row>
    <row r="349">
      <c r="A349" s="47">
        <v>1.1240237917E10</v>
      </c>
      <c r="B349" s="48">
        <v>46158.715532407405</v>
      </c>
      <c r="C349" s="30">
        <v>3.854404953E9</v>
      </c>
      <c r="D349" s="47" t="s">
        <v>1509</v>
      </c>
      <c r="E349" s="47">
        <v>7.613033560064E12</v>
      </c>
      <c r="F349" s="47" t="s">
        <v>1523</v>
      </c>
      <c r="G349" s="47" t="s">
        <v>1527</v>
      </c>
      <c r="H349" s="30">
        <v>1.0</v>
      </c>
      <c r="I349" s="30">
        <v>1286.0</v>
      </c>
      <c r="J349" s="30">
        <v>1286.0</v>
      </c>
      <c r="K349" s="30">
        <v>2.7</v>
      </c>
      <c r="L349" s="30">
        <v>34.722</v>
      </c>
      <c r="M349" s="30">
        <v>1190.0</v>
      </c>
      <c r="N349" s="30">
        <v>1190.0</v>
      </c>
      <c r="O349" s="30">
        <v>0.0</v>
      </c>
      <c r="P349" s="30">
        <v>0.0</v>
      </c>
      <c r="Q349" s="30">
        <v>61.278</v>
      </c>
    </row>
    <row r="350">
      <c r="A350" s="47">
        <v>1.1239659191E10</v>
      </c>
      <c r="B350" s="48">
        <v>46158.5875</v>
      </c>
      <c r="C350" s="30">
        <v>3.853902247E9</v>
      </c>
      <c r="D350" s="47" t="s">
        <v>1509</v>
      </c>
      <c r="E350" s="47">
        <v>7.613033560064E12</v>
      </c>
      <c r="F350" s="47" t="s">
        <v>1523</v>
      </c>
      <c r="G350" s="47" t="s">
        <v>1527</v>
      </c>
      <c r="H350" s="30">
        <v>1.0</v>
      </c>
      <c r="I350" s="30">
        <v>1289.0</v>
      </c>
      <c r="J350" s="30">
        <v>1289.0</v>
      </c>
      <c r="K350" s="30">
        <v>2.7</v>
      </c>
      <c r="L350" s="30">
        <v>34.803000000000004</v>
      </c>
      <c r="M350" s="30">
        <v>1190.0</v>
      </c>
      <c r="N350" s="30">
        <v>1190.0</v>
      </c>
      <c r="O350" s="30">
        <v>0.0</v>
      </c>
      <c r="P350" s="30">
        <v>0.0</v>
      </c>
      <c r="Q350" s="30">
        <v>64.197</v>
      </c>
    </row>
    <row r="351">
      <c r="A351" s="47">
        <v>1.1246091211E10</v>
      </c>
      <c r="B351" s="48">
        <v>46160.555810185186</v>
      </c>
      <c r="C351" s="30">
        <v>3.859179441E9</v>
      </c>
      <c r="D351" s="47" t="s">
        <v>1514</v>
      </c>
      <c r="E351" s="47">
        <v>8.684501941837E12</v>
      </c>
      <c r="F351" s="47" t="s">
        <v>289</v>
      </c>
      <c r="G351" s="47" t="s">
        <v>1543</v>
      </c>
      <c r="H351" s="30">
        <v>1.0</v>
      </c>
      <c r="I351" s="30">
        <v>321.88</v>
      </c>
      <c r="J351" s="30">
        <v>321.88</v>
      </c>
      <c r="K351" s="30">
        <v>18.0</v>
      </c>
      <c r="L351" s="30">
        <v>57.9384</v>
      </c>
      <c r="M351" s="30">
        <v>53.0</v>
      </c>
      <c r="N351" s="30">
        <v>53.0</v>
      </c>
      <c r="O351" s="30">
        <v>0.0</v>
      </c>
      <c r="P351" s="30">
        <v>0.0</v>
      </c>
      <c r="Q351" s="30">
        <v>210.9416</v>
      </c>
    </row>
    <row r="352">
      <c r="A352" s="47">
        <v>1.1246091211E10</v>
      </c>
      <c r="B352" s="48">
        <v>46160.555810185186</v>
      </c>
      <c r="C352" s="30">
        <v>3.859179441E9</v>
      </c>
      <c r="D352" s="47" t="s">
        <v>1514</v>
      </c>
      <c r="E352" s="47">
        <v>7.613033560064E12</v>
      </c>
      <c r="F352" s="47" t="s">
        <v>1523</v>
      </c>
      <c r="G352" s="47" t="s">
        <v>1527</v>
      </c>
      <c r="H352" s="30">
        <v>1.0</v>
      </c>
      <c r="I352" s="30">
        <v>1407.12</v>
      </c>
      <c r="J352" s="30">
        <v>1407.12</v>
      </c>
      <c r="K352" s="30">
        <v>6.3</v>
      </c>
      <c r="L352" s="30">
        <v>88.64856</v>
      </c>
      <c r="M352" s="30">
        <v>1190.0</v>
      </c>
      <c r="N352" s="30">
        <v>1190.0</v>
      </c>
      <c r="O352" s="30">
        <v>0.0</v>
      </c>
      <c r="P352" s="30">
        <v>0.0</v>
      </c>
      <c r="Q352" s="30">
        <v>128.4714399999999</v>
      </c>
    </row>
    <row r="353">
      <c r="A353" s="47">
        <v>1.1248544629E10</v>
      </c>
      <c r="B353" s="48">
        <v>46161.05546296296</v>
      </c>
      <c r="C353" s="30">
        <v>3.86120379E9</v>
      </c>
      <c r="D353" s="47" t="s">
        <v>1514</v>
      </c>
      <c r="E353" s="47">
        <v>8.410650239156E12</v>
      </c>
      <c r="F353" s="47" t="s">
        <v>1523</v>
      </c>
      <c r="G353" s="47" t="s">
        <v>1530</v>
      </c>
      <c r="H353" s="30">
        <v>2.0</v>
      </c>
      <c r="I353" s="30">
        <v>1728.0</v>
      </c>
      <c r="J353" s="30">
        <v>3456.0</v>
      </c>
      <c r="K353" s="30">
        <v>11.61</v>
      </c>
      <c r="L353" s="30">
        <v>401.24159999999995</v>
      </c>
      <c r="M353" s="30">
        <v>1260.0</v>
      </c>
      <c r="N353" s="30">
        <v>2520.0</v>
      </c>
      <c r="O353" s="30">
        <v>0.0</v>
      </c>
      <c r="P353" s="30">
        <v>0.0</v>
      </c>
      <c r="Q353" s="30">
        <v>534.7584</v>
      </c>
    </row>
    <row r="354">
      <c r="A354" s="47">
        <v>1.1248303185E10</v>
      </c>
      <c r="B354" s="48">
        <v>46161.007939814815</v>
      </c>
      <c r="C354" s="30">
        <v>3.860993388E9</v>
      </c>
      <c r="D354" s="47" t="s">
        <v>1514</v>
      </c>
      <c r="E354" s="47">
        <v>7.613033560064E12</v>
      </c>
      <c r="F354" s="47" t="s">
        <v>1523</v>
      </c>
      <c r="G354" s="47" t="s">
        <v>1527</v>
      </c>
      <c r="H354" s="30">
        <v>1.0</v>
      </c>
      <c r="I354" s="30">
        <v>1530.0</v>
      </c>
      <c r="J354" s="30">
        <v>1530.0</v>
      </c>
      <c r="K354" s="30">
        <v>6.3</v>
      </c>
      <c r="L354" s="30">
        <v>96.39</v>
      </c>
      <c r="M354" s="30">
        <v>1190.0</v>
      </c>
      <c r="N354" s="30">
        <v>1190.0</v>
      </c>
      <c r="O354" s="30">
        <v>0.0</v>
      </c>
      <c r="P354" s="30">
        <v>0.0</v>
      </c>
      <c r="Q354" s="30">
        <v>243.61</v>
      </c>
    </row>
    <row r="355">
      <c r="A355" s="47">
        <v>1.1247337367E10</v>
      </c>
      <c r="B355" s="48">
        <v>46160.81377314815</v>
      </c>
      <c r="C355" s="30">
        <v>3.860264916E9</v>
      </c>
      <c r="D355" s="47" t="s">
        <v>1514</v>
      </c>
      <c r="E355" s="47">
        <v>8.410650151656E12</v>
      </c>
      <c r="F355" s="47" t="s">
        <v>1523</v>
      </c>
      <c r="G355" s="47" t="s">
        <v>1525</v>
      </c>
      <c r="H355" s="30">
        <v>1.0</v>
      </c>
      <c r="I355" s="30">
        <v>1630.0</v>
      </c>
      <c r="J355" s="30">
        <v>1630.0</v>
      </c>
      <c r="K355" s="30">
        <v>12.15</v>
      </c>
      <c r="L355" s="30">
        <v>198.045</v>
      </c>
      <c r="M355" s="30">
        <v>1228.0</v>
      </c>
      <c r="N355" s="30">
        <v>1228.0</v>
      </c>
      <c r="O355" s="30">
        <v>0.0</v>
      </c>
      <c r="P355" s="30">
        <v>0.0</v>
      </c>
      <c r="Q355" s="30">
        <v>203.955</v>
      </c>
    </row>
    <row r="356">
      <c r="A356" s="47">
        <v>1.1249287152E10</v>
      </c>
      <c r="B356" s="48">
        <v>46161.52668981482</v>
      </c>
      <c r="C356" s="30">
        <v>3.861927933E9</v>
      </c>
      <c r="D356" s="47" t="s">
        <v>1514</v>
      </c>
      <c r="E356" s="47" t="s">
        <v>123</v>
      </c>
      <c r="F356" s="47" t="s">
        <v>1523</v>
      </c>
      <c r="G356" s="47" t="s">
        <v>1560</v>
      </c>
      <c r="H356" s="30">
        <v>1.0</v>
      </c>
      <c r="I356" s="30">
        <v>1199.0</v>
      </c>
      <c r="J356" s="30">
        <v>1199.0</v>
      </c>
      <c r="K356" s="30">
        <v>13.5</v>
      </c>
      <c r="L356" s="30">
        <v>161.865</v>
      </c>
      <c r="M356" s="30">
        <v>792.0</v>
      </c>
      <c r="N356" s="30">
        <v>792.0</v>
      </c>
      <c r="O356" s="30">
        <v>0.0</v>
      </c>
      <c r="P356" s="30">
        <v>0.0</v>
      </c>
      <c r="Q356" s="30">
        <v>245.135</v>
      </c>
    </row>
    <row r="357">
      <c r="A357" s="47">
        <v>1.1247395238E10</v>
      </c>
      <c r="B357" s="48">
        <v>46160.825833333336</v>
      </c>
      <c r="C357" s="30">
        <v>3.860311858E9</v>
      </c>
      <c r="D357" s="47" t="s">
        <v>1514</v>
      </c>
      <c r="E357" s="47" t="s">
        <v>123</v>
      </c>
      <c r="F357" s="47" t="s">
        <v>1523</v>
      </c>
      <c r="G357" s="47" t="s">
        <v>1560</v>
      </c>
      <c r="H357" s="30">
        <v>1.0</v>
      </c>
      <c r="I357" s="30">
        <v>1199.0</v>
      </c>
      <c r="J357" s="30">
        <v>1199.0</v>
      </c>
      <c r="K357" s="30">
        <v>12.15</v>
      </c>
      <c r="L357" s="30">
        <v>145.6785</v>
      </c>
      <c r="M357" s="30">
        <v>792.0</v>
      </c>
      <c r="N357" s="30">
        <v>792.0</v>
      </c>
      <c r="O357" s="30">
        <v>0.0</v>
      </c>
      <c r="P357" s="30">
        <v>0.0</v>
      </c>
      <c r="Q357" s="30">
        <v>261.3215</v>
      </c>
    </row>
    <row r="358">
      <c r="A358" s="47">
        <v>1.1249304224E10</v>
      </c>
      <c r="B358" s="48">
        <v>46161.53396990741</v>
      </c>
      <c r="C358" s="30">
        <v>3.861941248E9</v>
      </c>
      <c r="D358" s="47" t="s">
        <v>1514</v>
      </c>
      <c r="E358" s="47">
        <v>8.410650151656E12</v>
      </c>
      <c r="F358" s="47" t="s">
        <v>1523</v>
      </c>
      <c r="G358" s="47" t="s">
        <v>1525</v>
      </c>
      <c r="H358" s="30">
        <v>1.0</v>
      </c>
      <c r="I358" s="30">
        <v>1630.0</v>
      </c>
      <c r="J358" s="30">
        <v>1630.0</v>
      </c>
      <c r="K358" s="30">
        <v>15.9</v>
      </c>
      <c r="L358" s="30">
        <v>259.17</v>
      </c>
      <c r="M358" s="30">
        <v>1228.0</v>
      </c>
      <c r="N358" s="30">
        <v>1228.0</v>
      </c>
      <c r="O358" s="30">
        <v>0.0</v>
      </c>
      <c r="P358" s="30">
        <v>0.0</v>
      </c>
      <c r="Q358" s="30">
        <v>142.82999999999998</v>
      </c>
    </row>
    <row r="359">
      <c r="A359" s="47">
        <v>1.1246501964E10</v>
      </c>
      <c r="B359" s="48">
        <v>46160.64730324074</v>
      </c>
      <c r="C359" s="30">
        <v>3.859552456E9</v>
      </c>
      <c r="D359" s="47" t="s">
        <v>1514</v>
      </c>
      <c r="E359" s="47">
        <v>8.410650151656E12</v>
      </c>
      <c r="F359" s="47" t="s">
        <v>1523</v>
      </c>
      <c r="G359" s="47" t="s">
        <v>1525</v>
      </c>
      <c r="H359" s="30">
        <v>1.0</v>
      </c>
      <c r="I359" s="30">
        <v>1630.0</v>
      </c>
      <c r="J359" s="30">
        <v>1630.0</v>
      </c>
      <c r="K359" s="30">
        <v>12.15</v>
      </c>
      <c r="L359" s="30">
        <v>198.045</v>
      </c>
      <c r="M359" s="30">
        <v>1228.0</v>
      </c>
      <c r="N359" s="30">
        <v>1228.0</v>
      </c>
      <c r="O359" s="30">
        <v>0.0</v>
      </c>
      <c r="P359" s="30">
        <v>0.0</v>
      </c>
      <c r="Q359" s="30">
        <v>203.955</v>
      </c>
    </row>
    <row r="360">
      <c r="A360" s="47">
        <v>1.1246313863E10</v>
      </c>
      <c r="B360" s="48">
        <v>46160.610810185186</v>
      </c>
      <c r="C360" s="30">
        <v>3.859395746E9</v>
      </c>
      <c r="D360" s="47" t="s">
        <v>1514</v>
      </c>
      <c r="E360" s="47">
        <v>1.172022022E9</v>
      </c>
      <c r="F360" s="47" t="s">
        <v>1523</v>
      </c>
      <c r="G360" s="47" t="s">
        <v>1550</v>
      </c>
      <c r="H360" s="30">
        <v>1.0</v>
      </c>
      <c r="I360" s="30">
        <v>747.87</v>
      </c>
      <c r="J360" s="30">
        <v>747.87</v>
      </c>
      <c r="K360" s="30">
        <v>11.25</v>
      </c>
      <c r="L360" s="30">
        <v>84.13537500000001</v>
      </c>
      <c r="M360" s="30">
        <v>0.0</v>
      </c>
      <c r="N360" s="30">
        <v>0.0</v>
      </c>
      <c r="O360" s="30">
        <v>0.0</v>
      </c>
      <c r="P360" s="30">
        <v>0.0</v>
      </c>
      <c r="Q360" s="30">
        <v>663.734625</v>
      </c>
    </row>
    <row r="361">
      <c r="A361" s="47">
        <v>1.1246313863E10</v>
      </c>
      <c r="B361" s="48">
        <v>46160.610810185186</v>
      </c>
      <c r="C361" s="30">
        <v>3.859395746E9</v>
      </c>
      <c r="D361" s="47" t="s">
        <v>1514</v>
      </c>
      <c r="E361" s="47">
        <v>8.684501941837E12</v>
      </c>
      <c r="F361" s="47" t="s">
        <v>289</v>
      </c>
      <c r="G361" s="47" t="s">
        <v>1543</v>
      </c>
      <c r="H361" s="30">
        <v>1.0</v>
      </c>
      <c r="I361" s="30">
        <v>306.13</v>
      </c>
      <c r="J361" s="30">
        <v>306.13</v>
      </c>
      <c r="K361" s="30">
        <v>18.0</v>
      </c>
      <c r="L361" s="30">
        <v>55.1034</v>
      </c>
      <c r="M361" s="30">
        <v>53.0</v>
      </c>
      <c r="N361" s="30">
        <v>53.0</v>
      </c>
      <c r="O361" s="30">
        <v>0.0</v>
      </c>
      <c r="P361" s="30">
        <v>0.0</v>
      </c>
      <c r="Q361" s="30">
        <v>198.0266</v>
      </c>
    </row>
    <row r="362">
      <c r="A362" s="47">
        <v>1.1247414187E10</v>
      </c>
      <c r="B362" s="48">
        <v>46160.83002314815</v>
      </c>
      <c r="C362" s="30">
        <v>3.860326568E9</v>
      </c>
      <c r="D362" s="47" t="s">
        <v>1514</v>
      </c>
      <c r="E362" s="47">
        <v>6.923632570121E12</v>
      </c>
      <c r="F362" s="47" t="s">
        <v>306</v>
      </c>
      <c r="G362" s="47" t="s">
        <v>1555</v>
      </c>
      <c r="H362" s="30">
        <v>1.0</v>
      </c>
      <c r="I362" s="30">
        <v>852.0</v>
      </c>
      <c r="J362" s="30">
        <v>852.0</v>
      </c>
      <c r="K362" s="30">
        <v>14.49</v>
      </c>
      <c r="L362" s="30">
        <v>123.45479999999999</v>
      </c>
      <c r="M362" s="30">
        <v>300.0</v>
      </c>
      <c r="N362" s="30">
        <v>300.0</v>
      </c>
      <c r="O362" s="30">
        <v>0.0</v>
      </c>
      <c r="P362" s="30">
        <v>0.0</v>
      </c>
      <c r="Q362" s="30">
        <v>428.5452</v>
      </c>
    </row>
    <row r="363">
      <c r="A363" s="47">
        <v>1.1247295086E10</v>
      </c>
      <c r="B363" s="48">
        <v>46160.805127314816</v>
      </c>
      <c r="C363" s="30">
        <v>3.86023003E9</v>
      </c>
      <c r="D363" s="47" t="s">
        <v>1514</v>
      </c>
      <c r="E363" s="47" t="s">
        <v>135</v>
      </c>
      <c r="F363" s="47" t="s">
        <v>1523</v>
      </c>
      <c r="G363" s="47" t="s">
        <v>1562</v>
      </c>
      <c r="H363" s="30">
        <v>1.0</v>
      </c>
      <c r="I363" s="30">
        <v>859.0</v>
      </c>
      <c r="J363" s="30">
        <v>859.0</v>
      </c>
      <c r="K363" s="30">
        <v>12.15</v>
      </c>
      <c r="L363" s="30">
        <v>104.3685</v>
      </c>
      <c r="M363" s="30">
        <v>1.0</v>
      </c>
      <c r="N363" s="30">
        <v>1.0</v>
      </c>
      <c r="O363" s="30">
        <v>0.0</v>
      </c>
      <c r="P363" s="30">
        <v>0.0</v>
      </c>
      <c r="Q363" s="30">
        <v>753.6315</v>
      </c>
    </row>
    <row r="364">
      <c r="A364" s="47">
        <v>1.1246606432E10</v>
      </c>
      <c r="B364" s="48">
        <v>46160.66725694444</v>
      </c>
      <c r="C364" s="30">
        <v>3.859640834E9</v>
      </c>
      <c r="D364" s="47" t="s">
        <v>1514</v>
      </c>
      <c r="E364" s="47" t="s">
        <v>411</v>
      </c>
      <c r="F364" s="47" t="s">
        <v>1523</v>
      </c>
      <c r="G364" s="47" t="s">
        <v>1531</v>
      </c>
      <c r="H364" s="30">
        <v>2.0</v>
      </c>
      <c r="I364" s="30">
        <v>768.0</v>
      </c>
      <c r="J364" s="30">
        <v>1536.0</v>
      </c>
      <c r="K364" s="30">
        <v>4.95</v>
      </c>
      <c r="L364" s="30">
        <v>76.03200000000001</v>
      </c>
      <c r="M364" s="30">
        <v>580.0</v>
      </c>
      <c r="N364" s="30">
        <v>1160.0</v>
      </c>
      <c r="O364" s="30">
        <v>0.0</v>
      </c>
      <c r="P364" s="30">
        <v>0.0</v>
      </c>
      <c r="Q364" s="30">
        <v>299.96799999999996</v>
      </c>
    </row>
    <row r="365">
      <c r="A365" s="47">
        <v>1.124791403E10</v>
      </c>
      <c r="B365" s="48">
        <v>46160.93094907407</v>
      </c>
      <c r="C365" s="30">
        <v>3.860697511E9</v>
      </c>
      <c r="D365" s="47" t="s">
        <v>1514</v>
      </c>
      <c r="E365" s="47" t="s">
        <v>411</v>
      </c>
      <c r="F365" s="47" t="s">
        <v>1523</v>
      </c>
      <c r="G365" s="47" t="s">
        <v>1531</v>
      </c>
      <c r="H365" s="30">
        <v>4.0</v>
      </c>
      <c r="I365" s="30">
        <v>768.0</v>
      </c>
      <c r="J365" s="30">
        <v>3072.0</v>
      </c>
      <c r="K365" s="30">
        <v>4.95</v>
      </c>
      <c r="L365" s="30">
        <v>152.06400000000002</v>
      </c>
      <c r="M365" s="30">
        <v>580.0</v>
      </c>
      <c r="N365" s="30">
        <v>2320.0</v>
      </c>
      <c r="O365" s="30">
        <v>0.0</v>
      </c>
      <c r="P365" s="30">
        <v>0.0</v>
      </c>
      <c r="Q365" s="30">
        <v>599.9359999999999</v>
      </c>
    </row>
    <row r="366">
      <c r="A366" s="47">
        <v>1.1246347787E10</v>
      </c>
      <c r="B366" s="48">
        <v>46160.617743055554</v>
      </c>
      <c r="C366" s="30">
        <v>3.859428513E9</v>
      </c>
      <c r="D366" s="47" t="s">
        <v>1514</v>
      </c>
      <c r="E366" s="47">
        <v>7.613031680992E12</v>
      </c>
      <c r="F366" s="47" t="s">
        <v>1523</v>
      </c>
      <c r="G366" s="47" t="s">
        <v>1563</v>
      </c>
      <c r="H366" s="30">
        <v>2.0</v>
      </c>
      <c r="I366" s="30">
        <v>768.0</v>
      </c>
      <c r="J366" s="30">
        <v>1536.0</v>
      </c>
      <c r="K366" s="30">
        <v>3.69</v>
      </c>
      <c r="L366" s="30">
        <v>56.6784</v>
      </c>
      <c r="M366" s="30">
        <v>580.0</v>
      </c>
      <c r="N366" s="30">
        <v>1160.0</v>
      </c>
      <c r="O366" s="30">
        <v>0.0</v>
      </c>
      <c r="P366" s="30">
        <v>0.0</v>
      </c>
      <c r="Q366" s="30">
        <v>319.3216</v>
      </c>
    </row>
    <row r="367">
      <c r="A367" s="47">
        <v>1.1248423627E10</v>
      </c>
      <c r="B367" s="48">
        <v>46161.03152777778</v>
      </c>
      <c r="C367" s="30">
        <v>3.861096459E9</v>
      </c>
      <c r="D367" s="47" t="s">
        <v>1514</v>
      </c>
      <c r="E367" s="47" t="s">
        <v>356</v>
      </c>
      <c r="F367" s="47" t="s">
        <v>1523</v>
      </c>
      <c r="G367" s="47" t="s">
        <v>1532</v>
      </c>
      <c r="H367" s="30">
        <v>2.0</v>
      </c>
      <c r="I367" s="30">
        <v>729.0</v>
      </c>
      <c r="J367" s="30">
        <v>1458.0</v>
      </c>
      <c r="K367" s="30">
        <v>4.95</v>
      </c>
      <c r="L367" s="30">
        <v>72.171</v>
      </c>
      <c r="M367" s="30">
        <v>580.0</v>
      </c>
      <c r="N367" s="30">
        <v>1160.0</v>
      </c>
      <c r="O367" s="30">
        <v>0.0</v>
      </c>
      <c r="P367" s="30">
        <v>0.0</v>
      </c>
      <c r="Q367" s="30">
        <v>225.829</v>
      </c>
    </row>
    <row r="368">
      <c r="A368" s="47">
        <v>1.1247503787E10</v>
      </c>
      <c r="B368" s="48">
        <v>46160.84853009259</v>
      </c>
      <c r="C368" s="30">
        <v>3.860400577E9</v>
      </c>
      <c r="D368" s="47" t="s">
        <v>1514</v>
      </c>
      <c r="E368" s="47" t="s">
        <v>356</v>
      </c>
      <c r="F368" s="47" t="s">
        <v>1523</v>
      </c>
      <c r="G368" s="47" t="s">
        <v>1532</v>
      </c>
      <c r="H368" s="30">
        <v>2.0</v>
      </c>
      <c r="I368" s="30">
        <v>729.0</v>
      </c>
      <c r="J368" s="30">
        <v>1458.0</v>
      </c>
      <c r="K368" s="30">
        <v>4.95</v>
      </c>
      <c r="L368" s="30">
        <v>72.171</v>
      </c>
      <c r="M368" s="30">
        <v>580.0</v>
      </c>
      <c r="N368" s="30">
        <v>1160.0</v>
      </c>
      <c r="O368" s="30">
        <v>0.0</v>
      </c>
      <c r="P368" s="30">
        <v>0.0</v>
      </c>
      <c r="Q368" s="30">
        <v>225.829</v>
      </c>
    </row>
    <row r="369">
      <c r="A369" s="47">
        <v>1.1248643961E10</v>
      </c>
      <c r="B369" s="48">
        <v>46161.07534722222</v>
      </c>
      <c r="C369" s="30">
        <v>3.861294975E9</v>
      </c>
      <c r="D369" s="47" t="s">
        <v>1514</v>
      </c>
      <c r="E369" s="47" t="s">
        <v>356</v>
      </c>
      <c r="F369" s="47" t="s">
        <v>1523</v>
      </c>
      <c r="G369" s="47" t="s">
        <v>1532</v>
      </c>
      <c r="H369" s="30">
        <v>1.0</v>
      </c>
      <c r="I369" s="30">
        <v>729.0</v>
      </c>
      <c r="J369" s="30">
        <v>729.0</v>
      </c>
      <c r="K369" s="30">
        <v>4.95</v>
      </c>
      <c r="L369" s="30">
        <v>36.0855</v>
      </c>
      <c r="M369" s="30">
        <v>580.0</v>
      </c>
      <c r="N369" s="30">
        <v>580.0</v>
      </c>
      <c r="O369" s="30">
        <v>0.0</v>
      </c>
      <c r="P369" s="30">
        <v>0.0</v>
      </c>
      <c r="Q369" s="30">
        <v>112.9145</v>
      </c>
    </row>
    <row r="370">
      <c r="A370" s="47">
        <v>1.1246746284E10</v>
      </c>
      <c r="B370" s="48">
        <v>46160.69358796296</v>
      </c>
      <c r="C370" s="30">
        <v>3.859760871E9</v>
      </c>
      <c r="D370" s="47" t="s">
        <v>1514</v>
      </c>
      <c r="E370" s="47" t="s">
        <v>356</v>
      </c>
      <c r="F370" s="47" t="s">
        <v>1523</v>
      </c>
      <c r="G370" s="47" t="s">
        <v>1532</v>
      </c>
      <c r="H370" s="30">
        <v>2.0</v>
      </c>
      <c r="I370" s="30">
        <v>729.0</v>
      </c>
      <c r="J370" s="30">
        <v>1458.0</v>
      </c>
      <c r="K370" s="30">
        <v>4.95</v>
      </c>
      <c r="L370" s="30">
        <v>72.171</v>
      </c>
      <c r="M370" s="30">
        <v>580.0</v>
      </c>
      <c r="N370" s="30">
        <v>1160.0</v>
      </c>
      <c r="O370" s="30">
        <v>0.0</v>
      </c>
      <c r="P370" s="30">
        <v>0.0</v>
      </c>
      <c r="Q370" s="30">
        <v>225.829</v>
      </c>
    </row>
    <row r="371">
      <c r="A371" s="47">
        <v>1.1247127143E10</v>
      </c>
      <c r="B371" s="48">
        <v>46160.77045138889</v>
      </c>
      <c r="C371" s="30">
        <v>3.860089806E9</v>
      </c>
      <c r="D371" s="47" t="s">
        <v>1514</v>
      </c>
      <c r="E371" s="47">
        <v>8.684501941837E12</v>
      </c>
      <c r="F371" s="47" t="s">
        <v>289</v>
      </c>
      <c r="G371" s="47" t="s">
        <v>1543</v>
      </c>
      <c r="H371" s="30">
        <v>1.0</v>
      </c>
      <c r="I371" s="30">
        <v>274.39</v>
      </c>
      <c r="J371" s="30">
        <v>274.39</v>
      </c>
      <c r="K371" s="30">
        <v>18.0</v>
      </c>
      <c r="L371" s="30">
        <v>49.39019999999999</v>
      </c>
      <c r="M371" s="30">
        <v>53.0</v>
      </c>
      <c r="N371" s="30">
        <v>53.0</v>
      </c>
      <c r="O371" s="30">
        <v>0.0</v>
      </c>
      <c r="P371" s="30">
        <v>0.0</v>
      </c>
      <c r="Q371" s="30">
        <v>171.9998</v>
      </c>
    </row>
    <row r="372">
      <c r="A372" s="47">
        <v>1.1247127143E10</v>
      </c>
      <c r="B372" s="48">
        <v>46160.77045138889</v>
      </c>
      <c r="C372" s="30">
        <v>3.860089806E9</v>
      </c>
      <c r="D372" s="47" t="s">
        <v>1514</v>
      </c>
      <c r="E372" s="47" t="s">
        <v>415</v>
      </c>
      <c r="F372" s="47" t="s">
        <v>1523</v>
      </c>
      <c r="G372" s="47" t="s">
        <v>1564</v>
      </c>
      <c r="H372" s="30">
        <v>2.0</v>
      </c>
      <c r="I372" s="30">
        <v>311.305</v>
      </c>
      <c r="J372" s="30">
        <v>622.61</v>
      </c>
      <c r="K372" s="30">
        <v>12.15</v>
      </c>
      <c r="L372" s="30">
        <v>75.647115</v>
      </c>
      <c r="M372" s="30">
        <v>180.0</v>
      </c>
      <c r="N372" s="30">
        <v>360.0</v>
      </c>
      <c r="O372" s="30">
        <v>0.0</v>
      </c>
      <c r="P372" s="30">
        <v>0.0</v>
      </c>
      <c r="Q372" s="30">
        <v>186.96288500000003</v>
      </c>
    </row>
    <row r="373">
      <c r="A373" s="47">
        <v>1.1247127143E10</v>
      </c>
      <c r="B373" s="48">
        <v>46160.77045138889</v>
      </c>
      <c r="C373" s="30">
        <v>3.860089806E9</v>
      </c>
      <c r="D373" s="47" t="s">
        <v>1514</v>
      </c>
      <c r="E373" s="47" t="s">
        <v>356</v>
      </c>
      <c r="F373" s="47" t="s">
        <v>1523</v>
      </c>
      <c r="G373" s="47" t="s">
        <v>1532</v>
      </c>
      <c r="H373" s="30">
        <v>2.0</v>
      </c>
      <c r="I373" s="30">
        <v>729.0</v>
      </c>
      <c r="J373" s="30">
        <v>1458.0</v>
      </c>
      <c r="K373" s="30">
        <v>4.95</v>
      </c>
      <c r="L373" s="30">
        <v>72.171</v>
      </c>
      <c r="M373" s="30">
        <v>580.0</v>
      </c>
      <c r="N373" s="30">
        <v>1160.0</v>
      </c>
      <c r="O373" s="30">
        <v>0.0</v>
      </c>
      <c r="P373" s="30">
        <v>0.0</v>
      </c>
      <c r="Q373" s="30">
        <v>225.829</v>
      </c>
    </row>
    <row r="374">
      <c r="A374" s="47">
        <v>1.1248774331E10</v>
      </c>
      <c r="B374" s="48">
        <v>46161.10430555556</v>
      </c>
      <c r="C374" s="30">
        <v>3.861418491E9</v>
      </c>
      <c r="D374" s="47" t="s">
        <v>1514</v>
      </c>
      <c r="E374" s="47" t="s">
        <v>356</v>
      </c>
      <c r="F374" s="47" t="s">
        <v>1523</v>
      </c>
      <c r="G374" s="47" t="s">
        <v>1532</v>
      </c>
      <c r="H374" s="30">
        <v>1.0</v>
      </c>
      <c r="I374" s="30">
        <v>729.0</v>
      </c>
      <c r="J374" s="30">
        <v>729.0</v>
      </c>
      <c r="K374" s="30">
        <v>4.95</v>
      </c>
      <c r="L374" s="30">
        <v>36.0855</v>
      </c>
      <c r="M374" s="30">
        <v>580.0</v>
      </c>
      <c r="N374" s="30">
        <v>580.0</v>
      </c>
      <c r="O374" s="30">
        <v>0.0</v>
      </c>
      <c r="P374" s="30">
        <v>0.0</v>
      </c>
      <c r="Q374" s="30">
        <v>112.9145</v>
      </c>
    </row>
    <row r="375">
      <c r="A375" s="47">
        <v>1.1248717964E10</v>
      </c>
      <c r="B375" s="48">
        <v>46161.09133101852</v>
      </c>
      <c r="C375" s="30">
        <v>3.8613664E9</v>
      </c>
      <c r="D375" s="47" t="s">
        <v>1514</v>
      </c>
      <c r="E375" s="47" t="s">
        <v>356</v>
      </c>
      <c r="F375" s="47" t="s">
        <v>1523</v>
      </c>
      <c r="G375" s="47" t="s">
        <v>1532</v>
      </c>
      <c r="H375" s="30">
        <v>2.0</v>
      </c>
      <c r="I375" s="30">
        <v>729.0</v>
      </c>
      <c r="J375" s="30">
        <v>1458.0</v>
      </c>
      <c r="K375" s="30">
        <v>4.95</v>
      </c>
      <c r="L375" s="30">
        <v>72.171</v>
      </c>
      <c r="M375" s="30">
        <v>580.0</v>
      </c>
      <c r="N375" s="30">
        <v>1160.0</v>
      </c>
      <c r="O375" s="30">
        <v>0.0</v>
      </c>
      <c r="P375" s="30">
        <v>0.0</v>
      </c>
      <c r="Q375" s="30">
        <v>225.829</v>
      </c>
    </row>
    <row r="376">
      <c r="A376" s="47">
        <v>1.1247336876E10</v>
      </c>
      <c r="B376" s="48">
        <v>46160.81366898148</v>
      </c>
      <c r="C376" s="30">
        <v>3.860262398E9</v>
      </c>
      <c r="D376" s="47" t="s">
        <v>1514</v>
      </c>
      <c r="E376" s="47" t="s">
        <v>356</v>
      </c>
      <c r="F376" s="47" t="s">
        <v>1523</v>
      </c>
      <c r="G376" s="47" t="s">
        <v>1532</v>
      </c>
      <c r="H376" s="30">
        <v>1.0</v>
      </c>
      <c r="I376" s="30">
        <v>729.0</v>
      </c>
      <c r="J376" s="30">
        <v>729.0</v>
      </c>
      <c r="K376" s="30">
        <v>4.95</v>
      </c>
      <c r="L376" s="30">
        <v>36.0855</v>
      </c>
      <c r="M376" s="30">
        <v>580.0</v>
      </c>
      <c r="N376" s="30">
        <v>580.0</v>
      </c>
      <c r="O376" s="30">
        <v>0.0</v>
      </c>
      <c r="P376" s="30">
        <v>0.0</v>
      </c>
      <c r="Q376" s="30">
        <v>112.9145</v>
      </c>
    </row>
    <row r="377">
      <c r="A377" s="47">
        <v>1.124673395E10</v>
      </c>
      <c r="B377" s="48">
        <v>46160.69119212963</v>
      </c>
      <c r="C377" s="30">
        <v>3.859749972E9</v>
      </c>
      <c r="D377" s="47" t="s">
        <v>1514</v>
      </c>
      <c r="E377" s="47" t="s">
        <v>356</v>
      </c>
      <c r="F377" s="47" t="s">
        <v>1523</v>
      </c>
      <c r="G377" s="47" t="s">
        <v>1532</v>
      </c>
      <c r="H377" s="30">
        <v>2.0</v>
      </c>
      <c r="I377" s="30">
        <v>729.0</v>
      </c>
      <c r="J377" s="30">
        <v>1458.0</v>
      </c>
      <c r="K377" s="30">
        <v>4.95</v>
      </c>
      <c r="L377" s="30">
        <v>72.171</v>
      </c>
      <c r="M377" s="30">
        <v>580.0</v>
      </c>
      <c r="N377" s="30">
        <v>1160.0</v>
      </c>
      <c r="O377" s="30">
        <v>0.0</v>
      </c>
      <c r="P377" s="30">
        <v>0.0</v>
      </c>
      <c r="Q377" s="30">
        <v>225.829</v>
      </c>
    </row>
    <row r="378">
      <c r="A378" s="47">
        <v>1.1247684863E10</v>
      </c>
      <c r="B378" s="48">
        <v>46160.88548611111</v>
      </c>
      <c r="C378" s="30">
        <v>3.860531362E9</v>
      </c>
      <c r="D378" s="47" t="s">
        <v>1514</v>
      </c>
      <c r="E378" s="47" t="s">
        <v>356</v>
      </c>
      <c r="F378" s="47" t="s">
        <v>1523</v>
      </c>
      <c r="G378" s="47" t="s">
        <v>1532</v>
      </c>
      <c r="H378" s="30">
        <v>1.0</v>
      </c>
      <c r="I378" s="30">
        <v>729.0</v>
      </c>
      <c r="J378" s="30">
        <v>729.0</v>
      </c>
      <c r="K378" s="30">
        <v>4.95</v>
      </c>
      <c r="L378" s="30">
        <v>36.0855</v>
      </c>
      <c r="M378" s="30">
        <v>580.0</v>
      </c>
      <c r="N378" s="30">
        <v>580.0</v>
      </c>
      <c r="O378" s="30">
        <v>0.0</v>
      </c>
      <c r="P378" s="30">
        <v>0.0</v>
      </c>
      <c r="Q378" s="30">
        <v>112.9145</v>
      </c>
    </row>
    <row r="379">
      <c r="A379" s="47">
        <v>1.1248690335E10</v>
      </c>
      <c r="B379" s="48">
        <v>46161.084965277776</v>
      </c>
      <c r="C379" s="30">
        <v>3.8613375E9</v>
      </c>
      <c r="D379" s="47" t="s">
        <v>1514</v>
      </c>
      <c r="E379" s="47" t="s">
        <v>356</v>
      </c>
      <c r="F379" s="47" t="s">
        <v>1523</v>
      </c>
      <c r="G379" s="47" t="s">
        <v>1532</v>
      </c>
      <c r="H379" s="30">
        <v>1.0</v>
      </c>
      <c r="I379" s="30">
        <v>729.0</v>
      </c>
      <c r="J379" s="30">
        <v>729.0</v>
      </c>
      <c r="K379" s="30">
        <v>4.95</v>
      </c>
      <c r="L379" s="30">
        <v>36.0855</v>
      </c>
      <c r="M379" s="30">
        <v>580.0</v>
      </c>
      <c r="N379" s="30">
        <v>580.0</v>
      </c>
      <c r="O379" s="30">
        <v>0.0</v>
      </c>
      <c r="P379" s="30">
        <v>0.0</v>
      </c>
      <c r="Q379" s="30">
        <v>112.9145</v>
      </c>
    </row>
    <row r="380">
      <c r="A380" s="47">
        <v>1.1248508004E10</v>
      </c>
      <c r="B380" s="48">
        <v>46161.048263888886</v>
      </c>
      <c r="C380" s="30">
        <v>3.861169589E9</v>
      </c>
      <c r="D380" s="47" t="s">
        <v>1514</v>
      </c>
      <c r="E380" s="47" t="s">
        <v>356</v>
      </c>
      <c r="F380" s="47" t="s">
        <v>1523</v>
      </c>
      <c r="G380" s="47" t="s">
        <v>1532</v>
      </c>
      <c r="H380" s="30">
        <v>1.0</v>
      </c>
      <c r="I380" s="30">
        <v>729.0</v>
      </c>
      <c r="J380" s="30">
        <v>729.0</v>
      </c>
      <c r="K380" s="30">
        <v>4.95</v>
      </c>
      <c r="L380" s="30">
        <v>36.0855</v>
      </c>
      <c r="M380" s="30">
        <v>580.0</v>
      </c>
      <c r="N380" s="30">
        <v>580.0</v>
      </c>
      <c r="O380" s="30">
        <v>0.0</v>
      </c>
      <c r="P380" s="30">
        <v>0.0</v>
      </c>
      <c r="Q380" s="30">
        <v>112.9145</v>
      </c>
    </row>
    <row r="381">
      <c r="A381" s="47">
        <v>1.1247928526E10</v>
      </c>
      <c r="B381" s="48">
        <v>46160.933912037035</v>
      </c>
      <c r="C381" s="30">
        <v>3.860706953E9</v>
      </c>
      <c r="D381" s="47" t="s">
        <v>1514</v>
      </c>
      <c r="E381" s="47" t="s">
        <v>356</v>
      </c>
      <c r="F381" s="47" t="s">
        <v>1523</v>
      </c>
      <c r="G381" s="47" t="s">
        <v>1532</v>
      </c>
      <c r="H381" s="30">
        <v>1.0</v>
      </c>
      <c r="I381" s="30">
        <v>729.0</v>
      </c>
      <c r="J381" s="30">
        <v>729.0</v>
      </c>
      <c r="K381" s="30">
        <v>4.95</v>
      </c>
      <c r="L381" s="30">
        <v>36.0855</v>
      </c>
      <c r="M381" s="30">
        <v>580.0</v>
      </c>
      <c r="N381" s="30">
        <v>580.0</v>
      </c>
      <c r="O381" s="30">
        <v>0.0</v>
      </c>
      <c r="P381" s="30">
        <v>0.0</v>
      </c>
      <c r="Q381" s="30">
        <v>112.9145</v>
      </c>
    </row>
    <row r="382">
      <c r="A382" s="47">
        <v>1.1247711802E10</v>
      </c>
      <c r="B382" s="48">
        <v>46160.891076388885</v>
      </c>
      <c r="C382" s="30">
        <v>3.86054964E9</v>
      </c>
      <c r="D382" s="47" t="s">
        <v>1514</v>
      </c>
      <c r="E382" s="47" t="s">
        <v>356</v>
      </c>
      <c r="F382" s="47" t="s">
        <v>1523</v>
      </c>
      <c r="G382" s="47" t="s">
        <v>1532</v>
      </c>
      <c r="H382" s="30">
        <v>1.0</v>
      </c>
      <c r="I382" s="30">
        <v>729.0</v>
      </c>
      <c r="J382" s="30">
        <v>729.0</v>
      </c>
      <c r="K382" s="30">
        <v>4.95</v>
      </c>
      <c r="L382" s="30">
        <v>36.0855</v>
      </c>
      <c r="M382" s="30">
        <v>580.0</v>
      </c>
      <c r="N382" s="30">
        <v>580.0</v>
      </c>
      <c r="O382" s="30">
        <v>0.0</v>
      </c>
      <c r="P382" s="30">
        <v>0.0</v>
      </c>
      <c r="Q382" s="30">
        <v>112.9145</v>
      </c>
    </row>
    <row r="383">
      <c r="A383" s="47">
        <v>1.1247146159E10</v>
      </c>
      <c r="B383" s="48">
        <v>46160.77407407408</v>
      </c>
      <c r="C383" s="30">
        <v>3.860103394E9</v>
      </c>
      <c r="D383" s="47" t="s">
        <v>1514</v>
      </c>
      <c r="E383" s="47" t="s">
        <v>356</v>
      </c>
      <c r="F383" s="47" t="s">
        <v>1523</v>
      </c>
      <c r="G383" s="47" t="s">
        <v>1532</v>
      </c>
      <c r="H383" s="30">
        <v>1.0</v>
      </c>
      <c r="I383" s="30">
        <v>729.0</v>
      </c>
      <c r="J383" s="30">
        <v>729.0</v>
      </c>
      <c r="K383" s="30">
        <v>4.95</v>
      </c>
      <c r="L383" s="30">
        <v>36.0855</v>
      </c>
      <c r="M383" s="30">
        <v>580.0</v>
      </c>
      <c r="N383" s="30">
        <v>580.0</v>
      </c>
      <c r="O383" s="30">
        <v>0.0</v>
      </c>
      <c r="P383" s="30">
        <v>0.0</v>
      </c>
      <c r="Q383" s="30">
        <v>112.9145</v>
      </c>
    </row>
    <row r="384">
      <c r="A384" s="47">
        <v>1.1247211567E10</v>
      </c>
      <c r="B384" s="48">
        <v>46160.78775462963</v>
      </c>
      <c r="C384" s="30">
        <v>3.860159034E9</v>
      </c>
      <c r="D384" s="47" t="s">
        <v>1514</v>
      </c>
      <c r="E384" s="47" t="s">
        <v>356</v>
      </c>
      <c r="F384" s="47" t="s">
        <v>1523</v>
      </c>
      <c r="G384" s="47" t="s">
        <v>1532</v>
      </c>
      <c r="H384" s="30">
        <v>1.0</v>
      </c>
      <c r="I384" s="30">
        <v>729.0</v>
      </c>
      <c r="J384" s="30">
        <v>729.0</v>
      </c>
      <c r="K384" s="30">
        <v>4.95</v>
      </c>
      <c r="L384" s="30">
        <v>36.0855</v>
      </c>
      <c r="M384" s="30">
        <v>580.0</v>
      </c>
      <c r="N384" s="30">
        <v>580.0</v>
      </c>
      <c r="O384" s="30">
        <v>0.0</v>
      </c>
      <c r="P384" s="30">
        <v>0.0</v>
      </c>
      <c r="Q384" s="30">
        <v>112.9145</v>
      </c>
    </row>
    <row r="385">
      <c r="A385" s="47">
        <v>1.1248488749E10</v>
      </c>
      <c r="B385" s="48">
        <v>46161.04456018518</v>
      </c>
      <c r="C385" s="30">
        <v>3.861152742E9</v>
      </c>
      <c r="D385" s="47" t="s">
        <v>1514</v>
      </c>
      <c r="E385" s="47" t="s">
        <v>356</v>
      </c>
      <c r="F385" s="47" t="s">
        <v>1523</v>
      </c>
      <c r="G385" s="47" t="s">
        <v>1532</v>
      </c>
      <c r="H385" s="30">
        <v>1.0</v>
      </c>
      <c r="I385" s="30">
        <v>729.0</v>
      </c>
      <c r="J385" s="30">
        <v>729.0</v>
      </c>
      <c r="K385" s="30">
        <v>4.95</v>
      </c>
      <c r="L385" s="30">
        <v>36.0855</v>
      </c>
      <c r="M385" s="30">
        <v>580.0</v>
      </c>
      <c r="N385" s="30">
        <v>580.0</v>
      </c>
      <c r="O385" s="30">
        <v>0.0</v>
      </c>
      <c r="P385" s="30">
        <v>0.0</v>
      </c>
      <c r="Q385" s="30">
        <v>112.9145</v>
      </c>
    </row>
    <row r="386">
      <c r="A386" s="47">
        <v>1.1247875209E10</v>
      </c>
      <c r="B386" s="48">
        <v>46160.92340277778</v>
      </c>
      <c r="C386" s="30">
        <v>3.860665492E9</v>
      </c>
      <c r="D386" s="47" t="s">
        <v>1514</v>
      </c>
      <c r="E386" s="47" t="s">
        <v>356</v>
      </c>
      <c r="F386" s="47" t="s">
        <v>1523</v>
      </c>
      <c r="G386" s="47" t="s">
        <v>1532</v>
      </c>
      <c r="H386" s="30">
        <v>1.0</v>
      </c>
      <c r="I386" s="30">
        <v>729.0</v>
      </c>
      <c r="J386" s="30">
        <v>729.0</v>
      </c>
      <c r="K386" s="30">
        <v>4.95</v>
      </c>
      <c r="L386" s="30">
        <v>36.0855</v>
      </c>
      <c r="M386" s="30">
        <v>580.0</v>
      </c>
      <c r="N386" s="30">
        <v>580.0</v>
      </c>
      <c r="O386" s="30">
        <v>0.0</v>
      </c>
      <c r="P386" s="30">
        <v>0.0</v>
      </c>
      <c r="Q386" s="30">
        <v>112.9145</v>
      </c>
    </row>
    <row r="387">
      <c r="A387" s="47">
        <v>1.1248107492E10</v>
      </c>
      <c r="B387" s="48">
        <v>46160.969502314816</v>
      </c>
      <c r="C387" s="30">
        <v>3.860840262E9</v>
      </c>
      <c r="D387" s="47" t="s">
        <v>1514</v>
      </c>
      <c r="E387" s="47" t="s">
        <v>356</v>
      </c>
      <c r="F387" s="47" t="s">
        <v>1523</v>
      </c>
      <c r="G387" s="47" t="s">
        <v>1532</v>
      </c>
      <c r="H387" s="30">
        <v>1.0</v>
      </c>
      <c r="I387" s="30">
        <v>729.0</v>
      </c>
      <c r="J387" s="30">
        <v>729.0</v>
      </c>
      <c r="K387" s="30">
        <v>4.95</v>
      </c>
      <c r="L387" s="30">
        <v>36.0855</v>
      </c>
      <c r="M387" s="30">
        <v>580.0</v>
      </c>
      <c r="N387" s="30">
        <v>580.0</v>
      </c>
      <c r="O387" s="30">
        <v>0.0</v>
      </c>
      <c r="P387" s="30">
        <v>0.0</v>
      </c>
      <c r="Q387" s="30">
        <v>112.9145</v>
      </c>
    </row>
    <row r="388">
      <c r="A388" s="47">
        <v>1.1248344307E10</v>
      </c>
      <c r="B388" s="48">
        <v>46161.01574074074</v>
      </c>
      <c r="C388" s="30">
        <v>3.861024951E9</v>
      </c>
      <c r="D388" s="47" t="s">
        <v>1514</v>
      </c>
      <c r="E388" s="47" t="s">
        <v>356</v>
      </c>
      <c r="F388" s="47" t="s">
        <v>1523</v>
      </c>
      <c r="G388" s="47" t="s">
        <v>1532</v>
      </c>
      <c r="H388" s="30">
        <v>1.0</v>
      </c>
      <c r="I388" s="30">
        <v>729.0</v>
      </c>
      <c r="J388" s="30">
        <v>729.0</v>
      </c>
      <c r="K388" s="30">
        <v>4.95</v>
      </c>
      <c r="L388" s="30">
        <v>36.0855</v>
      </c>
      <c r="M388" s="30">
        <v>580.0</v>
      </c>
      <c r="N388" s="30">
        <v>580.0</v>
      </c>
      <c r="O388" s="30">
        <v>0.0</v>
      </c>
      <c r="P388" s="30">
        <v>0.0</v>
      </c>
      <c r="Q388" s="30">
        <v>112.9145</v>
      </c>
    </row>
    <row r="389">
      <c r="A389" s="47">
        <v>1.1247541495E10</v>
      </c>
      <c r="B389" s="48">
        <v>46160.8565625</v>
      </c>
      <c r="C389" s="30">
        <v>3.860426702E9</v>
      </c>
      <c r="D389" s="47" t="s">
        <v>1514</v>
      </c>
      <c r="E389" s="47" t="s">
        <v>356</v>
      </c>
      <c r="F389" s="47" t="s">
        <v>1523</v>
      </c>
      <c r="G389" s="47" t="s">
        <v>1532</v>
      </c>
      <c r="H389" s="30">
        <v>1.0</v>
      </c>
      <c r="I389" s="30">
        <v>729.0</v>
      </c>
      <c r="J389" s="30">
        <v>729.0</v>
      </c>
      <c r="K389" s="30">
        <v>4.95</v>
      </c>
      <c r="L389" s="30">
        <v>36.0855</v>
      </c>
      <c r="M389" s="30">
        <v>580.0</v>
      </c>
      <c r="N389" s="30">
        <v>580.0</v>
      </c>
      <c r="O389" s="30">
        <v>0.0</v>
      </c>
      <c r="P389" s="30">
        <v>0.0</v>
      </c>
      <c r="Q389" s="30">
        <v>112.9145</v>
      </c>
    </row>
    <row r="390">
      <c r="A390" s="47">
        <v>1.1246859563E10</v>
      </c>
      <c r="B390" s="48">
        <v>46160.71565972222</v>
      </c>
      <c r="C390" s="30">
        <v>3.859856591E9</v>
      </c>
      <c r="D390" s="47" t="s">
        <v>1514</v>
      </c>
      <c r="E390" s="47" t="s">
        <v>356</v>
      </c>
      <c r="F390" s="47" t="s">
        <v>1523</v>
      </c>
      <c r="G390" s="47" t="s">
        <v>1532</v>
      </c>
      <c r="H390" s="30">
        <v>1.0</v>
      </c>
      <c r="I390" s="30">
        <v>729.0</v>
      </c>
      <c r="J390" s="30">
        <v>729.0</v>
      </c>
      <c r="K390" s="30">
        <v>4.95</v>
      </c>
      <c r="L390" s="30">
        <v>36.0855</v>
      </c>
      <c r="M390" s="30">
        <v>580.0</v>
      </c>
      <c r="N390" s="30">
        <v>580.0</v>
      </c>
      <c r="O390" s="30">
        <v>0.0</v>
      </c>
      <c r="P390" s="30">
        <v>0.0</v>
      </c>
      <c r="Q390" s="30">
        <v>112.9145</v>
      </c>
    </row>
    <row r="391">
      <c r="A391" s="47">
        <v>1.1246935064E10</v>
      </c>
      <c r="B391" s="48">
        <v>46160.73094907407</v>
      </c>
      <c r="C391" s="30">
        <v>3.859923719E9</v>
      </c>
      <c r="D391" s="47" t="s">
        <v>1514</v>
      </c>
      <c r="E391" s="47" t="s">
        <v>356</v>
      </c>
      <c r="F391" s="47" t="s">
        <v>1523</v>
      </c>
      <c r="G391" s="47" t="s">
        <v>1532</v>
      </c>
      <c r="H391" s="30">
        <v>1.0</v>
      </c>
      <c r="I391" s="30">
        <v>729.0</v>
      </c>
      <c r="J391" s="30">
        <v>729.0</v>
      </c>
      <c r="K391" s="30">
        <v>4.95</v>
      </c>
      <c r="L391" s="30">
        <v>36.0855</v>
      </c>
      <c r="M391" s="30">
        <v>580.0</v>
      </c>
      <c r="N391" s="30">
        <v>580.0</v>
      </c>
      <c r="O391" s="30">
        <v>0.0</v>
      </c>
      <c r="P391" s="30">
        <v>0.0</v>
      </c>
      <c r="Q391" s="30">
        <v>112.9145</v>
      </c>
    </row>
    <row r="392">
      <c r="A392" s="47">
        <v>1.1246923084E10</v>
      </c>
      <c r="B392" s="48">
        <v>46160.728425925925</v>
      </c>
      <c r="C392" s="30">
        <v>3.85991441E9</v>
      </c>
      <c r="D392" s="47" t="s">
        <v>1514</v>
      </c>
      <c r="E392" s="47" t="s">
        <v>356</v>
      </c>
      <c r="F392" s="47" t="s">
        <v>1523</v>
      </c>
      <c r="G392" s="47" t="s">
        <v>1532</v>
      </c>
      <c r="H392" s="30">
        <v>1.0</v>
      </c>
      <c r="I392" s="30">
        <v>729.0</v>
      </c>
      <c r="J392" s="30">
        <v>729.0</v>
      </c>
      <c r="K392" s="30">
        <v>4.95</v>
      </c>
      <c r="L392" s="30">
        <v>36.0855</v>
      </c>
      <c r="M392" s="30">
        <v>580.0</v>
      </c>
      <c r="N392" s="30">
        <v>580.0</v>
      </c>
      <c r="O392" s="30">
        <v>0.0</v>
      </c>
      <c r="P392" s="30">
        <v>0.0</v>
      </c>
      <c r="Q392" s="30">
        <v>112.9145</v>
      </c>
    </row>
    <row r="393">
      <c r="A393" s="47">
        <v>1.1246815382E10</v>
      </c>
      <c r="B393" s="48">
        <v>46160.70700231481</v>
      </c>
      <c r="C393" s="30">
        <v>3.859820246E9</v>
      </c>
      <c r="D393" s="47" t="s">
        <v>1514</v>
      </c>
      <c r="E393" s="47" t="s">
        <v>356</v>
      </c>
      <c r="F393" s="47" t="s">
        <v>1523</v>
      </c>
      <c r="G393" s="47" t="s">
        <v>1532</v>
      </c>
      <c r="H393" s="30">
        <v>1.0</v>
      </c>
      <c r="I393" s="30">
        <v>729.0</v>
      </c>
      <c r="J393" s="30">
        <v>729.0</v>
      </c>
      <c r="K393" s="30">
        <v>4.95</v>
      </c>
      <c r="L393" s="30">
        <v>36.0855</v>
      </c>
      <c r="M393" s="30">
        <v>580.0</v>
      </c>
      <c r="N393" s="30">
        <v>580.0</v>
      </c>
      <c r="O393" s="30">
        <v>0.0</v>
      </c>
      <c r="P393" s="30">
        <v>0.0</v>
      </c>
      <c r="Q393" s="30">
        <v>112.9145</v>
      </c>
    </row>
    <row r="394">
      <c r="A394" s="47">
        <v>1.1246678955E10</v>
      </c>
      <c r="B394" s="48">
        <v>46160.68087962963</v>
      </c>
      <c r="C394" s="30">
        <v>3.859701534E9</v>
      </c>
      <c r="D394" s="47" t="s">
        <v>1514</v>
      </c>
      <c r="E394" s="47" t="s">
        <v>356</v>
      </c>
      <c r="F394" s="47" t="s">
        <v>1523</v>
      </c>
      <c r="G394" s="47" t="s">
        <v>1532</v>
      </c>
      <c r="H394" s="30">
        <v>1.0</v>
      </c>
      <c r="I394" s="30">
        <v>729.0</v>
      </c>
      <c r="J394" s="30">
        <v>729.0</v>
      </c>
      <c r="K394" s="30">
        <v>4.95</v>
      </c>
      <c r="L394" s="30">
        <v>36.0855</v>
      </c>
      <c r="M394" s="30">
        <v>580.0</v>
      </c>
      <c r="N394" s="30">
        <v>580.0</v>
      </c>
      <c r="O394" s="30">
        <v>0.0</v>
      </c>
      <c r="P394" s="30">
        <v>0.0</v>
      </c>
      <c r="Q394" s="30">
        <v>112.9145</v>
      </c>
    </row>
    <row r="395">
      <c r="A395" s="47">
        <v>1.1246626772E10</v>
      </c>
      <c r="B395" s="48">
        <v>46160.67119212963</v>
      </c>
      <c r="C395" s="30">
        <v>3.859657812E9</v>
      </c>
      <c r="D395" s="47" t="s">
        <v>1514</v>
      </c>
      <c r="E395" s="47" t="s">
        <v>356</v>
      </c>
      <c r="F395" s="47" t="s">
        <v>1523</v>
      </c>
      <c r="G395" s="47" t="s">
        <v>1532</v>
      </c>
      <c r="H395" s="30">
        <v>1.0</v>
      </c>
      <c r="I395" s="30">
        <v>729.0</v>
      </c>
      <c r="J395" s="30">
        <v>729.0</v>
      </c>
      <c r="K395" s="30">
        <v>4.95</v>
      </c>
      <c r="L395" s="30">
        <v>36.0855</v>
      </c>
      <c r="M395" s="30">
        <v>580.0</v>
      </c>
      <c r="N395" s="30">
        <v>580.0</v>
      </c>
      <c r="O395" s="30">
        <v>0.0</v>
      </c>
      <c r="P395" s="30">
        <v>0.0</v>
      </c>
      <c r="Q395" s="30">
        <v>112.9145</v>
      </c>
    </row>
    <row r="396">
      <c r="A396" s="47">
        <v>1.1246631127E10</v>
      </c>
      <c r="B396" s="48">
        <v>46160.67204861111</v>
      </c>
      <c r="C396" s="30">
        <v>3.859661968E9</v>
      </c>
      <c r="D396" s="47" t="s">
        <v>1514</v>
      </c>
      <c r="E396" s="47" t="s">
        <v>356</v>
      </c>
      <c r="F396" s="47" t="s">
        <v>1523</v>
      </c>
      <c r="G396" s="47" t="s">
        <v>1532</v>
      </c>
      <c r="H396" s="30">
        <v>1.0</v>
      </c>
      <c r="I396" s="30">
        <v>729.0</v>
      </c>
      <c r="J396" s="30">
        <v>729.0</v>
      </c>
      <c r="K396" s="30">
        <v>4.95</v>
      </c>
      <c r="L396" s="30">
        <v>36.0855</v>
      </c>
      <c r="M396" s="30">
        <v>580.0</v>
      </c>
      <c r="N396" s="30">
        <v>580.0</v>
      </c>
      <c r="O396" s="30">
        <v>0.0</v>
      </c>
      <c r="P396" s="30">
        <v>0.0</v>
      </c>
      <c r="Q396" s="30">
        <v>112.9145</v>
      </c>
    </row>
    <row r="397">
      <c r="A397" s="47">
        <v>1.1246222289E10</v>
      </c>
      <c r="B397" s="48">
        <v>46160.590995370374</v>
      </c>
      <c r="C397" s="30">
        <v>3.859313939E9</v>
      </c>
      <c r="D397" s="47" t="s">
        <v>1514</v>
      </c>
      <c r="E397" s="47" t="s">
        <v>356</v>
      </c>
      <c r="F397" s="47" t="s">
        <v>1523</v>
      </c>
      <c r="G397" s="47" t="s">
        <v>1532</v>
      </c>
      <c r="H397" s="30">
        <v>1.0</v>
      </c>
      <c r="I397" s="30">
        <v>729.0</v>
      </c>
      <c r="J397" s="30">
        <v>729.0</v>
      </c>
      <c r="K397" s="30">
        <v>4.95</v>
      </c>
      <c r="L397" s="30">
        <v>36.0855</v>
      </c>
      <c r="M397" s="30">
        <v>580.0</v>
      </c>
      <c r="N397" s="30">
        <v>580.0</v>
      </c>
      <c r="O397" s="30">
        <v>0.0</v>
      </c>
      <c r="P397" s="30">
        <v>0.0</v>
      </c>
      <c r="Q397" s="30">
        <v>112.9145</v>
      </c>
    </row>
    <row r="398">
      <c r="A398" s="47">
        <v>1.1246097383E10</v>
      </c>
      <c r="B398" s="48">
        <v>46160.55767361111</v>
      </c>
      <c r="C398" s="30">
        <v>3.859186289E9</v>
      </c>
      <c r="D398" s="47" t="s">
        <v>1514</v>
      </c>
      <c r="E398" s="47" t="s">
        <v>356</v>
      </c>
      <c r="F398" s="47" t="s">
        <v>1523</v>
      </c>
      <c r="G398" s="47" t="s">
        <v>1532</v>
      </c>
      <c r="H398" s="30">
        <v>1.0</v>
      </c>
      <c r="I398" s="30">
        <v>729.0</v>
      </c>
      <c r="J398" s="30">
        <v>729.0</v>
      </c>
      <c r="K398" s="30">
        <v>4.95</v>
      </c>
      <c r="L398" s="30">
        <v>36.0855</v>
      </c>
      <c r="M398" s="30">
        <v>580.0</v>
      </c>
      <c r="N398" s="30">
        <v>580.0</v>
      </c>
      <c r="O398" s="30">
        <v>0.0</v>
      </c>
      <c r="P398" s="30">
        <v>0.0</v>
      </c>
      <c r="Q398" s="30">
        <v>112.9145</v>
      </c>
    </row>
    <row r="399">
      <c r="A399" s="47">
        <v>1.1246511287E10</v>
      </c>
      <c r="B399" s="48">
        <v>46160.649143518516</v>
      </c>
      <c r="C399" s="30">
        <v>3.85955913E9</v>
      </c>
      <c r="D399" s="47" t="s">
        <v>1514</v>
      </c>
      <c r="E399" s="47" t="s">
        <v>356</v>
      </c>
      <c r="F399" s="47" t="s">
        <v>1523</v>
      </c>
      <c r="G399" s="47" t="s">
        <v>1532</v>
      </c>
      <c r="H399" s="30">
        <v>1.0</v>
      </c>
      <c r="I399" s="30">
        <v>729.0</v>
      </c>
      <c r="J399" s="30">
        <v>729.0</v>
      </c>
      <c r="K399" s="30">
        <v>4.95</v>
      </c>
      <c r="L399" s="30">
        <v>36.0855</v>
      </c>
      <c r="M399" s="30">
        <v>580.0</v>
      </c>
      <c r="N399" s="30">
        <v>580.0</v>
      </c>
      <c r="O399" s="30">
        <v>0.0</v>
      </c>
      <c r="P399" s="30">
        <v>0.0</v>
      </c>
      <c r="Q399" s="30">
        <v>112.9145</v>
      </c>
    </row>
    <row r="400">
      <c r="A400" s="47">
        <v>1.1246436496E10</v>
      </c>
      <c r="B400" s="48">
        <v>46160.634675925925</v>
      </c>
      <c r="C400" s="30">
        <v>3.859500321E9</v>
      </c>
      <c r="D400" s="47" t="s">
        <v>1514</v>
      </c>
      <c r="E400" s="47" t="s">
        <v>356</v>
      </c>
      <c r="F400" s="47" t="s">
        <v>1523</v>
      </c>
      <c r="G400" s="47" t="s">
        <v>1532</v>
      </c>
      <c r="H400" s="30">
        <v>1.0</v>
      </c>
      <c r="I400" s="30">
        <v>729.0</v>
      </c>
      <c r="J400" s="30">
        <v>729.0</v>
      </c>
      <c r="K400" s="30">
        <v>4.95</v>
      </c>
      <c r="L400" s="30">
        <v>36.0855</v>
      </c>
      <c r="M400" s="30">
        <v>580.0</v>
      </c>
      <c r="N400" s="30">
        <v>580.0</v>
      </c>
      <c r="O400" s="30">
        <v>0.0</v>
      </c>
      <c r="P400" s="30">
        <v>0.0</v>
      </c>
      <c r="Q400" s="30">
        <v>112.9145</v>
      </c>
    </row>
    <row r="401">
      <c r="A401" s="47">
        <v>1.1248518374E10</v>
      </c>
      <c r="B401" s="48">
        <v>46161.050104166665</v>
      </c>
      <c r="C401" s="30">
        <v>3.861180427E9</v>
      </c>
      <c r="D401" s="47" t="s">
        <v>1514</v>
      </c>
      <c r="E401" s="47">
        <v>7.613032816536E12</v>
      </c>
      <c r="F401" s="47" t="s">
        <v>1523</v>
      </c>
      <c r="G401" s="47" t="s">
        <v>1533</v>
      </c>
      <c r="H401" s="30">
        <v>3.0</v>
      </c>
      <c r="I401" s="30">
        <v>729.0</v>
      </c>
      <c r="J401" s="30">
        <v>2187.0</v>
      </c>
      <c r="K401" s="30">
        <v>4.41</v>
      </c>
      <c r="L401" s="30">
        <v>96.4467</v>
      </c>
      <c r="M401" s="30">
        <v>580.0</v>
      </c>
      <c r="N401" s="30">
        <v>1740.0</v>
      </c>
      <c r="O401" s="30">
        <v>0.0</v>
      </c>
      <c r="P401" s="30">
        <v>0.0</v>
      </c>
      <c r="Q401" s="30">
        <v>350.5533</v>
      </c>
    </row>
    <row r="402">
      <c r="A402" s="47">
        <v>1.124751981E10</v>
      </c>
      <c r="B402" s="48">
        <v>46160.85189814815</v>
      </c>
      <c r="C402" s="30">
        <v>3.860407667E9</v>
      </c>
      <c r="D402" s="47" t="s">
        <v>1514</v>
      </c>
      <c r="E402" s="47">
        <v>7.613032816536E12</v>
      </c>
      <c r="F402" s="47" t="s">
        <v>1523</v>
      </c>
      <c r="G402" s="47" t="s">
        <v>1533</v>
      </c>
      <c r="H402" s="30">
        <v>2.0</v>
      </c>
      <c r="I402" s="30">
        <v>729.0</v>
      </c>
      <c r="J402" s="30">
        <v>1458.0</v>
      </c>
      <c r="K402" s="30">
        <v>4.41</v>
      </c>
      <c r="L402" s="30">
        <v>64.29780000000001</v>
      </c>
      <c r="M402" s="30">
        <v>580.0</v>
      </c>
      <c r="N402" s="30">
        <v>1160.0</v>
      </c>
      <c r="O402" s="30">
        <v>0.0</v>
      </c>
      <c r="P402" s="30">
        <v>0.0</v>
      </c>
      <c r="Q402" s="30">
        <v>233.7022</v>
      </c>
    </row>
    <row r="403">
      <c r="A403" s="47">
        <v>1.1248618014E10</v>
      </c>
      <c r="B403" s="48">
        <v>46161.07034722222</v>
      </c>
      <c r="C403" s="30">
        <v>3.861270722E9</v>
      </c>
      <c r="D403" s="47" t="s">
        <v>1514</v>
      </c>
      <c r="E403" s="47">
        <v>7.613032816536E12</v>
      </c>
      <c r="F403" s="47" t="s">
        <v>1523</v>
      </c>
      <c r="G403" s="47" t="s">
        <v>1533</v>
      </c>
      <c r="H403" s="30">
        <v>2.0</v>
      </c>
      <c r="I403" s="30">
        <v>729.0</v>
      </c>
      <c r="J403" s="30">
        <v>1458.0</v>
      </c>
      <c r="K403" s="30">
        <v>4.41</v>
      </c>
      <c r="L403" s="30">
        <v>64.29780000000001</v>
      </c>
      <c r="M403" s="30">
        <v>580.0</v>
      </c>
      <c r="N403" s="30">
        <v>1160.0</v>
      </c>
      <c r="O403" s="30">
        <v>0.0</v>
      </c>
      <c r="P403" s="30">
        <v>0.0</v>
      </c>
      <c r="Q403" s="30">
        <v>233.7022</v>
      </c>
    </row>
    <row r="404">
      <c r="A404" s="47">
        <v>1.1247495451E10</v>
      </c>
      <c r="B404" s="48">
        <v>46160.84675925926</v>
      </c>
      <c r="C404" s="30">
        <v>3.860387148E9</v>
      </c>
      <c r="D404" s="47" t="s">
        <v>1514</v>
      </c>
      <c r="E404" s="47">
        <v>7.613032816536E12</v>
      </c>
      <c r="F404" s="47" t="s">
        <v>1523</v>
      </c>
      <c r="G404" s="47" t="s">
        <v>1533</v>
      </c>
      <c r="H404" s="30">
        <v>1.0</v>
      </c>
      <c r="I404" s="30">
        <v>729.0</v>
      </c>
      <c r="J404" s="30">
        <v>729.0</v>
      </c>
      <c r="K404" s="30">
        <v>4.41</v>
      </c>
      <c r="L404" s="30">
        <v>32.148900000000005</v>
      </c>
      <c r="M404" s="30">
        <v>580.0</v>
      </c>
      <c r="N404" s="30">
        <v>580.0</v>
      </c>
      <c r="O404" s="30">
        <v>0.0</v>
      </c>
      <c r="P404" s="30">
        <v>0.0</v>
      </c>
      <c r="Q404" s="30">
        <v>116.8511</v>
      </c>
    </row>
    <row r="405">
      <c r="A405" s="47">
        <v>1.1247295604E10</v>
      </c>
      <c r="B405" s="48">
        <v>46160.805243055554</v>
      </c>
      <c r="C405" s="30">
        <v>3.860230586E9</v>
      </c>
      <c r="D405" s="47" t="s">
        <v>1514</v>
      </c>
      <c r="E405" s="47">
        <v>7.613032816536E12</v>
      </c>
      <c r="F405" s="47" t="s">
        <v>1523</v>
      </c>
      <c r="G405" s="47" t="s">
        <v>1533</v>
      </c>
      <c r="H405" s="30">
        <v>2.0</v>
      </c>
      <c r="I405" s="30">
        <v>729.0</v>
      </c>
      <c r="J405" s="30">
        <v>1458.0</v>
      </c>
      <c r="K405" s="30">
        <v>4.41</v>
      </c>
      <c r="L405" s="30">
        <v>64.29780000000001</v>
      </c>
      <c r="M405" s="30">
        <v>580.0</v>
      </c>
      <c r="N405" s="30">
        <v>1160.0</v>
      </c>
      <c r="O405" s="30">
        <v>0.0</v>
      </c>
      <c r="P405" s="30">
        <v>0.0</v>
      </c>
      <c r="Q405" s="30">
        <v>233.7022</v>
      </c>
    </row>
    <row r="406">
      <c r="A406" s="47">
        <v>1.1246085974E10</v>
      </c>
      <c r="B406" s="48">
        <v>46160.55425925926</v>
      </c>
      <c r="C406" s="30">
        <v>3.859174599E9</v>
      </c>
      <c r="D406" s="47" t="s">
        <v>1514</v>
      </c>
      <c r="E406" s="47">
        <v>7.613032816536E12</v>
      </c>
      <c r="F406" s="47" t="s">
        <v>1523</v>
      </c>
      <c r="G406" s="47" t="s">
        <v>1533</v>
      </c>
      <c r="H406" s="30">
        <v>2.0</v>
      </c>
      <c r="I406" s="30">
        <v>729.0</v>
      </c>
      <c r="J406" s="30">
        <v>1458.0</v>
      </c>
      <c r="K406" s="30">
        <v>4.41</v>
      </c>
      <c r="L406" s="30">
        <v>64.29780000000001</v>
      </c>
      <c r="M406" s="30">
        <v>580.0</v>
      </c>
      <c r="N406" s="30">
        <v>1160.0</v>
      </c>
      <c r="O406" s="30">
        <v>0.0</v>
      </c>
      <c r="P406" s="30">
        <v>0.0</v>
      </c>
      <c r="Q406" s="30">
        <v>233.7022</v>
      </c>
    </row>
    <row r="407">
      <c r="A407" s="47">
        <v>1.1246231602E10</v>
      </c>
      <c r="B407" s="48">
        <v>46160.59324074074</v>
      </c>
      <c r="C407" s="30">
        <v>3.85932665E9</v>
      </c>
      <c r="D407" s="47" t="s">
        <v>1514</v>
      </c>
      <c r="E407" s="47">
        <v>7.613032816536E12</v>
      </c>
      <c r="F407" s="47" t="s">
        <v>1523</v>
      </c>
      <c r="G407" s="47" t="s">
        <v>1533</v>
      </c>
      <c r="H407" s="30">
        <v>4.0</v>
      </c>
      <c r="I407" s="30">
        <v>729.0</v>
      </c>
      <c r="J407" s="30">
        <v>2916.0</v>
      </c>
      <c r="K407" s="30">
        <v>4.41</v>
      </c>
      <c r="L407" s="30">
        <v>128.59560000000002</v>
      </c>
      <c r="M407" s="30">
        <v>580.0</v>
      </c>
      <c r="N407" s="30">
        <v>2320.0</v>
      </c>
      <c r="O407" s="30">
        <v>0.0</v>
      </c>
      <c r="P407" s="30">
        <v>0.0</v>
      </c>
      <c r="Q407" s="30">
        <v>467.4044</v>
      </c>
    </row>
    <row r="408">
      <c r="A408" s="47">
        <v>1.1248136937E10</v>
      </c>
      <c r="B408" s="48">
        <v>46160.975497685184</v>
      </c>
      <c r="C408" s="30">
        <v>3.860879148E9</v>
      </c>
      <c r="D408" s="47" t="s">
        <v>1514</v>
      </c>
      <c r="E408" s="47">
        <v>7.613032816536E12</v>
      </c>
      <c r="F408" s="47" t="s">
        <v>1523</v>
      </c>
      <c r="G408" s="47" t="s">
        <v>1533</v>
      </c>
      <c r="H408" s="30">
        <v>4.0</v>
      </c>
      <c r="I408" s="30">
        <v>729.0</v>
      </c>
      <c r="J408" s="30">
        <v>2916.0</v>
      </c>
      <c r="K408" s="30">
        <v>4.41</v>
      </c>
      <c r="L408" s="30">
        <v>128.59560000000002</v>
      </c>
      <c r="M408" s="30">
        <v>580.0</v>
      </c>
      <c r="N408" s="30">
        <v>2320.0</v>
      </c>
      <c r="O408" s="30">
        <v>0.0</v>
      </c>
      <c r="P408" s="30">
        <v>0.0</v>
      </c>
      <c r="Q408" s="30">
        <v>467.4044</v>
      </c>
    </row>
    <row r="409">
      <c r="A409" s="47">
        <v>1.1246080169E10</v>
      </c>
      <c r="B409" s="48">
        <v>46160.552511574075</v>
      </c>
      <c r="C409" s="30">
        <v>3.859168488E9</v>
      </c>
      <c r="D409" s="47" t="s">
        <v>1514</v>
      </c>
      <c r="E409" s="47">
        <v>7.613032816536E12</v>
      </c>
      <c r="F409" s="47" t="s">
        <v>1523</v>
      </c>
      <c r="G409" s="47" t="s">
        <v>1533</v>
      </c>
      <c r="H409" s="30">
        <v>2.0</v>
      </c>
      <c r="I409" s="30">
        <v>729.0</v>
      </c>
      <c r="J409" s="30">
        <v>1458.0</v>
      </c>
      <c r="K409" s="30">
        <v>4.41</v>
      </c>
      <c r="L409" s="30">
        <v>64.29780000000001</v>
      </c>
      <c r="M409" s="30">
        <v>580.0</v>
      </c>
      <c r="N409" s="30">
        <v>1160.0</v>
      </c>
      <c r="O409" s="30">
        <v>0.0</v>
      </c>
      <c r="P409" s="30">
        <v>0.0</v>
      </c>
      <c r="Q409" s="30">
        <v>233.7022</v>
      </c>
    </row>
    <row r="410">
      <c r="A410" s="47">
        <v>1.1248444508E10</v>
      </c>
      <c r="B410" s="48">
        <v>46161.035775462966</v>
      </c>
      <c r="C410" s="30">
        <v>3.861114477E9</v>
      </c>
      <c r="D410" s="47" t="s">
        <v>1514</v>
      </c>
      <c r="E410" s="47">
        <v>7.613032816536E12</v>
      </c>
      <c r="F410" s="47" t="s">
        <v>1523</v>
      </c>
      <c r="G410" s="47" t="s">
        <v>1533</v>
      </c>
      <c r="H410" s="30">
        <v>2.0</v>
      </c>
      <c r="I410" s="30">
        <v>729.0</v>
      </c>
      <c r="J410" s="30">
        <v>1458.0</v>
      </c>
      <c r="K410" s="30">
        <v>4.41</v>
      </c>
      <c r="L410" s="30">
        <v>64.29780000000001</v>
      </c>
      <c r="M410" s="30">
        <v>580.0</v>
      </c>
      <c r="N410" s="30">
        <v>1160.0</v>
      </c>
      <c r="O410" s="30">
        <v>0.0</v>
      </c>
      <c r="P410" s="30">
        <v>0.0</v>
      </c>
      <c r="Q410" s="30">
        <v>233.7022</v>
      </c>
    </row>
    <row r="411">
      <c r="A411" s="47">
        <v>1.1248487102E10</v>
      </c>
      <c r="B411" s="48">
        <v>46161.044224537036</v>
      </c>
      <c r="C411" s="30">
        <v>3.861151336E9</v>
      </c>
      <c r="D411" s="47" t="s">
        <v>1514</v>
      </c>
      <c r="E411" s="47">
        <v>7.613032816536E12</v>
      </c>
      <c r="F411" s="47" t="s">
        <v>1523</v>
      </c>
      <c r="G411" s="47" t="s">
        <v>1533</v>
      </c>
      <c r="H411" s="30">
        <v>1.0</v>
      </c>
      <c r="I411" s="30">
        <v>729.0</v>
      </c>
      <c r="J411" s="30">
        <v>729.0</v>
      </c>
      <c r="K411" s="30">
        <v>4.41</v>
      </c>
      <c r="L411" s="30">
        <v>32.148900000000005</v>
      </c>
      <c r="M411" s="30">
        <v>580.0</v>
      </c>
      <c r="N411" s="30">
        <v>580.0</v>
      </c>
      <c r="O411" s="30">
        <v>0.0</v>
      </c>
      <c r="P411" s="30">
        <v>0.0</v>
      </c>
      <c r="Q411" s="30">
        <v>116.8511</v>
      </c>
    </row>
    <row r="412">
      <c r="A412" s="47">
        <v>1.1247016925E10</v>
      </c>
      <c r="B412" s="48">
        <v>46160.74784722222</v>
      </c>
      <c r="C412" s="30">
        <v>3.859995563E9</v>
      </c>
      <c r="D412" s="47" t="s">
        <v>1514</v>
      </c>
      <c r="E412" s="47">
        <v>7.613032816536E12</v>
      </c>
      <c r="F412" s="47" t="s">
        <v>1523</v>
      </c>
      <c r="G412" s="47" t="s">
        <v>1533</v>
      </c>
      <c r="H412" s="30">
        <v>2.0</v>
      </c>
      <c r="I412" s="30">
        <v>729.0</v>
      </c>
      <c r="J412" s="30">
        <v>1458.0</v>
      </c>
      <c r="K412" s="30">
        <v>4.41</v>
      </c>
      <c r="L412" s="30">
        <v>64.29780000000001</v>
      </c>
      <c r="M412" s="30">
        <v>580.0</v>
      </c>
      <c r="N412" s="30">
        <v>1160.0</v>
      </c>
      <c r="O412" s="30">
        <v>0.0</v>
      </c>
      <c r="P412" s="30">
        <v>0.0</v>
      </c>
      <c r="Q412" s="30">
        <v>233.7022</v>
      </c>
    </row>
    <row r="413">
      <c r="A413" s="47">
        <v>1.1248406304E10</v>
      </c>
      <c r="B413" s="48">
        <v>46161.02795138889</v>
      </c>
      <c r="C413" s="30">
        <v>3.861079233E9</v>
      </c>
      <c r="D413" s="47" t="s">
        <v>1514</v>
      </c>
      <c r="E413" s="47">
        <v>7.613032816536E12</v>
      </c>
      <c r="F413" s="47" t="s">
        <v>1523</v>
      </c>
      <c r="G413" s="47" t="s">
        <v>1533</v>
      </c>
      <c r="H413" s="30">
        <v>1.0</v>
      </c>
      <c r="I413" s="30">
        <v>729.0</v>
      </c>
      <c r="J413" s="30">
        <v>729.0</v>
      </c>
      <c r="K413" s="30">
        <v>4.41</v>
      </c>
      <c r="L413" s="30">
        <v>32.148900000000005</v>
      </c>
      <c r="M413" s="30">
        <v>580.0</v>
      </c>
      <c r="N413" s="30">
        <v>580.0</v>
      </c>
      <c r="O413" s="30">
        <v>0.0</v>
      </c>
      <c r="P413" s="30">
        <v>0.0</v>
      </c>
      <c r="Q413" s="30">
        <v>116.8511</v>
      </c>
    </row>
    <row r="414">
      <c r="A414" s="47">
        <v>1.1246049087E10</v>
      </c>
      <c r="B414" s="48">
        <v>46160.54319444444</v>
      </c>
      <c r="C414" s="30">
        <v>3.859134047E9</v>
      </c>
      <c r="D414" s="47" t="s">
        <v>1514</v>
      </c>
      <c r="E414" s="47">
        <v>7.613032816536E12</v>
      </c>
      <c r="F414" s="47" t="s">
        <v>1523</v>
      </c>
      <c r="G414" s="47" t="s">
        <v>1533</v>
      </c>
      <c r="H414" s="30">
        <v>2.0</v>
      </c>
      <c r="I414" s="30">
        <v>729.0</v>
      </c>
      <c r="J414" s="30">
        <v>1458.0</v>
      </c>
      <c r="K414" s="30">
        <v>4.41</v>
      </c>
      <c r="L414" s="30">
        <v>64.29780000000001</v>
      </c>
      <c r="M414" s="30">
        <v>580.0</v>
      </c>
      <c r="N414" s="30">
        <v>1160.0</v>
      </c>
      <c r="O414" s="30">
        <v>0.0</v>
      </c>
      <c r="P414" s="30">
        <v>0.0</v>
      </c>
      <c r="Q414" s="30">
        <v>233.7022</v>
      </c>
    </row>
    <row r="415">
      <c r="A415" s="47">
        <v>1.1246376001E10</v>
      </c>
      <c r="B415" s="48">
        <v>46160.62293981481</v>
      </c>
      <c r="C415" s="30">
        <v>3.859450518E9</v>
      </c>
      <c r="D415" s="47" t="s">
        <v>1514</v>
      </c>
      <c r="E415" s="47">
        <v>7.613032816536E12</v>
      </c>
      <c r="F415" s="47" t="s">
        <v>1523</v>
      </c>
      <c r="G415" s="47" t="s">
        <v>1533</v>
      </c>
      <c r="H415" s="30">
        <v>2.0</v>
      </c>
      <c r="I415" s="30">
        <v>729.0</v>
      </c>
      <c r="J415" s="30">
        <v>1458.0</v>
      </c>
      <c r="K415" s="30">
        <v>4.41</v>
      </c>
      <c r="L415" s="30">
        <v>64.29780000000001</v>
      </c>
      <c r="M415" s="30">
        <v>580.0</v>
      </c>
      <c r="N415" s="30">
        <v>1160.0</v>
      </c>
      <c r="O415" s="30">
        <v>0.0</v>
      </c>
      <c r="P415" s="30">
        <v>0.0</v>
      </c>
      <c r="Q415" s="30">
        <v>233.7022</v>
      </c>
    </row>
    <row r="416">
      <c r="A416" s="47">
        <v>1.1248308276E10</v>
      </c>
      <c r="B416" s="48">
        <v>46161.008935185186</v>
      </c>
      <c r="C416" s="30">
        <v>3.860998989E9</v>
      </c>
      <c r="D416" s="47" t="s">
        <v>1514</v>
      </c>
      <c r="E416" s="47">
        <v>7.613032816536E12</v>
      </c>
      <c r="F416" s="47" t="s">
        <v>1523</v>
      </c>
      <c r="G416" s="47" t="s">
        <v>1533</v>
      </c>
      <c r="H416" s="30">
        <v>1.0</v>
      </c>
      <c r="I416" s="30">
        <v>729.0</v>
      </c>
      <c r="J416" s="30">
        <v>729.0</v>
      </c>
      <c r="K416" s="30">
        <v>4.41</v>
      </c>
      <c r="L416" s="30">
        <v>32.148900000000005</v>
      </c>
      <c r="M416" s="30">
        <v>580.0</v>
      </c>
      <c r="N416" s="30">
        <v>580.0</v>
      </c>
      <c r="O416" s="30">
        <v>0.0</v>
      </c>
      <c r="P416" s="30">
        <v>0.0</v>
      </c>
      <c r="Q416" s="30">
        <v>116.8511</v>
      </c>
    </row>
    <row r="417">
      <c r="A417" s="47">
        <v>1.1247958854E10</v>
      </c>
      <c r="B417" s="48">
        <v>46160.94017361111</v>
      </c>
      <c r="C417" s="30">
        <v>3.860729278E9</v>
      </c>
      <c r="D417" s="47" t="s">
        <v>1514</v>
      </c>
      <c r="E417" s="47">
        <v>7.613032816536E12</v>
      </c>
      <c r="F417" s="47" t="s">
        <v>1523</v>
      </c>
      <c r="G417" s="47" t="s">
        <v>1533</v>
      </c>
      <c r="H417" s="30">
        <v>1.0</v>
      </c>
      <c r="I417" s="30">
        <v>729.0</v>
      </c>
      <c r="J417" s="30">
        <v>729.0</v>
      </c>
      <c r="K417" s="30">
        <v>4.41</v>
      </c>
      <c r="L417" s="30">
        <v>32.148900000000005</v>
      </c>
      <c r="M417" s="30">
        <v>580.0</v>
      </c>
      <c r="N417" s="30">
        <v>580.0</v>
      </c>
      <c r="O417" s="30">
        <v>0.0</v>
      </c>
      <c r="P417" s="30">
        <v>0.0</v>
      </c>
      <c r="Q417" s="30">
        <v>116.8511</v>
      </c>
    </row>
    <row r="418">
      <c r="A418" s="47">
        <v>1.1248293601E10</v>
      </c>
      <c r="B418" s="48">
        <v>46161.00603009259</v>
      </c>
      <c r="C418" s="30">
        <v>3.860985863E9</v>
      </c>
      <c r="D418" s="47" t="s">
        <v>1514</v>
      </c>
      <c r="E418" s="47">
        <v>7.613032816536E12</v>
      </c>
      <c r="F418" s="47" t="s">
        <v>1523</v>
      </c>
      <c r="G418" s="47" t="s">
        <v>1533</v>
      </c>
      <c r="H418" s="30">
        <v>1.0</v>
      </c>
      <c r="I418" s="30">
        <v>729.0</v>
      </c>
      <c r="J418" s="30">
        <v>729.0</v>
      </c>
      <c r="K418" s="30">
        <v>4.41</v>
      </c>
      <c r="L418" s="30">
        <v>32.148900000000005</v>
      </c>
      <c r="M418" s="30">
        <v>580.0</v>
      </c>
      <c r="N418" s="30">
        <v>580.0</v>
      </c>
      <c r="O418" s="30">
        <v>0.0</v>
      </c>
      <c r="P418" s="30">
        <v>0.0</v>
      </c>
      <c r="Q418" s="30">
        <v>116.8511</v>
      </c>
    </row>
    <row r="419">
      <c r="A419" s="47">
        <v>1.1247416304E10</v>
      </c>
      <c r="B419" s="48">
        <v>46160.83049768519</v>
      </c>
      <c r="C419" s="30">
        <v>3.860326639E9</v>
      </c>
      <c r="D419" s="47" t="s">
        <v>1514</v>
      </c>
      <c r="E419" s="47">
        <v>7.613032816536E12</v>
      </c>
      <c r="F419" s="47" t="s">
        <v>1523</v>
      </c>
      <c r="G419" s="47" t="s">
        <v>1533</v>
      </c>
      <c r="H419" s="30">
        <v>1.0</v>
      </c>
      <c r="I419" s="30">
        <v>729.0</v>
      </c>
      <c r="J419" s="30">
        <v>729.0</v>
      </c>
      <c r="K419" s="30">
        <v>4.41</v>
      </c>
      <c r="L419" s="30">
        <v>32.148900000000005</v>
      </c>
      <c r="M419" s="30">
        <v>580.0</v>
      </c>
      <c r="N419" s="30">
        <v>580.0</v>
      </c>
      <c r="O419" s="30">
        <v>0.0</v>
      </c>
      <c r="P419" s="30">
        <v>0.0</v>
      </c>
      <c r="Q419" s="30">
        <v>116.8511</v>
      </c>
    </row>
    <row r="420">
      <c r="A420" s="47">
        <v>1.1248644943E10</v>
      </c>
      <c r="B420" s="48">
        <v>46161.07554398148</v>
      </c>
      <c r="C420" s="30">
        <v>3.861296916E9</v>
      </c>
      <c r="D420" s="47" t="s">
        <v>1514</v>
      </c>
      <c r="E420" s="47">
        <v>7.613032816536E12</v>
      </c>
      <c r="F420" s="47" t="s">
        <v>1523</v>
      </c>
      <c r="G420" s="47" t="s">
        <v>1533</v>
      </c>
      <c r="H420" s="30">
        <v>1.0</v>
      </c>
      <c r="I420" s="30">
        <v>729.0</v>
      </c>
      <c r="J420" s="30">
        <v>729.0</v>
      </c>
      <c r="K420" s="30">
        <v>4.41</v>
      </c>
      <c r="L420" s="30">
        <v>32.148900000000005</v>
      </c>
      <c r="M420" s="30">
        <v>580.0</v>
      </c>
      <c r="N420" s="30">
        <v>580.0</v>
      </c>
      <c r="O420" s="30">
        <v>0.0</v>
      </c>
      <c r="P420" s="30">
        <v>0.0</v>
      </c>
      <c r="Q420" s="30">
        <v>116.8511</v>
      </c>
    </row>
    <row r="421">
      <c r="A421" s="47">
        <v>1.1247885751E10</v>
      </c>
      <c r="B421" s="48">
        <v>46160.92559027778</v>
      </c>
      <c r="C421" s="30">
        <v>3.860672849E9</v>
      </c>
      <c r="D421" s="47" t="s">
        <v>1514</v>
      </c>
      <c r="E421" s="47">
        <v>7.613032816536E12</v>
      </c>
      <c r="F421" s="47" t="s">
        <v>1523</v>
      </c>
      <c r="G421" s="47" t="s">
        <v>1533</v>
      </c>
      <c r="H421" s="30">
        <v>1.0</v>
      </c>
      <c r="I421" s="30">
        <v>729.0</v>
      </c>
      <c r="J421" s="30">
        <v>729.0</v>
      </c>
      <c r="K421" s="30">
        <v>4.41</v>
      </c>
      <c r="L421" s="30">
        <v>32.148900000000005</v>
      </c>
      <c r="M421" s="30">
        <v>580.0</v>
      </c>
      <c r="N421" s="30">
        <v>580.0</v>
      </c>
      <c r="O421" s="30">
        <v>0.0</v>
      </c>
      <c r="P421" s="30">
        <v>0.0</v>
      </c>
      <c r="Q421" s="30">
        <v>116.8511</v>
      </c>
    </row>
    <row r="422">
      <c r="A422" s="47">
        <v>1.1247349603E10</v>
      </c>
      <c r="B422" s="48">
        <v>46160.816412037035</v>
      </c>
      <c r="C422" s="30">
        <v>3.860274169E9</v>
      </c>
      <c r="D422" s="47" t="s">
        <v>1514</v>
      </c>
      <c r="E422" s="47">
        <v>7.613032816536E12</v>
      </c>
      <c r="F422" s="47" t="s">
        <v>1523</v>
      </c>
      <c r="G422" s="47" t="s">
        <v>1533</v>
      </c>
      <c r="H422" s="30">
        <v>1.0</v>
      </c>
      <c r="I422" s="30">
        <v>729.0</v>
      </c>
      <c r="J422" s="30">
        <v>729.0</v>
      </c>
      <c r="K422" s="30">
        <v>4.41</v>
      </c>
      <c r="L422" s="30">
        <v>32.148900000000005</v>
      </c>
      <c r="M422" s="30">
        <v>580.0</v>
      </c>
      <c r="N422" s="30">
        <v>580.0</v>
      </c>
      <c r="O422" s="30">
        <v>0.0</v>
      </c>
      <c r="P422" s="30">
        <v>0.0</v>
      </c>
      <c r="Q422" s="30">
        <v>116.8511</v>
      </c>
    </row>
    <row r="423">
      <c r="A423" s="47">
        <v>1.1247920605E10</v>
      </c>
      <c r="B423" s="48">
        <v>46160.93230324074</v>
      </c>
      <c r="C423" s="30">
        <v>3.860700429E9</v>
      </c>
      <c r="D423" s="47" t="s">
        <v>1514</v>
      </c>
      <c r="E423" s="47">
        <v>7.613032816536E12</v>
      </c>
      <c r="F423" s="47" t="s">
        <v>1523</v>
      </c>
      <c r="G423" s="47" t="s">
        <v>1533</v>
      </c>
      <c r="H423" s="30">
        <v>1.0</v>
      </c>
      <c r="I423" s="30">
        <v>729.0</v>
      </c>
      <c r="J423" s="30">
        <v>729.0</v>
      </c>
      <c r="K423" s="30">
        <v>4.41</v>
      </c>
      <c r="L423" s="30">
        <v>32.148900000000005</v>
      </c>
      <c r="M423" s="30">
        <v>580.0</v>
      </c>
      <c r="N423" s="30">
        <v>580.0</v>
      </c>
      <c r="O423" s="30">
        <v>0.0</v>
      </c>
      <c r="P423" s="30">
        <v>0.0</v>
      </c>
      <c r="Q423" s="30">
        <v>116.8511</v>
      </c>
    </row>
    <row r="424">
      <c r="A424" s="47">
        <v>1.1247942891E10</v>
      </c>
      <c r="B424" s="48">
        <v>46160.936898148146</v>
      </c>
      <c r="C424" s="30">
        <v>3.860717022E9</v>
      </c>
      <c r="D424" s="47" t="s">
        <v>1514</v>
      </c>
      <c r="E424" s="47">
        <v>7.613032816536E12</v>
      </c>
      <c r="F424" s="47" t="s">
        <v>1523</v>
      </c>
      <c r="G424" s="47" t="s">
        <v>1533</v>
      </c>
      <c r="H424" s="30">
        <v>1.0</v>
      </c>
      <c r="I424" s="30">
        <v>729.0</v>
      </c>
      <c r="J424" s="30">
        <v>729.0</v>
      </c>
      <c r="K424" s="30">
        <v>4.41</v>
      </c>
      <c r="L424" s="30">
        <v>32.148900000000005</v>
      </c>
      <c r="M424" s="30">
        <v>580.0</v>
      </c>
      <c r="N424" s="30">
        <v>580.0</v>
      </c>
      <c r="O424" s="30">
        <v>0.0</v>
      </c>
      <c r="P424" s="30">
        <v>0.0</v>
      </c>
      <c r="Q424" s="30">
        <v>116.8511</v>
      </c>
    </row>
    <row r="425">
      <c r="A425" s="47">
        <v>1.1248220213E10</v>
      </c>
      <c r="B425" s="48">
        <v>46160.99184027778</v>
      </c>
      <c r="C425" s="30">
        <v>3.860926194E9</v>
      </c>
      <c r="D425" s="47" t="s">
        <v>1514</v>
      </c>
      <c r="E425" s="47">
        <v>7.613032816536E12</v>
      </c>
      <c r="F425" s="47" t="s">
        <v>1523</v>
      </c>
      <c r="G425" s="47" t="s">
        <v>1533</v>
      </c>
      <c r="H425" s="30">
        <v>1.0</v>
      </c>
      <c r="I425" s="30">
        <v>729.0</v>
      </c>
      <c r="J425" s="30">
        <v>729.0</v>
      </c>
      <c r="K425" s="30">
        <v>4.41</v>
      </c>
      <c r="L425" s="30">
        <v>32.148900000000005</v>
      </c>
      <c r="M425" s="30">
        <v>580.0</v>
      </c>
      <c r="N425" s="30">
        <v>580.0</v>
      </c>
      <c r="O425" s="30">
        <v>0.0</v>
      </c>
      <c r="P425" s="30">
        <v>0.0</v>
      </c>
      <c r="Q425" s="30">
        <v>116.8511</v>
      </c>
    </row>
    <row r="426">
      <c r="A426" s="47">
        <v>1.1248070535E10</v>
      </c>
      <c r="B426" s="48">
        <v>46160.96236111111</v>
      </c>
      <c r="C426" s="30">
        <v>3.860810874E9</v>
      </c>
      <c r="D426" s="47" t="s">
        <v>1514</v>
      </c>
      <c r="E426" s="47">
        <v>7.613032816536E12</v>
      </c>
      <c r="F426" s="47" t="s">
        <v>1523</v>
      </c>
      <c r="G426" s="47" t="s">
        <v>1533</v>
      </c>
      <c r="H426" s="30">
        <v>1.0</v>
      </c>
      <c r="I426" s="30">
        <v>729.0</v>
      </c>
      <c r="J426" s="30">
        <v>729.0</v>
      </c>
      <c r="K426" s="30">
        <v>4.41</v>
      </c>
      <c r="L426" s="30">
        <v>32.148900000000005</v>
      </c>
      <c r="M426" s="30">
        <v>580.0</v>
      </c>
      <c r="N426" s="30">
        <v>580.0</v>
      </c>
      <c r="O426" s="30">
        <v>0.0</v>
      </c>
      <c r="P426" s="30">
        <v>0.0</v>
      </c>
      <c r="Q426" s="30">
        <v>116.8511</v>
      </c>
    </row>
    <row r="427">
      <c r="A427" s="47">
        <v>1.1246748386E10</v>
      </c>
      <c r="B427" s="48">
        <v>46160.69399305555</v>
      </c>
      <c r="C427" s="30">
        <v>3.859763942E9</v>
      </c>
      <c r="D427" s="47" t="s">
        <v>1514</v>
      </c>
      <c r="E427" s="47">
        <v>7.613032816536E12</v>
      </c>
      <c r="F427" s="47" t="s">
        <v>1523</v>
      </c>
      <c r="G427" s="47" t="s">
        <v>1533</v>
      </c>
      <c r="H427" s="30">
        <v>1.0</v>
      </c>
      <c r="I427" s="30">
        <v>729.0</v>
      </c>
      <c r="J427" s="30">
        <v>729.0</v>
      </c>
      <c r="K427" s="30">
        <v>4.41</v>
      </c>
      <c r="L427" s="30">
        <v>32.148900000000005</v>
      </c>
      <c r="M427" s="30">
        <v>580.0</v>
      </c>
      <c r="N427" s="30">
        <v>580.0</v>
      </c>
      <c r="O427" s="30">
        <v>0.0</v>
      </c>
      <c r="P427" s="30">
        <v>0.0</v>
      </c>
      <c r="Q427" s="30">
        <v>116.8511</v>
      </c>
    </row>
    <row r="428">
      <c r="A428" s="47">
        <v>1.1247305261E10</v>
      </c>
      <c r="B428" s="48">
        <v>46160.80732638889</v>
      </c>
      <c r="C428" s="30">
        <v>3.860236917E9</v>
      </c>
      <c r="D428" s="47" t="s">
        <v>1514</v>
      </c>
      <c r="E428" s="47">
        <v>7.613032816536E12</v>
      </c>
      <c r="F428" s="47" t="s">
        <v>1523</v>
      </c>
      <c r="G428" s="47" t="s">
        <v>1533</v>
      </c>
      <c r="H428" s="30">
        <v>1.0</v>
      </c>
      <c r="I428" s="30">
        <v>729.0</v>
      </c>
      <c r="J428" s="30">
        <v>729.0</v>
      </c>
      <c r="K428" s="30">
        <v>4.41</v>
      </c>
      <c r="L428" s="30">
        <v>32.148900000000005</v>
      </c>
      <c r="M428" s="30">
        <v>580.0</v>
      </c>
      <c r="N428" s="30">
        <v>580.0</v>
      </c>
      <c r="O428" s="30">
        <v>0.0</v>
      </c>
      <c r="P428" s="30">
        <v>0.0</v>
      </c>
      <c r="Q428" s="30">
        <v>116.8511</v>
      </c>
    </row>
    <row r="429">
      <c r="A429" s="47">
        <v>1.1247144398E10</v>
      </c>
      <c r="B429" s="48">
        <v>46160.7737037037</v>
      </c>
      <c r="C429" s="30">
        <v>3.860100351E9</v>
      </c>
      <c r="D429" s="47" t="s">
        <v>1514</v>
      </c>
      <c r="E429" s="47">
        <v>7.613032816536E12</v>
      </c>
      <c r="F429" s="47" t="s">
        <v>1523</v>
      </c>
      <c r="G429" s="47" t="s">
        <v>1533</v>
      </c>
      <c r="H429" s="30">
        <v>1.0</v>
      </c>
      <c r="I429" s="30">
        <v>729.0</v>
      </c>
      <c r="J429" s="30">
        <v>729.0</v>
      </c>
      <c r="K429" s="30">
        <v>4.41</v>
      </c>
      <c r="L429" s="30">
        <v>32.148900000000005</v>
      </c>
      <c r="M429" s="30">
        <v>580.0</v>
      </c>
      <c r="N429" s="30">
        <v>580.0</v>
      </c>
      <c r="O429" s="30">
        <v>0.0</v>
      </c>
      <c r="P429" s="30">
        <v>0.0</v>
      </c>
      <c r="Q429" s="30">
        <v>116.8511</v>
      </c>
    </row>
    <row r="430">
      <c r="A430" s="47">
        <v>1.124659319E10</v>
      </c>
      <c r="B430" s="48">
        <v>46160.66490740741</v>
      </c>
      <c r="C430" s="30">
        <v>3.859626594E9</v>
      </c>
      <c r="D430" s="47" t="s">
        <v>1514</v>
      </c>
      <c r="E430" s="47">
        <v>7.613032816536E12</v>
      </c>
      <c r="F430" s="47" t="s">
        <v>1523</v>
      </c>
      <c r="G430" s="47" t="s">
        <v>1533</v>
      </c>
      <c r="H430" s="30">
        <v>1.0</v>
      </c>
      <c r="I430" s="30">
        <v>729.0</v>
      </c>
      <c r="J430" s="30">
        <v>729.0</v>
      </c>
      <c r="K430" s="30">
        <v>4.41</v>
      </c>
      <c r="L430" s="30">
        <v>32.148900000000005</v>
      </c>
      <c r="M430" s="30">
        <v>580.0</v>
      </c>
      <c r="N430" s="30">
        <v>580.0</v>
      </c>
      <c r="O430" s="30">
        <v>0.0</v>
      </c>
      <c r="P430" s="30">
        <v>0.0</v>
      </c>
      <c r="Q430" s="30">
        <v>116.8511</v>
      </c>
    </row>
    <row r="431">
      <c r="A431" s="47">
        <v>1.1247359066E10</v>
      </c>
      <c r="B431" s="48">
        <v>46160.818449074075</v>
      </c>
      <c r="C431" s="30">
        <v>3.86028122E9</v>
      </c>
      <c r="D431" s="47" t="s">
        <v>1514</v>
      </c>
      <c r="E431" s="47">
        <v>7.613032816536E12</v>
      </c>
      <c r="F431" s="47" t="s">
        <v>1523</v>
      </c>
      <c r="G431" s="47" t="s">
        <v>1533</v>
      </c>
      <c r="H431" s="30">
        <v>1.0</v>
      </c>
      <c r="I431" s="30">
        <v>729.0</v>
      </c>
      <c r="J431" s="30">
        <v>729.0</v>
      </c>
      <c r="K431" s="30">
        <v>4.41</v>
      </c>
      <c r="L431" s="30">
        <v>32.148900000000005</v>
      </c>
      <c r="M431" s="30">
        <v>580.0</v>
      </c>
      <c r="N431" s="30">
        <v>580.0</v>
      </c>
      <c r="O431" s="30">
        <v>0.0</v>
      </c>
      <c r="P431" s="30">
        <v>0.0</v>
      </c>
      <c r="Q431" s="30">
        <v>116.8511</v>
      </c>
    </row>
    <row r="432">
      <c r="A432" s="47">
        <v>1.1246948457E10</v>
      </c>
      <c r="B432" s="48">
        <v>46160.733761574076</v>
      </c>
      <c r="C432" s="30">
        <v>3.859934293E9</v>
      </c>
      <c r="D432" s="47" t="s">
        <v>1514</v>
      </c>
      <c r="E432" s="47">
        <v>7.613032816536E12</v>
      </c>
      <c r="F432" s="47" t="s">
        <v>1523</v>
      </c>
      <c r="G432" s="47" t="s">
        <v>1533</v>
      </c>
      <c r="H432" s="30">
        <v>1.0</v>
      </c>
      <c r="I432" s="30">
        <v>729.0</v>
      </c>
      <c r="J432" s="30">
        <v>729.0</v>
      </c>
      <c r="K432" s="30">
        <v>4.41</v>
      </c>
      <c r="L432" s="30">
        <v>32.148900000000005</v>
      </c>
      <c r="M432" s="30">
        <v>580.0</v>
      </c>
      <c r="N432" s="30">
        <v>580.0</v>
      </c>
      <c r="O432" s="30">
        <v>0.0</v>
      </c>
      <c r="P432" s="30">
        <v>0.0</v>
      </c>
      <c r="Q432" s="30">
        <v>116.8511</v>
      </c>
    </row>
    <row r="433">
      <c r="A433" s="47">
        <v>1.1246920817E10</v>
      </c>
      <c r="B433" s="48">
        <v>46160.727951388886</v>
      </c>
      <c r="C433" s="30">
        <v>3.859911706E9</v>
      </c>
      <c r="D433" s="47" t="s">
        <v>1514</v>
      </c>
      <c r="E433" s="47">
        <v>7.613032816536E12</v>
      </c>
      <c r="F433" s="47" t="s">
        <v>1523</v>
      </c>
      <c r="G433" s="47" t="s">
        <v>1533</v>
      </c>
      <c r="H433" s="30">
        <v>1.0</v>
      </c>
      <c r="I433" s="30">
        <v>729.0</v>
      </c>
      <c r="J433" s="30">
        <v>729.0</v>
      </c>
      <c r="K433" s="30">
        <v>4.41</v>
      </c>
      <c r="L433" s="30">
        <v>32.148900000000005</v>
      </c>
      <c r="M433" s="30">
        <v>580.0</v>
      </c>
      <c r="N433" s="30">
        <v>580.0</v>
      </c>
      <c r="O433" s="30">
        <v>0.0</v>
      </c>
      <c r="P433" s="30">
        <v>0.0</v>
      </c>
      <c r="Q433" s="30">
        <v>116.8511</v>
      </c>
    </row>
    <row r="434">
      <c r="A434" s="47">
        <v>1.1246196879E10</v>
      </c>
      <c r="B434" s="48">
        <v>46160.58476851852</v>
      </c>
      <c r="C434" s="30">
        <v>3.859290033E9</v>
      </c>
      <c r="D434" s="47" t="s">
        <v>1514</v>
      </c>
      <c r="E434" s="47">
        <v>7.613032816536E12</v>
      </c>
      <c r="F434" s="47" t="s">
        <v>1523</v>
      </c>
      <c r="G434" s="47" t="s">
        <v>1533</v>
      </c>
      <c r="H434" s="30">
        <v>1.0</v>
      </c>
      <c r="I434" s="30">
        <v>729.0</v>
      </c>
      <c r="J434" s="30">
        <v>729.0</v>
      </c>
      <c r="K434" s="30">
        <v>4.41</v>
      </c>
      <c r="L434" s="30">
        <v>32.148900000000005</v>
      </c>
      <c r="M434" s="30">
        <v>580.0</v>
      </c>
      <c r="N434" s="30">
        <v>580.0</v>
      </c>
      <c r="O434" s="30">
        <v>0.0</v>
      </c>
      <c r="P434" s="30">
        <v>0.0</v>
      </c>
      <c r="Q434" s="30">
        <v>116.8511</v>
      </c>
    </row>
    <row r="435">
      <c r="A435" s="47">
        <v>1.1246758965E10</v>
      </c>
      <c r="B435" s="48">
        <v>46160.69613425926</v>
      </c>
      <c r="C435" s="30">
        <v>3.8597693E9</v>
      </c>
      <c r="D435" s="47" t="s">
        <v>1514</v>
      </c>
      <c r="E435" s="47">
        <v>7.613032816536E12</v>
      </c>
      <c r="F435" s="47" t="s">
        <v>1523</v>
      </c>
      <c r="G435" s="47" t="s">
        <v>1533</v>
      </c>
      <c r="H435" s="30">
        <v>1.0</v>
      </c>
      <c r="I435" s="30">
        <v>729.0</v>
      </c>
      <c r="J435" s="30">
        <v>729.0</v>
      </c>
      <c r="K435" s="30">
        <v>4.41</v>
      </c>
      <c r="L435" s="30">
        <v>32.148900000000005</v>
      </c>
      <c r="M435" s="30">
        <v>580.0</v>
      </c>
      <c r="N435" s="30">
        <v>580.0</v>
      </c>
      <c r="O435" s="30">
        <v>0.0</v>
      </c>
      <c r="P435" s="30">
        <v>0.0</v>
      </c>
      <c r="Q435" s="30">
        <v>116.8511</v>
      </c>
    </row>
    <row r="436">
      <c r="A436" s="47">
        <v>1.1246147517E10</v>
      </c>
      <c r="B436" s="48">
        <v>46160.57172453704</v>
      </c>
      <c r="C436" s="30">
        <v>3.859239467E9</v>
      </c>
      <c r="D436" s="47" t="s">
        <v>1514</v>
      </c>
      <c r="E436" s="47">
        <v>7.613032816536E12</v>
      </c>
      <c r="F436" s="47" t="s">
        <v>1523</v>
      </c>
      <c r="G436" s="47" t="s">
        <v>1533</v>
      </c>
      <c r="H436" s="30">
        <v>1.0</v>
      </c>
      <c r="I436" s="30">
        <v>729.0</v>
      </c>
      <c r="J436" s="30">
        <v>729.0</v>
      </c>
      <c r="K436" s="30">
        <v>4.41</v>
      </c>
      <c r="L436" s="30">
        <v>32.148900000000005</v>
      </c>
      <c r="M436" s="30">
        <v>580.0</v>
      </c>
      <c r="N436" s="30">
        <v>580.0</v>
      </c>
      <c r="O436" s="30">
        <v>0.0</v>
      </c>
      <c r="P436" s="30">
        <v>0.0</v>
      </c>
      <c r="Q436" s="30">
        <v>116.8511</v>
      </c>
    </row>
    <row r="437">
      <c r="A437" s="47">
        <v>1.1246670656E10</v>
      </c>
      <c r="B437" s="48">
        <v>46160.67934027778</v>
      </c>
      <c r="C437" s="30">
        <v>3.859696858E9</v>
      </c>
      <c r="D437" s="47" t="s">
        <v>1514</v>
      </c>
      <c r="E437" s="47">
        <v>7.613032816536E12</v>
      </c>
      <c r="F437" s="47" t="s">
        <v>1523</v>
      </c>
      <c r="G437" s="47" t="s">
        <v>1533</v>
      </c>
      <c r="H437" s="30">
        <v>1.0</v>
      </c>
      <c r="I437" s="30">
        <v>729.0</v>
      </c>
      <c r="J437" s="30">
        <v>729.0</v>
      </c>
      <c r="K437" s="30">
        <v>4.41</v>
      </c>
      <c r="L437" s="30">
        <v>32.148900000000005</v>
      </c>
      <c r="M437" s="30">
        <v>580.0</v>
      </c>
      <c r="N437" s="30">
        <v>580.0</v>
      </c>
      <c r="O437" s="30">
        <v>0.0</v>
      </c>
      <c r="P437" s="30">
        <v>0.0</v>
      </c>
      <c r="Q437" s="30">
        <v>116.8511</v>
      </c>
    </row>
    <row r="438">
      <c r="A438" s="47">
        <v>1.1246484151E10</v>
      </c>
      <c r="B438" s="48">
        <v>46160.64381944444</v>
      </c>
      <c r="C438" s="30">
        <v>3.859538454E9</v>
      </c>
      <c r="D438" s="47" t="s">
        <v>1514</v>
      </c>
      <c r="E438" s="47">
        <v>7.613032816536E12</v>
      </c>
      <c r="F438" s="47" t="s">
        <v>1523</v>
      </c>
      <c r="G438" s="47" t="s">
        <v>1533</v>
      </c>
      <c r="H438" s="30">
        <v>1.0</v>
      </c>
      <c r="I438" s="30">
        <v>729.0</v>
      </c>
      <c r="J438" s="30">
        <v>729.0</v>
      </c>
      <c r="K438" s="30">
        <v>4.41</v>
      </c>
      <c r="L438" s="30">
        <v>32.148900000000005</v>
      </c>
      <c r="M438" s="30">
        <v>580.0</v>
      </c>
      <c r="N438" s="30">
        <v>580.0</v>
      </c>
      <c r="O438" s="30">
        <v>0.0</v>
      </c>
      <c r="P438" s="30">
        <v>0.0</v>
      </c>
      <c r="Q438" s="30">
        <v>116.8511</v>
      </c>
    </row>
    <row r="439">
      <c r="A439" s="47">
        <v>1.1246794583E10</v>
      </c>
      <c r="B439" s="48">
        <v>46160.7028125</v>
      </c>
      <c r="C439" s="30">
        <v>3.859805071E9</v>
      </c>
      <c r="D439" s="47" t="s">
        <v>1514</v>
      </c>
      <c r="E439" s="47">
        <v>7.613032816536E12</v>
      </c>
      <c r="F439" s="47" t="s">
        <v>1523</v>
      </c>
      <c r="G439" s="47" t="s">
        <v>1533</v>
      </c>
      <c r="H439" s="30">
        <v>1.0</v>
      </c>
      <c r="I439" s="30">
        <v>729.0</v>
      </c>
      <c r="J439" s="30">
        <v>729.0</v>
      </c>
      <c r="K439" s="30">
        <v>4.41</v>
      </c>
      <c r="L439" s="30">
        <v>32.148900000000005</v>
      </c>
      <c r="M439" s="30">
        <v>580.0</v>
      </c>
      <c r="N439" s="30">
        <v>580.0</v>
      </c>
      <c r="O439" s="30">
        <v>0.0</v>
      </c>
      <c r="P439" s="30">
        <v>0.0</v>
      </c>
      <c r="Q439" s="30">
        <v>116.8511</v>
      </c>
    </row>
    <row r="440">
      <c r="A440" s="47">
        <v>1.1246360239E10</v>
      </c>
      <c r="B440" s="48">
        <v>46160.61989583333</v>
      </c>
      <c r="C440" s="30">
        <v>3.859437222E9</v>
      </c>
      <c r="D440" s="47" t="s">
        <v>1514</v>
      </c>
      <c r="E440" s="47">
        <v>7.613032816536E12</v>
      </c>
      <c r="F440" s="47" t="s">
        <v>1523</v>
      </c>
      <c r="G440" s="47" t="s">
        <v>1533</v>
      </c>
      <c r="H440" s="30">
        <v>1.0</v>
      </c>
      <c r="I440" s="30">
        <v>729.0</v>
      </c>
      <c r="J440" s="30">
        <v>729.0</v>
      </c>
      <c r="K440" s="30">
        <v>4.41</v>
      </c>
      <c r="L440" s="30">
        <v>32.148900000000005</v>
      </c>
      <c r="M440" s="30">
        <v>580.0</v>
      </c>
      <c r="N440" s="30">
        <v>580.0</v>
      </c>
      <c r="O440" s="30">
        <v>0.0</v>
      </c>
      <c r="P440" s="30">
        <v>0.0</v>
      </c>
      <c r="Q440" s="30">
        <v>116.8511</v>
      </c>
    </row>
    <row r="441">
      <c r="A441" s="47">
        <v>1.1246051635E10</v>
      </c>
      <c r="B441" s="48">
        <v>46160.54403935185</v>
      </c>
      <c r="C441" s="30">
        <v>3.859139325E9</v>
      </c>
      <c r="D441" s="47" t="s">
        <v>1514</v>
      </c>
      <c r="E441" s="47">
        <v>7.613032816536E12</v>
      </c>
      <c r="F441" s="47" t="s">
        <v>1523</v>
      </c>
      <c r="G441" s="47" t="s">
        <v>1533</v>
      </c>
      <c r="H441" s="30">
        <v>1.0</v>
      </c>
      <c r="I441" s="30">
        <v>729.0</v>
      </c>
      <c r="J441" s="30">
        <v>729.0</v>
      </c>
      <c r="K441" s="30">
        <v>4.41</v>
      </c>
      <c r="L441" s="30">
        <v>32.148900000000005</v>
      </c>
      <c r="M441" s="30">
        <v>580.0</v>
      </c>
      <c r="N441" s="30">
        <v>580.0</v>
      </c>
      <c r="O441" s="30">
        <v>0.0</v>
      </c>
      <c r="P441" s="30">
        <v>0.0</v>
      </c>
      <c r="Q441" s="30">
        <v>116.8511</v>
      </c>
    </row>
    <row r="442">
      <c r="A442" s="47">
        <v>1.1246239132E10</v>
      </c>
      <c r="B442" s="48">
        <v>46160.59488425926</v>
      </c>
      <c r="C442" s="30">
        <v>3.859331722E9</v>
      </c>
      <c r="D442" s="47" t="s">
        <v>1514</v>
      </c>
      <c r="E442" s="47">
        <v>7.613032816536E12</v>
      </c>
      <c r="F442" s="47" t="s">
        <v>1523</v>
      </c>
      <c r="G442" s="47" t="s">
        <v>1533</v>
      </c>
      <c r="H442" s="30">
        <v>1.0</v>
      </c>
      <c r="I442" s="30">
        <v>729.0</v>
      </c>
      <c r="J442" s="30">
        <v>729.0</v>
      </c>
      <c r="K442" s="30">
        <v>4.41</v>
      </c>
      <c r="L442" s="30">
        <v>32.148900000000005</v>
      </c>
      <c r="M442" s="30">
        <v>580.0</v>
      </c>
      <c r="N442" s="30">
        <v>580.0</v>
      </c>
      <c r="O442" s="30">
        <v>0.0</v>
      </c>
      <c r="P442" s="30">
        <v>0.0</v>
      </c>
      <c r="Q442" s="30">
        <v>116.8511</v>
      </c>
    </row>
    <row r="443">
      <c r="A443" s="47">
        <v>1.1246366685E10</v>
      </c>
      <c r="B443" s="48">
        <v>46160.62113425926</v>
      </c>
      <c r="C443" s="30">
        <v>3.859442817E9</v>
      </c>
      <c r="D443" s="47" t="s">
        <v>1514</v>
      </c>
      <c r="E443" s="47">
        <v>7.613032816536E12</v>
      </c>
      <c r="F443" s="47" t="s">
        <v>1523</v>
      </c>
      <c r="G443" s="47" t="s">
        <v>1533</v>
      </c>
      <c r="H443" s="30">
        <v>1.0</v>
      </c>
      <c r="I443" s="30">
        <v>729.0</v>
      </c>
      <c r="J443" s="30">
        <v>729.0</v>
      </c>
      <c r="K443" s="30">
        <v>4.41</v>
      </c>
      <c r="L443" s="30">
        <v>32.148900000000005</v>
      </c>
      <c r="M443" s="30">
        <v>580.0</v>
      </c>
      <c r="N443" s="30">
        <v>580.0</v>
      </c>
      <c r="O443" s="30">
        <v>0.0</v>
      </c>
      <c r="P443" s="30">
        <v>0.0</v>
      </c>
      <c r="Q443" s="30">
        <v>116.8511</v>
      </c>
    </row>
    <row r="444">
      <c r="A444" s="47">
        <v>1.1246317785E10</v>
      </c>
      <c r="B444" s="48">
        <v>46160.61162037037</v>
      </c>
      <c r="C444" s="30">
        <v>3.859401412E9</v>
      </c>
      <c r="D444" s="47" t="s">
        <v>1514</v>
      </c>
      <c r="E444" s="47">
        <v>7.613032816536E12</v>
      </c>
      <c r="F444" s="47" t="s">
        <v>1523</v>
      </c>
      <c r="G444" s="47" t="s">
        <v>1533</v>
      </c>
      <c r="H444" s="30">
        <v>1.0</v>
      </c>
      <c r="I444" s="30">
        <v>729.0</v>
      </c>
      <c r="J444" s="30">
        <v>729.0</v>
      </c>
      <c r="K444" s="30">
        <v>4.41</v>
      </c>
      <c r="L444" s="30">
        <v>32.148900000000005</v>
      </c>
      <c r="M444" s="30">
        <v>580.0</v>
      </c>
      <c r="N444" s="30">
        <v>580.0</v>
      </c>
      <c r="O444" s="30">
        <v>0.0</v>
      </c>
      <c r="P444" s="30">
        <v>0.0</v>
      </c>
      <c r="Q444" s="30">
        <v>116.8511</v>
      </c>
    </row>
    <row r="445">
      <c r="A445" s="47">
        <v>1.1246275494E10</v>
      </c>
      <c r="B445" s="48">
        <v>46160.60288194445</v>
      </c>
      <c r="C445" s="30">
        <v>3.859367156E9</v>
      </c>
      <c r="D445" s="47" t="s">
        <v>1514</v>
      </c>
      <c r="E445" s="47">
        <v>7.613032816536E12</v>
      </c>
      <c r="F445" s="47" t="s">
        <v>1523</v>
      </c>
      <c r="G445" s="47" t="s">
        <v>1533</v>
      </c>
      <c r="H445" s="30">
        <v>1.0</v>
      </c>
      <c r="I445" s="30">
        <v>729.0</v>
      </c>
      <c r="J445" s="30">
        <v>729.0</v>
      </c>
      <c r="K445" s="30">
        <v>4.41</v>
      </c>
      <c r="L445" s="30">
        <v>32.148900000000005</v>
      </c>
      <c r="M445" s="30">
        <v>580.0</v>
      </c>
      <c r="N445" s="30">
        <v>580.0</v>
      </c>
      <c r="O445" s="30">
        <v>0.0</v>
      </c>
      <c r="P445" s="30">
        <v>0.0</v>
      </c>
      <c r="Q445" s="30">
        <v>116.8511</v>
      </c>
    </row>
    <row r="446">
      <c r="A446" s="47">
        <v>1.1248305755E10</v>
      </c>
      <c r="B446" s="48">
        <v>46161.0084375</v>
      </c>
      <c r="C446" s="30">
        <v>3.860995747E9</v>
      </c>
      <c r="D446" s="47" t="s">
        <v>1514</v>
      </c>
      <c r="E446" s="47">
        <v>7.613032816536E12</v>
      </c>
      <c r="F446" s="47" t="s">
        <v>1523</v>
      </c>
      <c r="G446" s="47" t="s">
        <v>1533</v>
      </c>
      <c r="H446" s="30">
        <v>1.0</v>
      </c>
      <c r="I446" s="30">
        <v>729.0</v>
      </c>
      <c r="J446" s="30">
        <v>729.0</v>
      </c>
      <c r="K446" s="30">
        <v>4.41</v>
      </c>
      <c r="L446" s="30">
        <v>32.148900000000005</v>
      </c>
      <c r="M446" s="30">
        <v>580.0</v>
      </c>
      <c r="N446" s="30">
        <v>580.0</v>
      </c>
      <c r="O446" s="30">
        <v>0.0</v>
      </c>
      <c r="P446" s="30">
        <v>0.0</v>
      </c>
      <c r="Q446" s="30">
        <v>116.8511</v>
      </c>
    </row>
    <row r="447">
      <c r="A447" s="47">
        <v>1.1247703649E10</v>
      </c>
      <c r="B447" s="48">
        <v>46160.88936342593</v>
      </c>
      <c r="C447" s="30">
        <v>3.860547168E9</v>
      </c>
      <c r="D447" s="47" t="s">
        <v>1514</v>
      </c>
      <c r="E447" s="47">
        <v>8.410650239156E12</v>
      </c>
      <c r="F447" s="47" t="s">
        <v>1523</v>
      </c>
      <c r="G447" s="47" t="s">
        <v>1530</v>
      </c>
      <c r="H447" s="30">
        <v>1.0</v>
      </c>
      <c r="I447" s="30">
        <v>1728.0</v>
      </c>
      <c r="J447" s="30">
        <v>1728.0</v>
      </c>
      <c r="K447" s="30">
        <v>11.61</v>
      </c>
      <c r="L447" s="30">
        <v>200.62079999999997</v>
      </c>
      <c r="M447" s="30">
        <v>1260.0</v>
      </c>
      <c r="N447" s="30">
        <v>1260.0</v>
      </c>
      <c r="O447" s="30">
        <v>0.0</v>
      </c>
      <c r="P447" s="30">
        <v>0.0</v>
      </c>
      <c r="Q447" s="30">
        <v>267.3792</v>
      </c>
    </row>
    <row r="448">
      <c r="A448" s="47">
        <v>1.1247703649E10</v>
      </c>
      <c r="B448" s="48">
        <v>46160.88936342593</v>
      </c>
      <c r="C448" s="30">
        <v>3.860547168E9</v>
      </c>
      <c r="D448" s="47" t="s">
        <v>1514</v>
      </c>
      <c r="E448" s="47">
        <v>1.172022022E9</v>
      </c>
      <c r="F448" s="47" t="s">
        <v>1523</v>
      </c>
      <c r="G448" s="47" t="s">
        <v>1550</v>
      </c>
      <c r="H448" s="30">
        <v>1.0</v>
      </c>
      <c r="I448" s="30">
        <v>855.0</v>
      </c>
      <c r="J448" s="30">
        <v>855.0</v>
      </c>
      <c r="K448" s="30">
        <v>11.25</v>
      </c>
      <c r="L448" s="30">
        <v>96.1875</v>
      </c>
      <c r="M448" s="30">
        <v>0.0</v>
      </c>
      <c r="N448" s="30">
        <v>0.0</v>
      </c>
      <c r="O448" s="30">
        <v>0.0</v>
      </c>
      <c r="P448" s="30">
        <v>0.0</v>
      </c>
      <c r="Q448" s="30">
        <v>758.8125</v>
      </c>
    </row>
    <row r="449">
      <c r="A449" s="47">
        <v>1.1246049592E10</v>
      </c>
      <c r="B449" s="48">
        <v>46160.54336805556</v>
      </c>
      <c r="C449" s="30">
        <v>3.859137241E9</v>
      </c>
      <c r="D449" s="47" t="s">
        <v>1514</v>
      </c>
      <c r="E449" s="47">
        <v>9.003579311301E12</v>
      </c>
      <c r="F449" s="47" t="s">
        <v>1523</v>
      </c>
      <c r="G449" s="47" t="s">
        <v>1554</v>
      </c>
      <c r="H449" s="30">
        <v>2.0</v>
      </c>
      <c r="I449" s="30">
        <v>71.0</v>
      </c>
      <c r="J449" s="30">
        <v>142.0</v>
      </c>
      <c r="K449" s="30">
        <v>2.7</v>
      </c>
      <c r="L449" s="30">
        <v>3.8340000000000005</v>
      </c>
      <c r="M449" s="30">
        <v>0.0</v>
      </c>
      <c r="N449" s="30">
        <v>0.0</v>
      </c>
      <c r="O449" s="30">
        <v>0.0</v>
      </c>
      <c r="P449" s="30">
        <v>0.0</v>
      </c>
      <c r="Q449" s="30">
        <v>138.166</v>
      </c>
    </row>
    <row r="450">
      <c r="A450" s="47">
        <v>1.1246165962E10</v>
      </c>
      <c r="B450" s="48">
        <v>46160.57685185185</v>
      </c>
      <c r="C450" s="30">
        <v>3.859258509E9</v>
      </c>
      <c r="D450" s="47" t="s">
        <v>1514</v>
      </c>
      <c r="E450" s="47">
        <v>6.923632570001E12</v>
      </c>
      <c r="F450" s="47" t="s">
        <v>1523</v>
      </c>
      <c r="G450" s="47" t="s">
        <v>1544</v>
      </c>
      <c r="H450" s="30">
        <v>2.0</v>
      </c>
      <c r="I450" s="30">
        <v>474.47</v>
      </c>
      <c r="J450" s="30">
        <v>948.94</v>
      </c>
      <c r="K450" s="30">
        <v>18.0</v>
      </c>
      <c r="L450" s="30">
        <v>170.80920000000003</v>
      </c>
      <c r="M450" s="30">
        <v>130.0</v>
      </c>
      <c r="N450" s="30">
        <v>260.0</v>
      </c>
      <c r="O450" s="30">
        <v>0.0</v>
      </c>
      <c r="P450" s="30">
        <v>0.0</v>
      </c>
      <c r="Q450" s="30">
        <v>518.1308</v>
      </c>
    </row>
    <row r="451">
      <c r="A451" s="47">
        <v>1.124611956E10</v>
      </c>
      <c r="B451" s="48">
        <v>46160.56381944445</v>
      </c>
      <c r="C451" s="30">
        <v>3.859210745E9</v>
      </c>
      <c r="D451" s="47" t="s">
        <v>1514</v>
      </c>
      <c r="E451" s="47" t="s">
        <v>356</v>
      </c>
      <c r="F451" s="47" t="s">
        <v>1523</v>
      </c>
      <c r="G451" s="47" t="s">
        <v>1532</v>
      </c>
      <c r="H451" s="30">
        <v>1.0</v>
      </c>
      <c r="I451" s="30">
        <v>729.0</v>
      </c>
      <c r="J451" s="30">
        <v>729.0</v>
      </c>
      <c r="K451" s="30">
        <v>4.95</v>
      </c>
      <c r="L451" s="30">
        <v>36.0855</v>
      </c>
      <c r="M451" s="30">
        <v>580.0</v>
      </c>
      <c r="N451" s="30">
        <v>580.0</v>
      </c>
      <c r="O451" s="30">
        <v>0.0</v>
      </c>
      <c r="P451" s="30">
        <v>0.0</v>
      </c>
      <c r="Q451" s="30">
        <v>112.9145</v>
      </c>
    </row>
    <row r="452">
      <c r="A452" s="47">
        <v>1.1247962492E10</v>
      </c>
      <c r="B452" s="48">
        <v>46160.9405787037</v>
      </c>
      <c r="C452" s="30">
        <v>3.860729617E9</v>
      </c>
      <c r="D452" s="47" t="s">
        <v>1514</v>
      </c>
      <c r="E452" s="47">
        <v>9.003579311714E12</v>
      </c>
      <c r="F452" s="47" t="s">
        <v>1523</v>
      </c>
      <c r="G452" s="47" t="s">
        <v>1565</v>
      </c>
      <c r="H452" s="30">
        <v>1.0</v>
      </c>
      <c r="I452" s="30">
        <v>99.0</v>
      </c>
      <c r="J452" s="30">
        <v>99.0</v>
      </c>
      <c r="K452" s="30">
        <v>11.25</v>
      </c>
      <c r="L452" s="30">
        <v>11.1375</v>
      </c>
      <c r="M452" s="30">
        <v>0.0</v>
      </c>
      <c r="N452" s="30">
        <v>0.0</v>
      </c>
      <c r="O452" s="30">
        <v>0.0</v>
      </c>
      <c r="P452" s="30">
        <v>0.0</v>
      </c>
      <c r="Q452" s="30">
        <v>87.8625</v>
      </c>
    </row>
    <row r="453">
      <c r="A453" s="47">
        <v>1.1248730983E10</v>
      </c>
      <c r="B453" s="48">
        <v>46161.094375</v>
      </c>
      <c r="C453" s="30">
        <v>3.861379413E9</v>
      </c>
      <c r="D453" s="47" t="s">
        <v>1514</v>
      </c>
      <c r="E453" s="47">
        <v>8.684501941813E12</v>
      </c>
      <c r="F453" s="47" t="s">
        <v>287</v>
      </c>
      <c r="G453" s="47" t="s">
        <v>1547</v>
      </c>
      <c r="H453" s="30">
        <v>2.0</v>
      </c>
      <c r="I453" s="30">
        <v>174.995</v>
      </c>
      <c r="J453" s="30">
        <v>349.99</v>
      </c>
      <c r="K453" s="30">
        <v>18.0</v>
      </c>
      <c r="L453" s="30">
        <v>62.9982</v>
      </c>
      <c r="M453" s="30">
        <v>53.0</v>
      </c>
      <c r="N453" s="30">
        <v>106.0</v>
      </c>
      <c r="O453" s="30">
        <v>0.0</v>
      </c>
      <c r="P453" s="30">
        <v>0.0</v>
      </c>
      <c r="Q453" s="30">
        <v>180.9918</v>
      </c>
    </row>
    <row r="454">
      <c r="A454" s="47">
        <v>1.1249050836E10</v>
      </c>
      <c r="B454" s="48">
        <v>46161.197905092595</v>
      </c>
      <c r="C454" s="30">
        <v>3.861685975E9</v>
      </c>
      <c r="D454" s="47" t="s">
        <v>1514</v>
      </c>
      <c r="E454" s="47">
        <v>7.613032816536E12</v>
      </c>
      <c r="F454" s="47" t="s">
        <v>1523</v>
      </c>
      <c r="G454" s="47" t="s">
        <v>1533</v>
      </c>
      <c r="H454" s="30">
        <v>1.0</v>
      </c>
      <c r="I454" s="30">
        <v>729.0</v>
      </c>
      <c r="J454" s="30">
        <v>729.0</v>
      </c>
      <c r="K454" s="30">
        <v>4.41</v>
      </c>
      <c r="L454" s="30">
        <v>32.148900000000005</v>
      </c>
      <c r="M454" s="30">
        <v>580.0</v>
      </c>
      <c r="N454" s="30">
        <v>580.0</v>
      </c>
      <c r="O454" s="30">
        <v>0.0</v>
      </c>
      <c r="P454" s="30">
        <v>0.0</v>
      </c>
      <c r="Q454" s="30">
        <v>116.8511</v>
      </c>
    </row>
    <row r="455">
      <c r="A455" s="47">
        <v>1.1245931884E10</v>
      </c>
      <c r="B455" s="48">
        <v>46160.4996875</v>
      </c>
      <c r="C455" s="30">
        <v>3.859009183E9</v>
      </c>
      <c r="D455" s="47" t="s">
        <v>1509</v>
      </c>
      <c r="E455" s="47" t="s">
        <v>356</v>
      </c>
      <c r="F455" s="47" t="s">
        <v>1523</v>
      </c>
      <c r="G455" s="47" t="s">
        <v>1532</v>
      </c>
      <c r="H455" s="30">
        <v>1.0</v>
      </c>
      <c r="I455" s="30">
        <v>729.0</v>
      </c>
      <c r="J455" s="30">
        <v>729.0</v>
      </c>
      <c r="K455" s="30">
        <v>4.95</v>
      </c>
      <c r="L455" s="30">
        <v>36.0855</v>
      </c>
      <c r="M455" s="30">
        <v>580.0</v>
      </c>
      <c r="N455" s="30">
        <v>580.0</v>
      </c>
      <c r="O455" s="30">
        <v>0.0</v>
      </c>
      <c r="P455" s="30">
        <v>0.0</v>
      </c>
      <c r="Q455" s="30">
        <v>112.9145</v>
      </c>
    </row>
    <row r="456">
      <c r="A456" s="47">
        <v>1.1242916091E10</v>
      </c>
      <c r="B456" s="48">
        <v>46159.619467592594</v>
      </c>
      <c r="C456" s="30">
        <v>3.856526932E9</v>
      </c>
      <c r="D456" s="47" t="s">
        <v>1509</v>
      </c>
      <c r="E456" s="47">
        <v>8.410650167909E12</v>
      </c>
      <c r="F456" s="47" t="s">
        <v>1523</v>
      </c>
      <c r="G456" s="47" t="s">
        <v>1551</v>
      </c>
      <c r="H456" s="30">
        <v>2.0</v>
      </c>
      <c r="I456" s="30">
        <v>1600.0</v>
      </c>
      <c r="J456" s="30">
        <v>3200.0</v>
      </c>
      <c r="K456" s="30">
        <v>10.62</v>
      </c>
      <c r="L456" s="30">
        <v>339.84</v>
      </c>
      <c r="M456" s="30">
        <v>1228.0</v>
      </c>
      <c r="N456" s="30">
        <v>2456.0</v>
      </c>
      <c r="O456" s="30">
        <v>0.0</v>
      </c>
      <c r="P456" s="30">
        <v>0.0</v>
      </c>
      <c r="Q456" s="30">
        <v>404.16</v>
      </c>
    </row>
    <row r="457">
      <c r="A457" s="47">
        <v>1.1238062765E10</v>
      </c>
      <c r="B457" s="48">
        <v>46157.919895833336</v>
      </c>
      <c r="C457" s="30">
        <v>3.852506391E9</v>
      </c>
      <c r="D457" s="47" t="s">
        <v>1509</v>
      </c>
      <c r="E457" s="47">
        <v>7.613033560064E12</v>
      </c>
      <c r="F457" s="47" t="s">
        <v>1523</v>
      </c>
      <c r="G457" s="47" t="s">
        <v>1527</v>
      </c>
      <c r="H457" s="30">
        <v>1.0</v>
      </c>
      <c r="I457" s="30">
        <v>1291.0</v>
      </c>
      <c r="J457" s="30">
        <v>1291.0</v>
      </c>
      <c r="K457" s="30">
        <v>2.7</v>
      </c>
      <c r="L457" s="30">
        <v>34.857</v>
      </c>
      <c r="M457" s="30">
        <v>1190.0</v>
      </c>
      <c r="N457" s="30">
        <v>1190.0</v>
      </c>
      <c r="O457" s="30">
        <v>0.0</v>
      </c>
      <c r="P457" s="30">
        <v>0.0</v>
      </c>
      <c r="Q457" s="30">
        <v>66.143</v>
      </c>
    </row>
    <row r="458">
      <c r="A458" s="47">
        <v>1.1236328814E10</v>
      </c>
      <c r="B458" s="48">
        <v>46157.56366898148</v>
      </c>
      <c r="C458" s="30">
        <v>3.851087508E9</v>
      </c>
      <c r="D458" s="47" t="s">
        <v>1509</v>
      </c>
      <c r="E458" s="47">
        <v>7.613033560064E12</v>
      </c>
      <c r="F458" s="47" t="s">
        <v>1523</v>
      </c>
      <c r="G458" s="47" t="s">
        <v>1527</v>
      </c>
      <c r="H458" s="30">
        <v>1.0</v>
      </c>
      <c r="I458" s="30">
        <v>1295.9</v>
      </c>
      <c r="J458" s="30">
        <v>1295.9</v>
      </c>
      <c r="K458" s="30">
        <v>2.7</v>
      </c>
      <c r="L458" s="30">
        <v>34.9893</v>
      </c>
      <c r="M458" s="30">
        <v>1190.0</v>
      </c>
      <c r="N458" s="30">
        <v>1190.0</v>
      </c>
      <c r="O458" s="30">
        <v>0.0</v>
      </c>
      <c r="P458" s="30">
        <v>0.0</v>
      </c>
      <c r="Q458" s="30">
        <v>70.91070000000009</v>
      </c>
    </row>
    <row r="459">
      <c r="A459" s="47">
        <v>1.123501968E10</v>
      </c>
      <c r="B459" s="48">
        <v>46156.960960648146</v>
      </c>
      <c r="C459" s="30">
        <v>3.849778163E9</v>
      </c>
      <c r="D459" s="47" t="s">
        <v>1509</v>
      </c>
      <c r="E459" s="47">
        <v>8.410650167909E12</v>
      </c>
      <c r="F459" s="47" t="s">
        <v>1523</v>
      </c>
      <c r="G459" s="47" t="s">
        <v>1551</v>
      </c>
      <c r="H459" s="30">
        <v>1.0</v>
      </c>
      <c r="I459" s="30">
        <v>1620.0</v>
      </c>
      <c r="J459" s="30">
        <v>1620.0</v>
      </c>
      <c r="K459" s="30">
        <v>14.85</v>
      </c>
      <c r="L459" s="30">
        <v>240.57</v>
      </c>
      <c r="M459" s="30">
        <v>1228.0</v>
      </c>
      <c r="N459" s="30">
        <v>1228.0</v>
      </c>
      <c r="O459" s="30">
        <v>0.0</v>
      </c>
      <c r="P459" s="30">
        <v>0.0</v>
      </c>
      <c r="Q459" s="30">
        <v>151.43</v>
      </c>
    </row>
    <row r="460">
      <c r="A460" s="47">
        <v>1.1237455923E10</v>
      </c>
      <c r="B460" s="48">
        <v>46157.79834490741</v>
      </c>
      <c r="C460" s="30">
        <v>3.852060742E9</v>
      </c>
      <c r="D460" s="47" t="s">
        <v>1509</v>
      </c>
      <c r="E460" s="47">
        <v>7.613035846708E12</v>
      </c>
      <c r="F460" s="47" t="s">
        <v>1523</v>
      </c>
      <c r="G460" s="47" t="s">
        <v>1535</v>
      </c>
      <c r="H460" s="30">
        <v>1.0</v>
      </c>
      <c r="I460" s="30">
        <v>1267.9</v>
      </c>
      <c r="J460" s="30">
        <v>1267.9</v>
      </c>
      <c r="K460" s="30">
        <v>4.5</v>
      </c>
      <c r="L460" s="30">
        <v>57.0555</v>
      </c>
      <c r="M460" s="30">
        <v>1160.0</v>
      </c>
      <c r="N460" s="30">
        <v>1160.0</v>
      </c>
      <c r="O460" s="30">
        <v>0.0</v>
      </c>
      <c r="P460" s="30">
        <v>0.0</v>
      </c>
      <c r="Q460" s="30">
        <v>50.84450000000009</v>
      </c>
    </row>
    <row r="461">
      <c r="A461" s="47">
        <v>1.1237957505E10</v>
      </c>
      <c r="B461" s="48">
        <v>46157.90005787037</v>
      </c>
      <c r="C461" s="30">
        <v>3.852434769E9</v>
      </c>
      <c r="D461" s="47" t="s">
        <v>1509</v>
      </c>
      <c r="E461" s="47">
        <v>7.613033560064E12</v>
      </c>
      <c r="F461" s="47" t="s">
        <v>1523</v>
      </c>
      <c r="G461" s="47" t="s">
        <v>1527</v>
      </c>
      <c r="H461" s="30">
        <v>1.0</v>
      </c>
      <c r="I461" s="30">
        <v>1291.0</v>
      </c>
      <c r="J461" s="30">
        <v>1291.0</v>
      </c>
      <c r="K461" s="30">
        <v>2.7</v>
      </c>
      <c r="L461" s="30">
        <v>34.857</v>
      </c>
      <c r="M461" s="30">
        <v>1190.0</v>
      </c>
      <c r="N461" s="30">
        <v>1190.0</v>
      </c>
      <c r="O461" s="30">
        <v>0.0</v>
      </c>
      <c r="P461" s="30">
        <v>0.0</v>
      </c>
      <c r="Q461" s="30">
        <v>66.143</v>
      </c>
    </row>
    <row r="462">
      <c r="A462" s="47">
        <v>1.1238611604E10</v>
      </c>
      <c r="B462" s="48">
        <v>46158.02425925926</v>
      </c>
      <c r="C462" s="30">
        <v>3.852910014E9</v>
      </c>
      <c r="D462" s="47" t="s">
        <v>1509</v>
      </c>
      <c r="E462" s="47" t="s">
        <v>356</v>
      </c>
      <c r="F462" s="47" t="s">
        <v>1523</v>
      </c>
      <c r="G462" s="47" t="s">
        <v>1532</v>
      </c>
      <c r="H462" s="30">
        <v>5.0</v>
      </c>
      <c r="I462" s="30">
        <v>729.0</v>
      </c>
      <c r="J462" s="30">
        <v>3645.0</v>
      </c>
      <c r="K462" s="30">
        <v>4.95</v>
      </c>
      <c r="L462" s="30">
        <v>180.4275</v>
      </c>
      <c r="M462" s="30">
        <v>580.0</v>
      </c>
      <c r="N462" s="30">
        <v>2900.0</v>
      </c>
      <c r="O462" s="30">
        <v>0.0</v>
      </c>
      <c r="P462" s="30">
        <v>0.0</v>
      </c>
      <c r="Q462" s="30">
        <v>564.5725</v>
      </c>
    </row>
    <row r="463">
      <c r="A463" s="47">
        <v>1.1236731022E10</v>
      </c>
      <c r="B463" s="48">
        <v>46157.65133101852</v>
      </c>
      <c r="C463" s="30">
        <v>3.851451256E9</v>
      </c>
      <c r="D463" s="47" t="s">
        <v>1509</v>
      </c>
      <c r="E463" s="47">
        <v>7.613032816536E12</v>
      </c>
      <c r="F463" s="47" t="s">
        <v>1523</v>
      </c>
      <c r="G463" s="47" t="s">
        <v>1533</v>
      </c>
      <c r="H463" s="30">
        <v>2.0</v>
      </c>
      <c r="I463" s="30">
        <v>727.0</v>
      </c>
      <c r="J463" s="30">
        <v>1454.0</v>
      </c>
      <c r="K463" s="30">
        <v>4.41</v>
      </c>
      <c r="L463" s="30">
        <v>64.12140000000001</v>
      </c>
      <c r="M463" s="30">
        <v>580.0</v>
      </c>
      <c r="N463" s="30">
        <v>1160.0</v>
      </c>
      <c r="O463" s="30">
        <v>0.0</v>
      </c>
      <c r="P463" s="30">
        <v>0.0</v>
      </c>
      <c r="Q463" s="30">
        <v>229.8786</v>
      </c>
    </row>
    <row r="464">
      <c r="A464" s="47">
        <v>1.1236626905E10</v>
      </c>
      <c r="B464" s="48">
        <v>46157.631377314814</v>
      </c>
      <c r="C464" s="30">
        <v>3.851361191E9</v>
      </c>
      <c r="D464" s="47" t="s">
        <v>1509</v>
      </c>
      <c r="E464" s="47">
        <v>7.613033560064E12</v>
      </c>
      <c r="F464" s="47" t="s">
        <v>1523</v>
      </c>
      <c r="G464" s="47" t="s">
        <v>1527</v>
      </c>
      <c r="H464" s="30">
        <v>1.0</v>
      </c>
      <c r="I464" s="30">
        <v>1295.9</v>
      </c>
      <c r="J464" s="30">
        <v>1295.9</v>
      </c>
      <c r="K464" s="30">
        <v>2.7</v>
      </c>
      <c r="L464" s="30">
        <v>34.9893</v>
      </c>
      <c r="M464" s="30">
        <v>1190.0</v>
      </c>
      <c r="N464" s="30">
        <v>1190.0</v>
      </c>
      <c r="O464" s="30">
        <v>0.0</v>
      </c>
      <c r="P464" s="30">
        <v>0.0</v>
      </c>
      <c r="Q464" s="30">
        <v>70.91070000000009</v>
      </c>
    </row>
    <row r="465">
      <c r="A465" s="47">
        <v>1.1244724618E10</v>
      </c>
      <c r="B465" s="48">
        <v>46159.97386574074</v>
      </c>
      <c r="C465" s="30">
        <v>3.857849554E9</v>
      </c>
      <c r="D465" s="47" t="s">
        <v>1512</v>
      </c>
      <c r="E465" s="47">
        <v>7.613032816536E12</v>
      </c>
      <c r="F465" s="47" t="s">
        <v>1523</v>
      </c>
      <c r="G465" s="47" t="s">
        <v>1533</v>
      </c>
      <c r="H465" s="30">
        <v>1.0</v>
      </c>
      <c r="I465" s="30">
        <v>729.0</v>
      </c>
      <c r="J465" s="30">
        <v>729.0</v>
      </c>
      <c r="K465" s="30">
        <v>4.41</v>
      </c>
      <c r="L465" s="30">
        <v>32.148900000000005</v>
      </c>
      <c r="M465" s="30">
        <v>580.0</v>
      </c>
      <c r="N465" s="30">
        <v>580.0</v>
      </c>
      <c r="O465" s="30">
        <v>0.0</v>
      </c>
      <c r="P465" s="30">
        <v>0.0</v>
      </c>
      <c r="Q465" s="30">
        <v>116.8511</v>
      </c>
    </row>
    <row r="466">
      <c r="A466" s="47">
        <v>1.1242334703E10</v>
      </c>
      <c r="B466" s="48">
        <v>46159.162939814814</v>
      </c>
      <c r="C466" s="30">
        <v>3.856003489E9</v>
      </c>
      <c r="D466" s="47" t="s">
        <v>1512</v>
      </c>
      <c r="E466" s="47">
        <v>7.613033560064E12</v>
      </c>
      <c r="F466" s="47" t="s">
        <v>1523</v>
      </c>
      <c r="G466" s="47" t="s">
        <v>1527</v>
      </c>
      <c r="H466" s="30">
        <v>1.0</v>
      </c>
      <c r="I466" s="30">
        <v>1284.0</v>
      </c>
      <c r="J466" s="30">
        <v>1284.0</v>
      </c>
      <c r="K466" s="30">
        <v>2.7</v>
      </c>
      <c r="L466" s="30">
        <v>34.668</v>
      </c>
      <c r="M466" s="30">
        <v>1190.0</v>
      </c>
      <c r="N466" s="30">
        <v>1190.0</v>
      </c>
      <c r="O466" s="30">
        <v>0.0</v>
      </c>
      <c r="P466" s="30">
        <v>0.0</v>
      </c>
      <c r="Q466" s="30">
        <v>59.332</v>
      </c>
    </row>
    <row r="467">
      <c r="A467" s="47">
        <v>1.1237657742E10</v>
      </c>
      <c r="B467" s="48">
        <v>46157.84032407407</v>
      </c>
      <c r="C467" s="30">
        <v>3.852219001E9</v>
      </c>
      <c r="D467" s="47" t="s">
        <v>1509</v>
      </c>
      <c r="E467" s="47" t="s">
        <v>356</v>
      </c>
      <c r="F467" s="47" t="s">
        <v>1523</v>
      </c>
      <c r="G467" s="47" t="s">
        <v>1532</v>
      </c>
      <c r="H467" s="30">
        <v>2.0</v>
      </c>
      <c r="I467" s="30">
        <v>729.0</v>
      </c>
      <c r="J467" s="30">
        <v>1458.0</v>
      </c>
      <c r="K467" s="30">
        <v>4.95</v>
      </c>
      <c r="L467" s="30">
        <v>72.171</v>
      </c>
      <c r="M467" s="30">
        <v>580.0</v>
      </c>
      <c r="N467" s="30">
        <v>1160.0</v>
      </c>
      <c r="O467" s="30">
        <v>0.0</v>
      </c>
      <c r="P467" s="30">
        <v>0.0</v>
      </c>
      <c r="Q467" s="30">
        <v>225.829</v>
      </c>
    </row>
    <row r="468">
      <c r="A468" s="47">
        <v>1.1238938535E10</v>
      </c>
      <c r="B468" s="48">
        <v>46158.09491898148</v>
      </c>
      <c r="C468" s="30">
        <v>3.853199203E9</v>
      </c>
      <c r="D468" s="47" t="s">
        <v>1509</v>
      </c>
      <c r="E468" s="47">
        <v>8.684501941837E12</v>
      </c>
      <c r="F468" s="47" t="s">
        <v>289</v>
      </c>
      <c r="G468" s="47" t="s">
        <v>1543</v>
      </c>
      <c r="H468" s="30">
        <v>2.0</v>
      </c>
      <c r="I468" s="30">
        <v>174.995</v>
      </c>
      <c r="J468" s="30">
        <v>349.99</v>
      </c>
      <c r="K468" s="30">
        <v>18.0</v>
      </c>
      <c r="L468" s="30">
        <v>62.9982</v>
      </c>
      <c r="M468" s="30">
        <v>53.0</v>
      </c>
      <c r="N468" s="30">
        <v>106.0</v>
      </c>
      <c r="O468" s="30">
        <v>0.0</v>
      </c>
      <c r="P468" s="30">
        <v>0.0</v>
      </c>
      <c r="Q468" s="30">
        <v>180.9918</v>
      </c>
    </row>
    <row r="469">
      <c r="A469" s="47">
        <v>1.1238938535E10</v>
      </c>
      <c r="B469" s="48">
        <v>46158.09491898148</v>
      </c>
      <c r="C469" s="30">
        <v>3.853199203E9</v>
      </c>
      <c r="D469" s="47" t="s">
        <v>1509</v>
      </c>
      <c r="E469" s="47">
        <v>7.613032816536E12</v>
      </c>
      <c r="F469" s="47" t="s">
        <v>1523</v>
      </c>
      <c r="G469" s="47" t="s">
        <v>1533</v>
      </c>
      <c r="H469" s="30">
        <v>1.0</v>
      </c>
      <c r="I469" s="30">
        <v>729.0</v>
      </c>
      <c r="J469" s="30">
        <v>729.0</v>
      </c>
      <c r="K469" s="30">
        <v>4.41</v>
      </c>
      <c r="L469" s="30">
        <v>32.148900000000005</v>
      </c>
      <c r="M469" s="30">
        <v>580.0</v>
      </c>
      <c r="N469" s="30">
        <v>580.0</v>
      </c>
      <c r="O469" s="30">
        <v>0.0</v>
      </c>
      <c r="P469" s="30">
        <v>0.0</v>
      </c>
      <c r="Q469" s="30">
        <v>116.8511</v>
      </c>
    </row>
    <row r="470">
      <c r="A470" s="47">
        <v>1.123744625E10</v>
      </c>
      <c r="B470" s="48">
        <v>46157.79623842592</v>
      </c>
      <c r="C470" s="30">
        <v>3.85205458E9</v>
      </c>
      <c r="D470" s="47" t="s">
        <v>1509</v>
      </c>
      <c r="E470" s="47" t="s">
        <v>356</v>
      </c>
      <c r="F470" s="47" t="s">
        <v>1523</v>
      </c>
      <c r="G470" s="47" t="s">
        <v>1532</v>
      </c>
      <c r="H470" s="30">
        <v>1.0</v>
      </c>
      <c r="I470" s="30">
        <v>729.0</v>
      </c>
      <c r="J470" s="30">
        <v>729.0</v>
      </c>
      <c r="K470" s="30">
        <v>4.95</v>
      </c>
      <c r="L470" s="30">
        <v>36.0855</v>
      </c>
      <c r="M470" s="30">
        <v>580.0</v>
      </c>
      <c r="N470" s="30">
        <v>580.0</v>
      </c>
      <c r="O470" s="30">
        <v>0.0</v>
      </c>
      <c r="P470" s="30">
        <v>0.0</v>
      </c>
      <c r="Q470" s="30">
        <v>112.9145</v>
      </c>
    </row>
    <row r="471">
      <c r="A471" s="47">
        <v>1.1241414837E10</v>
      </c>
      <c r="B471" s="48">
        <v>46158.957083333335</v>
      </c>
      <c r="C471" s="30">
        <v>3.855237076E9</v>
      </c>
      <c r="D471" s="47" t="s">
        <v>1512</v>
      </c>
      <c r="E471" s="47">
        <v>6.923632570121E12</v>
      </c>
      <c r="F471" s="47" t="s">
        <v>306</v>
      </c>
      <c r="G471" s="47" t="s">
        <v>1555</v>
      </c>
      <c r="H471" s="30">
        <v>1.0</v>
      </c>
      <c r="I471" s="30">
        <v>852.0</v>
      </c>
      <c r="J471" s="30">
        <v>852.0</v>
      </c>
      <c r="K471" s="30">
        <v>14.49</v>
      </c>
      <c r="L471" s="30">
        <v>123.45479999999999</v>
      </c>
      <c r="M471" s="30">
        <v>300.0</v>
      </c>
      <c r="N471" s="30">
        <v>300.0</v>
      </c>
      <c r="O471" s="30">
        <v>0.0</v>
      </c>
      <c r="P471" s="30">
        <v>0.0</v>
      </c>
      <c r="Q471" s="30">
        <v>428.5452</v>
      </c>
    </row>
    <row r="472">
      <c r="A472" s="47">
        <v>1.1236030635E10</v>
      </c>
      <c r="B472" s="48">
        <v>46157.36885416666</v>
      </c>
      <c r="C472" s="30">
        <v>3.850742744E9</v>
      </c>
      <c r="D472" s="47" t="s">
        <v>1509</v>
      </c>
      <c r="E472" s="47">
        <v>7.613032816536E12</v>
      </c>
      <c r="F472" s="47" t="s">
        <v>1523</v>
      </c>
      <c r="G472" s="47" t="s">
        <v>1533</v>
      </c>
      <c r="H472" s="30">
        <v>2.0</v>
      </c>
      <c r="I472" s="30">
        <v>727.0</v>
      </c>
      <c r="J472" s="30">
        <v>1454.0</v>
      </c>
      <c r="K472" s="30">
        <v>4.41</v>
      </c>
      <c r="L472" s="30">
        <v>64.12140000000001</v>
      </c>
      <c r="M472" s="30">
        <v>580.0</v>
      </c>
      <c r="N472" s="30">
        <v>1160.0</v>
      </c>
      <c r="O472" s="30">
        <v>0.0</v>
      </c>
      <c r="P472" s="30">
        <v>0.0</v>
      </c>
      <c r="Q472" s="30">
        <v>229.8786</v>
      </c>
    </row>
    <row r="473">
      <c r="A473" s="47">
        <v>1.1240653404E10</v>
      </c>
      <c r="B473" s="48">
        <v>46158.80185185185</v>
      </c>
      <c r="C473" s="30">
        <v>3.85472076E9</v>
      </c>
      <c r="D473" s="47" t="s">
        <v>1512</v>
      </c>
      <c r="E473" s="47">
        <v>6.923632570121E12</v>
      </c>
      <c r="F473" s="47" t="s">
        <v>306</v>
      </c>
      <c r="G473" s="47" t="s">
        <v>1555</v>
      </c>
      <c r="H473" s="30">
        <v>1.0</v>
      </c>
      <c r="I473" s="30">
        <v>852.0</v>
      </c>
      <c r="J473" s="30">
        <v>852.0</v>
      </c>
      <c r="K473" s="30">
        <v>14.49</v>
      </c>
      <c r="L473" s="30">
        <v>123.45479999999999</v>
      </c>
      <c r="M473" s="30">
        <v>300.0</v>
      </c>
      <c r="N473" s="30">
        <v>300.0</v>
      </c>
      <c r="O473" s="30">
        <v>0.0</v>
      </c>
      <c r="P473" s="30">
        <v>0.0</v>
      </c>
      <c r="Q473" s="30">
        <v>428.5452</v>
      </c>
    </row>
    <row r="474">
      <c r="A474" s="47">
        <v>1.1237550695E10</v>
      </c>
      <c r="B474" s="48">
        <v>46157.81821759259</v>
      </c>
      <c r="C474" s="30">
        <v>3.852137272E9</v>
      </c>
      <c r="D474" s="47" t="s">
        <v>1509</v>
      </c>
      <c r="E474" s="47" t="s">
        <v>356</v>
      </c>
      <c r="F474" s="47" t="s">
        <v>1523</v>
      </c>
      <c r="G474" s="47" t="s">
        <v>1532</v>
      </c>
      <c r="H474" s="30">
        <v>1.0</v>
      </c>
      <c r="I474" s="30">
        <v>729.0</v>
      </c>
      <c r="J474" s="30">
        <v>729.0</v>
      </c>
      <c r="K474" s="30">
        <v>4.95</v>
      </c>
      <c r="L474" s="30">
        <v>36.0855</v>
      </c>
      <c r="M474" s="30">
        <v>580.0</v>
      </c>
      <c r="N474" s="30">
        <v>580.0</v>
      </c>
      <c r="O474" s="30">
        <v>0.0</v>
      </c>
      <c r="P474" s="30">
        <v>0.0</v>
      </c>
      <c r="Q474" s="30">
        <v>112.9145</v>
      </c>
    </row>
    <row r="475">
      <c r="A475" s="47">
        <v>1.1238314998E10</v>
      </c>
      <c r="B475" s="48">
        <v>46157.96769675926</v>
      </c>
      <c r="C475" s="30">
        <v>3.852679633E9</v>
      </c>
      <c r="D475" s="47" t="s">
        <v>1509</v>
      </c>
      <c r="E475" s="47">
        <v>7.613032816536E12</v>
      </c>
      <c r="F475" s="47" t="s">
        <v>1523</v>
      </c>
      <c r="G475" s="47" t="s">
        <v>1533</v>
      </c>
      <c r="H475" s="30">
        <v>1.0</v>
      </c>
      <c r="I475" s="30">
        <v>729.0</v>
      </c>
      <c r="J475" s="30">
        <v>729.0</v>
      </c>
      <c r="K475" s="30">
        <v>4.41</v>
      </c>
      <c r="L475" s="30">
        <v>32.148900000000005</v>
      </c>
      <c r="M475" s="30">
        <v>580.0</v>
      </c>
      <c r="N475" s="30">
        <v>580.0</v>
      </c>
      <c r="O475" s="30">
        <v>0.0</v>
      </c>
      <c r="P475" s="30">
        <v>0.0</v>
      </c>
      <c r="Q475" s="30">
        <v>116.8511</v>
      </c>
    </row>
    <row r="476">
      <c r="A476" s="47">
        <v>1.1230804455E10</v>
      </c>
      <c r="B476" s="48">
        <v>46155.73855324074</v>
      </c>
      <c r="C476" s="30">
        <v>3.846097865E9</v>
      </c>
      <c r="D476" s="47" t="s">
        <v>1509</v>
      </c>
      <c r="E476" s="47">
        <v>7.613032816536E12</v>
      </c>
      <c r="F476" s="47" t="s">
        <v>1523</v>
      </c>
      <c r="G476" s="47" t="s">
        <v>1533</v>
      </c>
      <c r="H476" s="30">
        <v>8.0</v>
      </c>
      <c r="I476" s="30">
        <v>735.0</v>
      </c>
      <c r="J476" s="30">
        <v>5880.0</v>
      </c>
      <c r="K476" s="30">
        <v>4.41</v>
      </c>
      <c r="L476" s="30">
        <v>259.308</v>
      </c>
      <c r="M476" s="30">
        <v>580.0</v>
      </c>
      <c r="N476" s="30">
        <v>4640.0</v>
      </c>
      <c r="O476" s="30">
        <v>0.0</v>
      </c>
      <c r="P476" s="30">
        <v>0.0</v>
      </c>
      <c r="Q476" s="30">
        <v>980.692</v>
      </c>
    </row>
    <row r="477">
      <c r="A477" s="47">
        <v>1.1237241631E10</v>
      </c>
      <c r="B477" s="48">
        <v>46157.75313657407</v>
      </c>
      <c r="C477" s="30">
        <v>3.851879883E9</v>
      </c>
      <c r="D477" s="47" t="s">
        <v>1509</v>
      </c>
      <c r="E477" s="47" t="s">
        <v>356</v>
      </c>
      <c r="F477" s="47" t="s">
        <v>1523</v>
      </c>
      <c r="G477" s="47" t="s">
        <v>1532</v>
      </c>
      <c r="H477" s="30">
        <v>2.0</v>
      </c>
      <c r="I477" s="30">
        <v>729.0</v>
      </c>
      <c r="J477" s="30">
        <v>1458.0</v>
      </c>
      <c r="K477" s="30">
        <v>4.95</v>
      </c>
      <c r="L477" s="30">
        <v>72.171</v>
      </c>
      <c r="M477" s="30">
        <v>580.0</v>
      </c>
      <c r="N477" s="30">
        <v>1160.0</v>
      </c>
      <c r="O477" s="30">
        <v>0.0</v>
      </c>
      <c r="P477" s="30">
        <v>0.0</v>
      </c>
      <c r="Q477" s="30">
        <v>225.829</v>
      </c>
    </row>
    <row r="478">
      <c r="A478" s="47">
        <v>1.1236650381E10</v>
      </c>
      <c r="B478" s="48">
        <v>46157.63618055556</v>
      </c>
      <c r="C478" s="30">
        <v>3.85137835E9</v>
      </c>
      <c r="D478" s="47" t="s">
        <v>1509</v>
      </c>
      <c r="E478" s="47" t="s">
        <v>356</v>
      </c>
      <c r="F478" s="47" t="s">
        <v>1523</v>
      </c>
      <c r="G478" s="47" t="s">
        <v>1532</v>
      </c>
      <c r="H478" s="30">
        <v>2.0</v>
      </c>
      <c r="I478" s="30">
        <v>729.0</v>
      </c>
      <c r="J478" s="30">
        <v>1458.0</v>
      </c>
      <c r="K478" s="30">
        <v>4.95</v>
      </c>
      <c r="L478" s="30">
        <v>72.171</v>
      </c>
      <c r="M478" s="30">
        <v>580.0</v>
      </c>
      <c r="N478" s="30">
        <v>1160.0</v>
      </c>
      <c r="O478" s="30">
        <v>0.0</v>
      </c>
      <c r="P478" s="30">
        <v>0.0</v>
      </c>
      <c r="Q478" s="30">
        <v>225.829</v>
      </c>
    </row>
    <row r="479">
      <c r="A479" s="47">
        <v>1.1235368485E10</v>
      </c>
      <c r="B479" s="48">
        <v>46157.03135416667</v>
      </c>
      <c r="C479" s="30">
        <v>3.850071693E9</v>
      </c>
      <c r="D479" s="47" t="s">
        <v>1509</v>
      </c>
      <c r="E479" s="47">
        <v>8.410650167909E12</v>
      </c>
      <c r="F479" s="47" t="s">
        <v>1523</v>
      </c>
      <c r="G479" s="47" t="s">
        <v>1551</v>
      </c>
      <c r="H479" s="30">
        <v>1.0</v>
      </c>
      <c r="I479" s="30">
        <v>1620.0</v>
      </c>
      <c r="J479" s="30">
        <v>1620.0</v>
      </c>
      <c r="K479" s="30">
        <v>14.85</v>
      </c>
      <c r="L479" s="30">
        <v>240.57</v>
      </c>
      <c r="M479" s="30">
        <v>1228.0</v>
      </c>
      <c r="N479" s="30">
        <v>1228.0</v>
      </c>
      <c r="O479" s="30">
        <v>0.0</v>
      </c>
      <c r="P479" s="30">
        <v>0.0</v>
      </c>
      <c r="Q479" s="30">
        <v>151.43</v>
      </c>
    </row>
    <row r="480">
      <c r="A480" s="47">
        <v>1.1238840556E10</v>
      </c>
      <c r="B480" s="48">
        <v>46158.072534722225</v>
      </c>
      <c r="C480" s="30">
        <v>3.853109582E9</v>
      </c>
      <c r="D480" s="47" t="s">
        <v>1510</v>
      </c>
      <c r="E480" s="47">
        <v>7.613032816536E12</v>
      </c>
      <c r="F480" s="47" t="s">
        <v>1523</v>
      </c>
      <c r="G480" s="47" t="s">
        <v>1533</v>
      </c>
      <c r="H480" s="30">
        <v>1.0</v>
      </c>
      <c r="I480" s="30">
        <v>729.0</v>
      </c>
      <c r="J480" s="30">
        <v>729.0</v>
      </c>
      <c r="K480" s="30">
        <v>4.41</v>
      </c>
      <c r="L480" s="30">
        <v>32.148900000000005</v>
      </c>
      <c r="M480" s="30">
        <v>580.0</v>
      </c>
      <c r="N480" s="30">
        <v>580.0</v>
      </c>
      <c r="O480" s="30">
        <v>0.0</v>
      </c>
      <c r="P480" s="30">
        <v>0.0</v>
      </c>
      <c r="Q480" s="30">
        <v>116.8511</v>
      </c>
    </row>
    <row r="481">
      <c r="A481" s="47">
        <v>1.1235613241E10</v>
      </c>
      <c r="B481" s="48">
        <v>46157.084814814814</v>
      </c>
      <c r="C481" s="30">
        <v>3.85030881E9</v>
      </c>
      <c r="D481" s="47" t="s">
        <v>1509</v>
      </c>
      <c r="E481" s="47">
        <v>7.613032816536E12</v>
      </c>
      <c r="F481" s="47" t="s">
        <v>1523</v>
      </c>
      <c r="G481" s="47" t="s">
        <v>1533</v>
      </c>
      <c r="H481" s="30">
        <v>1.0</v>
      </c>
      <c r="I481" s="30">
        <v>727.0</v>
      </c>
      <c r="J481" s="30">
        <v>727.0</v>
      </c>
      <c r="K481" s="30">
        <v>4.41</v>
      </c>
      <c r="L481" s="30">
        <v>32.060700000000004</v>
      </c>
      <c r="M481" s="30">
        <v>580.0</v>
      </c>
      <c r="N481" s="30">
        <v>580.0</v>
      </c>
      <c r="O481" s="30">
        <v>0.0</v>
      </c>
      <c r="P481" s="30">
        <v>0.0</v>
      </c>
      <c r="Q481" s="30">
        <v>114.9393</v>
      </c>
    </row>
    <row r="482">
      <c r="A482" s="47">
        <v>1.1238202762E10</v>
      </c>
      <c r="B482" s="48">
        <v>46157.94627314815</v>
      </c>
      <c r="C482" s="30">
        <v>3.852602556E9</v>
      </c>
      <c r="D482" s="47" t="s">
        <v>1509</v>
      </c>
      <c r="E482" s="47" t="s">
        <v>356</v>
      </c>
      <c r="F482" s="47" t="s">
        <v>1523</v>
      </c>
      <c r="G482" s="47" t="s">
        <v>1532</v>
      </c>
      <c r="H482" s="30">
        <v>2.0</v>
      </c>
      <c r="I482" s="30">
        <v>729.0</v>
      </c>
      <c r="J482" s="30">
        <v>1458.0</v>
      </c>
      <c r="K482" s="30">
        <v>4.95</v>
      </c>
      <c r="L482" s="30">
        <v>72.171</v>
      </c>
      <c r="M482" s="30">
        <v>580.0</v>
      </c>
      <c r="N482" s="30">
        <v>1160.0</v>
      </c>
      <c r="O482" s="30">
        <v>0.0</v>
      </c>
      <c r="P482" s="30">
        <v>0.0</v>
      </c>
      <c r="Q482" s="30">
        <v>225.829</v>
      </c>
    </row>
    <row r="483">
      <c r="A483" s="47">
        <v>1.1236938804E10</v>
      </c>
      <c r="B483" s="48">
        <v>46157.692245370374</v>
      </c>
      <c r="C483" s="30">
        <v>3.851625559E9</v>
      </c>
      <c r="D483" s="47" t="s">
        <v>1509</v>
      </c>
      <c r="E483" s="47" t="s">
        <v>356</v>
      </c>
      <c r="F483" s="47" t="s">
        <v>1523</v>
      </c>
      <c r="G483" s="47" t="s">
        <v>1532</v>
      </c>
      <c r="H483" s="30">
        <v>2.0</v>
      </c>
      <c r="I483" s="30">
        <v>729.0</v>
      </c>
      <c r="J483" s="30">
        <v>1458.0</v>
      </c>
      <c r="K483" s="30">
        <v>4.95</v>
      </c>
      <c r="L483" s="30">
        <v>72.171</v>
      </c>
      <c r="M483" s="30">
        <v>580.0</v>
      </c>
      <c r="N483" s="30">
        <v>1160.0</v>
      </c>
      <c r="O483" s="30">
        <v>0.0</v>
      </c>
      <c r="P483" s="30">
        <v>0.0</v>
      </c>
      <c r="Q483" s="30">
        <v>225.829</v>
      </c>
    </row>
    <row r="484">
      <c r="A484" s="47">
        <v>1.1238358366E10</v>
      </c>
      <c r="B484" s="48">
        <v>46157.97582175926</v>
      </c>
      <c r="C484" s="30">
        <v>3.852712186E9</v>
      </c>
      <c r="D484" s="47" t="s">
        <v>1509</v>
      </c>
      <c r="E484" s="47">
        <v>7.613033560064E12</v>
      </c>
      <c r="F484" s="47" t="s">
        <v>1523</v>
      </c>
      <c r="G484" s="47" t="s">
        <v>1527</v>
      </c>
      <c r="H484" s="30">
        <v>2.0</v>
      </c>
      <c r="I484" s="30">
        <v>1291.0</v>
      </c>
      <c r="J484" s="30">
        <v>2582.0</v>
      </c>
      <c r="K484" s="30">
        <v>2.7</v>
      </c>
      <c r="L484" s="30">
        <v>69.714</v>
      </c>
      <c r="M484" s="30">
        <v>1190.0</v>
      </c>
      <c r="N484" s="30">
        <v>2380.0</v>
      </c>
      <c r="O484" s="30">
        <v>0.0</v>
      </c>
      <c r="P484" s="30">
        <v>0.0</v>
      </c>
      <c r="Q484" s="30">
        <v>132.286</v>
      </c>
    </row>
    <row r="485">
      <c r="A485" s="47">
        <v>1.123784757E10</v>
      </c>
      <c r="B485" s="48">
        <v>46157.878483796296</v>
      </c>
      <c r="C485" s="30">
        <v>3.852360768E9</v>
      </c>
      <c r="D485" s="47" t="s">
        <v>1509</v>
      </c>
      <c r="E485" s="47">
        <v>7.613033560064E12</v>
      </c>
      <c r="F485" s="47" t="s">
        <v>1523</v>
      </c>
      <c r="G485" s="47" t="s">
        <v>1527</v>
      </c>
      <c r="H485" s="30">
        <v>1.0</v>
      </c>
      <c r="I485" s="30">
        <v>1291.0</v>
      </c>
      <c r="J485" s="30">
        <v>1291.0</v>
      </c>
      <c r="K485" s="30">
        <v>2.7</v>
      </c>
      <c r="L485" s="30">
        <v>34.857</v>
      </c>
      <c r="M485" s="30">
        <v>1190.0</v>
      </c>
      <c r="N485" s="30">
        <v>1190.0</v>
      </c>
      <c r="O485" s="30">
        <v>0.0</v>
      </c>
      <c r="P485" s="30">
        <v>0.0</v>
      </c>
      <c r="Q485" s="30">
        <v>66.143</v>
      </c>
    </row>
    <row r="486">
      <c r="A486" s="47">
        <v>1.123666951E10</v>
      </c>
      <c r="B486" s="48">
        <v>46157.63953703704</v>
      </c>
      <c r="C486" s="30">
        <v>3.851399108E9</v>
      </c>
      <c r="D486" s="47" t="s">
        <v>1509</v>
      </c>
      <c r="E486" s="47">
        <v>7.613032816536E12</v>
      </c>
      <c r="F486" s="47" t="s">
        <v>1523</v>
      </c>
      <c r="G486" s="47" t="s">
        <v>1533</v>
      </c>
      <c r="H486" s="30">
        <v>1.0</v>
      </c>
      <c r="I486" s="30">
        <v>727.0</v>
      </c>
      <c r="J486" s="30">
        <v>727.0</v>
      </c>
      <c r="K486" s="30">
        <v>4.41</v>
      </c>
      <c r="L486" s="30">
        <v>32.060700000000004</v>
      </c>
      <c r="M486" s="30">
        <v>580.0</v>
      </c>
      <c r="N486" s="30">
        <v>580.0</v>
      </c>
      <c r="O486" s="30">
        <v>0.0</v>
      </c>
      <c r="P486" s="30">
        <v>0.0</v>
      </c>
      <c r="Q486" s="30">
        <v>114.9393</v>
      </c>
    </row>
    <row r="487">
      <c r="A487" s="47">
        <v>1.1237218236E10</v>
      </c>
      <c r="B487" s="48">
        <v>46157.74827546296</v>
      </c>
      <c r="C487" s="30">
        <v>3.851861527E9</v>
      </c>
      <c r="D487" s="47" t="s">
        <v>1509</v>
      </c>
      <c r="E487" s="47">
        <v>7.613032816536E12</v>
      </c>
      <c r="F487" s="47" t="s">
        <v>1523</v>
      </c>
      <c r="G487" s="47" t="s">
        <v>1533</v>
      </c>
      <c r="H487" s="30">
        <v>1.0</v>
      </c>
      <c r="I487" s="30">
        <v>727.0</v>
      </c>
      <c r="J487" s="30">
        <v>727.0</v>
      </c>
      <c r="K487" s="30">
        <v>4.41</v>
      </c>
      <c r="L487" s="30">
        <v>32.060700000000004</v>
      </c>
      <c r="M487" s="30">
        <v>580.0</v>
      </c>
      <c r="N487" s="30">
        <v>580.0</v>
      </c>
      <c r="O487" s="30">
        <v>0.0</v>
      </c>
      <c r="P487" s="30">
        <v>0.0</v>
      </c>
      <c r="Q487" s="30">
        <v>114.9393</v>
      </c>
    </row>
    <row r="488">
      <c r="A488" s="47">
        <v>1.1233326107E10</v>
      </c>
      <c r="B488" s="48">
        <v>46156.60527777778</v>
      </c>
      <c r="C488" s="30">
        <v>3.848426366E9</v>
      </c>
      <c r="D488" s="47" t="s">
        <v>1509</v>
      </c>
      <c r="E488" s="47">
        <v>8.410650151656E12</v>
      </c>
      <c r="F488" s="47" t="s">
        <v>1523</v>
      </c>
      <c r="G488" s="47" t="s">
        <v>1525</v>
      </c>
      <c r="H488" s="30">
        <v>1.0</v>
      </c>
      <c r="I488" s="30">
        <v>1640.0</v>
      </c>
      <c r="J488" s="30">
        <v>1640.0</v>
      </c>
      <c r="K488" s="30">
        <v>14.85</v>
      </c>
      <c r="L488" s="30">
        <v>243.54</v>
      </c>
      <c r="M488" s="30">
        <v>1228.0</v>
      </c>
      <c r="N488" s="30">
        <v>1228.0</v>
      </c>
      <c r="O488" s="30">
        <v>0.0</v>
      </c>
      <c r="P488" s="30">
        <v>0.0</v>
      </c>
      <c r="Q488" s="30">
        <v>168.46</v>
      </c>
    </row>
    <row r="489">
      <c r="A489" s="47">
        <v>1.1239003787E10</v>
      </c>
      <c r="B489" s="48">
        <v>46158.11127314815</v>
      </c>
      <c r="C489" s="30">
        <v>3.85325862E9</v>
      </c>
      <c r="D489" s="47" t="s">
        <v>1509</v>
      </c>
      <c r="E489" s="47">
        <v>7.613032816536E12</v>
      </c>
      <c r="F489" s="47" t="s">
        <v>1523</v>
      </c>
      <c r="G489" s="47" t="s">
        <v>1533</v>
      </c>
      <c r="H489" s="30">
        <v>1.0</v>
      </c>
      <c r="I489" s="30">
        <v>729.0</v>
      </c>
      <c r="J489" s="30">
        <v>729.0</v>
      </c>
      <c r="K489" s="30">
        <v>4.41</v>
      </c>
      <c r="L489" s="30">
        <v>32.148900000000005</v>
      </c>
      <c r="M489" s="30">
        <v>580.0</v>
      </c>
      <c r="N489" s="30">
        <v>580.0</v>
      </c>
      <c r="O489" s="30">
        <v>0.0</v>
      </c>
      <c r="P489" s="30">
        <v>0.0</v>
      </c>
      <c r="Q489" s="30">
        <v>116.8511</v>
      </c>
    </row>
    <row r="490">
      <c r="A490" s="47">
        <v>1.1246315781E10</v>
      </c>
      <c r="B490" s="48">
        <v>46160.61121527778</v>
      </c>
      <c r="C490" s="30">
        <v>3.85939981E9</v>
      </c>
      <c r="D490" s="47" t="s">
        <v>1511</v>
      </c>
      <c r="E490" s="47">
        <v>1.172022022E9</v>
      </c>
      <c r="F490" s="47" t="s">
        <v>1523</v>
      </c>
      <c r="G490" s="47" t="s">
        <v>1550</v>
      </c>
      <c r="H490" s="30">
        <v>1.0</v>
      </c>
      <c r="I490" s="30">
        <v>747.87</v>
      </c>
      <c r="J490" s="30">
        <v>747.87</v>
      </c>
      <c r="K490" s="30">
        <v>0.0</v>
      </c>
      <c r="L490" s="30">
        <v>0.0</v>
      </c>
      <c r="M490" s="30">
        <v>0.0</v>
      </c>
      <c r="N490" s="30">
        <v>0.0</v>
      </c>
      <c r="O490" s="30">
        <v>0.0</v>
      </c>
      <c r="P490" s="30">
        <v>0.0</v>
      </c>
      <c r="Q490" s="30">
        <v>747.87</v>
      </c>
    </row>
    <row r="491">
      <c r="A491" s="47">
        <v>1.1246315781E10</v>
      </c>
      <c r="B491" s="48">
        <v>46160.61121527778</v>
      </c>
      <c r="C491" s="30">
        <v>3.85939981E9</v>
      </c>
      <c r="D491" s="47" t="s">
        <v>1511</v>
      </c>
      <c r="E491" s="47">
        <v>8.684501941837E12</v>
      </c>
      <c r="F491" s="47" t="s">
        <v>289</v>
      </c>
      <c r="G491" s="47" t="s">
        <v>1543</v>
      </c>
      <c r="H491" s="30">
        <v>1.0</v>
      </c>
      <c r="I491" s="30">
        <v>306.13</v>
      </c>
      <c r="J491" s="30">
        <v>306.13</v>
      </c>
      <c r="K491" s="30">
        <v>0.0</v>
      </c>
      <c r="L491" s="30">
        <v>0.0</v>
      </c>
      <c r="M491" s="30">
        <v>53.0</v>
      </c>
      <c r="N491" s="30">
        <v>53.0</v>
      </c>
      <c r="O491" s="30">
        <v>0.0</v>
      </c>
      <c r="P491" s="30">
        <v>0.0</v>
      </c>
      <c r="Q491" s="30">
        <v>253.13</v>
      </c>
    </row>
    <row r="492">
      <c r="A492" s="47">
        <v>1.1238358326E10</v>
      </c>
      <c r="B492" s="48">
        <v>46157.975810185184</v>
      </c>
      <c r="C492" s="30">
        <v>3.852713218E9</v>
      </c>
      <c r="D492" s="47" t="s">
        <v>1509</v>
      </c>
      <c r="E492" s="47">
        <v>7.613033560064E12</v>
      </c>
      <c r="F492" s="47" t="s">
        <v>1523</v>
      </c>
      <c r="G492" s="47" t="s">
        <v>1527</v>
      </c>
      <c r="H492" s="30">
        <v>1.0</v>
      </c>
      <c r="I492" s="30">
        <v>1291.0</v>
      </c>
      <c r="J492" s="30">
        <v>1291.0</v>
      </c>
      <c r="K492" s="30">
        <v>2.7</v>
      </c>
      <c r="L492" s="30">
        <v>34.857</v>
      </c>
      <c r="M492" s="30">
        <v>1190.0</v>
      </c>
      <c r="N492" s="30">
        <v>1190.0</v>
      </c>
      <c r="O492" s="30">
        <v>0.0</v>
      </c>
      <c r="P492" s="30">
        <v>0.0</v>
      </c>
      <c r="Q492" s="30">
        <v>66.143</v>
      </c>
    </row>
    <row r="493">
      <c r="A493" s="47">
        <v>1.1238100284E10</v>
      </c>
      <c r="B493" s="48">
        <v>46157.926724537036</v>
      </c>
      <c r="C493" s="30">
        <v>3.852534318E9</v>
      </c>
      <c r="D493" s="47" t="s">
        <v>1509</v>
      </c>
      <c r="E493" s="47">
        <v>7.613035846708E12</v>
      </c>
      <c r="F493" s="47" t="s">
        <v>1523</v>
      </c>
      <c r="G493" s="47" t="s">
        <v>1535</v>
      </c>
      <c r="H493" s="30">
        <v>1.0</v>
      </c>
      <c r="I493" s="30">
        <v>1267.9</v>
      </c>
      <c r="J493" s="30">
        <v>1267.9</v>
      </c>
      <c r="K493" s="30">
        <v>4.5</v>
      </c>
      <c r="L493" s="30">
        <v>57.0555</v>
      </c>
      <c r="M493" s="30">
        <v>1160.0</v>
      </c>
      <c r="N493" s="30">
        <v>1160.0</v>
      </c>
      <c r="O493" s="30">
        <v>0.0</v>
      </c>
      <c r="P493" s="30">
        <v>0.0</v>
      </c>
      <c r="Q493" s="30">
        <v>50.84450000000009</v>
      </c>
    </row>
    <row r="494">
      <c r="A494" s="47">
        <v>1.1235407287E10</v>
      </c>
      <c r="B494" s="48">
        <v>46157.03921296296</v>
      </c>
      <c r="C494" s="30">
        <v>3.850107954E9</v>
      </c>
      <c r="D494" s="47" t="s">
        <v>1509</v>
      </c>
      <c r="E494" s="47">
        <v>7.613032816536E12</v>
      </c>
      <c r="F494" s="47" t="s">
        <v>1523</v>
      </c>
      <c r="G494" s="47" t="s">
        <v>1533</v>
      </c>
      <c r="H494" s="30">
        <v>1.0</v>
      </c>
      <c r="I494" s="30">
        <v>727.0</v>
      </c>
      <c r="J494" s="30">
        <v>727.0</v>
      </c>
      <c r="K494" s="30">
        <v>4.41</v>
      </c>
      <c r="L494" s="30">
        <v>32.060700000000004</v>
      </c>
      <c r="M494" s="30">
        <v>580.0</v>
      </c>
      <c r="N494" s="30">
        <v>580.0</v>
      </c>
      <c r="O494" s="30">
        <v>0.0</v>
      </c>
      <c r="P494" s="30">
        <v>0.0</v>
      </c>
      <c r="Q494" s="30">
        <v>114.9393</v>
      </c>
    </row>
    <row r="495">
      <c r="A495" s="47">
        <v>1.1239039318E10</v>
      </c>
      <c r="B495" s="48">
        <v>46158.12038194444</v>
      </c>
      <c r="C495" s="30">
        <v>3.853293181E9</v>
      </c>
      <c r="D495" s="47" t="s">
        <v>1509</v>
      </c>
      <c r="E495" s="47">
        <v>7.613032816536E12</v>
      </c>
      <c r="F495" s="47" t="s">
        <v>1523</v>
      </c>
      <c r="G495" s="47" t="s">
        <v>1533</v>
      </c>
      <c r="H495" s="30">
        <v>1.0</v>
      </c>
      <c r="I495" s="30">
        <v>729.0</v>
      </c>
      <c r="J495" s="30">
        <v>729.0</v>
      </c>
      <c r="K495" s="30">
        <v>4.41</v>
      </c>
      <c r="L495" s="30">
        <v>32.148900000000005</v>
      </c>
      <c r="M495" s="30">
        <v>580.0</v>
      </c>
      <c r="N495" s="30">
        <v>580.0</v>
      </c>
      <c r="O495" s="30">
        <v>0.0</v>
      </c>
      <c r="P495" s="30">
        <v>0.0</v>
      </c>
      <c r="Q495" s="30">
        <v>116.8511</v>
      </c>
    </row>
    <row r="496">
      <c r="A496" s="47">
        <v>1.123848114E10</v>
      </c>
      <c r="B496" s="48">
        <v>46157.999386574076</v>
      </c>
      <c r="C496" s="30">
        <v>3.852805207E9</v>
      </c>
      <c r="D496" s="47" t="s">
        <v>1509</v>
      </c>
      <c r="E496" s="47">
        <v>7.613032816536E12</v>
      </c>
      <c r="F496" s="47" t="s">
        <v>1523</v>
      </c>
      <c r="G496" s="47" t="s">
        <v>1533</v>
      </c>
      <c r="H496" s="30">
        <v>1.0</v>
      </c>
      <c r="I496" s="30">
        <v>729.0</v>
      </c>
      <c r="J496" s="30">
        <v>729.0</v>
      </c>
      <c r="K496" s="30">
        <v>4.41</v>
      </c>
      <c r="L496" s="30">
        <v>32.148900000000005</v>
      </c>
      <c r="M496" s="30">
        <v>580.0</v>
      </c>
      <c r="N496" s="30">
        <v>580.0</v>
      </c>
      <c r="O496" s="30">
        <v>0.0</v>
      </c>
      <c r="P496" s="30">
        <v>0.0</v>
      </c>
      <c r="Q496" s="30">
        <v>116.8511</v>
      </c>
    </row>
    <row r="497">
      <c r="A497" s="47">
        <v>1.1238282889E10</v>
      </c>
      <c r="B497" s="48">
        <v>46157.96134259259</v>
      </c>
      <c r="C497" s="30">
        <v>3.852659301E9</v>
      </c>
      <c r="D497" s="47" t="s">
        <v>1509</v>
      </c>
      <c r="E497" s="47">
        <v>7.613033560064E12</v>
      </c>
      <c r="F497" s="47" t="s">
        <v>1523</v>
      </c>
      <c r="G497" s="47" t="s">
        <v>1527</v>
      </c>
      <c r="H497" s="30">
        <v>1.0</v>
      </c>
      <c r="I497" s="30">
        <v>1291.0</v>
      </c>
      <c r="J497" s="30">
        <v>1291.0</v>
      </c>
      <c r="K497" s="30">
        <v>2.7</v>
      </c>
      <c r="L497" s="30">
        <v>34.857</v>
      </c>
      <c r="M497" s="30">
        <v>1190.0</v>
      </c>
      <c r="N497" s="30">
        <v>1190.0</v>
      </c>
      <c r="O497" s="30">
        <v>0.0</v>
      </c>
      <c r="P497" s="30">
        <v>0.0</v>
      </c>
      <c r="Q497" s="30">
        <v>66.143</v>
      </c>
    </row>
    <row r="498">
      <c r="A498" s="47">
        <v>1.1237468033E10</v>
      </c>
      <c r="B498" s="48">
        <v>46157.801030092596</v>
      </c>
      <c r="C498" s="30">
        <v>3.852069495E9</v>
      </c>
      <c r="D498" s="47" t="s">
        <v>1509</v>
      </c>
      <c r="E498" s="47">
        <v>7.613032816536E12</v>
      </c>
      <c r="F498" s="47" t="s">
        <v>1523</v>
      </c>
      <c r="G498" s="47" t="s">
        <v>1533</v>
      </c>
      <c r="H498" s="30">
        <v>1.0</v>
      </c>
      <c r="I498" s="30">
        <v>735.0</v>
      </c>
      <c r="J498" s="30">
        <v>735.0</v>
      </c>
      <c r="K498" s="30">
        <v>4.41</v>
      </c>
      <c r="L498" s="30">
        <v>32.4135</v>
      </c>
      <c r="M498" s="30">
        <v>580.0</v>
      </c>
      <c r="N498" s="30">
        <v>580.0</v>
      </c>
      <c r="O498" s="30">
        <v>0.0</v>
      </c>
      <c r="P498" s="30">
        <v>0.0</v>
      </c>
      <c r="Q498" s="30">
        <v>122.5865</v>
      </c>
    </row>
    <row r="499">
      <c r="A499" s="47">
        <v>1.1238190734E10</v>
      </c>
      <c r="B499" s="48">
        <v>46157.94398148148</v>
      </c>
      <c r="C499" s="30">
        <v>3.85259305E9</v>
      </c>
      <c r="D499" s="47" t="s">
        <v>1509</v>
      </c>
      <c r="E499" s="47">
        <v>7.613033560064E12</v>
      </c>
      <c r="F499" s="47" t="s">
        <v>1523</v>
      </c>
      <c r="G499" s="47" t="s">
        <v>1527</v>
      </c>
      <c r="H499" s="30">
        <v>1.0</v>
      </c>
      <c r="I499" s="30">
        <v>1291.0</v>
      </c>
      <c r="J499" s="30">
        <v>1291.0</v>
      </c>
      <c r="K499" s="30">
        <v>2.7</v>
      </c>
      <c r="L499" s="30">
        <v>34.857</v>
      </c>
      <c r="M499" s="30">
        <v>1190.0</v>
      </c>
      <c r="N499" s="30">
        <v>1190.0</v>
      </c>
      <c r="O499" s="30">
        <v>0.0</v>
      </c>
      <c r="P499" s="30">
        <v>0.0</v>
      </c>
      <c r="Q499" s="30">
        <v>66.143</v>
      </c>
    </row>
    <row r="500">
      <c r="A500" s="47">
        <v>1.1234735769E10</v>
      </c>
      <c r="B500" s="48">
        <v>46156.9034375</v>
      </c>
      <c r="C500" s="30">
        <v>3.849567919E9</v>
      </c>
      <c r="D500" s="47" t="s">
        <v>1509</v>
      </c>
      <c r="E500" s="47">
        <v>7.613033560064E12</v>
      </c>
      <c r="F500" s="47" t="s">
        <v>1523</v>
      </c>
      <c r="G500" s="47" t="s">
        <v>1527</v>
      </c>
      <c r="H500" s="30">
        <v>1.0</v>
      </c>
      <c r="I500" s="30">
        <v>1299.0</v>
      </c>
      <c r="J500" s="30">
        <v>1299.0</v>
      </c>
      <c r="K500" s="30">
        <v>2.7</v>
      </c>
      <c r="L500" s="30">
        <v>35.073</v>
      </c>
      <c r="M500" s="30">
        <v>1190.0</v>
      </c>
      <c r="N500" s="30">
        <v>1190.0</v>
      </c>
      <c r="O500" s="30">
        <v>0.0</v>
      </c>
      <c r="P500" s="30">
        <v>0.0</v>
      </c>
      <c r="Q500" s="30">
        <v>73.92699999999999</v>
      </c>
    </row>
    <row r="501">
      <c r="A501" s="47">
        <v>1.1236261629E10</v>
      </c>
      <c r="B501" s="48">
        <v>46157.543391203704</v>
      </c>
      <c r="C501" s="30">
        <v>3.851015701E9</v>
      </c>
      <c r="D501" s="47" t="s">
        <v>1509</v>
      </c>
      <c r="E501" s="47">
        <v>7.613032816536E12</v>
      </c>
      <c r="F501" s="47" t="s">
        <v>1523</v>
      </c>
      <c r="G501" s="47" t="s">
        <v>1533</v>
      </c>
      <c r="H501" s="30">
        <v>1.0</v>
      </c>
      <c r="I501" s="30">
        <v>727.0</v>
      </c>
      <c r="J501" s="30">
        <v>727.0</v>
      </c>
      <c r="K501" s="30">
        <v>4.41</v>
      </c>
      <c r="L501" s="30">
        <v>32.060700000000004</v>
      </c>
      <c r="M501" s="30">
        <v>580.0</v>
      </c>
      <c r="N501" s="30">
        <v>580.0</v>
      </c>
      <c r="O501" s="30">
        <v>0.0</v>
      </c>
      <c r="P501" s="30">
        <v>0.0</v>
      </c>
      <c r="Q501" s="30">
        <v>114.9393</v>
      </c>
    </row>
    <row r="502">
      <c r="A502" s="47">
        <v>1.1237196091E10</v>
      </c>
      <c r="B502" s="48">
        <v>46157.74387731482</v>
      </c>
      <c r="C502" s="30">
        <v>3.851843154E9</v>
      </c>
      <c r="D502" s="47" t="s">
        <v>1510</v>
      </c>
      <c r="E502" s="47">
        <v>6.923632570001E12</v>
      </c>
      <c r="F502" s="47" t="s">
        <v>1523</v>
      </c>
      <c r="G502" s="47" t="s">
        <v>1544</v>
      </c>
      <c r="H502" s="30">
        <v>1.0</v>
      </c>
      <c r="I502" s="30">
        <v>474.47</v>
      </c>
      <c r="J502" s="30">
        <v>474.47</v>
      </c>
      <c r="K502" s="30">
        <v>18.0</v>
      </c>
      <c r="L502" s="30">
        <v>85.40460000000002</v>
      </c>
      <c r="M502" s="30">
        <v>130.0</v>
      </c>
      <c r="N502" s="30">
        <v>130.0</v>
      </c>
      <c r="O502" s="30">
        <v>0.0</v>
      </c>
      <c r="P502" s="30">
        <v>0.0</v>
      </c>
      <c r="Q502" s="30">
        <v>259.0654</v>
      </c>
    </row>
    <row r="503">
      <c r="A503" s="47">
        <v>1.1238057884E10</v>
      </c>
      <c r="B503" s="48">
        <v>46157.91894675926</v>
      </c>
      <c r="C503" s="30">
        <v>3.852501477E9</v>
      </c>
      <c r="D503" s="47" t="s">
        <v>1509</v>
      </c>
      <c r="E503" s="47">
        <v>7.613032816536E12</v>
      </c>
      <c r="F503" s="47" t="s">
        <v>1523</v>
      </c>
      <c r="G503" s="47" t="s">
        <v>1533</v>
      </c>
      <c r="H503" s="30">
        <v>1.0</v>
      </c>
      <c r="I503" s="30">
        <v>729.0</v>
      </c>
      <c r="J503" s="30">
        <v>729.0</v>
      </c>
      <c r="K503" s="30">
        <v>4.41</v>
      </c>
      <c r="L503" s="30">
        <v>32.148900000000005</v>
      </c>
      <c r="M503" s="30">
        <v>580.0</v>
      </c>
      <c r="N503" s="30">
        <v>580.0</v>
      </c>
      <c r="O503" s="30">
        <v>0.0</v>
      </c>
      <c r="P503" s="30">
        <v>0.0</v>
      </c>
      <c r="Q503" s="30">
        <v>116.8511</v>
      </c>
    </row>
    <row r="504">
      <c r="A504" s="47">
        <v>1.1238607211E10</v>
      </c>
      <c r="B504" s="48">
        <v>46158.023368055554</v>
      </c>
      <c r="C504" s="30">
        <v>3.852904872E9</v>
      </c>
      <c r="D504" s="47" t="s">
        <v>1509</v>
      </c>
      <c r="E504" s="47">
        <v>7.613035846708E12</v>
      </c>
      <c r="F504" s="47" t="s">
        <v>1523</v>
      </c>
      <c r="G504" s="47" t="s">
        <v>1535</v>
      </c>
      <c r="H504" s="30">
        <v>1.0</v>
      </c>
      <c r="I504" s="30">
        <v>1267.9</v>
      </c>
      <c r="J504" s="30">
        <v>1267.9</v>
      </c>
      <c r="K504" s="30">
        <v>4.5</v>
      </c>
      <c r="L504" s="30">
        <v>57.0555</v>
      </c>
      <c r="M504" s="30">
        <v>1160.0</v>
      </c>
      <c r="N504" s="30">
        <v>1160.0</v>
      </c>
      <c r="O504" s="30">
        <v>0.0</v>
      </c>
      <c r="P504" s="30">
        <v>0.0</v>
      </c>
      <c r="Q504" s="30">
        <v>50.84450000000009</v>
      </c>
    </row>
    <row r="505">
      <c r="A505" s="47">
        <v>1.1239632711E10</v>
      </c>
      <c r="B505" s="48">
        <v>46158.58017361111</v>
      </c>
      <c r="C505" s="30">
        <v>3.853879332E9</v>
      </c>
      <c r="D505" s="47" t="s">
        <v>1512</v>
      </c>
      <c r="E505" s="47">
        <v>7.613033560064E12</v>
      </c>
      <c r="F505" s="47" t="s">
        <v>1523</v>
      </c>
      <c r="G505" s="47" t="s">
        <v>1527</v>
      </c>
      <c r="H505" s="30">
        <v>1.0</v>
      </c>
      <c r="I505" s="30">
        <v>1289.0</v>
      </c>
      <c r="J505" s="30">
        <v>1289.0</v>
      </c>
      <c r="K505" s="30">
        <v>2.7</v>
      </c>
      <c r="L505" s="30">
        <v>34.803000000000004</v>
      </c>
      <c r="M505" s="30">
        <v>1190.0</v>
      </c>
      <c r="N505" s="30">
        <v>1190.0</v>
      </c>
      <c r="O505" s="30">
        <v>0.0</v>
      </c>
      <c r="P505" s="30">
        <v>0.0</v>
      </c>
      <c r="Q505" s="30">
        <v>64.197</v>
      </c>
    </row>
    <row r="506">
      <c r="A506" s="47">
        <v>1.1243709522E10</v>
      </c>
      <c r="B506" s="48">
        <v>46159.78533564815</v>
      </c>
      <c r="C506" s="30">
        <v>3.857156956E9</v>
      </c>
      <c r="D506" s="47" t="s">
        <v>1512</v>
      </c>
      <c r="E506" s="47">
        <v>8.410650218663E12</v>
      </c>
      <c r="F506" s="47" t="s">
        <v>1523</v>
      </c>
      <c r="G506" s="47" t="s">
        <v>1542</v>
      </c>
      <c r="H506" s="30">
        <v>1.0</v>
      </c>
      <c r="I506" s="30">
        <v>4515.0</v>
      </c>
      <c r="J506" s="30">
        <v>4515.0</v>
      </c>
      <c r="K506" s="30">
        <v>11.79</v>
      </c>
      <c r="L506" s="30">
        <v>532.3185</v>
      </c>
      <c r="M506" s="30">
        <v>3556.0</v>
      </c>
      <c r="N506" s="30">
        <v>3556.0</v>
      </c>
      <c r="O506" s="30">
        <v>0.0</v>
      </c>
      <c r="P506" s="30">
        <v>0.0</v>
      </c>
      <c r="Q506" s="30">
        <v>426.6815</v>
      </c>
    </row>
    <row r="507">
      <c r="A507" s="47">
        <v>1.1241693618E10</v>
      </c>
      <c r="B507" s="48">
        <v>46159.01273148148</v>
      </c>
      <c r="C507" s="30">
        <v>3.85543916E9</v>
      </c>
      <c r="D507" s="47" t="s">
        <v>1512</v>
      </c>
      <c r="E507" s="47">
        <v>7.613033560064E12</v>
      </c>
      <c r="F507" s="47" t="s">
        <v>1523</v>
      </c>
      <c r="G507" s="47" t="s">
        <v>1527</v>
      </c>
      <c r="H507" s="30">
        <v>1.0</v>
      </c>
      <c r="I507" s="30">
        <v>1284.0</v>
      </c>
      <c r="J507" s="30">
        <v>1284.0</v>
      </c>
      <c r="K507" s="30">
        <v>2.7</v>
      </c>
      <c r="L507" s="30">
        <v>34.668</v>
      </c>
      <c r="M507" s="30">
        <v>1190.0</v>
      </c>
      <c r="N507" s="30">
        <v>1190.0</v>
      </c>
      <c r="O507" s="30">
        <v>0.0</v>
      </c>
      <c r="P507" s="30">
        <v>0.0</v>
      </c>
      <c r="Q507" s="30">
        <v>59.332</v>
      </c>
    </row>
    <row r="508">
      <c r="A508" s="47">
        <v>1.1243713233E10</v>
      </c>
      <c r="B508" s="48">
        <v>46159.78612268518</v>
      </c>
      <c r="C508" s="30">
        <v>3.857158331E9</v>
      </c>
      <c r="D508" s="47" t="s">
        <v>1512</v>
      </c>
      <c r="E508" s="47">
        <v>7.613033560064E12</v>
      </c>
      <c r="F508" s="47" t="s">
        <v>1523</v>
      </c>
      <c r="G508" s="47" t="s">
        <v>1527</v>
      </c>
      <c r="H508" s="30">
        <v>1.0</v>
      </c>
      <c r="I508" s="30">
        <v>1281.0</v>
      </c>
      <c r="J508" s="30">
        <v>1281.0</v>
      </c>
      <c r="K508" s="30">
        <v>2.7</v>
      </c>
      <c r="L508" s="30">
        <v>34.587</v>
      </c>
      <c r="M508" s="30">
        <v>1190.0</v>
      </c>
      <c r="N508" s="30">
        <v>1190.0</v>
      </c>
      <c r="O508" s="30">
        <v>0.0</v>
      </c>
      <c r="P508" s="30">
        <v>0.0</v>
      </c>
      <c r="Q508" s="30">
        <v>56.413</v>
      </c>
    </row>
    <row r="509">
      <c r="A509" s="47">
        <v>1.1239432328E10</v>
      </c>
      <c r="B509" s="48">
        <v>46158.50659722222</v>
      </c>
      <c r="C509" s="30">
        <v>3.853691677E9</v>
      </c>
      <c r="D509" s="47" t="s">
        <v>1512</v>
      </c>
      <c r="E509" s="47">
        <v>7.613033560064E12</v>
      </c>
      <c r="F509" s="47" t="s">
        <v>1523</v>
      </c>
      <c r="G509" s="47" t="s">
        <v>1527</v>
      </c>
      <c r="H509" s="30">
        <v>1.0</v>
      </c>
      <c r="I509" s="30">
        <v>1289.0</v>
      </c>
      <c r="J509" s="30">
        <v>1289.0</v>
      </c>
      <c r="K509" s="30">
        <v>2.7</v>
      </c>
      <c r="L509" s="30">
        <v>34.803000000000004</v>
      </c>
      <c r="M509" s="30">
        <v>1190.0</v>
      </c>
      <c r="N509" s="30">
        <v>1190.0</v>
      </c>
      <c r="O509" s="30">
        <v>0.0</v>
      </c>
      <c r="P509" s="30">
        <v>0.0</v>
      </c>
      <c r="Q509" s="30">
        <v>64.197</v>
      </c>
    </row>
    <row r="510">
      <c r="A510" s="47">
        <v>1.1242736965E10</v>
      </c>
      <c r="B510" s="48">
        <v>46159.56815972222</v>
      </c>
      <c r="C510" s="30">
        <v>3.856379095E9</v>
      </c>
      <c r="D510" s="47" t="s">
        <v>1512</v>
      </c>
      <c r="E510" s="47">
        <v>7.613033560064E12</v>
      </c>
      <c r="F510" s="47" t="s">
        <v>1523</v>
      </c>
      <c r="G510" s="47" t="s">
        <v>1527</v>
      </c>
      <c r="H510" s="30">
        <v>1.0</v>
      </c>
      <c r="I510" s="30">
        <v>1283.0</v>
      </c>
      <c r="J510" s="30">
        <v>1283.0</v>
      </c>
      <c r="K510" s="30">
        <v>2.7</v>
      </c>
      <c r="L510" s="30">
        <v>34.641000000000005</v>
      </c>
      <c r="M510" s="30">
        <v>1190.0</v>
      </c>
      <c r="N510" s="30">
        <v>1190.0</v>
      </c>
      <c r="O510" s="30">
        <v>0.0</v>
      </c>
      <c r="P510" s="30">
        <v>0.0</v>
      </c>
      <c r="Q510" s="30">
        <v>58.358999999999995</v>
      </c>
    </row>
    <row r="511">
      <c r="A511" s="47">
        <v>1.124082808E10</v>
      </c>
      <c r="B511" s="48">
        <v>46158.83855324074</v>
      </c>
      <c r="C511" s="30">
        <v>3.854847685E9</v>
      </c>
      <c r="D511" s="47" t="s">
        <v>1512</v>
      </c>
      <c r="E511" s="47">
        <v>7.613033560064E12</v>
      </c>
      <c r="F511" s="47" t="s">
        <v>1523</v>
      </c>
      <c r="G511" s="47" t="s">
        <v>1527</v>
      </c>
      <c r="H511" s="30">
        <v>1.0</v>
      </c>
      <c r="I511" s="30">
        <v>1285.0</v>
      </c>
      <c r="J511" s="30">
        <v>1285.0</v>
      </c>
      <c r="K511" s="30">
        <v>2.7</v>
      </c>
      <c r="L511" s="30">
        <v>34.69500000000001</v>
      </c>
      <c r="M511" s="30">
        <v>1190.0</v>
      </c>
      <c r="N511" s="30">
        <v>1190.0</v>
      </c>
      <c r="O511" s="30">
        <v>0.0</v>
      </c>
      <c r="P511" s="30">
        <v>0.0</v>
      </c>
      <c r="Q511" s="30">
        <v>60.30499999999999</v>
      </c>
    </row>
    <row r="512">
      <c r="A512" s="47">
        <v>1.1243047194E10</v>
      </c>
      <c r="B512" s="48">
        <v>46159.65015046296</v>
      </c>
      <c r="C512" s="30">
        <v>3.856635682E9</v>
      </c>
      <c r="D512" s="47" t="s">
        <v>1512</v>
      </c>
      <c r="E512" s="47">
        <v>7.613032816536E12</v>
      </c>
      <c r="F512" s="47" t="s">
        <v>1523</v>
      </c>
      <c r="G512" s="47" t="s">
        <v>1533</v>
      </c>
      <c r="H512" s="30">
        <v>1.0</v>
      </c>
      <c r="I512" s="30">
        <v>729.0</v>
      </c>
      <c r="J512" s="30">
        <v>729.0</v>
      </c>
      <c r="K512" s="30">
        <v>4.41</v>
      </c>
      <c r="L512" s="30">
        <v>32.148900000000005</v>
      </c>
      <c r="M512" s="30">
        <v>580.0</v>
      </c>
      <c r="N512" s="30">
        <v>580.0</v>
      </c>
      <c r="O512" s="30">
        <v>0.0</v>
      </c>
      <c r="P512" s="30">
        <v>0.0</v>
      </c>
      <c r="Q512" s="30">
        <v>116.8511</v>
      </c>
    </row>
    <row r="513">
      <c r="A513" s="47">
        <v>1.1239740444E10</v>
      </c>
      <c r="B513" s="48">
        <v>46158.60851851852</v>
      </c>
      <c r="C513" s="30">
        <v>3.853978435E9</v>
      </c>
      <c r="D513" s="47" t="s">
        <v>1512</v>
      </c>
      <c r="E513" s="47">
        <v>7.613032816536E12</v>
      </c>
      <c r="F513" s="47" t="s">
        <v>1523</v>
      </c>
      <c r="G513" s="47" t="s">
        <v>1549</v>
      </c>
      <c r="H513" s="30">
        <v>1.0</v>
      </c>
      <c r="I513" s="30">
        <v>729.0</v>
      </c>
      <c r="J513" s="30">
        <v>729.0</v>
      </c>
      <c r="K513" s="30">
        <v>4.41</v>
      </c>
      <c r="L513" s="30">
        <v>32.148900000000005</v>
      </c>
      <c r="M513" s="30">
        <v>580.0</v>
      </c>
      <c r="N513" s="30">
        <v>580.0</v>
      </c>
      <c r="O513" s="30">
        <v>0.0</v>
      </c>
      <c r="P513" s="30">
        <v>0.0</v>
      </c>
      <c r="Q513" s="30">
        <v>116.8511</v>
      </c>
    </row>
    <row r="514">
      <c r="A514" s="47">
        <v>1.1244349896E10</v>
      </c>
      <c r="B514" s="48">
        <v>46159.905856481484</v>
      </c>
      <c r="C514" s="30">
        <v>3.857594485E9</v>
      </c>
      <c r="D514" s="47" t="s">
        <v>1512</v>
      </c>
      <c r="E514" s="47">
        <v>7.613033560064E12</v>
      </c>
      <c r="F514" s="47" t="s">
        <v>1523</v>
      </c>
      <c r="G514" s="47" t="s">
        <v>1527</v>
      </c>
      <c r="H514" s="30">
        <v>1.0</v>
      </c>
      <c r="I514" s="30">
        <v>1530.0</v>
      </c>
      <c r="J514" s="30">
        <v>1530.0</v>
      </c>
      <c r="K514" s="30">
        <v>6.3</v>
      </c>
      <c r="L514" s="30">
        <v>96.39</v>
      </c>
      <c r="M514" s="30">
        <v>1190.0</v>
      </c>
      <c r="N514" s="30">
        <v>1190.0</v>
      </c>
      <c r="O514" s="30">
        <v>0.0</v>
      </c>
      <c r="P514" s="30">
        <v>0.0</v>
      </c>
      <c r="Q514" s="30">
        <v>243.61</v>
      </c>
    </row>
    <row r="515">
      <c r="A515" s="47">
        <v>1.123523436E10</v>
      </c>
      <c r="B515" s="48">
        <v>46157.003796296296</v>
      </c>
      <c r="C515" s="30">
        <v>3.849954522E9</v>
      </c>
      <c r="D515" s="47" t="s">
        <v>1509</v>
      </c>
      <c r="E515" s="47">
        <v>7.613032816536E12</v>
      </c>
      <c r="F515" s="47" t="s">
        <v>1523</v>
      </c>
      <c r="G515" s="47" t="s">
        <v>1533</v>
      </c>
      <c r="H515" s="30">
        <v>1.0</v>
      </c>
      <c r="I515" s="30">
        <v>727.0</v>
      </c>
      <c r="J515" s="30">
        <v>727.0</v>
      </c>
      <c r="K515" s="30">
        <v>4.41</v>
      </c>
      <c r="L515" s="30">
        <v>32.060700000000004</v>
      </c>
      <c r="M515" s="30">
        <v>580.0</v>
      </c>
      <c r="N515" s="30">
        <v>580.0</v>
      </c>
      <c r="O515" s="30">
        <v>0.0</v>
      </c>
      <c r="P515" s="30">
        <v>0.0</v>
      </c>
      <c r="Q515" s="30">
        <v>114.9393</v>
      </c>
    </row>
    <row r="516">
      <c r="A516" s="47">
        <v>1.1245594712E10</v>
      </c>
      <c r="B516" s="48">
        <v>46160.14173611111</v>
      </c>
      <c r="C516" s="30">
        <v>3.858641517E9</v>
      </c>
      <c r="D516" s="47" t="s">
        <v>1512</v>
      </c>
      <c r="E516" s="47">
        <v>7.613033560064E12</v>
      </c>
      <c r="F516" s="47" t="s">
        <v>1523</v>
      </c>
      <c r="G516" s="47" t="s">
        <v>1527</v>
      </c>
      <c r="H516" s="30">
        <v>1.0</v>
      </c>
      <c r="I516" s="30">
        <v>1530.0</v>
      </c>
      <c r="J516" s="30">
        <v>1530.0</v>
      </c>
      <c r="K516" s="30">
        <v>6.3</v>
      </c>
      <c r="L516" s="30">
        <v>96.39</v>
      </c>
      <c r="M516" s="30">
        <v>1190.0</v>
      </c>
      <c r="N516" s="30">
        <v>1190.0</v>
      </c>
      <c r="O516" s="30">
        <v>0.0</v>
      </c>
      <c r="P516" s="30">
        <v>0.0</v>
      </c>
      <c r="Q516" s="30">
        <v>243.61</v>
      </c>
    </row>
    <row r="517">
      <c r="A517" s="47">
        <v>1.1241609667E10</v>
      </c>
      <c r="B517" s="48">
        <v>46158.99642361111</v>
      </c>
      <c r="C517" s="30">
        <v>3.855375224E9</v>
      </c>
      <c r="D517" s="47" t="s">
        <v>1512</v>
      </c>
      <c r="E517" s="47">
        <v>8.410650151656E12</v>
      </c>
      <c r="F517" s="47" t="s">
        <v>1523</v>
      </c>
      <c r="G517" s="47" t="s">
        <v>1525</v>
      </c>
      <c r="H517" s="30">
        <v>1.0</v>
      </c>
      <c r="I517" s="30">
        <v>1640.0</v>
      </c>
      <c r="J517" s="30">
        <v>1640.0</v>
      </c>
      <c r="K517" s="30">
        <v>12.15</v>
      </c>
      <c r="L517" s="30">
        <v>199.26</v>
      </c>
      <c r="M517" s="30">
        <v>1228.0</v>
      </c>
      <c r="N517" s="30">
        <v>1228.0</v>
      </c>
      <c r="O517" s="30">
        <v>0.0</v>
      </c>
      <c r="P517" s="30">
        <v>0.0</v>
      </c>
      <c r="Q517" s="30">
        <v>212.74</v>
      </c>
    </row>
    <row r="518">
      <c r="A518" s="47">
        <v>1.1242207237E10</v>
      </c>
      <c r="B518" s="48">
        <v>46159.12425925926</v>
      </c>
      <c r="C518" s="30">
        <v>3.855886644E9</v>
      </c>
      <c r="D518" s="47" t="s">
        <v>1512</v>
      </c>
      <c r="E518" s="47">
        <v>7.613033560064E12</v>
      </c>
      <c r="F518" s="47" t="s">
        <v>1523</v>
      </c>
      <c r="G518" s="47" t="s">
        <v>1527</v>
      </c>
      <c r="H518" s="30">
        <v>1.0</v>
      </c>
      <c r="I518" s="30">
        <v>1284.0</v>
      </c>
      <c r="J518" s="30">
        <v>1284.0</v>
      </c>
      <c r="K518" s="30">
        <v>2.7</v>
      </c>
      <c r="L518" s="30">
        <v>34.668</v>
      </c>
      <c r="M518" s="30">
        <v>1190.0</v>
      </c>
      <c r="N518" s="30">
        <v>1190.0</v>
      </c>
      <c r="O518" s="30">
        <v>0.0</v>
      </c>
      <c r="P518" s="30">
        <v>0.0</v>
      </c>
      <c r="Q518" s="30">
        <v>59.332</v>
      </c>
    </row>
    <row r="519">
      <c r="A519" s="47">
        <v>1.124231363E10</v>
      </c>
      <c r="B519" s="48">
        <v>46159.15584490741</v>
      </c>
      <c r="C519" s="30">
        <v>3.855983131E9</v>
      </c>
      <c r="D519" s="47" t="s">
        <v>1512</v>
      </c>
      <c r="E519" s="47">
        <v>7.613033560064E12</v>
      </c>
      <c r="F519" s="47" t="s">
        <v>1523</v>
      </c>
      <c r="G519" s="47" t="s">
        <v>1527</v>
      </c>
      <c r="H519" s="30">
        <v>1.0</v>
      </c>
      <c r="I519" s="30">
        <v>1284.0</v>
      </c>
      <c r="J519" s="30">
        <v>1284.0</v>
      </c>
      <c r="K519" s="30">
        <v>2.7</v>
      </c>
      <c r="L519" s="30">
        <v>34.668</v>
      </c>
      <c r="M519" s="30">
        <v>1190.0</v>
      </c>
      <c r="N519" s="30">
        <v>1190.0</v>
      </c>
      <c r="O519" s="30">
        <v>0.0</v>
      </c>
      <c r="P519" s="30">
        <v>0.0</v>
      </c>
      <c r="Q519" s="30">
        <v>59.332</v>
      </c>
    </row>
    <row r="520">
      <c r="A520" s="47">
        <v>1.1242525737E10</v>
      </c>
      <c r="B520" s="48">
        <v>46159.41059027778</v>
      </c>
      <c r="C520" s="30">
        <v>3.856182821E9</v>
      </c>
      <c r="D520" s="47" t="s">
        <v>1512</v>
      </c>
      <c r="E520" s="47" t="s">
        <v>356</v>
      </c>
      <c r="F520" s="47" t="s">
        <v>1523</v>
      </c>
      <c r="G520" s="47" t="s">
        <v>1532</v>
      </c>
      <c r="H520" s="30">
        <v>1.0</v>
      </c>
      <c r="I520" s="30">
        <v>729.0</v>
      </c>
      <c r="J520" s="30">
        <v>729.0</v>
      </c>
      <c r="K520" s="30">
        <v>4.95</v>
      </c>
      <c r="L520" s="30">
        <v>36.0855</v>
      </c>
      <c r="M520" s="30">
        <v>580.0</v>
      </c>
      <c r="N520" s="30">
        <v>580.0</v>
      </c>
      <c r="O520" s="30">
        <v>0.0</v>
      </c>
      <c r="P520" s="30">
        <v>0.0</v>
      </c>
      <c r="Q520" s="30">
        <v>112.9145</v>
      </c>
    </row>
    <row r="521">
      <c r="A521" s="47">
        <v>1.1242581636E10</v>
      </c>
      <c r="B521" s="48">
        <v>46159.49616898148</v>
      </c>
      <c r="C521" s="30">
        <v>3.856242585E9</v>
      </c>
      <c r="D521" s="47" t="s">
        <v>1512</v>
      </c>
      <c r="E521" s="47">
        <v>7.613032816536E12</v>
      </c>
      <c r="F521" s="47" t="s">
        <v>1523</v>
      </c>
      <c r="G521" s="47" t="s">
        <v>1533</v>
      </c>
      <c r="H521" s="30">
        <v>1.0</v>
      </c>
      <c r="I521" s="30">
        <v>729.0</v>
      </c>
      <c r="J521" s="30">
        <v>729.0</v>
      </c>
      <c r="K521" s="30">
        <v>4.41</v>
      </c>
      <c r="L521" s="30">
        <v>32.148900000000005</v>
      </c>
      <c r="M521" s="30">
        <v>580.0</v>
      </c>
      <c r="N521" s="30">
        <v>580.0</v>
      </c>
      <c r="O521" s="30">
        <v>0.0</v>
      </c>
      <c r="P521" s="30">
        <v>0.0</v>
      </c>
      <c r="Q521" s="30">
        <v>116.8511</v>
      </c>
    </row>
    <row r="522">
      <c r="A522" s="47">
        <v>1.123802089E10</v>
      </c>
      <c r="B522" s="48">
        <v>46157.911875</v>
      </c>
      <c r="C522" s="30">
        <v>3.852478448E9</v>
      </c>
      <c r="D522" s="47" t="s">
        <v>1509</v>
      </c>
      <c r="E522" s="47">
        <v>7.613033560064E12</v>
      </c>
      <c r="F522" s="47" t="s">
        <v>1523</v>
      </c>
      <c r="G522" s="47" t="s">
        <v>1527</v>
      </c>
      <c r="H522" s="30">
        <v>1.0</v>
      </c>
      <c r="I522" s="30">
        <v>1291.0</v>
      </c>
      <c r="J522" s="30">
        <v>1291.0</v>
      </c>
      <c r="K522" s="30">
        <v>2.7</v>
      </c>
      <c r="L522" s="30">
        <v>34.857</v>
      </c>
      <c r="M522" s="30">
        <v>1190.0</v>
      </c>
      <c r="N522" s="30">
        <v>1190.0</v>
      </c>
      <c r="O522" s="30">
        <v>0.0</v>
      </c>
      <c r="P522" s="30">
        <v>0.0</v>
      </c>
      <c r="Q522" s="30">
        <v>66.143</v>
      </c>
    </row>
    <row r="523">
      <c r="A523" s="47">
        <v>1.1239169643E10</v>
      </c>
      <c r="B523" s="48">
        <v>46158.161782407406</v>
      </c>
      <c r="C523" s="30">
        <v>3.853418981E9</v>
      </c>
      <c r="D523" s="47" t="s">
        <v>1512</v>
      </c>
      <c r="E523" s="47">
        <v>7.613033560064E12</v>
      </c>
      <c r="F523" s="47" t="s">
        <v>1523</v>
      </c>
      <c r="G523" s="47" t="s">
        <v>1527</v>
      </c>
      <c r="H523" s="30">
        <v>1.0</v>
      </c>
      <c r="I523" s="30">
        <v>1291.0</v>
      </c>
      <c r="J523" s="30">
        <v>1291.0</v>
      </c>
      <c r="K523" s="30">
        <v>2.7</v>
      </c>
      <c r="L523" s="30">
        <v>34.857</v>
      </c>
      <c r="M523" s="30">
        <v>1190.0</v>
      </c>
      <c r="N523" s="30">
        <v>1190.0</v>
      </c>
      <c r="O523" s="30">
        <v>0.0</v>
      </c>
      <c r="P523" s="30">
        <v>0.0</v>
      </c>
      <c r="Q523" s="30">
        <v>66.143</v>
      </c>
    </row>
    <row r="524">
      <c r="A524" s="47">
        <v>1.1239747481E10</v>
      </c>
      <c r="B524" s="48">
        <v>46158.610347222224</v>
      </c>
      <c r="C524" s="30">
        <v>3.853984993E9</v>
      </c>
      <c r="D524" s="47" t="s">
        <v>1512</v>
      </c>
      <c r="E524" s="47">
        <v>9.003579311714E12</v>
      </c>
      <c r="F524" s="47" t="s">
        <v>1523</v>
      </c>
      <c r="G524" s="47" t="s">
        <v>1565</v>
      </c>
      <c r="H524" s="30">
        <v>1.0</v>
      </c>
      <c r="I524" s="30">
        <v>99.0</v>
      </c>
      <c r="J524" s="30">
        <v>99.0</v>
      </c>
      <c r="K524" s="30">
        <v>11.25</v>
      </c>
      <c r="L524" s="30">
        <v>11.1375</v>
      </c>
      <c r="M524" s="30">
        <v>0.0</v>
      </c>
      <c r="N524" s="30">
        <v>0.0</v>
      </c>
      <c r="O524" s="30">
        <v>0.0</v>
      </c>
      <c r="P524" s="30">
        <v>0.0</v>
      </c>
      <c r="Q524" s="30">
        <v>87.8625</v>
      </c>
    </row>
    <row r="525">
      <c r="A525" s="47">
        <v>1.1240425969E10</v>
      </c>
      <c r="B525" s="48">
        <v>46158.75423611111</v>
      </c>
      <c r="C525" s="30">
        <v>3.854548338E9</v>
      </c>
      <c r="D525" s="47" t="s">
        <v>1512</v>
      </c>
      <c r="E525" s="47">
        <v>7.613033560064E12</v>
      </c>
      <c r="F525" s="47" t="s">
        <v>1523</v>
      </c>
      <c r="G525" s="47" t="s">
        <v>1527</v>
      </c>
      <c r="H525" s="30">
        <v>1.0</v>
      </c>
      <c r="I525" s="30">
        <v>1286.0</v>
      </c>
      <c r="J525" s="30">
        <v>1286.0</v>
      </c>
      <c r="K525" s="30">
        <v>2.7</v>
      </c>
      <c r="L525" s="30">
        <v>34.722</v>
      </c>
      <c r="M525" s="30">
        <v>1190.0</v>
      </c>
      <c r="N525" s="30">
        <v>1190.0</v>
      </c>
      <c r="O525" s="30">
        <v>0.0</v>
      </c>
      <c r="P525" s="30">
        <v>0.0</v>
      </c>
      <c r="Q525" s="30">
        <v>61.278</v>
      </c>
    </row>
    <row r="526">
      <c r="A526" s="47">
        <v>1.1242709717E10</v>
      </c>
      <c r="B526" s="48">
        <v>46159.55863425926</v>
      </c>
      <c r="C526" s="30">
        <v>3.856356174E9</v>
      </c>
      <c r="D526" s="47" t="s">
        <v>1512</v>
      </c>
      <c r="E526" s="47">
        <v>8.410650239156E12</v>
      </c>
      <c r="F526" s="47" t="s">
        <v>1523</v>
      </c>
      <c r="G526" s="47" t="s">
        <v>1530</v>
      </c>
      <c r="H526" s="30">
        <v>1.0</v>
      </c>
      <c r="I526" s="30">
        <v>1728.0</v>
      </c>
      <c r="J526" s="30">
        <v>1728.0</v>
      </c>
      <c r="K526" s="30">
        <v>11.61</v>
      </c>
      <c r="L526" s="30">
        <v>200.62079999999997</v>
      </c>
      <c r="M526" s="30">
        <v>1260.0</v>
      </c>
      <c r="N526" s="30">
        <v>1260.0</v>
      </c>
      <c r="O526" s="30">
        <v>0.0</v>
      </c>
      <c r="P526" s="30">
        <v>0.0</v>
      </c>
      <c r="Q526" s="30">
        <v>267.3792</v>
      </c>
    </row>
    <row r="527">
      <c r="A527" s="47">
        <v>1.1239453219E10</v>
      </c>
      <c r="B527" s="48">
        <v>46158.516550925924</v>
      </c>
      <c r="C527" s="30">
        <v>3.853710367E9</v>
      </c>
      <c r="D527" s="47" t="s">
        <v>1512</v>
      </c>
      <c r="E527" s="47">
        <v>7.613033560064E12</v>
      </c>
      <c r="F527" s="47" t="s">
        <v>1523</v>
      </c>
      <c r="G527" s="47" t="s">
        <v>1527</v>
      </c>
      <c r="H527" s="30">
        <v>1.0</v>
      </c>
      <c r="I527" s="30">
        <v>1289.0</v>
      </c>
      <c r="J527" s="30">
        <v>1289.0</v>
      </c>
      <c r="K527" s="30">
        <v>2.7</v>
      </c>
      <c r="L527" s="30">
        <v>34.803000000000004</v>
      </c>
      <c r="M527" s="30">
        <v>1190.0</v>
      </c>
      <c r="N527" s="30">
        <v>1190.0</v>
      </c>
      <c r="O527" s="30">
        <v>0.0</v>
      </c>
      <c r="P527" s="30">
        <v>0.0</v>
      </c>
      <c r="Q527" s="30">
        <v>64.197</v>
      </c>
    </row>
    <row r="528">
      <c r="A528" s="47">
        <v>1.1239409451E10</v>
      </c>
      <c r="B528" s="48">
        <v>46158.49285879629</v>
      </c>
      <c r="C528" s="30">
        <v>3.853667678E9</v>
      </c>
      <c r="D528" s="47" t="s">
        <v>1512</v>
      </c>
      <c r="E528" s="47">
        <v>7.613033560064E12</v>
      </c>
      <c r="F528" s="47" t="s">
        <v>1523</v>
      </c>
      <c r="G528" s="47" t="s">
        <v>1527</v>
      </c>
      <c r="H528" s="30">
        <v>1.0</v>
      </c>
      <c r="I528" s="30">
        <v>1289.0</v>
      </c>
      <c r="J528" s="30">
        <v>1289.0</v>
      </c>
      <c r="K528" s="30">
        <v>2.7</v>
      </c>
      <c r="L528" s="30">
        <v>34.803000000000004</v>
      </c>
      <c r="M528" s="30">
        <v>1190.0</v>
      </c>
      <c r="N528" s="30">
        <v>1190.0</v>
      </c>
      <c r="O528" s="30">
        <v>0.0</v>
      </c>
      <c r="P528" s="30">
        <v>0.0</v>
      </c>
      <c r="Q528" s="30">
        <v>64.197</v>
      </c>
    </row>
    <row r="529">
      <c r="A529" s="47">
        <v>1.1239657332E10</v>
      </c>
      <c r="B529" s="48">
        <v>46158.58696759259</v>
      </c>
      <c r="C529" s="30">
        <v>3.853904914E9</v>
      </c>
      <c r="D529" s="47" t="s">
        <v>1512</v>
      </c>
      <c r="E529" s="47">
        <v>7.613033560064E12</v>
      </c>
      <c r="F529" s="47" t="s">
        <v>1523</v>
      </c>
      <c r="G529" s="47" t="s">
        <v>1527</v>
      </c>
      <c r="H529" s="30">
        <v>1.0</v>
      </c>
      <c r="I529" s="30">
        <v>1289.0</v>
      </c>
      <c r="J529" s="30">
        <v>1289.0</v>
      </c>
      <c r="K529" s="30">
        <v>2.7</v>
      </c>
      <c r="L529" s="30">
        <v>34.803000000000004</v>
      </c>
      <c r="M529" s="30">
        <v>1190.0</v>
      </c>
      <c r="N529" s="30">
        <v>1190.0</v>
      </c>
      <c r="O529" s="30">
        <v>0.0</v>
      </c>
      <c r="P529" s="30">
        <v>0.0</v>
      </c>
      <c r="Q529" s="30">
        <v>64.197</v>
      </c>
    </row>
    <row r="530">
      <c r="A530" s="47">
        <v>1.1239705916E10</v>
      </c>
      <c r="B530" s="48">
        <v>46158.59983796296</v>
      </c>
      <c r="C530" s="30">
        <v>3.853948148E9</v>
      </c>
      <c r="D530" s="47" t="s">
        <v>1512</v>
      </c>
      <c r="E530" s="47">
        <v>7.613033560064E12</v>
      </c>
      <c r="F530" s="47" t="s">
        <v>1523</v>
      </c>
      <c r="G530" s="47" t="s">
        <v>1527</v>
      </c>
      <c r="H530" s="30">
        <v>1.0</v>
      </c>
      <c r="I530" s="30">
        <v>1289.0</v>
      </c>
      <c r="J530" s="30">
        <v>1289.0</v>
      </c>
      <c r="K530" s="30">
        <v>2.7</v>
      </c>
      <c r="L530" s="30">
        <v>34.803000000000004</v>
      </c>
      <c r="M530" s="30">
        <v>1190.0</v>
      </c>
      <c r="N530" s="30">
        <v>1190.0</v>
      </c>
      <c r="O530" s="30">
        <v>0.0</v>
      </c>
      <c r="P530" s="30">
        <v>0.0</v>
      </c>
      <c r="Q530" s="30">
        <v>64.197</v>
      </c>
    </row>
    <row r="531">
      <c r="A531" s="47">
        <v>1.124253737E10</v>
      </c>
      <c r="B531" s="48">
        <v>46159.44366898148</v>
      </c>
      <c r="C531" s="30">
        <v>3.856196378E9</v>
      </c>
      <c r="D531" s="47" t="s">
        <v>1512</v>
      </c>
      <c r="E531" s="47">
        <v>7.613032816536E12</v>
      </c>
      <c r="F531" s="47" t="s">
        <v>1523</v>
      </c>
      <c r="G531" s="47" t="s">
        <v>1533</v>
      </c>
      <c r="H531" s="30">
        <v>1.0</v>
      </c>
      <c r="I531" s="30">
        <v>729.0</v>
      </c>
      <c r="J531" s="30">
        <v>729.0</v>
      </c>
      <c r="K531" s="30">
        <v>4.41</v>
      </c>
      <c r="L531" s="30">
        <v>32.148900000000005</v>
      </c>
      <c r="M531" s="30">
        <v>580.0</v>
      </c>
      <c r="N531" s="30">
        <v>580.0</v>
      </c>
      <c r="O531" s="30">
        <v>0.0</v>
      </c>
      <c r="P531" s="30">
        <v>0.0</v>
      </c>
      <c r="Q531" s="30">
        <v>116.8511</v>
      </c>
    </row>
    <row r="532">
      <c r="A532" s="47">
        <v>1.1239945632E10</v>
      </c>
      <c r="B532" s="48">
        <v>46158.65560185185</v>
      </c>
      <c r="C532" s="30">
        <v>3.854158837E9</v>
      </c>
      <c r="D532" s="47" t="s">
        <v>1512</v>
      </c>
      <c r="E532" s="47">
        <v>7.613033560064E12</v>
      </c>
      <c r="F532" s="47" t="s">
        <v>1523</v>
      </c>
      <c r="G532" s="47" t="s">
        <v>1527</v>
      </c>
      <c r="H532" s="30">
        <v>1.0</v>
      </c>
      <c r="I532" s="30">
        <v>1288.0</v>
      </c>
      <c r="J532" s="30">
        <v>1288.0</v>
      </c>
      <c r="K532" s="30">
        <v>2.7</v>
      </c>
      <c r="L532" s="30">
        <v>34.776</v>
      </c>
      <c r="M532" s="30">
        <v>1190.0</v>
      </c>
      <c r="N532" s="30">
        <v>1190.0</v>
      </c>
      <c r="O532" s="30">
        <v>0.0</v>
      </c>
      <c r="P532" s="30">
        <v>0.0</v>
      </c>
      <c r="Q532" s="30">
        <v>63.224</v>
      </c>
    </row>
    <row r="533">
      <c r="A533" s="47">
        <v>1.1244900458E10</v>
      </c>
      <c r="B533" s="48">
        <v>46160.004965277774</v>
      </c>
      <c r="C533" s="30">
        <v>3.857988005E9</v>
      </c>
      <c r="D533" s="47" t="s">
        <v>1512</v>
      </c>
      <c r="E533" s="47">
        <v>8.410650167909E12</v>
      </c>
      <c r="F533" s="47" t="s">
        <v>1523</v>
      </c>
      <c r="G533" s="47" t="s">
        <v>1551</v>
      </c>
      <c r="H533" s="30">
        <v>1.0</v>
      </c>
      <c r="I533" s="30">
        <v>1590.0</v>
      </c>
      <c r="J533" s="30">
        <v>1590.0</v>
      </c>
      <c r="K533" s="30">
        <v>10.62</v>
      </c>
      <c r="L533" s="30">
        <v>168.858</v>
      </c>
      <c r="M533" s="30">
        <v>1228.0</v>
      </c>
      <c r="N533" s="30">
        <v>1228.0</v>
      </c>
      <c r="O533" s="30">
        <v>0.0</v>
      </c>
      <c r="P533" s="30">
        <v>0.0</v>
      </c>
      <c r="Q533" s="30">
        <v>193.142</v>
      </c>
    </row>
    <row r="534">
      <c r="A534" s="47">
        <v>1.1242263082E10</v>
      </c>
      <c r="B534" s="48">
        <v>46159.13988425926</v>
      </c>
      <c r="C534" s="30">
        <v>3.855937597E9</v>
      </c>
      <c r="D534" s="47" t="s">
        <v>1512</v>
      </c>
      <c r="E534" s="47">
        <v>7.613032816536E12</v>
      </c>
      <c r="F534" s="47" t="s">
        <v>1523</v>
      </c>
      <c r="G534" s="47" t="s">
        <v>1533</v>
      </c>
      <c r="H534" s="30">
        <v>1.0</v>
      </c>
      <c r="I534" s="30">
        <v>729.0</v>
      </c>
      <c r="J534" s="30">
        <v>729.0</v>
      </c>
      <c r="K534" s="30">
        <v>4.41</v>
      </c>
      <c r="L534" s="30">
        <v>32.148900000000005</v>
      </c>
      <c r="M534" s="30">
        <v>580.0</v>
      </c>
      <c r="N534" s="30">
        <v>580.0</v>
      </c>
      <c r="O534" s="30">
        <v>0.0</v>
      </c>
      <c r="P534" s="30">
        <v>0.0</v>
      </c>
      <c r="Q534" s="30">
        <v>116.8511</v>
      </c>
    </row>
    <row r="535">
      <c r="A535" s="47">
        <v>1.1241884836E10</v>
      </c>
      <c r="B535" s="48">
        <v>46159.051828703705</v>
      </c>
      <c r="C535" s="30">
        <v>3.855600024E9</v>
      </c>
      <c r="D535" s="47" t="s">
        <v>1512</v>
      </c>
      <c r="E535" s="47">
        <v>7.613033560064E12</v>
      </c>
      <c r="F535" s="47" t="s">
        <v>1523</v>
      </c>
      <c r="G535" s="47" t="s">
        <v>1527</v>
      </c>
      <c r="H535" s="30">
        <v>1.0</v>
      </c>
      <c r="I535" s="30">
        <v>1284.0</v>
      </c>
      <c r="J535" s="30">
        <v>1284.0</v>
      </c>
      <c r="K535" s="30">
        <v>2.7</v>
      </c>
      <c r="L535" s="30">
        <v>34.668</v>
      </c>
      <c r="M535" s="30">
        <v>1190.0</v>
      </c>
      <c r="N535" s="30">
        <v>1190.0</v>
      </c>
      <c r="O535" s="30">
        <v>0.0</v>
      </c>
      <c r="P535" s="30">
        <v>0.0</v>
      </c>
      <c r="Q535" s="30">
        <v>59.332</v>
      </c>
    </row>
    <row r="536">
      <c r="A536" s="47">
        <v>1.1241610215E10</v>
      </c>
      <c r="B536" s="48">
        <v>46158.99652777778</v>
      </c>
      <c r="C536" s="30">
        <v>3.855375886E9</v>
      </c>
      <c r="D536" s="47" t="s">
        <v>1512</v>
      </c>
      <c r="E536" s="47">
        <v>7.613033560064E12</v>
      </c>
      <c r="F536" s="47" t="s">
        <v>1523</v>
      </c>
      <c r="G536" s="47" t="s">
        <v>1527</v>
      </c>
      <c r="H536" s="30">
        <v>1.0</v>
      </c>
      <c r="I536" s="30">
        <v>1284.0</v>
      </c>
      <c r="J536" s="30">
        <v>1284.0</v>
      </c>
      <c r="K536" s="30">
        <v>2.7</v>
      </c>
      <c r="L536" s="30">
        <v>34.668</v>
      </c>
      <c r="M536" s="30">
        <v>1190.0</v>
      </c>
      <c r="N536" s="30">
        <v>1190.0</v>
      </c>
      <c r="O536" s="30">
        <v>0.0</v>
      </c>
      <c r="P536" s="30">
        <v>0.0</v>
      </c>
      <c r="Q536" s="30">
        <v>59.332</v>
      </c>
    </row>
    <row r="537">
      <c r="A537" s="47">
        <v>1.1235180524E10</v>
      </c>
      <c r="B537" s="48">
        <v>46156.99309027778</v>
      </c>
      <c r="C537" s="30">
        <v>3.84990315E9</v>
      </c>
      <c r="D537" s="47" t="s">
        <v>1509</v>
      </c>
      <c r="E537" s="47" t="s">
        <v>356</v>
      </c>
      <c r="F537" s="47" t="s">
        <v>1523</v>
      </c>
      <c r="G537" s="47" t="s">
        <v>1532</v>
      </c>
      <c r="H537" s="30">
        <v>1.0</v>
      </c>
      <c r="I537" s="30">
        <v>729.0</v>
      </c>
      <c r="J537" s="30">
        <v>729.0</v>
      </c>
      <c r="K537" s="30">
        <v>4.95</v>
      </c>
      <c r="L537" s="30">
        <v>36.0855</v>
      </c>
      <c r="M537" s="30">
        <v>580.0</v>
      </c>
      <c r="N537" s="30">
        <v>580.0</v>
      </c>
      <c r="O537" s="30">
        <v>0.0</v>
      </c>
      <c r="P537" s="30">
        <v>0.0</v>
      </c>
      <c r="Q537" s="30">
        <v>112.9145</v>
      </c>
    </row>
    <row r="538">
      <c r="A538" s="47">
        <v>1.1241624382E10</v>
      </c>
      <c r="B538" s="48">
        <v>46158.99943287037</v>
      </c>
      <c r="C538" s="30">
        <v>3.855386013E9</v>
      </c>
      <c r="D538" s="47" t="s">
        <v>1512</v>
      </c>
      <c r="E538" s="47">
        <v>7.613033560064E12</v>
      </c>
      <c r="F538" s="47" t="s">
        <v>1523</v>
      </c>
      <c r="G538" s="47" t="s">
        <v>1527</v>
      </c>
      <c r="H538" s="30">
        <v>1.0</v>
      </c>
      <c r="I538" s="30">
        <v>1284.0</v>
      </c>
      <c r="J538" s="30">
        <v>1284.0</v>
      </c>
      <c r="K538" s="30">
        <v>2.7</v>
      </c>
      <c r="L538" s="30">
        <v>34.668</v>
      </c>
      <c r="M538" s="30">
        <v>1190.0</v>
      </c>
      <c r="N538" s="30">
        <v>1190.0</v>
      </c>
      <c r="O538" s="30">
        <v>0.0</v>
      </c>
      <c r="P538" s="30">
        <v>0.0</v>
      </c>
      <c r="Q538" s="30">
        <v>59.332</v>
      </c>
    </row>
    <row r="539">
      <c r="A539" s="47">
        <v>1.1240989899E10</v>
      </c>
      <c r="B539" s="48">
        <v>46158.87159722222</v>
      </c>
      <c r="C539" s="30">
        <v>3.854957603E9</v>
      </c>
      <c r="D539" s="47" t="s">
        <v>1512</v>
      </c>
      <c r="E539" s="47">
        <v>7.613033560064E12</v>
      </c>
      <c r="F539" s="47" t="s">
        <v>1523</v>
      </c>
      <c r="G539" s="47" t="s">
        <v>1527</v>
      </c>
      <c r="H539" s="30">
        <v>1.0</v>
      </c>
      <c r="I539" s="30">
        <v>1285.0</v>
      </c>
      <c r="J539" s="30">
        <v>1285.0</v>
      </c>
      <c r="K539" s="30">
        <v>2.7</v>
      </c>
      <c r="L539" s="30">
        <v>34.69500000000001</v>
      </c>
      <c r="M539" s="30">
        <v>1190.0</v>
      </c>
      <c r="N539" s="30">
        <v>1190.0</v>
      </c>
      <c r="O539" s="30">
        <v>0.0</v>
      </c>
      <c r="P539" s="30">
        <v>0.0</v>
      </c>
      <c r="Q539" s="30">
        <v>60.30499999999999</v>
      </c>
    </row>
    <row r="540">
      <c r="A540" s="47">
        <v>1.1242924038E10</v>
      </c>
      <c r="B540" s="48">
        <v>46159.62149305556</v>
      </c>
      <c r="C540" s="30">
        <v>3.856534781E9</v>
      </c>
      <c r="D540" s="47" t="s">
        <v>1512</v>
      </c>
      <c r="E540" s="47">
        <v>7.613033560064E12</v>
      </c>
      <c r="F540" s="47" t="s">
        <v>1523</v>
      </c>
      <c r="G540" s="47" t="s">
        <v>1527</v>
      </c>
      <c r="H540" s="30">
        <v>1.0</v>
      </c>
      <c r="I540" s="30">
        <v>1283.0</v>
      </c>
      <c r="J540" s="30">
        <v>1283.0</v>
      </c>
      <c r="K540" s="30">
        <v>2.7</v>
      </c>
      <c r="L540" s="30">
        <v>34.641000000000005</v>
      </c>
      <c r="M540" s="30">
        <v>1190.0</v>
      </c>
      <c r="N540" s="30">
        <v>1190.0</v>
      </c>
      <c r="O540" s="30">
        <v>0.0</v>
      </c>
      <c r="P540" s="30">
        <v>0.0</v>
      </c>
      <c r="Q540" s="30">
        <v>58.358999999999995</v>
      </c>
    </row>
    <row r="541">
      <c r="A541" s="47">
        <v>1.1234982719E10</v>
      </c>
      <c r="B541" s="48">
        <v>46156.95321759259</v>
      </c>
      <c r="C541" s="30">
        <v>3.849747795E9</v>
      </c>
      <c r="D541" s="47" t="s">
        <v>1509</v>
      </c>
      <c r="E541" s="47">
        <v>7.613032816536E12</v>
      </c>
      <c r="F541" s="47" t="s">
        <v>1523</v>
      </c>
      <c r="G541" s="47" t="s">
        <v>1533</v>
      </c>
      <c r="H541" s="30">
        <v>1.0</v>
      </c>
      <c r="I541" s="30">
        <v>727.0</v>
      </c>
      <c r="J541" s="30">
        <v>727.0</v>
      </c>
      <c r="K541" s="30">
        <v>4.41</v>
      </c>
      <c r="L541" s="30">
        <v>32.060700000000004</v>
      </c>
      <c r="M541" s="30">
        <v>580.0</v>
      </c>
      <c r="N541" s="30">
        <v>580.0</v>
      </c>
      <c r="O541" s="30">
        <v>0.0</v>
      </c>
      <c r="P541" s="30">
        <v>0.0</v>
      </c>
      <c r="Q541" s="30">
        <v>114.9393</v>
      </c>
    </row>
    <row r="542">
      <c r="A542" s="47">
        <v>1.1239894786E10</v>
      </c>
      <c r="B542" s="48">
        <v>46158.644594907404</v>
      </c>
      <c r="C542" s="30">
        <v>3.854115721E9</v>
      </c>
      <c r="D542" s="47" t="s">
        <v>1512</v>
      </c>
      <c r="E542" s="47">
        <v>7.613032816536E12</v>
      </c>
      <c r="F542" s="47" t="s">
        <v>1523</v>
      </c>
      <c r="G542" s="47" t="s">
        <v>1533</v>
      </c>
      <c r="H542" s="30">
        <v>1.0</v>
      </c>
      <c r="I542" s="30">
        <v>729.0</v>
      </c>
      <c r="J542" s="30">
        <v>729.0</v>
      </c>
      <c r="K542" s="30">
        <v>4.41</v>
      </c>
      <c r="L542" s="30">
        <v>32.148900000000005</v>
      </c>
      <c r="M542" s="30">
        <v>580.0</v>
      </c>
      <c r="N542" s="30">
        <v>580.0</v>
      </c>
      <c r="O542" s="30">
        <v>0.0</v>
      </c>
      <c r="P542" s="30">
        <v>0.0</v>
      </c>
      <c r="Q542" s="30">
        <v>116.8511</v>
      </c>
    </row>
    <row r="543">
      <c r="A543" s="47">
        <v>1.1239967247E10</v>
      </c>
      <c r="B543" s="48">
        <v>46158.660462962966</v>
      </c>
      <c r="C543" s="30">
        <v>3.854177965E9</v>
      </c>
      <c r="D543" s="47" t="s">
        <v>1512</v>
      </c>
      <c r="E543" s="47">
        <v>7.613033560064E12</v>
      </c>
      <c r="F543" s="47" t="s">
        <v>1523</v>
      </c>
      <c r="G543" s="47" t="s">
        <v>1527</v>
      </c>
      <c r="H543" s="30">
        <v>1.0</v>
      </c>
      <c r="I543" s="30">
        <v>1288.0</v>
      </c>
      <c r="J543" s="30">
        <v>1288.0</v>
      </c>
      <c r="K543" s="30">
        <v>2.7</v>
      </c>
      <c r="L543" s="30">
        <v>34.776</v>
      </c>
      <c r="M543" s="30">
        <v>1190.0</v>
      </c>
      <c r="N543" s="30">
        <v>1190.0</v>
      </c>
      <c r="O543" s="30">
        <v>0.0</v>
      </c>
      <c r="P543" s="30">
        <v>0.0</v>
      </c>
      <c r="Q543" s="30">
        <v>63.224</v>
      </c>
    </row>
    <row r="544">
      <c r="A544" s="47">
        <v>1.1241739545E10</v>
      </c>
      <c r="B544" s="48">
        <v>46159.022152777776</v>
      </c>
      <c r="C544" s="30">
        <v>3.855476171E9</v>
      </c>
      <c r="D544" s="47" t="s">
        <v>1512</v>
      </c>
      <c r="E544" s="47">
        <v>7.613033560064E12</v>
      </c>
      <c r="F544" s="47" t="s">
        <v>1523</v>
      </c>
      <c r="G544" s="47" t="s">
        <v>1527</v>
      </c>
      <c r="H544" s="30">
        <v>1.0</v>
      </c>
      <c r="I544" s="30">
        <v>1284.0</v>
      </c>
      <c r="J544" s="30">
        <v>1284.0</v>
      </c>
      <c r="K544" s="30">
        <v>2.7</v>
      </c>
      <c r="L544" s="30">
        <v>34.668</v>
      </c>
      <c r="M544" s="30">
        <v>1190.0</v>
      </c>
      <c r="N544" s="30">
        <v>1190.0</v>
      </c>
      <c r="O544" s="30">
        <v>0.0</v>
      </c>
      <c r="P544" s="30">
        <v>0.0</v>
      </c>
      <c r="Q544" s="30">
        <v>59.332</v>
      </c>
    </row>
    <row r="545">
      <c r="A545" s="47">
        <v>1.1240784603E10</v>
      </c>
      <c r="B545" s="48">
        <v>46158.829664351855</v>
      </c>
      <c r="C545" s="30">
        <v>3.854815967E9</v>
      </c>
      <c r="D545" s="47" t="s">
        <v>1512</v>
      </c>
      <c r="E545" s="47">
        <v>7.613033560064E12</v>
      </c>
      <c r="F545" s="47" t="s">
        <v>1523</v>
      </c>
      <c r="G545" s="47" t="s">
        <v>1527</v>
      </c>
      <c r="H545" s="30">
        <v>1.0</v>
      </c>
      <c r="I545" s="30">
        <v>1285.0</v>
      </c>
      <c r="J545" s="30">
        <v>1285.0</v>
      </c>
      <c r="K545" s="30">
        <v>2.7</v>
      </c>
      <c r="L545" s="30">
        <v>34.69500000000001</v>
      </c>
      <c r="M545" s="30">
        <v>1190.0</v>
      </c>
      <c r="N545" s="30">
        <v>1190.0</v>
      </c>
      <c r="O545" s="30">
        <v>0.0</v>
      </c>
      <c r="P545" s="30">
        <v>0.0</v>
      </c>
      <c r="Q545" s="30">
        <v>60.30499999999999</v>
      </c>
    </row>
    <row r="546">
      <c r="A546" s="47">
        <v>1.1240934151E10</v>
      </c>
      <c r="B546" s="48">
        <v>46158.86021990741</v>
      </c>
      <c r="C546" s="30">
        <v>3.854918882E9</v>
      </c>
      <c r="D546" s="47" t="s">
        <v>1512</v>
      </c>
      <c r="E546" s="47">
        <v>7.613033560064E12</v>
      </c>
      <c r="F546" s="47" t="s">
        <v>1523</v>
      </c>
      <c r="G546" s="47" t="s">
        <v>1527</v>
      </c>
      <c r="H546" s="30">
        <v>1.0</v>
      </c>
      <c r="I546" s="30">
        <v>1285.0</v>
      </c>
      <c r="J546" s="30">
        <v>1285.0</v>
      </c>
      <c r="K546" s="30">
        <v>2.7</v>
      </c>
      <c r="L546" s="30">
        <v>34.69500000000001</v>
      </c>
      <c r="M546" s="30">
        <v>1190.0</v>
      </c>
      <c r="N546" s="30">
        <v>1190.0</v>
      </c>
      <c r="O546" s="30">
        <v>0.0</v>
      </c>
      <c r="P546" s="30">
        <v>0.0</v>
      </c>
      <c r="Q546" s="30">
        <v>60.30499999999999</v>
      </c>
    </row>
    <row r="547">
      <c r="A547" s="47">
        <v>1.1239195781E10</v>
      </c>
      <c r="B547" s="48">
        <v>46158.17260416667</v>
      </c>
      <c r="C547" s="30">
        <v>3.853444093E9</v>
      </c>
      <c r="D547" s="47" t="s">
        <v>1512</v>
      </c>
      <c r="E547" s="47">
        <v>7.613033560064E12</v>
      </c>
      <c r="F547" s="47" t="s">
        <v>1523</v>
      </c>
      <c r="G547" s="47" t="s">
        <v>1527</v>
      </c>
      <c r="H547" s="30">
        <v>1.0</v>
      </c>
      <c r="I547" s="30">
        <v>1290.0</v>
      </c>
      <c r="J547" s="30">
        <v>1290.0</v>
      </c>
      <c r="K547" s="30">
        <v>2.7</v>
      </c>
      <c r="L547" s="30">
        <v>34.830000000000005</v>
      </c>
      <c r="M547" s="30">
        <v>1190.0</v>
      </c>
      <c r="N547" s="30">
        <v>1190.0</v>
      </c>
      <c r="O547" s="30">
        <v>0.0</v>
      </c>
      <c r="P547" s="30">
        <v>0.0</v>
      </c>
      <c r="Q547" s="30">
        <v>65.16999999999999</v>
      </c>
    </row>
    <row r="548">
      <c r="A548" s="47">
        <v>1.1241177282E10</v>
      </c>
      <c r="B548" s="48">
        <v>46158.90913194444</v>
      </c>
      <c r="C548" s="30">
        <v>3.855078096E9</v>
      </c>
      <c r="D548" s="47" t="s">
        <v>1512</v>
      </c>
      <c r="E548" s="47">
        <v>7.613033560064E12</v>
      </c>
      <c r="F548" s="47" t="s">
        <v>1523</v>
      </c>
      <c r="G548" s="47" t="s">
        <v>1527</v>
      </c>
      <c r="H548" s="30">
        <v>1.0</v>
      </c>
      <c r="I548" s="30">
        <v>1285.0</v>
      </c>
      <c r="J548" s="30">
        <v>1285.0</v>
      </c>
      <c r="K548" s="30">
        <v>2.7</v>
      </c>
      <c r="L548" s="30">
        <v>34.69500000000001</v>
      </c>
      <c r="M548" s="30">
        <v>1190.0</v>
      </c>
      <c r="N548" s="30">
        <v>1190.0</v>
      </c>
      <c r="O548" s="30">
        <v>0.0</v>
      </c>
      <c r="P548" s="30">
        <v>0.0</v>
      </c>
      <c r="Q548" s="30">
        <v>60.30499999999999</v>
      </c>
    </row>
    <row r="549">
      <c r="A549" s="47">
        <v>1.1238231882E10</v>
      </c>
      <c r="B549" s="48">
        <v>46157.95165509259</v>
      </c>
      <c r="C549" s="30">
        <v>3.852624819E9</v>
      </c>
      <c r="D549" s="47" t="s">
        <v>1509</v>
      </c>
      <c r="E549" s="47">
        <v>7.613033560064E12</v>
      </c>
      <c r="F549" s="47" t="s">
        <v>1523</v>
      </c>
      <c r="G549" s="47" t="s">
        <v>1527</v>
      </c>
      <c r="H549" s="30">
        <v>1.0</v>
      </c>
      <c r="I549" s="30">
        <v>1291.0</v>
      </c>
      <c r="J549" s="30">
        <v>1291.0</v>
      </c>
      <c r="K549" s="30">
        <v>2.7</v>
      </c>
      <c r="L549" s="30">
        <v>34.857</v>
      </c>
      <c r="M549" s="30">
        <v>1190.0</v>
      </c>
      <c r="N549" s="30">
        <v>1190.0</v>
      </c>
      <c r="O549" s="30">
        <v>0.0</v>
      </c>
      <c r="P549" s="30">
        <v>0.0</v>
      </c>
      <c r="Q549" s="30">
        <v>66.143</v>
      </c>
    </row>
    <row r="550">
      <c r="A550" s="47">
        <v>1.1242440048E10</v>
      </c>
      <c r="B550" s="48">
        <v>46159.215474537035</v>
      </c>
      <c r="C550" s="30">
        <v>3.856099471E9</v>
      </c>
      <c r="D550" s="47" t="s">
        <v>1512</v>
      </c>
      <c r="E550" s="47">
        <v>7.613032816536E12</v>
      </c>
      <c r="F550" s="47" t="s">
        <v>1523</v>
      </c>
      <c r="G550" s="47" t="s">
        <v>1533</v>
      </c>
      <c r="H550" s="30">
        <v>1.0</v>
      </c>
      <c r="I550" s="30">
        <v>729.0</v>
      </c>
      <c r="J550" s="30">
        <v>729.0</v>
      </c>
      <c r="K550" s="30">
        <v>4.41</v>
      </c>
      <c r="L550" s="30">
        <v>32.148900000000005</v>
      </c>
      <c r="M550" s="30">
        <v>580.0</v>
      </c>
      <c r="N550" s="30">
        <v>580.0</v>
      </c>
      <c r="O550" s="30">
        <v>0.0</v>
      </c>
      <c r="P550" s="30">
        <v>0.0</v>
      </c>
      <c r="Q550" s="30">
        <v>116.8511</v>
      </c>
    </row>
    <row r="551">
      <c r="A551" s="47">
        <v>1.1239347083E10</v>
      </c>
      <c r="B551" s="48">
        <v>46158.416354166664</v>
      </c>
      <c r="C551" s="30">
        <v>3.853597269E9</v>
      </c>
      <c r="D551" s="47" t="s">
        <v>1512</v>
      </c>
      <c r="E551" s="47">
        <v>7.613033560064E12</v>
      </c>
      <c r="F551" s="47" t="s">
        <v>1523</v>
      </c>
      <c r="G551" s="47" t="s">
        <v>1527</v>
      </c>
      <c r="H551" s="30">
        <v>1.0</v>
      </c>
      <c r="I551" s="30">
        <v>1289.0</v>
      </c>
      <c r="J551" s="30">
        <v>1289.0</v>
      </c>
      <c r="K551" s="30">
        <v>2.7</v>
      </c>
      <c r="L551" s="30">
        <v>34.803000000000004</v>
      </c>
      <c r="M551" s="30">
        <v>1190.0</v>
      </c>
      <c r="N551" s="30">
        <v>1190.0</v>
      </c>
      <c r="O551" s="30">
        <v>0.0</v>
      </c>
      <c r="P551" s="30">
        <v>0.0</v>
      </c>
      <c r="Q551" s="30">
        <v>64.197</v>
      </c>
    </row>
    <row r="552">
      <c r="A552" s="47">
        <v>1.1242047913E10</v>
      </c>
      <c r="B552" s="48">
        <v>46159.08673611111</v>
      </c>
      <c r="C552" s="30">
        <v>3.855741197E9</v>
      </c>
      <c r="D552" s="47" t="s">
        <v>1512</v>
      </c>
      <c r="E552" s="47">
        <v>7.613033560064E12</v>
      </c>
      <c r="F552" s="47" t="s">
        <v>1523</v>
      </c>
      <c r="G552" s="47" t="s">
        <v>1527</v>
      </c>
      <c r="H552" s="30">
        <v>1.0</v>
      </c>
      <c r="I552" s="30">
        <v>1284.0</v>
      </c>
      <c r="J552" s="30">
        <v>1284.0</v>
      </c>
      <c r="K552" s="30">
        <v>2.7</v>
      </c>
      <c r="L552" s="30">
        <v>34.668</v>
      </c>
      <c r="M552" s="30">
        <v>1190.0</v>
      </c>
      <c r="N552" s="30">
        <v>1190.0</v>
      </c>
      <c r="O552" s="30">
        <v>0.0</v>
      </c>
      <c r="P552" s="30">
        <v>0.0</v>
      </c>
      <c r="Q552" s="30">
        <v>59.332</v>
      </c>
    </row>
    <row r="553">
      <c r="A553" s="47">
        <v>1.1239310544E10</v>
      </c>
      <c r="B553" s="48">
        <v>46158.27274305555</v>
      </c>
      <c r="C553" s="30">
        <v>3.853555166E9</v>
      </c>
      <c r="D553" s="47" t="s">
        <v>1512</v>
      </c>
      <c r="E553" s="47">
        <v>7.613033560064E12</v>
      </c>
      <c r="F553" s="47" t="s">
        <v>1523</v>
      </c>
      <c r="G553" s="47" t="s">
        <v>1527</v>
      </c>
      <c r="H553" s="30">
        <v>1.0</v>
      </c>
      <c r="I553" s="30">
        <v>1289.0</v>
      </c>
      <c r="J553" s="30">
        <v>1289.0</v>
      </c>
      <c r="K553" s="30">
        <v>2.7</v>
      </c>
      <c r="L553" s="30">
        <v>34.803000000000004</v>
      </c>
      <c r="M553" s="30">
        <v>1190.0</v>
      </c>
      <c r="N553" s="30">
        <v>1190.0</v>
      </c>
      <c r="O553" s="30">
        <v>0.0</v>
      </c>
      <c r="P553" s="30">
        <v>0.0</v>
      </c>
      <c r="Q553" s="30">
        <v>64.197</v>
      </c>
    </row>
    <row r="554">
      <c r="A554" s="47">
        <v>1.1242161054E10</v>
      </c>
      <c r="B554" s="48">
        <v>46159.112662037034</v>
      </c>
      <c r="C554" s="30">
        <v>3.855845867E9</v>
      </c>
      <c r="D554" s="47" t="s">
        <v>1512</v>
      </c>
      <c r="E554" s="47">
        <v>7.613033560064E12</v>
      </c>
      <c r="F554" s="47" t="s">
        <v>1523</v>
      </c>
      <c r="G554" s="47" t="s">
        <v>1527</v>
      </c>
      <c r="H554" s="30">
        <v>1.0</v>
      </c>
      <c r="I554" s="30">
        <v>1284.0</v>
      </c>
      <c r="J554" s="30">
        <v>1284.0</v>
      </c>
      <c r="K554" s="30">
        <v>2.7</v>
      </c>
      <c r="L554" s="30">
        <v>34.668</v>
      </c>
      <c r="M554" s="30">
        <v>1190.0</v>
      </c>
      <c r="N554" s="30">
        <v>1190.0</v>
      </c>
      <c r="O554" s="30">
        <v>0.0</v>
      </c>
      <c r="P554" s="30">
        <v>0.0</v>
      </c>
      <c r="Q554" s="30">
        <v>59.332</v>
      </c>
    </row>
    <row r="555">
      <c r="A555" s="47">
        <v>1.1241739227E10</v>
      </c>
      <c r="B555" s="48">
        <v>46159.02208333334</v>
      </c>
      <c r="C555" s="30">
        <v>3.855477918E9</v>
      </c>
      <c r="D555" s="47" t="s">
        <v>1512</v>
      </c>
      <c r="E555" s="47">
        <v>7.613033560064E12</v>
      </c>
      <c r="F555" s="47" t="s">
        <v>1523</v>
      </c>
      <c r="G555" s="47" t="s">
        <v>1527</v>
      </c>
      <c r="H555" s="30">
        <v>1.0</v>
      </c>
      <c r="I555" s="30">
        <v>1284.0</v>
      </c>
      <c r="J555" s="30">
        <v>1284.0</v>
      </c>
      <c r="K555" s="30">
        <v>2.7</v>
      </c>
      <c r="L555" s="30">
        <v>34.668</v>
      </c>
      <c r="M555" s="30">
        <v>1190.0</v>
      </c>
      <c r="N555" s="30">
        <v>1190.0</v>
      </c>
      <c r="O555" s="30">
        <v>0.0</v>
      </c>
      <c r="P555" s="30">
        <v>0.0</v>
      </c>
      <c r="Q555" s="30">
        <v>59.332</v>
      </c>
    </row>
    <row r="556">
      <c r="A556" s="47">
        <v>1.1240968972E10</v>
      </c>
      <c r="B556" s="48">
        <v>46158.86767361111</v>
      </c>
      <c r="C556" s="30">
        <v>3.854943607E9</v>
      </c>
      <c r="D556" s="47" t="s">
        <v>1512</v>
      </c>
      <c r="E556" s="47">
        <v>7.613033560064E12</v>
      </c>
      <c r="F556" s="47" t="s">
        <v>1523</v>
      </c>
      <c r="G556" s="47" t="s">
        <v>1527</v>
      </c>
      <c r="H556" s="30">
        <v>1.0</v>
      </c>
      <c r="I556" s="30">
        <v>1285.0</v>
      </c>
      <c r="J556" s="30">
        <v>1285.0</v>
      </c>
      <c r="K556" s="30">
        <v>2.7</v>
      </c>
      <c r="L556" s="30">
        <v>34.69500000000001</v>
      </c>
      <c r="M556" s="30">
        <v>1190.0</v>
      </c>
      <c r="N556" s="30">
        <v>1190.0</v>
      </c>
      <c r="O556" s="30">
        <v>0.0</v>
      </c>
      <c r="P556" s="30">
        <v>0.0</v>
      </c>
      <c r="Q556" s="30">
        <v>60.30499999999999</v>
      </c>
    </row>
    <row r="557">
      <c r="A557" s="47">
        <v>1.123815185E10</v>
      </c>
      <c r="B557" s="48">
        <v>46157.93638888889</v>
      </c>
      <c r="C557" s="30">
        <v>3.852565629E9</v>
      </c>
      <c r="D557" s="47" t="s">
        <v>1509</v>
      </c>
      <c r="E557" s="47">
        <v>7.613033560064E12</v>
      </c>
      <c r="F557" s="47" t="s">
        <v>1523</v>
      </c>
      <c r="G557" s="47" t="s">
        <v>1527</v>
      </c>
      <c r="H557" s="30">
        <v>1.0</v>
      </c>
      <c r="I557" s="30">
        <v>1291.0</v>
      </c>
      <c r="J557" s="30">
        <v>1291.0</v>
      </c>
      <c r="K557" s="30">
        <v>2.7</v>
      </c>
      <c r="L557" s="30">
        <v>34.857</v>
      </c>
      <c r="M557" s="30">
        <v>1190.0</v>
      </c>
      <c r="N557" s="30">
        <v>1190.0</v>
      </c>
      <c r="O557" s="30">
        <v>0.0</v>
      </c>
      <c r="P557" s="30">
        <v>0.0</v>
      </c>
      <c r="Q557" s="30">
        <v>66.143</v>
      </c>
    </row>
    <row r="558">
      <c r="A558" s="47">
        <v>1.123933132E10</v>
      </c>
      <c r="B558" s="48">
        <v>46158.34924768518</v>
      </c>
      <c r="C558" s="30">
        <v>3.853576144E9</v>
      </c>
      <c r="D558" s="47" t="s">
        <v>1512</v>
      </c>
      <c r="E558" s="47" t="s">
        <v>356</v>
      </c>
      <c r="F558" s="47" t="s">
        <v>1523</v>
      </c>
      <c r="G558" s="47" t="s">
        <v>1532</v>
      </c>
      <c r="H558" s="30">
        <v>1.0</v>
      </c>
      <c r="I558" s="30">
        <v>729.0</v>
      </c>
      <c r="J558" s="30">
        <v>729.0</v>
      </c>
      <c r="K558" s="30">
        <v>4.95</v>
      </c>
      <c r="L558" s="30">
        <v>36.0855</v>
      </c>
      <c r="M558" s="30">
        <v>580.0</v>
      </c>
      <c r="N558" s="30">
        <v>580.0</v>
      </c>
      <c r="O558" s="30">
        <v>0.0</v>
      </c>
      <c r="P558" s="30">
        <v>0.0</v>
      </c>
      <c r="Q558" s="30">
        <v>112.9145</v>
      </c>
    </row>
    <row r="559">
      <c r="A559" s="47">
        <v>1.1240830776E10</v>
      </c>
      <c r="B559" s="48">
        <v>46158.839108796295</v>
      </c>
      <c r="C559" s="30">
        <v>3.854847872E9</v>
      </c>
      <c r="D559" s="47" t="s">
        <v>1512</v>
      </c>
      <c r="E559" s="47">
        <v>7.613032816536E12</v>
      </c>
      <c r="F559" s="47" t="s">
        <v>1523</v>
      </c>
      <c r="G559" s="47" t="s">
        <v>1533</v>
      </c>
      <c r="H559" s="30">
        <v>1.0</v>
      </c>
      <c r="I559" s="30">
        <v>729.0</v>
      </c>
      <c r="J559" s="30">
        <v>729.0</v>
      </c>
      <c r="K559" s="30">
        <v>4.41</v>
      </c>
      <c r="L559" s="30">
        <v>32.148900000000005</v>
      </c>
      <c r="M559" s="30">
        <v>580.0</v>
      </c>
      <c r="N559" s="30">
        <v>580.0</v>
      </c>
      <c r="O559" s="30">
        <v>0.0</v>
      </c>
      <c r="P559" s="30">
        <v>0.0</v>
      </c>
      <c r="Q559" s="30">
        <v>116.8511</v>
      </c>
    </row>
    <row r="560">
      <c r="A560" s="47">
        <v>1.1245296997E10</v>
      </c>
      <c r="B560" s="48">
        <v>46160.07659722222</v>
      </c>
      <c r="C560" s="30">
        <v>3.858343064E9</v>
      </c>
      <c r="D560" s="47" t="s">
        <v>1512</v>
      </c>
      <c r="E560" s="47" t="s">
        <v>356</v>
      </c>
      <c r="F560" s="47" t="s">
        <v>1523</v>
      </c>
      <c r="G560" s="47" t="s">
        <v>1532</v>
      </c>
      <c r="H560" s="30">
        <v>1.0</v>
      </c>
      <c r="I560" s="30">
        <v>729.0</v>
      </c>
      <c r="J560" s="30">
        <v>729.0</v>
      </c>
      <c r="K560" s="30">
        <v>4.95</v>
      </c>
      <c r="L560" s="30">
        <v>36.0855</v>
      </c>
      <c r="M560" s="30">
        <v>580.0</v>
      </c>
      <c r="N560" s="30">
        <v>580.0</v>
      </c>
      <c r="O560" s="30">
        <v>0.0</v>
      </c>
      <c r="P560" s="30">
        <v>0.0</v>
      </c>
      <c r="Q560" s="30">
        <v>112.9145</v>
      </c>
    </row>
    <row r="561">
      <c r="A561" s="47">
        <v>1.123805998E10</v>
      </c>
      <c r="B561" s="48">
        <v>46157.91935185185</v>
      </c>
      <c r="C561" s="30">
        <v>3.852503369E9</v>
      </c>
      <c r="D561" s="47" t="s">
        <v>1509</v>
      </c>
      <c r="E561" s="47">
        <v>7.613033560064E12</v>
      </c>
      <c r="F561" s="47" t="s">
        <v>1523</v>
      </c>
      <c r="G561" s="47" t="s">
        <v>1527</v>
      </c>
      <c r="H561" s="30">
        <v>1.0</v>
      </c>
      <c r="I561" s="30">
        <v>1291.0</v>
      </c>
      <c r="J561" s="30">
        <v>1291.0</v>
      </c>
      <c r="K561" s="30">
        <v>2.7</v>
      </c>
      <c r="L561" s="30">
        <v>34.857</v>
      </c>
      <c r="M561" s="30">
        <v>1190.0</v>
      </c>
      <c r="N561" s="30">
        <v>1190.0</v>
      </c>
      <c r="O561" s="30">
        <v>0.0</v>
      </c>
      <c r="P561" s="30">
        <v>0.0</v>
      </c>
      <c r="Q561" s="30">
        <v>66.143</v>
      </c>
    </row>
    <row r="562">
      <c r="A562" s="47">
        <v>1.1236871863E10</v>
      </c>
      <c r="B562" s="48">
        <v>46157.6791087963</v>
      </c>
      <c r="C562" s="30">
        <v>3.851567373E9</v>
      </c>
      <c r="D562" s="47" t="s">
        <v>1509</v>
      </c>
      <c r="E562" s="47" t="s">
        <v>356</v>
      </c>
      <c r="F562" s="47" t="s">
        <v>1523</v>
      </c>
      <c r="G562" s="47" t="s">
        <v>1532</v>
      </c>
      <c r="H562" s="30">
        <v>1.0</v>
      </c>
      <c r="I562" s="30">
        <v>729.0</v>
      </c>
      <c r="J562" s="30">
        <v>729.0</v>
      </c>
      <c r="K562" s="30">
        <v>4.95</v>
      </c>
      <c r="L562" s="30">
        <v>36.0855</v>
      </c>
      <c r="M562" s="30">
        <v>580.0</v>
      </c>
      <c r="N562" s="30">
        <v>580.0</v>
      </c>
      <c r="O562" s="30">
        <v>0.0</v>
      </c>
      <c r="P562" s="30">
        <v>0.0</v>
      </c>
      <c r="Q562" s="30">
        <v>112.9145</v>
      </c>
    </row>
    <row r="563">
      <c r="A563" s="47">
        <v>1.1241568843E10</v>
      </c>
      <c r="B563" s="48">
        <v>46158.98841435185</v>
      </c>
      <c r="C563" s="30">
        <v>3.855344578E9</v>
      </c>
      <c r="D563" s="47" t="s">
        <v>1512</v>
      </c>
      <c r="E563" s="47">
        <v>7.613033560064E12</v>
      </c>
      <c r="F563" s="47" t="s">
        <v>1523</v>
      </c>
      <c r="G563" s="47" t="s">
        <v>1527</v>
      </c>
      <c r="H563" s="30">
        <v>1.0</v>
      </c>
      <c r="I563" s="30">
        <v>1284.0</v>
      </c>
      <c r="J563" s="30">
        <v>1284.0</v>
      </c>
      <c r="K563" s="30">
        <v>2.7</v>
      </c>
      <c r="L563" s="30">
        <v>34.668</v>
      </c>
      <c r="M563" s="30">
        <v>1190.0</v>
      </c>
      <c r="N563" s="30">
        <v>1190.0</v>
      </c>
      <c r="O563" s="30">
        <v>0.0</v>
      </c>
      <c r="P563" s="30">
        <v>0.0</v>
      </c>
      <c r="Q563" s="30">
        <v>59.332</v>
      </c>
    </row>
    <row r="564">
      <c r="A564" s="47">
        <v>1.1240925075E10</v>
      </c>
      <c r="B564" s="48">
        <v>46158.858298611114</v>
      </c>
      <c r="C564" s="30">
        <v>3.854912028E9</v>
      </c>
      <c r="D564" s="47" t="s">
        <v>1512</v>
      </c>
      <c r="E564" s="47">
        <v>7.613033560064E12</v>
      </c>
      <c r="F564" s="47" t="s">
        <v>1523</v>
      </c>
      <c r="G564" s="47" t="s">
        <v>1527</v>
      </c>
      <c r="H564" s="30">
        <v>1.0</v>
      </c>
      <c r="I564" s="30">
        <v>1285.0</v>
      </c>
      <c r="J564" s="30">
        <v>1285.0</v>
      </c>
      <c r="K564" s="30">
        <v>2.7</v>
      </c>
      <c r="L564" s="30">
        <v>34.69500000000001</v>
      </c>
      <c r="M564" s="30">
        <v>1190.0</v>
      </c>
      <c r="N564" s="30">
        <v>1190.0</v>
      </c>
      <c r="O564" s="30">
        <v>0.0</v>
      </c>
      <c r="P564" s="30">
        <v>0.0</v>
      </c>
      <c r="Q564" s="30">
        <v>60.30499999999999</v>
      </c>
    </row>
    <row r="565">
      <c r="A565" s="47">
        <v>1.1243065529E10</v>
      </c>
      <c r="B565" s="48">
        <v>46159.654328703706</v>
      </c>
      <c r="C565" s="30">
        <v>3.856650767E9</v>
      </c>
      <c r="D565" s="47" t="s">
        <v>1512</v>
      </c>
      <c r="E565" s="47">
        <v>7.613033560064E12</v>
      </c>
      <c r="F565" s="47" t="s">
        <v>1523</v>
      </c>
      <c r="G565" s="47" t="s">
        <v>1527</v>
      </c>
      <c r="H565" s="30">
        <v>1.0</v>
      </c>
      <c r="I565" s="30">
        <v>1282.0</v>
      </c>
      <c r="J565" s="30">
        <v>1282.0</v>
      </c>
      <c r="K565" s="30">
        <v>2.7</v>
      </c>
      <c r="L565" s="30">
        <v>34.614000000000004</v>
      </c>
      <c r="M565" s="30">
        <v>1190.0</v>
      </c>
      <c r="N565" s="30">
        <v>1190.0</v>
      </c>
      <c r="O565" s="30">
        <v>0.0</v>
      </c>
      <c r="P565" s="30">
        <v>0.0</v>
      </c>
      <c r="Q565" s="30">
        <v>57.385999999999996</v>
      </c>
    </row>
    <row r="566">
      <c r="A566" s="47">
        <v>1.1243840647E10</v>
      </c>
      <c r="B566" s="48">
        <v>46159.811064814814</v>
      </c>
      <c r="C566" s="30">
        <v>3.8572473E9</v>
      </c>
      <c r="D566" s="47" t="s">
        <v>1512</v>
      </c>
      <c r="E566" s="47">
        <v>7.613033560064E12</v>
      </c>
      <c r="F566" s="47" t="s">
        <v>1523</v>
      </c>
      <c r="G566" s="47" t="s">
        <v>1527</v>
      </c>
      <c r="H566" s="30">
        <v>1.0</v>
      </c>
      <c r="I566" s="30">
        <v>1281.0</v>
      </c>
      <c r="J566" s="30">
        <v>1281.0</v>
      </c>
      <c r="K566" s="30">
        <v>2.7</v>
      </c>
      <c r="L566" s="30">
        <v>34.587</v>
      </c>
      <c r="M566" s="30">
        <v>1190.0</v>
      </c>
      <c r="N566" s="30">
        <v>1190.0</v>
      </c>
      <c r="O566" s="30">
        <v>0.0</v>
      </c>
      <c r="P566" s="30">
        <v>0.0</v>
      </c>
      <c r="Q566" s="30">
        <v>56.413</v>
      </c>
    </row>
    <row r="567">
      <c r="A567" s="47">
        <v>1.1240331278E10</v>
      </c>
      <c r="B567" s="48">
        <v>46158.734918981485</v>
      </c>
      <c r="C567" s="30">
        <v>3.854477531E9</v>
      </c>
      <c r="D567" s="47" t="s">
        <v>1512</v>
      </c>
      <c r="E567" s="47">
        <v>7.613033560064E12</v>
      </c>
      <c r="F567" s="47" t="s">
        <v>1523</v>
      </c>
      <c r="G567" s="47" t="s">
        <v>1527</v>
      </c>
      <c r="H567" s="30">
        <v>1.0</v>
      </c>
      <c r="I567" s="30">
        <v>1286.0</v>
      </c>
      <c r="J567" s="30">
        <v>1286.0</v>
      </c>
      <c r="K567" s="30">
        <v>2.7</v>
      </c>
      <c r="L567" s="30">
        <v>34.722</v>
      </c>
      <c r="M567" s="30">
        <v>1190.0</v>
      </c>
      <c r="N567" s="30">
        <v>1190.0</v>
      </c>
      <c r="O567" s="30">
        <v>0.0</v>
      </c>
      <c r="P567" s="30">
        <v>0.0</v>
      </c>
      <c r="Q567" s="30">
        <v>61.278</v>
      </c>
    </row>
    <row r="568">
      <c r="A568" s="47">
        <v>1.1245647568E10</v>
      </c>
      <c r="B568" s="48">
        <v>46160.15856481482</v>
      </c>
      <c r="C568" s="30">
        <v>3.858695208E9</v>
      </c>
      <c r="D568" s="47" t="s">
        <v>1512</v>
      </c>
      <c r="E568" s="47">
        <v>8.410650167909E12</v>
      </c>
      <c r="F568" s="47" t="s">
        <v>1523</v>
      </c>
      <c r="G568" s="47" t="s">
        <v>1551</v>
      </c>
      <c r="H568" s="30">
        <v>1.0</v>
      </c>
      <c r="I568" s="30">
        <v>1590.0</v>
      </c>
      <c r="J568" s="30">
        <v>1590.0</v>
      </c>
      <c r="K568" s="30">
        <v>10.62</v>
      </c>
      <c r="L568" s="30">
        <v>168.858</v>
      </c>
      <c r="M568" s="30">
        <v>1228.0</v>
      </c>
      <c r="N568" s="30">
        <v>1228.0</v>
      </c>
      <c r="O568" s="30">
        <v>0.0</v>
      </c>
      <c r="P568" s="30">
        <v>0.0</v>
      </c>
      <c r="Q568" s="30">
        <v>193.142</v>
      </c>
    </row>
    <row r="569">
      <c r="A569" s="47">
        <v>1.1241895868E10</v>
      </c>
      <c r="B569" s="48">
        <v>46159.05415509259</v>
      </c>
      <c r="C569" s="30">
        <v>3.855608811E9</v>
      </c>
      <c r="D569" s="47" t="s">
        <v>1512</v>
      </c>
      <c r="E569" s="47">
        <v>7.613033560064E12</v>
      </c>
      <c r="F569" s="47" t="s">
        <v>1523</v>
      </c>
      <c r="G569" s="47" t="s">
        <v>1527</v>
      </c>
      <c r="H569" s="30">
        <v>1.0</v>
      </c>
      <c r="I569" s="30">
        <v>1284.0</v>
      </c>
      <c r="J569" s="30">
        <v>1284.0</v>
      </c>
      <c r="K569" s="30">
        <v>2.7</v>
      </c>
      <c r="L569" s="30">
        <v>34.668</v>
      </c>
      <c r="M569" s="30">
        <v>1190.0</v>
      </c>
      <c r="N569" s="30">
        <v>1190.0</v>
      </c>
      <c r="O569" s="30">
        <v>0.0</v>
      </c>
      <c r="P569" s="30">
        <v>0.0</v>
      </c>
      <c r="Q569" s="30">
        <v>59.332</v>
      </c>
    </row>
    <row r="570">
      <c r="A570" s="47">
        <v>1.1241059169E10</v>
      </c>
      <c r="B570" s="48">
        <v>46158.88548611111</v>
      </c>
      <c r="C570" s="30">
        <v>3.855002613E9</v>
      </c>
      <c r="D570" s="47" t="s">
        <v>1512</v>
      </c>
      <c r="E570" s="47">
        <v>7.613033560064E12</v>
      </c>
      <c r="F570" s="47" t="s">
        <v>1523</v>
      </c>
      <c r="G570" s="47" t="s">
        <v>1527</v>
      </c>
      <c r="H570" s="30">
        <v>1.0</v>
      </c>
      <c r="I570" s="30">
        <v>1285.0</v>
      </c>
      <c r="J570" s="30">
        <v>1285.0</v>
      </c>
      <c r="K570" s="30">
        <v>2.7</v>
      </c>
      <c r="L570" s="30">
        <v>34.69500000000001</v>
      </c>
      <c r="M570" s="30">
        <v>1190.0</v>
      </c>
      <c r="N570" s="30">
        <v>1190.0</v>
      </c>
      <c r="O570" s="30">
        <v>0.0</v>
      </c>
      <c r="P570" s="30">
        <v>0.0</v>
      </c>
      <c r="Q570" s="30">
        <v>60.30499999999999</v>
      </c>
    </row>
    <row r="571">
      <c r="A571" s="47">
        <v>1.1243241367E10</v>
      </c>
      <c r="B571" s="48">
        <v>46159.691203703704</v>
      </c>
      <c r="C571" s="30">
        <v>3.856795871E9</v>
      </c>
      <c r="D571" s="47" t="s">
        <v>1512</v>
      </c>
      <c r="E571" s="47">
        <v>7.613033560064E12</v>
      </c>
      <c r="F571" s="47" t="s">
        <v>1523</v>
      </c>
      <c r="G571" s="47" t="s">
        <v>1527</v>
      </c>
      <c r="H571" s="30">
        <v>1.0</v>
      </c>
      <c r="I571" s="30">
        <v>1282.0</v>
      </c>
      <c r="J571" s="30">
        <v>1282.0</v>
      </c>
      <c r="K571" s="30">
        <v>2.7</v>
      </c>
      <c r="L571" s="30">
        <v>34.614000000000004</v>
      </c>
      <c r="M571" s="30">
        <v>1190.0</v>
      </c>
      <c r="N571" s="30">
        <v>1190.0</v>
      </c>
      <c r="O571" s="30">
        <v>0.0</v>
      </c>
      <c r="P571" s="30">
        <v>0.0</v>
      </c>
      <c r="Q571" s="30">
        <v>57.385999999999996</v>
      </c>
    </row>
    <row r="572">
      <c r="A572" s="47">
        <v>1.1239480834E10</v>
      </c>
      <c r="B572" s="48">
        <v>46158.52850694444</v>
      </c>
      <c r="C572" s="30">
        <v>3.85373697E9</v>
      </c>
      <c r="D572" s="47" t="s">
        <v>1512</v>
      </c>
      <c r="E572" s="47">
        <v>7.613033560064E12</v>
      </c>
      <c r="F572" s="47" t="s">
        <v>1523</v>
      </c>
      <c r="G572" s="47" t="s">
        <v>1527</v>
      </c>
      <c r="H572" s="30">
        <v>1.0</v>
      </c>
      <c r="I572" s="30">
        <v>1289.0</v>
      </c>
      <c r="J572" s="30">
        <v>1289.0</v>
      </c>
      <c r="K572" s="30">
        <v>2.7</v>
      </c>
      <c r="L572" s="30">
        <v>34.803000000000004</v>
      </c>
      <c r="M572" s="30">
        <v>1190.0</v>
      </c>
      <c r="N572" s="30">
        <v>1190.0</v>
      </c>
      <c r="O572" s="30">
        <v>0.0</v>
      </c>
      <c r="P572" s="30">
        <v>0.0</v>
      </c>
      <c r="Q572" s="30">
        <v>64.197</v>
      </c>
    </row>
    <row r="573">
      <c r="A573" s="47">
        <v>1.1242668073E10</v>
      </c>
      <c r="B573" s="48">
        <v>46159.54274305556</v>
      </c>
      <c r="C573" s="30">
        <v>3.856320127E9</v>
      </c>
      <c r="D573" s="47" t="s">
        <v>1512</v>
      </c>
      <c r="E573" s="47">
        <v>8.410650151656E12</v>
      </c>
      <c r="F573" s="47" t="s">
        <v>1523</v>
      </c>
      <c r="G573" s="47" t="s">
        <v>1525</v>
      </c>
      <c r="H573" s="30">
        <v>1.0</v>
      </c>
      <c r="I573" s="30">
        <v>1640.0</v>
      </c>
      <c r="J573" s="30">
        <v>1640.0</v>
      </c>
      <c r="K573" s="30">
        <v>12.15</v>
      </c>
      <c r="L573" s="30">
        <v>199.26</v>
      </c>
      <c r="M573" s="30">
        <v>1228.0</v>
      </c>
      <c r="N573" s="30">
        <v>1228.0</v>
      </c>
      <c r="O573" s="30">
        <v>0.0</v>
      </c>
      <c r="P573" s="30">
        <v>0.0</v>
      </c>
      <c r="Q573" s="30">
        <v>212.74</v>
      </c>
    </row>
    <row r="574">
      <c r="A574" s="47">
        <v>1.1239135983E10</v>
      </c>
      <c r="B574" s="48">
        <v>46158.14944444445</v>
      </c>
      <c r="C574" s="30">
        <v>3.853387677E9</v>
      </c>
      <c r="D574" s="47" t="s">
        <v>1512</v>
      </c>
      <c r="E574" s="47">
        <v>7.613035846708E12</v>
      </c>
      <c r="F574" s="47" t="s">
        <v>1523</v>
      </c>
      <c r="G574" s="47" t="s">
        <v>1535</v>
      </c>
      <c r="H574" s="30">
        <v>1.0</v>
      </c>
      <c r="I574" s="30">
        <v>1267.9</v>
      </c>
      <c r="J574" s="30">
        <v>1267.9</v>
      </c>
      <c r="K574" s="30">
        <v>4.5</v>
      </c>
      <c r="L574" s="30">
        <v>57.0555</v>
      </c>
      <c r="M574" s="30">
        <v>1160.0</v>
      </c>
      <c r="N574" s="30">
        <v>1160.0</v>
      </c>
      <c r="O574" s="30">
        <v>0.0</v>
      </c>
      <c r="P574" s="30">
        <v>0.0</v>
      </c>
      <c r="Q574" s="30">
        <v>50.84450000000009</v>
      </c>
    </row>
    <row r="575">
      <c r="A575" s="47">
        <v>1.1239381567E10</v>
      </c>
      <c r="B575" s="48">
        <v>46158.470625</v>
      </c>
      <c r="C575" s="30">
        <v>3.853637529E9</v>
      </c>
      <c r="D575" s="47" t="s">
        <v>1512</v>
      </c>
      <c r="E575" s="47">
        <v>7.613035846708E12</v>
      </c>
      <c r="F575" s="47" t="s">
        <v>1523</v>
      </c>
      <c r="G575" s="47" t="s">
        <v>1535</v>
      </c>
      <c r="H575" s="30">
        <v>1.0</v>
      </c>
      <c r="I575" s="30">
        <v>1267.9</v>
      </c>
      <c r="J575" s="30">
        <v>1267.9</v>
      </c>
      <c r="K575" s="30">
        <v>4.5</v>
      </c>
      <c r="L575" s="30">
        <v>57.0555</v>
      </c>
      <c r="M575" s="30">
        <v>1160.0</v>
      </c>
      <c r="N575" s="30">
        <v>1160.0</v>
      </c>
      <c r="O575" s="30">
        <v>0.0</v>
      </c>
      <c r="P575" s="30">
        <v>0.0</v>
      </c>
      <c r="Q575" s="30">
        <v>50.84450000000009</v>
      </c>
    </row>
    <row r="576">
      <c r="A576" s="47">
        <v>1.1242592714E10</v>
      </c>
      <c r="B576" s="48">
        <v>46159.503900462965</v>
      </c>
      <c r="C576" s="30">
        <v>3.856253091E9</v>
      </c>
      <c r="D576" s="47" t="s">
        <v>1512</v>
      </c>
      <c r="E576" s="47">
        <v>8.410650167909E12</v>
      </c>
      <c r="F576" s="47" t="s">
        <v>1523</v>
      </c>
      <c r="G576" s="47" t="s">
        <v>1551</v>
      </c>
      <c r="H576" s="30">
        <v>1.0</v>
      </c>
      <c r="I576" s="30">
        <v>1600.0</v>
      </c>
      <c r="J576" s="30">
        <v>1600.0</v>
      </c>
      <c r="K576" s="30">
        <v>10.62</v>
      </c>
      <c r="L576" s="30">
        <v>169.92</v>
      </c>
      <c r="M576" s="30">
        <v>1228.0</v>
      </c>
      <c r="N576" s="30">
        <v>1228.0</v>
      </c>
      <c r="O576" s="30">
        <v>0.0</v>
      </c>
      <c r="P576" s="30">
        <v>0.0</v>
      </c>
      <c r="Q576" s="30">
        <v>202.08</v>
      </c>
    </row>
    <row r="577">
      <c r="A577" s="47">
        <v>1.1240073278E10</v>
      </c>
      <c r="B577" s="48">
        <v>46158.68209490741</v>
      </c>
      <c r="C577" s="30">
        <v>3.854266039E9</v>
      </c>
      <c r="D577" s="47" t="s">
        <v>1512</v>
      </c>
      <c r="E577" s="47">
        <v>7.613033560064E12</v>
      </c>
      <c r="F577" s="47" t="s">
        <v>1523</v>
      </c>
      <c r="G577" s="47" t="s">
        <v>1527</v>
      </c>
      <c r="H577" s="30">
        <v>1.0</v>
      </c>
      <c r="I577" s="30">
        <v>1287.0</v>
      </c>
      <c r="J577" s="30">
        <v>1287.0</v>
      </c>
      <c r="K577" s="30">
        <v>2.7</v>
      </c>
      <c r="L577" s="30">
        <v>34.749</v>
      </c>
      <c r="M577" s="30">
        <v>1190.0</v>
      </c>
      <c r="N577" s="30">
        <v>1190.0</v>
      </c>
      <c r="O577" s="30">
        <v>0.0</v>
      </c>
      <c r="P577" s="30">
        <v>0.0</v>
      </c>
      <c r="Q577" s="30">
        <v>62.251</v>
      </c>
    </row>
    <row r="578">
      <c r="A578" s="47">
        <v>1.1238086069E10</v>
      </c>
      <c r="B578" s="48">
        <v>46157.924097222225</v>
      </c>
      <c r="C578" s="30">
        <v>3.852520983E9</v>
      </c>
      <c r="D578" s="47" t="s">
        <v>1509</v>
      </c>
      <c r="E578" s="47">
        <v>7.613035846708E12</v>
      </c>
      <c r="F578" s="47" t="s">
        <v>1523</v>
      </c>
      <c r="G578" s="47" t="s">
        <v>1535</v>
      </c>
      <c r="H578" s="30">
        <v>1.0</v>
      </c>
      <c r="I578" s="30">
        <v>1267.9</v>
      </c>
      <c r="J578" s="30">
        <v>1267.9</v>
      </c>
      <c r="K578" s="30">
        <v>4.5</v>
      </c>
      <c r="L578" s="30">
        <v>57.0555</v>
      </c>
      <c r="M578" s="30">
        <v>1160.0</v>
      </c>
      <c r="N578" s="30">
        <v>1160.0</v>
      </c>
      <c r="O578" s="30">
        <v>0.0</v>
      </c>
      <c r="P578" s="30">
        <v>0.0</v>
      </c>
      <c r="Q578" s="30">
        <v>50.84450000000009</v>
      </c>
    </row>
    <row r="579">
      <c r="A579" s="47">
        <v>1.1239927597E10</v>
      </c>
      <c r="B579" s="48">
        <v>46158.6515625</v>
      </c>
      <c r="C579" s="30">
        <v>3.85414045E9</v>
      </c>
      <c r="D579" s="47" t="s">
        <v>1512</v>
      </c>
      <c r="E579" s="47" t="s">
        <v>356</v>
      </c>
      <c r="F579" s="47" t="s">
        <v>1523</v>
      </c>
      <c r="G579" s="47" t="s">
        <v>1532</v>
      </c>
      <c r="H579" s="30">
        <v>2.0</v>
      </c>
      <c r="I579" s="30">
        <v>729.0</v>
      </c>
      <c r="J579" s="30">
        <v>1458.0</v>
      </c>
      <c r="K579" s="30">
        <v>4.95</v>
      </c>
      <c r="L579" s="30">
        <v>72.171</v>
      </c>
      <c r="M579" s="30">
        <v>580.0</v>
      </c>
      <c r="N579" s="30">
        <v>1160.0</v>
      </c>
      <c r="O579" s="30">
        <v>0.0</v>
      </c>
      <c r="P579" s="30">
        <v>0.0</v>
      </c>
      <c r="Q579" s="30">
        <v>225.829</v>
      </c>
    </row>
    <row r="580">
      <c r="A580" s="47">
        <v>1.1242116824E10</v>
      </c>
      <c r="B580" s="48">
        <v>46159.10225694445</v>
      </c>
      <c r="C580" s="30">
        <v>3.855804825E9</v>
      </c>
      <c r="D580" s="47" t="s">
        <v>1512</v>
      </c>
      <c r="E580" s="47">
        <v>7.613033560064E12</v>
      </c>
      <c r="F580" s="47" t="s">
        <v>1523</v>
      </c>
      <c r="G580" s="47" t="s">
        <v>1527</v>
      </c>
      <c r="H580" s="30">
        <v>1.0</v>
      </c>
      <c r="I580" s="30">
        <v>1284.0</v>
      </c>
      <c r="J580" s="30">
        <v>1284.0</v>
      </c>
      <c r="K580" s="30">
        <v>2.7</v>
      </c>
      <c r="L580" s="30">
        <v>34.668</v>
      </c>
      <c r="M580" s="30">
        <v>1190.0</v>
      </c>
      <c r="N580" s="30">
        <v>1190.0</v>
      </c>
      <c r="O580" s="30">
        <v>0.0</v>
      </c>
      <c r="P580" s="30">
        <v>0.0</v>
      </c>
      <c r="Q580" s="30">
        <v>59.332</v>
      </c>
    </row>
    <row r="581">
      <c r="A581" s="47">
        <v>1.1241454874E10</v>
      </c>
      <c r="B581" s="48">
        <v>46158.96545138889</v>
      </c>
      <c r="C581" s="30">
        <v>3.855265259E9</v>
      </c>
      <c r="D581" s="47" t="s">
        <v>1512</v>
      </c>
      <c r="E581" s="47">
        <v>7.613033560064E12</v>
      </c>
      <c r="F581" s="47" t="s">
        <v>1523</v>
      </c>
      <c r="G581" s="47" t="s">
        <v>1527</v>
      </c>
      <c r="H581" s="30">
        <v>1.0</v>
      </c>
      <c r="I581" s="30">
        <v>1285.0</v>
      </c>
      <c r="J581" s="30">
        <v>1285.0</v>
      </c>
      <c r="K581" s="30">
        <v>2.7</v>
      </c>
      <c r="L581" s="30">
        <v>34.69500000000001</v>
      </c>
      <c r="M581" s="30">
        <v>1190.0</v>
      </c>
      <c r="N581" s="30">
        <v>1190.0</v>
      </c>
      <c r="O581" s="30">
        <v>0.0</v>
      </c>
      <c r="P581" s="30">
        <v>0.0</v>
      </c>
      <c r="Q581" s="30">
        <v>60.30499999999999</v>
      </c>
    </row>
    <row r="582">
      <c r="A582" s="47">
        <v>1.1242841187E10</v>
      </c>
      <c r="B582" s="48">
        <v>46159.59997685185</v>
      </c>
      <c r="C582" s="30">
        <v>3.856466902E9</v>
      </c>
      <c r="D582" s="47" t="s">
        <v>1512</v>
      </c>
      <c r="E582" s="47">
        <v>8.410650167909E12</v>
      </c>
      <c r="F582" s="47" t="s">
        <v>1523</v>
      </c>
      <c r="G582" s="47" t="s">
        <v>1551</v>
      </c>
      <c r="H582" s="30">
        <v>1.0</v>
      </c>
      <c r="I582" s="30">
        <v>1600.0</v>
      </c>
      <c r="J582" s="30">
        <v>1600.0</v>
      </c>
      <c r="K582" s="30">
        <v>10.62</v>
      </c>
      <c r="L582" s="30">
        <v>169.92</v>
      </c>
      <c r="M582" s="30">
        <v>1228.0</v>
      </c>
      <c r="N582" s="30">
        <v>1228.0</v>
      </c>
      <c r="O582" s="30">
        <v>0.0</v>
      </c>
      <c r="P582" s="30">
        <v>0.0</v>
      </c>
      <c r="Q582" s="30">
        <v>202.08</v>
      </c>
    </row>
    <row r="583">
      <c r="A583" s="47">
        <v>1.12429158E10</v>
      </c>
      <c r="B583" s="48">
        <v>46159.61938657407</v>
      </c>
      <c r="C583" s="30">
        <v>3.856526027E9</v>
      </c>
      <c r="D583" s="47" t="s">
        <v>1512</v>
      </c>
      <c r="E583" s="47">
        <v>7.613033560064E12</v>
      </c>
      <c r="F583" s="47" t="s">
        <v>1523</v>
      </c>
      <c r="G583" s="47" t="s">
        <v>1527</v>
      </c>
      <c r="H583" s="30">
        <v>1.0</v>
      </c>
      <c r="I583" s="30">
        <v>1283.0</v>
      </c>
      <c r="J583" s="30">
        <v>1283.0</v>
      </c>
      <c r="K583" s="30">
        <v>2.7</v>
      </c>
      <c r="L583" s="30">
        <v>34.641000000000005</v>
      </c>
      <c r="M583" s="30">
        <v>1190.0</v>
      </c>
      <c r="N583" s="30">
        <v>1190.0</v>
      </c>
      <c r="O583" s="30">
        <v>0.0</v>
      </c>
      <c r="P583" s="30">
        <v>0.0</v>
      </c>
      <c r="Q583" s="30">
        <v>58.358999999999995</v>
      </c>
    </row>
    <row r="584">
      <c r="A584" s="47">
        <v>1.1244615321E10</v>
      </c>
      <c r="B584" s="48">
        <v>46159.954189814816</v>
      </c>
      <c r="C584" s="30">
        <v>3.85776959E9</v>
      </c>
      <c r="D584" s="47" t="s">
        <v>1512</v>
      </c>
      <c r="E584" s="47">
        <v>8.410650167909E12</v>
      </c>
      <c r="F584" s="47" t="s">
        <v>1523</v>
      </c>
      <c r="G584" s="47" t="s">
        <v>1551</v>
      </c>
      <c r="H584" s="30">
        <v>1.0</v>
      </c>
      <c r="I584" s="30">
        <v>1590.0</v>
      </c>
      <c r="J584" s="30">
        <v>1590.0</v>
      </c>
      <c r="K584" s="30">
        <v>10.62</v>
      </c>
      <c r="L584" s="30">
        <v>168.858</v>
      </c>
      <c r="M584" s="30">
        <v>1228.0</v>
      </c>
      <c r="N584" s="30">
        <v>1228.0</v>
      </c>
      <c r="O584" s="30">
        <v>0.0</v>
      </c>
      <c r="P584" s="30">
        <v>0.0</v>
      </c>
      <c r="Q584" s="30">
        <v>193.142</v>
      </c>
    </row>
    <row r="585">
      <c r="A585" s="47">
        <v>1.1240393347E10</v>
      </c>
      <c r="B585" s="48">
        <v>46158.747453703705</v>
      </c>
      <c r="C585" s="30">
        <v>3.854521833E9</v>
      </c>
      <c r="D585" s="47" t="s">
        <v>1512</v>
      </c>
      <c r="E585" s="47">
        <v>7.613033560064E12</v>
      </c>
      <c r="F585" s="47" t="s">
        <v>1523</v>
      </c>
      <c r="G585" s="47" t="s">
        <v>1527</v>
      </c>
      <c r="H585" s="30">
        <v>1.0</v>
      </c>
      <c r="I585" s="30">
        <v>1286.0</v>
      </c>
      <c r="J585" s="30">
        <v>1286.0</v>
      </c>
      <c r="K585" s="30">
        <v>2.7</v>
      </c>
      <c r="L585" s="30">
        <v>34.722</v>
      </c>
      <c r="M585" s="30">
        <v>1190.0</v>
      </c>
      <c r="N585" s="30">
        <v>1190.0</v>
      </c>
      <c r="O585" s="30">
        <v>0.0</v>
      </c>
      <c r="P585" s="30">
        <v>0.0</v>
      </c>
      <c r="Q585" s="30">
        <v>61.278</v>
      </c>
    </row>
    <row r="586">
      <c r="A586" s="47">
        <v>1.1240056498E10</v>
      </c>
      <c r="B586" s="48">
        <v>46158.67855324074</v>
      </c>
      <c r="C586" s="30">
        <v>3.85425234E9</v>
      </c>
      <c r="D586" s="47" t="s">
        <v>1512</v>
      </c>
      <c r="E586" s="47">
        <v>7.613032816536E12</v>
      </c>
      <c r="F586" s="47" t="s">
        <v>1523</v>
      </c>
      <c r="G586" s="47" t="s">
        <v>1533</v>
      </c>
      <c r="H586" s="30">
        <v>1.0</v>
      </c>
      <c r="I586" s="30">
        <v>729.0</v>
      </c>
      <c r="J586" s="30">
        <v>729.0</v>
      </c>
      <c r="K586" s="30">
        <v>4.41</v>
      </c>
      <c r="L586" s="30">
        <v>32.148900000000005</v>
      </c>
      <c r="M586" s="30">
        <v>580.0</v>
      </c>
      <c r="N586" s="30">
        <v>580.0</v>
      </c>
      <c r="O586" s="30">
        <v>0.0</v>
      </c>
      <c r="P586" s="30">
        <v>0.0</v>
      </c>
      <c r="Q586" s="30">
        <v>116.8511</v>
      </c>
    </row>
    <row r="587">
      <c r="A587" s="47">
        <v>1.1241483539E10</v>
      </c>
      <c r="B587" s="48">
        <v>46158.97099537037</v>
      </c>
      <c r="C587" s="30">
        <v>3.855283849E9</v>
      </c>
      <c r="D587" s="47" t="s">
        <v>1512</v>
      </c>
      <c r="E587" s="47">
        <v>7.613032816536E12</v>
      </c>
      <c r="F587" s="47" t="s">
        <v>1523</v>
      </c>
      <c r="G587" s="47" t="s">
        <v>1533</v>
      </c>
      <c r="H587" s="30">
        <v>1.0</v>
      </c>
      <c r="I587" s="30">
        <v>729.0</v>
      </c>
      <c r="J587" s="30">
        <v>729.0</v>
      </c>
      <c r="K587" s="30">
        <v>4.41</v>
      </c>
      <c r="L587" s="30">
        <v>32.148900000000005</v>
      </c>
      <c r="M587" s="30">
        <v>580.0</v>
      </c>
      <c r="N587" s="30">
        <v>580.0</v>
      </c>
      <c r="O587" s="30">
        <v>0.0</v>
      </c>
      <c r="P587" s="30">
        <v>0.0</v>
      </c>
      <c r="Q587" s="30">
        <v>116.8511</v>
      </c>
    </row>
    <row r="588">
      <c r="A588" s="47">
        <v>1.124116632E10</v>
      </c>
      <c r="B588" s="48">
        <v>46158.9068287037</v>
      </c>
      <c r="C588" s="30">
        <v>3.855071497E9</v>
      </c>
      <c r="D588" s="47" t="s">
        <v>1512</v>
      </c>
      <c r="E588" s="47">
        <v>7.613033560064E12</v>
      </c>
      <c r="F588" s="47" t="s">
        <v>1523</v>
      </c>
      <c r="G588" s="47" t="s">
        <v>1527</v>
      </c>
      <c r="H588" s="30">
        <v>1.0</v>
      </c>
      <c r="I588" s="30">
        <v>1285.0</v>
      </c>
      <c r="J588" s="30">
        <v>1285.0</v>
      </c>
      <c r="K588" s="30">
        <v>2.7</v>
      </c>
      <c r="L588" s="30">
        <v>34.69500000000001</v>
      </c>
      <c r="M588" s="30">
        <v>1190.0</v>
      </c>
      <c r="N588" s="30">
        <v>1190.0</v>
      </c>
      <c r="O588" s="30">
        <v>0.0</v>
      </c>
      <c r="P588" s="30">
        <v>0.0</v>
      </c>
      <c r="Q588" s="30">
        <v>60.30499999999999</v>
      </c>
    </row>
    <row r="589">
      <c r="A589" s="47">
        <v>1.1242624235E10</v>
      </c>
      <c r="B589" s="48">
        <v>46159.52193287037</v>
      </c>
      <c r="C589" s="30">
        <v>3.856280496E9</v>
      </c>
      <c r="D589" s="47" t="s">
        <v>1512</v>
      </c>
      <c r="E589" s="47">
        <v>8.684501941837E12</v>
      </c>
      <c r="F589" s="47" t="s">
        <v>289</v>
      </c>
      <c r="G589" s="47" t="s">
        <v>1543</v>
      </c>
      <c r="H589" s="30">
        <v>1.0</v>
      </c>
      <c r="I589" s="30">
        <v>317.63</v>
      </c>
      <c r="J589" s="30">
        <v>317.63</v>
      </c>
      <c r="K589" s="30">
        <v>18.0</v>
      </c>
      <c r="L589" s="30">
        <v>57.1734</v>
      </c>
      <c r="M589" s="30">
        <v>53.0</v>
      </c>
      <c r="N589" s="30">
        <v>53.0</v>
      </c>
      <c r="O589" s="30">
        <v>0.0</v>
      </c>
      <c r="P589" s="30">
        <v>0.0</v>
      </c>
      <c r="Q589" s="30">
        <v>207.45659999999998</v>
      </c>
    </row>
    <row r="590">
      <c r="A590" s="47">
        <v>1.1242624235E10</v>
      </c>
      <c r="B590" s="48">
        <v>46159.52193287037</v>
      </c>
      <c r="C590" s="30">
        <v>3.856280496E9</v>
      </c>
      <c r="D590" s="47" t="s">
        <v>1512</v>
      </c>
      <c r="E590" s="47">
        <v>7.613033560064E12</v>
      </c>
      <c r="F590" s="47" t="s">
        <v>1523</v>
      </c>
      <c r="G590" s="47" t="s">
        <v>1527</v>
      </c>
      <c r="H590" s="30">
        <v>1.0</v>
      </c>
      <c r="I590" s="30">
        <v>1164.37</v>
      </c>
      <c r="J590" s="30">
        <v>1164.37</v>
      </c>
      <c r="K590" s="30">
        <v>2.7</v>
      </c>
      <c r="L590" s="30">
        <v>31.43799</v>
      </c>
      <c r="M590" s="30">
        <v>1190.0</v>
      </c>
      <c r="N590" s="30">
        <v>1190.0</v>
      </c>
      <c r="O590" s="30">
        <v>0.0</v>
      </c>
      <c r="P590" s="30">
        <v>0.0</v>
      </c>
      <c r="Q590" s="30">
        <v>-57.06799000000011</v>
      </c>
    </row>
    <row r="591">
      <c r="A591" s="47">
        <v>1.1240963146E10</v>
      </c>
      <c r="B591" s="48">
        <v>46158.866435185184</v>
      </c>
      <c r="C591" s="30">
        <v>3.854939304E9</v>
      </c>
      <c r="D591" s="47" t="s">
        <v>1512</v>
      </c>
      <c r="E591" s="47">
        <v>7.613033560064E12</v>
      </c>
      <c r="F591" s="47" t="s">
        <v>1523</v>
      </c>
      <c r="G591" s="47" t="s">
        <v>1527</v>
      </c>
      <c r="H591" s="30">
        <v>1.0</v>
      </c>
      <c r="I591" s="30">
        <v>1285.0</v>
      </c>
      <c r="J591" s="30">
        <v>1285.0</v>
      </c>
      <c r="K591" s="30">
        <v>2.7</v>
      </c>
      <c r="L591" s="30">
        <v>34.69500000000001</v>
      </c>
      <c r="M591" s="30">
        <v>1190.0</v>
      </c>
      <c r="N591" s="30">
        <v>1190.0</v>
      </c>
      <c r="O591" s="30">
        <v>0.0</v>
      </c>
      <c r="P591" s="30">
        <v>0.0</v>
      </c>
      <c r="Q591" s="30">
        <v>60.30499999999999</v>
      </c>
    </row>
    <row r="592">
      <c r="A592" s="47">
        <v>1.1240276207E10</v>
      </c>
      <c r="B592" s="48">
        <v>46158.72369212963</v>
      </c>
      <c r="C592" s="30">
        <v>3.854433657E9</v>
      </c>
      <c r="D592" s="47" t="s">
        <v>1512</v>
      </c>
      <c r="E592" s="47">
        <v>7.613033560064E12</v>
      </c>
      <c r="F592" s="47" t="s">
        <v>1523</v>
      </c>
      <c r="G592" s="47" t="s">
        <v>1527</v>
      </c>
      <c r="H592" s="30">
        <v>1.0</v>
      </c>
      <c r="I592" s="30">
        <v>1286.0</v>
      </c>
      <c r="J592" s="30">
        <v>1286.0</v>
      </c>
      <c r="K592" s="30">
        <v>2.7</v>
      </c>
      <c r="L592" s="30">
        <v>34.722</v>
      </c>
      <c r="M592" s="30">
        <v>1190.0</v>
      </c>
      <c r="N592" s="30">
        <v>1190.0</v>
      </c>
      <c r="O592" s="30">
        <v>0.0</v>
      </c>
      <c r="P592" s="30">
        <v>0.0</v>
      </c>
      <c r="Q592" s="30">
        <v>61.278</v>
      </c>
    </row>
    <row r="593">
      <c r="A593" s="47">
        <v>1.1241194134E10</v>
      </c>
      <c r="B593" s="48">
        <v>46158.912627314814</v>
      </c>
      <c r="C593" s="30">
        <v>3.855089995E9</v>
      </c>
      <c r="D593" s="47" t="s">
        <v>1512</v>
      </c>
      <c r="E593" s="47">
        <v>7.613033560064E12</v>
      </c>
      <c r="F593" s="47" t="s">
        <v>1523</v>
      </c>
      <c r="G593" s="47" t="s">
        <v>1527</v>
      </c>
      <c r="H593" s="30">
        <v>1.0</v>
      </c>
      <c r="I593" s="30">
        <v>1285.0</v>
      </c>
      <c r="J593" s="30">
        <v>1285.0</v>
      </c>
      <c r="K593" s="30">
        <v>2.7</v>
      </c>
      <c r="L593" s="30">
        <v>34.69500000000001</v>
      </c>
      <c r="M593" s="30">
        <v>1190.0</v>
      </c>
      <c r="N593" s="30">
        <v>1190.0</v>
      </c>
      <c r="O593" s="30">
        <v>0.0</v>
      </c>
      <c r="P593" s="30">
        <v>0.0</v>
      </c>
      <c r="Q593" s="30">
        <v>60.30499999999999</v>
      </c>
    </row>
    <row r="594">
      <c r="A594" s="47">
        <v>1.1240032485E10</v>
      </c>
      <c r="B594" s="48">
        <v>46158.67395833333</v>
      </c>
      <c r="C594" s="30">
        <v>3.854235047E9</v>
      </c>
      <c r="D594" s="47" t="s">
        <v>1512</v>
      </c>
      <c r="E594" s="47">
        <v>7.613035846708E12</v>
      </c>
      <c r="F594" s="47" t="s">
        <v>1523</v>
      </c>
      <c r="G594" s="47" t="s">
        <v>1535</v>
      </c>
      <c r="H594" s="30">
        <v>1.0</v>
      </c>
      <c r="I594" s="30">
        <v>1267.9</v>
      </c>
      <c r="J594" s="30">
        <v>1267.9</v>
      </c>
      <c r="K594" s="30">
        <v>4.5</v>
      </c>
      <c r="L594" s="30">
        <v>57.0555</v>
      </c>
      <c r="M594" s="30">
        <v>1160.0</v>
      </c>
      <c r="N594" s="30">
        <v>1160.0</v>
      </c>
      <c r="O594" s="30">
        <v>0.0</v>
      </c>
      <c r="P594" s="30">
        <v>0.0</v>
      </c>
      <c r="Q594" s="30">
        <v>50.84450000000009</v>
      </c>
    </row>
    <row r="595">
      <c r="A595" s="47">
        <v>1.1243678078E10</v>
      </c>
      <c r="B595" s="48">
        <v>46159.77930555555</v>
      </c>
      <c r="C595" s="30">
        <v>3.857131787E9</v>
      </c>
      <c r="D595" s="47" t="s">
        <v>1512</v>
      </c>
      <c r="E595" s="47">
        <v>7.613033560064E12</v>
      </c>
      <c r="F595" s="47" t="s">
        <v>1523</v>
      </c>
      <c r="G595" s="47" t="s">
        <v>1527</v>
      </c>
      <c r="H595" s="30">
        <v>1.0</v>
      </c>
      <c r="I595" s="30">
        <v>1281.0</v>
      </c>
      <c r="J595" s="30">
        <v>1281.0</v>
      </c>
      <c r="K595" s="30">
        <v>2.7</v>
      </c>
      <c r="L595" s="30">
        <v>34.587</v>
      </c>
      <c r="M595" s="30">
        <v>1190.0</v>
      </c>
      <c r="N595" s="30">
        <v>1190.0</v>
      </c>
      <c r="O595" s="30">
        <v>0.0</v>
      </c>
      <c r="P595" s="30">
        <v>0.0</v>
      </c>
      <c r="Q595" s="30">
        <v>56.413</v>
      </c>
    </row>
    <row r="596">
      <c r="A596" s="47">
        <v>1.1239676761E10</v>
      </c>
      <c r="B596" s="48">
        <v>46158.59247685185</v>
      </c>
      <c r="C596" s="30">
        <v>3.853922529E9</v>
      </c>
      <c r="D596" s="47" t="s">
        <v>1512</v>
      </c>
      <c r="E596" s="47" t="s">
        <v>356</v>
      </c>
      <c r="F596" s="47" t="s">
        <v>1523</v>
      </c>
      <c r="G596" s="47" t="s">
        <v>1532</v>
      </c>
      <c r="H596" s="30">
        <v>2.0</v>
      </c>
      <c r="I596" s="30">
        <v>729.0</v>
      </c>
      <c r="J596" s="30">
        <v>1458.0</v>
      </c>
      <c r="K596" s="30">
        <v>4.95</v>
      </c>
      <c r="L596" s="30">
        <v>72.171</v>
      </c>
      <c r="M596" s="30">
        <v>580.0</v>
      </c>
      <c r="N596" s="30">
        <v>1160.0</v>
      </c>
      <c r="O596" s="30">
        <v>0.0</v>
      </c>
      <c r="P596" s="30">
        <v>0.0</v>
      </c>
      <c r="Q596" s="30">
        <v>225.829</v>
      </c>
    </row>
    <row r="597">
      <c r="A597" s="47">
        <v>1.1239354734E10</v>
      </c>
      <c r="B597" s="48">
        <v>46158.43431712963</v>
      </c>
      <c r="C597" s="30">
        <v>3.853604495E9</v>
      </c>
      <c r="D597" s="47" t="s">
        <v>1512</v>
      </c>
      <c r="E597" s="47">
        <v>7.613035846708E12</v>
      </c>
      <c r="F597" s="47" t="s">
        <v>1523</v>
      </c>
      <c r="G597" s="47" t="s">
        <v>1535</v>
      </c>
      <c r="H597" s="30">
        <v>1.0</v>
      </c>
      <c r="I597" s="30">
        <v>1267.9</v>
      </c>
      <c r="J597" s="30">
        <v>1267.9</v>
      </c>
      <c r="K597" s="30">
        <v>4.5</v>
      </c>
      <c r="L597" s="30">
        <v>57.0555</v>
      </c>
      <c r="M597" s="30">
        <v>1160.0</v>
      </c>
      <c r="N597" s="30">
        <v>1160.0</v>
      </c>
      <c r="O597" s="30">
        <v>0.0</v>
      </c>
      <c r="P597" s="30">
        <v>0.0</v>
      </c>
      <c r="Q597" s="30">
        <v>50.84450000000009</v>
      </c>
    </row>
    <row r="598">
      <c r="A598" s="47">
        <v>1.1241079294E10</v>
      </c>
      <c r="B598" s="48">
        <v>46158.889652777776</v>
      </c>
      <c r="C598" s="30">
        <v>3.855016008E9</v>
      </c>
      <c r="D598" s="47" t="s">
        <v>1512</v>
      </c>
      <c r="E598" s="47">
        <v>7.613033560064E12</v>
      </c>
      <c r="F598" s="47" t="s">
        <v>1523</v>
      </c>
      <c r="G598" s="47" t="s">
        <v>1527</v>
      </c>
      <c r="H598" s="30">
        <v>1.0</v>
      </c>
      <c r="I598" s="30">
        <v>1285.0</v>
      </c>
      <c r="J598" s="30">
        <v>1285.0</v>
      </c>
      <c r="K598" s="30">
        <v>2.7</v>
      </c>
      <c r="L598" s="30">
        <v>34.69500000000001</v>
      </c>
      <c r="M598" s="30">
        <v>1190.0</v>
      </c>
      <c r="N598" s="30">
        <v>1190.0</v>
      </c>
      <c r="O598" s="30">
        <v>0.0</v>
      </c>
      <c r="P598" s="30">
        <v>0.0</v>
      </c>
      <c r="Q598" s="30">
        <v>60.30499999999999</v>
      </c>
    </row>
    <row r="599">
      <c r="A599" s="47">
        <v>1.124060558E10</v>
      </c>
      <c r="B599" s="48">
        <v>46158.79194444444</v>
      </c>
      <c r="C599" s="30">
        <v>3.854686563E9</v>
      </c>
      <c r="D599" s="47" t="s">
        <v>1512</v>
      </c>
      <c r="E599" s="47" t="s">
        <v>356</v>
      </c>
      <c r="F599" s="47" t="s">
        <v>1523</v>
      </c>
      <c r="G599" s="47" t="s">
        <v>1532</v>
      </c>
      <c r="H599" s="30">
        <v>2.0</v>
      </c>
      <c r="I599" s="30">
        <v>729.0</v>
      </c>
      <c r="J599" s="30">
        <v>1458.0</v>
      </c>
      <c r="K599" s="30">
        <v>4.95</v>
      </c>
      <c r="L599" s="30">
        <v>72.171</v>
      </c>
      <c r="M599" s="30">
        <v>580.0</v>
      </c>
      <c r="N599" s="30">
        <v>1160.0</v>
      </c>
      <c r="O599" s="30">
        <v>0.0</v>
      </c>
      <c r="P599" s="30">
        <v>0.0</v>
      </c>
      <c r="Q599" s="30">
        <v>225.829</v>
      </c>
    </row>
    <row r="600">
      <c r="A600" s="47">
        <v>1.1239470902E10</v>
      </c>
      <c r="B600" s="48">
        <v>46158.52415509259</v>
      </c>
      <c r="C600" s="30">
        <v>3.853726874E9</v>
      </c>
      <c r="D600" s="47" t="s">
        <v>1512</v>
      </c>
      <c r="E600" s="47">
        <v>7.613033560064E12</v>
      </c>
      <c r="F600" s="47" t="s">
        <v>1523</v>
      </c>
      <c r="G600" s="47" t="s">
        <v>1527</v>
      </c>
      <c r="H600" s="30">
        <v>1.0</v>
      </c>
      <c r="I600" s="30">
        <v>1289.0</v>
      </c>
      <c r="J600" s="30">
        <v>1289.0</v>
      </c>
      <c r="K600" s="30">
        <v>2.7</v>
      </c>
      <c r="L600" s="30">
        <v>34.803000000000004</v>
      </c>
      <c r="M600" s="30">
        <v>1190.0</v>
      </c>
      <c r="N600" s="30">
        <v>1190.0</v>
      </c>
      <c r="O600" s="30">
        <v>0.0</v>
      </c>
      <c r="P600" s="30">
        <v>0.0</v>
      </c>
      <c r="Q600" s="30">
        <v>64.197</v>
      </c>
    </row>
    <row r="601">
      <c r="A601" s="47">
        <v>1.1241456059E10</v>
      </c>
      <c r="B601" s="48">
        <v>46158.96569444444</v>
      </c>
      <c r="C601" s="30">
        <v>3.855266164E9</v>
      </c>
      <c r="D601" s="47" t="s">
        <v>1512</v>
      </c>
      <c r="E601" s="47" t="s">
        <v>356</v>
      </c>
      <c r="F601" s="47" t="s">
        <v>1523</v>
      </c>
      <c r="G601" s="47" t="s">
        <v>1532</v>
      </c>
      <c r="H601" s="30">
        <v>1.0</v>
      </c>
      <c r="I601" s="30">
        <v>729.0</v>
      </c>
      <c r="J601" s="30">
        <v>729.0</v>
      </c>
      <c r="K601" s="30">
        <v>4.95</v>
      </c>
      <c r="L601" s="30">
        <v>36.0855</v>
      </c>
      <c r="M601" s="30">
        <v>580.0</v>
      </c>
      <c r="N601" s="30">
        <v>580.0</v>
      </c>
      <c r="O601" s="30">
        <v>0.0</v>
      </c>
      <c r="P601" s="30">
        <v>0.0</v>
      </c>
      <c r="Q601" s="30">
        <v>112.9145</v>
      </c>
    </row>
    <row r="602">
      <c r="A602" s="47">
        <v>1.1240839099E10</v>
      </c>
      <c r="B602" s="48">
        <v>46158.84087962963</v>
      </c>
      <c r="C602" s="30">
        <v>3.854853127E9</v>
      </c>
      <c r="D602" s="47" t="s">
        <v>1512</v>
      </c>
      <c r="E602" s="47">
        <v>7.613033560064E12</v>
      </c>
      <c r="F602" s="47" t="s">
        <v>1523</v>
      </c>
      <c r="G602" s="47" t="s">
        <v>1527</v>
      </c>
      <c r="H602" s="30">
        <v>1.0</v>
      </c>
      <c r="I602" s="30">
        <v>1285.0</v>
      </c>
      <c r="J602" s="30">
        <v>1285.0</v>
      </c>
      <c r="K602" s="30">
        <v>2.7</v>
      </c>
      <c r="L602" s="30">
        <v>34.69500000000001</v>
      </c>
      <c r="M602" s="30">
        <v>1190.0</v>
      </c>
      <c r="N602" s="30">
        <v>1190.0</v>
      </c>
      <c r="O602" s="30">
        <v>0.0</v>
      </c>
      <c r="P602" s="30">
        <v>0.0</v>
      </c>
      <c r="Q602" s="30">
        <v>60.30499999999999</v>
      </c>
    </row>
    <row r="603">
      <c r="A603" s="47">
        <v>1.1239443774E10</v>
      </c>
      <c r="B603" s="48">
        <v>46158.512557870374</v>
      </c>
      <c r="C603" s="30">
        <v>3.853703427E9</v>
      </c>
      <c r="D603" s="47" t="s">
        <v>1512</v>
      </c>
      <c r="E603" s="47">
        <v>7.613033560064E12</v>
      </c>
      <c r="F603" s="47" t="s">
        <v>1523</v>
      </c>
      <c r="G603" s="47" t="s">
        <v>1527</v>
      </c>
      <c r="H603" s="30">
        <v>2.0</v>
      </c>
      <c r="I603" s="30">
        <v>1289.0</v>
      </c>
      <c r="J603" s="30">
        <v>2578.0</v>
      </c>
      <c r="K603" s="30">
        <v>2.7</v>
      </c>
      <c r="L603" s="30">
        <v>69.60600000000001</v>
      </c>
      <c r="M603" s="30">
        <v>1190.0</v>
      </c>
      <c r="N603" s="30">
        <v>2380.0</v>
      </c>
      <c r="O603" s="30">
        <v>0.0</v>
      </c>
      <c r="P603" s="30">
        <v>0.0</v>
      </c>
      <c r="Q603" s="30">
        <v>128.394</v>
      </c>
    </row>
    <row r="604">
      <c r="A604" s="47">
        <v>1.1242906386E10</v>
      </c>
      <c r="B604" s="48">
        <v>46159.61688657408</v>
      </c>
      <c r="C604" s="30">
        <v>3.856518427E9</v>
      </c>
      <c r="D604" s="47" t="s">
        <v>1512</v>
      </c>
      <c r="E604" s="47">
        <v>7.613032816536E12</v>
      </c>
      <c r="F604" s="47" t="s">
        <v>1523</v>
      </c>
      <c r="G604" s="47" t="s">
        <v>1533</v>
      </c>
      <c r="H604" s="30">
        <v>1.0</v>
      </c>
      <c r="I604" s="30">
        <v>729.0</v>
      </c>
      <c r="J604" s="30">
        <v>729.0</v>
      </c>
      <c r="K604" s="30">
        <v>4.41</v>
      </c>
      <c r="L604" s="30">
        <v>32.148900000000005</v>
      </c>
      <c r="M604" s="30">
        <v>580.0</v>
      </c>
      <c r="N604" s="30">
        <v>580.0</v>
      </c>
      <c r="O604" s="30">
        <v>0.0</v>
      </c>
      <c r="P604" s="30">
        <v>0.0</v>
      </c>
      <c r="Q604" s="30">
        <v>116.8511</v>
      </c>
    </row>
    <row r="605">
      <c r="A605" s="47">
        <v>1.1245154261E10</v>
      </c>
      <c r="B605" s="48">
        <v>46160.050358796296</v>
      </c>
      <c r="C605" s="30">
        <v>3.858208006E9</v>
      </c>
      <c r="D605" s="47" t="s">
        <v>1512</v>
      </c>
      <c r="E605" s="47">
        <v>1.172022022E9</v>
      </c>
      <c r="F605" s="47" t="s">
        <v>1523</v>
      </c>
      <c r="G605" s="47" t="s">
        <v>1566</v>
      </c>
      <c r="H605" s="30">
        <v>1.0</v>
      </c>
      <c r="I605" s="30">
        <v>855.0</v>
      </c>
      <c r="J605" s="30">
        <v>855.0</v>
      </c>
      <c r="K605" s="30">
        <v>11.25</v>
      </c>
      <c r="L605" s="30">
        <v>96.1875</v>
      </c>
      <c r="M605" s="30">
        <v>0.0</v>
      </c>
      <c r="N605" s="30">
        <v>0.0</v>
      </c>
      <c r="O605" s="30">
        <v>0.0</v>
      </c>
      <c r="P605" s="30">
        <v>0.0</v>
      </c>
      <c r="Q605" s="30">
        <v>758.8125</v>
      </c>
    </row>
    <row r="606">
      <c r="A606" s="47">
        <v>1.1245154261E10</v>
      </c>
      <c r="B606" s="48">
        <v>46160.050358796296</v>
      </c>
      <c r="C606" s="30">
        <v>3.858208006E9</v>
      </c>
      <c r="D606" s="47" t="s">
        <v>1512</v>
      </c>
      <c r="E606" s="47">
        <v>9.00357931015112E14</v>
      </c>
      <c r="F606" s="47" t="s">
        <v>1523</v>
      </c>
      <c r="G606" s="47" t="s">
        <v>1567</v>
      </c>
      <c r="H606" s="30">
        <v>1.0</v>
      </c>
      <c r="I606" s="30">
        <v>958.0</v>
      </c>
      <c r="J606" s="30">
        <v>958.0</v>
      </c>
      <c r="K606" s="30">
        <v>11.25</v>
      </c>
      <c r="L606" s="30">
        <v>107.775</v>
      </c>
      <c r="M606" s="30">
        <v>1.0</v>
      </c>
      <c r="N606" s="30">
        <v>1.0</v>
      </c>
      <c r="O606" s="30">
        <v>0.0</v>
      </c>
      <c r="P606" s="30">
        <v>0.0</v>
      </c>
      <c r="Q606" s="30">
        <v>849.225</v>
      </c>
    </row>
    <row r="607">
      <c r="A607" s="47">
        <v>1.1242035414E10</v>
      </c>
      <c r="B607" s="48">
        <v>46159.08412037037</v>
      </c>
      <c r="C607" s="30">
        <v>3.85572975E9</v>
      </c>
      <c r="D607" s="47" t="s">
        <v>1512</v>
      </c>
      <c r="E607" s="47">
        <v>7.613033560064E12</v>
      </c>
      <c r="F607" s="47" t="s">
        <v>1523</v>
      </c>
      <c r="G607" s="47" t="s">
        <v>1527</v>
      </c>
      <c r="H607" s="30">
        <v>1.0</v>
      </c>
      <c r="I607" s="30">
        <v>1284.0</v>
      </c>
      <c r="J607" s="30">
        <v>1284.0</v>
      </c>
      <c r="K607" s="30">
        <v>2.7</v>
      </c>
      <c r="L607" s="30">
        <v>34.668</v>
      </c>
      <c r="M607" s="30">
        <v>1190.0</v>
      </c>
      <c r="N607" s="30">
        <v>1190.0</v>
      </c>
      <c r="O607" s="30">
        <v>0.0</v>
      </c>
      <c r="P607" s="30">
        <v>0.0</v>
      </c>
      <c r="Q607" s="30">
        <v>59.332</v>
      </c>
    </row>
    <row r="608">
      <c r="A608" s="47">
        <v>1.1243795624E10</v>
      </c>
      <c r="B608" s="48">
        <v>46159.80243055556</v>
      </c>
      <c r="C608" s="30">
        <v>3.857219417E9</v>
      </c>
      <c r="D608" s="47" t="s">
        <v>1512</v>
      </c>
      <c r="E608" s="47" t="s">
        <v>356</v>
      </c>
      <c r="F608" s="47" t="s">
        <v>1523</v>
      </c>
      <c r="G608" s="47" t="s">
        <v>1532</v>
      </c>
      <c r="H608" s="30">
        <v>1.0</v>
      </c>
      <c r="I608" s="30">
        <v>729.0</v>
      </c>
      <c r="J608" s="30">
        <v>729.0</v>
      </c>
      <c r="K608" s="30">
        <v>4.95</v>
      </c>
      <c r="L608" s="30">
        <v>36.0855</v>
      </c>
      <c r="M608" s="30">
        <v>580.0</v>
      </c>
      <c r="N608" s="30">
        <v>580.0</v>
      </c>
      <c r="O608" s="30">
        <v>0.0</v>
      </c>
      <c r="P608" s="30">
        <v>0.0</v>
      </c>
      <c r="Q608" s="30">
        <v>112.9145</v>
      </c>
    </row>
    <row r="609">
      <c r="A609" s="47">
        <v>1.1245582484E10</v>
      </c>
      <c r="B609" s="48">
        <v>46160.138703703706</v>
      </c>
      <c r="C609" s="30">
        <v>3.858629552E9</v>
      </c>
      <c r="D609" s="47" t="s">
        <v>1512</v>
      </c>
      <c r="E609" s="47" t="s">
        <v>356</v>
      </c>
      <c r="F609" s="47" t="s">
        <v>1523</v>
      </c>
      <c r="G609" s="47" t="s">
        <v>1532</v>
      </c>
      <c r="H609" s="30">
        <v>2.0</v>
      </c>
      <c r="I609" s="30">
        <v>729.0</v>
      </c>
      <c r="J609" s="30">
        <v>1458.0</v>
      </c>
      <c r="K609" s="30">
        <v>4.95</v>
      </c>
      <c r="L609" s="30">
        <v>72.171</v>
      </c>
      <c r="M609" s="30">
        <v>580.0</v>
      </c>
      <c r="N609" s="30">
        <v>1160.0</v>
      </c>
      <c r="O609" s="30">
        <v>0.0</v>
      </c>
      <c r="P609" s="30">
        <v>0.0</v>
      </c>
      <c r="Q609" s="30">
        <v>225.829</v>
      </c>
    </row>
    <row r="610">
      <c r="A610" s="47">
        <v>1.1244548423E10</v>
      </c>
      <c r="B610" s="48">
        <v>46159.94206018518</v>
      </c>
      <c r="C610" s="30">
        <v>3.857723959E9</v>
      </c>
      <c r="D610" s="47" t="s">
        <v>1512</v>
      </c>
      <c r="E610" s="47">
        <v>7.613032816536E12</v>
      </c>
      <c r="F610" s="47" t="s">
        <v>1523</v>
      </c>
      <c r="G610" s="47" t="s">
        <v>1533</v>
      </c>
      <c r="H610" s="30">
        <v>1.0</v>
      </c>
      <c r="I610" s="30">
        <v>729.0</v>
      </c>
      <c r="J610" s="30">
        <v>729.0</v>
      </c>
      <c r="K610" s="30">
        <v>4.41</v>
      </c>
      <c r="L610" s="30">
        <v>32.148900000000005</v>
      </c>
      <c r="M610" s="30">
        <v>580.0</v>
      </c>
      <c r="N610" s="30">
        <v>580.0</v>
      </c>
      <c r="O610" s="30">
        <v>0.0</v>
      </c>
      <c r="P610" s="30">
        <v>0.0</v>
      </c>
      <c r="Q610" s="30">
        <v>116.8511</v>
      </c>
    </row>
    <row r="611">
      <c r="A611" s="47">
        <v>1.124014043E10</v>
      </c>
      <c r="B611" s="48">
        <v>46158.69579861111</v>
      </c>
      <c r="C611" s="30">
        <v>3.854323856E9</v>
      </c>
      <c r="D611" s="47" t="s">
        <v>1512</v>
      </c>
      <c r="E611" s="47">
        <v>7.613032816536E12</v>
      </c>
      <c r="F611" s="47" t="s">
        <v>1523</v>
      </c>
      <c r="G611" s="47" t="s">
        <v>1533</v>
      </c>
      <c r="H611" s="30">
        <v>1.0</v>
      </c>
      <c r="I611" s="30">
        <v>729.0</v>
      </c>
      <c r="J611" s="30">
        <v>729.0</v>
      </c>
      <c r="K611" s="30">
        <v>4.41</v>
      </c>
      <c r="L611" s="30">
        <v>32.148900000000005</v>
      </c>
      <c r="M611" s="30">
        <v>580.0</v>
      </c>
      <c r="N611" s="30">
        <v>580.0</v>
      </c>
      <c r="O611" s="30">
        <v>0.0</v>
      </c>
      <c r="P611" s="30">
        <v>0.0</v>
      </c>
      <c r="Q611" s="30">
        <v>116.8511</v>
      </c>
    </row>
    <row r="612">
      <c r="A612" s="47">
        <v>1.1242230403E10</v>
      </c>
      <c r="B612" s="48">
        <v>46159.13104166667</v>
      </c>
      <c r="C612" s="30">
        <v>3.855911786E9</v>
      </c>
      <c r="D612" s="47" t="s">
        <v>1512</v>
      </c>
      <c r="E612" s="47" t="s">
        <v>356</v>
      </c>
      <c r="F612" s="47" t="s">
        <v>1523</v>
      </c>
      <c r="G612" s="47" t="s">
        <v>1532</v>
      </c>
      <c r="H612" s="30">
        <v>1.0</v>
      </c>
      <c r="I612" s="30">
        <v>729.0</v>
      </c>
      <c r="J612" s="30">
        <v>729.0</v>
      </c>
      <c r="K612" s="30">
        <v>4.95</v>
      </c>
      <c r="L612" s="30">
        <v>36.0855</v>
      </c>
      <c r="M612" s="30">
        <v>580.0</v>
      </c>
      <c r="N612" s="30">
        <v>580.0</v>
      </c>
      <c r="O612" s="30">
        <v>0.0</v>
      </c>
      <c r="P612" s="30">
        <v>0.0</v>
      </c>
      <c r="Q612" s="30">
        <v>112.9145</v>
      </c>
    </row>
    <row r="613">
      <c r="A613" s="47">
        <v>1.1239536042E10</v>
      </c>
      <c r="B613" s="48">
        <v>46158.549259259256</v>
      </c>
      <c r="C613" s="30">
        <v>3.853788346E9</v>
      </c>
      <c r="D613" s="47" t="s">
        <v>1512</v>
      </c>
      <c r="E613" s="47">
        <v>7.613032816536E12</v>
      </c>
      <c r="F613" s="47" t="s">
        <v>1523</v>
      </c>
      <c r="G613" s="47" t="s">
        <v>1533</v>
      </c>
      <c r="H613" s="30">
        <v>1.0</v>
      </c>
      <c r="I613" s="30">
        <v>729.0</v>
      </c>
      <c r="J613" s="30">
        <v>729.0</v>
      </c>
      <c r="K613" s="30">
        <v>4.41</v>
      </c>
      <c r="L613" s="30">
        <v>32.148900000000005</v>
      </c>
      <c r="M613" s="30">
        <v>580.0</v>
      </c>
      <c r="N613" s="30">
        <v>580.0</v>
      </c>
      <c r="O613" s="30">
        <v>0.0</v>
      </c>
      <c r="P613" s="30">
        <v>0.0</v>
      </c>
      <c r="Q613" s="30">
        <v>116.8511</v>
      </c>
    </row>
    <row r="614">
      <c r="A614" s="47">
        <v>1.1242832002E10</v>
      </c>
      <c r="B614" s="48">
        <v>46159.597337962965</v>
      </c>
      <c r="C614" s="30">
        <v>3.856459059E9</v>
      </c>
      <c r="D614" s="47" t="s">
        <v>1512</v>
      </c>
      <c r="E614" s="47" t="s">
        <v>411</v>
      </c>
      <c r="F614" s="47" t="s">
        <v>1523</v>
      </c>
      <c r="G614" s="47" t="s">
        <v>1531</v>
      </c>
      <c r="H614" s="30">
        <v>1.0</v>
      </c>
      <c r="I614" s="30">
        <v>768.0</v>
      </c>
      <c r="J614" s="30">
        <v>768.0</v>
      </c>
      <c r="K614" s="30">
        <v>4.95</v>
      </c>
      <c r="L614" s="30">
        <v>38.016000000000005</v>
      </c>
      <c r="M614" s="30">
        <v>580.0</v>
      </c>
      <c r="N614" s="30">
        <v>580.0</v>
      </c>
      <c r="O614" s="30">
        <v>0.0</v>
      </c>
      <c r="P614" s="30">
        <v>0.0</v>
      </c>
      <c r="Q614" s="30">
        <v>149.98399999999998</v>
      </c>
    </row>
    <row r="615">
      <c r="A615" s="47">
        <v>1.1239382604E10</v>
      </c>
      <c r="B615" s="48">
        <v>46158.471712962964</v>
      </c>
      <c r="C615" s="30">
        <v>3.853638643E9</v>
      </c>
      <c r="D615" s="47" t="s">
        <v>1512</v>
      </c>
      <c r="E615" s="47" t="s">
        <v>356</v>
      </c>
      <c r="F615" s="47" t="s">
        <v>1523</v>
      </c>
      <c r="G615" s="47" t="s">
        <v>1532</v>
      </c>
      <c r="H615" s="30">
        <v>1.0</v>
      </c>
      <c r="I615" s="30">
        <v>729.0</v>
      </c>
      <c r="J615" s="30">
        <v>729.0</v>
      </c>
      <c r="K615" s="30">
        <v>4.95</v>
      </c>
      <c r="L615" s="30">
        <v>36.0855</v>
      </c>
      <c r="M615" s="30">
        <v>580.0</v>
      </c>
      <c r="N615" s="30">
        <v>580.0</v>
      </c>
      <c r="O615" s="30">
        <v>0.0</v>
      </c>
      <c r="P615" s="30">
        <v>0.0</v>
      </c>
      <c r="Q615" s="30">
        <v>112.9145</v>
      </c>
    </row>
    <row r="616">
      <c r="A616" s="47">
        <v>1.1245856749E10</v>
      </c>
      <c r="B616" s="48">
        <v>46160.44417824074</v>
      </c>
      <c r="C616" s="30">
        <v>3.858920415E9</v>
      </c>
      <c r="D616" s="47" t="s">
        <v>1512</v>
      </c>
      <c r="E616" s="47" t="s">
        <v>356</v>
      </c>
      <c r="F616" s="47" t="s">
        <v>1523</v>
      </c>
      <c r="G616" s="47" t="s">
        <v>1532</v>
      </c>
      <c r="H616" s="30">
        <v>2.0</v>
      </c>
      <c r="I616" s="30">
        <v>729.0</v>
      </c>
      <c r="J616" s="30">
        <v>1458.0</v>
      </c>
      <c r="K616" s="30">
        <v>4.95</v>
      </c>
      <c r="L616" s="30">
        <v>72.171</v>
      </c>
      <c r="M616" s="30">
        <v>580.0</v>
      </c>
      <c r="N616" s="30">
        <v>1160.0</v>
      </c>
      <c r="O616" s="30">
        <v>0.0</v>
      </c>
      <c r="P616" s="30">
        <v>0.0</v>
      </c>
      <c r="Q616" s="30">
        <v>225.829</v>
      </c>
    </row>
    <row r="617">
      <c r="A617" s="47">
        <v>1.1242810522E10</v>
      </c>
      <c r="B617" s="48">
        <v>46159.59108796297</v>
      </c>
      <c r="C617" s="30">
        <v>3.85643888E9</v>
      </c>
      <c r="D617" s="47" t="s">
        <v>1512</v>
      </c>
      <c r="E617" s="47">
        <v>7.613032816536E12</v>
      </c>
      <c r="F617" s="47" t="s">
        <v>1523</v>
      </c>
      <c r="G617" s="47" t="s">
        <v>1533</v>
      </c>
      <c r="H617" s="30">
        <v>1.0</v>
      </c>
      <c r="I617" s="30">
        <v>729.0</v>
      </c>
      <c r="J617" s="30">
        <v>729.0</v>
      </c>
      <c r="K617" s="30">
        <v>4.41</v>
      </c>
      <c r="L617" s="30">
        <v>32.148900000000005</v>
      </c>
      <c r="M617" s="30">
        <v>580.0</v>
      </c>
      <c r="N617" s="30">
        <v>580.0</v>
      </c>
      <c r="O617" s="30">
        <v>0.0</v>
      </c>
      <c r="P617" s="30">
        <v>0.0</v>
      </c>
      <c r="Q617" s="30">
        <v>116.8511</v>
      </c>
    </row>
    <row r="618">
      <c r="A618" s="47">
        <v>1.1239418048E10</v>
      </c>
      <c r="B618" s="48">
        <v>46158.49891203704</v>
      </c>
      <c r="C618" s="30">
        <v>3.853676332E9</v>
      </c>
      <c r="D618" s="47" t="s">
        <v>1512</v>
      </c>
      <c r="E618" s="47">
        <v>7.613033560064E12</v>
      </c>
      <c r="F618" s="47" t="s">
        <v>1523</v>
      </c>
      <c r="G618" s="47" t="s">
        <v>1527</v>
      </c>
      <c r="H618" s="30">
        <v>1.0</v>
      </c>
      <c r="I618" s="30">
        <v>1289.0</v>
      </c>
      <c r="J618" s="30">
        <v>1289.0</v>
      </c>
      <c r="K618" s="30">
        <v>2.7</v>
      </c>
      <c r="L618" s="30">
        <v>34.803000000000004</v>
      </c>
      <c r="M618" s="30">
        <v>1190.0</v>
      </c>
      <c r="N618" s="30">
        <v>1190.0</v>
      </c>
      <c r="O618" s="30">
        <v>0.0</v>
      </c>
      <c r="P618" s="30">
        <v>0.0</v>
      </c>
      <c r="Q618" s="30">
        <v>64.197</v>
      </c>
    </row>
    <row r="619">
      <c r="A619" s="47">
        <v>1.1243546956E10</v>
      </c>
      <c r="B619" s="48">
        <v>46159.753483796296</v>
      </c>
      <c r="C619" s="30">
        <v>3.857037069E9</v>
      </c>
      <c r="D619" s="47" t="s">
        <v>1512</v>
      </c>
      <c r="E619" s="47" t="s">
        <v>356</v>
      </c>
      <c r="F619" s="47" t="s">
        <v>1523</v>
      </c>
      <c r="G619" s="47" t="s">
        <v>1532</v>
      </c>
      <c r="H619" s="30">
        <v>1.0</v>
      </c>
      <c r="I619" s="30">
        <v>729.0</v>
      </c>
      <c r="J619" s="30">
        <v>729.0</v>
      </c>
      <c r="K619" s="30">
        <v>4.95</v>
      </c>
      <c r="L619" s="30">
        <v>36.0855</v>
      </c>
      <c r="M619" s="30">
        <v>580.0</v>
      </c>
      <c r="N619" s="30">
        <v>580.0</v>
      </c>
      <c r="O619" s="30">
        <v>0.0</v>
      </c>
      <c r="P619" s="30">
        <v>0.0</v>
      </c>
      <c r="Q619" s="30">
        <v>112.9145</v>
      </c>
    </row>
    <row r="620">
      <c r="A620" s="47">
        <v>1.1242710747E10</v>
      </c>
      <c r="B620" s="48">
        <v>46159.55902777778</v>
      </c>
      <c r="C620" s="30">
        <v>3.856356825E9</v>
      </c>
      <c r="D620" s="47" t="s">
        <v>1512</v>
      </c>
      <c r="E620" s="47">
        <v>7.613032816536E12</v>
      </c>
      <c r="F620" s="47" t="s">
        <v>1523</v>
      </c>
      <c r="G620" s="47" t="s">
        <v>1533</v>
      </c>
      <c r="H620" s="30">
        <v>1.0</v>
      </c>
      <c r="I620" s="30">
        <v>729.0</v>
      </c>
      <c r="J620" s="30">
        <v>729.0</v>
      </c>
      <c r="K620" s="30">
        <v>4.41</v>
      </c>
      <c r="L620" s="30">
        <v>32.148900000000005</v>
      </c>
      <c r="M620" s="30">
        <v>580.0</v>
      </c>
      <c r="N620" s="30">
        <v>580.0</v>
      </c>
      <c r="O620" s="30">
        <v>0.0</v>
      </c>
      <c r="P620" s="30">
        <v>0.0</v>
      </c>
      <c r="Q620" s="30">
        <v>116.8511</v>
      </c>
    </row>
    <row r="621">
      <c r="A621" s="47">
        <v>1.1244164064E10</v>
      </c>
      <c r="B621" s="48">
        <v>46159.87229166667</v>
      </c>
      <c r="C621" s="30">
        <v>3.857466639E9</v>
      </c>
      <c r="D621" s="47" t="s">
        <v>1512</v>
      </c>
      <c r="E621" s="47" t="s">
        <v>356</v>
      </c>
      <c r="F621" s="47" t="s">
        <v>1523</v>
      </c>
      <c r="G621" s="47" t="s">
        <v>1532</v>
      </c>
      <c r="H621" s="30">
        <v>1.0</v>
      </c>
      <c r="I621" s="30">
        <v>729.0</v>
      </c>
      <c r="J621" s="30">
        <v>729.0</v>
      </c>
      <c r="K621" s="30">
        <v>4.95</v>
      </c>
      <c r="L621" s="30">
        <v>36.0855</v>
      </c>
      <c r="M621" s="30">
        <v>580.0</v>
      </c>
      <c r="N621" s="30">
        <v>580.0</v>
      </c>
      <c r="O621" s="30">
        <v>0.0</v>
      </c>
      <c r="P621" s="30">
        <v>0.0</v>
      </c>
      <c r="Q621" s="30">
        <v>112.9145</v>
      </c>
    </row>
    <row r="622">
      <c r="A622" s="47">
        <v>1.1241591746E10</v>
      </c>
      <c r="B622" s="48">
        <v>46158.992685185185</v>
      </c>
      <c r="C622" s="30">
        <v>3.855361672E9</v>
      </c>
      <c r="D622" s="47" t="s">
        <v>1512</v>
      </c>
      <c r="E622" s="47">
        <v>7.613032816536E12</v>
      </c>
      <c r="F622" s="47" t="s">
        <v>1523</v>
      </c>
      <c r="G622" s="47" t="s">
        <v>1533</v>
      </c>
      <c r="H622" s="30">
        <v>1.0</v>
      </c>
      <c r="I622" s="30">
        <v>729.0</v>
      </c>
      <c r="J622" s="30">
        <v>729.0</v>
      </c>
      <c r="K622" s="30">
        <v>4.41</v>
      </c>
      <c r="L622" s="30">
        <v>32.148900000000005</v>
      </c>
      <c r="M622" s="30">
        <v>580.0</v>
      </c>
      <c r="N622" s="30">
        <v>580.0</v>
      </c>
      <c r="O622" s="30">
        <v>0.0</v>
      </c>
      <c r="P622" s="30">
        <v>0.0</v>
      </c>
      <c r="Q622" s="30">
        <v>116.8511</v>
      </c>
    </row>
    <row r="623">
      <c r="A623" s="47">
        <v>1.124418802E10</v>
      </c>
      <c r="B623" s="48">
        <v>46159.87672453704</v>
      </c>
      <c r="C623" s="30">
        <v>3.857482381E9</v>
      </c>
      <c r="D623" s="47" t="s">
        <v>1512</v>
      </c>
      <c r="E623" s="47" t="s">
        <v>356</v>
      </c>
      <c r="F623" s="47" t="s">
        <v>1523</v>
      </c>
      <c r="G623" s="47" t="s">
        <v>1532</v>
      </c>
      <c r="H623" s="30">
        <v>1.0</v>
      </c>
      <c r="I623" s="30">
        <v>729.0</v>
      </c>
      <c r="J623" s="30">
        <v>729.0</v>
      </c>
      <c r="K623" s="30">
        <v>4.95</v>
      </c>
      <c r="L623" s="30">
        <v>36.0855</v>
      </c>
      <c r="M623" s="30">
        <v>580.0</v>
      </c>
      <c r="N623" s="30">
        <v>580.0</v>
      </c>
      <c r="O623" s="30">
        <v>0.0</v>
      </c>
      <c r="P623" s="30">
        <v>0.0</v>
      </c>
      <c r="Q623" s="30">
        <v>112.9145</v>
      </c>
    </row>
    <row r="624">
      <c r="A624" s="47">
        <v>1.1240055061E10</v>
      </c>
      <c r="B624" s="48">
        <v>46158.678252314814</v>
      </c>
      <c r="C624" s="30">
        <v>3.854250497E9</v>
      </c>
      <c r="D624" s="47" t="s">
        <v>1512</v>
      </c>
      <c r="E624" s="47" t="s">
        <v>411</v>
      </c>
      <c r="F624" s="47" t="s">
        <v>1523</v>
      </c>
      <c r="G624" s="47" t="s">
        <v>1531</v>
      </c>
      <c r="H624" s="30">
        <v>1.0</v>
      </c>
      <c r="I624" s="30">
        <v>768.0</v>
      </c>
      <c r="J624" s="30">
        <v>768.0</v>
      </c>
      <c r="K624" s="30">
        <v>4.95</v>
      </c>
      <c r="L624" s="30">
        <v>38.016000000000005</v>
      </c>
      <c r="M624" s="30">
        <v>580.0</v>
      </c>
      <c r="N624" s="30">
        <v>580.0</v>
      </c>
      <c r="O624" s="30">
        <v>0.0</v>
      </c>
      <c r="P624" s="30">
        <v>0.0</v>
      </c>
      <c r="Q624" s="30">
        <v>149.98399999999998</v>
      </c>
    </row>
    <row r="625">
      <c r="A625" s="47">
        <v>1.1244816452E10</v>
      </c>
      <c r="B625" s="48">
        <v>46159.990266203706</v>
      </c>
      <c r="C625" s="30">
        <v>3.857916187E9</v>
      </c>
      <c r="D625" s="47" t="s">
        <v>1512</v>
      </c>
      <c r="E625" s="47">
        <v>8.410650167909E12</v>
      </c>
      <c r="F625" s="47" t="s">
        <v>1523</v>
      </c>
      <c r="G625" s="47" t="s">
        <v>1551</v>
      </c>
      <c r="H625" s="30">
        <v>1.0</v>
      </c>
      <c r="I625" s="30">
        <v>1590.0</v>
      </c>
      <c r="J625" s="30">
        <v>1590.0</v>
      </c>
      <c r="K625" s="30">
        <v>10.62</v>
      </c>
      <c r="L625" s="30">
        <v>168.858</v>
      </c>
      <c r="M625" s="30">
        <v>1228.0</v>
      </c>
      <c r="N625" s="30">
        <v>1228.0</v>
      </c>
      <c r="O625" s="30">
        <v>0.0</v>
      </c>
      <c r="P625" s="30">
        <v>0.0</v>
      </c>
      <c r="Q625" s="30">
        <v>193.142</v>
      </c>
    </row>
    <row r="626">
      <c r="A626" s="47">
        <v>1.1240917458E10</v>
      </c>
      <c r="B626" s="48">
        <v>46158.85690972222</v>
      </c>
      <c r="C626" s="30">
        <v>3.854907718E9</v>
      </c>
      <c r="D626" s="47" t="s">
        <v>1512</v>
      </c>
      <c r="E626" s="47">
        <v>7.613035846708E12</v>
      </c>
      <c r="F626" s="47" t="s">
        <v>1523</v>
      </c>
      <c r="G626" s="47" t="s">
        <v>1535</v>
      </c>
      <c r="H626" s="30">
        <v>1.0</v>
      </c>
      <c r="I626" s="30">
        <v>1266.9</v>
      </c>
      <c r="J626" s="30">
        <v>1266.9</v>
      </c>
      <c r="K626" s="30">
        <v>4.5</v>
      </c>
      <c r="L626" s="30">
        <v>57.0105</v>
      </c>
      <c r="M626" s="30">
        <v>1160.0</v>
      </c>
      <c r="N626" s="30">
        <v>1160.0</v>
      </c>
      <c r="O626" s="30">
        <v>0.0</v>
      </c>
      <c r="P626" s="30">
        <v>0.0</v>
      </c>
      <c r="Q626" s="30">
        <v>49.88950000000009</v>
      </c>
    </row>
    <row r="627">
      <c r="A627" s="47">
        <v>1.1243651284E10</v>
      </c>
      <c r="B627" s="48">
        <v>46159.773726851854</v>
      </c>
      <c r="C627" s="30">
        <v>3.857111895E9</v>
      </c>
      <c r="D627" s="47" t="s">
        <v>1512</v>
      </c>
      <c r="E627" s="47">
        <v>7.613032816536E12</v>
      </c>
      <c r="F627" s="47" t="s">
        <v>1523</v>
      </c>
      <c r="G627" s="47" t="s">
        <v>1533</v>
      </c>
      <c r="H627" s="30">
        <v>2.0</v>
      </c>
      <c r="I627" s="30">
        <v>729.0</v>
      </c>
      <c r="J627" s="30">
        <v>1458.0</v>
      </c>
      <c r="K627" s="30">
        <v>4.41</v>
      </c>
      <c r="L627" s="30">
        <v>64.29780000000001</v>
      </c>
      <c r="M627" s="30">
        <v>580.0</v>
      </c>
      <c r="N627" s="30">
        <v>1160.0</v>
      </c>
      <c r="O627" s="30">
        <v>0.0</v>
      </c>
      <c r="P627" s="30">
        <v>0.0</v>
      </c>
      <c r="Q627" s="30">
        <v>233.7022</v>
      </c>
    </row>
    <row r="628">
      <c r="A628" s="47">
        <v>1.1239143312E10</v>
      </c>
      <c r="B628" s="48">
        <v>46158.151354166665</v>
      </c>
      <c r="C628" s="30">
        <v>3.853395164E9</v>
      </c>
      <c r="D628" s="47" t="s">
        <v>1512</v>
      </c>
      <c r="E628" s="47">
        <v>7.613032816536E12</v>
      </c>
      <c r="F628" s="47" t="s">
        <v>1523</v>
      </c>
      <c r="G628" s="47" t="s">
        <v>1533</v>
      </c>
      <c r="H628" s="30">
        <v>1.0</v>
      </c>
      <c r="I628" s="30">
        <v>729.0</v>
      </c>
      <c r="J628" s="30">
        <v>729.0</v>
      </c>
      <c r="K628" s="30">
        <v>4.41</v>
      </c>
      <c r="L628" s="30">
        <v>32.148900000000005</v>
      </c>
      <c r="M628" s="30">
        <v>580.0</v>
      </c>
      <c r="N628" s="30">
        <v>580.0</v>
      </c>
      <c r="O628" s="30">
        <v>0.0</v>
      </c>
      <c r="P628" s="30">
        <v>0.0</v>
      </c>
      <c r="Q628" s="30">
        <v>116.8511</v>
      </c>
    </row>
    <row r="629">
      <c r="A629" s="47">
        <v>1.1244163254E10</v>
      </c>
      <c r="B629" s="48">
        <v>46159.872141203705</v>
      </c>
      <c r="C629" s="30">
        <v>3.857467656E9</v>
      </c>
      <c r="D629" s="47" t="s">
        <v>1512</v>
      </c>
      <c r="E629" s="47">
        <v>7.613032816536E12</v>
      </c>
      <c r="F629" s="47" t="s">
        <v>1523</v>
      </c>
      <c r="G629" s="47" t="s">
        <v>1533</v>
      </c>
      <c r="H629" s="30">
        <v>1.0</v>
      </c>
      <c r="I629" s="30">
        <v>729.0</v>
      </c>
      <c r="J629" s="30">
        <v>729.0</v>
      </c>
      <c r="K629" s="30">
        <v>4.41</v>
      </c>
      <c r="L629" s="30">
        <v>32.148900000000005</v>
      </c>
      <c r="M629" s="30">
        <v>580.0</v>
      </c>
      <c r="N629" s="30">
        <v>580.0</v>
      </c>
      <c r="O629" s="30">
        <v>0.0</v>
      </c>
      <c r="P629" s="30">
        <v>0.0</v>
      </c>
      <c r="Q629" s="30">
        <v>116.8511</v>
      </c>
    </row>
    <row r="630">
      <c r="A630" s="47">
        <v>1.1244204261E10</v>
      </c>
      <c r="B630" s="48">
        <v>46159.87946759259</v>
      </c>
      <c r="C630" s="30">
        <v>3.857492692E9</v>
      </c>
      <c r="D630" s="47" t="s">
        <v>1512</v>
      </c>
      <c r="E630" s="47">
        <v>7.613032816536E12</v>
      </c>
      <c r="F630" s="47" t="s">
        <v>1523</v>
      </c>
      <c r="G630" s="47" t="s">
        <v>1533</v>
      </c>
      <c r="H630" s="30">
        <v>1.0</v>
      </c>
      <c r="I630" s="30">
        <v>729.0</v>
      </c>
      <c r="J630" s="30">
        <v>729.0</v>
      </c>
      <c r="K630" s="30">
        <v>4.41</v>
      </c>
      <c r="L630" s="30">
        <v>32.148900000000005</v>
      </c>
      <c r="M630" s="30">
        <v>580.0</v>
      </c>
      <c r="N630" s="30">
        <v>580.0</v>
      </c>
      <c r="O630" s="30">
        <v>0.0</v>
      </c>
      <c r="P630" s="30">
        <v>0.0</v>
      </c>
      <c r="Q630" s="30">
        <v>116.8511</v>
      </c>
    </row>
    <row r="631">
      <c r="A631" s="47">
        <v>1.1242632795E10</v>
      </c>
      <c r="B631" s="48">
        <v>46159.52614583333</v>
      </c>
      <c r="C631" s="30">
        <v>3.856288181E9</v>
      </c>
      <c r="D631" s="47" t="s">
        <v>1512</v>
      </c>
      <c r="E631" s="47">
        <v>7.613035846708E12</v>
      </c>
      <c r="F631" s="47" t="s">
        <v>1523</v>
      </c>
      <c r="G631" s="47" t="s">
        <v>1535</v>
      </c>
      <c r="H631" s="30">
        <v>1.0</v>
      </c>
      <c r="I631" s="30">
        <v>1264.9</v>
      </c>
      <c r="J631" s="30">
        <v>1264.9</v>
      </c>
      <c r="K631" s="30">
        <v>4.5</v>
      </c>
      <c r="L631" s="30">
        <v>56.920500000000004</v>
      </c>
      <c r="M631" s="30">
        <v>1160.0</v>
      </c>
      <c r="N631" s="30">
        <v>1160.0</v>
      </c>
      <c r="O631" s="30">
        <v>0.0</v>
      </c>
      <c r="P631" s="30">
        <v>0.0</v>
      </c>
      <c r="Q631" s="30">
        <v>47.97950000000009</v>
      </c>
    </row>
    <row r="632">
      <c r="A632" s="47">
        <v>1.1244019288E10</v>
      </c>
      <c r="B632" s="48">
        <v>46159.84505787037</v>
      </c>
      <c r="C632" s="30">
        <v>3.857373302E9</v>
      </c>
      <c r="D632" s="47" t="s">
        <v>1512</v>
      </c>
      <c r="E632" s="47" t="s">
        <v>356</v>
      </c>
      <c r="F632" s="47" t="s">
        <v>1523</v>
      </c>
      <c r="G632" s="47" t="s">
        <v>1532</v>
      </c>
      <c r="H632" s="30">
        <v>2.0</v>
      </c>
      <c r="I632" s="30">
        <v>729.0</v>
      </c>
      <c r="J632" s="30">
        <v>1458.0</v>
      </c>
      <c r="K632" s="30">
        <v>4.95</v>
      </c>
      <c r="L632" s="30">
        <v>72.171</v>
      </c>
      <c r="M632" s="30">
        <v>580.0</v>
      </c>
      <c r="N632" s="30">
        <v>1160.0</v>
      </c>
      <c r="O632" s="30">
        <v>0.0</v>
      </c>
      <c r="P632" s="30">
        <v>0.0</v>
      </c>
      <c r="Q632" s="30">
        <v>225.829</v>
      </c>
    </row>
    <row r="633">
      <c r="A633" s="47">
        <v>1.1245878058E10</v>
      </c>
      <c r="B633" s="48">
        <v>46160.465729166666</v>
      </c>
      <c r="C633" s="30">
        <v>3.85894618E9</v>
      </c>
      <c r="D633" s="47" t="s">
        <v>1512</v>
      </c>
      <c r="E633" s="47">
        <v>7.613032816536E12</v>
      </c>
      <c r="F633" s="47" t="s">
        <v>1523</v>
      </c>
      <c r="G633" s="47" t="s">
        <v>1533</v>
      </c>
      <c r="H633" s="30">
        <v>1.0</v>
      </c>
      <c r="I633" s="30">
        <v>729.0</v>
      </c>
      <c r="J633" s="30">
        <v>729.0</v>
      </c>
      <c r="K633" s="30">
        <v>4.41</v>
      </c>
      <c r="L633" s="30">
        <v>32.148900000000005</v>
      </c>
      <c r="M633" s="30">
        <v>580.0</v>
      </c>
      <c r="N633" s="30">
        <v>580.0</v>
      </c>
      <c r="O633" s="30">
        <v>0.0</v>
      </c>
      <c r="P633" s="30">
        <v>0.0</v>
      </c>
      <c r="Q633" s="30">
        <v>116.8511</v>
      </c>
    </row>
    <row r="634">
      <c r="A634" s="47">
        <v>1.1245864939E10</v>
      </c>
      <c r="B634" s="48">
        <v>46160.453680555554</v>
      </c>
      <c r="C634" s="30">
        <v>3.858930183E9</v>
      </c>
      <c r="D634" s="47" t="s">
        <v>1512</v>
      </c>
      <c r="E634" s="47">
        <v>7.613032816536E12</v>
      </c>
      <c r="F634" s="47" t="s">
        <v>1523</v>
      </c>
      <c r="G634" s="47" t="s">
        <v>1533</v>
      </c>
      <c r="H634" s="30">
        <v>1.0</v>
      </c>
      <c r="I634" s="30">
        <v>729.0</v>
      </c>
      <c r="J634" s="30">
        <v>729.0</v>
      </c>
      <c r="K634" s="30">
        <v>4.41</v>
      </c>
      <c r="L634" s="30">
        <v>32.148900000000005</v>
      </c>
      <c r="M634" s="30">
        <v>580.0</v>
      </c>
      <c r="N634" s="30">
        <v>580.0</v>
      </c>
      <c r="O634" s="30">
        <v>0.0</v>
      </c>
      <c r="P634" s="30">
        <v>0.0</v>
      </c>
      <c r="Q634" s="30">
        <v>116.8511</v>
      </c>
    </row>
    <row r="635">
      <c r="A635" s="47">
        <v>1.1242614381E10</v>
      </c>
      <c r="B635" s="48">
        <v>46159.516689814816</v>
      </c>
      <c r="C635" s="30">
        <v>3.856272968E9</v>
      </c>
      <c r="D635" s="47" t="s">
        <v>1512</v>
      </c>
      <c r="E635" s="47" t="s">
        <v>356</v>
      </c>
      <c r="F635" s="47" t="s">
        <v>1523</v>
      </c>
      <c r="G635" s="47" t="s">
        <v>1532</v>
      </c>
      <c r="H635" s="30">
        <v>1.0</v>
      </c>
      <c r="I635" s="30">
        <v>626.99</v>
      </c>
      <c r="J635" s="30">
        <v>626.99</v>
      </c>
      <c r="K635" s="30">
        <v>4.95</v>
      </c>
      <c r="L635" s="30">
        <v>31.036005</v>
      </c>
      <c r="M635" s="30">
        <v>580.0</v>
      </c>
      <c r="N635" s="30">
        <v>580.0</v>
      </c>
      <c r="O635" s="30">
        <v>0.0</v>
      </c>
      <c r="P635" s="30">
        <v>0.0</v>
      </c>
      <c r="Q635" s="30">
        <v>15.95399500000001</v>
      </c>
    </row>
    <row r="636">
      <c r="A636" s="47">
        <v>1.1242614381E10</v>
      </c>
      <c r="B636" s="48">
        <v>46159.516689814816</v>
      </c>
      <c r="C636" s="30">
        <v>3.856272968E9</v>
      </c>
      <c r="D636" s="47" t="s">
        <v>1512</v>
      </c>
      <c r="E636" s="47">
        <v>8.684501941837E12</v>
      </c>
      <c r="F636" s="47" t="s">
        <v>289</v>
      </c>
      <c r="G636" s="47" t="s">
        <v>1543</v>
      </c>
      <c r="H636" s="30">
        <v>1.0</v>
      </c>
      <c r="I636" s="30">
        <v>301.01</v>
      </c>
      <c r="J636" s="30">
        <v>301.01</v>
      </c>
      <c r="K636" s="30">
        <v>18.0</v>
      </c>
      <c r="L636" s="30">
        <v>54.1818</v>
      </c>
      <c r="M636" s="30">
        <v>53.0</v>
      </c>
      <c r="N636" s="30">
        <v>53.0</v>
      </c>
      <c r="O636" s="30">
        <v>0.0</v>
      </c>
      <c r="P636" s="30">
        <v>0.0</v>
      </c>
      <c r="Q636" s="30">
        <v>193.82819999999998</v>
      </c>
    </row>
    <row r="637">
      <c r="A637" s="47">
        <v>1.124181983E10</v>
      </c>
      <c r="B637" s="48">
        <v>46159.03839120371</v>
      </c>
      <c r="C637" s="30">
        <v>3.855543819E9</v>
      </c>
      <c r="D637" s="47" t="s">
        <v>1512</v>
      </c>
      <c r="E637" s="47">
        <v>7.613033560064E12</v>
      </c>
      <c r="F637" s="47" t="s">
        <v>1523</v>
      </c>
      <c r="G637" s="47" t="s">
        <v>1527</v>
      </c>
      <c r="H637" s="30">
        <v>1.0</v>
      </c>
      <c r="I637" s="30">
        <v>1165.35</v>
      </c>
      <c r="J637" s="30">
        <v>1165.35</v>
      </c>
      <c r="K637" s="30">
        <v>2.7</v>
      </c>
      <c r="L637" s="30">
        <v>31.464450000000003</v>
      </c>
      <c r="M637" s="30">
        <v>1190.0</v>
      </c>
      <c r="N637" s="30">
        <v>1190.0</v>
      </c>
      <c r="O637" s="30">
        <v>0.0</v>
      </c>
      <c r="P637" s="30">
        <v>0.0</v>
      </c>
      <c r="Q637" s="30">
        <v>-56.11445000000009</v>
      </c>
    </row>
    <row r="638">
      <c r="A638" s="47">
        <v>1.124181983E10</v>
      </c>
      <c r="B638" s="48">
        <v>46159.03839120371</v>
      </c>
      <c r="C638" s="30">
        <v>3.855543819E9</v>
      </c>
      <c r="D638" s="47" t="s">
        <v>1512</v>
      </c>
      <c r="E638" s="47">
        <v>8.684501941837E12</v>
      </c>
      <c r="F638" s="47" t="s">
        <v>289</v>
      </c>
      <c r="G638" s="47" t="s">
        <v>1543</v>
      </c>
      <c r="H638" s="30">
        <v>1.0</v>
      </c>
      <c r="I638" s="30">
        <v>317.65</v>
      </c>
      <c r="J638" s="30">
        <v>317.65</v>
      </c>
      <c r="K638" s="30">
        <v>18.0</v>
      </c>
      <c r="L638" s="30">
        <v>57.177</v>
      </c>
      <c r="M638" s="30">
        <v>53.0</v>
      </c>
      <c r="N638" s="30">
        <v>53.0</v>
      </c>
      <c r="O638" s="30">
        <v>0.0</v>
      </c>
      <c r="P638" s="30">
        <v>0.0</v>
      </c>
      <c r="Q638" s="30">
        <v>207.47299999999998</v>
      </c>
    </row>
    <row r="639">
      <c r="A639" s="47">
        <v>1.1239130088E10</v>
      </c>
      <c r="B639" s="48">
        <v>46158.14732638889</v>
      </c>
      <c r="C639" s="30">
        <v>3.853382883E9</v>
      </c>
      <c r="D639" s="47" t="s">
        <v>1512</v>
      </c>
      <c r="E639" s="47">
        <v>6.923632570121E12</v>
      </c>
      <c r="F639" s="47" t="s">
        <v>306</v>
      </c>
      <c r="G639" s="47" t="s">
        <v>1555</v>
      </c>
      <c r="H639" s="30">
        <v>1.0</v>
      </c>
      <c r="I639" s="30">
        <v>852.0</v>
      </c>
      <c r="J639" s="30">
        <v>852.0</v>
      </c>
      <c r="K639" s="30">
        <v>14.49</v>
      </c>
      <c r="L639" s="30">
        <v>123.45479999999999</v>
      </c>
      <c r="M639" s="30">
        <v>300.0</v>
      </c>
      <c r="N639" s="30">
        <v>300.0</v>
      </c>
      <c r="O639" s="30">
        <v>0.0</v>
      </c>
      <c r="P639" s="30">
        <v>0.0</v>
      </c>
      <c r="Q639" s="30">
        <v>428.5452</v>
      </c>
    </row>
    <row r="640">
      <c r="A640" s="47">
        <v>1.1243805627E10</v>
      </c>
      <c r="B640" s="48">
        <v>46159.80440972222</v>
      </c>
      <c r="C640" s="30">
        <v>3.857224371E9</v>
      </c>
      <c r="D640" s="47" t="s">
        <v>1512</v>
      </c>
      <c r="E640" s="47">
        <v>7.613035846708E12</v>
      </c>
      <c r="F640" s="47" t="s">
        <v>1523</v>
      </c>
      <c r="G640" s="47" t="s">
        <v>1535</v>
      </c>
      <c r="H640" s="30">
        <v>1.0</v>
      </c>
      <c r="I640" s="30">
        <v>1262.9</v>
      </c>
      <c r="J640" s="30">
        <v>1262.9</v>
      </c>
      <c r="K640" s="30">
        <v>4.5</v>
      </c>
      <c r="L640" s="30">
        <v>56.8305</v>
      </c>
      <c r="M640" s="30">
        <v>1160.0</v>
      </c>
      <c r="N640" s="30">
        <v>1160.0</v>
      </c>
      <c r="O640" s="30">
        <v>0.0</v>
      </c>
      <c r="P640" s="30">
        <v>0.0</v>
      </c>
      <c r="Q640" s="30">
        <v>46.06950000000009</v>
      </c>
    </row>
    <row r="641">
      <c r="A641" s="47">
        <v>1.1245809509E10</v>
      </c>
      <c r="B641" s="48">
        <v>46160.299942129626</v>
      </c>
      <c r="C641" s="30">
        <v>3.858862456E9</v>
      </c>
      <c r="D641" s="47" t="s">
        <v>1512</v>
      </c>
      <c r="E641" s="47">
        <v>8.684501941806E12</v>
      </c>
      <c r="F641" s="47" t="s">
        <v>291</v>
      </c>
      <c r="G641" s="47" t="s">
        <v>1556</v>
      </c>
      <c r="H641" s="30">
        <v>1.0</v>
      </c>
      <c r="I641" s="30">
        <v>174.99</v>
      </c>
      <c r="J641" s="30">
        <v>174.99</v>
      </c>
      <c r="K641" s="30">
        <v>18.0</v>
      </c>
      <c r="L641" s="30">
        <v>31.4982</v>
      </c>
      <c r="M641" s="30">
        <v>53.0</v>
      </c>
      <c r="N641" s="30">
        <v>53.0</v>
      </c>
      <c r="O641" s="30">
        <v>0.0</v>
      </c>
      <c r="P641" s="30">
        <v>0.0</v>
      </c>
      <c r="Q641" s="30">
        <v>90.49180000000001</v>
      </c>
    </row>
    <row r="642">
      <c r="A642" s="47">
        <v>1.1245809509E10</v>
      </c>
      <c r="B642" s="48">
        <v>46160.299942129626</v>
      </c>
      <c r="C642" s="30">
        <v>3.858862456E9</v>
      </c>
      <c r="D642" s="47" t="s">
        <v>1512</v>
      </c>
      <c r="E642" s="47">
        <v>8.684501941813E12</v>
      </c>
      <c r="F642" s="47" t="s">
        <v>287</v>
      </c>
      <c r="G642" s="47" t="s">
        <v>1547</v>
      </c>
      <c r="H642" s="30">
        <v>1.0</v>
      </c>
      <c r="I642" s="30">
        <v>174.99</v>
      </c>
      <c r="J642" s="30">
        <v>174.99</v>
      </c>
      <c r="K642" s="30">
        <v>18.0</v>
      </c>
      <c r="L642" s="30">
        <v>31.4982</v>
      </c>
      <c r="M642" s="30">
        <v>53.0</v>
      </c>
      <c r="N642" s="30">
        <v>53.0</v>
      </c>
      <c r="O642" s="30">
        <v>0.0</v>
      </c>
      <c r="P642" s="30">
        <v>0.0</v>
      </c>
      <c r="Q642" s="30">
        <v>90.49180000000001</v>
      </c>
    </row>
    <row r="643">
      <c r="A643" s="47">
        <v>1.1245809509E10</v>
      </c>
      <c r="B643" s="48">
        <v>46160.299942129626</v>
      </c>
      <c r="C643" s="30">
        <v>3.858862456E9</v>
      </c>
      <c r="D643" s="47" t="s">
        <v>1512</v>
      </c>
      <c r="E643" s="47">
        <v>7.613032816536E12</v>
      </c>
      <c r="F643" s="47" t="s">
        <v>1523</v>
      </c>
      <c r="G643" s="47" t="s">
        <v>1533</v>
      </c>
      <c r="H643" s="30">
        <v>1.0</v>
      </c>
      <c r="I643" s="30">
        <v>729.0</v>
      </c>
      <c r="J643" s="30">
        <v>729.0</v>
      </c>
      <c r="K643" s="30">
        <v>4.41</v>
      </c>
      <c r="L643" s="30">
        <v>32.148900000000005</v>
      </c>
      <c r="M643" s="30">
        <v>580.0</v>
      </c>
      <c r="N643" s="30">
        <v>580.0</v>
      </c>
      <c r="O643" s="30">
        <v>0.0</v>
      </c>
      <c r="P643" s="30">
        <v>0.0</v>
      </c>
      <c r="Q643" s="30">
        <v>116.8511</v>
      </c>
    </row>
    <row r="644">
      <c r="A644" s="47">
        <v>1.1245809509E10</v>
      </c>
      <c r="B644" s="48">
        <v>46160.299942129626</v>
      </c>
      <c r="C644" s="30">
        <v>3.858862456E9</v>
      </c>
      <c r="D644" s="47" t="s">
        <v>1512</v>
      </c>
      <c r="E644" s="47">
        <v>8.68450194182E12</v>
      </c>
      <c r="F644" s="47" t="s">
        <v>285</v>
      </c>
      <c r="G644" s="47" t="s">
        <v>1568</v>
      </c>
      <c r="H644" s="30">
        <v>1.0</v>
      </c>
      <c r="I644" s="30">
        <v>174.99</v>
      </c>
      <c r="J644" s="30">
        <v>174.99</v>
      </c>
      <c r="K644" s="30">
        <v>18.0</v>
      </c>
      <c r="L644" s="30">
        <v>31.4982</v>
      </c>
      <c r="M644" s="30">
        <v>53.0</v>
      </c>
      <c r="N644" s="30">
        <v>53.0</v>
      </c>
      <c r="O644" s="30">
        <v>0.0</v>
      </c>
      <c r="P644" s="30">
        <v>0.0</v>
      </c>
      <c r="Q644" s="30">
        <v>90.49180000000001</v>
      </c>
    </row>
    <row r="645">
      <c r="A645" s="47">
        <v>1.1245809509E10</v>
      </c>
      <c r="B645" s="48">
        <v>46160.299942129626</v>
      </c>
      <c r="C645" s="30">
        <v>3.858862456E9</v>
      </c>
      <c r="D645" s="47" t="s">
        <v>1512</v>
      </c>
      <c r="E645" s="47">
        <v>8.684501941837E12</v>
      </c>
      <c r="F645" s="47" t="s">
        <v>289</v>
      </c>
      <c r="G645" s="47" t="s">
        <v>1543</v>
      </c>
      <c r="H645" s="30">
        <v>1.0</v>
      </c>
      <c r="I645" s="30">
        <v>175.01</v>
      </c>
      <c r="J645" s="30">
        <v>175.01</v>
      </c>
      <c r="K645" s="30">
        <v>18.0</v>
      </c>
      <c r="L645" s="30">
        <v>31.5018</v>
      </c>
      <c r="M645" s="30">
        <v>53.0</v>
      </c>
      <c r="N645" s="30">
        <v>53.0</v>
      </c>
      <c r="O645" s="30">
        <v>0.0</v>
      </c>
      <c r="P645" s="30">
        <v>0.0</v>
      </c>
      <c r="Q645" s="30">
        <v>90.50819999999999</v>
      </c>
    </row>
    <row r="646">
      <c r="A646" s="47">
        <v>1.1245450478E10</v>
      </c>
      <c r="B646" s="48">
        <v>46160.106782407405</v>
      </c>
      <c r="C646" s="30">
        <v>3.858490831E9</v>
      </c>
      <c r="D646" s="47" t="s">
        <v>1512</v>
      </c>
      <c r="E646" s="47">
        <v>7.613032816536E12</v>
      </c>
      <c r="F646" s="47" t="s">
        <v>1523</v>
      </c>
      <c r="G646" s="47" t="s">
        <v>1533</v>
      </c>
      <c r="H646" s="30">
        <v>1.0</v>
      </c>
      <c r="I646" s="30">
        <v>626.99</v>
      </c>
      <c r="J646" s="30">
        <v>626.99</v>
      </c>
      <c r="K646" s="30">
        <v>4.41</v>
      </c>
      <c r="L646" s="30">
        <v>27.650259000000002</v>
      </c>
      <c r="M646" s="30">
        <v>580.0</v>
      </c>
      <c r="N646" s="30">
        <v>580.0</v>
      </c>
      <c r="O646" s="30">
        <v>0.0</v>
      </c>
      <c r="P646" s="30">
        <v>0.0</v>
      </c>
      <c r="Q646" s="30">
        <v>19.339741000000007</v>
      </c>
    </row>
    <row r="647">
      <c r="A647" s="47">
        <v>1.1245450478E10</v>
      </c>
      <c r="B647" s="48">
        <v>46160.106782407405</v>
      </c>
      <c r="C647" s="30">
        <v>3.858490831E9</v>
      </c>
      <c r="D647" s="47" t="s">
        <v>1512</v>
      </c>
      <c r="E647" s="47">
        <v>8.684501941837E12</v>
      </c>
      <c r="F647" s="47" t="s">
        <v>289</v>
      </c>
      <c r="G647" s="47" t="s">
        <v>1543</v>
      </c>
      <c r="H647" s="30">
        <v>1.0</v>
      </c>
      <c r="I647" s="30">
        <v>301.01</v>
      </c>
      <c r="J647" s="30">
        <v>301.01</v>
      </c>
      <c r="K647" s="30">
        <v>18.0</v>
      </c>
      <c r="L647" s="30">
        <v>54.1818</v>
      </c>
      <c r="M647" s="30">
        <v>53.0</v>
      </c>
      <c r="N647" s="30">
        <v>53.0</v>
      </c>
      <c r="O647" s="30">
        <v>0.0</v>
      </c>
      <c r="P647" s="30">
        <v>0.0</v>
      </c>
      <c r="Q647" s="30">
        <v>193.82819999999998</v>
      </c>
    </row>
    <row r="648">
      <c r="A648" s="47">
        <v>1.1240781801E10</v>
      </c>
      <c r="B648" s="48">
        <v>46158.829050925924</v>
      </c>
      <c r="C648" s="30">
        <v>3.854814055E9</v>
      </c>
      <c r="D648" s="47" t="s">
        <v>1512</v>
      </c>
      <c r="E648" s="47">
        <v>7.613031680992E12</v>
      </c>
      <c r="F648" s="47" t="s">
        <v>1523</v>
      </c>
      <c r="G648" s="47" t="s">
        <v>1541</v>
      </c>
      <c r="H648" s="30">
        <v>1.0</v>
      </c>
      <c r="I648" s="30">
        <v>768.0</v>
      </c>
      <c r="J648" s="30">
        <v>768.0</v>
      </c>
      <c r="K648" s="30">
        <v>3.69</v>
      </c>
      <c r="L648" s="30">
        <v>28.3392</v>
      </c>
      <c r="M648" s="30">
        <v>580.0</v>
      </c>
      <c r="N648" s="30">
        <v>580.0</v>
      </c>
      <c r="O648" s="30">
        <v>0.0</v>
      </c>
      <c r="P648" s="30">
        <v>0.0</v>
      </c>
      <c r="Q648" s="30">
        <v>159.6608</v>
      </c>
    </row>
    <row r="649">
      <c r="A649" s="47">
        <v>1.1239575504E10</v>
      </c>
      <c r="B649" s="48">
        <v>46158.5621875</v>
      </c>
      <c r="C649" s="30">
        <v>3.853825331E9</v>
      </c>
      <c r="D649" s="47" t="s">
        <v>1512</v>
      </c>
      <c r="E649" s="47">
        <v>7.613033560064E12</v>
      </c>
      <c r="F649" s="47" t="s">
        <v>1523</v>
      </c>
      <c r="G649" s="47" t="s">
        <v>1527</v>
      </c>
      <c r="H649" s="30">
        <v>1.0</v>
      </c>
      <c r="I649" s="30">
        <v>1289.0</v>
      </c>
      <c r="J649" s="30">
        <v>1289.0</v>
      </c>
      <c r="K649" s="30">
        <v>2.7</v>
      </c>
      <c r="L649" s="30">
        <v>34.803000000000004</v>
      </c>
      <c r="M649" s="30">
        <v>1190.0</v>
      </c>
      <c r="N649" s="30">
        <v>1190.0</v>
      </c>
      <c r="O649" s="30">
        <v>0.0</v>
      </c>
      <c r="P649" s="30">
        <v>0.0</v>
      </c>
      <c r="Q649" s="30">
        <v>64.197</v>
      </c>
    </row>
    <row r="650">
      <c r="A650" s="47">
        <v>1.1243211841E10</v>
      </c>
      <c r="B650" s="48">
        <v>46159.685219907406</v>
      </c>
      <c r="C650" s="30">
        <v>3.856772663E9</v>
      </c>
      <c r="D650" s="47" t="s">
        <v>1512</v>
      </c>
      <c r="E650" s="47">
        <v>7.613032816536E12</v>
      </c>
      <c r="F650" s="47" t="s">
        <v>1523</v>
      </c>
      <c r="G650" s="47" t="s">
        <v>1533</v>
      </c>
      <c r="H650" s="30">
        <v>1.0</v>
      </c>
      <c r="I650" s="30">
        <v>729.0</v>
      </c>
      <c r="J650" s="30">
        <v>729.0</v>
      </c>
      <c r="K650" s="30">
        <v>4.41</v>
      </c>
      <c r="L650" s="30">
        <v>32.148900000000005</v>
      </c>
      <c r="M650" s="30">
        <v>580.0</v>
      </c>
      <c r="N650" s="30">
        <v>580.0</v>
      </c>
      <c r="O650" s="30">
        <v>0.0</v>
      </c>
      <c r="P650" s="30">
        <v>0.0</v>
      </c>
      <c r="Q650" s="30">
        <v>116.8511</v>
      </c>
    </row>
    <row r="651">
      <c r="A651" s="47">
        <v>1.1243165568E10</v>
      </c>
      <c r="B651" s="48">
        <v>46159.67549768519</v>
      </c>
      <c r="C651" s="30">
        <v>3.856731649E9</v>
      </c>
      <c r="D651" s="47" t="s">
        <v>1512</v>
      </c>
      <c r="E651" s="47">
        <v>7.613032816536E12</v>
      </c>
      <c r="F651" s="47" t="s">
        <v>1523</v>
      </c>
      <c r="G651" s="47" t="s">
        <v>1533</v>
      </c>
      <c r="H651" s="30">
        <v>1.0</v>
      </c>
      <c r="I651" s="30">
        <v>729.0</v>
      </c>
      <c r="J651" s="30">
        <v>729.0</v>
      </c>
      <c r="K651" s="30">
        <v>4.41</v>
      </c>
      <c r="L651" s="30">
        <v>32.148900000000005</v>
      </c>
      <c r="M651" s="30">
        <v>580.0</v>
      </c>
      <c r="N651" s="30">
        <v>580.0</v>
      </c>
      <c r="O651" s="30">
        <v>0.0</v>
      </c>
      <c r="P651" s="30">
        <v>0.0</v>
      </c>
      <c r="Q651" s="30">
        <v>116.8511</v>
      </c>
    </row>
    <row r="652">
      <c r="A652" s="47">
        <v>1.1245852102E10</v>
      </c>
      <c r="B652" s="48">
        <v>46160.43824074074</v>
      </c>
      <c r="C652" s="30">
        <v>3.858914507E9</v>
      </c>
      <c r="D652" s="47" t="s">
        <v>1512</v>
      </c>
      <c r="E652" s="47">
        <v>7.613032816536E12</v>
      </c>
      <c r="F652" s="47" t="s">
        <v>1523</v>
      </c>
      <c r="G652" s="47" t="s">
        <v>1533</v>
      </c>
      <c r="H652" s="30">
        <v>1.0</v>
      </c>
      <c r="I652" s="30">
        <v>729.0</v>
      </c>
      <c r="J652" s="30">
        <v>729.0</v>
      </c>
      <c r="K652" s="30">
        <v>4.41</v>
      </c>
      <c r="L652" s="30">
        <v>32.148900000000005</v>
      </c>
      <c r="M652" s="30">
        <v>580.0</v>
      </c>
      <c r="N652" s="30">
        <v>580.0</v>
      </c>
      <c r="O652" s="30">
        <v>0.0</v>
      </c>
      <c r="P652" s="30">
        <v>0.0</v>
      </c>
      <c r="Q652" s="30">
        <v>116.8511</v>
      </c>
    </row>
    <row r="653">
      <c r="A653" s="47">
        <v>1.1245183343E10</v>
      </c>
      <c r="B653" s="48">
        <v>46160.055659722224</v>
      </c>
      <c r="C653" s="30">
        <v>3.858233227E9</v>
      </c>
      <c r="D653" s="47" t="s">
        <v>1512</v>
      </c>
      <c r="E653" s="47">
        <v>7.613032816536E12</v>
      </c>
      <c r="F653" s="47" t="s">
        <v>1523</v>
      </c>
      <c r="G653" s="47" t="s">
        <v>1533</v>
      </c>
      <c r="H653" s="30">
        <v>1.0</v>
      </c>
      <c r="I653" s="30">
        <v>729.0</v>
      </c>
      <c r="J653" s="30">
        <v>729.0</v>
      </c>
      <c r="K653" s="30">
        <v>4.41</v>
      </c>
      <c r="L653" s="30">
        <v>32.148900000000005</v>
      </c>
      <c r="M653" s="30">
        <v>580.0</v>
      </c>
      <c r="N653" s="30">
        <v>580.0</v>
      </c>
      <c r="O653" s="30">
        <v>0.0</v>
      </c>
      <c r="P653" s="30">
        <v>0.0</v>
      </c>
      <c r="Q653" s="30">
        <v>116.8511</v>
      </c>
    </row>
    <row r="654">
      <c r="A654" s="47">
        <v>1.1244970203E10</v>
      </c>
      <c r="B654" s="48">
        <v>46160.01712962963</v>
      </c>
      <c r="C654" s="30">
        <v>3.858040687E9</v>
      </c>
      <c r="D654" s="47" t="s">
        <v>1512</v>
      </c>
      <c r="E654" s="47">
        <v>7.613032816536E12</v>
      </c>
      <c r="F654" s="47" t="s">
        <v>1523</v>
      </c>
      <c r="G654" s="47" t="s">
        <v>1533</v>
      </c>
      <c r="H654" s="30">
        <v>1.0</v>
      </c>
      <c r="I654" s="30">
        <v>729.0</v>
      </c>
      <c r="J654" s="30">
        <v>729.0</v>
      </c>
      <c r="K654" s="30">
        <v>4.41</v>
      </c>
      <c r="L654" s="30">
        <v>32.148900000000005</v>
      </c>
      <c r="M654" s="30">
        <v>580.0</v>
      </c>
      <c r="N654" s="30">
        <v>580.0</v>
      </c>
      <c r="O654" s="30">
        <v>0.0</v>
      </c>
      <c r="P654" s="30">
        <v>0.0</v>
      </c>
      <c r="Q654" s="30">
        <v>116.8511</v>
      </c>
    </row>
    <row r="655">
      <c r="A655" s="47">
        <v>1.1240381131E10</v>
      </c>
      <c r="B655" s="48">
        <v>46158.745150462964</v>
      </c>
      <c r="C655" s="30">
        <v>3.854514383E9</v>
      </c>
      <c r="D655" s="47" t="s">
        <v>1512</v>
      </c>
      <c r="E655" s="47" t="s">
        <v>356</v>
      </c>
      <c r="F655" s="47" t="s">
        <v>1523</v>
      </c>
      <c r="G655" s="47" t="s">
        <v>1532</v>
      </c>
      <c r="H655" s="30">
        <v>3.0</v>
      </c>
      <c r="I655" s="30">
        <v>729.0</v>
      </c>
      <c r="J655" s="30">
        <v>2187.0</v>
      </c>
      <c r="K655" s="30">
        <v>4.95</v>
      </c>
      <c r="L655" s="30">
        <v>108.2565</v>
      </c>
      <c r="M655" s="30">
        <v>580.0</v>
      </c>
      <c r="N655" s="30">
        <v>1740.0</v>
      </c>
      <c r="O655" s="30">
        <v>0.0</v>
      </c>
      <c r="P655" s="30">
        <v>0.0</v>
      </c>
      <c r="Q655" s="30">
        <v>338.7435</v>
      </c>
    </row>
    <row r="656">
      <c r="A656" s="47">
        <v>1.1244829226E10</v>
      </c>
      <c r="B656" s="48">
        <v>46159.99260416667</v>
      </c>
      <c r="C656" s="30">
        <v>3.85990429E9</v>
      </c>
      <c r="D656" s="47" t="s">
        <v>1512</v>
      </c>
      <c r="E656" s="47">
        <v>7.613031680992E12</v>
      </c>
      <c r="F656" s="47" t="s">
        <v>1523</v>
      </c>
      <c r="G656" s="47" t="s">
        <v>1541</v>
      </c>
      <c r="H656" s="30">
        <v>2.0</v>
      </c>
      <c r="I656" s="30">
        <v>768.0</v>
      </c>
      <c r="J656" s="30">
        <v>1536.0</v>
      </c>
      <c r="K656" s="30">
        <v>3.69</v>
      </c>
      <c r="L656" s="30">
        <v>56.6784</v>
      </c>
      <c r="M656" s="30">
        <v>580.0</v>
      </c>
      <c r="N656" s="30">
        <v>1160.0</v>
      </c>
      <c r="O656" s="30">
        <v>0.0</v>
      </c>
      <c r="P656" s="30">
        <v>0.0</v>
      </c>
      <c r="Q656" s="30">
        <v>319.3216</v>
      </c>
    </row>
    <row r="657">
      <c r="A657" s="47">
        <v>1.12400383E10</v>
      </c>
      <c r="B657" s="48">
        <v>46158.67503472222</v>
      </c>
      <c r="C657" s="30">
        <v>3.854238365E9</v>
      </c>
      <c r="D657" s="47" t="s">
        <v>1512</v>
      </c>
      <c r="E657" s="47">
        <v>7.613032816536E12</v>
      </c>
      <c r="F657" s="47" t="s">
        <v>1523</v>
      </c>
      <c r="G657" s="47" t="s">
        <v>1533</v>
      </c>
      <c r="H657" s="30">
        <v>4.0</v>
      </c>
      <c r="I657" s="30">
        <v>729.0</v>
      </c>
      <c r="J657" s="30">
        <v>2916.0</v>
      </c>
      <c r="K657" s="30">
        <v>4.41</v>
      </c>
      <c r="L657" s="30">
        <v>128.59560000000002</v>
      </c>
      <c r="M657" s="30">
        <v>580.0</v>
      </c>
      <c r="N657" s="30">
        <v>2320.0</v>
      </c>
      <c r="O657" s="30">
        <v>0.0</v>
      </c>
      <c r="P657" s="30">
        <v>0.0</v>
      </c>
      <c r="Q657" s="30">
        <v>467.4044</v>
      </c>
    </row>
    <row r="658">
      <c r="A658" s="47">
        <v>1.1242066439E10</v>
      </c>
      <c r="B658" s="48">
        <v>46159.09075231481</v>
      </c>
      <c r="C658" s="30">
        <v>3.855759695E9</v>
      </c>
      <c r="D658" s="47" t="s">
        <v>1512</v>
      </c>
      <c r="E658" s="47">
        <v>7.613033560064E12</v>
      </c>
      <c r="F658" s="47" t="s">
        <v>1523</v>
      </c>
      <c r="G658" s="47" t="s">
        <v>1527</v>
      </c>
      <c r="H658" s="30">
        <v>2.0</v>
      </c>
      <c r="I658" s="30">
        <v>1284.0</v>
      </c>
      <c r="J658" s="30">
        <v>2568.0</v>
      </c>
      <c r="K658" s="30">
        <v>2.7</v>
      </c>
      <c r="L658" s="30">
        <v>69.336</v>
      </c>
      <c r="M658" s="30">
        <v>1190.0</v>
      </c>
      <c r="N658" s="30">
        <v>2380.0</v>
      </c>
      <c r="O658" s="30">
        <v>0.0</v>
      </c>
      <c r="P658" s="30">
        <v>0.0</v>
      </c>
      <c r="Q658" s="30">
        <v>118.664</v>
      </c>
    </row>
    <row r="659">
      <c r="A659" s="47">
        <v>1.1239870802E10</v>
      </c>
      <c r="B659" s="48">
        <v>46158.63928240741</v>
      </c>
      <c r="C659" s="30">
        <v>3.854095421E9</v>
      </c>
      <c r="D659" s="47" t="s">
        <v>1512</v>
      </c>
      <c r="E659" s="47" t="s">
        <v>356</v>
      </c>
      <c r="F659" s="47" t="s">
        <v>1523</v>
      </c>
      <c r="G659" s="47" t="s">
        <v>1532</v>
      </c>
      <c r="H659" s="30">
        <v>3.0</v>
      </c>
      <c r="I659" s="30">
        <v>729.0</v>
      </c>
      <c r="J659" s="30">
        <v>2187.0</v>
      </c>
      <c r="K659" s="30">
        <v>4.95</v>
      </c>
      <c r="L659" s="30">
        <v>108.2565</v>
      </c>
      <c r="M659" s="30">
        <v>580.0</v>
      </c>
      <c r="N659" s="30">
        <v>1740.0</v>
      </c>
      <c r="O659" s="30">
        <v>0.0</v>
      </c>
      <c r="P659" s="30">
        <v>0.0</v>
      </c>
      <c r="Q659" s="30">
        <v>338.7435</v>
      </c>
    </row>
    <row r="660">
      <c r="A660" s="47">
        <v>1.1239458746E10</v>
      </c>
      <c r="B660" s="48">
        <v>46158.51917824074</v>
      </c>
      <c r="C660" s="30">
        <v>3.853715193E9</v>
      </c>
      <c r="D660" s="47" t="s">
        <v>1512</v>
      </c>
      <c r="E660" s="47">
        <v>7.613032816536E12</v>
      </c>
      <c r="F660" s="47" t="s">
        <v>1523</v>
      </c>
      <c r="G660" s="47" t="s">
        <v>1533</v>
      </c>
      <c r="H660" s="30">
        <v>7.0</v>
      </c>
      <c r="I660" s="30">
        <v>729.0</v>
      </c>
      <c r="J660" s="30">
        <v>5103.0</v>
      </c>
      <c r="K660" s="30">
        <v>4.41</v>
      </c>
      <c r="L660" s="30">
        <v>225.04229999999998</v>
      </c>
      <c r="M660" s="30">
        <v>580.0</v>
      </c>
      <c r="N660" s="30">
        <v>4060.0</v>
      </c>
      <c r="O660" s="30">
        <v>0.0</v>
      </c>
      <c r="P660" s="30">
        <v>0.0</v>
      </c>
      <c r="Q660" s="30">
        <v>817.9577</v>
      </c>
    </row>
    <row r="661">
      <c r="A661" s="47">
        <v>1.1243812675E10</v>
      </c>
      <c r="B661" s="48">
        <v>46159.805497685185</v>
      </c>
      <c r="C661" s="30">
        <v>3.857230707E9</v>
      </c>
      <c r="D661" s="47" t="s">
        <v>1512</v>
      </c>
      <c r="E661" s="47" t="s">
        <v>411</v>
      </c>
      <c r="F661" s="47" t="s">
        <v>1523</v>
      </c>
      <c r="G661" s="47" t="s">
        <v>1531</v>
      </c>
      <c r="H661" s="30">
        <v>1.0</v>
      </c>
      <c r="I661" s="30">
        <v>768.0</v>
      </c>
      <c r="J661" s="30">
        <v>768.0</v>
      </c>
      <c r="K661" s="30">
        <v>4.95</v>
      </c>
      <c r="L661" s="30">
        <v>38.016000000000005</v>
      </c>
      <c r="M661" s="30">
        <v>580.0</v>
      </c>
      <c r="N661" s="30">
        <v>580.0</v>
      </c>
      <c r="O661" s="30">
        <v>0.0</v>
      </c>
      <c r="P661" s="30">
        <v>0.0</v>
      </c>
      <c r="Q661" s="30">
        <v>149.98399999999998</v>
      </c>
    </row>
    <row r="662">
      <c r="A662" s="47">
        <v>1.1244533862E10</v>
      </c>
      <c r="B662" s="48">
        <v>46159.939409722225</v>
      </c>
      <c r="C662" s="30">
        <v>3.85771228E9</v>
      </c>
      <c r="D662" s="47" t="s">
        <v>1512</v>
      </c>
      <c r="E662" s="47">
        <v>7.613032816536E12</v>
      </c>
      <c r="F662" s="47" t="s">
        <v>1523</v>
      </c>
      <c r="G662" s="47" t="s">
        <v>1533</v>
      </c>
      <c r="H662" s="30">
        <v>2.0</v>
      </c>
      <c r="I662" s="30">
        <v>729.0</v>
      </c>
      <c r="J662" s="30">
        <v>1458.0</v>
      </c>
      <c r="K662" s="30">
        <v>4.41</v>
      </c>
      <c r="L662" s="30">
        <v>64.29780000000001</v>
      </c>
      <c r="M662" s="30">
        <v>580.0</v>
      </c>
      <c r="N662" s="30">
        <v>1160.0</v>
      </c>
      <c r="O662" s="30">
        <v>0.0</v>
      </c>
      <c r="P662" s="30">
        <v>0.0</v>
      </c>
      <c r="Q662" s="30">
        <v>233.7022</v>
      </c>
    </row>
    <row r="663">
      <c r="A663" s="47">
        <v>1.1244829226E10</v>
      </c>
      <c r="B663" s="48">
        <v>46159.99260416667</v>
      </c>
      <c r="C663" s="30">
        <v>3.859904291E9</v>
      </c>
      <c r="D663" s="47" t="s">
        <v>1512</v>
      </c>
      <c r="E663" s="47">
        <v>7.613031680992E12</v>
      </c>
      <c r="F663" s="47" t="s">
        <v>1523</v>
      </c>
      <c r="G663" s="47" t="s">
        <v>1541</v>
      </c>
      <c r="H663" s="30">
        <v>8.0</v>
      </c>
      <c r="I663" s="30">
        <v>768.0</v>
      </c>
      <c r="J663" s="30">
        <v>6144.0</v>
      </c>
      <c r="K663" s="30">
        <v>3.69</v>
      </c>
      <c r="L663" s="30">
        <v>226.7136</v>
      </c>
      <c r="M663" s="30">
        <v>580.0</v>
      </c>
      <c r="N663" s="30">
        <v>4640.0</v>
      </c>
      <c r="O663" s="30">
        <v>0.0</v>
      </c>
      <c r="P663" s="30">
        <v>0.0</v>
      </c>
      <c r="Q663" s="30">
        <v>1277.2864</v>
      </c>
    </row>
    <row r="664">
      <c r="A664" s="47">
        <v>1.124077908E10</v>
      </c>
      <c r="B664" s="48">
        <v>46158.82846064815</v>
      </c>
      <c r="C664" s="30">
        <v>3.854811741E9</v>
      </c>
      <c r="D664" s="47" t="s">
        <v>1512</v>
      </c>
      <c r="E664" s="47">
        <v>7.613033560033E12</v>
      </c>
      <c r="F664" s="47">
        <v>0.0</v>
      </c>
      <c r="G664" s="47" t="s">
        <v>1539</v>
      </c>
      <c r="H664" s="30">
        <v>2.0</v>
      </c>
      <c r="I664" s="30">
        <v>1287.0</v>
      </c>
      <c r="J664" s="30">
        <v>2574.0</v>
      </c>
      <c r="K664" s="30">
        <v>3.6</v>
      </c>
      <c r="L664" s="30">
        <v>92.664</v>
      </c>
      <c r="M664" s="30">
        <v>1165.0</v>
      </c>
      <c r="N664" s="30">
        <v>2330.0</v>
      </c>
      <c r="O664" s="30">
        <v>0.0</v>
      </c>
      <c r="P664" s="30">
        <v>0.0</v>
      </c>
      <c r="Q664" s="30">
        <v>151.336</v>
      </c>
    </row>
    <row r="665">
      <c r="A665" s="47">
        <v>1.124077908E10</v>
      </c>
      <c r="B665" s="48">
        <v>46158.82846064815</v>
      </c>
      <c r="C665" s="30">
        <v>3.854811741E9</v>
      </c>
      <c r="D665" s="47" t="s">
        <v>1512</v>
      </c>
      <c r="E665" s="47">
        <v>7.613033560064E12</v>
      </c>
      <c r="F665" s="47" t="s">
        <v>1523</v>
      </c>
      <c r="G665" s="47" t="s">
        <v>1527</v>
      </c>
      <c r="H665" s="30">
        <v>2.0</v>
      </c>
      <c r="I665" s="30">
        <v>1285.0</v>
      </c>
      <c r="J665" s="30">
        <v>2570.0</v>
      </c>
      <c r="K665" s="30">
        <v>2.7</v>
      </c>
      <c r="L665" s="30">
        <v>69.39000000000001</v>
      </c>
      <c r="M665" s="30">
        <v>1190.0</v>
      </c>
      <c r="N665" s="30">
        <v>2380.0</v>
      </c>
      <c r="O665" s="30">
        <v>0.0</v>
      </c>
      <c r="P665" s="30">
        <v>0.0</v>
      </c>
      <c r="Q665" s="30">
        <v>120.60999999999999</v>
      </c>
    </row>
    <row r="666">
      <c r="A666" s="47">
        <v>1.1240389325E10</v>
      </c>
      <c r="B666" s="48">
        <v>46158.74689814815</v>
      </c>
      <c r="C666" s="30">
        <v>3.854519929E9</v>
      </c>
      <c r="D666" s="47" t="s">
        <v>1512</v>
      </c>
      <c r="E666" s="47">
        <v>8.684501941806E12</v>
      </c>
      <c r="F666" s="47" t="s">
        <v>291</v>
      </c>
      <c r="G666" s="47" t="s">
        <v>1556</v>
      </c>
      <c r="H666" s="30">
        <v>1.0</v>
      </c>
      <c r="I666" s="30">
        <v>174.99</v>
      </c>
      <c r="J666" s="30">
        <v>174.99</v>
      </c>
      <c r="K666" s="30">
        <v>18.0</v>
      </c>
      <c r="L666" s="30">
        <v>31.4982</v>
      </c>
      <c r="M666" s="30">
        <v>53.0</v>
      </c>
      <c r="N666" s="30">
        <v>53.0</v>
      </c>
      <c r="O666" s="30">
        <v>0.0</v>
      </c>
      <c r="P666" s="30">
        <v>0.0</v>
      </c>
      <c r="Q666" s="30">
        <v>90.49180000000001</v>
      </c>
    </row>
    <row r="667">
      <c r="A667" s="47">
        <v>1.1240389325E10</v>
      </c>
      <c r="B667" s="48">
        <v>46158.74689814815</v>
      </c>
      <c r="C667" s="30">
        <v>3.854519929E9</v>
      </c>
      <c r="D667" s="47" t="s">
        <v>1512</v>
      </c>
      <c r="E667" s="47">
        <v>8.684501941837E12</v>
      </c>
      <c r="F667" s="47" t="s">
        <v>289</v>
      </c>
      <c r="G667" s="47" t="s">
        <v>1543</v>
      </c>
      <c r="H667" s="30">
        <v>1.0</v>
      </c>
      <c r="I667" s="30">
        <v>175.0</v>
      </c>
      <c r="J667" s="30">
        <v>175.0</v>
      </c>
      <c r="K667" s="30">
        <v>18.0</v>
      </c>
      <c r="L667" s="30">
        <v>31.5</v>
      </c>
      <c r="M667" s="30">
        <v>53.0</v>
      </c>
      <c r="N667" s="30">
        <v>53.0</v>
      </c>
      <c r="O667" s="30">
        <v>0.0</v>
      </c>
      <c r="P667" s="30">
        <v>0.0</v>
      </c>
      <c r="Q667" s="30">
        <v>90.5</v>
      </c>
    </row>
    <row r="668">
      <c r="A668" s="47">
        <v>1.1240389325E10</v>
      </c>
      <c r="B668" s="48">
        <v>46158.74689814815</v>
      </c>
      <c r="C668" s="30">
        <v>3.854519929E9</v>
      </c>
      <c r="D668" s="47" t="s">
        <v>1512</v>
      </c>
      <c r="E668" s="47">
        <v>7.613033560064E12</v>
      </c>
      <c r="F668" s="47" t="s">
        <v>1523</v>
      </c>
      <c r="G668" s="47" t="s">
        <v>1527</v>
      </c>
      <c r="H668" s="30">
        <v>1.0</v>
      </c>
      <c r="I668" s="30">
        <v>1286.0</v>
      </c>
      <c r="J668" s="30">
        <v>1286.0</v>
      </c>
      <c r="K668" s="30">
        <v>2.7</v>
      </c>
      <c r="L668" s="30">
        <v>34.722</v>
      </c>
      <c r="M668" s="30">
        <v>1190.0</v>
      </c>
      <c r="N668" s="30">
        <v>1190.0</v>
      </c>
      <c r="O668" s="30">
        <v>0.0</v>
      </c>
      <c r="P668" s="30">
        <v>0.0</v>
      </c>
      <c r="Q668" s="30">
        <v>61.278</v>
      </c>
    </row>
    <row r="669">
      <c r="A669" s="47">
        <v>1.1238330896E10</v>
      </c>
      <c r="B669" s="48">
        <v>46157.97087962963</v>
      </c>
      <c r="C669" s="30">
        <v>3.852690842E9</v>
      </c>
      <c r="D669" s="47" t="s">
        <v>1509</v>
      </c>
      <c r="E669" s="47">
        <v>7.613033560064E12</v>
      </c>
      <c r="F669" s="47" t="s">
        <v>1523</v>
      </c>
      <c r="G669" s="47" t="s">
        <v>1527</v>
      </c>
      <c r="H669" s="30">
        <v>1.0</v>
      </c>
      <c r="I669" s="30">
        <v>1291.0</v>
      </c>
      <c r="J669" s="30">
        <v>1291.0</v>
      </c>
      <c r="K669" s="30">
        <v>2.7</v>
      </c>
      <c r="L669" s="30">
        <v>34.857</v>
      </c>
      <c r="M669" s="30">
        <v>1190.0</v>
      </c>
      <c r="N669" s="30">
        <v>1190.0</v>
      </c>
      <c r="O669" s="30">
        <v>0.0</v>
      </c>
      <c r="P669" s="30">
        <v>0.0</v>
      </c>
      <c r="Q669" s="30">
        <v>66.143</v>
      </c>
    </row>
    <row r="670">
      <c r="A670" s="47">
        <v>1.1236078482E10</v>
      </c>
      <c r="B670" s="48">
        <v>46157.45675925926</v>
      </c>
      <c r="C670" s="30">
        <v>3.850808785E9</v>
      </c>
      <c r="D670" s="47" t="s">
        <v>1509</v>
      </c>
      <c r="E670" s="47" t="s">
        <v>356</v>
      </c>
      <c r="F670" s="47" t="s">
        <v>1523</v>
      </c>
      <c r="G670" s="47" t="s">
        <v>1532</v>
      </c>
      <c r="H670" s="30">
        <v>1.0</v>
      </c>
      <c r="I670" s="30">
        <v>729.0</v>
      </c>
      <c r="J670" s="30">
        <v>729.0</v>
      </c>
      <c r="K670" s="30">
        <v>4.95</v>
      </c>
      <c r="L670" s="30">
        <v>36.0855</v>
      </c>
      <c r="M670" s="30">
        <v>580.0</v>
      </c>
      <c r="N670" s="30">
        <v>580.0</v>
      </c>
      <c r="O670" s="30">
        <v>0.0</v>
      </c>
      <c r="P670" s="30">
        <v>0.0</v>
      </c>
      <c r="Q670" s="30">
        <v>112.9145</v>
      </c>
    </row>
    <row r="671">
      <c r="A671" s="47">
        <v>1.1234610095E10</v>
      </c>
      <c r="B671" s="48">
        <v>46156.878067129626</v>
      </c>
      <c r="C671" s="30">
        <v>3.849478902E9</v>
      </c>
      <c r="D671" s="47" t="s">
        <v>1509</v>
      </c>
      <c r="E671" s="47" t="s">
        <v>356</v>
      </c>
      <c r="F671" s="47" t="s">
        <v>1523</v>
      </c>
      <c r="G671" s="47" t="s">
        <v>1532</v>
      </c>
      <c r="H671" s="30">
        <v>1.0</v>
      </c>
      <c r="I671" s="30">
        <v>729.0</v>
      </c>
      <c r="J671" s="30">
        <v>729.0</v>
      </c>
      <c r="K671" s="30">
        <v>4.95</v>
      </c>
      <c r="L671" s="30">
        <v>36.0855</v>
      </c>
      <c r="M671" s="30">
        <v>580.0</v>
      </c>
      <c r="N671" s="30">
        <v>580.0</v>
      </c>
      <c r="O671" s="30">
        <v>0.0</v>
      </c>
      <c r="P671" s="30">
        <v>0.0</v>
      </c>
      <c r="Q671" s="30">
        <v>112.9145</v>
      </c>
    </row>
    <row r="672">
      <c r="A672" s="47">
        <v>1.1235111563E10</v>
      </c>
      <c r="B672" s="48">
        <v>46156.97920138889</v>
      </c>
      <c r="C672" s="30">
        <v>3.849848778E9</v>
      </c>
      <c r="D672" s="47" t="s">
        <v>1509</v>
      </c>
      <c r="E672" s="47">
        <v>7.613033560064E12</v>
      </c>
      <c r="F672" s="47" t="s">
        <v>1523</v>
      </c>
      <c r="G672" s="47" t="s">
        <v>1527</v>
      </c>
      <c r="H672" s="30">
        <v>1.0</v>
      </c>
      <c r="I672" s="30">
        <v>1297.9</v>
      </c>
      <c r="J672" s="30">
        <v>1297.9</v>
      </c>
      <c r="K672" s="30">
        <v>2.7</v>
      </c>
      <c r="L672" s="30">
        <v>35.0433</v>
      </c>
      <c r="M672" s="30">
        <v>1190.0</v>
      </c>
      <c r="N672" s="30">
        <v>1190.0</v>
      </c>
      <c r="O672" s="30">
        <v>0.0</v>
      </c>
      <c r="P672" s="30">
        <v>0.0</v>
      </c>
      <c r="Q672" s="30">
        <v>72.85670000000009</v>
      </c>
    </row>
    <row r="673">
      <c r="A673" s="47">
        <v>1.1238187444E10</v>
      </c>
      <c r="B673" s="48">
        <v>46157.943333333336</v>
      </c>
      <c r="C673" s="30">
        <v>3.852590911E9</v>
      </c>
      <c r="D673" s="47" t="s">
        <v>1509</v>
      </c>
      <c r="E673" s="47">
        <v>7.613033560064E12</v>
      </c>
      <c r="F673" s="47" t="s">
        <v>1523</v>
      </c>
      <c r="G673" s="47" t="s">
        <v>1527</v>
      </c>
      <c r="H673" s="30">
        <v>1.0</v>
      </c>
      <c r="I673" s="30">
        <v>1291.0</v>
      </c>
      <c r="J673" s="30">
        <v>1291.0</v>
      </c>
      <c r="K673" s="30">
        <v>2.7</v>
      </c>
      <c r="L673" s="30">
        <v>34.857</v>
      </c>
      <c r="M673" s="30">
        <v>1190.0</v>
      </c>
      <c r="N673" s="30">
        <v>1190.0</v>
      </c>
      <c r="O673" s="30">
        <v>0.0</v>
      </c>
      <c r="P673" s="30">
        <v>0.0</v>
      </c>
      <c r="Q673" s="30">
        <v>66.143</v>
      </c>
    </row>
    <row r="674">
      <c r="A674" s="47">
        <v>1.1237854512E10</v>
      </c>
      <c r="B674" s="48">
        <v>46157.87986111111</v>
      </c>
      <c r="C674" s="30">
        <v>3.852366764E9</v>
      </c>
      <c r="D674" s="47" t="s">
        <v>1509</v>
      </c>
      <c r="E674" s="47">
        <v>7.613033560064E12</v>
      </c>
      <c r="F674" s="47" t="s">
        <v>1523</v>
      </c>
      <c r="G674" s="47" t="s">
        <v>1527</v>
      </c>
      <c r="H674" s="30">
        <v>1.0</v>
      </c>
      <c r="I674" s="30">
        <v>1291.0</v>
      </c>
      <c r="J674" s="30">
        <v>1291.0</v>
      </c>
      <c r="K674" s="30">
        <v>2.7</v>
      </c>
      <c r="L674" s="30">
        <v>34.857</v>
      </c>
      <c r="M674" s="30">
        <v>1190.0</v>
      </c>
      <c r="N674" s="30">
        <v>1190.0</v>
      </c>
      <c r="O674" s="30">
        <v>0.0</v>
      </c>
      <c r="P674" s="30">
        <v>0.0</v>
      </c>
      <c r="Q674" s="30">
        <v>66.143</v>
      </c>
    </row>
    <row r="675">
      <c r="A675" s="47">
        <v>1.1232234293E10</v>
      </c>
      <c r="B675" s="48">
        <v>46156.03873842592</v>
      </c>
      <c r="C675" s="30">
        <v>3.847277586E9</v>
      </c>
      <c r="D675" s="47" t="s">
        <v>1509</v>
      </c>
      <c r="E675" s="47">
        <v>7.613033560033E12</v>
      </c>
      <c r="F675" s="47">
        <v>0.0</v>
      </c>
      <c r="G675" s="47" t="s">
        <v>1539</v>
      </c>
      <c r="H675" s="30">
        <v>1.0</v>
      </c>
      <c r="I675" s="30">
        <v>1261.99</v>
      </c>
      <c r="J675" s="30">
        <v>1261.99</v>
      </c>
      <c r="K675" s="30">
        <v>3.6</v>
      </c>
      <c r="L675" s="30">
        <v>45.431639999999994</v>
      </c>
      <c r="M675" s="30">
        <v>1165.0</v>
      </c>
      <c r="N675" s="30">
        <v>1165.0</v>
      </c>
      <c r="O675" s="30">
        <v>0.0</v>
      </c>
      <c r="P675" s="30">
        <v>0.0</v>
      </c>
      <c r="Q675" s="30">
        <v>51.558360000000015</v>
      </c>
    </row>
    <row r="676">
      <c r="A676" s="47">
        <v>1.1244734653E10</v>
      </c>
      <c r="B676" s="48">
        <v>46159.97550925926</v>
      </c>
      <c r="C676" s="30">
        <v>3.857857055E9</v>
      </c>
      <c r="D676" s="47" t="s">
        <v>1512</v>
      </c>
      <c r="E676" s="47" t="s">
        <v>143</v>
      </c>
      <c r="F676" s="47" t="s">
        <v>1523</v>
      </c>
      <c r="G676" s="47" t="s">
        <v>1545</v>
      </c>
      <c r="H676" s="30">
        <v>1.0</v>
      </c>
      <c r="I676" s="30">
        <v>319.0</v>
      </c>
      <c r="J676" s="30">
        <v>319.0</v>
      </c>
      <c r="K676" s="30">
        <v>14.85</v>
      </c>
      <c r="L676" s="30">
        <v>47.3715</v>
      </c>
      <c r="M676" s="30">
        <v>180.0</v>
      </c>
      <c r="N676" s="30">
        <v>180.0</v>
      </c>
      <c r="O676" s="30">
        <v>0.0</v>
      </c>
      <c r="P676" s="30">
        <v>0.0</v>
      </c>
      <c r="Q676" s="30">
        <v>91.6285</v>
      </c>
    </row>
    <row r="677">
      <c r="A677" s="47">
        <v>1.1241015659E10</v>
      </c>
      <c r="B677" s="48">
        <v>46158.87688657407</v>
      </c>
      <c r="C677" s="30">
        <v>3.854974406E9</v>
      </c>
      <c r="D677" s="47" t="s">
        <v>1512</v>
      </c>
      <c r="E677" s="47" t="s">
        <v>143</v>
      </c>
      <c r="F677" s="47" t="s">
        <v>1523</v>
      </c>
      <c r="G677" s="47" t="s">
        <v>1545</v>
      </c>
      <c r="H677" s="30">
        <v>1.0</v>
      </c>
      <c r="I677" s="30">
        <v>319.0</v>
      </c>
      <c r="J677" s="30">
        <v>319.0</v>
      </c>
      <c r="K677" s="30">
        <v>14.85</v>
      </c>
      <c r="L677" s="30">
        <v>47.3715</v>
      </c>
      <c r="M677" s="30">
        <v>180.0</v>
      </c>
      <c r="N677" s="30">
        <v>180.0</v>
      </c>
      <c r="O677" s="30">
        <v>0.0</v>
      </c>
      <c r="P677" s="30">
        <v>0.0</v>
      </c>
      <c r="Q677" s="30">
        <v>91.6285</v>
      </c>
    </row>
    <row r="678">
      <c r="A678" s="47">
        <v>1.1244008018E10</v>
      </c>
      <c r="B678" s="48">
        <v>46159.84290509259</v>
      </c>
      <c r="C678" s="30">
        <v>3.857366065E9</v>
      </c>
      <c r="D678" s="47" t="s">
        <v>1512</v>
      </c>
      <c r="E678" s="47">
        <v>9.003579311301E12</v>
      </c>
      <c r="F678" s="47" t="s">
        <v>1523</v>
      </c>
      <c r="G678" s="47" t="s">
        <v>1554</v>
      </c>
      <c r="H678" s="30">
        <v>1.0</v>
      </c>
      <c r="I678" s="30">
        <v>71.0</v>
      </c>
      <c r="J678" s="30">
        <v>71.0</v>
      </c>
      <c r="K678" s="30">
        <v>2.7</v>
      </c>
      <c r="L678" s="30">
        <v>1.9170000000000003</v>
      </c>
      <c r="M678" s="30">
        <v>0.0</v>
      </c>
      <c r="N678" s="30">
        <v>0.0</v>
      </c>
      <c r="O678" s="30">
        <v>0.0</v>
      </c>
      <c r="P678" s="30">
        <v>0.0</v>
      </c>
      <c r="Q678" s="30">
        <v>69.083</v>
      </c>
    </row>
    <row r="679">
      <c r="A679" s="47">
        <v>1.1245048369E10</v>
      </c>
      <c r="B679" s="48">
        <v>46160.03103009259</v>
      </c>
      <c r="C679" s="30">
        <v>3.858107966E9</v>
      </c>
      <c r="D679" s="47" t="s">
        <v>1512</v>
      </c>
      <c r="E679" s="47">
        <v>7.613032816536E12</v>
      </c>
      <c r="F679" s="47" t="s">
        <v>1523</v>
      </c>
      <c r="G679" s="47" t="s">
        <v>1533</v>
      </c>
      <c r="H679" s="30">
        <v>1.0</v>
      </c>
      <c r="I679" s="30">
        <v>729.0</v>
      </c>
      <c r="J679" s="30">
        <v>729.0</v>
      </c>
      <c r="K679" s="30">
        <v>4.41</v>
      </c>
      <c r="L679" s="30">
        <v>32.148900000000005</v>
      </c>
      <c r="M679" s="30">
        <v>580.0</v>
      </c>
      <c r="N679" s="30">
        <v>580.0</v>
      </c>
      <c r="O679" s="30">
        <v>0.0</v>
      </c>
      <c r="P679" s="30">
        <v>0.0</v>
      </c>
      <c r="Q679" s="30">
        <v>116.8511</v>
      </c>
    </row>
    <row r="680">
      <c r="A680" s="47">
        <v>1.1239581374E10</v>
      </c>
      <c r="B680" s="48">
        <v>46158.56414351852</v>
      </c>
      <c r="C680" s="30">
        <v>3.853833543E9</v>
      </c>
      <c r="D680" s="47" t="s">
        <v>1512</v>
      </c>
      <c r="E680" s="47">
        <v>7.613032816536E12</v>
      </c>
      <c r="F680" s="47" t="s">
        <v>1523</v>
      </c>
      <c r="G680" s="47" t="s">
        <v>1533</v>
      </c>
      <c r="H680" s="30">
        <v>1.0</v>
      </c>
      <c r="I680" s="30">
        <v>729.0</v>
      </c>
      <c r="J680" s="30">
        <v>729.0</v>
      </c>
      <c r="K680" s="30">
        <v>4.41</v>
      </c>
      <c r="L680" s="30">
        <v>32.148900000000005</v>
      </c>
      <c r="M680" s="30">
        <v>580.0</v>
      </c>
      <c r="N680" s="30">
        <v>580.0</v>
      </c>
      <c r="O680" s="30">
        <v>0.0</v>
      </c>
      <c r="P680" s="30">
        <v>0.0</v>
      </c>
      <c r="Q680" s="30">
        <v>116.8511</v>
      </c>
    </row>
    <row r="681">
      <c r="A681" s="47">
        <v>1.1243172942E10</v>
      </c>
      <c r="B681" s="48">
        <v>46159.67704861111</v>
      </c>
      <c r="C681" s="30">
        <v>3.85674011E9</v>
      </c>
      <c r="D681" s="47" t="s">
        <v>1512</v>
      </c>
      <c r="E681" s="47">
        <v>7.613032816536E12</v>
      </c>
      <c r="F681" s="47" t="s">
        <v>1523</v>
      </c>
      <c r="G681" s="47" t="s">
        <v>1533</v>
      </c>
      <c r="H681" s="30">
        <v>1.0</v>
      </c>
      <c r="I681" s="30">
        <v>729.0</v>
      </c>
      <c r="J681" s="30">
        <v>729.0</v>
      </c>
      <c r="K681" s="30">
        <v>4.41</v>
      </c>
      <c r="L681" s="30">
        <v>32.148900000000005</v>
      </c>
      <c r="M681" s="30">
        <v>580.0</v>
      </c>
      <c r="N681" s="30">
        <v>580.0</v>
      </c>
      <c r="O681" s="30">
        <v>0.0</v>
      </c>
      <c r="P681" s="30">
        <v>0.0</v>
      </c>
      <c r="Q681" s="30">
        <v>116.8511</v>
      </c>
    </row>
    <row r="682">
      <c r="A682" s="47">
        <v>1.1239738868E10</v>
      </c>
      <c r="B682" s="48">
        <v>46158.60811342593</v>
      </c>
      <c r="C682" s="30">
        <v>3.85397871E9</v>
      </c>
      <c r="D682" s="47" t="s">
        <v>1512</v>
      </c>
      <c r="E682" s="47">
        <v>7.613032816536E12</v>
      </c>
      <c r="F682" s="47" t="s">
        <v>1523</v>
      </c>
      <c r="G682" s="47" t="s">
        <v>1533</v>
      </c>
      <c r="H682" s="30">
        <v>1.0</v>
      </c>
      <c r="I682" s="30">
        <v>729.0</v>
      </c>
      <c r="J682" s="30">
        <v>729.0</v>
      </c>
      <c r="K682" s="30">
        <v>4.41</v>
      </c>
      <c r="L682" s="30">
        <v>32.148900000000005</v>
      </c>
      <c r="M682" s="30">
        <v>580.0</v>
      </c>
      <c r="N682" s="30">
        <v>580.0</v>
      </c>
      <c r="O682" s="30">
        <v>0.0</v>
      </c>
      <c r="P682" s="30">
        <v>0.0</v>
      </c>
      <c r="Q682" s="30">
        <v>116.8511</v>
      </c>
    </row>
    <row r="683">
      <c r="A683" s="47">
        <v>1.1241746253E10</v>
      </c>
      <c r="B683" s="48">
        <v>46159.02355324074</v>
      </c>
      <c r="C683" s="30">
        <v>3.85548149E9</v>
      </c>
      <c r="D683" s="47" t="s">
        <v>1512</v>
      </c>
      <c r="E683" s="47">
        <v>7.613033560064E12</v>
      </c>
      <c r="F683" s="47" t="s">
        <v>1523</v>
      </c>
      <c r="G683" s="47" t="s">
        <v>1527</v>
      </c>
      <c r="H683" s="30">
        <v>1.0</v>
      </c>
      <c r="I683" s="30">
        <v>1284.0</v>
      </c>
      <c r="J683" s="30">
        <v>1284.0</v>
      </c>
      <c r="K683" s="30">
        <v>2.7</v>
      </c>
      <c r="L683" s="30">
        <v>34.668</v>
      </c>
      <c r="M683" s="30">
        <v>1190.0</v>
      </c>
      <c r="N683" s="30">
        <v>1190.0</v>
      </c>
      <c r="O683" s="30">
        <v>0.0</v>
      </c>
      <c r="P683" s="30">
        <v>0.0</v>
      </c>
      <c r="Q683" s="30">
        <v>59.332</v>
      </c>
    </row>
    <row r="684">
      <c r="A684" s="47">
        <v>1.124229819E10</v>
      </c>
      <c r="B684" s="48">
        <v>46159.15048611111</v>
      </c>
      <c r="C684" s="30">
        <v>3.855970569E9</v>
      </c>
      <c r="D684" s="47" t="s">
        <v>1512</v>
      </c>
      <c r="E684" s="47">
        <v>7.613032816536E12</v>
      </c>
      <c r="F684" s="47" t="s">
        <v>1523</v>
      </c>
      <c r="G684" s="47" t="s">
        <v>1533</v>
      </c>
      <c r="H684" s="30">
        <v>2.0</v>
      </c>
      <c r="I684" s="30">
        <v>729.0</v>
      </c>
      <c r="J684" s="30">
        <v>1458.0</v>
      </c>
      <c r="K684" s="30">
        <v>4.41</v>
      </c>
      <c r="L684" s="30">
        <v>64.29780000000001</v>
      </c>
      <c r="M684" s="30">
        <v>580.0</v>
      </c>
      <c r="N684" s="30">
        <v>1160.0</v>
      </c>
      <c r="O684" s="30">
        <v>0.0</v>
      </c>
      <c r="P684" s="30">
        <v>0.0</v>
      </c>
      <c r="Q684" s="30">
        <v>233.7022</v>
      </c>
    </row>
    <row r="685">
      <c r="A685" s="47">
        <v>1.1243270003E10</v>
      </c>
      <c r="B685" s="48">
        <v>46159.69693287037</v>
      </c>
      <c r="C685" s="30">
        <v>3.856819611E9</v>
      </c>
      <c r="D685" s="47" t="s">
        <v>1512</v>
      </c>
      <c r="E685" s="47" t="s">
        <v>411</v>
      </c>
      <c r="F685" s="47" t="s">
        <v>1523</v>
      </c>
      <c r="G685" s="47" t="s">
        <v>1531</v>
      </c>
      <c r="H685" s="30">
        <v>1.0</v>
      </c>
      <c r="I685" s="30">
        <v>768.0</v>
      </c>
      <c r="J685" s="30">
        <v>768.0</v>
      </c>
      <c r="K685" s="30">
        <v>4.95</v>
      </c>
      <c r="L685" s="30">
        <v>38.016000000000005</v>
      </c>
      <c r="M685" s="30">
        <v>580.0</v>
      </c>
      <c r="N685" s="30">
        <v>580.0</v>
      </c>
      <c r="O685" s="30">
        <v>0.0</v>
      </c>
      <c r="P685" s="30">
        <v>0.0</v>
      </c>
      <c r="Q685" s="30">
        <v>149.98399999999998</v>
      </c>
    </row>
    <row r="686">
      <c r="A686" s="47">
        <v>1.1237832873E10</v>
      </c>
      <c r="B686" s="48">
        <v>46157.875868055555</v>
      </c>
      <c r="C686" s="30">
        <v>3.852349324E9</v>
      </c>
      <c r="D686" s="47" t="s">
        <v>1509</v>
      </c>
      <c r="E686" s="47">
        <v>7.613033560064E12</v>
      </c>
      <c r="F686" s="47" t="s">
        <v>1523</v>
      </c>
      <c r="G686" s="47" t="s">
        <v>1527</v>
      </c>
      <c r="H686" s="30">
        <v>1.0</v>
      </c>
      <c r="I686" s="30">
        <v>1291.0</v>
      </c>
      <c r="J686" s="30">
        <v>1291.0</v>
      </c>
      <c r="K686" s="30">
        <v>2.7</v>
      </c>
      <c r="L686" s="30">
        <v>34.857</v>
      </c>
      <c r="M686" s="30">
        <v>1190.0</v>
      </c>
      <c r="N686" s="30">
        <v>1190.0</v>
      </c>
      <c r="O686" s="30">
        <v>0.0</v>
      </c>
      <c r="P686" s="30">
        <v>0.0</v>
      </c>
      <c r="Q686" s="30">
        <v>66.143</v>
      </c>
    </row>
    <row r="687">
      <c r="A687" s="47">
        <v>1.1238019481E10</v>
      </c>
      <c r="B687" s="48">
        <v>46157.91159722222</v>
      </c>
      <c r="C687" s="30">
        <v>3.852474801E9</v>
      </c>
      <c r="D687" s="47" t="s">
        <v>1509</v>
      </c>
      <c r="E687" s="47">
        <v>6.923632570121E12</v>
      </c>
      <c r="F687" s="47" t="s">
        <v>306</v>
      </c>
      <c r="G687" s="47" t="s">
        <v>1555</v>
      </c>
      <c r="H687" s="30">
        <v>1.0</v>
      </c>
      <c r="I687" s="30">
        <v>852.0</v>
      </c>
      <c r="J687" s="30">
        <v>852.0</v>
      </c>
      <c r="K687" s="30">
        <v>14.49</v>
      </c>
      <c r="L687" s="30">
        <v>123.45479999999999</v>
      </c>
      <c r="M687" s="30">
        <v>300.0</v>
      </c>
      <c r="N687" s="30">
        <v>300.0</v>
      </c>
      <c r="O687" s="30">
        <v>0.0</v>
      </c>
      <c r="P687" s="30">
        <v>0.0</v>
      </c>
      <c r="Q687" s="30">
        <v>428.5452</v>
      </c>
    </row>
    <row r="688">
      <c r="A688" s="47">
        <v>1.1233157164E10</v>
      </c>
      <c r="B688" s="48">
        <v>46156.56083333334</v>
      </c>
      <c r="C688" s="30">
        <v>3.851685573E9</v>
      </c>
      <c r="D688" s="47" t="s">
        <v>1509</v>
      </c>
      <c r="E688" s="47" t="s">
        <v>356</v>
      </c>
      <c r="F688" s="47" t="s">
        <v>1523</v>
      </c>
      <c r="G688" s="47" t="s">
        <v>1532</v>
      </c>
      <c r="H688" s="30">
        <v>8.0</v>
      </c>
      <c r="I688" s="30">
        <v>729.0</v>
      </c>
      <c r="J688" s="30">
        <v>5832.0</v>
      </c>
      <c r="K688" s="30">
        <v>4.95</v>
      </c>
      <c r="L688" s="30">
        <v>288.684</v>
      </c>
      <c r="M688" s="30">
        <v>580.0</v>
      </c>
      <c r="N688" s="30">
        <v>4640.0</v>
      </c>
      <c r="O688" s="30">
        <v>0.0</v>
      </c>
      <c r="P688" s="30">
        <v>0.0</v>
      </c>
      <c r="Q688" s="30">
        <v>903.316</v>
      </c>
    </row>
    <row r="689">
      <c r="A689" s="47">
        <v>1.1233157164E10</v>
      </c>
      <c r="B689" s="48">
        <v>46156.56083333334</v>
      </c>
      <c r="C689" s="30">
        <v>3.851684952E9</v>
      </c>
      <c r="D689" s="47" t="s">
        <v>1509</v>
      </c>
      <c r="E689" s="47" t="s">
        <v>356</v>
      </c>
      <c r="F689" s="47" t="s">
        <v>1523</v>
      </c>
      <c r="G689" s="47" t="s">
        <v>1532</v>
      </c>
      <c r="H689" s="30">
        <v>5.0</v>
      </c>
      <c r="I689" s="30">
        <v>729.0</v>
      </c>
      <c r="J689" s="30">
        <v>3645.0</v>
      </c>
      <c r="K689" s="30">
        <v>4.95</v>
      </c>
      <c r="L689" s="30">
        <v>180.4275</v>
      </c>
      <c r="M689" s="30">
        <v>580.0</v>
      </c>
      <c r="N689" s="30">
        <v>2900.0</v>
      </c>
      <c r="O689" s="30">
        <v>0.0</v>
      </c>
      <c r="P689" s="30">
        <v>0.0</v>
      </c>
      <c r="Q689" s="30">
        <v>564.5725</v>
      </c>
    </row>
    <row r="690">
      <c r="A690" s="47">
        <v>1.1233157164E10</v>
      </c>
      <c r="B690" s="48">
        <v>46156.56083333334</v>
      </c>
      <c r="C690" s="30">
        <v>3.851685574E9</v>
      </c>
      <c r="D690" s="47" t="s">
        <v>1509</v>
      </c>
      <c r="E690" s="47" t="s">
        <v>356</v>
      </c>
      <c r="F690" s="47" t="s">
        <v>1523</v>
      </c>
      <c r="G690" s="47" t="s">
        <v>1532</v>
      </c>
      <c r="H690" s="30">
        <v>8.0</v>
      </c>
      <c r="I690" s="30">
        <v>729.0</v>
      </c>
      <c r="J690" s="30">
        <v>5832.0</v>
      </c>
      <c r="K690" s="30">
        <v>4.95</v>
      </c>
      <c r="L690" s="30">
        <v>288.684</v>
      </c>
      <c r="M690" s="30">
        <v>580.0</v>
      </c>
      <c r="N690" s="30">
        <v>4640.0</v>
      </c>
      <c r="O690" s="30">
        <v>0.0</v>
      </c>
      <c r="P690" s="30">
        <v>0.0</v>
      </c>
      <c r="Q690" s="30">
        <v>903.316</v>
      </c>
    </row>
    <row r="691">
      <c r="A691" s="47">
        <v>1.123706484E10</v>
      </c>
      <c r="B691" s="48">
        <v>46157.71690972222</v>
      </c>
      <c r="C691" s="30">
        <v>3.85172709E9</v>
      </c>
      <c r="D691" s="47" t="s">
        <v>1509</v>
      </c>
      <c r="E691" s="47">
        <v>7.613032816536E12</v>
      </c>
      <c r="F691" s="47" t="s">
        <v>1523</v>
      </c>
      <c r="G691" s="47" t="s">
        <v>1533</v>
      </c>
      <c r="H691" s="30">
        <v>1.0</v>
      </c>
      <c r="I691" s="30">
        <v>727.0</v>
      </c>
      <c r="J691" s="30">
        <v>727.0</v>
      </c>
      <c r="K691" s="30">
        <v>4.41</v>
      </c>
      <c r="L691" s="30">
        <v>32.060700000000004</v>
      </c>
      <c r="M691" s="30">
        <v>580.0</v>
      </c>
      <c r="N691" s="30">
        <v>580.0</v>
      </c>
      <c r="O691" s="30">
        <v>0.0</v>
      </c>
      <c r="P691" s="30">
        <v>0.0</v>
      </c>
      <c r="Q691" s="30">
        <v>114.9393</v>
      </c>
    </row>
    <row r="692">
      <c r="A692" s="47">
        <v>1.1237239413E10</v>
      </c>
      <c r="B692" s="48">
        <v>46157.75266203703</v>
      </c>
      <c r="C692" s="30">
        <v>3.851878787E9</v>
      </c>
      <c r="D692" s="47" t="s">
        <v>1509</v>
      </c>
      <c r="E692" s="47" t="s">
        <v>356</v>
      </c>
      <c r="F692" s="47" t="s">
        <v>1523</v>
      </c>
      <c r="G692" s="47" t="s">
        <v>1532</v>
      </c>
      <c r="H692" s="30">
        <v>2.0</v>
      </c>
      <c r="I692" s="30">
        <v>729.0</v>
      </c>
      <c r="J692" s="30">
        <v>1458.0</v>
      </c>
      <c r="K692" s="30">
        <v>4.95</v>
      </c>
      <c r="L692" s="30">
        <v>72.171</v>
      </c>
      <c r="M692" s="30">
        <v>580.0</v>
      </c>
      <c r="N692" s="30">
        <v>1160.0</v>
      </c>
      <c r="O692" s="30">
        <v>0.0</v>
      </c>
      <c r="P692" s="30">
        <v>0.0</v>
      </c>
      <c r="Q692" s="30">
        <v>225.829</v>
      </c>
    </row>
    <row r="693">
      <c r="A693" s="47">
        <v>1.1234745215E10</v>
      </c>
      <c r="B693" s="48">
        <v>46156.90511574074</v>
      </c>
      <c r="C693" s="30">
        <v>3.849574946E9</v>
      </c>
      <c r="D693" s="47" t="s">
        <v>1509</v>
      </c>
      <c r="E693" s="47">
        <v>7.613032816536E12</v>
      </c>
      <c r="F693" s="47" t="s">
        <v>1523</v>
      </c>
      <c r="G693" s="47" t="s">
        <v>1549</v>
      </c>
      <c r="H693" s="30">
        <v>1.0</v>
      </c>
      <c r="I693" s="30">
        <v>727.0</v>
      </c>
      <c r="J693" s="30">
        <v>727.0</v>
      </c>
      <c r="K693" s="30">
        <v>4.41</v>
      </c>
      <c r="L693" s="30">
        <v>32.060700000000004</v>
      </c>
      <c r="M693" s="30">
        <v>580.0</v>
      </c>
      <c r="N693" s="30">
        <v>580.0</v>
      </c>
      <c r="O693" s="30">
        <v>0.0</v>
      </c>
      <c r="P693" s="30">
        <v>0.0</v>
      </c>
      <c r="Q693" s="30">
        <v>114.9393</v>
      </c>
    </row>
    <row r="694">
      <c r="A694" s="47">
        <v>1.1244829226E10</v>
      </c>
      <c r="B694" s="48">
        <v>46159.99260416667</v>
      </c>
      <c r="C694" s="30">
        <v>3.857928782E9</v>
      </c>
      <c r="D694" s="47" t="s">
        <v>1515</v>
      </c>
      <c r="E694" s="47">
        <v>7.613031680992E12</v>
      </c>
      <c r="F694" s="47" t="s">
        <v>1523</v>
      </c>
      <c r="G694" s="47" t="s">
        <v>1541</v>
      </c>
      <c r="H694" s="30">
        <v>10.0</v>
      </c>
      <c r="I694" s="30">
        <v>768.0</v>
      </c>
      <c r="J694" s="30">
        <v>7680.0</v>
      </c>
      <c r="K694" s="30">
        <v>3.69</v>
      </c>
      <c r="L694" s="30">
        <v>283.392</v>
      </c>
      <c r="M694" s="30">
        <v>580.0</v>
      </c>
      <c r="N694" s="30">
        <v>5800.0</v>
      </c>
      <c r="O694" s="30">
        <v>0.0</v>
      </c>
      <c r="P694" s="30">
        <v>0.0</v>
      </c>
      <c r="Q694" s="30">
        <v>1596.608</v>
      </c>
    </row>
    <row r="695">
      <c r="A695" s="47">
        <v>1.1238642306E10</v>
      </c>
      <c r="B695" s="48">
        <v>46158.03040509259</v>
      </c>
      <c r="C695" s="30">
        <v>3.852933487E9</v>
      </c>
      <c r="D695" s="47" t="s">
        <v>1510</v>
      </c>
      <c r="E695" s="47">
        <v>7.613033560033E12</v>
      </c>
      <c r="F695" s="47">
        <v>0.0</v>
      </c>
      <c r="G695" s="47" t="s">
        <v>1539</v>
      </c>
      <c r="H695" s="30">
        <v>1.0</v>
      </c>
      <c r="I695" s="30">
        <v>1280.0</v>
      </c>
      <c r="J695" s="30">
        <v>1280.0</v>
      </c>
      <c r="K695" s="30">
        <v>3.6</v>
      </c>
      <c r="L695" s="30">
        <v>46.08</v>
      </c>
      <c r="M695" s="30">
        <v>1165.0</v>
      </c>
      <c r="N695" s="30">
        <v>1165.0</v>
      </c>
      <c r="O695" s="30">
        <v>0.0</v>
      </c>
      <c r="P695" s="30">
        <v>0.0</v>
      </c>
      <c r="Q695" s="30">
        <v>68.92</v>
      </c>
    </row>
    <row r="696">
      <c r="A696" s="47">
        <v>1.1238533921E10</v>
      </c>
      <c r="B696" s="48">
        <v>46158.00925925926</v>
      </c>
      <c r="C696" s="30">
        <v>3.852846467E9</v>
      </c>
      <c r="D696" s="47" t="s">
        <v>1509</v>
      </c>
      <c r="E696" s="47">
        <v>7.41245638741E11</v>
      </c>
      <c r="F696" s="47" t="s">
        <v>1523</v>
      </c>
      <c r="G696" s="47" t="s">
        <v>1569</v>
      </c>
      <c r="H696" s="30">
        <v>1.0</v>
      </c>
      <c r="I696" s="30">
        <v>545.0</v>
      </c>
      <c r="J696" s="30">
        <v>545.0</v>
      </c>
      <c r="K696" s="30">
        <v>12.15</v>
      </c>
      <c r="L696" s="30">
        <v>66.2175</v>
      </c>
      <c r="M696" s="30">
        <v>290.0</v>
      </c>
      <c r="N696" s="30">
        <v>290.0</v>
      </c>
      <c r="O696" s="30">
        <v>0.0</v>
      </c>
      <c r="P696" s="30">
        <v>0.0</v>
      </c>
      <c r="Q696" s="30">
        <v>188.7825</v>
      </c>
    </row>
    <row r="697">
      <c r="A697" s="47">
        <v>1.1230082121E10</v>
      </c>
      <c r="B697" s="48">
        <v>46155.58949074074</v>
      </c>
      <c r="C697" s="30">
        <v>3.845469327E9</v>
      </c>
      <c r="D697" s="47" t="s">
        <v>1509</v>
      </c>
      <c r="E697" s="47">
        <v>3.182550737616E12</v>
      </c>
      <c r="F697" s="47" t="s">
        <v>1523</v>
      </c>
      <c r="G697" s="47" t="s">
        <v>1570</v>
      </c>
      <c r="H697" s="30">
        <v>1.0</v>
      </c>
      <c r="I697" s="30">
        <v>1880.0</v>
      </c>
      <c r="J697" s="30">
        <v>1880.0</v>
      </c>
      <c r="K697" s="30">
        <v>4.32</v>
      </c>
      <c r="L697" s="30">
        <v>81.21600000000001</v>
      </c>
      <c r="M697" s="30">
        <v>1535.52</v>
      </c>
      <c r="N697" s="30">
        <v>1535.52</v>
      </c>
      <c r="O697" s="30">
        <v>0.0</v>
      </c>
      <c r="P697" s="30">
        <v>0.0</v>
      </c>
      <c r="Q697" s="30">
        <v>263.264</v>
      </c>
    </row>
    <row r="698">
      <c r="A698" s="47">
        <v>1.1236373398E10</v>
      </c>
      <c r="B698" s="48">
        <v>46157.576273148145</v>
      </c>
      <c r="C698" s="30">
        <v>3.851135557E9</v>
      </c>
      <c r="D698" s="47" t="s">
        <v>1509</v>
      </c>
      <c r="E698" s="47">
        <v>8.46799273637E11</v>
      </c>
      <c r="F698" s="47" t="s">
        <v>1523</v>
      </c>
      <c r="G698" s="47" t="s">
        <v>1553</v>
      </c>
      <c r="H698" s="30">
        <v>1.0</v>
      </c>
      <c r="I698" s="30">
        <v>659.0</v>
      </c>
      <c r="J698" s="30">
        <v>659.0</v>
      </c>
      <c r="K698" s="30">
        <v>14.85</v>
      </c>
      <c r="L698" s="30">
        <v>97.86149999999999</v>
      </c>
      <c r="M698" s="30">
        <v>420.0</v>
      </c>
      <c r="N698" s="30">
        <v>420.0</v>
      </c>
      <c r="O698" s="30">
        <v>0.0</v>
      </c>
      <c r="P698" s="30">
        <v>0.0</v>
      </c>
      <c r="Q698" s="30">
        <v>141.13850000000002</v>
      </c>
    </row>
    <row r="699">
      <c r="A699" s="47">
        <v>1.1233967614E10</v>
      </c>
      <c r="B699" s="48">
        <v>46156.73777777778</v>
      </c>
      <c r="C699" s="30">
        <v>3.84895992E9</v>
      </c>
      <c r="D699" s="47" t="s">
        <v>1509</v>
      </c>
      <c r="E699" s="47">
        <v>7.613032816536E12</v>
      </c>
      <c r="F699" s="47" t="s">
        <v>1523</v>
      </c>
      <c r="G699" s="47" t="s">
        <v>1533</v>
      </c>
      <c r="H699" s="30">
        <v>1.0</v>
      </c>
      <c r="I699" s="30">
        <v>727.0</v>
      </c>
      <c r="J699" s="30">
        <v>727.0</v>
      </c>
      <c r="K699" s="30">
        <v>4.41</v>
      </c>
      <c r="L699" s="30">
        <v>32.060700000000004</v>
      </c>
      <c r="M699" s="30">
        <v>580.0</v>
      </c>
      <c r="N699" s="30">
        <v>580.0</v>
      </c>
      <c r="O699" s="30">
        <v>0.0</v>
      </c>
      <c r="P699" s="30">
        <v>0.0</v>
      </c>
      <c r="Q699" s="30">
        <v>114.9393</v>
      </c>
    </row>
    <row r="700">
      <c r="A700" s="47">
        <v>1.1238823859E10</v>
      </c>
      <c r="B700" s="48">
        <v>46158.06861111111</v>
      </c>
      <c r="C700" s="30">
        <v>3.853094118E9</v>
      </c>
      <c r="D700" s="47" t="s">
        <v>1509</v>
      </c>
      <c r="E700" s="47" t="s">
        <v>356</v>
      </c>
      <c r="F700" s="47" t="s">
        <v>1523</v>
      </c>
      <c r="G700" s="47" t="s">
        <v>1532</v>
      </c>
      <c r="H700" s="30">
        <v>1.0</v>
      </c>
      <c r="I700" s="30">
        <v>729.0</v>
      </c>
      <c r="J700" s="30">
        <v>729.0</v>
      </c>
      <c r="K700" s="30">
        <v>4.95</v>
      </c>
      <c r="L700" s="30">
        <v>36.0855</v>
      </c>
      <c r="M700" s="30">
        <v>580.0</v>
      </c>
      <c r="N700" s="30">
        <v>580.0</v>
      </c>
      <c r="O700" s="30">
        <v>0.0</v>
      </c>
      <c r="P700" s="30">
        <v>0.0</v>
      </c>
      <c r="Q700" s="30">
        <v>112.9145</v>
      </c>
    </row>
    <row r="701">
      <c r="A701" s="47">
        <v>1.1237717345E10</v>
      </c>
      <c r="B701" s="48">
        <v>46157.852326388886</v>
      </c>
      <c r="C701" s="30">
        <v>3.852268063E9</v>
      </c>
      <c r="D701" s="47" t="s">
        <v>1509</v>
      </c>
      <c r="E701" s="47" t="s">
        <v>356</v>
      </c>
      <c r="F701" s="47" t="s">
        <v>1523</v>
      </c>
      <c r="G701" s="47" t="s">
        <v>1532</v>
      </c>
      <c r="H701" s="30">
        <v>1.0</v>
      </c>
      <c r="I701" s="30">
        <v>729.0</v>
      </c>
      <c r="J701" s="30">
        <v>729.0</v>
      </c>
      <c r="K701" s="30">
        <v>4.95</v>
      </c>
      <c r="L701" s="30">
        <v>36.0855</v>
      </c>
      <c r="M701" s="30">
        <v>580.0</v>
      </c>
      <c r="N701" s="30">
        <v>580.0</v>
      </c>
      <c r="O701" s="30">
        <v>0.0</v>
      </c>
      <c r="P701" s="30">
        <v>0.0</v>
      </c>
      <c r="Q701" s="30">
        <v>112.9145</v>
      </c>
    </row>
    <row r="702">
      <c r="A702" s="47">
        <v>1.1237921852E10</v>
      </c>
      <c r="B702" s="48">
        <v>46157.89304398148</v>
      </c>
      <c r="C702" s="30">
        <v>3.852412423E9</v>
      </c>
      <c r="D702" s="47" t="s">
        <v>1509</v>
      </c>
      <c r="E702" s="47" t="s">
        <v>411</v>
      </c>
      <c r="F702" s="47" t="s">
        <v>1523</v>
      </c>
      <c r="G702" s="47" t="s">
        <v>1531</v>
      </c>
      <c r="H702" s="30">
        <v>1.0</v>
      </c>
      <c r="I702" s="30">
        <v>768.0</v>
      </c>
      <c r="J702" s="30">
        <v>768.0</v>
      </c>
      <c r="K702" s="30">
        <v>4.95</v>
      </c>
      <c r="L702" s="30">
        <v>38.016000000000005</v>
      </c>
      <c r="M702" s="30">
        <v>580.0</v>
      </c>
      <c r="N702" s="30">
        <v>580.0</v>
      </c>
      <c r="O702" s="30">
        <v>0.0</v>
      </c>
      <c r="P702" s="30">
        <v>0.0</v>
      </c>
      <c r="Q702" s="30">
        <v>149.98399999999998</v>
      </c>
    </row>
    <row r="703">
      <c r="A703" s="47">
        <v>1.1238120911E10</v>
      </c>
      <c r="B703" s="48">
        <v>46157.93071759259</v>
      </c>
      <c r="C703" s="30">
        <v>3.852544915E9</v>
      </c>
      <c r="D703" s="47" t="s">
        <v>1509</v>
      </c>
      <c r="E703" s="47">
        <v>7.613033560064E12</v>
      </c>
      <c r="F703" s="47" t="s">
        <v>1523</v>
      </c>
      <c r="G703" s="47" t="s">
        <v>1527</v>
      </c>
      <c r="H703" s="30">
        <v>1.0</v>
      </c>
      <c r="I703" s="30">
        <v>1291.0</v>
      </c>
      <c r="J703" s="30">
        <v>1291.0</v>
      </c>
      <c r="K703" s="30">
        <v>2.7</v>
      </c>
      <c r="L703" s="30">
        <v>34.857</v>
      </c>
      <c r="M703" s="30">
        <v>1190.0</v>
      </c>
      <c r="N703" s="30">
        <v>1190.0</v>
      </c>
      <c r="O703" s="30">
        <v>0.0</v>
      </c>
      <c r="P703" s="30">
        <v>0.0</v>
      </c>
      <c r="Q703" s="30">
        <v>66.143</v>
      </c>
    </row>
    <row r="704">
      <c r="A704" s="47">
        <v>1.1238663595E10</v>
      </c>
      <c r="B704" s="48">
        <v>46158.034780092596</v>
      </c>
      <c r="C704" s="30">
        <v>3.852955315E9</v>
      </c>
      <c r="D704" s="47" t="s">
        <v>1509</v>
      </c>
      <c r="E704" s="47">
        <v>7.613033560064E12</v>
      </c>
      <c r="F704" s="47" t="s">
        <v>1523</v>
      </c>
      <c r="G704" s="47" t="s">
        <v>1527</v>
      </c>
      <c r="H704" s="30">
        <v>1.0</v>
      </c>
      <c r="I704" s="30">
        <v>1291.0</v>
      </c>
      <c r="J704" s="30">
        <v>1291.0</v>
      </c>
      <c r="K704" s="30">
        <v>2.7</v>
      </c>
      <c r="L704" s="30">
        <v>34.857</v>
      </c>
      <c r="M704" s="30">
        <v>1190.0</v>
      </c>
      <c r="N704" s="30">
        <v>1190.0</v>
      </c>
      <c r="O704" s="30">
        <v>0.0</v>
      </c>
      <c r="P704" s="30">
        <v>0.0</v>
      </c>
      <c r="Q704" s="30">
        <v>66.143</v>
      </c>
    </row>
    <row r="705">
      <c r="A705" s="47">
        <v>1.1237018785E10</v>
      </c>
      <c r="B705" s="48">
        <v>46157.70783564815</v>
      </c>
      <c r="C705" s="30">
        <v>3.851692208E9</v>
      </c>
      <c r="D705" s="47" t="s">
        <v>1509</v>
      </c>
      <c r="E705" s="47" t="s">
        <v>356</v>
      </c>
      <c r="F705" s="47" t="s">
        <v>1523</v>
      </c>
      <c r="G705" s="47" t="s">
        <v>1532</v>
      </c>
      <c r="H705" s="30">
        <v>2.0</v>
      </c>
      <c r="I705" s="30">
        <v>729.0</v>
      </c>
      <c r="J705" s="30">
        <v>1458.0</v>
      </c>
      <c r="K705" s="30">
        <v>4.95</v>
      </c>
      <c r="L705" s="30">
        <v>72.171</v>
      </c>
      <c r="M705" s="30">
        <v>580.0</v>
      </c>
      <c r="N705" s="30">
        <v>1160.0</v>
      </c>
      <c r="O705" s="30">
        <v>0.0</v>
      </c>
      <c r="P705" s="30">
        <v>0.0</v>
      </c>
      <c r="Q705" s="30">
        <v>225.829</v>
      </c>
    </row>
    <row r="706">
      <c r="A706" s="47">
        <v>1.1238126865E10</v>
      </c>
      <c r="B706" s="48">
        <v>46157.931875</v>
      </c>
      <c r="C706" s="30">
        <v>3.852551464E9</v>
      </c>
      <c r="D706" s="47" t="s">
        <v>1509</v>
      </c>
      <c r="E706" s="47">
        <v>7.613032816536E12</v>
      </c>
      <c r="F706" s="47" t="s">
        <v>1523</v>
      </c>
      <c r="G706" s="47" t="s">
        <v>1533</v>
      </c>
      <c r="H706" s="30">
        <v>1.0</v>
      </c>
      <c r="I706" s="30">
        <v>729.0</v>
      </c>
      <c r="J706" s="30">
        <v>729.0</v>
      </c>
      <c r="K706" s="30">
        <v>4.41</v>
      </c>
      <c r="L706" s="30">
        <v>32.148900000000005</v>
      </c>
      <c r="M706" s="30">
        <v>580.0</v>
      </c>
      <c r="N706" s="30">
        <v>580.0</v>
      </c>
      <c r="O706" s="30">
        <v>0.0</v>
      </c>
      <c r="P706" s="30">
        <v>0.0</v>
      </c>
      <c r="Q706" s="30">
        <v>116.8511</v>
      </c>
    </row>
    <row r="707">
      <c r="A707" s="47">
        <v>1.1229100686E10</v>
      </c>
      <c r="B707" s="48">
        <v>46155.05447916667</v>
      </c>
      <c r="C707" s="30">
        <v>3.844427758E9</v>
      </c>
      <c r="D707" s="47" t="s">
        <v>1509</v>
      </c>
      <c r="E707" s="47">
        <v>3.182550737616E12</v>
      </c>
      <c r="F707" s="47" t="s">
        <v>1523</v>
      </c>
      <c r="G707" s="47" t="s">
        <v>1570</v>
      </c>
      <c r="H707" s="30">
        <v>2.0</v>
      </c>
      <c r="I707" s="30">
        <v>1880.0</v>
      </c>
      <c r="J707" s="30">
        <v>3760.0</v>
      </c>
      <c r="K707" s="30">
        <v>4.32</v>
      </c>
      <c r="L707" s="30">
        <v>162.43200000000002</v>
      </c>
      <c r="M707" s="30">
        <v>1535.52</v>
      </c>
      <c r="N707" s="30">
        <v>3071.04</v>
      </c>
      <c r="O707" s="30">
        <v>0.0</v>
      </c>
      <c r="P707" s="30">
        <v>0.0</v>
      </c>
      <c r="Q707" s="30">
        <v>526.528</v>
      </c>
    </row>
    <row r="708">
      <c r="A708" s="47">
        <v>1.1238931043E10</v>
      </c>
      <c r="B708" s="48">
        <v>46158.09310185185</v>
      </c>
      <c r="C708" s="30">
        <v>3.853191332E9</v>
      </c>
      <c r="D708" s="47" t="s">
        <v>1509</v>
      </c>
      <c r="E708" s="47">
        <v>7.613032816536E12</v>
      </c>
      <c r="F708" s="47" t="s">
        <v>1523</v>
      </c>
      <c r="G708" s="47" t="s">
        <v>1533</v>
      </c>
      <c r="H708" s="30">
        <v>1.0</v>
      </c>
      <c r="I708" s="30">
        <v>729.0</v>
      </c>
      <c r="J708" s="30">
        <v>729.0</v>
      </c>
      <c r="K708" s="30">
        <v>4.41</v>
      </c>
      <c r="L708" s="30">
        <v>32.148900000000005</v>
      </c>
      <c r="M708" s="30">
        <v>580.0</v>
      </c>
      <c r="N708" s="30">
        <v>580.0</v>
      </c>
      <c r="O708" s="30">
        <v>0.0</v>
      </c>
      <c r="P708" s="30">
        <v>0.0</v>
      </c>
      <c r="Q708" s="30">
        <v>116.8511</v>
      </c>
    </row>
    <row r="709">
      <c r="A709" s="47">
        <v>1.1238931043E10</v>
      </c>
      <c r="B709" s="48">
        <v>46158.09310185185</v>
      </c>
      <c r="C709" s="30">
        <v>3.853191332E9</v>
      </c>
      <c r="D709" s="47" t="s">
        <v>1509</v>
      </c>
      <c r="E709" s="47">
        <v>8.684501941837E12</v>
      </c>
      <c r="F709" s="47" t="s">
        <v>289</v>
      </c>
      <c r="G709" s="47" t="s">
        <v>1543</v>
      </c>
      <c r="H709" s="30">
        <v>2.0</v>
      </c>
      <c r="I709" s="30">
        <v>174.995</v>
      </c>
      <c r="J709" s="30">
        <v>349.99</v>
      </c>
      <c r="K709" s="30">
        <v>18.0</v>
      </c>
      <c r="L709" s="30">
        <v>62.9982</v>
      </c>
      <c r="M709" s="30">
        <v>53.0</v>
      </c>
      <c r="N709" s="30">
        <v>106.0</v>
      </c>
      <c r="O709" s="30">
        <v>0.0</v>
      </c>
      <c r="P709" s="30">
        <v>0.0</v>
      </c>
      <c r="Q709" s="30">
        <v>180.9918</v>
      </c>
    </row>
    <row r="710">
      <c r="A710" s="47">
        <v>1.1235027727E10</v>
      </c>
      <c r="B710" s="48">
        <v>46156.96266203704</v>
      </c>
      <c r="C710" s="30">
        <v>3.849782777E9</v>
      </c>
      <c r="D710" s="47" t="s">
        <v>1509</v>
      </c>
      <c r="E710" s="47">
        <v>7.613033560064E12</v>
      </c>
      <c r="F710" s="47" t="s">
        <v>1523</v>
      </c>
      <c r="G710" s="47" t="s">
        <v>1527</v>
      </c>
      <c r="H710" s="30">
        <v>1.0</v>
      </c>
      <c r="I710" s="30">
        <v>1297.9</v>
      </c>
      <c r="J710" s="30">
        <v>1297.9</v>
      </c>
      <c r="K710" s="30">
        <v>2.7</v>
      </c>
      <c r="L710" s="30">
        <v>35.0433</v>
      </c>
      <c r="M710" s="30">
        <v>1190.0</v>
      </c>
      <c r="N710" s="30">
        <v>1190.0</v>
      </c>
      <c r="O710" s="30">
        <v>0.0</v>
      </c>
      <c r="P710" s="30">
        <v>0.0</v>
      </c>
      <c r="Q710" s="30">
        <v>72.85670000000009</v>
      </c>
    </row>
    <row r="711">
      <c r="A711" s="47">
        <v>1.1237927887E10</v>
      </c>
      <c r="B711" s="48">
        <v>46157.89424768519</v>
      </c>
      <c r="C711" s="30">
        <v>3.852414974E9</v>
      </c>
      <c r="D711" s="47" t="s">
        <v>1509</v>
      </c>
      <c r="E711" s="47">
        <v>7.613033560064E12</v>
      </c>
      <c r="F711" s="47" t="s">
        <v>1523</v>
      </c>
      <c r="G711" s="47" t="s">
        <v>1527</v>
      </c>
      <c r="H711" s="30">
        <v>1.0</v>
      </c>
      <c r="I711" s="30">
        <v>1291.0</v>
      </c>
      <c r="J711" s="30">
        <v>1291.0</v>
      </c>
      <c r="K711" s="30">
        <v>2.7</v>
      </c>
      <c r="L711" s="30">
        <v>34.857</v>
      </c>
      <c r="M711" s="30">
        <v>1190.0</v>
      </c>
      <c r="N711" s="30">
        <v>1190.0</v>
      </c>
      <c r="O711" s="30">
        <v>0.0</v>
      </c>
      <c r="P711" s="30">
        <v>0.0</v>
      </c>
      <c r="Q711" s="30">
        <v>66.143</v>
      </c>
    </row>
    <row r="712">
      <c r="A712" s="47">
        <v>1.123835101E10</v>
      </c>
      <c r="B712" s="48">
        <v>46157.974375</v>
      </c>
      <c r="C712" s="30">
        <v>3.852708615E9</v>
      </c>
      <c r="D712" s="47" t="s">
        <v>1509</v>
      </c>
      <c r="E712" s="47">
        <v>7.613033560064E12</v>
      </c>
      <c r="F712" s="47" t="s">
        <v>1523</v>
      </c>
      <c r="G712" s="47" t="s">
        <v>1527</v>
      </c>
      <c r="H712" s="30">
        <v>2.0</v>
      </c>
      <c r="I712" s="30">
        <v>1291.0</v>
      </c>
      <c r="J712" s="30">
        <v>2582.0</v>
      </c>
      <c r="K712" s="30">
        <v>2.7</v>
      </c>
      <c r="L712" s="30">
        <v>69.714</v>
      </c>
      <c r="M712" s="30">
        <v>1190.0</v>
      </c>
      <c r="N712" s="30">
        <v>2380.0</v>
      </c>
      <c r="O712" s="30">
        <v>0.0</v>
      </c>
      <c r="P712" s="30">
        <v>0.0</v>
      </c>
      <c r="Q712" s="30">
        <v>132.286</v>
      </c>
    </row>
    <row r="713">
      <c r="A713" s="47">
        <v>1.1237892392E10</v>
      </c>
      <c r="B713" s="48">
        <v>46157.88753472222</v>
      </c>
      <c r="C713" s="30">
        <v>3.852390811E9</v>
      </c>
      <c r="D713" s="47" t="s">
        <v>1509</v>
      </c>
      <c r="E713" s="47">
        <v>7.613033560064E12</v>
      </c>
      <c r="F713" s="47" t="s">
        <v>1523</v>
      </c>
      <c r="G713" s="47" t="s">
        <v>1527</v>
      </c>
      <c r="H713" s="30">
        <v>1.0</v>
      </c>
      <c r="I713" s="30">
        <v>1172.21</v>
      </c>
      <c r="J713" s="30">
        <v>1172.21</v>
      </c>
      <c r="K713" s="30">
        <v>2.7</v>
      </c>
      <c r="L713" s="30">
        <v>31.64967</v>
      </c>
      <c r="M713" s="30">
        <v>1190.0</v>
      </c>
      <c r="N713" s="30">
        <v>1190.0</v>
      </c>
      <c r="O713" s="30">
        <v>0.0</v>
      </c>
      <c r="P713" s="30">
        <v>0.0</v>
      </c>
      <c r="Q713" s="30">
        <v>-49.439669999999964</v>
      </c>
    </row>
    <row r="714">
      <c r="A714" s="47">
        <v>1.1237892392E10</v>
      </c>
      <c r="B714" s="48">
        <v>46157.88753472222</v>
      </c>
      <c r="C714" s="30">
        <v>3.852390811E9</v>
      </c>
      <c r="D714" s="47" t="s">
        <v>1509</v>
      </c>
      <c r="E714" s="47">
        <v>8.684501941837E12</v>
      </c>
      <c r="F714" s="47" t="s">
        <v>289</v>
      </c>
      <c r="G714" s="47" t="s">
        <v>1543</v>
      </c>
      <c r="H714" s="30">
        <v>1.0</v>
      </c>
      <c r="I714" s="30">
        <v>317.79</v>
      </c>
      <c r="J714" s="30">
        <v>317.79</v>
      </c>
      <c r="K714" s="30">
        <v>18.0</v>
      </c>
      <c r="L714" s="30">
        <v>57.202200000000005</v>
      </c>
      <c r="M714" s="30">
        <v>53.0</v>
      </c>
      <c r="N714" s="30">
        <v>53.0</v>
      </c>
      <c r="O714" s="30">
        <v>0.0</v>
      </c>
      <c r="P714" s="30">
        <v>0.0</v>
      </c>
      <c r="Q714" s="30">
        <v>207.58780000000002</v>
      </c>
    </row>
    <row r="715">
      <c r="A715" s="47">
        <v>1.1237094061E10</v>
      </c>
      <c r="B715" s="48">
        <v>46157.722592592596</v>
      </c>
      <c r="C715" s="30">
        <v>3.851755368E9</v>
      </c>
      <c r="D715" s="47" t="s">
        <v>1509</v>
      </c>
      <c r="E715" s="47">
        <v>7.613032816536E12</v>
      </c>
      <c r="F715" s="47" t="s">
        <v>1523</v>
      </c>
      <c r="G715" s="47" t="s">
        <v>1533</v>
      </c>
      <c r="H715" s="30">
        <v>1.0</v>
      </c>
      <c r="I715" s="30">
        <v>727.0</v>
      </c>
      <c r="J715" s="30">
        <v>727.0</v>
      </c>
      <c r="K715" s="30">
        <v>4.41</v>
      </c>
      <c r="L715" s="30">
        <v>32.060700000000004</v>
      </c>
      <c r="M715" s="30">
        <v>580.0</v>
      </c>
      <c r="N715" s="30">
        <v>580.0</v>
      </c>
      <c r="O715" s="30">
        <v>0.0</v>
      </c>
      <c r="P715" s="30">
        <v>0.0</v>
      </c>
      <c r="Q715" s="30">
        <v>114.9393</v>
      </c>
    </row>
    <row r="716">
      <c r="A716" s="47">
        <v>1.1233165231E10</v>
      </c>
      <c r="B716" s="48">
        <v>46156.5633912037</v>
      </c>
      <c r="C716" s="30">
        <v>3.848270253E9</v>
      </c>
      <c r="D716" s="47" t="s">
        <v>1509</v>
      </c>
      <c r="E716" s="47">
        <v>8.005852171108E12</v>
      </c>
      <c r="F716" s="47" t="s">
        <v>1523</v>
      </c>
      <c r="G716" s="47" t="s">
        <v>1528</v>
      </c>
      <c r="H716" s="30">
        <v>2.0</v>
      </c>
      <c r="I716" s="30">
        <v>175.0</v>
      </c>
      <c r="J716" s="30">
        <v>350.0</v>
      </c>
      <c r="K716" s="30">
        <v>14.85</v>
      </c>
      <c r="L716" s="30">
        <v>51.975</v>
      </c>
      <c r="M716" s="30">
        <v>0.0</v>
      </c>
      <c r="N716" s="30">
        <v>0.0</v>
      </c>
      <c r="O716" s="30">
        <v>0.0</v>
      </c>
      <c r="P716" s="30">
        <v>0.0</v>
      </c>
      <c r="Q716" s="30">
        <v>298.025</v>
      </c>
    </row>
    <row r="717">
      <c r="A717" s="47">
        <v>1.123745075E10</v>
      </c>
      <c r="B717" s="48">
        <v>46157.79722222222</v>
      </c>
      <c r="C717" s="30">
        <v>3.852059162E9</v>
      </c>
      <c r="D717" s="47" t="s">
        <v>1509</v>
      </c>
      <c r="E717" s="47">
        <v>7.613032816536E12</v>
      </c>
      <c r="F717" s="47" t="s">
        <v>1523</v>
      </c>
      <c r="G717" s="47" t="s">
        <v>1533</v>
      </c>
      <c r="H717" s="30">
        <v>1.0</v>
      </c>
      <c r="I717" s="30">
        <v>738.0</v>
      </c>
      <c r="J717" s="30">
        <v>738.0</v>
      </c>
      <c r="K717" s="30">
        <v>4.41</v>
      </c>
      <c r="L717" s="30">
        <v>32.5458</v>
      </c>
      <c r="M717" s="30">
        <v>580.0</v>
      </c>
      <c r="N717" s="30">
        <v>580.0</v>
      </c>
      <c r="O717" s="30">
        <v>0.0</v>
      </c>
      <c r="P717" s="30">
        <v>0.0</v>
      </c>
      <c r="Q717" s="30">
        <v>125.4542</v>
      </c>
    </row>
    <row r="718">
      <c r="A718" s="47">
        <v>1.1233786604E10</v>
      </c>
      <c r="B718" s="48">
        <v>46156.69954861111</v>
      </c>
      <c r="C718" s="30">
        <v>3.848806921E9</v>
      </c>
      <c r="D718" s="47" t="s">
        <v>1509</v>
      </c>
      <c r="E718" s="47">
        <v>7.613032816536E12</v>
      </c>
      <c r="F718" s="47" t="s">
        <v>1523</v>
      </c>
      <c r="G718" s="47" t="s">
        <v>1533</v>
      </c>
      <c r="H718" s="30">
        <v>2.0</v>
      </c>
      <c r="I718" s="30">
        <v>727.0</v>
      </c>
      <c r="J718" s="30">
        <v>1454.0</v>
      </c>
      <c r="K718" s="30">
        <v>4.41</v>
      </c>
      <c r="L718" s="30">
        <v>64.12140000000001</v>
      </c>
      <c r="M718" s="30">
        <v>580.0</v>
      </c>
      <c r="N718" s="30">
        <v>1160.0</v>
      </c>
      <c r="O718" s="30">
        <v>0.0</v>
      </c>
      <c r="P718" s="30">
        <v>0.0</v>
      </c>
      <c r="Q718" s="30">
        <v>229.8786</v>
      </c>
    </row>
    <row r="719">
      <c r="A719" s="47">
        <v>1.1237971474E10</v>
      </c>
      <c r="B719" s="48">
        <v>46157.90241898148</v>
      </c>
      <c r="C719" s="30">
        <v>3.852445261E9</v>
      </c>
      <c r="D719" s="47" t="s">
        <v>1509</v>
      </c>
      <c r="E719" s="47">
        <v>6.923632570001E12</v>
      </c>
      <c r="F719" s="47" t="s">
        <v>1523</v>
      </c>
      <c r="G719" s="47" t="s">
        <v>1544</v>
      </c>
      <c r="H719" s="30">
        <v>1.0</v>
      </c>
      <c r="I719" s="30">
        <v>474.47</v>
      </c>
      <c r="J719" s="30">
        <v>474.47</v>
      </c>
      <c r="K719" s="30">
        <v>18.0</v>
      </c>
      <c r="L719" s="30">
        <v>85.40460000000002</v>
      </c>
      <c r="M719" s="30">
        <v>130.0</v>
      </c>
      <c r="N719" s="30">
        <v>130.0</v>
      </c>
      <c r="O719" s="30">
        <v>0.0</v>
      </c>
      <c r="P719" s="30">
        <v>0.0</v>
      </c>
      <c r="Q719" s="30">
        <v>259.0654</v>
      </c>
    </row>
    <row r="720">
      <c r="A720" s="47">
        <v>1.1237971474E10</v>
      </c>
      <c r="B720" s="48">
        <v>46157.90241898148</v>
      </c>
      <c r="C720" s="30">
        <v>3.852445261E9</v>
      </c>
      <c r="D720" s="47" t="s">
        <v>1509</v>
      </c>
      <c r="E720" s="47">
        <v>6.923632570003E12</v>
      </c>
      <c r="F720" s="47" t="s">
        <v>1523</v>
      </c>
      <c r="G720" s="47" t="s">
        <v>1544</v>
      </c>
      <c r="H720" s="30">
        <v>1.0</v>
      </c>
      <c r="I720" s="30">
        <v>489.0</v>
      </c>
      <c r="J720" s="30">
        <v>489.0</v>
      </c>
      <c r="K720" s="30">
        <v>18.0</v>
      </c>
      <c r="L720" s="30">
        <v>88.02</v>
      </c>
      <c r="M720" s="30">
        <v>130.0</v>
      </c>
      <c r="N720" s="30">
        <v>130.0</v>
      </c>
      <c r="O720" s="30">
        <v>0.0</v>
      </c>
      <c r="P720" s="30">
        <v>0.0</v>
      </c>
      <c r="Q720" s="30">
        <v>270.98</v>
      </c>
    </row>
    <row r="721">
      <c r="A721" s="47">
        <v>1.1235855116E10</v>
      </c>
      <c r="B721" s="48">
        <v>46157.15430555555</v>
      </c>
      <c r="C721" s="30">
        <v>3.850557504E9</v>
      </c>
      <c r="D721" s="47" t="s">
        <v>1509</v>
      </c>
      <c r="E721" s="47">
        <v>7.613033560064E12</v>
      </c>
      <c r="F721" s="47" t="s">
        <v>1523</v>
      </c>
      <c r="G721" s="47" t="s">
        <v>1527</v>
      </c>
      <c r="H721" s="30">
        <v>1.0</v>
      </c>
      <c r="I721" s="30">
        <v>1295.9</v>
      </c>
      <c r="J721" s="30">
        <v>1295.9</v>
      </c>
      <c r="K721" s="30">
        <v>2.7</v>
      </c>
      <c r="L721" s="30">
        <v>34.9893</v>
      </c>
      <c r="M721" s="30">
        <v>1190.0</v>
      </c>
      <c r="N721" s="30">
        <v>1190.0</v>
      </c>
      <c r="O721" s="30">
        <v>0.0</v>
      </c>
      <c r="P721" s="30">
        <v>0.0</v>
      </c>
      <c r="Q721" s="30">
        <v>70.91070000000009</v>
      </c>
    </row>
    <row r="722">
      <c r="A722" s="47">
        <v>1.1236007938E10</v>
      </c>
      <c r="B722" s="48">
        <v>46157.27614583333</v>
      </c>
      <c r="C722" s="30">
        <v>3.850717027E9</v>
      </c>
      <c r="D722" s="47" t="s">
        <v>1509</v>
      </c>
      <c r="E722" s="47" t="s">
        <v>356</v>
      </c>
      <c r="F722" s="47" t="s">
        <v>1523</v>
      </c>
      <c r="G722" s="47" t="s">
        <v>1532</v>
      </c>
      <c r="H722" s="30">
        <v>1.0</v>
      </c>
      <c r="I722" s="30">
        <v>729.0</v>
      </c>
      <c r="J722" s="30">
        <v>729.0</v>
      </c>
      <c r="K722" s="30">
        <v>4.95</v>
      </c>
      <c r="L722" s="30">
        <v>36.0855</v>
      </c>
      <c r="M722" s="30">
        <v>580.0</v>
      </c>
      <c r="N722" s="30">
        <v>580.0</v>
      </c>
      <c r="O722" s="30">
        <v>0.0</v>
      </c>
      <c r="P722" s="30">
        <v>0.0</v>
      </c>
      <c r="Q722" s="30">
        <v>112.9145</v>
      </c>
    </row>
    <row r="723">
      <c r="A723" s="47">
        <v>1.1233286106E10</v>
      </c>
      <c r="B723" s="48">
        <v>46156.59626157407</v>
      </c>
      <c r="C723" s="30">
        <v>3.848389823E9</v>
      </c>
      <c r="D723" s="47" t="s">
        <v>1509</v>
      </c>
      <c r="E723" s="47" t="s">
        <v>356</v>
      </c>
      <c r="F723" s="47" t="s">
        <v>1523</v>
      </c>
      <c r="G723" s="47" t="s">
        <v>1532</v>
      </c>
      <c r="H723" s="30">
        <v>1.0</v>
      </c>
      <c r="I723" s="30">
        <v>729.0</v>
      </c>
      <c r="J723" s="30">
        <v>729.0</v>
      </c>
      <c r="K723" s="30">
        <v>4.95</v>
      </c>
      <c r="L723" s="30">
        <v>36.0855</v>
      </c>
      <c r="M723" s="30">
        <v>580.0</v>
      </c>
      <c r="N723" s="30">
        <v>580.0</v>
      </c>
      <c r="O723" s="30">
        <v>0.0</v>
      </c>
      <c r="P723" s="30">
        <v>0.0</v>
      </c>
      <c r="Q723" s="30">
        <v>112.9145</v>
      </c>
    </row>
    <row r="724">
      <c r="A724" s="47">
        <v>1.123344206E10</v>
      </c>
      <c r="B724" s="48">
        <v>46156.62920138889</v>
      </c>
      <c r="C724" s="30">
        <v>3.848518946E9</v>
      </c>
      <c r="D724" s="47" t="s">
        <v>1509</v>
      </c>
      <c r="E724" s="47">
        <v>7.613032816536E12</v>
      </c>
      <c r="F724" s="47" t="s">
        <v>1523</v>
      </c>
      <c r="G724" s="47" t="s">
        <v>1533</v>
      </c>
      <c r="H724" s="30">
        <v>1.0</v>
      </c>
      <c r="I724" s="30">
        <v>727.0</v>
      </c>
      <c r="J724" s="30">
        <v>727.0</v>
      </c>
      <c r="K724" s="30">
        <v>4.41</v>
      </c>
      <c r="L724" s="30">
        <v>32.060700000000004</v>
      </c>
      <c r="M724" s="30">
        <v>580.0</v>
      </c>
      <c r="N724" s="30">
        <v>580.0</v>
      </c>
      <c r="O724" s="30">
        <v>0.0</v>
      </c>
      <c r="P724" s="30">
        <v>0.0</v>
      </c>
      <c r="Q724" s="30">
        <v>114.9393</v>
      </c>
    </row>
    <row r="725">
      <c r="A725" s="47">
        <v>1.123885905E10</v>
      </c>
      <c r="B725" s="48">
        <v>46158.07696759259</v>
      </c>
      <c r="C725" s="30">
        <v>3.853125035E9</v>
      </c>
      <c r="D725" s="47" t="s">
        <v>1509</v>
      </c>
      <c r="E725" s="47">
        <v>7.613033560033E12</v>
      </c>
      <c r="F725" s="47">
        <v>0.0</v>
      </c>
      <c r="G725" s="47" t="s">
        <v>1539</v>
      </c>
      <c r="H725" s="30">
        <v>1.0</v>
      </c>
      <c r="I725" s="30">
        <v>1280.0</v>
      </c>
      <c r="J725" s="30">
        <v>1280.0</v>
      </c>
      <c r="K725" s="30">
        <v>3.6</v>
      </c>
      <c r="L725" s="30">
        <v>46.08</v>
      </c>
      <c r="M725" s="30">
        <v>1165.0</v>
      </c>
      <c r="N725" s="30">
        <v>1165.0</v>
      </c>
      <c r="O725" s="30">
        <v>0.0</v>
      </c>
      <c r="P725" s="30">
        <v>0.0</v>
      </c>
      <c r="Q725" s="30">
        <v>68.92</v>
      </c>
    </row>
    <row r="726">
      <c r="A726" s="47">
        <v>1.1236834097E10</v>
      </c>
      <c r="B726" s="48">
        <v>46157.6719212963</v>
      </c>
      <c r="C726" s="30">
        <v>3.851533791E9</v>
      </c>
      <c r="D726" s="47" t="s">
        <v>1509</v>
      </c>
      <c r="E726" s="47" t="s">
        <v>356</v>
      </c>
      <c r="F726" s="47" t="s">
        <v>1523</v>
      </c>
      <c r="G726" s="47" t="s">
        <v>1532</v>
      </c>
      <c r="H726" s="30">
        <v>1.0</v>
      </c>
      <c r="I726" s="30">
        <v>729.0</v>
      </c>
      <c r="J726" s="30">
        <v>729.0</v>
      </c>
      <c r="K726" s="30">
        <v>4.95</v>
      </c>
      <c r="L726" s="30">
        <v>36.0855</v>
      </c>
      <c r="M726" s="30">
        <v>580.0</v>
      </c>
      <c r="N726" s="30">
        <v>580.0</v>
      </c>
      <c r="O726" s="30">
        <v>0.0</v>
      </c>
      <c r="P726" s="30">
        <v>0.0</v>
      </c>
      <c r="Q726" s="30">
        <v>112.9145</v>
      </c>
    </row>
    <row r="727">
      <c r="A727" s="47">
        <v>1.1238546825E10</v>
      </c>
      <c r="B727" s="48">
        <v>46158.011782407404</v>
      </c>
      <c r="C727" s="30">
        <v>3.85285617E9</v>
      </c>
      <c r="D727" s="47" t="s">
        <v>1509</v>
      </c>
      <c r="E727" s="47">
        <v>7.613033560064E12</v>
      </c>
      <c r="F727" s="47" t="s">
        <v>1523</v>
      </c>
      <c r="G727" s="47" t="s">
        <v>1527</v>
      </c>
      <c r="H727" s="30">
        <v>1.0</v>
      </c>
      <c r="I727" s="30">
        <v>1291.0</v>
      </c>
      <c r="J727" s="30">
        <v>1291.0</v>
      </c>
      <c r="K727" s="30">
        <v>2.7</v>
      </c>
      <c r="L727" s="30">
        <v>34.857</v>
      </c>
      <c r="M727" s="30">
        <v>1190.0</v>
      </c>
      <c r="N727" s="30">
        <v>1190.0</v>
      </c>
      <c r="O727" s="30">
        <v>0.0</v>
      </c>
      <c r="P727" s="30">
        <v>0.0</v>
      </c>
      <c r="Q727" s="30">
        <v>66.143</v>
      </c>
    </row>
    <row r="728">
      <c r="A728" s="47">
        <v>1.123919592E10</v>
      </c>
      <c r="B728" s="48">
        <v>46158.17267361111</v>
      </c>
      <c r="C728" s="30">
        <v>3.853443847E9</v>
      </c>
      <c r="D728" s="47" t="s">
        <v>1511</v>
      </c>
      <c r="E728" s="47" t="s">
        <v>356</v>
      </c>
      <c r="F728" s="47" t="s">
        <v>1523</v>
      </c>
      <c r="G728" s="47" t="s">
        <v>1532</v>
      </c>
      <c r="H728" s="30">
        <v>2.0</v>
      </c>
      <c r="I728" s="30">
        <v>729.0</v>
      </c>
      <c r="J728" s="30">
        <v>1458.0</v>
      </c>
      <c r="K728" s="30">
        <v>4.95</v>
      </c>
      <c r="L728" s="30">
        <v>72.171</v>
      </c>
      <c r="M728" s="30">
        <v>580.0</v>
      </c>
      <c r="N728" s="30">
        <v>1160.0</v>
      </c>
      <c r="O728" s="30">
        <v>0.0</v>
      </c>
      <c r="P728" s="30">
        <v>0.0</v>
      </c>
      <c r="Q728" s="30">
        <v>225.829</v>
      </c>
    </row>
    <row r="729">
      <c r="A729" s="47">
        <v>1.1238337483E10</v>
      </c>
      <c r="B729" s="48">
        <v>46157.97185185185</v>
      </c>
      <c r="C729" s="30">
        <v>3.852697034E9</v>
      </c>
      <c r="D729" s="47" t="s">
        <v>1509</v>
      </c>
      <c r="E729" s="47" t="s">
        <v>356</v>
      </c>
      <c r="F729" s="47" t="s">
        <v>1523</v>
      </c>
      <c r="G729" s="47" t="s">
        <v>1532</v>
      </c>
      <c r="H729" s="30">
        <v>1.0</v>
      </c>
      <c r="I729" s="30">
        <v>729.0</v>
      </c>
      <c r="J729" s="30">
        <v>729.0</v>
      </c>
      <c r="K729" s="30">
        <v>4.95</v>
      </c>
      <c r="L729" s="30">
        <v>36.0855</v>
      </c>
      <c r="M729" s="30">
        <v>580.0</v>
      </c>
      <c r="N729" s="30">
        <v>580.0</v>
      </c>
      <c r="O729" s="30">
        <v>0.0</v>
      </c>
      <c r="P729" s="30">
        <v>0.0</v>
      </c>
      <c r="Q729" s="30">
        <v>112.9145</v>
      </c>
    </row>
    <row r="730">
      <c r="A730" s="47">
        <v>1.123672357E10</v>
      </c>
      <c r="B730" s="48">
        <v>46157.64983796296</v>
      </c>
      <c r="C730" s="30">
        <v>3.851440224E9</v>
      </c>
      <c r="D730" s="47" t="s">
        <v>1509</v>
      </c>
      <c r="E730" s="47" t="s">
        <v>429</v>
      </c>
      <c r="F730" s="47" t="s">
        <v>1523</v>
      </c>
      <c r="G730" s="47" t="s">
        <v>1571</v>
      </c>
      <c r="H730" s="30">
        <v>1.0</v>
      </c>
      <c r="I730" s="30">
        <v>1699.0</v>
      </c>
      <c r="J730" s="30">
        <v>1699.0</v>
      </c>
      <c r="K730" s="30">
        <v>11.25</v>
      </c>
      <c r="L730" s="30">
        <v>191.1375</v>
      </c>
      <c r="M730" s="30">
        <v>750.0</v>
      </c>
      <c r="N730" s="30">
        <v>750.0</v>
      </c>
      <c r="O730" s="30">
        <v>0.0</v>
      </c>
      <c r="P730" s="30">
        <v>0.0</v>
      </c>
      <c r="Q730" s="30">
        <v>757.8625</v>
      </c>
    </row>
    <row r="731">
      <c r="A731" s="47">
        <v>1.1238225641E10</v>
      </c>
      <c r="B731" s="48">
        <v>46157.95042824074</v>
      </c>
      <c r="C731" s="30">
        <v>3.852617181E9</v>
      </c>
      <c r="D731" s="47" t="s">
        <v>1509</v>
      </c>
      <c r="E731" s="47">
        <v>7.613033560064E12</v>
      </c>
      <c r="F731" s="47" t="s">
        <v>1523</v>
      </c>
      <c r="G731" s="47" t="s">
        <v>1527</v>
      </c>
      <c r="H731" s="30">
        <v>1.0</v>
      </c>
      <c r="I731" s="30">
        <v>1291.0</v>
      </c>
      <c r="J731" s="30">
        <v>1291.0</v>
      </c>
      <c r="K731" s="30">
        <v>2.7</v>
      </c>
      <c r="L731" s="30">
        <v>34.857</v>
      </c>
      <c r="M731" s="30">
        <v>1190.0</v>
      </c>
      <c r="N731" s="30">
        <v>1190.0</v>
      </c>
      <c r="O731" s="30">
        <v>0.0</v>
      </c>
      <c r="P731" s="30">
        <v>0.0</v>
      </c>
      <c r="Q731" s="30">
        <v>66.143</v>
      </c>
    </row>
    <row r="732">
      <c r="A732" s="47">
        <v>1.1237319401E10</v>
      </c>
      <c r="B732" s="48">
        <v>46157.76935185185</v>
      </c>
      <c r="C732" s="30">
        <v>3.851948265E9</v>
      </c>
      <c r="D732" s="47" t="s">
        <v>1509</v>
      </c>
      <c r="E732" s="47">
        <v>7.613035613898E12</v>
      </c>
      <c r="F732" s="47" t="s">
        <v>1523</v>
      </c>
      <c r="G732" s="47" t="s">
        <v>1537</v>
      </c>
      <c r="H732" s="30">
        <v>1.0</v>
      </c>
      <c r="I732" s="30">
        <v>719.0</v>
      </c>
      <c r="J732" s="30">
        <v>719.0</v>
      </c>
      <c r="K732" s="30">
        <v>14.85</v>
      </c>
      <c r="L732" s="30">
        <v>106.7715</v>
      </c>
      <c r="M732" s="30">
        <v>377.0</v>
      </c>
      <c r="N732" s="30">
        <v>377.0</v>
      </c>
      <c r="O732" s="30">
        <v>0.0</v>
      </c>
      <c r="P732" s="30">
        <v>0.0</v>
      </c>
      <c r="Q732" s="30">
        <v>235.2285</v>
      </c>
    </row>
    <row r="733">
      <c r="A733" s="47">
        <v>1.1232796969E10</v>
      </c>
      <c r="B733" s="48">
        <v>46156.198159722226</v>
      </c>
      <c r="C733" s="30">
        <v>3.847862515E9</v>
      </c>
      <c r="D733" s="47" t="s">
        <v>1509</v>
      </c>
      <c r="E733" s="47">
        <v>7.613032816536E12</v>
      </c>
      <c r="F733" s="47" t="s">
        <v>1523</v>
      </c>
      <c r="G733" s="47" t="s">
        <v>1533</v>
      </c>
      <c r="H733" s="30">
        <v>2.0</v>
      </c>
      <c r="I733" s="30">
        <v>727.0</v>
      </c>
      <c r="J733" s="30">
        <v>1454.0</v>
      </c>
      <c r="K733" s="30">
        <v>4.41</v>
      </c>
      <c r="L733" s="30">
        <v>64.12140000000001</v>
      </c>
      <c r="M733" s="30">
        <v>580.0</v>
      </c>
      <c r="N733" s="30">
        <v>1160.0</v>
      </c>
      <c r="O733" s="30">
        <v>0.0</v>
      </c>
      <c r="P733" s="30">
        <v>0.0</v>
      </c>
      <c r="Q733" s="30">
        <v>229.8786</v>
      </c>
    </row>
    <row r="734">
      <c r="A734" s="47">
        <v>1.1238663813E10</v>
      </c>
      <c r="B734" s="48">
        <v>46158.03482638889</v>
      </c>
      <c r="C734" s="30">
        <v>3.852954403E9</v>
      </c>
      <c r="D734" s="47" t="s">
        <v>1509</v>
      </c>
      <c r="E734" s="47">
        <v>7.613032816536E12</v>
      </c>
      <c r="F734" s="47" t="s">
        <v>1523</v>
      </c>
      <c r="G734" s="47" t="s">
        <v>1533</v>
      </c>
      <c r="H734" s="30">
        <v>2.0</v>
      </c>
      <c r="I734" s="30">
        <v>729.0</v>
      </c>
      <c r="J734" s="30">
        <v>1458.0</v>
      </c>
      <c r="K734" s="30">
        <v>4.41</v>
      </c>
      <c r="L734" s="30">
        <v>64.29780000000001</v>
      </c>
      <c r="M734" s="30">
        <v>580.0</v>
      </c>
      <c r="N734" s="30">
        <v>1160.0</v>
      </c>
      <c r="O734" s="30">
        <v>0.0</v>
      </c>
      <c r="P734" s="30">
        <v>0.0</v>
      </c>
      <c r="Q734" s="30">
        <v>233.7022</v>
      </c>
    </row>
    <row r="735">
      <c r="A735" s="47">
        <v>1.1236631946E10</v>
      </c>
      <c r="B735" s="48">
        <v>46157.63240740741</v>
      </c>
      <c r="C735" s="30">
        <v>3.851366048E9</v>
      </c>
      <c r="D735" s="47" t="s">
        <v>1509</v>
      </c>
      <c r="E735" s="47">
        <v>8.684501941806E12</v>
      </c>
      <c r="F735" s="47" t="s">
        <v>291</v>
      </c>
      <c r="G735" s="47" t="s">
        <v>1556</v>
      </c>
      <c r="H735" s="30">
        <v>1.0</v>
      </c>
      <c r="I735" s="30">
        <v>174.99</v>
      </c>
      <c r="J735" s="30">
        <v>174.99</v>
      </c>
      <c r="K735" s="30">
        <v>18.0</v>
      </c>
      <c r="L735" s="30">
        <v>31.4982</v>
      </c>
      <c r="M735" s="30">
        <v>53.0</v>
      </c>
      <c r="N735" s="30">
        <v>53.0</v>
      </c>
      <c r="O735" s="30">
        <v>0.0</v>
      </c>
      <c r="P735" s="30">
        <v>0.0</v>
      </c>
      <c r="Q735" s="30">
        <v>90.49180000000001</v>
      </c>
    </row>
    <row r="736">
      <c r="A736" s="47">
        <v>1.1236631946E10</v>
      </c>
      <c r="B736" s="48">
        <v>46157.63240740741</v>
      </c>
      <c r="C736" s="30">
        <v>3.851366048E9</v>
      </c>
      <c r="D736" s="47" t="s">
        <v>1509</v>
      </c>
      <c r="E736" s="47">
        <v>6.927749871187E12</v>
      </c>
      <c r="F736" s="47" t="s">
        <v>1523</v>
      </c>
      <c r="G736" s="47" t="s">
        <v>1546</v>
      </c>
      <c r="H736" s="30">
        <v>1.0</v>
      </c>
      <c r="I736" s="30">
        <v>425.0</v>
      </c>
      <c r="J736" s="30">
        <v>425.0</v>
      </c>
      <c r="K736" s="30">
        <v>11.25</v>
      </c>
      <c r="L736" s="30">
        <v>47.8125</v>
      </c>
      <c r="M736" s="30">
        <v>196.5</v>
      </c>
      <c r="N736" s="30">
        <v>196.5</v>
      </c>
      <c r="O736" s="30">
        <v>0.0</v>
      </c>
      <c r="P736" s="30">
        <v>0.0</v>
      </c>
      <c r="Q736" s="30">
        <v>180.6875</v>
      </c>
    </row>
    <row r="737">
      <c r="A737" s="47">
        <v>1.1236631946E10</v>
      </c>
      <c r="B737" s="48">
        <v>46157.63240740741</v>
      </c>
      <c r="C737" s="30">
        <v>3.851366048E9</v>
      </c>
      <c r="D737" s="47" t="s">
        <v>1509</v>
      </c>
      <c r="E737" s="47">
        <v>7.613033560064E12</v>
      </c>
      <c r="F737" s="47" t="s">
        <v>1523</v>
      </c>
      <c r="G737" s="47" t="s">
        <v>1527</v>
      </c>
      <c r="H737" s="30">
        <v>1.0</v>
      </c>
      <c r="I737" s="30">
        <v>1295.9</v>
      </c>
      <c r="J737" s="30">
        <v>1295.9</v>
      </c>
      <c r="K737" s="30">
        <v>2.7</v>
      </c>
      <c r="L737" s="30">
        <v>34.9893</v>
      </c>
      <c r="M737" s="30">
        <v>1190.0</v>
      </c>
      <c r="N737" s="30">
        <v>1190.0</v>
      </c>
      <c r="O737" s="30">
        <v>0.0</v>
      </c>
      <c r="P737" s="30">
        <v>0.0</v>
      </c>
      <c r="Q737" s="30">
        <v>70.91070000000009</v>
      </c>
    </row>
    <row r="738">
      <c r="A738" s="47">
        <v>1.1236631946E10</v>
      </c>
      <c r="B738" s="48">
        <v>46157.63240740741</v>
      </c>
      <c r="C738" s="30">
        <v>3.851366048E9</v>
      </c>
      <c r="D738" s="47" t="s">
        <v>1509</v>
      </c>
      <c r="E738" s="47">
        <v>8.684501941813E12</v>
      </c>
      <c r="F738" s="47" t="s">
        <v>287</v>
      </c>
      <c r="G738" s="47" t="s">
        <v>1547</v>
      </c>
      <c r="H738" s="30">
        <v>1.0</v>
      </c>
      <c r="I738" s="30">
        <v>175.0</v>
      </c>
      <c r="J738" s="30">
        <v>175.0</v>
      </c>
      <c r="K738" s="30">
        <v>18.0</v>
      </c>
      <c r="L738" s="30">
        <v>31.5</v>
      </c>
      <c r="M738" s="30">
        <v>53.0</v>
      </c>
      <c r="N738" s="30">
        <v>53.0</v>
      </c>
      <c r="O738" s="30">
        <v>0.0</v>
      </c>
      <c r="P738" s="30">
        <v>0.0</v>
      </c>
      <c r="Q738" s="30">
        <v>90.5</v>
      </c>
    </row>
    <row r="739">
      <c r="A739" s="47">
        <v>1.1236996125E10</v>
      </c>
      <c r="B739" s="48">
        <v>46157.703310185185</v>
      </c>
      <c r="C739" s="30">
        <v>3.851670481E9</v>
      </c>
      <c r="D739" s="47" t="s">
        <v>1509</v>
      </c>
      <c r="E739" s="47" t="s">
        <v>356</v>
      </c>
      <c r="F739" s="47" t="s">
        <v>1523</v>
      </c>
      <c r="G739" s="47" t="s">
        <v>1532</v>
      </c>
      <c r="H739" s="30">
        <v>2.0</v>
      </c>
      <c r="I739" s="30">
        <v>729.0</v>
      </c>
      <c r="J739" s="30">
        <v>1458.0</v>
      </c>
      <c r="K739" s="30">
        <v>4.95</v>
      </c>
      <c r="L739" s="30">
        <v>72.171</v>
      </c>
      <c r="M739" s="30">
        <v>580.0</v>
      </c>
      <c r="N739" s="30">
        <v>1160.0</v>
      </c>
      <c r="O739" s="30">
        <v>0.0</v>
      </c>
      <c r="P739" s="30">
        <v>0.0</v>
      </c>
      <c r="Q739" s="30">
        <v>225.829</v>
      </c>
    </row>
    <row r="740">
      <c r="A740" s="47">
        <v>1.1237208129E10</v>
      </c>
      <c r="B740" s="48">
        <v>46157.746145833335</v>
      </c>
      <c r="C740" s="30">
        <v>3.851851685E9</v>
      </c>
      <c r="D740" s="47" t="s">
        <v>1509</v>
      </c>
      <c r="E740" s="47">
        <v>7.613035846708E12</v>
      </c>
      <c r="F740" s="47" t="s">
        <v>1523</v>
      </c>
      <c r="G740" s="47" t="s">
        <v>1535</v>
      </c>
      <c r="H740" s="30">
        <v>1.0</v>
      </c>
      <c r="I740" s="30">
        <v>1267.9</v>
      </c>
      <c r="J740" s="30">
        <v>1267.9</v>
      </c>
      <c r="K740" s="30">
        <v>4.5</v>
      </c>
      <c r="L740" s="30">
        <v>57.0555</v>
      </c>
      <c r="M740" s="30">
        <v>1160.0</v>
      </c>
      <c r="N740" s="30">
        <v>1160.0</v>
      </c>
      <c r="O740" s="30">
        <v>0.0</v>
      </c>
      <c r="P740" s="30">
        <v>0.0</v>
      </c>
      <c r="Q740" s="30">
        <v>50.84450000000009</v>
      </c>
    </row>
    <row r="741">
      <c r="A741" s="47">
        <v>1.1238693318E10</v>
      </c>
      <c r="B741" s="48">
        <v>46158.04116898148</v>
      </c>
      <c r="C741" s="30">
        <v>3.852980168E9</v>
      </c>
      <c r="D741" s="47" t="s">
        <v>1509</v>
      </c>
      <c r="E741" s="47">
        <v>7.613033560064E12</v>
      </c>
      <c r="F741" s="47" t="s">
        <v>1523</v>
      </c>
      <c r="G741" s="47" t="s">
        <v>1527</v>
      </c>
      <c r="H741" s="30">
        <v>1.0</v>
      </c>
      <c r="I741" s="30">
        <v>1291.0</v>
      </c>
      <c r="J741" s="30">
        <v>1291.0</v>
      </c>
      <c r="K741" s="30">
        <v>2.7</v>
      </c>
      <c r="L741" s="30">
        <v>34.857</v>
      </c>
      <c r="M741" s="30">
        <v>1190.0</v>
      </c>
      <c r="N741" s="30">
        <v>1190.0</v>
      </c>
      <c r="O741" s="30">
        <v>0.0</v>
      </c>
      <c r="P741" s="30">
        <v>0.0</v>
      </c>
      <c r="Q741" s="30">
        <v>66.143</v>
      </c>
    </row>
    <row r="742">
      <c r="A742" s="47">
        <v>1.1236018986E10</v>
      </c>
      <c r="B742" s="48">
        <v>46157.31317129629</v>
      </c>
      <c r="C742" s="30">
        <v>3.85072978E9</v>
      </c>
      <c r="D742" s="47" t="s">
        <v>1509</v>
      </c>
      <c r="E742" s="47" t="s">
        <v>356</v>
      </c>
      <c r="F742" s="47" t="s">
        <v>1523</v>
      </c>
      <c r="G742" s="47" t="s">
        <v>1532</v>
      </c>
      <c r="H742" s="30">
        <v>1.0</v>
      </c>
      <c r="I742" s="30">
        <v>729.0</v>
      </c>
      <c r="J742" s="30">
        <v>729.0</v>
      </c>
      <c r="K742" s="30">
        <v>4.95</v>
      </c>
      <c r="L742" s="30">
        <v>36.0855</v>
      </c>
      <c r="M742" s="30">
        <v>580.0</v>
      </c>
      <c r="N742" s="30">
        <v>580.0</v>
      </c>
      <c r="O742" s="30">
        <v>0.0</v>
      </c>
      <c r="P742" s="30">
        <v>0.0</v>
      </c>
      <c r="Q742" s="30">
        <v>112.9145</v>
      </c>
    </row>
    <row r="743">
      <c r="A743" s="47">
        <v>1.1238362334E10</v>
      </c>
      <c r="B743" s="48">
        <v>46157.97657407408</v>
      </c>
      <c r="C743" s="30">
        <v>3.852719206E9</v>
      </c>
      <c r="D743" s="47" t="s">
        <v>1509</v>
      </c>
      <c r="E743" s="47">
        <v>7.613033560064E12</v>
      </c>
      <c r="F743" s="47" t="s">
        <v>1523</v>
      </c>
      <c r="G743" s="47" t="s">
        <v>1527</v>
      </c>
      <c r="H743" s="30">
        <v>1.0</v>
      </c>
      <c r="I743" s="30">
        <v>1291.0</v>
      </c>
      <c r="J743" s="30">
        <v>1291.0</v>
      </c>
      <c r="K743" s="30">
        <v>2.7</v>
      </c>
      <c r="L743" s="30">
        <v>34.857</v>
      </c>
      <c r="M743" s="30">
        <v>1190.0</v>
      </c>
      <c r="N743" s="30">
        <v>1190.0</v>
      </c>
      <c r="O743" s="30">
        <v>0.0</v>
      </c>
      <c r="P743" s="30">
        <v>0.0</v>
      </c>
      <c r="Q743" s="30">
        <v>66.143</v>
      </c>
    </row>
    <row r="744">
      <c r="A744" s="47">
        <v>1.1237781541E10</v>
      </c>
      <c r="B744" s="48">
        <v>46157.86545138889</v>
      </c>
      <c r="C744" s="30">
        <v>3.852314327E9</v>
      </c>
      <c r="D744" s="47" t="s">
        <v>1509</v>
      </c>
      <c r="E744" s="47">
        <v>8.684501941837E12</v>
      </c>
      <c r="F744" s="47" t="s">
        <v>289</v>
      </c>
      <c r="G744" s="47" t="s">
        <v>1543</v>
      </c>
      <c r="H744" s="30">
        <v>2.0</v>
      </c>
      <c r="I744" s="30">
        <v>174.995</v>
      </c>
      <c r="J744" s="30">
        <v>349.99</v>
      </c>
      <c r="K744" s="30">
        <v>18.0</v>
      </c>
      <c r="L744" s="30">
        <v>62.9982</v>
      </c>
      <c r="M744" s="30">
        <v>53.0</v>
      </c>
      <c r="N744" s="30">
        <v>106.0</v>
      </c>
      <c r="O744" s="30">
        <v>0.0</v>
      </c>
      <c r="P744" s="30">
        <v>0.0</v>
      </c>
      <c r="Q744" s="30">
        <v>180.9918</v>
      </c>
    </row>
    <row r="745">
      <c r="A745" s="47">
        <v>1.1236863553E10</v>
      </c>
      <c r="B745" s="48">
        <v>46157.67743055556</v>
      </c>
      <c r="C745" s="30">
        <v>3.851560709E9</v>
      </c>
      <c r="D745" s="47" t="s">
        <v>1509</v>
      </c>
      <c r="E745" s="47">
        <v>7.613032816536E12</v>
      </c>
      <c r="F745" s="47" t="s">
        <v>1523</v>
      </c>
      <c r="G745" s="47" t="s">
        <v>1533</v>
      </c>
      <c r="H745" s="30">
        <v>1.0</v>
      </c>
      <c r="I745" s="30">
        <v>727.0</v>
      </c>
      <c r="J745" s="30">
        <v>727.0</v>
      </c>
      <c r="K745" s="30">
        <v>4.41</v>
      </c>
      <c r="L745" s="30">
        <v>32.060700000000004</v>
      </c>
      <c r="M745" s="30">
        <v>580.0</v>
      </c>
      <c r="N745" s="30">
        <v>580.0</v>
      </c>
      <c r="O745" s="30">
        <v>0.0</v>
      </c>
      <c r="P745" s="30">
        <v>0.0</v>
      </c>
      <c r="Q745" s="30">
        <v>114.9393</v>
      </c>
    </row>
    <row r="746">
      <c r="A746" s="47">
        <v>1.1236656014E10</v>
      </c>
      <c r="B746" s="48">
        <v>46157.63700231481</v>
      </c>
      <c r="C746" s="30">
        <v>3.851384473E9</v>
      </c>
      <c r="D746" s="47" t="s">
        <v>1509</v>
      </c>
      <c r="E746" s="47">
        <v>7.613032816536E12</v>
      </c>
      <c r="F746" s="47" t="s">
        <v>1523</v>
      </c>
      <c r="G746" s="47" t="s">
        <v>1533</v>
      </c>
      <c r="H746" s="30">
        <v>2.0</v>
      </c>
      <c r="I746" s="30">
        <v>727.0</v>
      </c>
      <c r="J746" s="30">
        <v>1454.0</v>
      </c>
      <c r="K746" s="30">
        <v>4.41</v>
      </c>
      <c r="L746" s="30">
        <v>64.12140000000001</v>
      </c>
      <c r="M746" s="30">
        <v>580.0</v>
      </c>
      <c r="N746" s="30">
        <v>1160.0</v>
      </c>
      <c r="O746" s="30">
        <v>0.0</v>
      </c>
      <c r="P746" s="30">
        <v>0.0</v>
      </c>
      <c r="Q746" s="30">
        <v>229.8786</v>
      </c>
    </row>
    <row r="747">
      <c r="A747" s="47">
        <v>1.1238487582E10</v>
      </c>
      <c r="B747" s="48">
        <v>46158.000706018516</v>
      </c>
      <c r="C747" s="30">
        <v>3.85280868E9</v>
      </c>
      <c r="D747" s="47" t="s">
        <v>1509</v>
      </c>
      <c r="E747" s="47">
        <v>7.613033560064E12</v>
      </c>
      <c r="F747" s="47" t="s">
        <v>1523</v>
      </c>
      <c r="G747" s="47" t="s">
        <v>1527</v>
      </c>
      <c r="H747" s="30">
        <v>1.0</v>
      </c>
      <c r="I747" s="30">
        <v>1291.0</v>
      </c>
      <c r="J747" s="30">
        <v>1291.0</v>
      </c>
      <c r="K747" s="30">
        <v>2.7</v>
      </c>
      <c r="L747" s="30">
        <v>34.857</v>
      </c>
      <c r="M747" s="30">
        <v>1190.0</v>
      </c>
      <c r="N747" s="30">
        <v>1190.0</v>
      </c>
      <c r="O747" s="30">
        <v>0.0</v>
      </c>
      <c r="P747" s="30">
        <v>0.0</v>
      </c>
      <c r="Q747" s="30">
        <v>66.143</v>
      </c>
    </row>
    <row r="748">
      <c r="A748" s="47">
        <v>1.1236521956E10</v>
      </c>
      <c r="B748" s="48">
        <v>46157.61056712963</v>
      </c>
      <c r="C748" s="30">
        <v>3.851276335E9</v>
      </c>
      <c r="D748" s="47" t="s">
        <v>1509</v>
      </c>
      <c r="E748" s="47">
        <v>7.613032816536E12</v>
      </c>
      <c r="F748" s="47" t="s">
        <v>1523</v>
      </c>
      <c r="G748" s="47" t="s">
        <v>1533</v>
      </c>
      <c r="H748" s="30">
        <v>1.0</v>
      </c>
      <c r="I748" s="30">
        <v>727.0</v>
      </c>
      <c r="J748" s="30">
        <v>727.0</v>
      </c>
      <c r="K748" s="30">
        <v>4.41</v>
      </c>
      <c r="L748" s="30">
        <v>32.060700000000004</v>
      </c>
      <c r="M748" s="30">
        <v>580.0</v>
      </c>
      <c r="N748" s="30">
        <v>580.0</v>
      </c>
      <c r="O748" s="30">
        <v>0.0</v>
      </c>
      <c r="P748" s="30">
        <v>0.0</v>
      </c>
      <c r="Q748" s="30">
        <v>114.9393</v>
      </c>
    </row>
    <row r="749">
      <c r="A749" s="47">
        <v>1.1237218179E10</v>
      </c>
      <c r="B749" s="48">
        <v>46157.74826388889</v>
      </c>
      <c r="C749" s="30">
        <v>3.85186035E9</v>
      </c>
      <c r="D749" s="47" t="s">
        <v>1509</v>
      </c>
      <c r="E749" s="47">
        <v>8.46799273637E11</v>
      </c>
      <c r="F749" s="47" t="s">
        <v>1523</v>
      </c>
      <c r="G749" s="47" t="s">
        <v>1553</v>
      </c>
      <c r="H749" s="30">
        <v>1.0</v>
      </c>
      <c r="I749" s="30">
        <v>659.0</v>
      </c>
      <c r="J749" s="30">
        <v>659.0</v>
      </c>
      <c r="K749" s="30">
        <v>14.85</v>
      </c>
      <c r="L749" s="30">
        <v>97.86149999999999</v>
      </c>
      <c r="M749" s="30">
        <v>420.0</v>
      </c>
      <c r="N749" s="30">
        <v>420.0</v>
      </c>
      <c r="O749" s="30">
        <v>0.0</v>
      </c>
      <c r="P749" s="30">
        <v>0.0</v>
      </c>
      <c r="Q749" s="30">
        <v>141.13850000000002</v>
      </c>
    </row>
    <row r="750">
      <c r="A750" s="47">
        <v>1.1236722977E10</v>
      </c>
      <c r="B750" s="48">
        <v>46157.64971064815</v>
      </c>
      <c r="C750" s="30">
        <v>3.851440555E9</v>
      </c>
      <c r="D750" s="47" t="s">
        <v>1509</v>
      </c>
      <c r="E750" s="47" t="s">
        <v>356</v>
      </c>
      <c r="F750" s="47" t="s">
        <v>1523</v>
      </c>
      <c r="G750" s="47" t="s">
        <v>1532</v>
      </c>
      <c r="H750" s="30">
        <v>2.0</v>
      </c>
      <c r="I750" s="30">
        <v>729.0</v>
      </c>
      <c r="J750" s="30">
        <v>1458.0</v>
      </c>
      <c r="K750" s="30">
        <v>4.95</v>
      </c>
      <c r="L750" s="30">
        <v>72.171</v>
      </c>
      <c r="M750" s="30">
        <v>580.0</v>
      </c>
      <c r="N750" s="30">
        <v>1160.0</v>
      </c>
      <c r="O750" s="30">
        <v>0.0</v>
      </c>
      <c r="P750" s="30">
        <v>0.0</v>
      </c>
      <c r="Q750" s="30">
        <v>225.829</v>
      </c>
    </row>
    <row r="751">
      <c r="A751" s="47">
        <v>1.1235539973E10</v>
      </c>
      <c r="B751" s="48">
        <v>46157.06800925926</v>
      </c>
      <c r="C751" s="30">
        <v>3.850236255E9</v>
      </c>
      <c r="D751" s="47" t="s">
        <v>1509</v>
      </c>
      <c r="E751" s="47" t="s">
        <v>611</v>
      </c>
      <c r="F751" s="47" t="s">
        <v>611</v>
      </c>
      <c r="G751" s="47" t="s">
        <v>1572</v>
      </c>
      <c r="H751" s="30">
        <v>1.0</v>
      </c>
      <c r="I751" s="30">
        <v>575.0</v>
      </c>
      <c r="J751" s="30">
        <v>575.0</v>
      </c>
      <c r="K751" s="30">
        <v>18.0</v>
      </c>
      <c r="L751" s="30">
        <v>103.5</v>
      </c>
      <c r="M751" s="30">
        <v>240.0</v>
      </c>
      <c r="N751" s="30">
        <v>240.0</v>
      </c>
      <c r="O751" s="30">
        <v>0.0</v>
      </c>
      <c r="P751" s="30">
        <v>0.0</v>
      </c>
      <c r="Q751" s="30">
        <v>231.5</v>
      </c>
    </row>
    <row r="752">
      <c r="A752" s="47">
        <v>1.1235384657E10</v>
      </c>
      <c r="B752" s="48">
        <v>46157.03493055556</v>
      </c>
      <c r="C752" s="30">
        <v>3.850088204E9</v>
      </c>
      <c r="D752" s="47" t="s">
        <v>1509</v>
      </c>
      <c r="E752" s="47">
        <v>7.613032816536E12</v>
      </c>
      <c r="F752" s="47" t="s">
        <v>1523</v>
      </c>
      <c r="G752" s="47" t="s">
        <v>1533</v>
      </c>
      <c r="H752" s="30">
        <v>4.0</v>
      </c>
      <c r="I752" s="30">
        <v>727.0</v>
      </c>
      <c r="J752" s="30">
        <v>2908.0</v>
      </c>
      <c r="K752" s="30">
        <v>4.41</v>
      </c>
      <c r="L752" s="30">
        <v>128.24280000000002</v>
      </c>
      <c r="M752" s="30">
        <v>580.0</v>
      </c>
      <c r="N752" s="30">
        <v>2320.0</v>
      </c>
      <c r="O752" s="30">
        <v>0.0</v>
      </c>
      <c r="P752" s="30">
        <v>0.0</v>
      </c>
      <c r="Q752" s="30">
        <v>459.7572</v>
      </c>
    </row>
    <row r="753">
      <c r="A753" s="47">
        <v>1.1235023269E10</v>
      </c>
      <c r="B753" s="48">
        <v>46156.96171296296</v>
      </c>
      <c r="C753" s="30">
        <v>3.849778822E9</v>
      </c>
      <c r="D753" s="47" t="s">
        <v>1509</v>
      </c>
      <c r="E753" s="47">
        <v>7.613032816536E12</v>
      </c>
      <c r="F753" s="47" t="s">
        <v>1523</v>
      </c>
      <c r="G753" s="47" t="s">
        <v>1533</v>
      </c>
      <c r="H753" s="30">
        <v>1.0</v>
      </c>
      <c r="I753" s="30">
        <v>727.0</v>
      </c>
      <c r="J753" s="30">
        <v>727.0</v>
      </c>
      <c r="K753" s="30">
        <v>4.41</v>
      </c>
      <c r="L753" s="30">
        <v>32.060700000000004</v>
      </c>
      <c r="M753" s="30">
        <v>580.0</v>
      </c>
      <c r="N753" s="30">
        <v>580.0</v>
      </c>
      <c r="O753" s="30">
        <v>0.0</v>
      </c>
      <c r="P753" s="30">
        <v>0.0</v>
      </c>
      <c r="Q753" s="30">
        <v>114.9393</v>
      </c>
    </row>
    <row r="754">
      <c r="A754" s="47">
        <v>1.1238307259E10</v>
      </c>
      <c r="B754" s="48">
        <v>46157.96618055556</v>
      </c>
      <c r="C754" s="30">
        <v>3.85267616E9</v>
      </c>
      <c r="D754" s="47" t="s">
        <v>1513</v>
      </c>
      <c r="E754" s="47">
        <v>7.613033560064E12</v>
      </c>
      <c r="F754" s="47" t="s">
        <v>1523</v>
      </c>
      <c r="G754" s="47" t="s">
        <v>1527</v>
      </c>
      <c r="H754" s="30">
        <v>1.0</v>
      </c>
      <c r="I754" s="30">
        <v>1291.0</v>
      </c>
      <c r="J754" s="30">
        <v>1291.0</v>
      </c>
      <c r="K754" s="30">
        <v>2.7</v>
      </c>
      <c r="L754" s="30">
        <v>34.857</v>
      </c>
      <c r="M754" s="30">
        <v>1190.0</v>
      </c>
      <c r="N754" s="30">
        <v>1190.0</v>
      </c>
      <c r="O754" s="30">
        <v>0.0</v>
      </c>
      <c r="P754" s="30">
        <v>0.0</v>
      </c>
      <c r="Q754" s="30">
        <v>66.143</v>
      </c>
    </row>
    <row r="755">
      <c r="A755" s="47">
        <v>1.1238851445E10</v>
      </c>
      <c r="B755" s="48">
        <v>46158.075162037036</v>
      </c>
      <c r="C755" s="30">
        <v>3.853118478E9</v>
      </c>
      <c r="D755" s="47" t="s">
        <v>1509</v>
      </c>
      <c r="E755" s="47">
        <v>7.613035846708E12</v>
      </c>
      <c r="F755" s="47" t="s">
        <v>1523</v>
      </c>
      <c r="G755" s="47" t="s">
        <v>1535</v>
      </c>
      <c r="H755" s="30">
        <v>1.0</v>
      </c>
      <c r="I755" s="30">
        <v>1267.9</v>
      </c>
      <c r="J755" s="30">
        <v>1267.9</v>
      </c>
      <c r="K755" s="30">
        <v>4.5</v>
      </c>
      <c r="L755" s="30">
        <v>57.0555</v>
      </c>
      <c r="M755" s="30">
        <v>1160.0</v>
      </c>
      <c r="N755" s="30">
        <v>1160.0</v>
      </c>
      <c r="O755" s="30">
        <v>0.0</v>
      </c>
      <c r="P755" s="30">
        <v>0.0</v>
      </c>
      <c r="Q755" s="30">
        <v>50.84450000000009</v>
      </c>
    </row>
    <row r="756">
      <c r="A756" s="47">
        <v>1.1246441845E10</v>
      </c>
      <c r="B756" s="48">
        <v>46160.635729166665</v>
      </c>
      <c r="C756" s="30">
        <v>3.859504659E9</v>
      </c>
      <c r="D756" s="47" t="s">
        <v>1511</v>
      </c>
      <c r="E756" s="47">
        <v>8.684501941837E12</v>
      </c>
      <c r="F756" s="47" t="s">
        <v>289</v>
      </c>
      <c r="G756" s="47" t="s">
        <v>1543</v>
      </c>
      <c r="H756" s="30">
        <v>1.0</v>
      </c>
      <c r="I756" s="30">
        <v>175.01</v>
      </c>
      <c r="J756" s="30">
        <v>175.01</v>
      </c>
      <c r="K756" s="30">
        <v>18.0</v>
      </c>
      <c r="L756" s="30">
        <v>31.5018</v>
      </c>
      <c r="M756" s="30">
        <v>53.0</v>
      </c>
      <c r="N756" s="30">
        <v>53.0</v>
      </c>
      <c r="O756" s="30">
        <v>0.0</v>
      </c>
      <c r="P756" s="30">
        <v>0.0</v>
      </c>
      <c r="Q756" s="30">
        <v>90.50819999999999</v>
      </c>
    </row>
    <row r="757">
      <c r="A757" s="47">
        <v>1.1246441845E10</v>
      </c>
      <c r="B757" s="48">
        <v>46160.635729166665</v>
      </c>
      <c r="C757" s="30">
        <v>3.859504659E9</v>
      </c>
      <c r="D757" s="47" t="s">
        <v>1511</v>
      </c>
      <c r="E757" s="47">
        <v>8.684501941813E12</v>
      </c>
      <c r="F757" s="47" t="s">
        <v>287</v>
      </c>
      <c r="G757" s="47" t="s">
        <v>1547</v>
      </c>
      <c r="H757" s="30">
        <v>1.0</v>
      </c>
      <c r="I757" s="30">
        <v>174.99</v>
      </c>
      <c r="J757" s="30">
        <v>174.99</v>
      </c>
      <c r="K757" s="30">
        <v>18.0</v>
      </c>
      <c r="L757" s="30">
        <v>31.4982</v>
      </c>
      <c r="M757" s="30">
        <v>53.0</v>
      </c>
      <c r="N757" s="30">
        <v>53.0</v>
      </c>
      <c r="O757" s="30">
        <v>0.0</v>
      </c>
      <c r="P757" s="30">
        <v>0.0</v>
      </c>
      <c r="Q757" s="30">
        <v>90.49180000000001</v>
      </c>
    </row>
    <row r="758">
      <c r="A758" s="47">
        <v>1.1246441845E10</v>
      </c>
      <c r="B758" s="48">
        <v>46160.635729166665</v>
      </c>
      <c r="C758" s="30">
        <v>3.859504659E9</v>
      </c>
      <c r="D758" s="47" t="s">
        <v>1511</v>
      </c>
      <c r="E758" s="47" t="s">
        <v>356</v>
      </c>
      <c r="F758" s="47" t="s">
        <v>1523</v>
      </c>
      <c r="G758" s="47" t="s">
        <v>1532</v>
      </c>
      <c r="H758" s="30">
        <v>1.0</v>
      </c>
      <c r="I758" s="30">
        <v>729.0</v>
      </c>
      <c r="J758" s="30">
        <v>729.0</v>
      </c>
      <c r="K758" s="30">
        <v>4.95</v>
      </c>
      <c r="L758" s="30">
        <v>36.0855</v>
      </c>
      <c r="M758" s="30">
        <v>580.0</v>
      </c>
      <c r="N758" s="30">
        <v>580.0</v>
      </c>
      <c r="O758" s="30">
        <v>0.0</v>
      </c>
      <c r="P758" s="30">
        <v>0.0</v>
      </c>
      <c r="Q758" s="30">
        <v>112.9145</v>
      </c>
    </row>
    <row r="759">
      <c r="A759" s="47">
        <v>1.1246441845E10</v>
      </c>
      <c r="B759" s="48">
        <v>46160.635729166665</v>
      </c>
      <c r="C759" s="30">
        <v>3.859504659E9</v>
      </c>
      <c r="D759" s="47" t="s">
        <v>1511</v>
      </c>
      <c r="E759" s="47">
        <v>8.684501941806E12</v>
      </c>
      <c r="F759" s="47" t="s">
        <v>291</v>
      </c>
      <c r="G759" s="47" t="s">
        <v>1556</v>
      </c>
      <c r="H759" s="30">
        <v>2.0</v>
      </c>
      <c r="I759" s="30">
        <v>174.99</v>
      </c>
      <c r="J759" s="30">
        <v>349.98</v>
      </c>
      <c r="K759" s="30">
        <v>18.0</v>
      </c>
      <c r="L759" s="30">
        <v>62.9964</v>
      </c>
      <c r="M759" s="30">
        <v>53.0</v>
      </c>
      <c r="N759" s="30">
        <v>106.0</v>
      </c>
      <c r="O759" s="30">
        <v>0.0</v>
      </c>
      <c r="P759" s="30">
        <v>0.0</v>
      </c>
      <c r="Q759" s="30">
        <v>180.98360000000002</v>
      </c>
    </row>
    <row r="760">
      <c r="A760" s="47">
        <v>1.1238612291E10</v>
      </c>
      <c r="B760" s="48">
        <v>46158.02439814815</v>
      </c>
      <c r="C760" s="30">
        <v>3.852909458E9</v>
      </c>
      <c r="D760" s="47" t="s">
        <v>1509</v>
      </c>
      <c r="E760" s="47" t="s">
        <v>356</v>
      </c>
      <c r="F760" s="47" t="s">
        <v>1523</v>
      </c>
      <c r="G760" s="47" t="s">
        <v>1532</v>
      </c>
      <c r="H760" s="30">
        <v>1.0</v>
      </c>
      <c r="I760" s="30">
        <v>729.0</v>
      </c>
      <c r="J760" s="30">
        <v>729.0</v>
      </c>
      <c r="K760" s="30">
        <v>4.95</v>
      </c>
      <c r="L760" s="30">
        <v>36.0855</v>
      </c>
      <c r="M760" s="30">
        <v>580.0</v>
      </c>
      <c r="N760" s="30">
        <v>580.0</v>
      </c>
      <c r="O760" s="30">
        <v>0.0</v>
      </c>
      <c r="P760" s="30">
        <v>0.0</v>
      </c>
      <c r="Q760" s="30">
        <v>112.9145</v>
      </c>
    </row>
    <row r="761">
      <c r="A761" s="47">
        <v>1.1237767383E10</v>
      </c>
      <c r="B761" s="48">
        <v>46157.86283564815</v>
      </c>
      <c r="C761" s="30">
        <v>3.852304676E9</v>
      </c>
      <c r="D761" s="47" t="s">
        <v>1509</v>
      </c>
      <c r="E761" s="47">
        <v>7.613033560064E12</v>
      </c>
      <c r="F761" s="47" t="s">
        <v>1523</v>
      </c>
      <c r="G761" s="47" t="s">
        <v>1527</v>
      </c>
      <c r="H761" s="30">
        <v>1.0</v>
      </c>
      <c r="I761" s="30">
        <v>1291.0</v>
      </c>
      <c r="J761" s="30">
        <v>1291.0</v>
      </c>
      <c r="K761" s="30">
        <v>2.7</v>
      </c>
      <c r="L761" s="30">
        <v>34.857</v>
      </c>
      <c r="M761" s="30">
        <v>1190.0</v>
      </c>
      <c r="N761" s="30">
        <v>1190.0</v>
      </c>
      <c r="O761" s="30">
        <v>0.0</v>
      </c>
      <c r="P761" s="30">
        <v>0.0</v>
      </c>
      <c r="Q761" s="30">
        <v>66.143</v>
      </c>
    </row>
    <row r="762">
      <c r="A762" s="47">
        <v>1.1238428335E10</v>
      </c>
      <c r="B762" s="48">
        <v>46157.989282407405</v>
      </c>
      <c r="C762" s="30">
        <v>3.852763336E9</v>
      </c>
      <c r="D762" s="47" t="s">
        <v>1509</v>
      </c>
      <c r="E762" s="47" t="s">
        <v>356</v>
      </c>
      <c r="F762" s="47" t="s">
        <v>1523</v>
      </c>
      <c r="G762" s="47" t="s">
        <v>1532</v>
      </c>
      <c r="H762" s="30">
        <v>1.0</v>
      </c>
      <c r="I762" s="30">
        <v>729.0</v>
      </c>
      <c r="J762" s="30">
        <v>729.0</v>
      </c>
      <c r="K762" s="30">
        <v>4.95</v>
      </c>
      <c r="L762" s="30">
        <v>36.0855</v>
      </c>
      <c r="M762" s="30">
        <v>580.0</v>
      </c>
      <c r="N762" s="30">
        <v>580.0</v>
      </c>
      <c r="O762" s="30">
        <v>0.0</v>
      </c>
      <c r="P762" s="30">
        <v>0.0</v>
      </c>
      <c r="Q762" s="30">
        <v>112.9145</v>
      </c>
    </row>
    <row r="763">
      <c r="A763" s="47">
        <v>1.1238430503E10</v>
      </c>
      <c r="B763" s="48">
        <v>46157.98971064815</v>
      </c>
      <c r="C763" s="30">
        <v>3.852766958E9</v>
      </c>
      <c r="D763" s="47" t="s">
        <v>1509</v>
      </c>
      <c r="E763" s="47" t="s">
        <v>356</v>
      </c>
      <c r="F763" s="47" t="s">
        <v>1523</v>
      </c>
      <c r="G763" s="47" t="s">
        <v>1532</v>
      </c>
      <c r="H763" s="30">
        <v>1.0</v>
      </c>
      <c r="I763" s="30">
        <v>729.0</v>
      </c>
      <c r="J763" s="30">
        <v>729.0</v>
      </c>
      <c r="K763" s="30">
        <v>4.95</v>
      </c>
      <c r="L763" s="30">
        <v>36.0855</v>
      </c>
      <c r="M763" s="30">
        <v>580.0</v>
      </c>
      <c r="N763" s="30">
        <v>580.0</v>
      </c>
      <c r="O763" s="30">
        <v>0.0</v>
      </c>
      <c r="P763" s="30">
        <v>0.0</v>
      </c>
      <c r="Q763" s="30">
        <v>112.9145</v>
      </c>
    </row>
    <row r="764">
      <c r="A764" s="47">
        <v>1.1231306587E10</v>
      </c>
      <c r="B764" s="48">
        <v>46155.853483796294</v>
      </c>
      <c r="C764" s="30">
        <v>3.846519057E9</v>
      </c>
      <c r="D764" s="47" t="s">
        <v>1509</v>
      </c>
      <c r="E764" s="47">
        <v>3.182550737616E12</v>
      </c>
      <c r="F764" s="47" t="s">
        <v>1523</v>
      </c>
      <c r="G764" s="47" t="s">
        <v>1570</v>
      </c>
      <c r="H764" s="30">
        <v>1.0</v>
      </c>
      <c r="I764" s="30">
        <v>1864.0</v>
      </c>
      <c r="J764" s="30">
        <v>1864.0</v>
      </c>
      <c r="K764" s="30">
        <v>4.32</v>
      </c>
      <c r="L764" s="30">
        <v>80.5248</v>
      </c>
      <c r="M764" s="30">
        <v>1535.52</v>
      </c>
      <c r="N764" s="30">
        <v>1535.52</v>
      </c>
      <c r="O764" s="30">
        <v>0.0</v>
      </c>
      <c r="P764" s="30">
        <v>0.0</v>
      </c>
      <c r="Q764" s="30">
        <v>247.95520000000002</v>
      </c>
    </row>
    <row r="765">
      <c r="A765" s="47">
        <v>1.1238626227E10</v>
      </c>
      <c r="B765" s="48">
        <v>46158.02730324074</v>
      </c>
      <c r="C765" s="30">
        <v>3.852921452E9</v>
      </c>
      <c r="D765" s="47" t="s">
        <v>1509</v>
      </c>
      <c r="E765" s="47">
        <v>7.613033560064E12</v>
      </c>
      <c r="F765" s="47" t="s">
        <v>1523</v>
      </c>
      <c r="G765" s="47" t="s">
        <v>1527</v>
      </c>
      <c r="H765" s="30">
        <v>1.0</v>
      </c>
      <c r="I765" s="30">
        <v>1291.0</v>
      </c>
      <c r="J765" s="30">
        <v>1291.0</v>
      </c>
      <c r="K765" s="30">
        <v>2.7</v>
      </c>
      <c r="L765" s="30">
        <v>34.857</v>
      </c>
      <c r="M765" s="30">
        <v>1190.0</v>
      </c>
      <c r="N765" s="30">
        <v>1190.0</v>
      </c>
      <c r="O765" s="30">
        <v>0.0</v>
      </c>
      <c r="P765" s="30">
        <v>0.0</v>
      </c>
      <c r="Q765" s="30">
        <v>66.143</v>
      </c>
    </row>
    <row r="766">
      <c r="A766" s="47">
        <v>1.1237983735E10</v>
      </c>
      <c r="B766" s="48">
        <v>46157.90482638889</v>
      </c>
      <c r="C766" s="30">
        <v>3.852451239E9</v>
      </c>
      <c r="D766" s="47" t="s">
        <v>1509</v>
      </c>
      <c r="E766" s="47">
        <v>7.613033560064E12</v>
      </c>
      <c r="F766" s="47" t="s">
        <v>1523</v>
      </c>
      <c r="G766" s="47" t="s">
        <v>1527</v>
      </c>
      <c r="H766" s="30">
        <v>1.0</v>
      </c>
      <c r="I766" s="30">
        <v>1291.0</v>
      </c>
      <c r="J766" s="30">
        <v>1291.0</v>
      </c>
      <c r="K766" s="30">
        <v>2.7</v>
      </c>
      <c r="L766" s="30">
        <v>34.857</v>
      </c>
      <c r="M766" s="30">
        <v>1190.0</v>
      </c>
      <c r="N766" s="30">
        <v>1190.0</v>
      </c>
      <c r="O766" s="30">
        <v>0.0</v>
      </c>
      <c r="P766" s="30">
        <v>0.0</v>
      </c>
      <c r="Q766" s="30">
        <v>66.143</v>
      </c>
    </row>
    <row r="767">
      <c r="A767" s="47">
        <v>1.1238478328E10</v>
      </c>
      <c r="B767" s="48">
        <v>46157.99884259259</v>
      </c>
      <c r="C767" s="30">
        <v>3.852801139E9</v>
      </c>
      <c r="D767" s="47" t="s">
        <v>1509</v>
      </c>
      <c r="E767" s="47">
        <v>7.613033560064E12</v>
      </c>
      <c r="F767" s="47" t="s">
        <v>1523</v>
      </c>
      <c r="G767" s="47" t="s">
        <v>1527</v>
      </c>
      <c r="H767" s="30">
        <v>1.0</v>
      </c>
      <c r="I767" s="30">
        <v>1291.0</v>
      </c>
      <c r="J767" s="30">
        <v>1291.0</v>
      </c>
      <c r="K767" s="30">
        <v>2.7</v>
      </c>
      <c r="L767" s="30">
        <v>34.857</v>
      </c>
      <c r="M767" s="30">
        <v>1190.0</v>
      </c>
      <c r="N767" s="30">
        <v>1190.0</v>
      </c>
      <c r="O767" s="30">
        <v>0.0</v>
      </c>
      <c r="P767" s="30">
        <v>0.0</v>
      </c>
      <c r="Q767" s="30">
        <v>66.143</v>
      </c>
    </row>
    <row r="768">
      <c r="A768" s="47">
        <v>1.1238065783E10</v>
      </c>
      <c r="B768" s="48">
        <v>46157.92047453704</v>
      </c>
      <c r="C768" s="30">
        <v>3.852505945E9</v>
      </c>
      <c r="D768" s="47" t="s">
        <v>1509</v>
      </c>
      <c r="E768" s="47">
        <v>8.46799273637E11</v>
      </c>
      <c r="F768" s="47" t="s">
        <v>1523</v>
      </c>
      <c r="G768" s="47" t="s">
        <v>1553</v>
      </c>
      <c r="H768" s="30">
        <v>1.0</v>
      </c>
      <c r="I768" s="30">
        <v>659.0</v>
      </c>
      <c r="J768" s="30">
        <v>659.0</v>
      </c>
      <c r="K768" s="30">
        <v>14.85</v>
      </c>
      <c r="L768" s="30">
        <v>97.86149999999999</v>
      </c>
      <c r="M768" s="30">
        <v>420.0</v>
      </c>
      <c r="N768" s="30">
        <v>420.0</v>
      </c>
      <c r="O768" s="30">
        <v>0.0</v>
      </c>
      <c r="P768" s="30">
        <v>0.0</v>
      </c>
      <c r="Q768" s="30">
        <v>141.13850000000002</v>
      </c>
    </row>
    <row r="769">
      <c r="A769" s="47">
        <v>1.1238868211E10</v>
      </c>
      <c r="B769" s="48">
        <v>46158.07894675926</v>
      </c>
      <c r="C769" s="30">
        <v>3.853134092E9</v>
      </c>
      <c r="D769" s="47" t="s">
        <v>1509</v>
      </c>
      <c r="E769" s="47" t="s">
        <v>356</v>
      </c>
      <c r="F769" s="47" t="s">
        <v>1523</v>
      </c>
      <c r="G769" s="47" t="s">
        <v>1532</v>
      </c>
      <c r="H769" s="30">
        <v>1.0</v>
      </c>
      <c r="I769" s="30">
        <v>729.0</v>
      </c>
      <c r="J769" s="30">
        <v>729.0</v>
      </c>
      <c r="K769" s="30">
        <v>4.95</v>
      </c>
      <c r="L769" s="30">
        <v>36.0855</v>
      </c>
      <c r="M769" s="30">
        <v>580.0</v>
      </c>
      <c r="N769" s="30">
        <v>580.0</v>
      </c>
      <c r="O769" s="30">
        <v>0.0</v>
      </c>
      <c r="P769" s="30">
        <v>0.0</v>
      </c>
      <c r="Q769" s="30">
        <v>112.9145</v>
      </c>
    </row>
    <row r="770">
      <c r="A770" s="47">
        <v>1.1237825699E10</v>
      </c>
      <c r="B770" s="48">
        <v>46157.874456018515</v>
      </c>
      <c r="C770" s="30">
        <v>3.852347165E9</v>
      </c>
      <c r="D770" s="47" t="s">
        <v>1509</v>
      </c>
      <c r="E770" s="47">
        <v>7.613033560064E12</v>
      </c>
      <c r="F770" s="47" t="s">
        <v>1523</v>
      </c>
      <c r="G770" s="47" t="s">
        <v>1527</v>
      </c>
      <c r="H770" s="30">
        <v>1.0</v>
      </c>
      <c r="I770" s="30">
        <v>1291.0</v>
      </c>
      <c r="J770" s="30">
        <v>1291.0</v>
      </c>
      <c r="K770" s="30">
        <v>2.7</v>
      </c>
      <c r="L770" s="30">
        <v>34.857</v>
      </c>
      <c r="M770" s="30">
        <v>1190.0</v>
      </c>
      <c r="N770" s="30">
        <v>1190.0</v>
      </c>
      <c r="O770" s="30">
        <v>0.0</v>
      </c>
      <c r="P770" s="30">
        <v>0.0</v>
      </c>
      <c r="Q770" s="30">
        <v>66.143</v>
      </c>
    </row>
    <row r="771">
      <c r="A771" s="47">
        <v>1.1237447159E10</v>
      </c>
      <c r="B771" s="48">
        <v>46157.796423611115</v>
      </c>
      <c r="C771" s="30">
        <v>3.852054469E9</v>
      </c>
      <c r="D771" s="47" t="s">
        <v>1509</v>
      </c>
      <c r="E771" s="47" t="s">
        <v>356</v>
      </c>
      <c r="F771" s="47" t="s">
        <v>1523</v>
      </c>
      <c r="G771" s="47" t="s">
        <v>1532</v>
      </c>
      <c r="H771" s="30">
        <v>1.0</v>
      </c>
      <c r="I771" s="30">
        <v>729.0</v>
      </c>
      <c r="J771" s="30">
        <v>729.0</v>
      </c>
      <c r="K771" s="30">
        <v>4.95</v>
      </c>
      <c r="L771" s="30">
        <v>36.0855</v>
      </c>
      <c r="M771" s="30">
        <v>580.0</v>
      </c>
      <c r="N771" s="30">
        <v>580.0</v>
      </c>
      <c r="O771" s="30">
        <v>0.0</v>
      </c>
      <c r="P771" s="30">
        <v>0.0</v>
      </c>
      <c r="Q771" s="30">
        <v>112.9145</v>
      </c>
    </row>
    <row r="772">
      <c r="A772" s="47">
        <v>1.1234730744E10</v>
      </c>
      <c r="B772" s="48">
        <v>46156.902407407404</v>
      </c>
      <c r="C772" s="30">
        <v>3.849564865E9</v>
      </c>
      <c r="D772" s="47" t="s">
        <v>1509</v>
      </c>
      <c r="E772" s="47">
        <v>7.613033560064E12</v>
      </c>
      <c r="F772" s="47" t="s">
        <v>1523</v>
      </c>
      <c r="G772" s="47" t="s">
        <v>1527</v>
      </c>
      <c r="H772" s="30">
        <v>1.0</v>
      </c>
      <c r="I772" s="30">
        <v>1299.0</v>
      </c>
      <c r="J772" s="30">
        <v>1299.0</v>
      </c>
      <c r="K772" s="30">
        <v>2.7</v>
      </c>
      <c r="L772" s="30">
        <v>35.073</v>
      </c>
      <c r="M772" s="30">
        <v>1190.0</v>
      </c>
      <c r="N772" s="30">
        <v>1190.0</v>
      </c>
      <c r="O772" s="30">
        <v>0.0</v>
      </c>
      <c r="P772" s="30">
        <v>0.0</v>
      </c>
      <c r="Q772" s="30">
        <v>73.92699999999999</v>
      </c>
    </row>
    <row r="773">
      <c r="A773" s="47">
        <v>1.1236668059E10</v>
      </c>
      <c r="B773" s="48">
        <v>46157.63924768518</v>
      </c>
      <c r="C773" s="30">
        <v>3.851396902E9</v>
      </c>
      <c r="D773" s="47" t="s">
        <v>1509</v>
      </c>
      <c r="E773" s="47">
        <v>7.613032816536E12</v>
      </c>
      <c r="F773" s="47" t="s">
        <v>1523</v>
      </c>
      <c r="G773" s="47" t="s">
        <v>1533</v>
      </c>
      <c r="H773" s="30">
        <v>2.0</v>
      </c>
      <c r="I773" s="30">
        <v>727.0</v>
      </c>
      <c r="J773" s="30">
        <v>1454.0</v>
      </c>
      <c r="K773" s="30">
        <v>4.41</v>
      </c>
      <c r="L773" s="30">
        <v>64.12140000000001</v>
      </c>
      <c r="M773" s="30">
        <v>580.0</v>
      </c>
      <c r="N773" s="30">
        <v>1160.0</v>
      </c>
      <c r="O773" s="30">
        <v>0.0</v>
      </c>
      <c r="P773" s="30">
        <v>0.0</v>
      </c>
      <c r="Q773" s="30">
        <v>229.8786</v>
      </c>
    </row>
    <row r="774">
      <c r="A774" s="47">
        <v>1.1237212963E10</v>
      </c>
      <c r="B774" s="48">
        <v>46157.7471875</v>
      </c>
      <c r="C774" s="30">
        <v>3.851855847E9</v>
      </c>
      <c r="D774" s="47" t="s">
        <v>1509</v>
      </c>
      <c r="E774" s="47">
        <v>7.613032816536E12</v>
      </c>
      <c r="F774" s="47" t="s">
        <v>1523</v>
      </c>
      <c r="G774" s="47" t="s">
        <v>1533</v>
      </c>
      <c r="H774" s="30">
        <v>1.0</v>
      </c>
      <c r="I774" s="30">
        <v>625.08</v>
      </c>
      <c r="J774" s="30">
        <v>625.08</v>
      </c>
      <c r="K774" s="30">
        <v>4.41</v>
      </c>
      <c r="L774" s="30">
        <v>27.566028000000003</v>
      </c>
      <c r="M774" s="30">
        <v>580.0</v>
      </c>
      <c r="N774" s="30">
        <v>580.0</v>
      </c>
      <c r="O774" s="30">
        <v>0.0</v>
      </c>
      <c r="P774" s="30">
        <v>0.0</v>
      </c>
      <c r="Q774" s="30">
        <v>17.513972000000038</v>
      </c>
    </row>
    <row r="775">
      <c r="A775" s="47">
        <v>1.1237212963E10</v>
      </c>
      <c r="B775" s="48">
        <v>46157.7471875</v>
      </c>
      <c r="C775" s="30">
        <v>3.851855847E9</v>
      </c>
      <c r="D775" s="47" t="s">
        <v>1509</v>
      </c>
      <c r="E775" s="47">
        <v>8.684501941837E12</v>
      </c>
      <c r="F775" s="47" t="s">
        <v>289</v>
      </c>
      <c r="G775" s="47" t="s">
        <v>1543</v>
      </c>
      <c r="H775" s="30">
        <v>1.0</v>
      </c>
      <c r="I775" s="30">
        <v>300.92</v>
      </c>
      <c r="J775" s="30">
        <v>300.92</v>
      </c>
      <c r="K775" s="30">
        <v>18.0</v>
      </c>
      <c r="L775" s="30">
        <v>54.165600000000005</v>
      </c>
      <c r="M775" s="30">
        <v>53.0</v>
      </c>
      <c r="N775" s="30">
        <v>53.0</v>
      </c>
      <c r="O775" s="30">
        <v>0.0</v>
      </c>
      <c r="P775" s="30">
        <v>0.0</v>
      </c>
      <c r="Q775" s="30">
        <v>193.7544</v>
      </c>
    </row>
    <row r="776">
      <c r="A776" s="47">
        <v>1.1238452686E10</v>
      </c>
      <c r="B776" s="48">
        <v>46157.9940625</v>
      </c>
      <c r="C776" s="30">
        <v>3.85278634E9</v>
      </c>
      <c r="D776" s="47" t="s">
        <v>1509</v>
      </c>
      <c r="E776" s="47" t="s">
        <v>356</v>
      </c>
      <c r="F776" s="47" t="s">
        <v>1523</v>
      </c>
      <c r="G776" s="47" t="s">
        <v>1532</v>
      </c>
      <c r="H776" s="30">
        <v>1.0</v>
      </c>
      <c r="I776" s="30">
        <v>729.0</v>
      </c>
      <c r="J776" s="30">
        <v>729.0</v>
      </c>
      <c r="K776" s="30">
        <v>4.95</v>
      </c>
      <c r="L776" s="30">
        <v>36.0855</v>
      </c>
      <c r="M776" s="30">
        <v>580.0</v>
      </c>
      <c r="N776" s="30">
        <v>580.0</v>
      </c>
      <c r="O776" s="30">
        <v>0.0</v>
      </c>
      <c r="P776" s="30">
        <v>0.0</v>
      </c>
      <c r="Q776" s="30">
        <v>112.9145</v>
      </c>
    </row>
    <row r="777">
      <c r="A777" s="47">
        <v>1.1238912676E10</v>
      </c>
      <c r="B777" s="48">
        <v>46158.08918981482</v>
      </c>
      <c r="C777" s="30">
        <v>3.853172639E9</v>
      </c>
      <c r="D777" s="47" t="s">
        <v>1509</v>
      </c>
      <c r="E777" s="47">
        <v>7.613035846708E12</v>
      </c>
      <c r="F777" s="47" t="s">
        <v>1523</v>
      </c>
      <c r="G777" s="47" t="s">
        <v>1535</v>
      </c>
      <c r="H777" s="30">
        <v>1.0</v>
      </c>
      <c r="I777" s="30">
        <v>1267.9</v>
      </c>
      <c r="J777" s="30">
        <v>1267.9</v>
      </c>
      <c r="K777" s="30">
        <v>4.5</v>
      </c>
      <c r="L777" s="30">
        <v>57.0555</v>
      </c>
      <c r="M777" s="30">
        <v>1160.0</v>
      </c>
      <c r="N777" s="30">
        <v>1160.0</v>
      </c>
      <c r="O777" s="30">
        <v>0.0</v>
      </c>
      <c r="P777" s="30">
        <v>0.0</v>
      </c>
      <c r="Q777" s="30">
        <v>50.84450000000009</v>
      </c>
    </row>
    <row r="778">
      <c r="A778" s="47">
        <v>1.123444308E10</v>
      </c>
      <c r="B778" s="48">
        <v>46156.842673611114</v>
      </c>
      <c r="C778" s="30">
        <v>3.84935133E9</v>
      </c>
      <c r="D778" s="47" t="s">
        <v>1509</v>
      </c>
      <c r="E778" s="47">
        <v>7.613031384494E12</v>
      </c>
      <c r="F778" s="47" t="s">
        <v>1523</v>
      </c>
      <c r="G778" s="47" t="s">
        <v>1573</v>
      </c>
      <c r="H778" s="30">
        <v>1.0</v>
      </c>
      <c r="I778" s="30">
        <v>948.0</v>
      </c>
      <c r="J778" s="30">
        <v>948.0</v>
      </c>
      <c r="K778" s="30">
        <v>12.15</v>
      </c>
      <c r="L778" s="30">
        <v>115.182</v>
      </c>
      <c r="M778" s="30">
        <v>580.0</v>
      </c>
      <c r="N778" s="30">
        <v>580.0</v>
      </c>
      <c r="O778" s="30">
        <v>0.0</v>
      </c>
      <c r="P778" s="30">
        <v>0.0</v>
      </c>
      <c r="Q778" s="30">
        <v>252.81799999999998</v>
      </c>
    </row>
    <row r="779">
      <c r="A779" s="47">
        <v>1.1238669753E10</v>
      </c>
      <c r="B779" s="48">
        <v>46158.036099537036</v>
      </c>
      <c r="C779" s="30">
        <v>3.852963166E9</v>
      </c>
      <c r="D779" s="47" t="s">
        <v>1509</v>
      </c>
      <c r="E779" s="47">
        <v>7.613031680992E12</v>
      </c>
      <c r="F779" s="47" t="s">
        <v>1523</v>
      </c>
      <c r="G779" s="47" t="s">
        <v>1541</v>
      </c>
      <c r="H779" s="30">
        <v>2.0</v>
      </c>
      <c r="I779" s="30">
        <v>768.0</v>
      </c>
      <c r="J779" s="30">
        <v>1536.0</v>
      </c>
      <c r="K779" s="30">
        <v>3.69</v>
      </c>
      <c r="L779" s="30">
        <v>56.6784</v>
      </c>
      <c r="M779" s="30">
        <v>580.0</v>
      </c>
      <c r="N779" s="30">
        <v>1160.0</v>
      </c>
      <c r="O779" s="30">
        <v>0.0</v>
      </c>
      <c r="P779" s="30">
        <v>0.0</v>
      </c>
      <c r="Q779" s="30">
        <v>319.3216</v>
      </c>
    </row>
    <row r="780">
      <c r="A780" s="47">
        <v>1.1234898411E10</v>
      </c>
      <c r="B780" s="48">
        <v>46156.93618055555</v>
      </c>
      <c r="C780" s="30">
        <v>3.849685353E9</v>
      </c>
      <c r="D780" s="47" t="s">
        <v>1509</v>
      </c>
      <c r="E780" s="47">
        <v>7.613032816536E12</v>
      </c>
      <c r="F780" s="47" t="s">
        <v>1523</v>
      </c>
      <c r="G780" s="47" t="s">
        <v>1533</v>
      </c>
      <c r="H780" s="30">
        <v>1.0</v>
      </c>
      <c r="I780" s="30">
        <v>727.0</v>
      </c>
      <c r="J780" s="30">
        <v>727.0</v>
      </c>
      <c r="K780" s="30">
        <v>4.41</v>
      </c>
      <c r="L780" s="30">
        <v>32.060700000000004</v>
      </c>
      <c r="M780" s="30">
        <v>580.0</v>
      </c>
      <c r="N780" s="30">
        <v>580.0</v>
      </c>
      <c r="O780" s="30">
        <v>0.0</v>
      </c>
      <c r="P780" s="30">
        <v>0.0</v>
      </c>
      <c r="Q780" s="30">
        <v>114.9393</v>
      </c>
    </row>
    <row r="781">
      <c r="A781" s="47">
        <v>1.1236896524E10</v>
      </c>
      <c r="B781" s="48">
        <v>46157.68409722222</v>
      </c>
      <c r="C781" s="30">
        <v>3.851587477E9</v>
      </c>
      <c r="D781" s="47" t="s">
        <v>1509</v>
      </c>
      <c r="E781" s="47">
        <v>7.613035846708E12</v>
      </c>
      <c r="F781" s="47" t="s">
        <v>1523</v>
      </c>
      <c r="G781" s="47" t="s">
        <v>1535</v>
      </c>
      <c r="H781" s="30">
        <v>1.0</v>
      </c>
      <c r="I781" s="30">
        <v>1267.9</v>
      </c>
      <c r="J781" s="30">
        <v>1267.9</v>
      </c>
      <c r="K781" s="30">
        <v>4.5</v>
      </c>
      <c r="L781" s="30">
        <v>57.0555</v>
      </c>
      <c r="M781" s="30">
        <v>1160.0</v>
      </c>
      <c r="N781" s="30">
        <v>1160.0</v>
      </c>
      <c r="O781" s="30">
        <v>0.0</v>
      </c>
      <c r="P781" s="30">
        <v>0.0</v>
      </c>
      <c r="Q781" s="30">
        <v>50.84450000000009</v>
      </c>
    </row>
    <row r="782">
      <c r="A782" s="47">
        <v>1.1238763329E10</v>
      </c>
      <c r="B782" s="48">
        <v>46158.055439814816</v>
      </c>
      <c r="C782" s="30">
        <v>3.853040315E9</v>
      </c>
      <c r="D782" s="47" t="s">
        <v>1509</v>
      </c>
      <c r="E782" s="47" t="s">
        <v>356</v>
      </c>
      <c r="F782" s="47" t="s">
        <v>1523</v>
      </c>
      <c r="G782" s="47" t="s">
        <v>1532</v>
      </c>
      <c r="H782" s="30">
        <v>1.0</v>
      </c>
      <c r="I782" s="30">
        <v>729.0</v>
      </c>
      <c r="J782" s="30">
        <v>729.0</v>
      </c>
      <c r="K782" s="30">
        <v>4.95</v>
      </c>
      <c r="L782" s="30">
        <v>36.0855</v>
      </c>
      <c r="M782" s="30">
        <v>580.0</v>
      </c>
      <c r="N782" s="30">
        <v>580.0</v>
      </c>
      <c r="O782" s="30">
        <v>0.0</v>
      </c>
      <c r="P782" s="30">
        <v>0.0</v>
      </c>
      <c r="Q782" s="30">
        <v>112.9145</v>
      </c>
    </row>
    <row r="783">
      <c r="A783" s="47">
        <v>1.1246161159E10</v>
      </c>
      <c r="B783" s="48">
        <v>46160.57548611111</v>
      </c>
      <c r="C783" s="30">
        <v>3.859251334E9</v>
      </c>
      <c r="D783" s="47" t="s">
        <v>1511</v>
      </c>
      <c r="E783" s="47">
        <v>6.923632570001E12</v>
      </c>
      <c r="F783" s="47" t="s">
        <v>1523</v>
      </c>
      <c r="G783" s="47" t="s">
        <v>1544</v>
      </c>
      <c r="H783" s="30">
        <v>2.0</v>
      </c>
      <c r="I783" s="30">
        <v>474.47</v>
      </c>
      <c r="J783" s="30">
        <v>948.94</v>
      </c>
      <c r="K783" s="30">
        <v>18.0</v>
      </c>
      <c r="L783" s="30">
        <v>170.80920000000003</v>
      </c>
      <c r="M783" s="30">
        <v>130.0</v>
      </c>
      <c r="N783" s="30">
        <v>260.0</v>
      </c>
      <c r="O783" s="30">
        <v>0.0</v>
      </c>
      <c r="P783" s="30">
        <v>0.0</v>
      </c>
      <c r="Q783" s="30">
        <v>518.1308</v>
      </c>
    </row>
    <row r="784">
      <c r="A784" s="47">
        <v>1.1236851071E10</v>
      </c>
      <c r="B784" s="48">
        <v>46157.67491898148</v>
      </c>
      <c r="C784" s="30">
        <v>3.851550772E9</v>
      </c>
      <c r="D784" s="47" t="s">
        <v>1509</v>
      </c>
      <c r="E784" s="47">
        <v>7.613032816536E12</v>
      </c>
      <c r="F784" s="47" t="s">
        <v>1523</v>
      </c>
      <c r="G784" s="47" t="s">
        <v>1533</v>
      </c>
      <c r="H784" s="30">
        <v>1.0</v>
      </c>
      <c r="I784" s="30">
        <v>727.0</v>
      </c>
      <c r="J784" s="30">
        <v>727.0</v>
      </c>
      <c r="K784" s="30">
        <v>4.41</v>
      </c>
      <c r="L784" s="30">
        <v>32.060700000000004</v>
      </c>
      <c r="M784" s="30">
        <v>580.0</v>
      </c>
      <c r="N784" s="30">
        <v>580.0</v>
      </c>
      <c r="O784" s="30">
        <v>0.0</v>
      </c>
      <c r="P784" s="30">
        <v>0.0</v>
      </c>
      <c r="Q784" s="30">
        <v>114.9393</v>
      </c>
    </row>
    <row r="785">
      <c r="A785" s="47">
        <v>1.1235233439E10</v>
      </c>
      <c r="B785" s="48">
        <v>46157.00361111111</v>
      </c>
      <c r="C785" s="30">
        <v>3.84995008E9</v>
      </c>
      <c r="D785" s="47" t="s">
        <v>1509</v>
      </c>
      <c r="E785" s="47" t="s">
        <v>356</v>
      </c>
      <c r="F785" s="47" t="s">
        <v>1523</v>
      </c>
      <c r="G785" s="47" t="s">
        <v>1532</v>
      </c>
      <c r="H785" s="30">
        <v>3.0</v>
      </c>
      <c r="I785" s="30">
        <v>729.0</v>
      </c>
      <c r="J785" s="30">
        <v>2187.0</v>
      </c>
      <c r="K785" s="30">
        <v>4.95</v>
      </c>
      <c r="L785" s="30">
        <v>108.2565</v>
      </c>
      <c r="M785" s="30">
        <v>580.0</v>
      </c>
      <c r="N785" s="30">
        <v>1740.0</v>
      </c>
      <c r="O785" s="30">
        <v>0.0</v>
      </c>
      <c r="P785" s="30">
        <v>0.0</v>
      </c>
      <c r="Q785" s="30">
        <v>338.7435</v>
      </c>
    </row>
    <row r="786">
      <c r="A786" s="47">
        <v>1.1238227918E10</v>
      </c>
      <c r="B786" s="48">
        <v>46157.95087962963</v>
      </c>
      <c r="C786" s="30">
        <v>3.852620159E9</v>
      </c>
      <c r="D786" s="47" t="s">
        <v>1509</v>
      </c>
      <c r="E786" s="47">
        <v>7.613033560064E12</v>
      </c>
      <c r="F786" s="47" t="s">
        <v>1523</v>
      </c>
      <c r="G786" s="47" t="s">
        <v>1527</v>
      </c>
      <c r="H786" s="30">
        <v>1.0</v>
      </c>
      <c r="I786" s="30">
        <v>1291.0</v>
      </c>
      <c r="J786" s="30">
        <v>1291.0</v>
      </c>
      <c r="K786" s="30">
        <v>2.7</v>
      </c>
      <c r="L786" s="30">
        <v>34.857</v>
      </c>
      <c r="M786" s="30">
        <v>1190.0</v>
      </c>
      <c r="N786" s="30">
        <v>1190.0</v>
      </c>
      <c r="O786" s="30">
        <v>0.0</v>
      </c>
      <c r="P786" s="30">
        <v>0.0</v>
      </c>
      <c r="Q786" s="30">
        <v>66.143</v>
      </c>
    </row>
    <row r="787">
      <c r="A787" s="47">
        <v>1.1238227918E10</v>
      </c>
      <c r="B787" s="48">
        <v>46157.95087962963</v>
      </c>
      <c r="C787" s="30">
        <v>3.852620159E9</v>
      </c>
      <c r="D787" s="47" t="s">
        <v>1509</v>
      </c>
      <c r="E787" s="47">
        <v>8.684501941837E12</v>
      </c>
      <c r="F787" s="47" t="s">
        <v>289</v>
      </c>
      <c r="G787" s="47" t="s">
        <v>1543</v>
      </c>
      <c r="H787" s="30">
        <v>2.0</v>
      </c>
      <c r="I787" s="30">
        <v>174.995</v>
      </c>
      <c r="J787" s="30">
        <v>349.99</v>
      </c>
      <c r="K787" s="30">
        <v>18.0</v>
      </c>
      <c r="L787" s="30">
        <v>62.9982</v>
      </c>
      <c r="M787" s="30">
        <v>53.0</v>
      </c>
      <c r="N787" s="30">
        <v>106.0</v>
      </c>
      <c r="O787" s="30">
        <v>0.0</v>
      </c>
      <c r="P787" s="30">
        <v>0.0</v>
      </c>
      <c r="Q787" s="30">
        <v>180.9918</v>
      </c>
    </row>
    <row r="788">
      <c r="A788" s="47">
        <v>1.1235252973E10</v>
      </c>
      <c r="B788" s="48">
        <v>46157.00766203704</v>
      </c>
      <c r="C788" s="30">
        <v>3.84996658E9</v>
      </c>
      <c r="D788" s="47" t="s">
        <v>1509</v>
      </c>
      <c r="E788" s="47">
        <v>7.613033560033E12</v>
      </c>
      <c r="F788" s="47">
        <v>0.0</v>
      </c>
      <c r="G788" s="47" t="s">
        <v>1574</v>
      </c>
      <c r="H788" s="30">
        <v>1.0</v>
      </c>
      <c r="I788" s="30">
        <v>1278.0</v>
      </c>
      <c r="J788" s="30">
        <v>1278.0</v>
      </c>
      <c r="K788" s="30">
        <v>3.6</v>
      </c>
      <c r="L788" s="30">
        <v>46.008</v>
      </c>
      <c r="M788" s="30">
        <v>1165.0</v>
      </c>
      <c r="N788" s="30">
        <v>1165.0</v>
      </c>
      <c r="O788" s="30">
        <v>0.0</v>
      </c>
      <c r="P788" s="30">
        <v>0.0</v>
      </c>
      <c r="Q788" s="30">
        <v>66.99199999999999</v>
      </c>
    </row>
    <row r="789">
      <c r="A789" s="47">
        <v>1.1238121993E10</v>
      </c>
      <c r="B789" s="48">
        <v>46157.930925925924</v>
      </c>
      <c r="C789" s="30">
        <v>3.852545027E9</v>
      </c>
      <c r="D789" s="47" t="s">
        <v>1509</v>
      </c>
      <c r="E789" s="47">
        <v>7.613033560064E12</v>
      </c>
      <c r="F789" s="47" t="s">
        <v>1523</v>
      </c>
      <c r="G789" s="47" t="s">
        <v>1527</v>
      </c>
      <c r="H789" s="30">
        <v>1.0</v>
      </c>
      <c r="I789" s="30">
        <v>1291.0</v>
      </c>
      <c r="J789" s="30">
        <v>1291.0</v>
      </c>
      <c r="K789" s="30">
        <v>2.7</v>
      </c>
      <c r="L789" s="30">
        <v>34.857</v>
      </c>
      <c r="M789" s="30">
        <v>1190.0</v>
      </c>
      <c r="N789" s="30">
        <v>1190.0</v>
      </c>
      <c r="O789" s="30">
        <v>0.0</v>
      </c>
      <c r="P789" s="30">
        <v>0.0</v>
      </c>
      <c r="Q789" s="30">
        <v>66.143</v>
      </c>
    </row>
    <row r="790">
      <c r="A790" s="47">
        <v>1.1234270469E10</v>
      </c>
      <c r="B790" s="48">
        <v>46156.80503472222</v>
      </c>
      <c r="C790" s="30">
        <v>3.849214258E9</v>
      </c>
      <c r="D790" s="47" t="s">
        <v>1509</v>
      </c>
      <c r="E790" s="47">
        <v>7.613032816536E12</v>
      </c>
      <c r="F790" s="47" t="s">
        <v>1523</v>
      </c>
      <c r="G790" s="47" t="s">
        <v>1533</v>
      </c>
      <c r="H790" s="30">
        <v>2.0</v>
      </c>
      <c r="I790" s="30">
        <v>727.0</v>
      </c>
      <c r="J790" s="30">
        <v>1454.0</v>
      </c>
      <c r="K790" s="30">
        <v>4.41</v>
      </c>
      <c r="L790" s="30">
        <v>64.12140000000001</v>
      </c>
      <c r="M790" s="30">
        <v>580.0</v>
      </c>
      <c r="N790" s="30">
        <v>1160.0</v>
      </c>
      <c r="O790" s="30">
        <v>0.0</v>
      </c>
      <c r="P790" s="30">
        <v>0.0</v>
      </c>
      <c r="Q790" s="30">
        <v>229.8786</v>
      </c>
    </row>
    <row r="791">
      <c r="A791" s="47">
        <v>1.1237130626E10</v>
      </c>
      <c r="B791" s="48">
        <v>46157.73027777778</v>
      </c>
      <c r="C791" s="30">
        <v>3.85178548E9</v>
      </c>
      <c r="D791" s="47" t="s">
        <v>1509</v>
      </c>
      <c r="E791" s="47" t="s">
        <v>356</v>
      </c>
      <c r="F791" s="47" t="s">
        <v>1523</v>
      </c>
      <c r="G791" s="47" t="s">
        <v>1532</v>
      </c>
      <c r="H791" s="30">
        <v>1.0</v>
      </c>
      <c r="I791" s="30">
        <v>729.0</v>
      </c>
      <c r="J791" s="30">
        <v>729.0</v>
      </c>
      <c r="K791" s="30">
        <v>4.95</v>
      </c>
      <c r="L791" s="30">
        <v>36.0855</v>
      </c>
      <c r="M791" s="30">
        <v>580.0</v>
      </c>
      <c r="N791" s="30">
        <v>580.0</v>
      </c>
      <c r="O791" s="30">
        <v>0.0</v>
      </c>
      <c r="P791" s="30">
        <v>0.0</v>
      </c>
      <c r="Q791" s="30">
        <v>112.9145</v>
      </c>
    </row>
    <row r="792">
      <c r="A792" s="47">
        <v>1.1233349706E10</v>
      </c>
      <c r="B792" s="48">
        <v>46156.61050925926</v>
      </c>
      <c r="C792" s="30">
        <v>3.848446499E9</v>
      </c>
      <c r="D792" s="47" t="s">
        <v>1509</v>
      </c>
      <c r="E792" s="47" t="s">
        <v>356</v>
      </c>
      <c r="F792" s="47" t="s">
        <v>1523</v>
      </c>
      <c r="G792" s="47" t="s">
        <v>1532</v>
      </c>
      <c r="H792" s="30">
        <v>2.0</v>
      </c>
      <c r="I792" s="30">
        <v>729.0</v>
      </c>
      <c r="J792" s="30">
        <v>1458.0</v>
      </c>
      <c r="K792" s="30">
        <v>4.95</v>
      </c>
      <c r="L792" s="30">
        <v>72.171</v>
      </c>
      <c r="M792" s="30">
        <v>580.0</v>
      </c>
      <c r="N792" s="30">
        <v>1160.0</v>
      </c>
      <c r="O792" s="30">
        <v>0.0</v>
      </c>
      <c r="P792" s="30">
        <v>0.0</v>
      </c>
      <c r="Q792" s="30">
        <v>225.829</v>
      </c>
    </row>
    <row r="793">
      <c r="A793" s="47">
        <v>1.1237658675E10</v>
      </c>
      <c r="B793" s="48">
        <v>46157.840520833335</v>
      </c>
      <c r="C793" s="30">
        <v>3.852221678E9</v>
      </c>
      <c r="D793" s="47" t="s">
        <v>1509</v>
      </c>
      <c r="E793" s="47" t="s">
        <v>356</v>
      </c>
      <c r="F793" s="47" t="s">
        <v>1523</v>
      </c>
      <c r="G793" s="47" t="s">
        <v>1532</v>
      </c>
      <c r="H793" s="30">
        <v>1.0</v>
      </c>
      <c r="I793" s="30">
        <v>729.0</v>
      </c>
      <c r="J793" s="30">
        <v>729.0</v>
      </c>
      <c r="K793" s="30">
        <v>4.95</v>
      </c>
      <c r="L793" s="30">
        <v>36.0855</v>
      </c>
      <c r="M793" s="30">
        <v>580.0</v>
      </c>
      <c r="N793" s="30">
        <v>580.0</v>
      </c>
      <c r="O793" s="30">
        <v>0.0</v>
      </c>
      <c r="P793" s="30">
        <v>0.0</v>
      </c>
      <c r="Q793" s="30">
        <v>112.9145</v>
      </c>
    </row>
    <row r="794">
      <c r="A794" s="47">
        <v>1.1238769617E10</v>
      </c>
      <c r="B794" s="48">
        <v>46158.056805555556</v>
      </c>
      <c r="C794" s="30">
        <v>3.853044632E9</v>
      </c>
      <c r="D794" s="47" t="s">
        <v>1509</v>
      </c>
      <c r="E794" s="47">
        <v>7.613033560064E12</v>
      </c>
      <c r="F794" s="47" t="s">
        <v>1523</v>
      </c>
      <c r="G794" s="47" t="s">
        <v>1527</v>
      </c>
      <c r="H794" s="30">
        <v>1.0</v>
      </c>
      <c r="I794" s="30">
        <v>1291.0</v>
      </c>
      <c r="J794" s="30">
        <v>1291.0</v>
      </c>
      <c r="K794" s="30">
        <v>2.7</v>
      </c>
      <c r="L794" s="30">
        <v>34.857</v>
      </c>
      <c r="M794" s="30">
        <v>1190.0</v>
      </c>
      <c r="N794" s="30">
        <v>1190.0</v>
      </c>
      <c r="O794" s="30">
        <v>0.0</v>
      </c>
      <c r="P794" s="30">
        <v>0.0</v>
      </c>
      <c r="Q794" s="30">
        <v>66.143</v>
      </c>
    </row>
    <row r="795">
      <c r="A795" s="47">
        <v>1.1238373965E10</v>
      </c>
      <c r="B795" s="48">
        <v>46157.978854166664</v>
      </c>
      <c r="C795" s="30">
        <v>3.852724164E9</v>
      </c>
      <c r="D795" s="47" t="s">
        <v>1509</v>
      </c>
      <c r="E795" s="47">
        <v>7.613032816536E12</v>
      </c>
      <c r="F795" s="47" t="s">
        <v>1523</v>
      </c>
      <c r="G795" s="47" t="s">
        <v>1533</v>
      </c>
      <c r="H795" s="30">
        <v>1.0</v>
      </c>
      <c r="I795" s="30">
        <v>729.0</v>
      </c>
      <c r="J795" s="30">
        <v>729.0</v>
      </c>
      <c r="K795" s="30">
        <v>4.41</v>
      </c>
      <c r="L795" s="30">
        <v>32.148900000000005</v>
      </c>
      <c r="M795" s="30">
        <v>580.0</v>
      </c>
      <c r="N795" s="30">
        <v>580.0</v>
      </c>
      <c r="O795" s="30">
        <v>0.0</v>
      </c>
      <c r="P795" s="30">
        <v>0.0</v>
      </c>
      <c r="Q795" s="30">
        <v>116.8511</v>
      </c>
    </row>
    <row r="796">
      <c r="A796" s="47">
        <v>1.1212811227E10</v>
      </c>
      <c r="B796" s="48">
        <v>46150.6096875</v>
      </c>
      <c r="C796" s="30">
        <v>3.829700277E9</v>
      </c>
      <c r="D796" s="47" t="s">
        <v>1510</v>
      </c>
      <c r="E796" s="47" t="s">
        <v>537</v>
      </c>
      <c r="F796" s="47" t="s">
        <v>1523</v>
      </c>
      <c r="G796" s="47" t="s">
        <v>1575</v>
      </c>
      <c r="H796" s="30">
        <v>1.0</v>
      </c>
      <c r="I796" s="30">
        <v>1482.0</v>
      </c>
      <c r="J796" s="30">
        <v>1482.0</v>
      </c>
      <c r="K796" s="30">
        <v>12.5</v>
      </c>
      <c r="L796" s="30">
        <v>185.25</v>
      </c>
      <c r="M796" s="30">
        <v>1053.0</v>
      </c>
      <c r="N796" s="30">
        <v>1053.0</v>
      </c>
      <c r="O796" s="30">
        <v>0.0</v>
      </c>
      <c r="P796" s="30">
        <v>0.0</v>
      </c>
      <c r="Q796" s="30">
        <v>243.75</v>
      </c>
    </row>
    <row r="797">
      <c r="A797" s="47">
        <v>1.1243611395E10</v>
      </c>
      <c r="B797" s="48">
        <v>46159.76605324074</v>
      </c>
      <c r="C797" s="30">
        <v>3.857083022E9</v>
      </c>
      <c r="D797" s="47" t="s">
        <v>1511</v>
      </c>
      <c r="E797" s="47">
        <v>8.684501941837E12</v>
      </c>
      <c r="F797" s="47" t="s">
        <v>289</v>
      </c>
      <c r="G797" s="47" t="s">
        <v>1543</v>
      </c>
      <c r="H797" s="30">
        <v>1.0</v>
      </c>
      <c r="I797" s="30">
        <v>301.01</v>
      </c>
      <c r="J797" s="30">
        <v>301.01</v>
      </c>
      <c r="K797" s="30">
        <v>0.0</v>
      </c>
      <c r="L797" s="30">
        <v>0.0</v>
      </c>
      <c r="M797" s="30">
        <v>53.0</v>
      </c>
      <c r="N797" s="30">
        <v>53.0</v>
      </c>
      <c r="O797" s="30">
        <v>0.0</v>
      </c>
      <c r="P797" s="30">
        <v>0.0</v>
      </c>
      <c r="Q797" s="30">
        <v>248.01</v>
      </c>
    </row>
    <row r="798">
      <c r="A798" s="47">
        <v>1.1243611395E10</v>
      </c>
      <c r="B798" s="48">
        <v>46159.76605324074</v>
      </c>
      <c r="C798" s="30">
        <v>3.857083022E9</v>
      </c>
      <c r="D798" s="47" t="s">
        <v>1511</v>
      </c>
      <c r="E798" s="47">
        <v>7.613032816536E12</v>
      </c>
      <c r="F798" s="47" t="s">
        <v>1523</v>
      </c>
      <c r="G798" s="47" t="s">
        <v>1533</v>
      </c>
      <c r="H798" s="30">
        <v>2.0</v>
      </c>
      <c r="I798" s="30">
        <v>677.995</v>
      </c>
      <c r="J798" s="30">
        <v>1355.99</v>
      </c>
      <c r="K798" s="30">
        <v>0.0</v>
      </c>
      <c r="L798" s="30">
        <v>0.0</v>
      </c>
      <c r="M798" s="30">
        <v>580.0</v>
      </c>
      <c r="N798" s="30">
        <v>1160.0</v>
      </c>
      <c r="O798" s="30">
        <v>0.0</v>
      </c>
      <c r="P798" s="30">
        <v>0.0</v>
      </c>
      <c r="Q798" s="30">
        <v>195.99</v>
      </c>
    </row>
    <row r="799">
      <c r="A799" s="47">
        <v>1.1232832169E10</v>
      </c>
      <c r="B799" s="48">
        <v>46156.232881944445</v>
      </c>
      <c r="C799" s="30">
        <v>3.847896034E9</v>
      </c>
      <c r="D799" s="47" t="s">
        <v>1509</v>
      </c>
      <c r="E799" s="47">
        <v>7.613032816536E12</v>
      </c>
      <c r="F799" s="47" t="s">
        <v>1523</v>
      </c>
      <c r="G799" s="47" t="s">
        <v>1533</v>
      </c>
      <c r="H799" s="30">
        <v>1.0</v>
      </c>
      <c r="I799" s="30">
        <v>727.0</v>
      </c>
      <c r="J799" s="30">
        <v>727.0</v>
      </c>
      <c r="K799" s="30">
        <v>4.41</v>
      </c>
      <c r="L799" s="30">
        <v>32.060700000000004</v>
      </c>
      <c r="M799" s="30">
        <v>580.0</v>
      </c>
      <c r="N799" s="30">
        <v>580.0</v>
      </c>
      <c r="O799" s="30">
        <v>0.0</v>
      </c>
      <c r="P799" s="30">
        <v>0.0</v>
      </c>
      <c r="Q799" s="30">
        <v>114.9393</v>
      </c>
    </row>
    <row r="800">
      <c r="A800" s="47">
        <v>1.1229768577E10</v>
      </c>
      <c r="B800" s="48">
        <v>46155.48428240741</v>
      </c>
      <c r="C800" s="30">
        <v>3.84513014E9</v>
      </c>
      <c r="D800" s="47" t="s">
        <v>1509</v>
      </c>
      <c r="E800" s="47">
        <v>3.182550728102E12</v>
      </c>
      <c r="F800" s="47" t="s">
        <v>1523</v>
      </c>
      <c r="G800" s="47" t="s">
        <v>1576</v>
      </c>
      <c r="H800" s="30">
        <v>1.0</v>
      </c>
      <c r="I800" s="30">
        <v>978.0</v>
      </c>
      <c r="J800" s="30">
        <v>978.0</v>
      </c>
      <c r="K800" s="30">
        <v>11.25</v>
      </c>
      <c r="L800" s="30">
        <v>110.025</v>
      </c>
      <c r="M800" s="30">
        <v>621.6</v>
      </c>
      <c r="N800" s="30">
        <v>621.6</v>
      </c>
      <c r="O800" s="30">
        <v>0.0</v>
      </c>
      <c r="P800" s="30">
        <v>0.0</v>
      </c>
      <c r="Q800" s="30">
        <v>246.37499999999997</v>
      </c>
    </row>
    <row r="801">
      <c r="A801" s="47">
        <v>1.1231428469E10</v>
      </c>
      <c r="B801" s="48">
        <v>46155.87907407407</v>
      </c>
      <c r="C801" s="30">
        <v>3.846614268E9</v>
      </c>
      <c r="D801" s="47" t="s">
        <v>1509</v>
      </c>
      <c r="E801" s="47">
        <v>3.182550737616E12</v>
      </c>
      <c r="F801" s="47" t="s">
        <v>1523</v>
      </c>
      <c r="G801" s="47" t="s">
        <v>1570</v>
      </c>
      <c r="H801" s="30">
        <v>1.0</v>
      </c>
      <c r="I801" s="30">
        <v>1854.0</v>
      </c>
      <c r="J801" s="30">
        <v>1854.0</v>
      </c>
      <c r="K801" s="30">
        <v>4.32</v>
      </c>
      <c r="L801" s="30">
        <v>80.09280000000001</v>
      </c>
      <c r="M801" s="30">
        <v>1535.52</v>
      </c>
      <c r="N801" s="30">
        <v>1535.52</v>
      </c>
      <c r="O801" s="30">
        <v>0.0</v>
      </c>
      <c r="P801" s="30">
        <v>0.0</v>
      </c>
      <c r="Q801" s="30">
        <v>238.3872</v>
      </c>
    </row>
    <row r="802">
      <c r="A802" s="47">
        <v>1.1239537036E10</v>
      </c>
      <c r="B802" s="48">
        <v>46158.54961805556</v>
      </c>
      <c r="C802" s="30">
        <v>3.853789388E9</v>
      </c>
      <c r="D802" s="47" t="s">
        <v>1511</v>
      </c>
      <c r="E802" s="47">
        <v>7.613033560064E12</v>
      </c>
      <c r="F802" s="47" t="s">
        <v>1523</v>
      </c>
      <c r="G802" s="47" t="s">
        <v>1527</v>
      </c>
      <c r="H802" s="30">
        <v>1.0</v>
      </c>
      <c r="I802" s="30">
        <v>1289.0</v>
      </c>
      <c r="J802" s="30">
        <v>1289.0</v>
      </c>
      <c r="K802" s="30">
        <v>2.7</v>
      </c>
      <c r="L802" s="30">
        <v>34.803000000000004</v>
      </c>
      <c r="M802" s="30">
        <v>1190.0</v>
      </c>
      <c r="N802" s="30">
        <v>1190.0</v>
      </c>
      <c r="O802" s="30">
        <v>0.0</v>
      </c>
      <c r="P802" s="30">
        <v>0.0</v>
      </c>
      <c r="Q802" s="30">
        <v>64.197</v>
      </c>
    </row>
    <row r="803">
      <c r="A803" s="47">
        <v>1.1236067409E10</v>
      </c>
      <c r="B803" s="48">
        <v>46157.44513888889</v>
      </c>
      <c r="C803" s="30">
        <v>3.850794033E9</v>
      </c>
      <c r="D803" s="47" t="s">
        <v>1509</v>
      </c>
      <c r="E803" s="47">
        <v>7.613033560033E12</v>
      </c>
      <c r="F803" s="47">
        <v>0.0</v>
      </c>
      <c r="G803" s="47" t="s">
        <v>1539</v>
      </c>
      <c r="H803" s="30">
        <v>1.0</v>
      </c>
      <c r="I803" s="30">
        <v>1278.0</v>
      </c>
      <c r="J803" s="30">
        <v>1278.0</v>
      </c>
      <c r="K803" s="30">
        <v>3.6</v>
      </c>
      <c r="L803" s="30">
        <v>46.008</v>
      </c>
      <c r="M803" s="30">
        <v>1165.0</v>
      </c>
      <c r="N803" s="30">
        <v>1165.0</v>
      </c>
      <c r="O803" s="30">
        <v>0.0</v>
      </c>
      <c r="P803" s="30">
        <v>0.0</v>
      </c>
      <c r="Q803" s="30">
        <v>66.99199999999999</v>
      </c>
    </row>
    <row r="804">
      <c r="A804" s="47">
        <v>1.1241451865E10</v>
      </c>
      <c r="B804" s="48">
        <v>46158.96481481481</v>
      </c>
      <c r="C804" s="30">
        <v>3.855262873E9</v>
      </c>
      <c r="D804" s="47" t="s">
        <v>1511</v>
      </c>
      <c r="E804" s="47" t="s">
        <v>356</v>
      </c>
      <c r="F804" s="47" t="s">
        <v>1523</v>
      </c>
      <c r="G804" s="47" t="s">
        <v>1532</v>
      </c>
      <c r="H804" s="30">
        <v>1.0</v>
      </c>
      <c r="I804" s="30">
        <v>729.0</v>
      </c>
      <c r="J804" s="30">
        <v>729.0</v>
      </c>
      <c r="K804" s="30">
        <v>0.0</v>
      </c>
      <c r="L804" s="30">
        <v>0.0</v>
      </c>
      <c r="M804" s="30">
        <v>580.0</v>
      </c>
      <c r="N804" s="30">
        <v>580.0</v>
      </c>
      <c r="O804" s="30">
        <v>0.0</v>
      </c>
      <c r="P804" s="30">
        <v>0.0</v>
      </c>
      <c r="Q804" s="30">
        <v>149.0</v>
      </c>
    </row>
    <row r="805">
      <c r="A805" s="47">
        <v>1.12361666E10</v>
      </c>
      <c r="B805" s="48">
        <v>46157.50914351852</v>
      </c>
      <c r="C805" s="30">
        <v>3.85091212E9</v>
      </c>
      <c r="D805" s="47" t="s">
        <v>1509</v>
      </c>
      <c r="E805" s="47">
        <v>7.613033560064E12</v>
      </c>
      <c r="F805" s="47" t="s">
        <v>1523</v>
      </c>
      <c r="G805" s="47" t="s">
        <v>1527</v>
      </c>
      <c r="H805" s="30">
        <v>1.0</v>
      </c>
      <c r="I805" s="30">
        <v>1295.9</v>
      </c>
      <c r="J805" s="30">
        <v>1295.9</v>
      </c>
      <c r="K805" s="30">
        <v>2.7</v>
      </c>
      <c r="L805" s="30">
        <v>34.9893</v>
      </c>
      <c r="M805" s="30">
        <v>1190.0</v>
      </c>
      <c r="N805" s="30">
        <v>1190.0</v>
      </c>
      <c r="O805" s="30">
        <v>0.0</v>
      </c>
      <c r="P805" s="30">
        <v>0.0</v>
      </c>
      <c r="Q805" s="30">
        <v>70.91070000000009</v>
      </c>
    </row>
    <row r="806">
      <c r="A806" s="47">
        <v>1.1241134993E10</v>
      </c>
      <c r="B806" s="48">
        <v>46158.90074074074</v>
      </c>
      <c r="C806" s="30">
        <v>3.855051514E9</v>
      </c>
      <c r="D806" s="47" t="s">
        <v>1511</v>
      </c>
      <c r="E806" s="47" t="s">
        <v>356</v>
      </c>
      <c r="F806" s="47" t="s">
        <v>1523</v>
      </c>
      <c r="G806" s="47" t="s">
        <v>1532</v>
      </c>
      <c r="H806" s="30">
        <v>1.0</v>
      </c>
      <c r="I806" s="30">
        <v>729.0</v>
      </c>
      <c r="J806" s="30">
        <v>729.0</v>
      </c>
      <c r="K806" s="30">
        <v>0.0</v>
      </c>
      <c r="L806" s="30">
        <v>0.0</v>
      </c>
      <c r="M806" s="30">
        <v>580.0</v>
      </c>
      <c r="N806" s="30">
        <v>580.0</v>
      </c>
      <c r="O806" s="30">
        <v>0.0</v>
      </c>
      <c r="P806" s="30">
        <v>0.0</v>
      </c>
      <c r="Q806" s="30">
        <v>149.0</v>
      </c>
    </row>
    <row r="807">
      <c r="A807" s="47">
        <v>1.1236540434E10</v>
      </c>
      <c r="B807" s="48">
        <v>46157.61402777778</v>
      </c>
      <c r="C807" s="30">
        <v>3.851293291E9</v>
      </c>
      <c r="D807" s="47" t="s">
        <v>1509</v>
      </c>
      <c r="E807" s="47">
        <v>8.46799273637E11</v>
      </c>
      <c r="F807" s="47" t="s">
        <v>1523</v>
      </c>
      <c r="G807" s="47" t="s">
        <v>1534</v>
      </c>
      <c r="H807" s="30">
        <v>1.0</v>
      </c>
      <c r="I807" s="30">
        <v>659.0</v>
      </c>
      <c r="J807" s="30">
        <v>659.0</v>
      </c>
      <c r="K807" s="30">
        <v>14.85</v>
      </c>
      <c r="L807" s="30">
        <v>97.86149999999999</v>
      </c>
      <c r="M807" s="30">
        <v>420.0</v>
      </c>
      <c r="N807" s="30">
        <v>420.0</v>
      </c>
      <c r="O807" s="30">
        <v>0.0</v>
      </c>
      <c r="P807" s="30">
        <v>0.0</v>
      </c>
      <c r="Q807" s="30">
        <v>141.13850000000002</v>
      </c>
    </row>
    <row r="808">
      <c r="A808" s="47">
        <v>1.1231151543E10</v>
      </c>
      <c r="B808" s="48">
        <v>46155.81927083333</v>
      </c>
      <c r="C808" s="30">
        <v>3.846394403E9</v>
      </c>
      <c r="D808" s="47" t="s">
        <v>1509</v>
      </c>
      <c r="E808" s="47">
        <v>3.182550737616E12</v>
      </c>
      <c r="F808" s="47" t="s">
        <v>1523</v>
      </c>
      <c r="G808" s="47" t="s">
        <v>1570</v>
      </c>
      <c r="H808" s="30">
        <v>1.0</v>
      </c>
      <c r="I808" s="30">
        <v>1880.0</v>
      </c>
      <c r="J808" s="30">
        <v>1880.0</v>
      </c>
      <c r="K808" s="30">
        <v>4.32</v>
      </c>
      <c r="L808" s="30">
        <v>81.21600000000001</v>
      </c>
      <c r="M808" s="30">
        <v>1535.52</v>
      </c>
      <c r="N808" s="30">
        <v>1535.52</v>
      </c>
      <c r="O808" s="30">
        <v>0.0</v>
      </c>
      <c r="P808" s="30">
        <v>0.0</v>
      </c>
      <c r="Q808" s="30">
        <v>263.264</v>
      </c>
    </row>
    <row r="809">
      <c r="A809" s="47">
        <v>1.1233517846E10</v>
      </c>
      <c r="B809" s="48">
        <v>46156.64486111111</v>
      </c>
      <c r="C809" s="30">
        <v>3.848581941E9</v>
      </c>
      <c r="D809" s="47" t="s">
        <v>1509</v>
      </c>
      <c r="E809" s="47">
        <v>8.46799273637E11</v>
      </c>
      <c r="F809" s="47" t="s">
        <v>1523</v>
      </c>
      <c r="G809" s="47" t="s">
        <v>1553</v>
      </c>
      <c r="H809" s="30">
        <v>1.0</v>
      </c>
      <c r="I809" s="30">
        <v>659.0</v>
      </c>
      <c r="J809" s="30">
        <v>659.0</v>
      </c>
      <c r="K809" s="30">
        <v>14.85</v>
      </c>
      <c r="L809" s="30">
        <v>97.86149999999999</v>
      </c>
      <c r="M809" s="30">
        <v>420.0</v>
      </c>
      <c r="N809" s="30">
        <v>420.0</v>
      </c>
      <c r="O809" s="30">
        <v>0.0</v>
      </c>
      <c r="P809" s="30">
        <v>0.0</v>
      </c>
      <c r="Q809" s="30">
        <v>141.13850000000002</v>
      </c>
    </row>
    <row r="810">
      <c r="A810" s="47">
        <v>1.1235656086E10</v>
      </c>
      <c r="B810" s="48">
        <v>46157.09501157407</v>
      </c>
      <c r="C810" s="30">
        <v>3.850350593E9</v>
      </c>
      <c r="D810" s="47" t="s">
        <v>1509</v>
      </c>
      <c r="E810" s="47">
        <v>7.613031680992E12</v>
      </c>
      <c r="F810" s="47" t="s">
        <v>1523</v>
      </c>
      <c r="G810" s="47" t="s">
        <v>1541</v>
      </c>
      <c r="H810" s="30">
        <v>1.0</v>
      </c>
      <c r="I810" s="30">
        <v>817.0</v>
      </c>
      <c r="J810" s="30">
        <v>817.0</v>
      </c>
      <c r="K810" s="30">
        <v>12.15</v>
      </c>
      <c r="L810" s="30">
        <v>99.26550000000002</v>
      </c>
      <c r="M810" s="30">
        <v>580.0</v>
      </c>
      <c r="N810" s="30">
        <v>580.0</v>
      </c>
      <c r="O810" s="30">
        <v>0.0</v>
      </c>
      <c r="P810" s="30">
        <v>0.0</v>
      </c>
      <c r="Q810" s="30">
        <v>137.73449999999997</v>
      </c>
    </row>
    <row r="811">
      <c r="A811" s="47">
        <v>1.1235195475E10</v>
      </c>
      <c r="B811" s="48">
        <v>46156.99622685185</v>
      </c>
      <c r="C811" s="30">
        <v>3.849920923E9</v>
      </c>
      <c r="D811" s="47" t="s">
        <v>1509</v>
      </c>
      <c r="E811" s="47">
        <v>7.613033560064E12</v>
      </c>
      <c r="F811" s="47" t="s">
        <v>1523</v>
      </c>
      <c r="G811" s="47" t="s">
        <v>1527</v>
      </c>
      <c r="H811" s="30">
        <v>1.0</v>
      </c>
      <c r="I811" s="30">
        <v>1297.9</v>
      </c>
      <c r="J811" s="30">
        <v>1297.9</v>
      </c>
      <c r="K811" s="30">
        <v>2.7</v>
      </c>
      <c r="L811" s="30">
        <v>35.0433</v>
      </c>
      <c r="M811" s="30">
        <v>1190.0</v>
      </c>
      <c r="N811" s="30">
        <v>1190.0</v>
      </c>
      <c r="O811" s="30">
        <v>0.0</v>
      </c>
      <c r="P811" s="30">
        <v>0.0</v>
      </c>
      <c r="Q811" s="30">
        <v>72.85670000000009</v>
      </c>
    </row>
    <row r="812">
      <c r="A812" s="47">
        <v>1.1234601968E10</v>
      </c>
      <c r="B812" s="48">
        <v>46156.876284722224</v>
      </c>
      <c r="C812" s="30">
        <v>3.849470788E9</v>
      </c>
      <c r="D812" s="47" t="s">
        <v>1509</v>
      </c>
      <c r="E812" s="47">
        <v>7.613033560064E12</v>
      </c>
      <c r="F812" s="47" t="s">
        <v>1523</v>
      </c>
      <c r="G812" s="47" t="s">
        <v>1527</v>
      </c>
      <c r="H812" s="30">
        <v>1.0</v>
      </c>
      <c r="I812" s="30">
        <v>1299.0</v>
      </c>
      <c r="J812" s="30">
        <v>1299.0</v>
      </c>
      <c r="K812" s="30">
        <v>2.7</v>
      </c>
      <c r="L812" s="30">
        <v>35.073</v>
      </c>
      <c r="M812" s="30">
        <v>1190.0</v>
      </c>
      <c r="N812" s="30">
        <v>1190.0</v>
      </c>
      <c r="O812" s="30">
        <v>0.0</v>
      </c>
      <c r="P812" s="30">
        <v>0.0</v>
      </c>
      <c r="Q812" s="30">
        <v>73.92699999999999</v>
      </c>
    </row>
    <row r="813">
      <c r="A813" s="47">
        <v>1.1227920786E10</v>
      </c>
      <c r="B813" s="48">
        <v>46154.815</v>
      </c>
      <c r="C813" s="30">
        <v>3.843451778E9</v>
      </c>
      <c r="D813" s="47" t="s">
        <v>1509</v>
      </c>
      <c r="E813" s="47">
        <v>3.182550737616E12</v>
      </c>
      <c r="F813" s="47" t="s">
        <v>1523</v>
      </c>
      <c r="G813" s="47" t="s">
        <v>1577</v>
      </c>
      <c r="H813" s="30">
        <v>1.0</v>
      </c>
      <c r="I813" s="30">
        <v>1852.99</v>
      </c>
      <c r="J813" s="30">
        <v>1852.99</v>
      </c>
      <c r="K813" s="30">
        <v>4.32</v>
      </c>
      <c r="L813" s="30">
        <v>80.04916800000001</v>
      </c>
      <c r="M813" s="30">
        <v>1535.52</v>
      </c>
      <c r="N813" s="30">
        <v>1535.52</v>
      </c>
      <c r="O813" s="30">
        <v>0.0</v>
      </c>
      <c r="P813" s="30">
        <v>0.0</v>
      </c>
      <c r="Q813" s="30">
        <v>237.42083200000002</v>
      </c>
    </row>
    <row r="814">
      <c r="A814" s="47">
        <v>1.123475324E10</v>
      </c>
      <c r="B814" s="48">
        <v>46156.90659722222</v>
      </c>
      <c r="C814" s="30">
        <v>3.849578742E9</v>
      </c>
      <c r="D814" s="47" t="s">
        <v>1510</v>
      </c>
      <c r="E814" s="47">
        <v>7.613032816536E12</v>
      </c>
      <c r="F814" s="47" t="s">
        <v>1523</v>
      </c>
      <c r="G814" s="47" t="s">
        <v>1533</v>
      </c>
      <c r="H814" s="30">
        <v>1.0</v>
      </c>
      <c r="I814" s="30">
        <v>727.0</v>
      </c>
      <c r="J814" s="30">
        <v>727.0</v>
      </c>
      <c r="K814" s="30">
        <v>4.41</v>
      </c>
      <c r="L814" s="30">
        <v>32.060700000000004</v>
      </c>
      <c r="M814" s="30">
        <v>580.0</v>
      </c>
      <c r="N814" s="30">
        <v>580.0</v>
      </c>
      <c r="O814" s="30">
        <v>0.0</v>
      </c>
      <c r="P814" s="30">
        <v>0.0</v>
      </c>
      <c r="Q814" s="30">
        <v>114.9393</v>
      </c>
    </row>
    <row r="815">
      <c r="A815" s="47">
        <v>1.1234082338E10</v>
      </c>
      <c r="B815" s="48">
        <v>46156.76337962963</v>
      </c>
      <c r="C815" s="30">
        <v>3.84905405E9</v>
      </c>
      <c r="D815" s="47" t="s">
        <v>1509</v>
      </c>
      <c r="E815" s="47">
        <v>7.613032816536E12</v>
      </c>
      <c r="F815" s="47" t="s">
        <v>1523</v>
      </c>
      <c r="G815" s="47" t="s">
        <v>1533</v>
      </c>
      <c r="H815" s="30">
        <v>1.0</v>
      </c>
      <c r="I815" s="30">
        <v>727.0</v>
      </c>
      <c r="J815" s="30">
        <v>727.0</v>
      </c>
      <c r="K815" s="30">
        <v>4.41</v>
      </c>
      <c r="L815" s="30">
        <v>32.060700000000004</v>
      </c>
      <c r="M815" s="30">
        <v>580.0</v>
      </c>
      <c r="N815" s="30">
        <v>580.0</v>
      </c>
      <c r="O815" s="30">
        <v>0.0</v>
      </c>
      <c r="P815" s="30">
        <v>0.0</v>
      </c>
      <c r="Q815" s="30">
        <v>114.9393</v>
      </c>
    </row>
    <row r="816">
      <c r="A816" s="47">
        <v>1.1230790682E10</v>
      </c>
      <c r="B816" s="48">
        <v>46155.735439814816</v>
      </c>
      <c r="C816" s="30">
        <v>3.846081921E9</v>
      </c>
      <c r="D816" s="47" t="s">
        <v>1509</v>
      </c>
      <c r="E816" s="47" t="s">
        <v>356</v>
      </c>
      <c r="F816" s="47" t="s">
        <v>1523</v>
      </c>
      <c r="G816" s="47" t="s">
        <v>1532</v>
      </c>
      <c r="H816" s="30">
        <v>1.0</v>
      </c>
      <c r="I816" s="30">
        <v>737.0</v>
      </c>
      <c r="J816" s="30">
        <v>737.0</v>
      </c>
      <c r="K816" s="30">
        <v>4.95</v>
      </c>
      <c r="L816" s="30">
        <v>36.481500000000004</v>
      </c>
      <c r="M816" s="30">
        <v>580.0</v>
      </c>
      <c r="N816" s="30">
        <v>580.0</v>
      </c>
      <c r="O816" s="30">
        <v>0.0</v>
      </c>
      <c r="P816" s="30">
        <v>0.0</v>
      </c>
      <c r="Q816" s="30">
        <v>120.51849999999999</v>
      </c>
    </row>
    <row r="817">
      <c r="A817" s="47">
        <v>1.123153329E10</v>
      </c>
      <c r="B817" s="48">
        <v>46155.90005787037</v>
      </c>
      <c r="C817" s="30">
        <v>3.846692923E9</v>
      </c>
      <c r="D817" s="47" t="s">
        <v>1509</v>
      </c>
      <c r="E817" s="47">
        <v>3.182550737616E12</v>
      </c>
      <c r="F817" s="47" t="s">
        <v>1523</v>
      </c>
      <c r="G817" s="47" t="s">
        <v>1570</v>
      </c>
      <c r="H817" s="30">
        <v>1.0</v>
      </c>
      <c r="I817" s="30">
        <v>1854.0</v>
      </c>
      <c r="J817" s="30">
        <v>1854.0</v>
      </c>
      <c r="K817" s="30">
        <v>4.32</v>
      </c>
      <c r="L817" s="30">
        <v>80.09280000000001</v>
      </c>
      <c r="M817" s="30">
        <v>1535.52</v>
      </c>
      <c r="N817" s="30">
        <v>1535.52</v>
      </c>
      <c r="O817" s="30">
        <v>0.0</v>
      </c>
      <c r="P817" s="30">
        <v>0.0</v>
      </c>
      <c r="Q817" s="30">
        <v>238.3872</v>
      </c>
    </row>
    <row r="818">
      <c r="A818" s="47">
        <v>1.1235582101E10</v>
      </c>
      <c r="B818" s="48">
        <v>46157.07732638889</v>
      </c>
      <c r="C818" s="30">
        <v>3.850277044E9</v>
      </c>
      <c r="D818" s="47" t="s">
        <v>1509</v>
      </c>
      <c r="E818" s="47">
        <v>7.613033560064E12</v>
      </c>
      <c r="F818" s="47" t="s">
        <v>1523</v>
      </c>
      <c r="G818" s="47" t="s">
        <v>1527</v>
      </c>
      <c r="H818" s="30">
        <v>1.0</v>
      </c>
      <c r="I818" s="30">
        <v>1297.9</v>
      </c>
      <c r="J818" s="30">
        <v>1297.9</v>
      </c>
      <c r="K818" s="30">
        <v>2.7</v>
      </c>
      <c r="L818" s="30">
        <v>35.0433</v>
      </c>
      <c r="M818" s="30">
        <v>1190.0</v>
      </c>
      <c r="N818" s="30">
        <v>1190.0</v>
      </c>
      <c r="O818" s="30">
        <v>0.0</v>
      </c>
      <c r="P818" s="30">
        <v>0.0</v>
      </c>
      <c r="Q818" s="30">
        <v>72.85670000000009</v>
      </c>
    </row>
    <row r="819">
      <c r="A819" s="47">
        <v>1.1233934659E10</v>
      </c>
      <c r="B819" s="48">
        <v>46156.73074074074</v>
      </c>
      <c r="C819" s="30">
        <v>3.848931154E9</v>
      </c>
      <c r="D819" s="47" t="s">
        <v>1509</v>
      </c>
      <c r="E819" s="47">
        <v>6.923632570121E12</v>
      </c>
      <c r="F819" s="47" t="s">
        <v>306</v>
      </c>
      <c r="G819" s="47" t="s">
        <v>1555</v>
      </c>
      <c r="H819" s="30">
        <v>1.0</v>
      </c>
      <c r="I819" s="30">
        <v>897.45</v>
      </c>
      <c r="J819" s="30">
        <v>897.45</v>
      </c>
      <c r="K819" s="30">
        <v>18.0</v>
      </c>
      <c r="L819" s="30">
        <v>161.541</v>
      </c>
      <c r="M819" s="30">
        <v>300.0</v>
      </c>
      <c r="N819" s="30">
        <v>300.0</v>
      </c>
      <c r="O819" s="30">
        <v>0.0</v>
      </c>
      <c r="P819" s="30">
        <v>0.0</v>
      </c>
      <c r="Q819" s="30">
        <v>435.90900000000005</v>
      </c>
    </row>
    <row r="820">
      <c r="A820" s="47">
        <v>1.1240600233E10</v>
      </c>
      <c r="B820" s="48">
        <v>46158.79078703704</v>
      </c>
      <c r="C820" s="30">
        <v>3.854681857E9</v>
      </c>
      <c r="D820" s="47" t="s">
        <v>1511</v>
      </c>
      <c r="E820" s="47">
        <v>7.613033560064E12</v>
      </c>
      <c r="F820" s="47" t="s">
        <v>1523</v>
      </c>
      <c r="G820" s="47" t="s">
        <v>1527</v>
      </c>
      <c r="H820" s="30">
        <v>1.0</v>
      </c>
      <c r="I820" s="30">
        <v>1286.0</v>
      </c>
      <c r="J820" s="30">
        <v>1286.0</v>
      </c>
      <c r="K820" s="30">
        <v>2.7</v>
      </c>
      <c r="L820" s="30">
        <v>34.722</v>
      </c>
      <c r="M820" s="30">
        <v>1190.0</v>
      </c>
      <c r="N820" s="30">
        <v>1190.0</v>
      </c>
      <c r="O820" s="30">
        <v>0.0</v>
      </c>
      <c r="P820" s="30">
        <v>0.0</v>
      </c>
      <c r="Q820" s="30">
        <v>61.278</v>
      </c>
    </row>
    <row r="821">
      <c r="A821" s="47">
        <v>1.1235548365E10</v>
      </c>
      <c r="B821" s="48">
        <v>46157.06997685185</v>
      </c>
      <c r="C821" s="30">
        <v>3.850244161E9</v>
      </c>
      <c r="D821" s="47" t="s">
        <v>1509</v>
      </c>
      <c r="E821" s="47" t="s">
        <v>356</v>
      </c>
      <c r="F821" s="47" t="s">
        <v>1523</v>
      </c>
      <c r="G821" s="47" t="s">
        <v>1532</v>
      </c>
      <c r="H821" s="30">
        <v>1.0</v>
      </c>
      <c r="I821" s="30">
        <v>729.0</v>
      </c>
      <c r="J821" s="30">
        <v>729.0</v>
      </c>
      <c r="K821" s="30">
        <v>4.95</v>
      </c>
      <c r="L821" s="30">
        <v>36.0855</v>
      </c>
      <c r="M821" s="30">
        <v>580.0</v>
      </c>
      <c r="N821" s="30">
        <v>580.0</v>
      </c>
      <c r="O821" s="30">
        <v>0.0</v>
      </c>
      <c r="P821" s="30">
        <v>0.0</v>
      </c>
      <c r="Q821" s="30">
        <v>112.9145</v>
      </c>
    </row>
    <row r="822">
      <c r="A822" s="47">
        <v>1.1232086719E10</v>
      </c>
      <c r="B822" s="48">
        <v>46156.00986111111</v>
      </c>
      <c r="C822" s="30">
        <v>3.847139806E9</v>
      </c>
      <c r="D822" s="47" t="s">
        <v>1509</v>
      </c>
      <c r="E822" s="47">
        <v>7.613032816536E12</v>
      </c>
      <c r="F822" s="47" t="s">
        <v>1523</v>
      </c>
      <c r="G822" s="47" t="s">
        <v>1533</v>
      </c>
      <c r="H822" s="30">
        <v>1.0</v>
      </c>
      <c r="I822" s="30">
        <v>729.0</v>
      </c>
      <c r="J822" s="30">
        <v>729.0</v>
      </c>
      <c r="K822" s="30">
        <v>4.41</v>
      </c>
      <c r="L822" s="30">
        <v>32.148900000000005</v>
      </c>
      <c r="M822" s="30">
        <v>580.0</v>
      </c>
      <c r="N822" s="30">
        <v>580.0</v>
      </c>
      <c r="O822" s="30">
        <v>0.0</v>
      </c>
      <c r="P822" s="30">
        <v>0.0</v>
      </c>
      <c r="Q822" s="30">
        <v>116.8511</v>
      </c>
    </row>
    <row r="823">
      <c r="A823" s="47">
        <v>1.1236356772E10</v>
      </c>
      <c r="B823" s="48">
        <v>46157.571493055555</v>
      </c>
      <c r="C823" s="30">
        <v>3.851116184E9</v>
      </c>
      <c r="D823" s="47" t="s">
        <v>1509</v>
      </c>
      <c r="E823" s="47">
        <v>7.613032816536E12</v>
      </c>
      <c r="F823" s="47" t="s">
        <v>1523</v>
      </c>
      <c r="G823" s="47" t="s">
        <v>1533</v>
      </c>
      <c r="H823" s="30">
        <v>1.0</v>
      </c>
      <c r="I823" s="30">
        <v>727.0</v>
      </c>
      <c r="J823" s="30">
        <v>727.0</v>
      </c>
      <c r="K823" s="30">
        <v>4.41</v>
      </c>
      <c r="L823" s="30">
        <v>32.060700000000004</v>
      </c>
      <c r="M823" s="30">
        <v>580.0</v>
      </c>
      <c r="N823" s="30">
        <v>580.0</v>
      </c>
      <c r="O823" s="30">
        <v>0.0</v>
      </c>
      <c r="P823" s="30">
        <v>0.0</v>
      </c>
      <c r="Q823" s="30">
        <v>114.9393</v>
      </c>
    </row>
    <row r="824">
      <c r="A824" s="47">
        <v>1.1227521295E10</v>
      </c>
      <c r="B824" s="48">
        <v>46154.72883101852</v>
      </c>
      <c r="C824" s="30">
        <v>3.843104167E9</v>
      </c>
      <c r="D824" s="47" t="s">
        <v>1509</v>
      </c>
      <c r="E824" s="47">
        <v>3.182550721738E12</v>
      </c>
      <c r="F824" s="47" t="s">
        <v>1523</v>
      </c>
      <c r="G824" s="47" t="s">
        <v>1526</v>
      </c>
      <c r="H824" s="30">
        <v>1.0</v>
      </c>
      <c r="I824" s="30">
        <v>1549.0</v>
      </c>
      <c r="J824" s="30">
        <v>1549.0</v>
      </c>
      <c r="K824" s="30">
        <v>8.46</v>
      </c>
      <c r="L824" s="30">
        <v>131.0454</v>
      </c>
      <c r="M824" s="30">
        <v>1210.0</v>
      </c>
      <c r="N824" s="30">
        <v>1210.0</v>
      </c>
      <c r="O824" s="30">
        <v>0.0</v>
      </c>
      <c r="P824" s="30">
        <v>0.0</v>
      </c>
      <c r="Q824" s="30">
        <v>207.9546</v>
      </c>
    </row>
    <row r="825">
      <c r="A825" s="47">
        <v>1.1231487708E10</v>
      </c>
      <c r="B825" s="48">
        <v>46155.89105324074</v>
      </c>
      <c r="C825" s="30">
        <v>3.846657775E9</v>
      </c>
      <c r="D825" s="47" t="s">
        <v>1509</v>
      </c>
      <c r="E825" s="47">
        <v>7.613033560064E12</v>
      </c>
      <c r="F825" s="47" t="s">
        <v>1523</v>
      </c>
      <c r="G825" s="47" t="s">
        <v>1527</v>
      </c>
      <c r="H825" s="30">
        <v>1.0</v>
      </c>
      <c r="I825" s="30">
        <v>1530.0</v>
      </c>
      <c r="J825" s="30">
        <v>1530.0</v>
      </c>
      <c r="K825" s="30">
        <v>6.3</v>
      </c>
      <c r="L825" s="30">
        <v>96.39</v>
      </c>
      <c r="M825" s="30">
        <v>1190.0</v>
      </c>
      <c r="N825" s="30">
        <v>1190.0</v>
      </c>
      <c r="O825" s="30">
        <v>0.0</v>
      </c>
      <c r="P825" s="30">
        <v>0.0</v>
      </c>
      <c r="Q825" s="30">
        <v>243.61</v>
      </c>
    </row>
    <row r="826">
      <c r="A826" s="47">
        <v>1.1233743023E10</v>
      </c>
      <c r="B826" s="48">
        <v>46156.68994212963</v>
      </c>
      <c r="C826" s="30">
        <v>3.848765346E9</v>
      </c>
      <c r="D826" s="47" t="s">
        <v>1509</v>
      </c>
      <c r="E826" s="47" t="s">
        <v>356</v>
      </c>
      <c r="F826" s="47" t="s">
        <v>1523</v>
      </c>
      <c r="G826" s="47" t="s">
        <v>1532</v>
      </c>
      <c r="H826" s="30">
        <v>1.0</v>
      </c>
      <c r="I826" s="30">
        <v>729.0</v>
      </c>
      <c r="J826" s="30">
        <v>729.0</v>
      </c>
      <c r="K826" s="30">
        <v>4.95</v>
      </c>
      <c r="L826" s="30">
        <v>36.0855</v>
      </c>
      <c r="M826" s="30">
        <v>580.0</v>
      </c>
      <c r="N826" s="30">
        <v>580.0</v>
      </c>
      <c r="O826" s="30">
        <v>0.0</v>
      </c>
      <c r="P826" s="30">
        <v>0.0</v>
      </c>
      <c r="Q826" s="30">
        <v>112.9145</v>
      </c>
    </row>
    <row r="827">
      <c r="A827" s="47">
        <v>1.1236237582E10</v>
      </c>
      <c r="B827" s="48">
        <v>46157.535150462965</v>
      </c>
      <c r="C827" s="30">
        <v>3.850989346E9</v>
      </c>
      <c r="D827" s="47" t="s">
        <v>1509</v>
      </c>
      <c r="E827" s="47">
        <v>7.613033560064E12</v>
      </c>
      <c r="F827" s="47" t="s">
        <v>1523</v>
      </c>
      <c r="G827" s="47" t="s">
        <v>1527</v>
      </c>
      <c r="H827" s="30">
        <v>1.0</v>
      </c>
      <c r="I827" s="30">
        <v>1295.9</v>
      </c>
      <c r="J827" s="30">
        <v>1295.9</v>
      </c>
      <c r="K827" s="30">
        <v>2.7</v>
      </c>
      <c r="L827" s="30">
        <v>34.9893</v>
      </c>
      <c r="M827" s="30">
        <v>1190.0</v>
      </c>
      <c r="N827" s="30">
        <v>1190.0</v>
      </c>
      <c r="O827" s="30">
        <v>0.0</v>
      </c>
      <c r="P827" s="30">
        <v>0.0</v>
      </c>
      <c r="Q827" s="30">
        <v>70.91070000000009</v>
      </c>
    </row>
    <row r="828">
      <c r="A828" s="47">
        <v>1.1236508013E10</v>
      </c>
      <c r="B828" s="48">
        <v>46157.60758101852</v>
      </c>
      <c r="C828" s="30">
        <v>3.851266316E9</v>
      </c>
      <c r="D828" s="47" t="s">
        <v>1509</v>
      </c>
      <c r="E828" s="47">
        <v>7.613032816536E12</v>
      </c>
      <c r="F828" s="47" t="s">
        <v>1523</v>
      </c>
      <c r="G828" s="47" t="s">
        <v>1533</v>
      </c>
      <c r="H828" s="30">
        <v>2.0</v>
      </c>
      <c r="I828" s="30">
        <v>727.0</v>
      </c>
      <c r="J828" s="30">
        <v>1454.0</v>
      </c>
      <c r="K828" s="30">
        <v>4.41</v>
      </c>
      <c r="L828" s="30">
        <v>64.12140000000001</v>
      </c>
      <c r="M828" s="30">
        <v>580.0</v>
      </c>
      <c r="N828" s="30">
        <v>1160.0</v>
      </c>
      <c r="O828" s="30">
        <v>0.0</v>
      </c>
      <c r="P828" s="30">
        <v>0.0</v>
      </c>
      <c r="Q828" s="30">
        <v>229.8786</v>
      </c>
    </row>
    <row r="829">
      <c r="A829" s="47">
        <v>1.1234982814E10</v>
      </c>
      <c r="B829" s="48">
        <v>46156.95324074074</v>
      </c>
      <c r="C829" s="30">
        <v>3.849748777E9</v>
      </c>
      <c r="D829" s="47" t="s">
        <v>1509</v>
      </c>
      <c r="E829" s="47">
        <v>7.613032816536E12</v>
      </c>
      <c r="F829" s="47" t="s">
        <v>1523</v>
      </c>
      <c r="G829" s="47" t="s">
        <v>1533</v>
      </c>
      <c r="H829" s="30">
        <v>2.0</v>
      </c>
      <c r="I829" s="30">
        <v>727.0</v>
      </c>
      <c r="J829" s="30">
        <v>1454.0</v>
      </c>
      <c r="K829" s="30">
        <v>4.41</v>
      </c>
      <c r="L829" s="30">
        <v>64.12140000000001</v>
      </c>
      <c r="M829" s="30">
        <v>580.0</v>
      </c>
      <c r="N829" s="30">
        <v>1160.0</v>
      </c>
      <c r="O829" s="30">
        <v>0.0</v>
      </c>
      <c r="P829" s="30">
        <v>0.0</v>
      </c>
      <c r="Q829" s="30">
        <v>229.8786</v>
      </c>
    </row>
    <row r="830">
      <c r="A830" s="47">
        <v>1.1232797819E10</v>
      </c>
      <c r="B830" s="48">
        <v>46156.19887731481</v>
      </c>
      <c r="C830" s="30">
        <v>3.84786267E9</v>
      </c>
      <c r="D830" s="47" t="s">
        <v>1509</v>
      </c>
      <c r="E830" s="47">
        <v>8.46799273637E11</v>
      </c>
      <c r="F830" s="47" t="s">
        <v>1523</v>
      </c>
      <c r="G830" s="47" t="s">
        <v>1534</v>
      </c>
      <c r="H830" s="30">
        <v>1.0</v>
      </c>
      <c r="I830" s="30">
        <v>659.0</v>
      </c>
      <c r="J830" s="30">
        <v>659.0</v>
      </c>
      <c r="K830" s="30">
        <v>14.85</v>
      </c>
      <c r="L830" s="30">
        <v>97.86149999999999</v>
      </c>
      <c r="M830" s="30">
        <v>420.0</v>
      </c>
      <c r="N830" s="30">
        <v>420.0</v>
      </c>
      <c r="O830" s="30">
        <v>0.0</v>
      </c>
      <c r="P830" s="30">
        <v>0.0</v>
      </c>
      <c r="Q830" s="30">
        <v>141.13850000000002</v>
      </c>
    </row>
    <row r="831">
      <c r="A831" s="47">
        <v>1.1235193363E10</v>
      </c>
      <c r="B831" s="48">
        <v>46156.995775462965</v>
      </c>
      <c r="C831" s="30">
        <v>3.849916936E9</v>
      </c>
      <c r="D831" s="47" t="s">
        <v>1509</v>
      </c>
      <c r="E831" s="47">
        <v>7.613033560064E12</v>
      </c>
      <c r="F831" s="47" t="s">
        <v>1523</v>
      </c>
      <c r="G831" s="47" t="s">
        <v>1527</v>
      </c>
      <c r="H831" s="30">
        <v>1.0</v>
      </c>
      <c r="I831" s="30">
        <v>1297.9</v>
      </c>
      <c r="J831" s="30">
        <v>1297.9</v>
      </c>
      <c r="K831" s="30">
        <v>2.7</v>
      </c>
      <c r="L831" s="30">
        <v>35.0433</v>
      </c>
      <c r="M831" s="30">
        <v>1190.0</v>
      </c>
      <c r="N831" s="30">
        <v>1190.0</v>
      </c>
      <c r="O831" s="30">
        <v>0.0</v>
      </c>
      <c r="P831" s="30">
        <v>0.0</v>
      </c>
      <c r="Q831" s="30">
        <v>72.85670000000009</v>
      </c>
    </row>
    <row r="832">
      <c r="A832" s="47">
        <v>1.1233307666E10</v>
      </c>
      <c r="B832" s="48">
        <v>46156.60146990741</v>
      </c>
      <c r="C832" s="30">
        <v>3.848411856E9</v>
      </c>
      <c r="D832" s="47" t="s">
        <v>1509</v>
      </c>
      <c r="E832" s="47">
        <v>7.613032816536E12</v>
      </c>
      <c r="F832" s="47" t="s">
        <v>1523</v>
      </c>
      <c r="G832" s="47" t="s">
        <v>1533</v>
      </c>
      <c r="H832" s="30">
        <v>1.0</v>
      </c>
      <c r="I832" s="30">
        <v>727.0</v>
      </c>
      <c r="J832" s="30">
        <v>727.0</v>
      </c>
      <c r="K832" s="30">
        <v>4.41</v>
      </c>
      <c r="L832" s="30">
        <v>32.060700000000004</v>
      </c>
      <c r="M832" s="30">
        <v>580.0</v>
      </c>
      <c r="N832" s="30">
        <v>580.0</v>
      </c>
      <c r="O832" s="30">
        <v>0.0</v>
      </c>
      <c r="P832" s="30">
        <v>0.0</v>
      </c>
      <c r="Q832" s="30">
        <v>114.9393</v>
      </c>
    </row>
    <row r="833">
      <c r="A833" s="47">
        <v>1.1236027261E10</v>
      </c>
      <c r="B833" s="48">
        <v>46157.3521875</v>
      </c>
      <c r="C833" s="30">
        <v>3.850740423E9</v>
      </c>
      <c r="D833" s="47" t="s">
        <v>1509</v>
      </c>
      <c r="E833" s="47">
        <v>7.613032816536E12</v>
      </c>
      <c r="F833" s="47" t="s">
        <v>1523</v>
      </c>
      <c r="G833" s="47" t="s">
        <v>1533</v>
      </c>
      <c r="H833" s="30">
        <v>1.0</v>
      </c>
      <c r="I833" s="30">
        <v>727.0</v>
      </c>
      <c r="J833" s="30">
        <v>727.0</v>
      </c>
      <c r="K833" s="30">
        <v>4.41</v>
      </c>
      <c r="L833" s="30">
        <v>32.060700000000004</v>
      </c>
      <c r="M833" s="30">
        <v>580.0</v>
      </c>
      <c r="N833" s="30">
        <v>580.0</v>
      </c>
      <c r="O833" s="30">
        <v>0.0</v>
      </c>
      <c r="P833" s="30">
        <v>0.0</v>
      </c>
      <c r="Q833" s="30">
        <v>114.9393</v>
      </c>
    </row>
    <row r="834">
      <c r="A834" s="47">
        <v>1.1235546353E10</v>
      </c>
      <c r="B834" s="48">
        <v>46157.06949074074</v>
      </c>
      <c r="C834" s="30">
        <v>3.850241082E9</v>
      </c>
      <c r="D834" s="47" t="s">
        <v>1509</v>
      </c>
      <c r="E834" s="47">
        <v>7.613033560033E12</v>
      </c>
      <c r="F834" s="47">
        <v>0.0</v>
      </c>
      <c r="G834" s="47" t="s">
        <v>1539</v>
      </c>
      <c r="H834" s="30">
        <v>1.0</v>
      </c>
      <c r="I834" s="30">
        <v>1278.0</v>
      </c>
      <c r="J834" s="30">
        <v>1278.0</v>
      </c>
      <c r="K834" s="30">
        <v>3.6</v>
      </c>
      <c r="L834" s="30">
        <v>46.008</v>
      </c>
      <c r="M834" s="30">
        <v>1165.0</v>
      </c>
      <c r="N834" s="30">
        <v>1165.0</v>
      </c>
      <c r="O834" s="30">
        <v>0.0</v>
      </c>
      <c r="P834" s="30">
        <v>0.0</v>
      </c>
      <c r="Q834" s="30">
        <v>66.99199999999999</v>
      </c>
    </row>
    <row r="835">
      <c r="A835" s="47">
        <v>1.1240289245E10</v>
      </c>
      <c r="B835" s="48">
        <v>46158.7259837963</v>
      </c>
      <c r="C835" s="30">
        <v>3.854441498E9</v>
      </c>
      <c r="D835" s="47" t="s">
        <v>1511</v>
      </c>
      <c r="E835" s="47">
        <v>7.613035846708E12</v>
      </c>
      <c r="F835" s="47" t="s">
        <v>1523</v>
      </c>
      <c r="G835" s="47" t="s">
        <v>1535</v>
      </c>
      <c r="H835" s="30">
        <v>1.0</v>
      </c>
      <c r="I835" s="30">
        <v>1267.9</v>
      </c>
      <c r="J835" s="30">
        <v>1267.9</v>
      </c>
      <c r="K835" s="30">
        <v>4.5</v>
      </c>
      <c r="L835" s="30">
        <v>57.0555</v>
      </c>
      <c r="M835" s="30">
        <v>1160.0</v>
      </c>
      <c r="N835" s="30">
        <v>1160.0</v>
      </c>
      <c r="O835" s="30">
        <v>0.0</v>
      </c>
      <c r="P835" s="30">
        <v>0.0</v>
      </c>
      <c r="Q835" s="30">
        <v>50.84450000000009</v>
      </c>
    </row>
    <row r="836">
      <c r="A836" s="47">
        <v>1.1236056702E10</v>
      </c>
      <c r="B836" s="48">
        <v>46157.43243055556</v>
      </c>
      <c r="C836" s="30">
        <v>3.850779634E9</v>
      </c>
      <c r="D836" s="47" t="s">
        <v>1509</v>
      </c>
      <c r="E836" s="47">
        <v>7.613033560064E12</v>
      </c>
      <c r="F836" s="47" t="s">
        <v>1523</v>
      </c>
      <c r="G836" s="47" t="s">
        <v>1527</v>
      </c>
      <c r="H836" s="30">
        <v>1.0</v>
      </c>
      <c r="I836" s="30">
        <v>1295.9</v>
      </c>
      <c r="J836" s="30">
        <v>1295.9</v>
      </c>
      <c r="K836" s="30">
        <v>2.7</v>
      </c>
      <c r="L836" s="30">
        <v>34.9893</v>
      </c>
      <c r="M836" s="30">
        <v>1190.0</v>
      </c>
      <c r="N836" s="30">
        <v>1190.0</v>
      </c>
      <c r="O836" s="30">
        <v>0.0</v>
      </c>
      <c r="P836" s="30">
        <v>0.0</v>
      </c>
      <c r="Q836" s="30">
        <v>70.91070000000009</v>
      </c>
    </row>
    <row r="837">
      <c r="A837" s="47">
        <v>1.1228301744E10</v>
      </c>
      <c r="B837" s="48">
        <v>46154.895416666666</v>
      </c>
      <c r="C837" s="30">
        <v>3.843753604E9</v>
      </c>
      <c r="D837" s="47" t="s">
        <v>1509</v>
      </c>
      <c r="E837" s="47">
        <v>3.182550728102E12</v>
      </c>
      <c r="F837" s="47" t="s">
        <v>1523</v>
      </c>
      <c r="G837" s="47" t="s">
        <v>1576</v>
      </c>
      <c r="H837" s="30">
        <v>1.0</v>
      </c>
      <c r="I837" s="30">
        <v>978.0</v>
      </c>
      <c r="J837" s="30">
        <v>978.0</v>
      </c>
      <c r="K837" s="30">
        <v>11.25</v>
      </c>
      <c r="L837" s="30">
        <v>110.025</v>
      </c>
      <c r="M837" s="30">
        <v>621.6</v>
      </c>
      <c r="N837" s="30">
        <v>621.6</v>
      </c>
      <c r="O837" s="30">
        <v>0.0</v>
      </c>
      <c r="P837" s="30">
        <v>0.0</v>
      </c>
      <c r="Q837" s="30">
        <v>246.37499999999997</v>
      </c>
    </row>
    <row r="838">
      <c r="A838" s="47">
        <v>1.1232213717E10</v>
      </c>
      <c r="B838" s="48">
        <v>46156.0346875</v>
      </c>
      <c r="C838" s="30">
        <v>3.847258057E9</v>
      </c>
      <c r="D838" s="47" t="s">
        <v>1509</v>
      </c>
      <c r="E838" s="47">
        <v>6.923632570003E12</v>
      </c>
      <c r="F838" s="47" t="s">
        <v>1523</v>
      </c>
      <c r="G838" s="47" t="s">
        <v>1544</v>
      </c>
      <c r="H838" s="30">
        <v>1.0</v>
      </c>
      <c r="I838" s="30">
        <v>489.0</v>
      </c>
      <c r="J838" s="30">
        <v>489.0</v>
      </c>
      <c r="K838" s="30">
        <v>18.0</v>
      </c>
      <c r="L838" s="30">
        <v>88.02</v>
      </c>
      <c r="M838" s="30">
        <v>130.0</v>
      </c>
      <c r="N838" s="30">
        <v>130.0</v>
      </c>
      <c r="O838" s="30">
        <v>0.0</v>
      </c>
      <c r="P838" s="30">
        <v>0.0</v>
      </c>
      <c r="Q838" s="30">
        <v>270.98</v>
      </c>
    </row>
    <row r="839">
      <c r="A839" s="47">
        <v>1.1236434267E10</v>
      </c>
      <c r="B839" s="48">
        <v>46157.59118055556</v>
      </c>
      <c r="C839" s="30">
        <v>3.851195534E9</v>
      </c>
      <c r="D839" s="47" t="s">
        <v>1509</v>
      </c>
      <c r="E839" s="47">
        <v>7.613033560064E12</v>
      </c>
      <c r="F839" s="47" t="s">
        <v>1523</v>
      </c>
      <c r="G839" s="47" t="s">
        <v>1527</v>
      </c>
      <c r="H839" s="30">
        <v>1.0</v>
      </c>
      <c r="I839" s="30">
        <v>1295.9</v>
      </c>
      <c r="J839" s="30">
        <v>1295.9</v>
      </c>
      <c r="K839" s="30">
        <v>2.7</v>
      </c>
      <c r="L839" s="30">
        <v>34.9893</v>
      </c>
      <c r="M839" s="30">
        <v>1190.0</v>
      </c>
      <c r="N839" s="30">
        <v>1190.0</v>
      </c>
      <c r="O839" s="30">
        <v>0.0</v>
      </c>
      <c r="P839" s="30">
        <v>0.0</v>
      </c>
      <c r="Q839" s="30">
        <v>70.91070000000009</v>
      </c>
    </row>
    <row r="840">
      <c r="A840" s="47">
        <v>1.1236880425E10</v>
      </c>
      <c r="B840" s="48">
        <v>46157.68085648148</v>
      </c>
      <c r="C840" s="30">
        <v>3.851575145E9</v>
      </c>
      <c r="D840" s="47" t="s">
        <v>1512</v>
      </c>
      <c r="E840" s="47">
        <v>7.613035846708E12</v>
      </c>
      <c r="F840" s="47" t="s">
        <v>1523</v>
      </c>
      <c r="G840" s="47" t="s">
        <v>1535</v>
      </c>
      <c r="H840" s="30">
        <v>1.0</v>
      </c>
      <c r="I840" s="30">
        <v>1267.9</v>
      </c>
      <c r="J840" s="30">
        <v>1267.9</v>
      </c>
      <c r="K840" s="30">
        <v>4.5</v>
      </c>
      <c r="L840" s="30">
        <v>57.0555</v>
      </c>
      <c r="M840" s="30">
        <v>1160.0</v>
      </c>
      <c r="N840" s="30">
        <v>1160.0</v>
      </c>
      <c r="O840" s="30">
        <v>0.0</v>
      </c>
      <c r="P840" s="30">
        <v>0.0</v>
      </c>
      <c r="Q840" s="30">
        <v>50.84450000000009</v>
      </c>
    </row>
    <row r="841">
      <c r="A841" s="47">
        <v>1.1236116409E10</v>
      </c>
      <c r="B841" s="48">
        <v>46157.484444444446</v>
      </c>
      <c r="C841" s="30">
        <v>3.850856452E9</v>
      </c>
      <c r="D841" s="47" t="s">
        <v>1509</v>
      </c>
      <c r="E841" s="47">
        <v>7.613032816536E12</v>
      </c>
      <c r="F841" s="47" t="s">
        <v>1523</v>
      </c>
      <c r="G841" s="47" t="s">
        <v>1533</v>
      </c>
      <c r="H841" s="30">
        <v>1.0</v>
      </c>
      <c r="I841" s="30">
        <v>727.0</v>
      </c>
      <c r="J841" s="30">
        <v>727.0</v>
      </c>
      <c r="K841" s="30">
        <v>4.41</v>
      </c>
      <c r="L841" s="30">
        <v>32.060700000000004</v>
      </c>
      <c r="M841" s="30">
        <v>580.0</v>
      </c>
      <c r="N841" s="30">
        <v>580.0</v>
      </c>
      <c r="O841" s="30">
        <v>0.0</v>
      </c>
      <c r="P841" s="30">
        <v>0.0</v>
      </c>
      <c r="Q841" s="30">
        <v>114.9393</v>
      </c>
    </row>
    <row r="842">
      <c r="A842" s="47">
        <v>1.123733218E10</v>
      </c>
      <c r="B842" s="48">
        <v>46157.77209490741</v>
      </c>
      <c r="C842" s="30">
        <v>3.851957688E9</v>
      </c>
      <c r="D842" s="47" t="s">
        <v>1512</v>
      </c>
      <c r="E842" s="47">
        <v>7.613035846708E12</v>
      </c>
      <c r="F842" s="47" t="s">
        <v>1523</v>
      </c>
      <c r="G842" s="47" t="s">
        <v>1535</v>
      </c>
      <c r="H842" s="30">
        <v>1.0</v>
      </c>
      <c r="I842" s="30">
        <v>1267.9</v>
      </c>
      <c r="J842" s="30">
        <v>1267.9</v>
      </c>
      <c r="K842" s="30">
        <v>4.5</v>
      </c>
      <c r="L842" s="30">
        <v>57.0555</v>
      </c>
      <c r="M842" s="30">
        <v>1160.0</v>
      </c>
      <c r="N842" s="30">
        <v>1160.0</v>
      </c>
      <c r="O842" s="30">
        <v>0.0</v>
      </c>
      <c r="P842" s="30">
        <v>0.0</v>
      </c>
      <c r="Q842" s="30">
        <v>50.84450000000009</v>
      </c>
    </row>
    <row r="843">
      <c r="A843" s="47">
        <v>1.1233393812E10</v>
      </c>
      <c r="B843" s="48">
        <v>46156.61958333333</v>
      </c>
      <c r="C843" s="30">
        <v>3.848480501E9</v>
      </c>
      <c r="D843" s="47" t="s">
        <v>1509</v>
      </c>
      <c r="E843" s="47">
        <v>7.613032816536E12</v>
      </c>
      <c r="F843" s="47" t="s">
        <v>1523</v>
      </c>
      <c r="G843" s="47" t="s">
        <v>1533</v>
      </c>
      <c r="H843" s="30">
        <v>1.0</v>
      </c>
      <c r="I843" s="30">
        <v>727.0</v>
      </c>
      <c r="J843" s="30">
        <v>727.0</v>
      </c>
      <c r="K843" s="30">
        <v>4.41</v>
      </c>
      <c r="L843" s="30">
        <v>32.060700000000004</v>
      </c>
      <c r="M843" s="30">
        <v>580.0</v>
      </c>
      <c r="N843" s="30">
        <v>580.0</v>
      </c>
      <c r="O843" s="30">
        <v>0.0</v>
      </c>
      <c r="P843" s="30">
        <v>0.0</v>
      </c>
      <c r="Q843" s="30">
        <v>114.9393</v>
      </c>
    </row>
    <row r="844">
      <c r="A844" s="47">
        <v>1.1235501228E10</v>
      </c>
      <c r="B844" s="48">
        <v>46157.0597337963</v>
      </c>
      <c r="C844" s="30">
        <v>3.850199554E9</v>
      </c>
      <c r="D844" s="47" t="s">
        <v>1509</v>
      </c>
      <c r="E844" s="47">
        <v>7.613032816536E12</v>
      </c>
      <c r="F844" s="47" t="s">
        <v>1523</v>
      </c>
      <c r="G844" s="47" t="s">
        <v>1533</v>
      </c>
      <c r="H844" s="30">
        <v>2.0</v>
      </c>
      <c r="I844" s="30">
        <v>727.0</v>
      </c>
      <c r="J844" s="30">
        <v>1454.0</v>
      </c>
      <c r="K844" s="30">
        <v>4.41</v>
      </c>
      <c r="L844" s="30">
        <v>64.12140000000001</v>
      </c>
      <c r="M844" s="30">
        <v>580.0</v>
      </c>
      <c r="N844" s="30">
        <v>1160.0</v>
      </c>
      <c r="O844" s="30">
        <v>0.0</v>
      </c>
      <c r="P844" s="30">
        <v>0.0</v>
      </c>
      <c r="Q844" s="30">
        <v>229.8786</v>
      </c>
    </row>
    <row r="845">
      <c r="A845" s="47">
        <v>1.1236068111E10</v>
      </c>
      <c r="B845" s="48">
        <v>46157.44599537037</v>
      </c>
      <c r="C845" s="30">
        <v>3.850795385E9</v>
      </c>
      <c r="D845" s="47" t="s">
        <v>1509</v>
      </c>
      <c r="E845" s="47" t="s">
        <v>356</v>
      </c>
      <c r="F845" s="47" t="s">
        <v>1523</v>
      </c>
      <c r="G845" s="47" t="s">
        <v>1532</v>
      </c>
      <c r="H845" s="30">
        <v>1.0</v>
      </c>
      <c r="I845" s="30">
        <v>729.0</v>
      </c>
      <c r="J845" s="30">
        <v>729.0</v>
      </c>
      <c r="K845" s="30">
        <v>4.95</v>
      </c>
      <c r="L845" s="30">
        <v>36.0855</v>
      </c>
      <c r="M845" s="30">
        <v>580.0</v>
      </c>
      <c r="N845" s="30">
        <v>580.0</v>
      </c>
      <c r="O845" s="30">
        <v>0.0</v>
      </c>
      <c r="P845" s="30">
        <v>0.0</v>
      </c>
      <c r="Q845" s="30">
        <v>112.9145</v>
      </c>
    </row>
    <row r="846">
      <c r="A846" s="47">
        <v>1.1235208666E10</v>
      </c>
      <c r="B846" s="48">
        <v>46156.99899305555</v>
      </c>
      <c r="C846" s="30">
        <v>3.8499264E9</v>
      </c>
      <c r="D846" s="47" t="s">
        <v>1509</v>
      </c>
      <c r="E846" s="47">
        <v>2.0000041025165E13</v>
      </c>
      <c r="F846" s="47" t="s">
        <v>1523</v>
      </c>
      <c r="G846" s="47" t="s">
        <v>1578</v>
      </c>
      <c r="H846" s="30">
        <v>1.0</v>
      </c>
      <c r="I846" s="30">
        <v>719.0</v>
      </c>
      <c r="J846" s="30">
        <v>719.0</v>
      </c>
      <c r="K846" s="30">
        <v>14.85</v>
      </c>
      <c r="L846" s="30">
        <v>106.7715</v>
      </c>
      <c r="M846" s="30">
        <v>377.0</v>
      </c>
      <c r="N846" s="30">
        <v>377.0</v>
      </c>
      <c r="O846" s="30">
        <v>0.0</v>
      </c>
      <c r="P846" s="30">
        <v>0.0</v>
      </c>
      <c r="Q846" s="30">
        <v>235.2285</v>
      </c>
    </row>
    <row r="847">
      <c r="A847" s="47">
        <v>1.1233604084E10</v>
      </c>
      <c r="B847" s="48">
        <v>46156.66260416667</v>
      </c>
      <c r="C847" s="30">
        <v>3.848650396E9</v>
      </c>
      <c r="D847" s="47" t="s">
        <v>1509</v>
      </c>
      <c r="E847" s="47">
        <v>7.613032816536E12</v>
      </c>
      <c r="F847" s="47" t="s">
        <v>1523</v>
      </c>
      <c r="G847" s="47" t="s">
        <v>1533</v>
      </c>
      <c r="H847" s="30">
        <v>1.0</v>
      </c>
      <c r="I847" s="30">
        <v>727.0</v>
      </c>
      <c r="J847" s="30">
        <v>727.0</v>
      </c>
      <c r="K847" s="30">
        <v>4.41</v>
      </c>
      <c r="L847" s="30">
        <v>32.060700000000004</v>
      </c>
      <c r="M847" s="30">
        <v>580.0</v>
      </c>
      <c r="N847" s="30">
        <v>580.0</v>
      </c>
      <c r="O847" s="30">
        <v>0.0</v>
      </c>
      <c r="P847" s="30">
        <v>0.0</v>
      </c>
      <c r="Q847" s="30">
        <v>114.9393</v>
      </c>
    </row>
    <row r="848">
      <c r="A848" s="47">
        <v>1.1236140767E10</v>
      </c>
      <c r="B848" s="48">
        <v>46157.49769675926</v>
      </c>
      <c r="C848" s="30">
        <v>3.850884091E9</v>
      </c>
      <c r="D848" s="47" t="s">
        <v>1509</v>
      </c>
      <c r="E848" s="47">
        <v>7.613035846708E12</v>
      </c>
      <c r="F848" s="47" t="s">
        <v>1523</v>
      </c>
      <c r="G848" s="47" t="s">
        <v>1535</v>
      </c>
      <c r="H848" s="30">
        <v>1.0</v>
      </c>
      <c r="I848" s="30">
        <v>1267.9</v>
      </c>
      <c r="J848" s="30">
        <v>1267.9</v>
      </c>
      <c r="K848" s="30">
        <v>4.5</v>
      </c>
      <c r="L848" s="30">
        <v>57.0555</v>
      </c>
      <c r="M848" s="30">
        <v>1160.0</v>
      </c>
      <c r="N848" s="30">
        <v>1160.0</v>
      </c>
      <c r="O848" s="30">
        <v>0.0</v>
      </c>
      <c r="P848" s="30">
        <v>0.0</v>
      </c>
      <c r="Q848" s="30">
        <v>50.84450000000009</v>
      </c>
    </row>
    <row r="849">
      <c r="A849" s="47">
        <v>1.123494856E10</v>
      </c>
      <c r="B849" s="48">
        <v>46156.94630787037</v>
      </c>
      <c r="C849" s="30">
        <v>3.84972293E9</v>
      </c>
      <c r="D849" s="47" t="s">
        <v>1509</v>
      </c>
      <c r="E849" s="47" t="s">
        <v>409</v>
      </c>
      <c r="F849" s="47" t="s">
        <v>1523</v>
      </c>
      <c r="G849" s="47" t="s">
        <v>1579</v>
      </c>
      <c r="H849" s="30">
        <v>2.0</v>
      </c>
      <c r="I849" s="30">
        <v>1499.0</v>
      </c>
      <c r="J849" s="30">
        <v>2998.0</v>
      </c>
      <c r="K849" s="30">
        <v>12.15</v>
      </c>
      <c r="L849" s="30">
        <v>364.25700000000006</v>
      </c>
      <c r="M849" s="30">
        <v>780.0</v>
      </c>
      <c r="N849" s="30">
        <v>1560.0</v>
      </c>
      <c r="O849" s="30">
        <v>0.0</v>
      </c>
      <c r="P849" s="30">
        <v>0.0</v>
      </c>
      <c r="Q849" s="30">
        <v>1073.743</v>
      </c>
    </row>
    <row r="850">
      <c r="A850" s="47">
        <v>1.1235505807E10</v>
      </c>
      <c r="B850" s="48">
        <v>46157.06077546296</v>
      </c>
      <c r="C850" s="30">
        <v>3.850201635E9</v>
      </c>
      <c r="D850" s="47" t="s">
        <v>1509</v>
      </c>
      <c r="E850" s="47">
        <v>7.613032816536E12</v>
      </c>
      <c r="F850" s="47" t="s">
        <v>1523</v>
      </c>
      <c r="G850" s="47" t="s">
        <v>1533</v>
      </c>
      <c r="H850" s="30">
        <v>1.0</v>
      </c>
      <c r="I850" s="30">
        <v>727.0</v>
      </c>
      <c r="J850" s="30">
        <v>727.0</v>
      </c>
      <c r="K850" s="30">
        <v>4.41</v>
      </c>
      <c r="L850" s="30">
        <v>32.060700000000004</v>
      </c>
      <c r="M850" s="30">
        <v>580.0</v>
      </c>
      <c r="N850" s="30">
        <v>580.0</v>
      </c>
      <c r="O850" s="30">
        <v>0.0</v>
      </c>
      <c r="P850" s="30">
        <v>0.0</v>
      </c>
      <c r="Q850" s="30">
        <v>114.9393</v>
      </c>
    </row>
    <row r="851">
      <c r="A851" s="47">
        <v>1.1235009093E10</v>
      </c>
      <c r="B851" s="48">
        <v>46156.95869212963</v>
      </c>
      <c r="C851" s="30">
        <v>3.84976654E9</v>
      </c>
      <c r="D851" s="47" t="s">
        <v>1509</v>
      </c>
      <c r="E851" s="47">
        <v>7.613032816536E12</v>
      </c>
      <c r="F851" s="47" t="s">
        <v>1523</v>
      </c>
      <c r="G851" s="47" t="s">
        <v>1533</v>
      </c>
      <c r="H851" s="30">
        <v>2.0</v>
      </c>
      <c r="I851" s="30">
        <v>727.0</v>
      </c>
      <c r="J851" s="30">
        <v>1454.0</v>
      </c>
      <c r="K851" s="30">
        <v>4.41</v>
      </c>
      <c r="L851" s="30">
        <v>64.12140000000001</v>
      </c>
      <c r="M851" s="30">
        <v>580.0</v>
      </c>
      <c r="N851" s="30">
        <v>1160.0</v>
      </c>
      <c r="O851" s="30">
        <v>0.0</v>
      </c>
      <c r="P851" s="30">
        <v>0.0</v>
      </c>
      <c r="Q851" s="30">
        <v>229.8786</v>
      </c>
    </row>
    <row r="852">
      <c r="A852" s="47">
        <v>1.123565327E10</v>
      </c>
      <c r="B852" s="48">
        <v>46157.094305555554</v>
      </c>
      <c r="C852" s="30">
        <v>3.850348321E9</v>
      </c>
      <c r="D852" s="47" t="s">
        <v>1509</v>
      </c>
      <c r="E852" s="47">
        <v>7.613033560064E12</v>
      </c>
      <c r="F852" s="47" t="s">
        <v>1523</v>
      </c>
      <c r="G852" s="47" t="s">
        <v>1527</v>
      </c>
      <c r="H852" s="30">
        <v>1.0</v>
      </c>
      <c r="I852" s="30">
        <v>1297.9</v>
      </c>
      <c r="J852" s="30">
        <v>1297.9</v>
      </c>
      <c r="K852" s="30">
        <v>2.7</v>
      </c>
      <c r="L852" s="30">
        <v>35.0433</v>
      </c>
      <c r="M852" s="30">
        <v>1190.0</v>
      </c>
      <c r="N852" s="30">
        <v>1190.0</v>
      </c>
      <c r="O852" s="30">
        <v>0.0</v>
      </c>
      <c r="P852" s="30">
        <v>0.0</v>
      </c>
      <c r="Q852" s="30">
        <v>72.85670000000009</v>
      </c>
    </row>
    <row r="853">
      <c r="A853" s="47">
        <v>1.1233533629E10</v>
      </c>
      <c r="B853" s="48">
        <v>46156.648206018515</v>
      </c>
      <c r="C853" s="30">
        <v>3.848592234E9</v>
      </c>
      <c r="D853" s="47" t="s">
        <v>1509</v>
      </c>
      <c r="E853" s="47">
        <v>8.46799273637E11</v>
      </c>
      <c r="F853" s="47" t="s">
        <v>1523</v>
      </c>
      <c r="G853" s="47" t="s">
        <v>1553</v>
      </c>
      <c r="H853" s="30">
        <v>1.0</v>
      </c>
      <c r="I853" s="30">
        <v>659.0</v>
      </c>
      <c r="J853" s="30">
        <v>659.0</v>
      </c>
      <c r="K853" s="30">
        <v>14.85</v>
      </c>
      <c r="L853" s="30">
        <v>97.86149999999999</v>
      </c>
      <c r="M853" s="30">
        <v>420.0</v>
      </c>
      <c r="N853" s="30">
        <v>420.0</v>
      </c>
      <c r="O853" s="30">
        <v>0.0</v>
      </c>
      <c r="P853" s="30">
        <v>0.0</v>
      </c>
      <c r="Q853" s="30">
        <v>141.13850000000002</v>
      </c>
    </row>
    <row r="854">
      <c r="A854" s="47">
        <v>1.1233072973E10</v>
      </c>
      <c r="B854" s="48">
        <v>46156.53351851852</v>
      </c>
      <c r="C854" s="30">
        <v>3.848172136E9</v>
      </c>
      <c r="D854" s="47" t="s">
        <v>1509</v>
      </c>
      <c r="E854" s="47">
        <v>7.613032816536E12</v>
      </c>
      <c r="F854" s="47" t="s">
        <v>1523</v>
      </c>
      <c r="G854" s="47" t="s">
        <v>1533</v>
      </c>
      <c r="H854" s="30">
        <v>1.0</v>
      </c>
      <c r="I854" s="30">
        <v>727.0</v>
      </c>
      <c r="J854" s="30">
        <v>727.0</v>
      </c>
      <c r="K854" s="30">
        <v>4.41</v>
      </c>
      <c r="L854" s="30">
        <v>32.060700000000004</v>
      </c>
      <c r="M854" s="30">
        <v>580.0</v>
      </c>
      <c r="N854" s="30">
        <v>580.0</v>
      </c>
      <c r="O854" s="30">
        <v>0.0</v>
      </c>
      <c r="P854" s="30">
        <v>0.0</v>
      </c>
      <c r="Q854" s="30">
        <v>114.9393</v>
      </c>
    </row>
    <row r="855">
      <c r="A855" s="47">
        <v>1.1230234877E10</v>
      </c>
      <c r="B855" s="48">
        <v>46155.62168981481</v>
      </c>
      <c r="C855" s="30">
        <v>3.845605398E9</v>
      </c>
      <c r="D855" s="47" t="s">
        <v>1509</v>
      </c>
      <c r="E855" s="47">
        <v>3.182550894128E12</v>
      </c>
      <c r="F855" s="47" t="s">
        <v>1523</v>
      </c>
      <c r="G855" s="47" t="s">
        <v>1557</v>
      </c>
      <c r="H855" s="30">
        <v>1.0</v>
      </c>
      <c r="I855" s="30">
        <v>1595.0</v>
      </c>
      <c r="J855" s="30">
        <v>1595.0</v>
      </c>
      <c r="K855" s="30">
        <v>6.66</v>
      </c>
      <c r="L855" s="30">
        <v>106.227</v>
      </c>
      <c r="M855" s="30">
        <v>1394.04</v>
      </c>
      <c r="N855" s="30">
        <v>1394.04</v>
      </c>
      <c r="O855" s="30">
        <v>0.0</v>
      </c>
      <c r="P855" s="30">
        <v>0.0</v>
      </c>
      <c r="Q855" s="30">
        <v>94.73300000000003</v>
      </c>
    </row>
    <row r="856">
      <c r="A856" s="47">
        <v>1.1231068495E10</v>
      </c>
      <c r="B856" s="48">
        <v>46155.797743055555</v>
      </c>
      <c r="C856" s="30">
        <v>3.846328106E9</v>
      </c>
      <c r="D856" s="47" t="s">
        <v>1509</v>
      </c>
      <c r="E856" s="47">
        <v>3.182550721738E12</v>
      </c>
      <c r="F856" s="47" t="s">
        <v>1523</v>
      </c>
      <c r="G856" s="47" t="s">
        <v>1526</v>
      </c>
      <c r="H856" s="30">
        <v>1.0</v>
      </c>
      <c r="I856" s="30">
        <v>1471.0</v>
      </c>
      <c r="J856" s="30">
        <v>1471.0</v>
      </c>
      <c r="K856" s="30">
        <v>6.84</v>
      </c>
      <c r="L856" s="30">
        <v>100.6164</v>
      </c>
      <c r="M856" s="30">
        <v>1210.0</v>
      </c>
      <c r="N856" s="30">
        <v>1210.0</v>
      </c>
      <c r="O856" s="30">
        <v>0.0</v>
      </c>
      <c r="P856" s="30">
        <v>0.0</v>
      </c>
      <c r="Q856" s="30">
        <v>160.3836</v>
      </c>
    </row>
    <row r="857">
      <c r="A857" s="47">
        <v>1.1234259635E10</v>
      </c>
      <c r="B857" s="48">
        <v>46156.80255787037</v>
      </c>
      <c r="C857" s="30">
        <v>3.84920448E9</v>
      </c>
      <c r="D857" s="47" t="s">
        <v>1509</v>
      </c>
      <c r="E857" s="47" t="s">
        <v>356</v>
      </c>
      <c r="F857" s="47" t="s">
        <v>1523</v>
      </c>
      <c r="G857" s="47" t="s">
        <v>1532</v>
      </c>
      <c r="H857" s="30">
        <v>1.0</v>
      </c>
      <c r="I857" s="30">
        <v>729.0</v>
      </c>
      <c r="J857" s="30">
        <v>729.0</v>
      </c>
      <c r="K857" s="30">
        <v>4.95</v>
      </c>
      <c r="L857" s="30">
        <v>36.0855</v>
      </c>
      <c r="M857" s="30">
        <v>580.0</v>
      </c>
      <c r="N857" s="30">
        <v>580.0</v>
      </c>
      <c r="O857" s="30">
        <v>0.0</v>
      </c>
      <c r="P857" s="30">
        <v>0.0</v>
      </c>
      <c r="Q857" s="30">
        <v>112.9145</v>
      </c>
    </row>
    <row r="858">
      <c r="A858" s="47">
        <v>1.1234564552E10</v>
      </c>
      <c r="B858" s="48">
        <v>46156.868576388886</v>
      </c>
      <c r="C858" s="30">
        <v>3.849444385E9</v>
      </c>
      <c r="D858" s="47" t="s">
        <v>1509</v>
      </c>
      <c r="E858" s="47" t="s">
        <v>356</v>
      </c>
      <c r="F858" s="47" t="s">
        <v>1523</v>
      </c>
      <c r="G858" s="47" t="s">
        <v>1532</v>
      </c>
      <c r="H858" s="30">
        <v>1.0</v>
      </c>
      <c r="I858" s="30">
        <v>729.0</v>
      </c>
      <c r="J858" s="30">
        <v>729.0</v>
      </c>
      <c r="K858" s="30">
        <v>4.95</v>
      </c>
      <c r="L858" s="30">
        <v>36.0855</v>
      </c>
      <c r="M858" s="30">
        <v>580.0</v>
      </c>
      <c r="N858" s="30">
        <v>580.0</v>
      </c>
      <c r="O858" s="30">
        <v>0.0</v>
      </c>
      <c r="P858" s="30">
        <v>0.0</v>
      </c>
      <c r="Q858" s="30">
        <v>112.9145</v>
      </c>
    </row>
    <row r="859">
      <c r="A859" s="47">
        <v>1.123449021E10</v>
      </c>
      <c r="B859" s="48">
        <v>46156.852685185186</v>
      </c>
      <c r="C859" s="30">
        <v>3.849390454E9</v>
      </c>
      <c r="D859" s="47" t="s">
        <v>1509</v>
      </c>
      <c r="E859" s="47" t="s">
        <v>356</v>
      </c>
      <c r="F859" s="47" t="s">
        <v>1523</v>
      </c>
      <c r="G859" s="47" t="s">
        <v>1532</v>
      </c>
      <c r="H859" s="30">
        <v>2.0</v>
      </c>
      <c r="I859" s="30">
        <v>729.0</v>
      </c>
      <c r="J859" s="30">
        <v>1458.0</v>
      </c>
      <c r="K859" s="30">
        <v>4.95</v>
      </c>
      <c r="L859" s="30">
        <v>72.171</v>
      </c>
      <c r="M859" s="30">
        <v>580.0</v>
      </c>
      <c r="N859" s="30">
        <v>1160.0</v>
      </c>
      <c r="O859" s="30">
        <v>0.0</v>
      </c>
      <c r="P859" s="30">
        <v>0.0</v>
      </c>
      <c r="Q859" s="30">
        <v>225.829</v>
      </c>
    </row>
    <row r="860">
      <c r="A860" s="47">
        <v>1.1235139193E10</v>
      </c>
      <c r="B860" s="48">
        <v>46156.98484953704</v>
      </c>
      <c r="C860" s="30">
        <v>3.849871513E9</v>
      </c>
      <c r="D860" s="47" t="s">
        <v>1509</v>
      </c>
      <c r="E860" s="47">
        <v>7.613033560064E12</v>
      </c>
      <c r="F860" s="47" t="s">
        <v>1523</v>
      </c>
      <c r="G860" s="47" t="s">
        <v>1527</v>
      </c>
      <c r="H860" s="30">
        <v>1.0</v>
      </c>
      <c r="I860" s="30">
        <v>1297.9</v>
      </c>
      <c r="J860" s="30">
        <v>1297.9</v>
      </c>
      <c r="K860" s="30">
        <v>2.7</v>
      </c>
      <c r="L860" s="30">
        <v>35.0433</v>
      </c>
      <c r="M860" s="30">
        <v>1190.0</v>
      </c>
      <c r="N860" s="30">
        <v>1190.0</v>
      </c>
      <c r="O860" s="30">
        <v>0.0</v>
      </c>
      <c r="P860" s="30">
        <v>0.0</v>
      </c>
      <c r="Q860" s="30">
        <v>72.85670000000009</v>
      </c>
    </row>
    <row r="861">
      <c r="A861" s="47">
        <v>1.1234785376E10</v>
      </c>
      <c r="B861" s="48">
        <v>46156.91327546296</v>
      </c>
      <c r="C861" s="30">
        <v>3.849603306E9</v>
      </c>
      <c r="D861" s="47" t="s">
        <v>1509</v>
      </c>
      <c r="E861" s="47">
        <v>7.613033560064E12</v>
      </c>
      <c r="F861" s="47" t="s">
        <v>1523</v>
      </c>
      <c r="G861" s="47" t="s">
        <v>1527</v>
      </c>
      <c r="H861" s="30">
        <v>1.0</v>
      </c>
      <c r="I861" s="30">
        <v>1299.0</v>
      </c>
      <c r="J861" s="30">
        <v>1299.0</v>
      </c>
      <c r="K861" s="30">
        <v>2.7</v>
      </c>
      <c r="L861" s="30">
        <v>35.073</v>
      </c>
      <c r="M861" s="30">
        <v>1190.0</v>
      </c>
      <c r="N861" s="30">
        <v>1190.0</v>
      </c>
      <c r="O861" s="30">
        <v>0.0</v>
      </c>
      <c r="P861" s="30">
        <v>0.0</v>
      </c>
      <c r="Q861" s="30">
        <v>73.92699999999999</v>
      </c>
    </row>
    <row r="862">
      <c r="A862" s="47">
        <v>1.1230146788E10</v>
      </c>
      <c r="B862" s="48">
        <v>46155.604097222225</v>
      </c>
      <c r="C862" s="30">
        <v>3.845530456E9</v>
      </c>
      <c r="D862" s="47" t="s">
        <v>1509</v>
      </c>
      <c r="E862" s="47">
        <v>7.41245638741E11</v>
      </c>
      <c r="F862" s="47" t="s">
        <v>1523</v>
      </c>
      <c r="G862" s="47" t="s">
        <v>1569</v>
      </c>
      <c r="H862" s="30">
        <v>1.0</v>
      </c>
      <c r="I862" s="30">
        <v>545.0</v>
      </c>
      <c r="J862" s="30">
        <v>545.0</v>
      </c>
      <c r="K862" s="30">
        <v>12.15</v>
      </c>
      <c r="L862" s="30">
        <v>66.2175</v>
      </c>
      <c r="M862" s="30">
        <v>290.0</v>
      </c>
      <c r="N862" s="30">
        <v>290.0</v>
      </c>
      <c r="O862" s="30">
        <v>0.0</v>
      </c>
      <c r="P862" s="30">
        <v>0.0</v>
      </c>
      <c r="Q862" s="30">
        <v>188.7825</v>
      </c>
    </row>
    <row r="863">
      <c r="A863" s="47">
        <v>1.1236087563E10</v>
      </c>
      <c r="B863" s="48">
        <v>46157.46487268519</v>
      </c>
      <c r="C863" s="30">
        <v>3.850819199E9</v>
      </c>
      <c r="D863" s="47" t="s">
        <v>1509</v>
      </c>
      <c r="E863" s="47">
        <v>7.613032816536E12</v>
      </c>
      <c r="F863" s="47" t="s">
        <v>1523</v>
      </c>
      <c r="G863" s="47" t="s">
        <v>1533</v>
      </c>
      <c r="H863" s="30">
        <v>1.0</v>
      </c>
      <c r="I863" s="30">
        <v>727.0</v>
      </c>
      <c r="J863" s="30">
        <v>727.0</v>
      </c>
      <c r="K863" s="30">
        <v>4.41</v>
      </c>
      <c r="L863" s="30">
        <v>32.060700000000004</v>
      </c>
      <c r="M863" s="30">
        <v>580.0</v>
      </c>
      <c r="N863" s="30">
        <v>580.0</v>
      </c>
      <c r="O863" s="30">
        <v>0.0</v>
      </c>
      <c r="P863" s="30">
        <v>0.0</v>
      </c>
      <c r="Q863" s="30">
        <v>114.9393</v>
      </c>
    </row>
    <row r="864">
      <c r="A864" s="47">
        <v>1.1236140387E10</v>
      </c>
      <c r="B864" s="48">
        <v>46157.497511574074</v>
      </c>
      <c r="C864" s="30">
        <v>3.850882041E9</v>
      </c>
      <c r="D864" s="47" t="s">
        <v>1509</v>
      </c>
      <c r="E864" s="47">
        <v>7.613033560064E12</v>
      </c>
      <c r="F864" s="47" t="s">
        <v>1523</v>
      </c>
      <c r="G864" s="47" t="s">
        <v>1527</v>
      </c>
      <c r="H864" s="30">
        <v>1.0</v>
      </c>
      <c r="I864" s="30">
        <v>1295.9</v>
      </c>
      <c r="J864" s="30">
        <v>1295.9</v>
      </c>
      <c r="K864" s="30">
        <v>2.7</v>
      </c>
      <c r="L864" s="30">
        <v>34.9893</v>
      </c>
      <c r="M864" s="30">
        <v>1190.0</v>
      </c>
      <c r="N864" s="30">
        <v>1190.0</v>
      </c>
      <c r="O864" s="30">
        <v>0.0</v>
      </c>
      <c r="P864" s="30">
        <v>0.0</v>
      </c>
      <c r="Q864" s="30">
        <v>70.91070000000009</v>
      </c>
    </row>
    <row r="865">
      <c r="A865" s="47">
        <v>1.123370376E10</v>
      </c>
      <c r="B865" s="48">
        <v>46156.6824537037</v>
      </c>
      <c r="C865" s="30">
        <v>3.848735958E9</v>
      </c>
      <c r="D865" s="47" t="s">
        <v>1509</v>
      </c>
      <c r="E865" s="47">
        <v>7.613032816536E12</v>
      </c>
      <c r="F865" s="47" t="s">
        <v>1523</v>
      </c>
      <c r="G865" s="47" t="s">
        <v>1533</v>
      </c>
      <c r="H865" s="30">
        <v>2.0</v>
      </c>
      <c r="I865" s="30">
        <v>727.0</v>
      </c>
      <c r="J865" s="30">
        <v>1454.0</v>
      </c>
      <c r="K865" s="30">
        <v>4.41</v>
      </c>
      <c r="L865" s="30">
        <v>64.12140000000001</v>
      </c>
      <c r="M865" s="30">
        <v>580.0</v>
      </c>
      <c r="N865" s="30">
        <v>1160.0</v>
      </c>
      <c r="O865" s="30">
        <v>0.0</v>
      </c>
      <c r="P865" s="30">
        <v>0.0</v>
      </c>
      <c r="Q865" s="30">
        <v>229.8786</v>
      </c>
    </row>
    <row r="866">
      <c r="A866" s="47">
        <v>1.1235093364E10</v>
      </c>
      <c r="B866" s="48">
        <v>46156.97591435185</v>
      </c>
      <c r="C866" s="30">
        <v>3.849834506E9</v>
      </c>
      <c r="D866" s="47" t="s">
        <v>1509</v>
      </c>
      <c r="E866" s="47">
        <v>7.613033560064E12</v>
      </c>
      <c r="F866" s="47" t="s">
        <v>1523</v>
      </c>
      <c r="G866" s="47" t="s">
        <v>1527</v>
      </c>
      <c r="H866" s="30">
        <v>1.0</v>
      </c>
      <c r="I866" s="30">
        <v>1297.9</v>
      </c>
      <c r="J866" s="30">
        <v>1297.9</v>
      </c>
      <c r="K866" s="30">
        <v>2.7</v>
      </c>
      <c r="L866" s="30">
        <v>35.0433</v>
      </c>
      <c r="M866" s="30">
        <v>1190.0</v>
      </c>
      <c r="N866" s="30">
        <v>1190.0</v>
      </c>
      <c r="O866" s="30">
        <v>0.0</v>
      </c>
      <c r="P866" s="30">
        <v>0.0</v>
      </c>
      <c r="Q866" s="30">
        <v>72.85670000000009</v>
      </c>
    </row>
    <row r="867">
      <c r="A867" s="47">
        <v>1.1234627766E10</v>
      </c>
      <c r="B867" s="48">
        <v>46156.88150462963</v>
      </c>
      <c r="C867" s="30">
        <v>3.849490556E9</v>
      </c>
      <c r="D867" s="47" t="s">
        <v>1509</v>
      </c>
      <c r="E867" s="47">
        <v>7.613033560064E12</v>
      </c>
      <c r="F867" s="47" t="s">
        <v>1523</v>
      </c>
      <c r="G867" s="47" t="s">
        <v>1527</v>
      </c>
      <c r="H867" s="30">
        <v>1.0</v>
      </c>
      <c r="I867" s="30">
        <v>1299.0</v>
      </c>
      <c r="J867" s="30">
        <v>1299.0</v>
      </c>
      <c r="K867" s="30">
        <v>2.7</v>
      </c>
      <c r="L867" s="30">
        <v>35.073</v>
      </c>
      <c r="M867" s="30">
        <v>1190.0</v>
      </c>
      <c r="N867" s="30">
        <v>1190.0</v>
      </c>
      <c r="O867" s="30">
        <v>0.0</v>
      </c>
      <c r="P867" s="30">
        <v>0.0</v>
      </c>
      <c r="Q867" s="30">
        <v>73.92699999999999</v>
      </c>
    </row>
    <row r="868">
      <c r="A868" s="47">
        <v>1.1231521378E10</v>
      </c>
      <c r="B868" s="48">
        <v>46155.89761574074</v>
      </c>
      <c r="C868" s="30">
        <v>3.846684734E9</v>
      </c>
      <c r="D868" s="47" t="s">
        <v>1509</v>
      </c>
      <c r="E868" s="47">
        <v>3.182550737616E12</v>
      </c>
      <c r="F868" s="47" t="s">
        <v>1523</v>
      </c>
      <c r="G868" s="47" t="s">
        <v>1570</v>
      </c>
      <c r="H868" s="30">
        <v>1.0</v>
      </c>
      <c r="I868" s="30">
        <v>1854.0</v>
      </c>
      <c r="J868" s="30">
        <v>1854.0</v>
      </c>
      <c r="K868" s="30">
        <v>4.32</v>
      </c>
      <c r="L868" s="30">
        <v>80.09280000000001</v>
      </c>
      <c r="M868" s="30">
        <v>1535.52</v>
      </c>
      <c r="N868" s="30">
        <v>1535.52</v>
      </c>
      <c r="O868" s="30">
        <v>0.0</v>
      </c>
      <c r="P868" s="30">
        <v>0.0</v>
      </c>
      <c r="Q868" s="30">
        <v>238.3872</v>
      </c>
    </row>
    <row r="869">
      <c r="A869" s="47">
        <v>1.1235978568E10</v>
      </c>
      <c r="B869" s="48">
        <v>46157.22892361111</v>
      </c>
      <c r="C869" s="30">
        <v>3.850687464E9</v>
      </c>
      <c r="D869" s="47" t="s">
        <v>1509</v>
      </c>
      <c r="E869" s="47">
        <v>7.613032816536E12</v>
      </c>
      <c r="F869" s="47" t="s">
        <v>1523</v>
      </c>
      <c r="G869" s="47" t="s">
        <v>1533</v>
      </c>
      <c r="H869" s="30">
        <v>1.0</v>
      </c>
      <c r="I869" s="30">
        <v>727.0</v>
      </c>
      <c r="J869" s="30">
        <v>727.0</v>
      </c>
      <c r="K869" s="30">
        <v>4.41</v>
      </c>
      <c r="L869" s="30">
        <v>32.060700000000004</v>
      </c>
      <c r="M869" s="30">
        <v>580.0</v>
      </c>
      <c r="N869" s="30">
        <v>580.0</v>
      </c>
      <c r="O869" s="30">
        <v>0.0</v>
      </c>
      <c r="P869" s="30">
        <v>0.0</v>
      </c>
      <c r="Q869" s="30">
        <v>114.9393</v>
      </c>
    </row>
    <row r="870">
      <c r="A870" s="47">
        <v>1.1233830228E10</v>
      </c>
      <c r="B870" s="48">
        <v>46156.70857638889</v>
      </c>
      <c r="C870" s="30">
        <v>3.848839948E9</v>
      </c>
      <c r="D870" s="47" t="s">
        <v>1509</v>
      </c>
      <c r="E870" s="47" t="s">
        <v>611</v>
      </c>
      <c r="F870" s="47" t="s">
        <v>611</v>
      </c>
      <c r="G870" s="47" t="s">
        <v>1572</v>
      </c>
      <c r="H870" s="30">
        <v>1.0</v>
      </c>
      <c r="I870" s="30">
        <v>575.0</v>
      </c>
      <c r="J870" s="30">
        <v>575.0</v>
      </c>
      <c r="K870" s="30">
        <v>18.0</v>
      </c>
      <c r="L870" s="30">
        <v>103.5</v>
      </c>
      <c r="M870" s="30">
        <v>240.0</v>
      </c>
      <c r="N870" s="30">
        <v>240.0</v>
      </c>
      <c r="O870" s="30">
        <v>0.0</v>
      </c>
      <c r="P870" s="30">
        <v>0.0</v>
      </c>
      <c r="Q870" s="30">
        <v>231.5</v>
      </c>
    </row>
    <row r="871">
      <c r="A871" s="47">
        <v>1.1235139409E10</v>
      </c>
      <c r="B871" s="48">
        <v>46156.98489583333</v>
      </c>
      <c r="C871" s="30">
        <v>3.849872414E9</v>
      </c>
      <c r="D871" s="47" t="s">
        <v>1509</v>
      </c>
      <c r="E871" s="47">
        <v>7.613033560064E12</v>
      </c>
      <c r="F871" s="47" t="s">
        <v>1523</v>
      </c>
      <c r="G871" s="47" t="s">
        <v>1527</v>
      </c>
      <c r="H871" s="30">
        <v>1.0</v>
      </c>
      <c r="I871" s="30">
        <v>1297.9</v>
      </c>
      <c r="J871" s="30">
        <v>1297.9</v>
      </c>
      <c r="K871" s="30">
        <v>2.7</v>
      </c>
      <c r="L871" s="30">
        <v>35.0433</v>
      </c>
      <c r="M871" s="30">
        <v>1190.0</v>
      </c>
      <c r="N871" s="30">
        <v>1190.0</v>
      </c>
      <c r="O871" s="30">
        <v>0.0</v>
      </c>
      <c r="P871" s="30">
        <v>0.0</v>
      </c>
      <c r="Q871" s="30">
        <v>72.85670000000009</v>
      </c>
    </row>
    <row r="872">
      <c r="A872" s="47">
        <v>1.1235470899E10</v>
      </c>
      <c r="B872" s="48">
        <v>46157.052928240744</v>
      </c>
      <c r="C872" s="30">
        <v>3.850168291E9</v>
      </c>
      <c r="D872" s="47" t="s">
        <v>1509</v>
      </c>
      <c r="E872" s="47">
        <v>7.613033560064E12</v>
      </c>
      <c r="F872" s="47" t="s">
        <v>1523</v>
      </c>
      <c r="G872" s="47" t="s">
        <v>1527</v>
      </c>
      <c r="H872" s="30">
        <v>1.0</v>
      </c>
      <c r="I872" s="30">
        <v>1297.9</v>
      </c>
      <c r="J872" s="30">
        <v>1297.9</v>
      </c>
      <c r="K872" s="30">
        <v>2.7</v>
      </c>
      <c r="L872" s="30">
        <v>35.0433</v>
      </c>
      <c r="M872" s="30">
        <v>1190.0</v>
      </c>
      <c r="N872" s="30">
        <v>1190.0</v>
      </c>
      <c r="O872" s="30">
        <v>0.0</v>
      </c>
      <c r="P872" s="30">
        <v>0.0</v>
      </c>
      <c r="Q872" s="30">
        <v>72.85670000000009</v>
      </c>
    </row>
    <row r="873">
      <c r="A873" s="47">
        <v>1.1236151707E10</v>
      </c>
      <c r="B873" s="48">
        <v>46157.50267361111</v>
      </c>
      <c r="C873" s="30">
        <v>3.85089652E9</v>
      </c>
      <c r="D873" s="47" t="s">
        <v>1509</v>
      </c>
      <c r="E873" s="47">
        <v>7.613032816536E12</v>
      </c>
      <c r="F873" s="47" t="s">
        <v>1523</v>
      </c>
      <c r="G873" s="47" t="s">
        <v>1533</v>
      </c>
      <c r="H873" s="30">
        <v>2.0</v>
      </c>
      <c r="I873" s="30">
        <v>727.0</v>
      </c>
      <c r="J873" s="30">
        <v>1454.0</v>
      </c>
      <c r="K873" s="30">
        <v>4.41</v>
      </c>
      <c r="L873" s="30">
        <v>64.12140000000001</v>
      </c>
      <c r="M873" s="30">
        <v>580.0</v>
      </c>
      <c r="N873" s="30">
        <v>1160.0</v>
      </c>
      <c r="O873" s="30">
        <v>0.0</v>
      </c>
      <c r="P873" s="30">
        <v>0.0</v>
      </c>
      <c r="Q873" s="30">
        <v>229.8786</v>
      </c>
    </row>
    <row r="874">
      <c r="A874" s="47">
        <v>1.1234193243E10</v>
      </c>
      <c r="B874" s="48">
        <v>46156.78789351852</v>
      </c>
      <c r="C874" s="30">
        <v>3.849149391E9</v>
      </c>
      <c r="D874" s="47" t="s">
        <v>1509</v>
      </c>
      <c r="E874" s="47">
        <v>7.613032816536E12</v>
      </c>
      <c r="F874" s="47" t="s">
        <v>1523</v>
      </c>
      <c r="G874" s="47" t="s">
        <v>1533</v>
      </c>
      <c r="H874" s="30">
        <v>2.0</v>
      </c>
      <c r="I874" s="30">
        <v>727.0</v>
      </c>
      <c r="J874" s="30">
        <v>1454.0</v>
      </c>
      <c r="K874" s="30">
        <v>4.41</v>
      </c>
      <c r="L874" s="30">
        <v>64.12140000000001</v>
      </c>
      <c r="M874" s="30">
        <v>580.0</v>
      </c>
      <c r="N874" s="30">
        <v>1160.0</v>
      </c>
      <c r="O874" s="30">
        <v>0.0</v>
      </c>
      <c r="P874" s="30">
        <v>0.0</v>
      </c>
      <c r="Q874" s="30">
        <v>229.8786</v>
      </c>
    </row>
    <row r="875">
      <c r="A875" s="47">
        <v>1.1235509461E10</v>
      </c>
      <c r="B875" s="48">
        <v>46157.06122685185</v>
      </c>
      <c r="C875" s="30">
        <v>3.850207954E9</v>
      </c>
      <c r="D875" s="47" t="s">
        <v>1509</v>
      </c>
      <c r="E875" s="47">
        <v>7.613033560064E12</v>
      </c>
      <c r="F875" s="47" t="s">
        <v>1523</v>
      </c>
      <c r="G875" s="47" t="s">
        <v>1527</v>
      </c>
      <c r="H875" s="30">
        <v>1.0</v>
      </c>
      <c r="I875" s="30">
        <v>1297.9</v>
      </c>
      <c r="J875" s="30">
        <v>1297.9</v>
      </c>
      <c r="K875" s="30">
        <v>2.7</v>
      </c>
      <c r="L875" s="30">
        <v>35.0433</v>
      </c>
      <c r="M875" s="30">
        <v>1190.0</v>
      </c>
      <c r="N875" s="30">
        <v>1190.0</v>
      </c>
      <c r="O875" s="30">
        <v>0.0</v>
      </c>
      <c r="P875" s="30">
        <v>0.0</v>
      </c>
      <c r="Q875" s="30">
        <v>72.85670000000009</v>
      </c>
    </row>
    <row r="876">
      <c r="A876" s="47">
        <v>1.1232866659E10</v>
      </c>
      <c r="B876" s="48">
        <v>46156.309849537036</v>
      </c>
      <c r="C876" s="30">
        <v>3.847930744E9</v>
      </c>
      <c r="D876" s="47" t="s">
        <v>1509</v>
      </c>
      <c r="E876" s="47">
        <v>8.410650173535E12</v>
      </c>
      <c r="F876" s="47" t="s">
        <v>1523</v>
      </c>
      <c r="G876" s="47" t="s">
        <v>1558</v>
      </c>
      <c r="H876" s="30">
        <v>1.0</v>
      </c>
      <c r="I876" s="30">
        <v>4000.0</v>
      </c>
      <c r="J876" s="30">
        <v>4000.0</v>
      </c>
      <c r="K876" s="30">
        <v>14.85</v>
      </c>
      <c r="L876" s="30">
        <v>594.0</v>
      </c>
      <c r="M876" s="30">
        <v>3034.0</v>
      </c>
      <c r="N876" s="30">
        <v>3034.0</v>
      </c>
      <c r="O876" s="30">
        <v>0.0</v>
      </c>
      <c r="P876" s="30">
        <v>0.0</v>
      </c>
      <c r="Q876" s="30">
        <v>372.0</v>
      </c>
    </row>
    <row r="877">
      <c r="A877" s="47">
        <v>1.1234649301E10</v>
      </c>
      <c r="B877" s="48">
        <v>46156.886087962965</v>
      </c>
      <c r="C877" s="30">
        <v>3.849507515E9</v>
      </c>
      <c r="D877" s="47" t="s">
        <v>1509</v>
      </c>
      <c r="E877" s="47">
        <v>7.613032816536E12</v>
      </c>
      <c r="F877" s="47" t="s">
        <v>1523</v>
      </c>
      <c r="G877" s="47" t="s">
        <v>1533</v>
      </c>
      <c r="H877" s="30">
        <v>1.0</v>
      </c>
      <c r="I877" s="30">
        <v>727.0</v>
      </c>
      <c r="J877" s="30">
        <v>727.0</v>
      </c>
      <c r="K877" s="30">
        <v>4.41</v>
      </c>
      <c r="L877" s="30">
        <v>32.060700000000004</v>
      </c>
      <c r="M877" s="30">
        <v>580.0</v>
      </c>
      <c r="N877" s="30">
        <v>580.0</v>
      </c>
      <c r="O877" s="30">
        <v>0.0</v>
      </c>
      <c r="P877" s="30">
        <v>0.0</v>
      </c>
      <c r="Q877" s="30">
        <v>114.9393</v>
      </c>
    </row>
    <row r="878">
      <c r="A878" s="47">
        <v>1.1230820621E10</v>
      </c>
      <c r="B878" s="48">
        <v>46155.74175925926</v>
      </c>
      <c r="C878" s="30">
        <v>3.846108479E9</v>
      </c>
      <c r="D878" s="47" t="s">
        <v>1509</v>
      </c>
      <c r="E878" s="47">
        <v>3.182550894128E12</v>
      </c>
      <c r="F878" s="47" t="s">
        <v>1523</v>
      </c>
      <c r="G878" s="47" t="s">
        <v>1557</v>
      </c>
      <c r="H878" s="30">
        <v>2.0</v>
      </c>
      <c r="I878" s="30">
        <v>1595.0</v>
      </c>
      <c r="J878" s="30">
        <v>3190.0</v>
      </c>
      <c r="K878" s="30">
        <v>6.66</v>
      </c>
      <c r="L878" s="30">
        <v>212.454</v>
      </c>
      <c r="M878" s="30">
        <v>1394.04</v>
      </c>
      <c r="N878" s="30">
        <v>2788.08</v>
      </c>
      <c r="O878" s="30">
        <v>0.0</v>
      </c>
      <c r="P878" s="30">
        <v>0.0</v>
      </c>
      <c r="Q878" s="30">
        <v>189.46600000000007</v>
      </c>
    </row>
    <row r="879">
      <c r="A879" s="47">
        <v>1.1229700577E10</v>
      </c>
      <c r="B879" s="48">
        <v>46155.420115740744</v>
      </c>
      <c r="C879" s="30">
        <v>3.845046417E9</v>
      </c>
      <c r="D879" s="47" t="s">
        <v>1509</v>
      </c>
      <c r="E879" s="47">
        <v>3.18255078458E12</v>
      </c>
      <c r="F879" s="47" t="s">
        <v>1523</v>
      </c>
      <c r="G879" s="47" t="s">
        <v>1536</v>
      </c>
      <c r="H879" s="30">
        <v>1.0</v>
      </c>
      <c r="I879" s="30">
        <v>1931.0</v>
      </c>
      <c r="J879" s="30">
        <v>1931.0</v>
      </c>
      <c r="K879" s="30">
        <v>6.3</v>
      </c>
      <c r="L879" s="30">
        <v>121.65299999999999</v>
      </c>
      <c r="M879" s="30">
        <v>1604.0</v>
      </c>
      <c r="N879" s="30">
        <v>1604.0</v>
      </c>
      <c r="O879" s="30">
        <v>0.0</v>
      </c>
      <c r="P879" s="30">
        <v>0.0</v>
      </c>
      <c r="Q879" s="30">
        <v>205.347</v>
      </c>
    </row>
    <row r="880">
      <c r="A880" s="47">
        <v>1.1235778603E10</v>
      </c>
      <c r="B880" s="48">
        <v>46157.128229166665</v>
      </c>
      <c r="C880" s="30">
        <v>3.850478331E9</v>
      </c>
      <c r="D880" s="47" t="s">
        <v>1509</v>
      </c>
      <c r="E880" s="47">
        <v>7.613033560064E12</v>
      </c>
      <c r="F880" s="47" t="s">
        <v>1523</v>
      </c>
      <c r="G880" s="47" t="s">
        <v>1527</v>
      </c>
      <c r="H880" s="30">
        <v>1.0</v>
      </c>
      <c r="I880" s="30">
        <v>1297.9</v>
      </c>
      <c r="J880" s="30">
        <v>1297.9</v>
      </c>
      <c r="K880" s="30">
        <v>2.7</v>
      </c>
      <c r="L880" s="30">
        <v>35.0433</v>
      </c>
      <c r="M880" s="30">
        <v>1190.0</v>
      </c>
      <c r="N880" s="30">
        <v>1190.0</v>
      </c>
      <c r="O880" s="30">
        <v>0.0</v>
      </c>
      <c r="P880" s="30">
        <v>0.0</v>
      </c>
      <c r="Q880" s="30">
        <v>72.85670000000009</v>
      </c>
    </row>
    <row r="881">
      <c r="A881" s="47">
        <v>1.123525988E10</v>
      </c>
      <c r="B881" s="48">
        <v>46157.009097222224</v>
      </c>
      <c r="C881" s="30">
        <v>3.849974161E9</v>
      </c>
      <c r="D881" s="47" t="s">
        <v>1509</v>
      </c>
      <c r="E881" s="47">
        <v>7.613032816536E12</v>
      </c>
      <c r="F881" s="47" t="s">
        <v>1523</v>
      </c>
      <c r="G881" s="47" t="s">
        <v>1533</v>
      </c>
      <c r="H881" s="30">
        <v>2.0</v>
      </c>
      <c r="I881" s="30">
        <v>727.0</v>
      </c>
      <c r="J881" s="30">
        <v>1454.0</v>
      </c>
      <c r="K881" s="30">
        <v>4.41</v>
      </c>
      <c r="L881" s="30">
        <v>64.12140000000001</v>
      </c>
      <c r="M881" s="30">
        <v>580.0</v>
      </c>
      <c r="N881" s="30">
        <v>1160.0</v>
      </c>
      <c r="O881" s="30">
        <v>0.0</v>
      </c>
      <c r="P881" s="30">
        <v>0.0</v>
      </c>
      <c r="Q881" s="30">
        <v>229.8786</v>
      </c>
    </row>
    <row r="882">
      <c r="A882" s="47">
        <v>1.1236197538E10</v>
      </c>
      <c r="B882" s="48">
        <v>46157.521261574075</v>
      </c>
      <c r="C882" s="30">
        <v>3.850947515E9</v>
      </c>
      <c r="D882" s="47" t="s">
        <v>1509</v>
      </c>
      <c r="E882" s="47" t="s">
        <v>356</v>
      </c>
      <c r="F882" s="47" t="s">
        <v>1523</v>
      </c>
      <c r="G882" s="47" t="s">
        <v>1532</v>
      </c>
      <c r="H882" s="30">
        <v>1.0</v>
      </c>
      <c r="I882" s="30">
        <v>729.0</v>
      </c>
      <c r="J882" s="30">
        <v>729.0</v>
      </c>
      <c r="K882" s="30">
        <v>4.95</v>
      </c>
      <c r="L882" s="30">
        <v>36.0855</v>
      </c>
      <c r="M882" s="30">
        <v>580.0</v>
      </c>
      <c r="N882" s="30">
        <v>580.0</v>
      </c>
      <c r="O882" s="30">
        <v>0.0</v>
      </c>
      <c r="P882" s="30">
        <v>0.0</v>
      </c>
      <c r="Q882" s="30">
        <v>112.9145</v>
      </c>
    </row>
    <row r="883">
      <c r="A883" s="47">
        <v>1.1235940362E10</v>
      </c>
      <c r="B883" s="48">
        <v>46157.195543981485</v>
      </c>
      <c r="C883" s="30">
        <v>3.850647564E9</v>
      </c>
      <c r="D883" s="47" t="s">
        <v>1509</v>
      </c>
      <c r="E883" s="47" t="s">
        <v>356</v>
      </c>
      <c r="F883" s="47" t="s">
        <v>1523</v>
      </c>
      <c r="G883" s="47" t="s">
        <v>1532</v>
      </c>
      <c r="H883" s="30">
        <v>1.0</v>
      </c>
      <c r="I883" s="30">
        <v>729.0</v>
      </c>
      <c r="J883" s="30">
        <v>729.0</v>
      </c>
      <c r="K883" s="30">
        <v>4.95</v>
      </c>
      <c r="L883" s="30">
        <v>36.0855</v>
      </c>
      <c r="M883" s="30">
        <v>580.0</v>
      </c>
      <c r="N883" s="30">
        <v>580.0</v>
      </c>
      <c r="O883" s="30">
        <v>0.0</v>
      </c>
      <c r="P883" s="30">
        <v>0.0</v>
      </c>
      <c r="Q883" s="30">
        <v>112.9145</v>
      </c>
    </row>
    <row r="884">
      <c r="A884" s="47">
        <v>1.1233877207E10</v>
      </c>
      <c r="B884" s="48">
        <v>46156.718460648146</v>
      </c>
      <c r="C884" s="30">
        <v>3.848882603E9</v>
      </c>
      <c r="D884" s="47" t="s">
        <v>1509</v>
      </c>
      <c r="E884" s="47" t="s">
        <v>356</v>
      </c>
      <c r="F884" s="47" t="s">
        <v>1523</v>
      </c>
      <c r="G884" s="47" t="s">
        <v>1532</v>
      </c>
      <c r="H884" s="30">
        <v>2.0</v>
      </c>
      <c r="I884" s="30">
        <v>729.0</v>
      </c>
      <c r="J884" s="30">
        <v>1458.0</v>
      </c>
      <c r="K884" s="30">
        <v>4.95</v>
      </c>
      <c r="L884" s="30">
        <v>72.171</v>
      </c>
      <c r="M884" s="30">
        <v>580.0</v>
      </c>
      <c r="N884" s="30">
        <v>1160.0</v>
      </c>
      <c r="O884" s="30">
        <v>0.0</v>
      </c>
      <c r="P884" s="30">
        <v>0.0</v>
      </c>
      <c r="Q884" s="30">
        <v>225.829</v>
      </c>
    </row>
    <row r="885">
      <c r="A885" s="47">
        <v>1.1235658999E10</v>
      </c>
      <c r="B885" s="48">
        <v>46157.09577546296</v>
      </c>
      <c r="C885" s="30">
        <v>3.850354518E9</v>
      </c>
      <c r="D885" s="47" t="s">
        <v>1509</v>
      </c>
      <c r="E885" s="47">
        <v>7.613033560064E12</v>
      </c>
      <c r="F885" s="47" t="s">
        <v>1523</v>
      </c>
      <c r="G885" s="47" t="s">
        <v>1527</v>
      </c>
      <c r="H885" s="30">
        <v>1.0</v>
      </c>
      <c r="I885" s="30">
        <v>1297.9</v>
      </c>
      <c r="J885" s="30">
        <v>1297.9</v>
      </c>
      <c r="K885" s="30">
        <v>2.7</v>
      </c>
      <c r="L885" s="30">
        <v>35.0433</v>
      </c>
      <c r="M885" s="30">
        <v>1190.0</v>
      </c>
      <c r="N885" s="30">
        <v>1190.0</v>
      </c>
      <c r="O885" s="30">
        <v>0.0</v>
      </c>
      <c r="P885" s="30">
        <v>0.0</v>
      </c>
      <c r="Q885" s="30">
        <v>72.85670000000009</v>
      </c>
    </row>
    <row r="886">
      <c r="A886" s="47">
        <v>1.1233343349E10</v>
      </c>
      <c r="B886" s="48">
        <v>46156.609131944446</v>
      </c>
      <c r="C886" s="30">
        <v>3.848440078E9</v>
      </c>
      <c r="D886" s="47" t="s">
        <v>1509</v>
      </c>
      <c r="E886" s="47">
        <v>8.410650239156E12</v>
      </c>
      <c r="F886" s="47" t="s">
        <v>1523</v>
      </c>
      <c r="G886" s="47" t="s">
        <v>1530</v>
      </c>
      <c r="H886" s="30">
        <v>1.0</v>
      </c>
      <c r="I886" s="30">
        <v>1770.0</v>
      </c>
      <c r="J886" s="30">
        <v>1770.0</v>
      </c>
      <c r="K886" s="30">
        <v>14.85</v>
      </c>
      <c r="L886" s="30">
        <v>262.845</v>
      </c>
      <c r="M886" s="30">
        <v>1260.0</v>
      </c>
      <c r="N886" s="30">
        <v>1260.0</v>
      </c>
      <c r="O886" s="30">
        <v>0.0</v>
      </c>
      <c r="P886" s="30">
        <v>0.0</v>
      </c>
      <c r="Q886" s="30">
        <v>247.15499999999997</v>
      </c>
    </row>
    <row r="887">
      <c r="A887" s="47">
        <v>1.1236553029E10</v>
      </c>
      <c r="B887" s="48">
        <v>46157.616643518515</v>
      </c>
      <c r="C887" s="30">
        <v>3.85130219E9</v>
      </c>
      <c r="D887" s="47" t="s">
        <v>1509</v>
      </c>
      <c r="E887" s="47">
        <v>7.613035846708E12</v>
      </c>
      <c r="F887" s="47" t="s">
        <v>1523</v>
      </c>
      <c r="G887" s="47" t="s">
        <v>1535</v>
      </c>
      <c r="H887" s="30">
        <v>1.0</v>
      </c>
      <c r="I887" s="30">
        <v>1267.9</v>
      </c>
      <c r="J887" s="30">
        <v>1267.9</v>
      </c>
      <c r="K887" s="30">
        <v>4.5</v>
      </c>
      <c r="L887" s="30">
        <v>57.0555</v>
      </c>
      <c r="M887" s="30">
        <v>1160.0</v>
      </c>
      <c r="N887" s="30">
        <v>1160.0</v>
      </c>
      <c r="O887" s="30">
        <v>0.0</v>
      </c>
      <c r="P887" s="30">
        <v>0.0</v>
      </c>
      <c r="Q887" s="30">
        <v>50.84450000000009</v>
      </c>
    </row>
    <row r="888">
      <c r="A888" s="47">
        <v>1.1230967412E10</v>
      </c>
      <c r="B888" s="48">
        <v>46155.77446759259</v>
      </c>
      <c r="C888" s="30">
        <v>3.846239579E9</v>
      </c>
      <c r="D888" s="47" t="s">
        <v>1509</v>
      </c>
      <c r="E888" s="47">
        <v>3.182550894128E12</v>
      </c>
      <c r="F888" s="47" t="s">
        <v>1523</v>
      </c>
      <c r="G888" s="47" t="s">
        <v>1557</v>
      </c>
      <c r="H888" s="30">
        <v>1.0</v>
      </c>
      <c r="I888" s="30">
        <v>1595.0</v>
      </c>
      <c r="J888" s="30">
        <v>1595.0</v>
      </c>
      <c r="K888" s="30">
        <v>6.66</v>
      </c>
      <c r="L888" s="30">
        <v>106.227</v>
      </c>
      <c r="M888" s="30">
        <v>1394.04</v>
      </c>
      <c r="N888" s="30">
        <v>1394.04</v>
      </c>
      <c r="O888" s="30">
        <v>0.0</v>
      </c>
      <c r="P888" s="30">
        <v>0.0</v>
      </c>
      <c r="Q888" s="30">
        <v>94.73300000000003</v>
      </c>
    </row>
    <row r="889">
      <c r="A889" s="47">
        <v>1.1235444606E10</v>
      </c>
      <c r="B889" s="48">
        <v>46157.04761574074</v>
      </c>
      <c r="C889" s="30">
        <v>3.850144007E9</v>
      </c>
      <c r="D889" s="47" t="s">
        <v>1509</v>
      </c>
      <c r="E889" s="47" t="s">
        <v>318</v>
      </c>
      <c r="F889" s="47" t="s">
        <v>1523</v>
      </c>
      <c r="G889" s="47" t="s">
        <v>1552</v>
      </c>
      <c r="H889" s="30">
        <v>1.0</v>
      </c>
      <c r="I889" s="30">
        <v>200.0</v>
      </c>
      <c r="J889" s="30">
        <v>200.0</v>
      </c>
      <c r="K889" s="30">
        <v>11.25</v>
      </c>
      <c r="L889" s="30">
        <v>22.5</v>
      </c>
      <c r="M889" s="30">
        <v>78.6</v>
      </c>
      <c r="N889" s="30">
        <v>78.6</v>
      </c>
      <c r="O889" s="30">
        <v>0.0</v>
      </c>
      <c r="P889" s="30">
        <v>0.0</v>
      </c>
      <c r="Q889" s="30">
        <v>98.9</v>
      </c>
    </row>
    <row r="890">
      <c r="A890" s="47">
        <v>1.1235444606E10</v>
      </c>
      <c r="B890" s="48">
        <v>46157.04761574074</v>
      </c>
      <c r="C890" s="30">
        <v>3.850144007E9</v>
      </c>
      <c r="D890" s="47" t="s">
        <v>1509</v>
      </c>
      <c r="E890" s="47">
        <v>7.613033560064E12</v>
      </c>
      <c r="F890" s="47" t="s">
        <v>1523</v>
      </c>
      <c r="G890" s="47" t="s">
        <v>1527</v>
      </c>
      <c r="H890" s="30">
        <v>1.0</v>
      </c>
      <c r="I890" s="30">
        <v>1297.9</v>
      </c>
      <c r="J890" s="30">
        <v>1297.9</v>
      </c>
      <c r="K890" s="30">
        <v>2.7</v>
      </c>
      <c r="L890" s="30">
        <v>35.0433</v>
      </c>
      <c r="M890" s="30">
        <v>1190.0</v>
      </c>
      <c r="N890" s="30">
        <v>1190.0</v>
      </c>
      <c r="O890" s="30">
        <v>0.0</v>
      </c>
      <c r="P890" s="30">
        <v>0.0</v>
      </c>
      <c r="Q890" s="30">
        <v>72.85670000000009</v>
      </c>
    </row>
    <row r="891">
      <c r="A891" s="47">
        <v>1.1233863696E10</v>
      </c>
      <c r="B891" s="48">
        <v>46156.71548611111</v>
      </c>
      <c r="C891" s="30">
        <v>3.848871161E9</v>
      </c>
      <c r="D891" s="47" t="s">
        <v>1509</v>
      </c>
      <c r="E891" s="47" t="s">
        <v>356</v>
      </c>
      <c r="F891" s="47" t="s">
        <v>1523</v>
      </c>
      <c r="G891" s="47" t="s">
        <v>1532</v>
      </c>
      <c r="H891" s="30">
        <v>1.0</v>
      </c>
      <c r="I891" s="30">
        <v>729.0</v>
      </c>
      <c r="J891" s="30">
        <v>729.0</v>
      </c>
      <c r="K891" s="30">
        <v>4.95</v>
      </c>
      <c r="L891" s="30">
        <v>36.0855</v>
      </c>
      <c r="M891" s="30">
        <v>580.0</v>
      </c>
      <c r="N891" s="30">
        <v>580.0</v>
      </c>
      <c r="O891" s="30">
        <v>0.0</v>
      </c>
      <c r="P891" s="30">
        <v>0.0</v>
      </c>
      <c r="Q891" s="30">
        <v>112.9145</v>
      </c>
    </row>
    <row r="892">
      <c r="A892" s="47">
        <v>1.1233132775E10</v>
      </c>
      <c r="B892" s="48">
        <v>46156.55342592593</v>
      </c>
      <c r="C892" s="30">
        <v>3.848236355E9</v>
      </c>
      <c r="D892" s="47" t="s">
        <v>1509</v>
      </c>
      <c r="E892" s="47">
        <v>7.613032816536E12</v>
      </c>
      <c r="F892" s="47" t="s">
        <v>1523</v>
      </c>
      <c r="G892" s="47" t="s">
        <v>1533</v>
      </c>
      <c r="H892" s="30">
        <v>1.0</v>
      </c>
      <c r="I892" s="30">
        <v>727.0</v>
      </c>
      <c r="J892" s="30">
        <v>727.0</v>
      </c>
      <c r="K892" s="30">
        <v>4.41</v>
      </c>
      <c r="L892" s="30">
        <v>32.060700000000004</v>
      </c>
      <c r="M892" s="30">
        <v>580.0</v>
      </c>
      <c r="N892" s="30">
        <v>580.0</v>
      </c>
      <c r="O892" s="30">
        <v>0.0</v>
      </c>
      <c r="P892" s="30">
        <v>0.0</v>
      </c>
      <c r="Q892" s="30">
        <v>114.9393</v>
      </c>
    </row>
    <row r="893">
      <c r="A893" s="47">
        <v>1.1232563668E10</v>
      </c>
      <c r="B893" s="48">
        <v>46156.10973379629</v>
      </c>
      <c r="C893" s="30">
        <v>3.847619118E9</v>
      </c>
      <c r="D893" s="47" t="s">
        <v>1509</v>
      </c>
      <c r="E893" s="47">
        <v>7.613033560033E12</v>
      </c>
      <c r="F893" s="47">
        <v>0.0</v>
      </c>
      <c r="G893" s="47" t="s">
        <v>1539</v>
      </c>
      <c r="H893" s="30">
        <v>1.0</v>
      </c>
      <c r="I893" s="30">
        <v>1261.99</v>
      </c>
      <c r="J893" s="30">
        <v>1261.99</v>
      </c>
      <c r="K893" s="30">
        <v>3.6</v>
      </c>
      <c r="L893" s="30">
        <v>45.431639999999994</v>
      </c>
      <c r="M893" s="30">
        <v>1165.0</v>
      </c>
      <c r="N893" s="30">
        <v>1165.0</v>
      </c>
      <c r="O893" s="30">
        <v>0.0</v>
      </c>
      <c r="P893" s="30">
        <v>0.0</v>
      </c>
      <c r="Q893" s="30">
        <v>51.558360000000015</v>
      </c>
    </row>
    <row r="894">
      <c r="A894" s="47">
        <v>1.1235006063E10</v>
      </c>
      <c r="B894" s="48">
        <v>46156.95804398148</v>
      </c>
      <c r="C894" s="30">
        <v>3.849766404E9</v>
      </c>
      <c r="D894" s="47" t="s">
        <v>1509</v>
      </c>
      <c r="E894" s="47">
        <v>7.613033560064E12</v>
      </c>
      <c r="F894" s="47" t="s">
        <v>1523</v>
      </c>
      <c r="G894" s="47" t="s">
        <v>1527</v>
      </c>
      <c r="H894" s="30">
        <v>1.0</v>
      </c>
      <c r="I894" s="30">
        <v>1297.9</v>
      </c>
      <c r="J894" s="30">
        <v>1297.9</v>
      </c>
      <c r="K894" s="30">
        <v>2.7</v>
      </c>
      <c r="L894" s="30">
        <v>35.0433</v>
      </c>
      <c r="M894" s="30">
        <v>1190.0</v>
      </c>
      <c r="N894" s="30">
        <v>1190.0</v>
      </c>
      <c r="O894" s="30">
        <v>0.0</v>
      </c>
      <c r="P894" s="30">
        <v>0.0</v>
      </c>
      <c r="Q894" s="30">
        <v>72.85670000000009</v>
      </c>
    </row>
    <row r="895">
      <c r="A895" s="47">
        <v>1.1233449747E10</v>
      </c>
      <c r="B895" s="48">
        <v>46156.63081018518</v>
      </c>
      <c r="C895" s="30">
        <v>3.848527911E9</v>
      </c>
      <c r="D895" s="47" t="s">
        <v>1509</v>
      </c>
      <c r="E895" s="47">
        <v>7.613032816536E12</v>
      </c>
      <c r="F895" s="47" t="s">
        <v>1523</v>
      </c>
      <c r="G895" s="47" t="s">
        <v>1533</v>
      </c>
      <c r="H895" s="30">
        <v>1.0</v>
      </c>
      <c r="I895" s="30">
        <v>727.0</v>
      </c>
      <c r="J895" s="30">
        <v>727.0</v>
      </c>
      <c r="K895" s="30">
        <v>4.41</v>
      </c>
      <c r="L895" s="30">
        <v>32.060700000000004</v>
      </c>
      <c r="M895" s="30">
        <v>580.0</v>
      </c>
      <c r="N895" s="30">
        <v>580.0</v>
      </c>
      <c r="O895" s="30">
        <v>0.0</v>
      </c>
      <c r="P895" s="30">
        <v>0.0</v>
      </c>
      <c r="Q895" s="30">
        <v>114.9393</v>
      </c>
    </row>
    <row r="896">
      <c r="A896" s="47">
        <v>1.1231038834E10</v>
      </c>
      <c r="B896" s="48">
        <v>46155.79015046296</v>
      </c>
      <c r="C896" s="30">
        <v>3.846302532E9</v>
      </c>
      <c r="D896" s="47" t="s">
        <v>1509</v>
      </c>
      <c r="E896" s="47">
        <v>6.923632570003E12</v>
      </c>
      <c r="F896" s="47" t="s">
        <v>1523</v>
      </c>
      <c r="G896" s="47" t="s">
        <v>1544</v>
      </c>
      <c r="H896" s="30">
        <v>2.0</v>
      </c>
      <c r="I896" s="30">
        <v>489.0</v>
      </c>
      <c r="J896" s="30">
        <v>978.0</v>
      </c>
      <c r="K896" s="30">
        <v>18.0</v>
      </c>
      <c r="L896" s="30">
        <v>176.04</v>
      </c>
      <c r="M896" s="30">
        <v>130.0</v>
      </c>
      <c r="N896" s="30">
        <v>260.0</v>
      </c>
      <c r="O896" s="30">
        <v>0.0</v>
      </c>
      <c r="P896" s="30">
        <v>0.0</v>
      </c>
      <c r="Q896" s="30">
        <v>541.96</v>
      </c>
    </row>
    <row r="897">
      <c r="A897" s="47">
        <v>1.12364317E10</v>
      </c>
      <c r="B897" s="48">
        <v>46157.590775462966</v>
      </c>
      <c r="C897" s="30">
        <v>3.851194947E9</v>
      </c>
      <c r="D897" s="47" t="s">
        <v>1509</v>
      </c>
      <c r="E897" s="47" t="s">
        <v>143</v>
      </c>
      <c r="F897" s="47" t="s">
        <v>1523</v>
      </c>
      <c r="G897" s="47" t="s">
        <v>1545</v>
      </c>
      <c r="H897" s="30">
        <v>2.0</v>
      </c>
      <c r="I897" s="30">
        <v>319.0</v>
      </c>
      <c r="J897" s="30">
        <v>638.0</v>
      </c>
      <c r="K897" s="30">
        <v>14.85</v>
      </c>
      <c r="L897" s="30">
        <v>94.743</v>
      </c>
      <c r="M897" s="30">
        <v>180.0</v>
      </c>
      <c r="N897" s="30">
        <v>360.0</v>
      </c>
      <c r="O897" s="30">
        <v>0.0</v>
      </c>
      <c r="P897" s="30">
        <v>0.0</v>
      </c>
      <c r="Q897" s="30">
        <v>183.257</v>
      </c>
    </row>
    <row r="898">
      <c r="A898" s="47">
        <v>1.12364317E10</v>
      </c>
      <c r="B898" s="48">
        <v>46157.590775462966</v>
      </c>
      <c r="C898" s="30">
        <v>3.851194947E9</v>
      </c>
      <c r="D898" s="47" t="s">
        <v>1509</v>
      </c>
      <c r="E898" s="47">
        <v>7.613032816536E12</v>
      </c>
      <c r="F898" s="47" t="s">
        <v>1523</v>
      </c>
      <c r="G898" s="47" t="s">
        <v>1533</v>
      </c>
      <c r="H898" s="30">
        <v>1.0</v>
      </c>
      <c r="I898" s="30">
        <v>727.0</v>
      </c>
      <c r="J898" s="30">
        <v>727.0</v>
      </c>
      <c r="K898" s="30">
        <v>4.41</v>
      </c>
      <c r="L898" s="30">
        <v>32.060700000000004</v>
      </c>
      <c r="M898" s="30">
        <v>580.0</v>
      </c>
      <c r="N898" s="30">
        <v>580.0</v>
      </c>
      <c r="O898" s="30">
        <v>0.0</v>
      </c>
      <c r="P898" s="30">
        <v>0.0</v>
      </c>
      <c r="Q898" s="30">
        <v>114.9393</v>
      </c>
    </row>
    <row r="899">
      <c r="A899" s="47">
        <v>1.1235131138E10</v>
      </c>
      <c r="B899" s="48">
        <v>46156.98318287037</v>
      </c>
      <c r="C899" s="30">
        <v>3.849864142E9</v>
      </c>
      <c r="D899" s="47" t="s">
        <v>1509</v>
      </c>
      <c r="E899" s="47">
        <v>7.613033560064E12</v>
      </c>
      <c r="F899" s="47" t="s">
        <v>1523</v>
      </c>
      <c r="G899" s="47" t="s">
        <v>1527</v>
      </c>
      <c r="H899" s="30">
        <v>1.0</v>
      </c>
      <c r="I899" s="30">
        <v>1297.9</v>
      </c>
      <c r="J899" s="30">
        <v>1297.9</v>
      </c>
      <c r="K899" s="30">
        <v>2.7</v>
      </c>
      <c r="L899" s="30">
        <v>35.0433</v>
      </c>
      <c r="M899" s="30">
        <v>1190.0</v>
      </c>
      <c r="N899" s="30">
        <v>1190.0</v>
      </c>
      <c r="O899" s="30">
        <v>0.0</v>
      </c>
      <c r="P899" s="30">
        <v>0.0</v>
      </c>
      <c r="Q899" s="30">
        <v>72.85670000000009</v>
      </c>
    </row>
    <row r="900">
      <c r="A900" s="47">
        <v>1.1234580135E10</v>
      </c>
      <c r="B900" s="48">
        <v>46156.87153935185</v>
      </c>
      <c r="C900" s="30">
        <v>3.849457515E9</v>
      </c>
      <c r="D900" s="47" t="s">
        <v>1509</v>
      </c>
      <c r="E900" s="47">
        <v>7.613033560064E12</v>
      </c>
      <c r="F900" s="47" t="s">
        <v>1523</v>
      </c>
      <c r="G900" s="47" t="s">
        <v>1527</v>
      </c>
      <c r="H900" s="30">
        <v>1.0</v>
      </c>
      <c r="I900" s="30">
        <v>1299.0</v>
      </c>
      <c r="J900" s="30">
        <v>1299.0</v>
      </c>
      <c r="K900" s="30">
        <v>2.7</v>
      </c>
      <c r="L900" s="30">
        <v>35.073</v>
      </c>
      <c r="M900" s="30">
        <v>1190.0</v>
      </c>
      <c r="N900" s="30">
        <v>1190.0</v>
      </c>
      <c r="O900" s="30">
        <v>0.0</v>
      </c>
      <c r="P900" s="30">
        <v>0.0</v>
      </c>
      <c r="Q900" s="30">
        <v>73.92699999999999</v>
      </c>
    </row>
    <row r="901">
      <c r="A901" s="47">
        <v>1.1229159541E10</v>
      </c>
      <c r="B901" s="48">
        <v>46155.06630787037</v>
      </c>
      <c r="C901" s="30">
        <v>3.844481673E9</v>
      </c>
      <c r="D901" s="47" t="s">
        <v>1509</v>
      </c>
      <c r="E901" s="47">
        <v>6.923632570003E12</v>
      </c>
      <c r="F901" s="47" t="s">
        <v>1523</v>
      </c>
      <c r="G901" s="47" t="s">
        <v>1544</v>
      </c>
      <c r="H901" s="30">
        <v>1.0</v>
      </c>
      <c r="I901" s="30">
        <v>489.0</v>
      </c>
      <c r="J901" s="30">
        <v>489.0</v>
      </c>
      <c r="K901" s="30">
        <v>18.0</v>
      </c>
      <c r="L901" s="30">
        <v>88.02</v>
      </c>
      <c r="M901" s="30">
        <v>130.0</v>
      </c>
      <c r="N901" s="30">
        <v>130.0</v>
      </c>
      <c r="O901" s="30">
        <v>0.0</v>
      </c>
      <c r="P901" s="30">
        <v>0.0</v>
      </c>
      <c r="Q901" s="30">
        <v>270.98</v>
      </c>
    </row>
    <row r="902">
      <c r="A902" s="47">
        <v>1.1235088011E10</v>
      </c>
      <c r="B902" s="48">
        <v>46156.97478009259</v>
      </c>
      <c r="C902" s="30">
        <v>3.849828649E9</v>
      </c>
      <c r="D902" s="47" t="s">
        <v>1509</v>
      </c>
      <c r="E902" s="47">
        <v>7.613033560064E12</v>
      </c>
      <c r="F902" s="47" t="s">
        <v>1523</v>
      </c>
      <c r="G902" s="47" t="s">
        <v>1527</v>
      </c>
      <c r="H902" s="30">
        <v>1.0</v>
      </c>
      <c r="I902" s="30">
        <v>1297.9</v>
      </c>
      <c r="J902" s="30">
        <v>1297.9</v>
      </c>
      <c r="K902" s="30">
        <v>2.7</v>
      </c>
      <c r="L902" s="30">
        <v>35.0433</v>
      </c>
      <c r="M902" s="30">
        <v>1190.0</v>
      </c>
      <c r="N902" s="30">
        <v>1190.0</v>
      </c>
      <c r="O902" s="30">
        <v>0.0</v>
      </c>
      <c r="P902" s="30">
        <v>0.0</v>
      </c>
      <c r="Q902" s="30">
        <v>72.85670000000009</v>
      </c>
    </row>
    <row r="903">
      <c r="A903" s="47">
        <v>1.1233894114E10</v>
      </c>
      <c r="B903" s="48">
        <v>46156.7221875</v>
      </c>
      <c r="C903" s="30">
        <v>3.848896103E9</v>
      </c>
      <c r="D903" s="47" t="s">
        <v>1509</v>
      </c>
      <c r="E903" s="47">
        <v>8.410650239156E12</v>
      </c>
      <c r="F903" s="47" t="s">
        <v>1523</v>
      </c>
      <c r="G903" s="47" t="s">
        <v>1530</v>
      </c>
      <c r="H903" s="30">
        <v>1.0</v>
      </c>
      <c r="I903" s="30">
        <v>1770.0</v>
      </c>
      <c r="J903" s="30">
        <v>1770.0</v>
      </c>
      <c r="K903" s="30">
        <v>14.85</v>
      </c>
      <c r="L903" s="30">
        <v>262.845</v>
      </c>
      <c r="M903" s="30">
        <v>1260.0</v>
      </c>
      <c r="N903" s="30">
        <v>1260.0</v>
      </c>
      <c r="O903" s="30">
        <v>0.0</v>
      </c>
      <c r="P903" s="30">
        <v>0.0</v>
      </c>
      <c r="Q903" s="30">
        <v>247.15499999999997</v>
      </c>
    </row>
    <row r="904">
      <c r="A904" s="47">
        <v>1.1233186427E10</v>
      </c>
      <c r="B904" s="48">
        <v>46156.569872685184</v>
      </c>
      <c r="C904" s="30">
        <v>3.848289697E9</v>
      </c>
      <c r="D904" s="47" t="s">
        <v>1509</v>
      </c>
      <c r="E904" s="47">
        <v>7.613032816536E12</v>
      </c>
      <c r="F904" s="47" t="s">
        <v>1523</v>
      </c>
      <c r="G904" s="47" t="s">
        <v>1533</v>
      </c>
      <c r="H904" s="30">
        <v>2.0</v>
      </c>
      <c r="I904" s="30">
        <v>727.0</v>
      </c>
      <c r="J904" s="30">
        <v>1454.0</v>
      </c>
      <c r="K904" s="30">
        <v>4.41</v>
      </c>
      <c r="L904" s="30">
        <v>64.12140000000001</v>
      </c>
      <c r="M904" s="30">
        <v>580.0</v>
      </c>
      <c r="N904" s="30">
        <v>1160.0</v>
      </c>
      <c r="O904" s="30">
        <v>0.0</v>
      </c>
      <c r="P904" s="30">
        <v>0.0</v>
      </c>
      <c r="Q904" s="30">
        <v>229.8786</v>
      </c>
    </row>
    <row r="905">
      <c r="A905" s="47">
        <v>1.1234404324E10</v>
      </c>
      <c r="B905" s="48">
        <v>46156.83405092593</v>
      </c>
      <c r="C905" s="30">
        <v>3.849320995E9</v>
      </c>
      <c r="D905" s="47" t="s">
        <v>1509</v>
      </c>
      <c r="E905" s="47" t="s">
        <v>356</v>
      </c>
      <c r="F905" s="47" t="s">
        <v>1523</v>
      </c>
      <c r="G905" s="47" t="s">
        <v>1532</v>
      </c>
      <c r="H905" s="30">
        <v>1.0</v>
      </c>
      <c r="I905" s="30">
        <v>729.0</v>
      </c>
      <c r="J905" s="30">
        <v>729.0</v>
      </c>
      <c r="K905" s="30">
        <v>4.95</v>
      </c>
      <c r="L905" s="30">
        <v>36.0855</v>
      </c>
      <c r="M905" s="30">
        <v>580.0</v>
      </c>
      <c r="N905" s="30">
        <v>580.0</v>
      </c>
      <c r="O905" s="30">
        <v>0.0</v>
      </c>
      <c r="P905" s="30">
        <v>0.0</v>
      </c>
      <c r="Q905" s="30">
        <v>112.9145</v>
      </c>
    </row>
    <row r="906">
      <c r="A906" s="47">
        <v>1.1235314572E10</v>
      </c>
      <c r="B906" s="48">
        <v>46157.02018518518</v>
      </c>
      <c r="C906" s="30">
        <v>3.85002147E9</v>
      </c>
      <c r="D906" s="47" t="s">
        <v>1509</v>
      </c>
      <c r="E906" s="47" t="s">
        <v>356</v>
      </c>
      <c r="F906" s="47" t="s">
        <v>1523</v>
      </c>
      <c r="G906" s="47" t="s">
        <v>1532</v>
      </c>
      <c r="H906" s="30">
        <v>1.0</v>
      </c>
      <c r="I906" s="30">
        <v>729.0</v>
      </c>
      <c r="J906" s="30">
        <v>729.0</v>
      </c>
      <c r="K906" s="30">
        <v>4.95</v>
      </c>
      <c r="L906" s="30">
        <v>36.0855</v>
      </c>
      <c r="M906" s="30">
        <v>580.0</v>
      </c>
      <c r="N906" s="30">
        <v>580.0</v>
      </c>
      <c r="O906" s="30">
        <v>0.0</v>
      </c>
      <c r="P906" s="30">
        <v>0.0</v>
      </c>
      <c r="Q906" s="30">
        <v>112.9145</v>
      </c>
    </row>
    <row r="907">
      <c r="A907" s="47">
        <v>1.1232676168E10</v>
      </c>
      <c r="B907" s="48">
        <v>46156.14163194445</v>
      </c>
      <c r="C907" s="30">
        <v>3.847737136E9</v>
      </c>
      <c r="D907" s="47" t="s">
        <v>1509</v>
      </c>
      <c r="E907" s="47">
        <v>8.005852171108E12</v>
      </c>
      <c r="F907" s="47" t="s">
        <v>1523</v>
      </c>
      <c r="G907" s="47" t="s">
        <v>1528</v>
      </c>
      <c r="H907" s="30">
        <v>1.0</v>
      </c>
      <c r="I907" s="30">
        <v>175.0</v>
      </c>
      <c r="J907" s="30">
        <v>175.0</v>
      </c>
      <c r="K907" s="30">
        <v>14.85</v>
      </c>
      <c r="L907" s="30">
        <v>25.9875</v>
      </c>
      <c r="M907" s="30">
        <v>0.0</v>
      </c>
      <c r="N907" s="30">
        <v>0.0</v>
      </c>
      <c r="O907" s="30">
        <v>0.0</v>
      </c>
      <c r="P907" s="30">
        <v>0.0</v>
      </c>
      <c r="Q907" s="30">
        <v>149.0125</v>
      </c>
    </row>
    <row r="908">
      <c r="A908" s="47">
        <v>1.1235488668E10</v>
      </c>
      <c r="B908" s="48">
        <v>46157.05694444444</v>
      </c>
      <c r="C908" s="30">
        <v>3.850189071E9</v>
      </c>
      <c r="D908" s="47" t="s">
        <v>1509</v>
      </c>
      <c r="E908" s="47">
        <v>8.410650151656E12</v>
      </c>
      <c r="F908" s="47" t="s">
        <v>1523</v>
      </c>
      <c r="G908" s="47" t="s">
        <v>1525</v>
      </c>
      <c r="H908" s="30">
        <v>2.0</v>
      </c>
      <c r="I908" s="30">
        <v>1730.0</v>
      </c>
      <c r="J908" s="30">
        <v>3460.0</v>
      </c>
      <c r="K908" s="30">
        <v>14.85</v>
      </c>
      <c r="L908" s="30">
        <v>513.81</v>
      </c>
      <c r="M908" s="30">
        <v>1228.0</v>
      </c>
      <c r="N908" s="30">
        <v>2456.0</v>
      </c>
      <c r="O908" s="30">
        <v>0.0</v>
      </c>
      <c r="P908" s="30">
        <v>0.0</v>
      </c>
      <c r="Q908" s="30">
        <v>490.19000000000005</v>
      </c>
    </row>
    <row r="909">
      <c r="A909" s="47">
        <v>1.1233565955E10</v>
      </c>
      <c r="B909" s="48">
        <v>46156.65452546296</v>
      </c>
      <c r="C909" s="30">
        <v>3.848620263E9</v>
      </c>
      <c r="D909" s="47" t="s">
        <v>1509</v>
      </c>
      <c r="E909" s="47" t="s">
        <v>356</v>
      </c>
      <c r="F909" s="47" t="s">
        <v>1523</v>
      </c>
      <c r="G909" s="47" t="s">
        <v>1532</v>
      </c>
      <c r="H909" s="30">
        <v>1.0</v>
      </c>
      <c r="I909" s="30">
        <v>729.0</v>
      </c>
      <c r="J909" s="30">
        <v>729.0</v>
      </c>
      <c r="K909" s="30">
        <v>4.95</v>
      </c>
      <c r="L909" s="30">
        <v>36.0855</v>
      </c>
      <c r="M909" s="30">
        <v>580.0</v>
      </c>
      <c r="N909" s="30">
        <v>580.0</v>
      </c>
      <c r="O909" s="30">
        <v>0.0</v>
      </c>
      <c r="P909" s="30">
        <v>0.0</v>
      </c>
      <c r="Q909" s="30">
        <v>112.9145</v>
      </c>
    </row>
    <row r="910">
      <c r="A910" s="47">
        <v>1.122980364E10</v>
      </c>
      <c r="B910" s="48">
        <v>46155.50246527778</v>
      </c>
      <c r="C910" s="30">
        <v>3.845169894E9</v>
      </c>
      <c r="D910" s="47" t="s">
        <v>1509</v>
      </c>
      <c r="E910" s="47">
        <v>7.613033560033E12</v>
      </c>
      <c r="F910" s="47">
        <v>0.0</v>
      </c>
      <c r="G910" s="47" t="s">
        <v>1539</v>
      </c>
      <c r="H910" s="30">
        <v>1.0</v>
      </c>
      <c r="I910" s="30">
        <v>1261.99</v>
      </c>
      <c r="J910" s="30">
        <v>1261.99</v>
      </c>
      <c r="K910" s="30">
        <v>3.6</v>
      </c>
      <c r="L910" s="30">
        <v>45.431639999999994</v>
      </c>
      <c r="M910" s="30">
        <v>1165.0</v>
      </c>
      <c r="N910" s="30">
        <v>1165.0</v>
      </c>
      <c r="O910" s="30">
        <v>0.0</v>
      </c>
      <c r="P910" s="30">
        <v>0.0</v>
      </c>
      <c r="Q910" s="30">
        <v>51.558360000000015</v>
      </c>
    </row>
    <row r="911">
      <c r="A911" s="47">
        <v>1.1233363056E10</v>
      </c>
      <c r="B911" s="48">
        <v>46156.61347222222</v>
      </c>
      <c r="C911" s="30">
        <v>3.848454639E9</v>
      </c>
      <c r="D911" s="47" t="s">
        <v>1509</v>
      </c>
      <c r="E911" s="47" t="s">
        <v>356</v>
      </c>
      <c r="F911" s="47" t="s">
        <v>1523</v>
      </c>
      <c r="G911" s="47" t="s">
        <v>1532</v>
      </c>
      <c r="H911" s="30">
        <v>1.0</v>
      </c>
      <c r="I911" s="30">
        <v>729.0</v>
      </c>
      <c r="J911" s="30">
        <v>729.0</v>
      </c>
      <c r="K911" s="30">
        <v>4.95</v>
      </c>
      <c r="L911" s="30">
        <v>36.0855</v>
      </c>
      <c r="M911" s="30">
        <v>580.0</v>
      </c>
      <c r="N911" s="30">
        <v>580.0</v>
      </c>
      <c r="O911" s="30">
        <v>0.0</v>
      </c>
      <c r="P911" s="30">
        <v>0.0</v>
      </c>
      <c r="Q911" s="30">
        <v>112.9145</v>
      </c>
    </row>
    <row r="912">
      <c r="A912" s="47">
        <v>1.123237134E10</v>
      </c>
      <c r="B912" s="48">
        <v>46156.066354166665</v>
      </c>
      <c r="C912" s="30">
        <v>3.847415497E9</v>
      </c>
      <c r="D912" s="47" t="s">
        <v>1509</v>
      </c>
      <c r="E912" s="47">
        <v>7.613032816536E12</v>
      </c>
      <c r="F912" s="47" t="s">
        <v>1523</v>
      </c>
      <c r="G912" s="47" t="s">
        <v>1533</v>
      </c>
      <c r="H912" s="30">
        <v>1.0</v>
      </c>
      <c r="I912" s="30">
        <v>729.0</v>
      </c>
      <c r="J912" s="30">
        <v>729.0</v>
      </c>
      <c r="K912" s="30">
        <v>4.41</v>
      </c>
      <c r="L912" s="30">
        <v>32.148900000000005</v>
      </c>
      <c r="M912" s="30">
        <v>580.0</v>
      </c>
      <c r="N912" s="30">
        <v>580.0</v>
      </c>
      <c r="O912" s="30">
        <v>0.0</v>
      </c>
      <c r="P912" s="30">
        <v>0.0</v>
      </c>
      <c r="Q912" s="30">
        <v>116.8511</v>
      </c>
    </row>
    <row r="913">
      <c r="A913" s="47">
        <v>1.1199931168E10</v>
      </c>
      <c r="B913" s="48">
        <v>46147.02900462963</v>
      </c>
      <c r="C913" s="30">
        <v>3.817185366E9</v>
      </c>
      <c r="D913" s="47" t="s">
        <v>1516</v>
      </c>
      <c r="E913" s="47">
        <v>7.613033560064E12</v>
      </c>
      <c r="F913" s="47" t="s">
        <v>1523</v>
      </c>
      <c r="G913" s="47" t="s">
        <v>1527</v>
      </c>
      <c r="H913" s="30">
        <v>1.0</v>
      </c>
      <c r="I913" s="30">
        <v>1615.0</v>
      </c>
      <c r="J913" s="30">
        <v>1615.0</v>
      </c>
      <c r="K913" s="30">
        <v>12.5</v>
      </c>
      <c r="L913" s="30">
        <v>201.875</v>
      </c>
      <c r="M913" s="30">
        <v>1190.0</v>
      </c>
      <c r="N913" s="30">
        <v>1190.0</v>
      </c>
      <c r="O913" s="30">
        <v>0.0</v>
      </c>
      <c r="P913" s="30">
        <v>0.0</v>
      </c>
      <c r="Q913" s="30">
        <v>223.125</v>
      </c>
    </row>
    <row r="914">
      <c r="A914" s="47">
        <v>1.1238843412E10</v>
      </c>
      <c r="B914" s="48">
        <v>46158.07324074074</v>
      </c>
      <c r="C914" s="30">
        <v>3.853111279E9</v>
      </c>
      <c r="D914" s="47" t="s">
        <v>1511</v>
      </c>
      <c r="E914" s="47" t="s">
        <v>356</v>
      </c>
      <c r="F914" s="47" t="s">
        <v>1523</v>
      </c>
      <c r="G914" s="47" t="s">
        <v>1532</v>
      </c>
      <c r="H914" s="30">
        <v>1.0</v>
      </c>
      <c r="I914" s="30">
        <v>729.0</v>
      </c>
      <c r="J914" s="30">
        <v>729.0</v>
      </c>
      <c r="K914" s="30">
        <v>4.95</v>
      </c>
      <c r="L914" s="30">
        <v>36.0855</v>
      </c>
      <c r="M914" s="30">
        <v>580.0</v>
      </c>
      <c r="N914" s="30">
        <v>580.0</v>
      </c>
      <c r="O914" s="30">
        <v>0.0</v>
      </c>
      <c r="P914" s="30">
        <v>0.0</v>
      </c>
      <c r="Q914" s="30">
        <v>112.9145</v>
      </c>
    </row>
    <row r="915">
      <c r="A915" s="47">
        <v>1.123829168E10</v>
      </c>
      <c r="B915" s="48">
        <v>46157.96306712963</v>
      </c>
      <c r="C915" s="30">
        <v>3.852665233E9</v>
      </c>
      <c r="D915" s="47" t="s">
        <v>1511</v>
      </c>
      <c r="E915" s="47">
        <v>7.613033560064E12</v>
      </c>
      <c r="F915" s="47" t="s">
        <v>1523</v>
      </c>
      <c r="G915" s="47" t="s">
        <v>1527</v>
      </c>
      <c r="H915" s="30">
        <v>1.0</v>
      </c>
      <c r="I915" s="30">
        <v>1291.0</v>
      </c>
      <c r="J915" s="30">
        <v>1291.0</v>
      </c>
      <c r="K915" s="30">
        <v>2.7</v>
      </c>
      <c r="L915" s="30">
        <v>34.857</v>
      </c>
      <c r="M915" s="30">
        <v>1190.0</v>
      </c>
      <c r="N915" s="30">
        <v>1190.0</v>
      </c>
      <c r="O915" s="30">
        <v>0.0</v>
      </c>
      <c r="P915" s="30">
        <v>0.0</v>
      </c>
      <c r="Q915" s="30">
        <v>66.143</v>
      </c>
    </row>
    <row r="916">
      <c r="A916" s="47">
        <v>1.12297491E10</v>
      </c>
      <c r="B916" s="48">
        <v>46155.47179398148</v>
      </c>
      <c r="C916" s="30">
        <v>3.845107926E9</v>
      </c>
      <c r="D916" s="47" t="s">
        <v>1509</v>
      </c>
      <c r="E916" s="47" t="s">
        <v>350</v>
      </c>
      <c r="F916" s="47" t="s">
        <v>1523</v>
      </c>
      <c r="G916" s="47" t="s">
        <v>1580</v>
      </c>
      <c r="H916" s="30">
        <v>1.0</v>
      </c>
      <c r="I916" s="30">
        <v>4341.0</v>
      </c>
      <c r="J916" s="30">
        <v>4341.0</v>
      </c>
      <c r="K916" s="30">
        <v>8.82</v>
      </c>
      <c r="L916" s="30">
        <v>382.87620000000004</v>
      </c>
      <c r="M916" s="30">
        <v>3475.0</v>
      </c>
      <c r="N916" s="30">
        <v>3475.0</v>
      </c>
      <c r="O916" s="30">
        <v>0.0</v>
      </c>
      <c r="P916" s="30">
        <v>0.0</v>
      </c>
      <c r="Q916" s="30">
        <v>483.12379999999996</v>
      </c>
    </row>
    <row r="917">
      <c r="A917" s="47">
        <v>1.1231410826E10</v>
      </c>
      <c r="B917" s="48">
        <v>46155.87533564815</v>
      </c>
      <c r="C917" s="30">
        <v>3.846603806E9</v>
      </c>
      <c r="D917" s="47" t="s">
        <v>1509</v>
      </c>
      <c r="E917" s="47">
        <v>3.182550721738E12</v>
      </c>
      <c r="F917" s="47" t="s">
        <v>1523</v>
      </c>
      <c r="G917" s="47" t="s">
        <v>1526</v>
      </c>
      <c r="H917" s="30">
        <v>1.0</v>
      </c>
      <c r="I917" s="30">
        <v>1464.0</v>
      </c>
      <c r="J917" s="30">
        <v>1464.0</v>
      </c>
      <c r="K917" s="30">
        <v>6.84</v>
      </c>
      <c r="L917" s="30">
        <v>100.1376</v>
      </c>
      <c r="M917" s="30">
        <v>1210.0</v>
      </c>
      <c r="N917" s="30">
        <v>1210.0</v>
      </c>
      <c r="O917" s="30">
        <v>0.0</v>
      </c>
      <c r="P917" s="30">
        <v>0.0</v>
      </c>
      <c r="Q917" s="30">
        <v>153.86239999999998</v>
      </c>
    </row>
    <row r="918">
      <c r="A918" s="47">
        <v>1.1230164935E10</v>
      </c>
      <c r="B918" s="48">
        <v>46155.60795138889</v>
      </c>
      <c r="C918" s="30">
        <v>3.845545277E9</v>
      </c>
      <c r="D918" s="47" t="s">
        <v>1509</v>
      </c>
      <c r="E918" s="47">
        <v>7.613033560033E12</v>
      </c>
      <c r="F918" s="47">
        <v>0.0</v>
      </c>
      <c r="G918" s="47" t="s">
        <v>1539</v>
      </c>
      <c r="H918" s="30">
        <v>1.0</v>
      </c>
      <c r="I918" s="30">
        <v>1261.99</v>
      </c>
      <c r="J918" s="30">
        <v>1261.99</v>
      </c>
      <c r="K918" s="30">
        <v>3.6</v>
      </c>
      <c r="L918" s="30">
        <v>45.431639999999994</v>
      </c>
      <c r="M918" s="30">
        <v>1165.0</v>
      </c>
      <c r="N918" s="30">
        <v>1165.0</v>
      </c>
      <c r="O918" s="30">
        <v>0.0</v>
      </c>
      <c r="P918" s="30">
        <v>0.0</v>
      </c>
      <c r="Q918" s="30">
        <v>51.558360000000015</v>
      </c>
    </row>
    <row r="919">
      <c r="A919" s="47">
        <v>1.1233271291E10</v>
      </c>
      <c r="B919" s="48">
        <v>46156.59284722222</v>
      </c>
      <c r="C919" s="30">
        <v>3.848376616E9</v>
      </c>
      <c r="D919" s="47" t="s">
        <v>1509</v>
      </c>
      <c r="E919" s="47">
        <v>6.923632570001E12</v>
      </c>
      <c r="F919" s="47" t="s">
        <v>1523</v>
      </c>
      <c r="G919" s="47" t="s">
        <v>1544</v>
      </c>
      <c r="H919" s="30">
        <v>1.0</v>
      </c>
      <c r="I919" s="30">
        <v>474.47</v>
      </c>
      <c r="J919" s="30">
        <v>474.47</v>
      </c>
      <c r="K919" s="30">
        <v>18.0</v>
      </c>
      <c r="L919" s="30">
        <v>85.40460000000002</v>
      </c>
      <c r="M919" s="30">
        <v>130.0</v>
      </c>
      <c r="N919" s="30">
        <v>130.0</v>
      </c>
      <c r="O919" s="30">
        <v>0.0</v>
      </c>
      <c r="P919" s="30">
        <v>0.0</v>
      </c>
      <c r="Q919" s="30">
        <v>259.0654</v>
      </c>
    </row>
    <row r="920">
      <c r="A920" s="47">
        <v>1.1227361864E10</v>
      </c>
      <c r="B920" s="48">
        <v>46154.69498842592</v>
      </c>
      <c r="C920" s="30">
        <v>3.842961942E9</v>
      </c>
      <c r="D920" s="47" t="s">
        <v>1509</v>
      </c>
      <c r="E920" s="47">
        <v>3.182550737616E12</v>
      </c>
      <c r="F920" s="47" t="s">
        <v>1523</v>
      </c>
      <c r="G920" s="47" t="s">
        <v>1577</v>
      </c>
      <c r="H920" s="30">
        <v>1.0</v>
      </c>
      <c r="I920" s="30">
        <v>1953.0</v>
      </c>
      <c r="J920" s="30">
        <v>1953.0</v>
      </c>
      <c r="K920" s="30">
        <v>6.3</v>
      </c>
      <c r="L920" s="30">
        <v>123.039</v>
      </c>
      <c r="M920" s="30">
        <v>1535.52</v>
      </c>
      <c r="N920" s="30">
        <v>1535.52</v>
      </c>
      <c r="O920" s="30">
        <v>0.0</v>
      </c>
      <c r="P920" s="30">
        <v>0.0</v>
      </c>
      <c r="Q920" s="30">
        <v>294.44100000000003</v>
      </c>
    </row>
    <row r="921">
      <c r="A921" s="47">
        <v>1.1229018301E10</v>
      </c>
      <c r="B921" s="48">
        <v>46155.03802083333</v>
      </c>
      <c r="C921" s="30">
        <v>3.844343667E9</v>
      </c>
      <c r="D921" s="47" t="s">
        <v>1509</v>
      </c>
      <c r="E921" s="47">
        <v>3.182550737616E12</v>
      </c>
      <c r="F921" s="47" t="s">
        <v>1523</v>
      </c>
      <c r="G921" s="47" t="s">
        <v>1570</v>
      </c>
      <c r="H921" s="30">
        <v>1.0</v>
      </c>
      <c r="I921" s="30">
        <v>1880.0</v>
      </c>
      <c r="J921" s="30">
        <v>1880.0</v>
      </c>
      <c r="K921" s="30">
        <v>4.32</v>
      </c>
      <c r="L921" s="30">
        <v>81.21600000000001</v>
      </c>
      <c r="M921" s="30">
        <v>1535.52</v>
      </c>
      <c r="N921" s="30">
        <v>1535.52</v>
      </c>
      <c r="O921" s="30">
        <v>0.0</v>
      </c>
      <c r="P921" s="30">
        <v>0.0</v>
      </c>
      <c r="Q921" s="30">
        <v>263.264</v>
      </c>
    </row>
    <row r="922">
      <c r="A922" s="47">
        <v>1.1231281338E10</v>
      </c>
      <c r="B922" s="48">
        <v>46155.84814814815</v>
      </c>
      <c r="C922" s="30">
        <v>3.846498115E9</v>
      </c>
      <c r="D922" s="47" t="s">
        <v>1509</v>
      </c>
      <c r="E922" s="47">
        <v>3.182550737616E12</v>
      </c>
      <c r="F922" s="47" t="s">
        <v>1523</v>
      </c>
      <c r="G922" s="47" t="s">
        <v>1570</v>
      </c>
      <c r="H922" s="30">
        <v>1.0</v>
      </c>
      <c r="I922" s="30">
        <v>1864.0</v>
      </c>
      <c r="J922" s="30">
        <v>1864.0</v>
      </c>
      <c r="K922" s="30">
        <v>4.32</v>
      </c>
      <c r="L922" s="30">
        <v>80.5248</v>
      </c>
      <c r="M922" s="30">
        <v>1535.52</v>
      </c>
      <c r="N922" s="30">
        <v>1535.52</v>
      </c>
      <c r="O922" s="30">
        <v>0.0</v>
      </c>
      <c r="P922" s="30">
        <v>0.0</v>
      </c>
      <c r="Q922" s="30">
        <v>247.95520000000002</v>
      </c>
    </row>
    <row r="923">
      <c r="A923" s="47">
        <v>1.1228839715E10</v>
      </c>
      <c r="B923" s="48">
        <v>46155.00335648148</v>
      </c>
      <c r="C923" s="30">
        <v>3.844176958E9</v>
      </c>
      <c r="D923" s="47" t="s">
        <v>1509</v>
      </c>
      <c r="E923" s="47">
        <v>3.182550737616E12</v>
      </c>
      <c r="F923" s="47" t="s">
        <v>1523</v>
      </c>
      <c r="G923" s="47" t="s">
        <v>1570</v>
      </c>
      <c r="H923" s="30">
        <v>1.0</v>
      </c>
      <c r="I923" s="30">
        <v>1852.99</v>
      </c>
      <c r="J923" s="30">
        <v>1852.99</v>
      </c>
      <c r="K923" s="30">
        <v>4.32</v>
      </c>
      <c r="L923" s="30">
        <v>80.04916800000001</v>
      </c>
      <c r="M923" s="30">
        <v>1535.52</v>
      </c>
      <c r="N923" s="30">
        <v>1535.52</v>
      </c>
      <c r="O923" s="30">
        <v>0.0</v>
      </c>
      <c r="P923" s="30">
        <v>0.0</v>
      </c>
      <c r="Q923" s="30">
        <v>237.42083200000002</v>
      </c>
    </row>
    <row r="924">
      <c r="A924" s="47">
        <v>1.1230814093E10</v>
      </c>
      <c r="B924" s="48">
        <v>46155.7403125</v>
      </c>
      <c r="C924" s="30">
        <v>3.846101921E9</v>
      </c>
      <c r="D924" s="47" t="s">
        <v>1509</v>
      </c>
      <c r="E924" s="47">
        <v>3.182550737616E12</v>
      </c>
      <c r="F924" s="47" t="s">
        <v>1523</v>
      </c>
      <c r="G924" s="47" t="s">
        <v>1570</v>
      </c>
      <c r="H924" s="30">
        <v>1.0</v>
      </c>
      <c r="I924" s="30">
        <v>1880.0</v>
      </c>
      <c r="J924" s="30">
        <v>1880.0</v>
      </c>
      <c r="K924" s="30">
        <v>4.32</v>
      </c>
      <c r="L924" s="30">
        <v>81.21600000000001</v>
      </c>
      <c r="M924" s="30">
        <v>1535.52</v>
      </c>
      <c r="N924" s="30">
        <v>1535.52</v>
      </c>
      <c r="O924" s="30">
        <v>0.0</v>
      </c>
      <c r="P924" s="30">
        <v>0.0</v>
      </c>
      <c r="Q924" s="30">
        <v>263.264</v>
      </c>
    </row>
    <row r="925">
      <c r="A925" s="47">
        <v>1.1232935452E10</v>
      </c>
      <c r="B925" s="48">
        <v>46156.46672453704</v>
      </c>
      <c r="C925" s="30">
        <v>3.848018334E9</v>
      </c>
      <c r="D925" s="47" t="s">
        <v>1509</v>
      </c>
      <c r="E925" s="47">
        <v>7.613032816536E12</v>
      </c>
      <c r="F925" s="47" t="s">
        <v>1523</v>
      </c>
      <c r="G925" s="47" t="s">
        <v>1533</v>
      </c>
      <c r="H925" s="30">
        <v>1.0</v>
      </c>
      <c r="I925" s="30">
        <v>727.0</v>
      </c>
      <c r="J925" s="30">
        <v>727.0</v>
      </c>
      <c r="K925" s="30">
        <v>4.41</v>
      </c>
      <c r="L925" s="30">
        <v>32.060700000000004</v>
      </c>
      <c r="M925" s="30">
        <v>580.0</v>
      </c>
      <c r="N925" s="30">
        <v>580.0</v>
      </c>
      <c r="O925" s="30">
        <v>0.0</v>
      </c>
      <c r="P925" s="30">
        <v>0.0</v>
      </c>
      <c r="Q925" s="30">
        <v>114.9393</v>
      </c>
    </row>
    <row r="926">
      <c r="A926" s="47">
        <v>1.1230096084E10</v>
      </c>
      <c r="B926" s="48">
        <v>46155.59292824074</v>
      </c>
      <c r="C926" s="30">
        <v>3.845484137E9</v>
      </c>
      <c r="D926" s="47" t="s">
        <v>1509</v>
      </c>
      <c r="E926" s="47">
        <v>3.182550737616E12</v>
      </c>
      <c r="F926" s="47" t="s">
        <v>1523</v>
      </c>
      <c r="G926" s="47" t="s">
        <v>1570</v>
      </c>
      <c r="H926" s="30">
        <v>1.0</v>
      </c>
      <c r="I926" s="30">
        <v>1880.0</v>
      </c>
      <c r="J926" s="30">
        <v>1880.0</v>
      </c>
      <c r="K926" s="30">
        <v>4.32</v>
      </c>
      <c r="L926" s="30">
        <v>81.21600000000001</v>
      </c>
      <c r="M926" s="30">
        <v>1535.52</v>
      </c>
      <c r="N926" s="30">
        <v>1535.52</v>
      </c>
      <c r="O926" s="30">
        <v>0.0</v>
      </c>
      <c r="P926" s="30">
        <v>0.0</v>
      </c>
      <c r="Q926" s="30">
        <v>263.264</v>
      </c>
    </row>
    <row r="927">
      <c r="A927" s="47">
        <v>1.1230007283E10</v>
      </c>
      <c r="B927" s="48">
        <v>46155.56972222222</v>
      </c>
      <c r="C927" s="30">
        <v>3.845392464E9</v>
      </c>
      <c r="D927" s="47" t="s">
        <v>1509</v>
      </c>
      <c r="E927" s="47">
        <v>3.182550737616E12</v>
      </c>
      <c r="F927" s="47" t="s">
        <v>1523</v>
      </c>
      <c r="G927" s="47" t="s">
        <v>1570</v>
      </c>
      <c r="H927" s="30">
        <v>1.0</v>
      </c>
      <c r="I927" s="30">
        <v>1880.0</v>
      </c>
      <c r="J927" s="30">
        <v>1880.0</v>
      </c>
      <c r="K927" s="30">
        <v>4.32</v>
      </c>
      <c r="L927" s="30">
        <v>81.21600000000001</v>
      </c>
      <c r="M927" s="30">
        <v>1535.52</v>
      </c>
      <c r="N927" s="30">
        <v>1535.52</v>
      </c>
      <c r="O927" s="30">
        <v>0.0</v>
      </c>
      <c r="P927" s="30">
        <v>0.0</v>
      </c>
      <c r="Q927" s="30">
        <v>263.264</v>
      </c>
    </row>
    <row r="928">
      <c r="A928" s="47">
        <v>1.1232604081E10</v>
      </c>
      <c r="B928" s="48">
        <v>46156.120162037034</v>
      </c>
      <c r="C928" s="30">
        <v>3.847660497E9</v>
      </c>
      <c r="D928" s="47" t="s">
        <v>1509</v>
      </c>
      <c r="E928" s="47">
        <v>7.613032816536E12</v>
      </c>
      <c r="F928" s="47" t="s">
        <v>1523</v>
      </c>
      <c r="G928" s="47" t="s">
        <v>1533</v>
      </c>
      <c r="H928" s="30">
        <v>1.0</v>
      </c>
      <c r="I928" s="30">
        <v>729.0</v>
      </c>
      <c r="J928" s="30">
        <v>729.0</v>
      </c>
      <c r="K928" s="30">
        <v>4.41</v>
      </c>
      <c r="L928" s="30">
        <v>32.148900000000005</v>
      </c>
      <c r="M928" s="30">
        <v>580.0</v>
      </c>
      <c r="N928" s="30">
        <v>580.0</v>
      </c>
      <c r="O928" s="30">
        <v>0.0</v>
      </c>
      <c r="P928" s="30">
        <v>0.0</v>
      </c>
      <c r="Q928" s="30">
        <v>116.8511</v>
      </c>
    </row>
    <row r="929">
      <c r="A929" s="47">
        <v>1.1227867433E10</v>
      </c>
      <c r="B929" s="48">
        <v>46154.803402777776</v>
      </c>
      <c r="C929" s="30">
        <v>3.84340596E9</v>
      </c>
      <c r="D929" s="47" t="s">
        <v>1509</v>
      </c>
      <c r="E929" s="47">
        <v>3.182550737593E12</v>
      </c>
      <c r="F929" s="47" t="s">
        <v>1523</v>
      </c>
      <c r="G929" s="47" t="s">
        <v>1581</v>
      </c>
      <c r="H929" s="30">
        <v>1.0</v>
      </c>
      <c r="I929" s="30">
        <v>1017.0</v>
      </c>
      <c r="J929" s="30">
        <v>1017.0</v>
      </c>
      <c r="K929" s="30">
        <v>3.4</v>
      </c>
      <c r="L929" s="30">
        <v>34.577999999999996</v>
      </c>
      <c r="M929" s="30">
        <v>832.44</v>
      </c>
      <c r="N929" s="30">
        <v>832.44</v>
      </c>
      <c r="O929" s="30">
        <v>0.0</v>
      </c>
      <c r="P929" s="30">
        <v>0.0</v>
      </c>
      <c r="Q929" s="30">
        <v>149.98199999999994</v>
      </c>
    </row>
    <row r="930">
      <c r="A930" s="47">
        <v>1.1228531623E10</v>
      </c>
      <c r="B930" s="48">
        <v>46154.94179398148</v>
      </c>
      <c r="C930" s="30">
        <v>3.843923778E9</v>
      </c>
      <c r="D930" s="47" t="s">
        <v>1509</v>
      </c>
      <c r="E930" s="47">
        <v>3.182550737616E12</v>
      </c>
      <c r="F930" s="47" t="s">
        <v>1523</v>
      </c>
      <c r="G930" s="47" t="s">
        <v>1570</v>
      </c>
      <c r="H930" s="30">
        <v>1.0</v>
      </c>
      <c r="I930" s="30">
        <v>1852.99</v>
      </c>
      <c r="J930" s="30">
        <v>1852.99</v>
      </c>
      <c r="K930" s="30">
        <v>4.32</v>
      </c>
      <c r="L930" s="30">
        <v>80.04916800000001</v>
      </c>
      <c r="M930" s="30">
        <v>1535.52</v>
      </c>
      <c r="N930" s="30">
        <v>1535.52</v>
      </c>
      <c r="O930" s="30">
        <v>0.0</v>
      </c>
      <c r="P930" s="30">
        <v>0.0</v>
      </c>
      <c r="Q930" s="30">
        <v>237.42083200000002</v>
      </c>
    </row>
    <row r="931">
      <c r="A931" s="47">
        <v>1.1229421932E10</v>
      </c>
      <c r="B931" s="48">
        <v>46155.12515046296</v>
      </c>
      <c r="C931" s="30">
        <v>3.844755123E9</v>
      </c>
      <c r="D931" s="47" t="s">
        <v>1509</v>
      </c>
      <c r="E931" s="47">
        <v>3.182550737616E12</v>
      </c>
      <c r="F931" s="47" t="s">
        <v>1523</v>
      </c>
      <c r="G931" s="47" t="s">
        <v>1570</v>
      </c>
      <c r="H931" s="30">
        <v>1.0</v>
      </c>
      <c r="I931" s="30">
        <v>1880.0</v>
      </c>
      <c r="J931" s="30">
        <v>1880.0</v>
      </c>
      <c r="K931" s="30">
        <v>4.32</v>
      </c>
      <c r="L931" s="30">
        <v>81.21600000000001</v>
      </c>
      <c r="M931" s="30">
        <v>1535.52</v>
      </c>
      <c r="N931" s="30">
        <v>1535.52</v>
      </c>
      <c r="O931" s="30">
        <v>0.0</v>
      </c>
      <c r="P931" s="30">
        <v>0.0</v>
      </c>
      <c r="Q931" s="30">
        <v>263.264</v>
      </c>
    </row>
    <row r="932">
      <c r="A932" s="47">
        <v>1.123152096E10</v>
      </c>
      <c r="B932" s="48">
        <v>46155.89753472222</v>
      </c>
      <c r="C932" s="30">
        <v>3.846682491E9</v>
      </c>
      <c r="D932" s="47" t="s">
        <v>1509</v>
      </c>
      <c r="E932" s="47" t="s">
        <v>356</v>
      </c>
      <c r="F932" s="47" t="s">
        <v>1523</v>
      </c>
      <c r="G932" s="47" t="s">
        <v>1532</v>
      </c>
      <c r="H932" s="30">
        <v>2.0</v>
      </c>
      <c r="I932" s="30">
        <v>737.0</v>
      </c>
      <c r="J932" s="30">
        <v>1474.0</v>
      </c>
      <c r="K932" s="30">
        <v>4.95</v>
      </c>
      <c r="L932" s="30">
        <v>72.96300000000001</v>
      </c>
      <c r="M932" s="30">
        <v>580.0</v>
      </c>
      <c r="N932" s="30">
        <v>1160.0</v>
      </c>
      <c r="O932" s="30">
        <v>0.0</v>
      </c>
      <c r="P932" s="30">
        <v>0.0</v>
      </c>
      <c r="Q932" s="30">
        <v>241.03699999999998</v>
      </c>
    </row>
    <row r="933">
      <c r="A933" s="47">
        <v>1.1228126713E10</v>
      </c>
      <c r="B933" s="48">
        <v>46154.85920138889</v>
      </c>
      <c r="C933" s="30">
        <v>3.843619838E9</v>
      </c>
      <c r="D933" s="47" t="s">
        <v>1509</v>
      </c>
      <c r="E933" s="47">
        <v>3.182550737616E12</v>
      </c>
      <c r="F933" s="47" t="s">
        <v>1523</v>
      </c>
      <c r="G933" s="47" t="s">
        <v>1570</v>
      </c>
      <c r="H933" s="30">
        <v>1.0</v>
      </c>
      <c r="I933" s="30">
        <v>1852.99</v>
      </c>
      <c r="J933" s="30">
        <v>1852.99</v>
      </c>
      <c r="K933" s="30">
        <v>4.32</v>
      </c>
      <c r="L933" s="30">
        <v>80.04916800000001</v>
      </c>
      <c r="M933" s="30">
        <v>1535.52</v>
      </c>
      <c r="N933" s="30">
        <v>1535.52</v>
      </c>
      <c r="O933" s="30">
        <v>0.0</v>
      </c>
      <c r="P933" s="30">
        <v>0.0</v>
      </c>
      <c r="Q933" s="30">
        <v>237.42083200000002</v>
      </c>
    </row>
    <row r="934">
      <c r="A934" s="47">
        <v>1.122937224E10</v>
      </c>
      <c r="B934" s="48">
        <v>46155.11246527778</v>
      </c>
      <c r="C934" s="30">
        <v>3.844703372E9</v>
      </c>
      <c r="D934" s="47" t="s">
        <v>1509</v>
      </c>
      <c r="E934" s="47">
        <v>3.182550737616E12</v>
      </c>
      <c r="F934" s="47" t="s">
        <v>1523</v>
      </c>
      <c r="G934" s="47" t="s">
        <v>1570</v>
      </c>
      <c r="H934" s="30">
        <v>1.0</v>
      </c>
      <c r="I934" s="30">
        <v>1880.0</v>
      </c>
      <c r="J934" s="30">
        <v>1880.0</v>
      </c>
      <c r="K934" s="30">
        <v>4.32</v>
      </c>
      <c r="L934" s="30">
        <v>81.21600000000001</v>
      </c>
      <c r="M934" s="30">
        <v>1535.52</v>
      </c>
      <c r="N934" s="30">
        <v>1535.52</v>
      </c>
      <c r="O934" s="30">
        <v>0.0</v>
      </c>
      <c r="P934" s="30">
        <v>0.0</v>
      </c>
      <c r="Q934" s="30">
        <v>263.264</v>
      </c>
    </row>
    <row r="935">
      <c r="A935" s="47">
        <v>1.1229238872E10</v>
      </c>
      <c r="B935" s="48">
        <v>46155.08298611111</v>
      </c>
      <c r="C935" s="30">
        <v>3.844564648E9</v>
      </c>
      <c r="D935" s="47" t="s">
        <v>1509</v>
      </c>
      <c r="E935" s="47">
        <v>3.182550737616E12</v>
      </c>
      <c r="F935" s="47" t="s">
        <v>1523</v>
      </c>
      <c r="G935" s="47" t="s">
        <v>1570</v>
      </c>
      <c r="H935" s="30">
        <v>1.0</v>
      </c>
      <c r="I935" s="30">
        <v>1880.0</v>
      </c>
      <c r="J935" s="30">
        <v>1880.0</v>
      </c>
      <c r="K935" s="30">
        <v>4.32</v>
      </c>
      <c r="L935" s="30">
        <v>81.21600000000001</v>
      </c>
      <c r="M935" s="30">
        <v>1535.52</v>
      </c>
      <c r="N935" s="30">
        <v>1535.52</v>
      </c>
      <c r="O935" s="30">
        <v>0.0</v>
      </c>
      <c r="P935" s="30">
        <v>0.0</v>
      </c>
      <c r="Q935" s="30">
        <v>263.264</v>
      </c>
    </row>
    <row r="936">
      <c r="A936" s="47">
        <v>1.1230002577E10</v>
      </c>
      <c r="B936" s="48">
        <v>46155.56837962963</v>
      </c>
      <c r="C936" s="30">
        <v>3.845385392E9</v>
      </c>
      <c r="D936" s="47" t="s">
        <v>1509</v>
      </c>
      <c r="E936" s="47">
        <v>3.182550737616E12</v>
      </c>
      <c r="F936" s="47" t="s">
        <v>1523</v>
      </c>
      <c r="G936" s="47" t="s">
        <v>1570</v>
      </c>
      <c r="H936" s="30">
        <v>1.0</v>
      </c>
      <c r="I936" s="30">
        <v>1880.0</v>
      </c>
      <c r="J936" s="30">
        <v>1880.0</v>
      </c>
      <c r="K936" s="30">
        <v>4.32</v>
      </c>
      <c r="L936" s="30">
        <v>81.21600000000001</v>
      </c>
      <c r="M936" s="30">
        <v>1535.52</v>
      </c>
      <c r="N936" s="30">
        <v>1535.52</v>
      </c>
      <c r="O936" s="30">
        <v>0.0</v>
      </c>
      <c r="P936" s="30">
        <v>0.0</v>
      </c>
      <c r="Q936" s="30">
        <v>263.264</v>
      </c>
    </row>
    <row r="937">
      <c r="A937" s="47">
        <v>1.1232559713E10</v>
      </c>
      <c r="B937" s="48">
        <v>46156.108773148146</v>
      </c>
      <c r="C937" s="30">
        <v>3.847611933E9</v>
      </c>
      <c r="D937" s="47" t="s">
        <v>1509</v>
      </c>
      <c r="E937" s="47">
        <v>7.613032816536E12</v>
      </c>
      <c r="F937" s="47" t="s">
        <v>1523</v>
      </c>
      <c r="G937" s="47" t="s">
        <v>1533</v>
      </c>
      <c r="H937" s="30">
        <v>1.0</v>
      </c>
      <c r="I937" s="30">
        <v>729.0</v>
      </c>
      <c r="J937" s="30">
        <v>729.0</v>
      </c>
      <c r="K937" s="30">
        <v>4.41</v>
      </c>
      <c r="L937" s="30">
        <v>32.148900000000005</v>
      </c>
      <c r="M937" s="30">
        <v>580.0</v>
      </c>
      <c r="N937" s="30">
        <v>580.0</v>
      </c>
      <c r="O937" s="30">
        <v>0.0</v>
      </c>
      <c r="P937" s="30">
        <v>0.0</v>
      </c>
      <c r="Q937" s="30">
        <v>116.8511</v>
      </c>
    </row>
    <row r="938">
      <c r="A938" s="47">
        <v>1.1230813574E10</v>
      </c>
      <c r="B938" s="48">
        <v>46155.74019675926</v>
      </c>
      <c r="C938" s="30">
        <v>3.84610361E9</v>
      </c>
      <c r="D938" s="47" t="s">
        <v>1509</v>
      </c>
      <c r="E938" s="47">
        <v>3.182550737616E12</v>
      </c>
      <c r="F938" s="47" t="s">
        <v>1523</v>
      </c>
      <c r="G938" s="47" t="s">
        <v>1570</v>
      </c>
      <c r="H938" s="30">
        <v>1.0</v>
      </c>
      <c r="I938" s="30">
        <v>1880.0</v>
      </c>
      <c r="J938" s="30">
        <v>1880.0</v>
      </c>
      <c r="K938" s="30">
        <v>4.32</v>
      </c>
      <c r="L938" s="30">
        <v>81.21600000000001</v>
      </c>
      <c r="M938" s="30">
        <v>1535.52</v>
      </c>
      <c r="N938" s="30">
        <v>1535.52</v>
      </c>
      <c r="O938" s="30">
        <v>0.0</v>
      </c>
      <c r="P938" s="30">
        <v>0.0</v>
      </c>
      <c r="Q938" s="30">
        <v>263.264</v>
      </c>
    </row>
    <row r="939">
      <c r="A939" s="47">
        <v>1.1231876418E10</v>
      </c>
      <c r="B939" s="48">
        <v>46155.96894675926</v>
      </c>
      <c r="C939" s="30">
        <v>3.846958497E9</v>
      </c>
      <c r="D939" s="47" t="s">
        <v>1509</v>
      </c>
      <c r="E939" s="47">
        <v>6.923632570001E12</v>
      </c>
      <c r="F939" s="47" t="s">
        <v>1523</v>
      </c>
      <c r="G939" s="47" t="s">
        <v>1544</v>
      </c>
      <c r="H939" s="30">
        <v>1.0</v>
      </c>
      <c r="I939" s="30">
        <v>474.47</v>
      </c>
      <c r="J939" s="30">
        <v>474.47</v>
      </c>
      <c r="K939" s="30">
        <v>18.0</v>
      </c>
      <c r="L939" s="30">
        <v>85.40460000000002</v>
      </c>
      <c r="M939" s="30">
        <v>130.0</v>
      </c>
      <c r="N939" s="30">
        <v>130.0</v>
      </c>
      <c r="O939" s="30">
        <v>0.0</v>
      </c>
      <c r="P939" s="30">
        <v>0.0</v>
      </c>
      <c r="Q939" s="30">
        <v>259.0654</v>
      </c>
    </row>
    <row r="940">
      <c r="A940" s="47">
        <v>1.12331992E10</v>
      </c>
      <c r="B940" s="48">
        <v>46156.57344907407</v>
      </c>
      <c r="C940" s="30">
        <v>3.848305508E9</v>
      </c>
      <c r="D940" s="47" t="s">
        <v>1509</v>
      </c>
      <c r="E940" s="47">
        <v>7.613032816536E12</v>
      </c>
      <c r="F940" s="47" t="s">
        <v>1523</v>
      </c>
      <c r="G940" s="47" t="s">
        <v>1533</v>
      </c>
      <c r="H940" s="30">
        <v>1.0</v>
      </c>
      <c r="I940" s="30">
        <v>727.0</v>
      </c>
      <c r="J940" s="30">
        <v>727.0</v>
      </c>
      <c r="K940" s="30">
        <v>4.41</v>
      </c>
      <c r="L940" s="30">
        <v>32.060700000000004</v>
      </c>
      <c r="M940" s="30">
        <v>580.0</v>
      </c>
      <c r="N940" s="30">
        <v>580.0</v>
      </c>
      <c r="O940" s="30">
        <v>0.0</v>
      </c>
      <c r="P940" s="30">
        <v>0.0</v>
      </c>
      <c r="Q940" s="30">
        <v>114.9393</v>
      </c>
    </row>
    <row r="941">
      <c r="A941" s="47">
        <v>1.1226447593E10</v>
      </c>
      <c r="B941" s="48">
        <v>46154.283738425926</v>
      </c>
      <c r="C941" s="30">
        <v>3.842071284E9</v>
      </c>
      <c r="D941" s="47" t="s">
        <v>1509</v>
      </c>
      <c r="E941" s="47">
        <v>3.182550737616E12</v>
      </c>
      <c r="F941" s="47" t="s">
        <v>1523</v>
      </c>
      <c r="G941" s="47" t="s">
        <v>1577</v>
      </c>
      <c r="H941" s="30">
        <v>1.0</v>
      </c>
      <c r="I941" s="30">
        <v>2034.0</v>
      </c>
      <c r="J941" s="30">
        <v>2034.0</v>
      </c>
      <c r="K941" s="30">
        <v>12.5</v>
      </c>
      <c r="L941" s="30">
        <v>254.25</v>
      </c>
      <c r="M941" s="30">
        <v>1535.52</v>
      </c>
      <c r="N941" s="30">
        <v>1535.52</v>
      </c>
      <c r="O941" s="30">
        <v>0.0</v>
      </c>
      <c r="P941" s="30">
        <v>0.0</v>
      </c>
      <c r="Q941" s="30">
        <v>244.23000000000002</v>
      </c>
    </row>
    <row r="942">
      <c r="A942" s="47">
        <v>1.122834454E10</v>
      </c>
      <c r="B942" s="48">
        <v>46154.904375</v>
      </c>
      <c r="C942" s="30">
        <v>3.843783891E9</v>
      </c>
      <c r="D942" s="47" t="s">
        <v>1509</v>
      </c>
      <c r="E942" s="47">
        <v>3.182550737616E12</v>
      </c>
      <c r="F942" s="47" t="s">
        <v>1523</v>
      </c>
      <c r="G942" s="47" t="s">
        <v>1570</v>
      </c>
      <c r="H942" s="30">
        <v>1.0</v>
      </c>
      <c r="I942" s="30">
        <v>1852.99</v>
      </c>
      <c r="J942" s="30">
        <v>1852.99</v>
      </c>
      <c r="K942" s="30">
        <v>4.32</v>
      </c>
      <c r="L942" s="30">
        <v>80.04916800000001</v>
      </c>
      <c r="M942" s="30">
        <v>1535.52</v>
      </c>
      <c r="N942" s="30">
        <v>1535.52</v>
      </c>
      <c r="O942" s="30">
        <v>0.0</v>
      </c>
      <c r="P942" s="30">
        <v>0.0</v>
      </c>
      <c r="Q942" s="30">
        <v>237.42083200000002</v>
      </c>
    </row>
    <row r="943">
      <c r="A943" s="47">
        <v>1.1229814863E10</v>
      </c>
      <c r="B943" s="48">
        <v>46155.50717592592</v>
      </c>
      <c r="C943" s="30">
        <v>3.845185199E9</v>
      </c>
      <c r="D943" s="47" t="s">
        <v>1509</v>
      </c>
      <c r="E943" s="47">
        <v>3.182550737616E12</v>
      </c>
      <c r="F943" s="47" t="s">
        <v>1523</v>
      </c>
      <c r="G943" s="47" t="s">
        <v>1570</v>
      </c>
      <c r="H943" s="30">
        <v>2.0</v>
      </c>
      <c r="I943" s="30">
        <v>1880.0</v>
      </c>
      <c r="J943" s="30">
        <v>3760.0</v>
      </c>
      <c r="K943" s="30">
        <v>4.32</v>
      </c>
      <c r="L943" s="30">
        <v>162.43200000000002</v>
      </c>
      <c r="M943" s="30">
        <v>1535.52</v>
      </c>
      <c r="N943" s="30">
        <v>3071.04</v>
      </c>
      <c r="O943" s="30">
        <v>0.0</v>
      </c>
      <c r="P943" s="30">
        <v>0.0</v>
      </c>
      <c r="Q943" s="30">
        <v>526.528</v>
      </c>
    </row>
    <row r="944">
      <c r="A944" s="47">
        <v>1.1227953589E10</v>
      </c>
      <c r="B944" s="48">
        <v>46154.821921296294</v>
      </c>
      <c r="C944" s="30">
        <v>3.84348552E9</v>
      </c>
      <c r="D944" s="47" t="s">
        <v>1509</v>
      </c>
      <c r="E944" s="47">
        <v>3.182550737616E12</v>
      </c>
      <c r="F944" s="47" t="s">
        <v>1523</v>
      </c>
      <c r="G944" s="47" t="s">
        <v>1577</v>
      </c>
      <c r="H944" s="30">
        <v>1.0</v>
      </c>
      <c r="I944" s="30">
        <v>1852.99</v>
      </c>
      <c r="J944" s="30">
        <v>1852.99</v>
      </c>
      <c r="K944" s="30">
        <v>4.32</v>
      </c>
      <c r="L944" s="30">
        <v>80.04916800000001</v>
      </c>
      <c r="M944" s="30">
        <v>1535.52</v>
      </c>
      <c r="N944" s="30">
        <v>1535.52</v>
      </c>
      <c r="O944" s="30">
        <v>0.0</v>
      </c>
      <c r="P944" s="30">
        <v>0.0</v>
      </c>
      <c r="Q944" s="30">
        <v>237.42083200000002</v>
      </c>
    </row>
    <row r="945">
      <c r="A945" s="47">
        <v>1.1236219248E10</v>
      </c>
      <c r="B945" s="48">
        <v>46157.52899305556</v>
      </c>
      <c r="C945" s="30">
        <v>3.850968436E9</v>
      </c>
      <c r="D945" s="47" t="s">
        <v>1512</v>
      </c>
      <c r="E945" s="47" t="s">
        <v>356</v>
      </c>
      <c r="F945" s="47" t="s">
        <v>1523</v>
      </c>
      <c r="G945" s="47" t="s">
        <v>1532</v>
      </c>
      <c r="H945" s="30">
        <v>1.0</v>
      </c>
      <c r="I945" s="30">
        <v>729.0</v>
      </c>
      <c r="J945" s="30">
        <v>729.0</v>
      </c>
      <c r="K945" s="30">
        <v>4.95</v>
      </c>
      <c r="L945" s="30">
        <v>36.0855</v>
      </c>
      <c r="M945" s="30">
        <v>580.0</v>
      </c>
      <c r="N945" s="30">
        <v>580.0</v>
      </c>
      <c r="O945" s="30">
        <v>0.0</v>
      </c>
      <c r="P945" s="30">
        <v>0.0</v>
      </c>
      <c r="Q945" s="30">
        <v>112.9145</v>
      </c>
    </row>
    <row r="946">
      <c r="A946" s="47">
        <v>1.1236416049E10</v>
      </c>
      <c r="B946" s="48">
        <v>46157.587175925924</v>
      </c>
      <c r="C946" s="30">
        <v>3.851177724E9</v>
      </c>
      <c r="D946" s="47" t="s">
        <v>1512</v>
      </c>
      <c r="E946" s="47">
        <v>6.923632570003E12</v>
      </c>
      <c r="F946" s="47" t="s">
        <v>1523</v>
      </c>
      <c r="G946" s="47" t="s">
        <v>1544</v>
      </c>
      <c r="H946" s="30">
        <v>1.0</v>
      </c>
      <c r="I946" s="30">
        <v>489.0</v>
      </c>
      <c r="J946" s="30">
        <v>489.0</v>
      </c>
      <c r="K946" s="30">
        <v>18.0</v>
      </c>
      <c r="L946" s="30">
        <v>88.02</v>
      </c>
      <c r="M946" s="30">
        <v>130.0</v>
      </c>
      <c r="N946" s="30">
        <v>130.0</v>
      </c>
      <c r="O946" s="30">
        <v>0.0</v>
      </c>
      <c r="P946" s="30">
        <v>0.0</v>
      </c>
      <c r="Q946" s="30">
        <v>270.98</v>
      </c>
    </row>
    <row r="947">
      <c r="A947" s="47">
        <v>1.12329464E10</v>
      </c>
      <c r="B947" s="48">
        <v>46156.47484953704</v>
      </c>
      <c r="C947" s="30">
        <v>3.848033202E9</v>
      </c>
      <c r="D947" s="47" t="s">
        <v>1509</v>
      </c>
      <c r="E947" s="47">
        <v>7.613032816536E12</v>
      </c>
      <c r="F947" s="47" t="s">
        <v>1523</v>
      </c>
      <c r="G947" s="47" t="s">
        <v>1533</v>
      </c>
      <c r="H947" s="30">
        <v>2.0</v>
      </c>
      <c r="I947" s="30">
        <v>727.0</v>
      </c>
      <c r="J947" s="30">
        <v>1454.0</v>
      </c>
      <c r="K947" s="30">
        <v>4.41</v>
      </c>
      <c r="L947" s="30">
        <v>64.12140000000001</v>
      </c>
      <c r="M947" s="30">
        <v>580.0</v>
      </c>
      <c r="N947" s="30">
        <v>1160.0</v>
      </c>
      <c r="O947" s="30">
        <v>0.0</v>
      </c>
      <c r="P947" s="30">
        <v>0.0</v>
      </c>
      <c r="Q947" s="30">
        <v>229.8786</v>
      </c>
    </row>
    <row r="948">
      <c r="A948" s="47">
        <v>1.1231310825E10</v>
      </c>
      <c r="B948" s="48">
        <v>46155.85445601852</v>
      </c>
      <c r="C948" s="30">
        <v>3.846521613E9</v>
      </c>
      <c r="D948" s="47" t="s">
        <v>1509</v>
      </c>
      <c r="E948" s="47">
        <v>3.182550737616E12</v>
      </c>
      <c r="F948" s="47" t="s">
        <v>1523</v>
      </c>
      <c r="G948" s="47" t="s">
        <v>1570</v>
      </c>
      <c r="H948" s="30">
        <v>1.0</v>
      </c>
      <c r="I948" s="30">
        <v>1864.0</v>
      </c>
      <c r="J948" s="30">
        <v>1864.0</v>
      </c>
      <c r="K948" s="30">
        <v>4.32</v>
      </c>
      <c r="L948" s="30">
        <v>80.5248</v>
      </c>
      <c r="M948" s="30">
        <v>1535.52</v>
      </c>
      <c r="N948" s="30">
        <v>1535.52</v>
      </c>
      <c r="O948" s="30">
        <v>0.0</v>
      </c>
      <c r="P948" s="30">
        <v>0.0</v>
      </c>
      <c r="Q948" s="30">
        <v>247.95520000000002</v>
      </c>
    </row>
    <row r="949">
      <c r="A949" s="47">
        <v>1.1232784961E10</v>
      </c>
      <c r="B949" s="48">
        <v>46156.190150462964</v>
      </c>
      <c r="C949" s="30">
        <v>3.847849145E9</v>
      </c>
      <c r="D949" s="47" t="s">
        <v>1509</v>
      </c>
      <c r="E949" s="47">
        <v>6.923632570121E12</v>
      </c>
      <c r="F949" s="47" t="s">
        <v>306</v>
      </c>
      <c r="G949" s="47" t="s">
        <v>1555</v>
      </c>
      <c r="H949" s="30">
        <v>1.0</v>
      </c>
      <c r="I949" s="30">
        <v>897.45</v>
      </c>
      <c r="J949" s="30">
        <v>897.45</v>
      </c>
      <c r="K949" s="30">
        <v>18.0</v>
      </c>
      <c r="L949" s="30">
        <v>161.541</v>
      </c>
      <c r="M949" s="30">
        <v>300.0</v>
      </c>
      <c r="N949" s="30">
        <v>300.0</v>
      </c>
      <c r="O949" s="30">
        <v>0.0</v>
      </c>
      <c r="P949" s="30">
        <v>0.0</v>
      </c>
      <c r="Q949" s="30">
        <v>435.90900000000005</v>
      </c>
    </row>
    <row r="950">
      <c r="A950" s="47">
        <v>1.1228754918E10</v>
      </c>
      <c r="B950" s="48">
        <v>46154.98693287037</v>
      </c>
      <c r="C950" s="30">
        <v>3.844103233E9</v>
      </c>
      <c r="D950" s="47" t="s">
        <v>1509</v>
      </c>
      <c r="E950" s="47" t="s">
        <v>350</v>
      </c>
      <c r="F950" s="47" t="s">
        <v>1523</v>
      </c>
      <c r="G950" s="47" t="s">
        <v>1580</v>
      </c>
      <c r="H950" s="30">
        <v>1.0</v>
      </c>
      <c r="I950" s="30">
        <v>4385.0</v>
      </c>
      <c r="J950" s="30">
        <v>4385.0</v>
      </c>
      <c r="K950" s="30">
        <v>11.25</v>
      </c>
      <c r="L950" s="30">
        <v>493.3125</v>
      </c>
      <c r="M950" s="30">
        <v>3475.0</v>
      </c>
      <c r="N950" s="30">
        <v>3475.0</v>
      </c>
      <c r="O950" s="30">
        <v>0.0</v>
      </c>
      <c r="P950" s="30">
        <v>0.0</v>
      </c>
      <c r="Q950" s="30">
        <v>416.6875</v>
      </c>
    </row>
    <row r="951">
      <c r="A951" s="47">
        <v>1.1227333106E10</v>
      </c>
      <c r="B951" s="48">
        <v>46154.68900462963</v>
      </c>
      <c r="C951" s="30">
        <v>3.842937293E9</v>
      </c>
      <c r="D951" s="47" t="s">
        <v>1509</v>
      </c>
      <c r="E951" s="47">
        <v>3.182550737593E12</v>
      </c>
      <c r="F951" s="47" t="s">
        <v>1523</v>
      </c>
      <c r="G951" s="47" t="s">
        <v>1581</v>
      </c>
      <c r="H951" s="30">
        <v>1.0</v>
      </c>
      <c r="I951" s="30">
        <v>1109.0</v>
      </c>
      <c r="J951" s="30">
        <v>1109.0</v>
      </c>
      <c r="K951" s="30">
        <v>5.85</v>
      </c>
      <c r="L951" s="30">
        <v>64.8765</v>
      </c>
      <c r="M951" s="30">
        <v>832.44</v>
      </c>
      <c r="N951" s="30">
        <v>832.44</v>
      </c>
      <c r="O951" s="30">
        <v>0.0</v>
      </c>
      <c r="P951" s="30">
        <v>0.0</v>
      </c>
      <c r="Q951" s="30">
        <v>211.68349999999995</v>
      </c>
    </row>
    <row r="952">
      <c r="A952" s="47">
        <v>1.1227706892E10</v>
      </c>
      <c r="B952" s="48">
        <v>46154.76866898148</v>
      </c>
      <c r="C952" s="30">
        <v>3.843267055E9</v>
      </c>
      <c r="D952" s="47" t="s">
        <v>1509</v>
      </c>
      <c r="E952" s="47">
        <v>3.182550894128E12</v>
      </c>
      <c r="F952" s="47" t="s">
        <v>1523</v>
      </c>
      <c r="G952" s="47" t="s">
        <v>1557</v>
      </c>
      <c r="H952" s="30">
        <v>1.0</v>
      </c>
      <c r="I952" s="30">
        <v>1595.0</v>
      </c>
      <c r="J952" s="30">
        <v>1595.0</v>
      </c>
      <c r="K952" s="30">
        <v>6.66</v>
      </c>
      <c r="L952" s="30">
        <v>106.227</v>
      </c>
      <c r="M952" s="30">
        <v>1394.04</v>
      </c>
      <c r="N952" s="30">
        <v>1394.04</v>
      </c>
      <c r="O952" s="30">
        <v>0.0</v>
      </c>
      <c r="P952" s="30">
        <v>0.0</v>
      </c>
      <c r="Q952" s="30">
        <v>94.73300000000003</v>
      </c>
    </row>
    <row r="953">
      <c r="A953" s="47">
        <v>1.123084889E10</v>
      </c>
      <c r="B953" s="48">
        <v>46155.748194444444</v>
      </c>
      <c r="C953" s="30">
        <v>3.846134126E9</v>
      </c>
      <c r="D953" s="47" t="s">
        <v>1509</v>
      </c>
      <c r="E953" s="47">
        <v>3.182550737616E12</v>
      </c>
      <c r="F953" s="47" t="s">
        <v>1523</v>
      </c>
      <c r="G953" s="47" t="s">
        <v>1570</v>
      </c>
      <c r="H953" s="30">
        <v>1.0</v>
      </c>
      <c r="I953" s="30">
        <v>1880.0</v>
      </c>
      <c r="J953" s="30">
        <v>1880.0</v>
      </c>
      <c r="K953" s="30">
        <v>4.32</v>
      </c>
      <c r="L953" s="30">
        <v>81.21600000000001</v>
      </c>
      <c r="M953" s="30">
        <v>1535.52</v>
      </c>
      <c r="N953" s="30">
        <v>1535.52</v>
      </c>
      <c r="O953" s="30">
        <v>0.0</v>
      </c>
      <c r="P953" s="30">
        <v>0.0</v>
      </c>
      <c r="Q953" s="30">
        <v>263.264</v>
      </c>
    </row>
    <row r="954">
      <c r="A954" s="47">
        <v>1.1232904491E10</v>
      </c>
      <c r="B954" s="48">
        <v>46156.4347337963</v>
      </c>
      <c r="C954" s="30">
        <v>3.84798041E9</v>
      </c>
      <c r="D954" s="47" t="s">
        <v>1509</v>
      </c>
      <c r="E954" s="47" t="s">
        <v>393</v>
      </c>
      <c r="F954" s="47" t="s">
        <v>1523</v>
      </c>
      <c r="G954" s="47" t="s">
        <v>1582</v>
      </c>
      <c r="H954" s="30">
        <v>1.0</v>
      </c>
      <c r="I954" s="30">
        <v>1186.0</v>
      </c>
      <c r="J954" s="30">
        <v>1186.0</v>
      </c>
      <c r="K954" s="30">
        <v>12.15</v>
      </c>
      <c r="L954" s="30">
        <v>144.099</v>
      </c>
      <c r="M954" s="30">
        <v>850.0</v>
      </c>
      <c r="N954" s="30">
        <v>850.0</v>
      </c>
      <c r="O954" s="30">
        <v>0.0</v>
      </c>
      <c r="P954" s="30">
        <v>0.0</v>
      </c>
      <c r="Q954" s="30">
        <v>191.901</v>
      </c>
    </row>
    <row r="955">
      <c r="A955" s="47">
        <v>1.1228915426E10</v>
      </c>
      <c r="B955" s="48">
        <v>46155.01799768519</v>
      </c>
      <c r="C955" s="30">
        <v>3.84424527E9</v>
      </c>
      <c r="D955" s="47" t="s">
        <v>1509</v>
      </c>
      <c r="E955" s="47" t="s">
        <v>356</v>
      </c>
      <c r="F955" s="47" t="s">
        <v>1523</v>
      </c>
      <c r="G955" s="47" t="s">
        <v>1532</v>
      </c>
      <c r="H955" s="30">
        <v>1.0</v>
      </c>
      <c r="I955" s="30">
        <v>737.0</v>
      </c>
      <c r="J955" s="30">
        <v>737.0</v>
      </c>
      <c r="K955" s="30">
        <v>4.95</v>
      </c>
      <c r="L955" s="30">
        <v>36.481500000000004</v>
      </c>
      <c r="M955" s="30">
        <v>580.0</v>
      </c>
      <c r="N955" s="30">
        <v>580.0</v>
      </c>
      <c r="O955" s="30">
        <v>0.0</v>
      </c>
      <c r="P955" s="30">
        <v>0.0</v>
      </c>
      <c r="Q955" s="30">
        <v>120.51849999999999</v>
      </c>
    </row>
    <row r="956">
      <c r="A956" s="47">
        <v>1.1228970048E10</v>
      </c>
      <c r="B956" s="48">
        <v>46155.02862268518</v>
      </c>
      <c r="C956" s="30">
        <v>3.844297062E9</v>
      </c>
      <c r="D956" s="47" t="s">
        <v>1509</v>
      </c>
      <c r="E956" s="47" t="s">
        <v>356</v>
      </c>
      <c r="F956" s="47" t="s">
        <v>1523</v>
      </c>
      <c r="G956" s="47" t="s">
        <v>1532</v>
      </c>
      <c r="H956" s="30">
        <v>1.0</v>
      </c>
      <c r="I956" s="30">
        <v>737.0</v>
      </c>
      <c r="J956" s="30">
        <v>737.0</v>
      </c>
      <c r="K956" s="30">
        <v>4.95</v>
      </c>
      <c r="L956" s="30">
        <v>36.481500000000004</v>
      </c>
      <c r="M956" s="30">
        <v>580.0</v>
      </c>
      <c r="N956" s="30">
        <v>580.0</v>
      </c>
      <c r="O956" s="30">
        <v>0.0</v>
      </c>
      <c r="P956" s="30">
        <v>0.0</v>
      </c>
      <c r="Q956" s="30">
        <v>120.51849999999999</v>
      </c>
    </row>
    <row r="957">
      <c r="A957" s="47">
        <v>1.1232428668E10</v>
      </c>
      <c r="B957" s="48">
        <v>46156.07833333333</v>
      </c>
      <c r="C957" s="30">
        <v>3.84747631E9</v>
      </c>
      <c r="D957" s="47" t="s">
        <v>1509</v>
      </c>
      <c r="E957" s="47">
        <v>7.613032816536E12</v>
      </c>
      <c r="F957" s="47" t="s">
        <v>1523</v>
      </c>
      <c r="G957" s="47" t="s">
        <v>1533</v>
      </c>
      <c r="H957" s="30">
        <v>1.0</v>
      </c>
      <c r="I957" s="30">
        <v>729.0</v>
      </c>
      <c r="J957" s="30">
        <v>729.0</v>
      </c>
      <c r="K957" s="30">
        <v>4.41</v>
      </c>
      <c r="L957" s="30">
        <v>32.148900000000005</v>
      </c>
      <c r="M957" s="30">
        <v>580.0</v>
      </c>
      <c r="N957" s="30">
        <v>580.0</v>
      </c>
      <c r="O957" s="30">
        <v>0.0</v>
      </c>
      <c r="P957" s="30">
        <v>0.0</v>
      </c>
      <c r="Q957" s="30">
        <v>116.8511</v>
      </c>
    </row>
    <row r="958">
      <c r="A958" s="47">
        <v>1.1232561882E10</v>
      </c>
      <c r="B958" s="48">
        <v>46156.109351851854</v>
      </c>
      <c r="C958" s="30">
        <v>3.847615463E9</v>
      </c>
      <c r="D958" s="47" t="s">
        <v>1509</v>
      </c>
      <c r="E958" s="47">
        <v>7.613032816536E12</v>
      </c>
      <c r="F958" s="47" t="s">
        <v>1523</v>
      </c>
      <c r="G958" s="47" t="s">
        <v>1533</v>
      </c>
      <c r="H958" s="30">
        <v>1.0</v>
      </c>
      <c r="I958" s="30">
        <v>729.0</v>
      </c>
      <c r="J958" s="30">
        <v>729.0</v>
      </c>
      <c r="K958" s="30">
        <v>4.41</v>
      </c>
      <c r="L958" s="30">
        <v>32.148900000000005</v>
      </c>
      <c r="M958" s="30">
        <v>580.0</v>
      </c>
      <c r="N958" s="30">
        <v>580.0</v>
      </c>
      <c r="O958" s="30">
        <v>0.0</v>
      </c>
      <c r="P958" s="30">
        <v>0.0</v>
      </c>
      <c r="Q958" s="30">
        <v>116.8511</v>
      </c>
    </row>
    <row r="959">
      <c r="A959" s="47">
        <v>1.1233157164E10</v>
      </c>
      <c r="B959" s="48">
        <v>46156.56083333334</v>
      </c>
      <c r="C959" s="30">
        <v>3.851684953E9</v>
      </c>
      <c r="D959" s="47" t="s">
        <v>1515</v>
      </c>
      <c r="E959" s="47" t="s">
        <v>356</v>
      </c>
      <c r="F959" s="47" t="s">
        <v>1523</v>
      </c>
      <c r="G959" s="47" t="s">
        <v>1532</v>
      </c>
      <c r="H959" s="30">
        <v>16.0</v>
      </c>
      <c r="I959" s="30">
        <v>729.0</v>
      </c>
      <c r="J959" s="30">
        <v>11664.0</v>
      </c>
      <c r="K959" s="30">
        <v>4.95</v>
      </c>
      <c r="L959" s="30">
        <v>577.368</v>
      </c>
      <c r="M959" s="30">
        <v>580.0</v>
      </c>
      <c r="N959" s="30">
        <v>9280.0</v>
      </c>
      <c r="O959" s="30">
        <v>0.0</v>
      </c>
      <c r="P959" s="30">
        <v>0.0</v>
      </c>
      <c r="Q959" s="30">
        <v>1806.632</v>
      </c>
    </row>
    <row r="960">
      <c r="A960" s="47">
        <v>1.1233157164E10</v>
      </c>
      <c r="B960" s="48">
        <v>46156.56083333334</v>
      </c>
      <c r="C960" s="30">
        <v>3.848260397E9</v>
      </c>
      <c r="D960" s="47" t="s">
        <v>1515</v>
      </c>
      <c r="E960" s="47" t="s">
        <v>356</v>
      </c>
      <c r="F960" s="47" t="s">
        <v>1523</v>
      </c>
      <c r="G960" s="47" t="s">
        <v>1532</v>
      </c>
      <c r="H960" s="30">
        <v>21.0</v>
      </c>
      <c r="I960" s="30">
        <v>729.0</v>
      </c>
      <c r="J960" s="30">
        <v>15309.0</v>
      </c>
      <c r="K960" s="30">
        <v>4.95</v>
      </c>
      <c r="L960" s="30">
        <v>757.7955000000001</v>
      </c>
      <c r="M960" s="30">
        <v>580.0</v>
      </c>
      <c r="N960" s="30">
        <v>12180.0</v>
      </c>
      <c r="O960" s="30">
        <v>0.0</v>
      </c>
      <c r="P960" s="30">
        <v>0.0</v>
      </c>
      <c r="Q960" s="30">
        <v>2371.2045</v>
      </c>
    </row>
    <row r="961">
      <c r="A961" s="47">
        <v>1.1233379006E10</v>
      </c>
      <c r="B961" s="48">
        <v>46156.61644675926</v>
      </c>
      <c r="C961" s="30">
        <v>3.848468887E9</v>
      </c>
      <c r="D961" s="47" t="s">
        <v>1509</v>
      </c>
      <c r="E961" s="47" t="s">
        <v>356</v>
      </c>
      <c r="F961" s="47" t="s">
        <v>1523</v>
      </c>
      <c r="G961" s="47" t="s">
        <v>1532</v>
      </c>
      <c r="H961" s="30">
        <v>1.0</v>
      </c>
      <c r="I961" s="30">
        <v>729.0</v>
      </c>
      <c r="J961" s="30">
        <v>729.0</v>
      </c>
      <c r="K961" s="30">
        <v>4.95</v>
      </c>
      <c r="L961" s="30">
        <v>36.0855</v>
      </c>
      <c r="M961" s="30">
        <v>580.0</v>
      </c>
      <c r="N961" s="30">
        <v>580.0</v>
      </c>
      <c r="O961" s="30">
        <v>0.0</v>
      </c>
      <c r="P961" s="30">
        <v>0.0</v>
      </c>
      <c r="Q961" s="30">
        <v>112.9145</v>
      </c>
    </row>
    <row r="962">
      <c r="A962" s="47">
        <v>1.1233379006E10</v>
      </c>
      <c r="B962" s="48">
        <v>46156.61644675926</v>
      </c>
      <c r="C962" s="30">
        <v>3.848468887E9</v>
      </c>
      <c r="D962" s="47" t="s">
        <v>1509</v>
      </c>
      <c r="E962" s="47">
        <v>7.613032816536E12</v>
      </c>
      <c r="F962" s="47" t="s">
        <v>1523</v>
      </c>
      <c r="G962" s="47" t="s">
        <v>1533</v>
      </c>
      <c r="H962" s="30">
        <v>1.0</v>
      </c>
      <c r="I962" s="30">
        <v>727.0</v>
      </c>
      <c r="J962" s="30">
        <v>727.0</v>
      </c>
      <c r="K962" s="30">
        <v>4.41</v>
      </c>
      <c r="L962" s="30">
        <v>32.060700000000004</v>
      </c>
      <c r="M962" s="30">
        <v>580.0</v>
      </c>
      <c r="N962" s="30">
        <v>580.0</v>
      </c>
      <c r="O962" s="30">
        <v>0.0</v>
      </c>
      <c r="P962" s="30">
        <v>0.0</v>
      </c>
      <c r="Q962" s="30">
        <v>114.9393</v>
      </c>
    </row>
    <row r="963">
      <c r="A963" s="47">
        <v>1.1228064099E10</v>
      </c>
      <c r="B963" s="48">
        <v>46154.845925925925</v>
      </c>
      <c r="C963" s="30">
        <v>3.843575503E9</v>
      </c>
      <c r="D963" s="47" t="s">
        <v>1509</v>
      </c>
      <c r="E963" s="47">
        <v>3.182550737616E12</v>
      </c>
      <c r="F963" s="47" t="s">
        <v>1523</v>
      </c>
      <c r="G963" s="47" t="s">
        <v>1570</v>
      </c>
      <c r="H963" s="30">
        <v>1.0</v>
      </c>
      <c r="I963" s="30">
        <v>1852.99</v>
      </c>
      <c r="J963" s="30">
        <v>1852.99</v>
      </c>
      <c r="K963" s="30">
        <v>4.32</v>
      </c>
      <c r="L963" s="30">
        <v>80.04916800000001</v>
      </c>
      <c r="M963" s="30">
        <v>1535.52</v>
      </c>
      <c r="N963" s="30">
        <v>1535.52</v>
      </c>
      <c r="O963" s="30">
        <v>0.0</v>
      </c>
      <c r="P963" s="30">
        <v>0.0</v>
      </c>
      <c r="Q963" s="30">
        <v>237.42083200000002</v>
      </c>
    </row>
    <row r="964">
      <c r="A964" s="47">
        <v>1.1229186679E10</v>
      </c>
      <c r="B964" s="48">
        <v>46155.072222222225</v>
      </c>
      <c r="C964" s="30">
        <v>3.844513309E9</v>
      </c>
      <c r="D964" s="47" t="s">
        <v>1509</v>
      </c>
      <c r="E964" s="47">
        <v>3.182550737616E12</v>
      </c>
      <c r="F964" s="47" t="s">
        <v>1523</v>
      </c>
      <c r="G964" s="47" t="s">
        <v>1570</v>
      </c>
      <c r="H964" s="30">
        <v>1.0</v>
      </c>
      <c r="I964" s="30">
        <v>1880.0</v>
      </c>
      <c r="J964" s="30">
        <v>1880.0</v>
      </c>
      <c r="K964" s="30">
        <v>4.32</v>
      </c>
      <c r="L964" s="30">
        <v>81.21600000000001</v>
      </c>
      <c r="M964" s="30">
        <v>1535.52</v>
      </c>
      <c r="N964" s="30">
        <v>1535.52</v>
      </c>
      <c r="O964" s="30">
        <v>0.0</v>
      </c>
      <c r="P964" s="30">
        <v>0.0</v>
      </c>
      <c r="Q964" s="30">
        <v>263.264</v>
      </c>
    </row>
    <row r="965">
      <c r="A965" s="47">
        <v>1.1228785119E10</v>
      </c>
      <c r="B965" s="48">
        <v>46154.992789351854</v>
      </c>
      <c r="C965" s="30">
        <v>3.844130088E9</v>
      </c>
      <c r="D965" s="47" t="s">
        <v>1509</v>
      </c>
      <c r="E965" s="47">
        <v>3.182550737616E12</v>
      </c>
      <c r="F965" s="47" t="s">
        <v>1523</v>
      </c>
      <c r="G965" s="47" t="s">
        <v>1570</v>
      </c>
      <c r="H965" s="30">
        <v>1.0</v>
      </c>
      <c r="I965" s="30">
        <v>1852.99</v>
      </c>
      <c r="J965" s="30">
        <v>1852.99</v>
      </c>
      <c r="K965" s="30">
        <v>4.32</v>
      </c>
      <c r="L965" s="30">
        <v>80.04916800000001</v>
      </c>
      <c r="M965" s="30">
        <v>1535.52</v>
      </c>
      <c r="N965" s="30">
        <v>1535.52</v>
      </c>
      <c r="O965" s="30">
        <v>0.0</v>
      </c>
      <c r="P965" s="30">
        <v>0.0</v>
      </c>
      <c r="Q965" s="30">
        <v>237.42083200000002</v>
      </c>
    </row>
    <row r="966">
      <c r="A966" s="47">
        <v>1.1231187382E10</v>
      </c>
      <c r="B966" s="48">
        <v>46155.82738425926</v>
      </c>
      <c r="C966" s="30">
        <v>3.846422563E9</v>
      </c>
      <c r="D966" s="47" t="s">
        <v>1509</v>
      </c>
      <c r="E966" s="47">
        <v>7.613033560033E12</v>
      </c>
      <c r="F966" s="47">
        <v>0.0</v>
      </c>
      <c r="G966" s="47" t="s">
        <v>1539</v>
      </c>
      <c r="H966" s="30">
        <v>1.0</v>
      </c>
      <c r="I966" s="30">
        <v>1261.99</v>
      </c>
      <c r="J966" s="30">
        <v>1261.99</v>
      </c>
      <c r="K966" s="30">
        <v>3.6</v>
      </c>
      <c r="L966" s="30">
        <v>45.431639999999994</v>
      </c>
      <c r="M966" s="30">
        <v>1165.0</v>
      </c>
      <c r="N966" s="30">
        <v>1165.0</v>
      </c>
      <c r="O966" s="30">
        <v>0.0</v>
      </c>
      <c r="P966" s="30">
        <v>0.0</v>
      </c>
      <c r="Q966" s="30">
        <v>51.558360000000015</v>
      </c>
    </row>
    <row r="967">
      <c r="A967" s="47">
        <v>1.122836545E10</v>
      </c>
      <c r="B967" s="48">
        <v>46154.9083912037</v>
      </c>
      <c r="C967" s="30">
        <v>3.843800954E9</v>
      </c>
      <c r="D967" s="47" t="s">
        <v>1509</v>
      </c>
      <c r="E967" s="47">
        <v>3.182550756419E12</v>
      </c>
      <c r="F967" s="47" t="s">
        <v>1523</v>
      </c>
      <c r="G967" s="47" t="s">
        <v>1583</v>
      </c>
      <c r="H967" s="30">
        <v>1.0</v>
      </c>
      <c r="I967" s="30">
        <v>1195.0</v>
      </c>
      <c r="J967" s="30">
        <v>1195.0</v>
      </c>
      <c r="K967" s="30">
        <v>8.28</v>
      </c>
      <c r="L967" s="30">
        <v>98.94599999999998</v>
      </c>
      <c r="M967" s="30">
        <v>999.0</v>
      </c>
      <c r="N967" s="30">
        <v>999.0</v>
      </c>
      <c r="O967" s="30">
        <v>0.0</v>
      </c>
      <c r="P967" s="30">
        <v>0.0</v>
      </c>
      <c r="Q967" s="30">
        <v>97.05400000000002</v>
      </c>
    </row>
    <row r="968">
      <c r="A968" s="47">
        <v>1.1230417965E10</v>
      </c>
      <c r="B968" s="48">
        <v>46155.65883101852</v>
      </c>
      <c r="C968" s="30">
        <v>3.845754037E9</v>
      </c>
      <c r="D968" s="47" t="s">
        <v>1509</v>
      </c>
      <c r="E968" s="47">
        <v>3.182550737616E12</v>
      </c>
      <c r="F968" s="47" t="s">
        <v>1523</v>
      </c>
      <c r="G968" s="47" t="s">
        <v>1570</v>
      </c>
      <c r="H968" s="30">
        <v>1.0</v>
      </c>
      <c r="I968" s="30">
        <v>1880.0</v>
      </c>
      <c r="J968" s="30">
        <v>1880.0</v>
      </c>
      <c r="K968" s="30">
        <v>4.32</v>
      </c>
      <c r="L968" s="30">
        <v>81.21600000000001</v>
      </c>
      <c r="M968" s="30">
        <v>1535.52</v>
      </c>
      <c r="N968" s="30">
        <v>1535.52</v>
      </c>
      <c r="O968" s="30">
        <v>0.0</v>
      </c>
      <c r="P968" s="30">
        <v>0.0</v>
      </c>
      <c r="Q968" s="30">
        <v>263.264</v>
      </c>
    </row>
    <row r="969">
      <c r="A969" s="47">
        <v>1.123139878E10</v>
      </c>
      <c r="B969" s="48">
        <v>46155.872777777775</v>
      </c>
      <c r="C969" s="30">
        <v>3.846591954E9</v>
      </c>
      <c r="D969" s="47" t="s">
        <v>1509</v>
      </c>
      <c r="E969" s="47">
        <v>3.182550737616E12</v>
      </c>
      <c r="F969" s="47" t="s">
        <v>1523</v>
      </c>
      <c r="G969" s="47" t="s">
        <v>1570</v>
      </c>
      <c r="H969" s="30">
        <v>1.0</v>
      </c>
      <c r="I969" s="30">
        <v>1854.0</v>
      </c>
      <c r="J969" s="30">
        <v>1854.0</v>
      </c>
      <c r="K969" s="30">
        <v>4.32</v>
      </c>
      <c r="L969" s="30">
        <v>80.09280000000001</v>
      </c>
      <c r="M969" s="30">
        <v>1535.52</v>
      </c>
      <c r="N969" s="30">
        <v>1535.52</v>
      </c>
      <c r="O969" s="30">
        <v>0.0</v>
      </c>
      <c r="P969" s="30">
        <v>0.0</v>
      </c>
      <c r="Q969" s="30">
        <v>238.3872</v>
      </c>
    </row>
    <row r="970">
      <c r="A970" s="47">
        <v>1.123083132E10</v>
      </c>
      <c r="B970" s="48">
        <v>46155.744108796294</v>
      </c>
      <c r="C970" s="30">
        <v>3.846118439E9</v>
      </c>
      <c r="D970" s="47" t="s">
        <v>1509</v>
      </c>
      <c r="E970" s="47">
        <v>3.182550737616E12</v>
      </c>
      <c r="F970" s="47" t="s">
        <v>1523</v>
      </c>
      <c r="G970" s="47" t="s">
        <v>1570</v>
      </c>
      <c r="H970" s="30">
        <v>1.0</v>
      </c>
      <c r="I970" s="30">
        <v>1880.0</v>
      </c>
      <c r="J970" s="30">
        <v>1880.0</v>
      </c>
      <c r="K970" s="30">
        <v>4.32</v>
      </c>
      <c r="L970" s="30">
        <v>81.21600000000001</v>
      </c>
      <c r="M970" s="30">
        <v>1535.52</v>
      </c>
      <c r="N970" s="30">
        <v>1535.52</v>
      </c>
      <c r="O970" s="30">
        <v>0.0</v>
      </c>
      <c r="P970" s="30">
        <v>0.0</v>
      </c>
      <c r="Q970" s="30">
        <v>263.264</v>
      </c>
    </row>
    <row r="971">
      <c r="A971" s="47">
        <v>1.1228960704E10</v>
      </c>
      <c r="B971" s="48">
        <v>46155.02675925926</v>
      </c>
      <c r="C971" s="30">
        <v>3.844286542E9</v>
      </c>
      <c r="D971" s="47" t="s">
        <v>1509</v>
      </c>
      <c r="E971" s="47" t="s">
        <v>356</v>
      </c>
      <c r="F971" s="47" t="s">
        <v>1523</v>
      </c>
      <c r="G971" s="47" t="s">
        <v>1532</v>
      </c>
      <c r="H971" s="30">
        <v>1.0</v>
      </c>
      <c r="I971" s="30">
        <v>737.0</v>
      </c>
      <c r="J971" s="30">
        <v>737.0</v>
      </c>
      <c r="K971" s="30">
        <v>4.95</v>
      </c>
      <c r="L971" s="30">
        <v>36.481500000000004</v>
      </c>
      <c r="M971" s="30">
        <v>580.0</v>
      </c>
      <c r="N971" s="30">
        <v>580.0</v>
      </c>
      <c r="O971" s="30">
        <v>0.0</v>
      </c>
      <c r="P971" s="30">
        <v>0.0</v>
      </c>
      <c r="Q971" s="30">
        <v>120.51849999999999</v>
      </c>
    </row>
    <row r="972">
      <c r="A972" s="47">
        <v>1.1229973516E10</v>
      </c>
      <c r="B972" s="48">
        <v>46155.56010416667</v>
      </c>
      <c r="C972" s="30">
        <v>3.845356361E9</v>
      </c>
      <c r="D972" s="47" t="s">
        <v>1509</v>
      </c>
      <c r="E972" s="47">
        <v>3.182550737593E12</v>
      </c>
      <c r="F972" s="47" t="s">
        <v>1523</v>
      </c>
      <c r="G972" s="47" t="s">
        <v>1529</v>
      </c>
      <c r="H972" s="30">
        <v>2.0</v>
      </c>
      <c r="I972" s="30">
        <v>1017.0</v>
      </c>
      <c r="J972" s="30">
        <v>2034.0</v>
      </c>
      <c r="K972" s="30">
        <v>3.4</v>
      </c>
      <c r="L972" s="30">
        <v>69.15599999999999</v>
      </c>
      <c r="M972" s="30">
        <v>832.44</v>
      </c>
      <c r="N972" s="30">
        <v>1664.88</v>
      </c>
      <c r="O972" s="30">
        <v>0.0</v>
      </c>
      <c r="P972" s="30">
        <v>0.0</v>
      </c>
      <c r="Q972" s="30">
        <v>299.9639999999999</v>
      </c>
    </row>
    <row r="973">
      <c r="A973" s="47">
        <v>1.1231366233E10</v>
      </c>
      <c r="B973" s="48">
        <v>46155.86607638889</v>
      </c>
      <c r="C973" s="30">
        <v>3.846563787E9</v>
      </c>
      <c r="D973" s="47" t="s">
        <v>1509</v>
      </c>
      <c r="E973" s="47">
        <v>6.923632570003E12</v>
      </c>
      <c r="F973" s="47" t="s">
        <v>1523</v>
      </c>
      <c r="G973" s="47" t="s">
        <v>1544</v>
      </c>
      <c r="H973" s="30">
        <v>1.0</v>
      </c>
      <c r="I973" s="30">
        <v>489.0</v>
      </c>
      <c r="J973" s="30">
        <v>489.0</v>
      </c>
      <c r="K973" s="30">
        <v>18.0</v>
      </c>
      <c r="L973" s="30">
        <v>88.02</v>
      </c>
      <c r="M973" s="30">
        <v>130.0</v>
      </c>
      <c r="N973" s="30">
        <v>130.0</v>
      </c>
      <c r="O973" s="30">
        <v>0.0</v>
      </c>
      <c r="P973" s="30">
        <v>0.0</v>
      </c>
      <c r="Q973" s="30">
        <v>270.98</v>
      </c>
    </row>
    <row r="974">
      <c r="A974" s="47">
        <v>1.1231638104E10</v>
      </c>
      <c r="B974" s="48">
        <v>46155.921064814815</v>
      </c>
      <c r="C974" s="30">
        <v>3.846772444E9</v>
      </c>
      <c r="D974" s="47" t="s">
        <v>1509</v>
      </c>
      <c r="E974" s="47" t="s">
        <v>356</v>
      </c>
      <c r="F974" s="47" t="s">
        <v>1523</v>
      </c>
      <c r="G974" s="47" t="s">
        <v>1532</v>
      </c>
      <c r="H974" s="30">
        <v>1.0</v>
      </c>
      <c r="I974" s="30">
        <v>737.0</v>
      </c>
      <c r="J974" s="30">
        <v>737.0</v>
      </c>
      <c r="K974" s="30">
        <v>4.95</v>
      </c>
      <c r="L974" s="30">
        <v>36.481500000000004</v>
      </c>
      <c r="M974" s="30">
        <v>580.0</v>
      </c>
      <c r="N974" s="30">
        <v>580.0</v>
      </c>
      <c r="O974" s="30">
        <v>0.0</v>
      </c>
      <c r="P974" s="30">
        <v>0.0</v>
      </c>
      <c r="Q974" s="30">
        <v>120.51849999999999</v>
      </c>
    </row>
    <row r="975">
      <c r="A975" s="47">
        <v>1.1231414307E10</v>
      </c>
      <c r="B975" s="48">
        <v>46155.876076388886</v>
      </c>
      <c r="C975" s="30">
        <v>3.846602925E9</v>
      </c>
      <c r="D975" s="47" t="s">
        <v>1509</v>
      </c>
      <c r="E975" s="47">
        <v>3.18255078458E12</v>
      </c>
      <c r="F975" s="47" t="s">
        <v>1523</v>
      </c>
      <c r="G975" s="47" t="s">
        <v>1536</v>
      </c>
      <c r="H975" s="30">
        <v>1.0</v>
      </c>
      <c r="I975" s="30">
        <v>1922.9</v>
      </c>
      <c r="J975" s="30">
        <v>1922.9</v>
      </c>
      <c r="K975" s="30">
        <v>6.3</v>
      </c>
      <c r="L975" s="30">
        <v>121.1427</v>
      </c>
      <c r="M975" s="30">
        <v>1604.0</v>
      </c>
      <c r="N975" s="30">
        <v>1604.0</v>
      </c>
      <c r="O975" s="30">
        <v>0.0</v>
      </c>
      <c r="P975" s="30">
        <v>0.0</v>
      </c>
      <c r="Q975" s="30">
        <v>197.7573000000001</v>
      </c>
    </row>
    <row r="976">
      <c r="A976" s="47">
        <v>1.1229837889E10</v>
      </c>
      <c r="B976" s="48">
        <v>46155.51636574074</v>
      </c>
      <c r="C976" s="30">
        <v>3.845208918E9</v>
      </c>
      <c r="D976" s="47" t="s">
        <v>1509</v>
      </c>
      <c r="E976" s="47">
        <v>6.923632570003E12</v>
      </c>
      <c r="F976" s="47" t="s">
        <v>1523</v>
      </c>
      <c r="G976" s="47" t="s">
        <v>1544</v>
      </c>
      <c r="H976" s="30">
        <v>2.0</v>
      </c>
      <c r="I976" s="30">
        <v>489.0</v>
      </c>
      <c r="J976" s="30">
        <v>978.0</v>
      </c>
      <c r="K976" s="30">
        <v>18.0</v>
      </c>
      <c r="L976" s="30">
        <v>176.04</v>
      </c>
      <c r="M976" s="30">
        <v>130.0</v>
      </c>
      <c r="N976" s="30">
        <v>260.0</v>
      </c>
      <c r="O976" s="30">
        <v>0.0</v>
      </c>
      <c r="P976" s="30">
        <v>0.0</v>
      </c>
      <c r="Q976" s="30">
        <v>541.96</v>
      </c>
    </row>
    <row r="977">
      <c r="A977" s="47">
        <v>1.1229112617E10</v>
      </c>
      <c r="B977" s="48">
        <v>46155.05694444444</v>
      </c>
      <c r="C977" s="30">
        <v>3.844435926E9</v>
      </c>
      <c r="D977" s="47" t="s">
        <v>1509</v>
      </c>
      <c r="E977" s="47">
        <v>3.182550737616E12</v>
      </c>
      <c r="F977" s="47" t="s">
        <v>1523</v>
      </c>
      <c r="G977" s="47" t="s">
        <v>1570</v>
      </c>
      <c r="H977" s="30">
        <v>1.0</v>
      </c>
      <c r="I977" s="30">
        <v>1880.0</v>
      </c>
      <c r="J977" s="30">
        <v>1880.0</v>
      </c>
      <c r="K977" s="30">
        <v>4.32</v>
      </c>
      <c r="L977" s="30">
        <v>81.21600000000001</v>
      </c>
      <c r="M977" s="30">
        <v>1535.52</v>
      </c>
      <c r="N977" s="30">
        <v>1535.52</v>
      </c>
      <c r="O977" s="30">
        <v>0.0</v>
      </c>
      <c r="P977" s="30">
        <v>0.0</v>
      </c>
      <c r="Q977" s="30">
        <v>263.264</v>
      </c>
    </row>
    <row r="978">
      <c r="A978" s="47">
        <v>1.1231280376E10</v>
      </c>
      <c r="B978" s="48">
        <v>46155.84792824074</v>
      </c>
      <c r="C978" s="30">
        <v>3.846499703E9</v>
      </c>
      <c r="D978" s="47" t="s">
        <v>1509</v>
      </c>
      <c r="E978" s="47">
        <v>3.182550894128E12</v>
      </c>
      <c r="F978" s="47" t="s">
        <v>1523</v>
      </c>
      <c r="G978" s="47" t="s">
        <v>1557</v>
      </c>
      <c r="H978" s="30">
        <v>1.0</v>
      </c>
      <c r="I978" s="30">
        <v>1595.0</v>
      </c>
      <c r="J978" s="30">
        <v>1595.0</v>
      </c>
      <c r="K978" s="30">
        <v>6.66</v>
      </c>
      <c r="L978" s="30">
        <v>106.227</v>
      </c>
      <c r="M978" s="30">
        <v>1394.04</v>
      </c>
      <c r="N978" s="30">
        <v>1394.04</v>
      </c>
      <c r="O978" s="30">
        <v>0.0</v>
      </c>
      <c r="P978" s="30">
        <v>0.0</v>
      </c>
      <c r="Q978" s="30">
        <v>94.73300000000003</v>
      </c>
    </row>
    <row r="979">
      <c r="A979" s="47">
        <v>1.1229573864E10</v>
      </c>
      <c r="B979" s="48">
        <v>46155.181076388886</v>
      </c>
      <c r="C979" s="30">
        <v>3.844907242E9</v>
      </c>
      <c r="D979" s="47" t="s">
        <v>1509</v>
      </c>
      <c r="E979" s="47">
        <v>3.182550737616E12</v>
      </c>
      <c r="F979" s="47" t="s">
        <v>1523</v>
      </c>
      <c r="G979" s="47" t="s">
        <v>1570</v>
      </c>
      <c r="H979" s="30">
        <v>1.0</v>
      </c>
      <c r="I979" s="30">
        <v>1880.0</v>
      </c>
      <c r="J979" s="30">
        <v>1880.0</v>
      </c>
      <c r="K979" s="30">
        <v>4.32</v>
      </c>
      <c r="L979" s="30">
        <v>81.21600000000001</v>
      </c>
      <c r="M979" s="30">
        <v>1535.52</v>
      </c>
      <c r="N979" s="30">
        <v>1535.52</v>
      </c>
      <c r="O979" s="30">
        <v>0.0</v>
      </c>
      <c r="P979" s="30">
        <v>0.0</v>
      </c>
      <c r="Q979" s="30">
        <v>263.264</v>
      </c>
    </row>
    <row r="980">
      <c r="A980" s="47">
        <v>1.1230070338E10</v>
      </c>
      <c r="B980" s="48">
        <v>46155.58657407408</v>
      </c>
      <c r="C980" s="30">
        <v>3.845458709E9</v>
      </c>
      <c r="D980" s="47" t="s">
        <v>1509</v>
      </c>
      <c r="E980" s="47" t="s">
        <v>185</v>
      </c>
      <c r="F980" s="47" t="s">
        <v>1523</v>
      </c>
      <c r="G980" s="47" t="s">
        <v>1584</v>
      </c>
      <c r="H980" s="30">
        <v>2.0</v>
      </c>
      <c r="I980" s="30">
        <v>1612.5</v>
      </c>
      <c r="J980" s="30">
        <v>3225.0</v>
      </c>
      <c r="K980" s="30">
        <v>6.66</v>
      </c>
      <c r="L980" s="30">
        <v>214.785</v>
      </c>
      <c r="M980" s="30">
        <v>1537.0</v>
      </c>
      <c r="N980" s="30">
        <v>3074.0</v>
      </c>
      <c r="O980" s="30">
        <v>0.0</v>
      </c>
      <c r="P980" s="30">
        <v>0.0</v>
      </c>
      <c r="Q980" s="30">
        <v>-63.785</v>
      </c>
    </row>
    <row r="981">
      <c r="A981" s="47">
        <v>1.1232178471E10</v>
      </c>
      <c r="B981" s="48">
        <v>46156.02769675926</v>
      </c>
      <c r="C981" s="30">
        <v>3.847224577E9</v>
      </c>
      <c r="D981" s="47" t="s">
        <v>1509</v>
      </c>
      <c r="E981" s="47" t="s">
        <v>537</v>
      </c>
      <c r="F981" s="47" t="s">
        <v>1523</v>
      </c>
      <c r="G981" s="47" t="s">
        <v>1575</v>
      </c>
      <c r="H981" s="30">
        <v>1.0</v>
      </c>
      <c r="I981" s="30">
        <v>1712.0</v>
      </c>
      <c r="J981" s="30">
        <v>1712.0</v>
      </c>
      <c r="K981" s="30">
        <v>11.25</v>
      </c>
      <c r="L981" s="30">
        <v>192.6</v>
      </c>
      <c r="M981" s="30">
        <v>1053.0</v>
      </c>
      <c r="N981" s="30">
        <v>1053.0</v>
      </c>
      <c r="O981" s="30">
        <v>0.0</v>
      </c>
      <c r="P981" s="30">
        <v>0.0</v>
      </c>
      <c r="Q981" s="30">
        <v>466.4</v>
      </c>
    </row>
    <row r="982">
      <c r="A982" s="47">
        <v>1.1232448468E10</v>
      </c>
      <c r="B982" s="48">
        <v>46156.08278935185</v>
      </c>
      <c r="C982" s="30">
        <v>3.847497874E9</v>
      </c>
      <c r="D982" s="47" t="s">
        <v>1509</v>
      </c>
      <c r="E982" s="47" t="s">
        <v>356</v>
      </c>
      <c r="F982" s="47" t="s">
        <v>1523</v>
      </c>
      <c r="G982" s="47" t="s">
        <v>1532</v>
      </c>
      <c r="H982" s="30">
        <v>1.0</v>
      </c>
      <c r="I982" s="30">
        <v>731.0</v>
      </c>
      <c r="J982" s="30">
        <v>731.0</v>
      </c>
      <c r="K982" s="30">
        <v>4.95</v>
      </c>
      <c r="L982" s="30">
        <v>36.1845</v>
      </c>
      <c r="M982" s="30">
        <v>580.0</v>
      </c>
      <c r="N982" s="30">
        <v>580.0</v>
      </c>
      <c r="O982" s="30">
        <v>0.0</v>
      </c>
      <c r="P982" s="30">
        <v>0.0</v>
      </c>
      <c r="Q982" s="30">
        <v>114.8155</v>
      </c>
    </row>
    <row r="983">
      <c r="A983" s="47">
        <v>1.1228804886E10</v>
      </c>
      <c r="B983" s="48">
        <v>46154.99680555556</v>
      </c>
      <c r="C983" s="30">
        <v>3.844144545E9</v>
      </c>
      <c r="D983" s="47" t="s">
        <v>1509</v>
      </c>
      <c r="E983" s="47">
        <v>3.182550737616E12</v>
      </c>
      <c r="F983" s="47" t="s">
        <v>1523</v>
      </c>
      <c r="G983" s="47" t="s">
        <v>1570</v>
      </c>
      <c r="H983" s="30">
        <v>1.0</v>
      </c>
      <c r="I983" s="30">
        <v>1852.99</v>
      </c>
      <c r="J983" s="30">
        <v>1852.99</v>
      </c>
      <c r="K983" s="30">
        <v>4.32</v>
      </c>
      <c r="L983" s="30">
        <v>80.04916800000001</v>
      </c>
      <c r="M983" s="30">
        <v>1535.52</v>
      </c>
      <c r="N983" s="30">
        <v>1535.52</v>
      </c>
      <c r="O983" s="30">
        <v>0.0</v>
      </c>
      <c r="P983" s="30">
        <v>0.0</v>
      </c>
      <c r="Q983" s="30">
        <v>237.42083200000002</v>
      </c>
    </row>
    <row r="984">
      <c r="A984" s="47">
        <v>1.1231306063E10</v>
      </c>
      <c r="B984" s="48">
        <v>46155.85335648148</v>
      </c>
      <c r="C984" s="30">
        <v>3.84651694E9</v>
      </c>
      <c r="D984" s="47" t="s">
        <v>1509</v>
      </c>
      <c r="E984" s="47">
        <v>6.923632570121E12</v>
      </c>
      <c r="F984" s="47" t="s">
        <v>306</v>
      </c>
      <c r="G984" s="47" t="s">
        <v>1555</v>
      </c>
      <c r="H984" s="30">
        <v>1.0</v>
      </c>
      <c r="I984" s="30">
        <v>897.45</v>
      </c>
      <c r="J984" s="30">
        <v>897.45</v>
      </c>
      <c r="K984" s="30">
        <v>18.0</v>
      </c>
      <c r="L984" s="30">
        <v>161.541</v>
      </c>
      <c r="M984" s="30">
        <v>300.0</v>
      </c>
      <c r="N984" s="30">
        <v>300.0</v>
      </c>
      <c r="O984" s="30">
        <v>0.0</v>
      </c>
      <c r="P984" s="30">
        <v>0.0</v>
      </c>
      <c r="Q984" s="30">
        <v>435.90900000000005</v>
      </c>
    </row>
    <row r="985">
      <c r="A985" s="47">
        <v>1.1232590436E10</v>
      </c>
      <c r="B985" s="48">
        <v>46156.11636574074</v>
      </c>
      <c r="C985" s="30">
        <v>3.8476444E9</v>
      </c>
      <c r="D985" s="47" t="s">
        <v>1509</v>
      </c>
      <c r="E985" s="47">
        <v>7.613032816536E12</v>
      </c>
      <c r="F985" s="47" t="s">
        <v>1523</v>
      </c>
      <c r="G985" s="47" t="s">
        <v>1533</v>
      </c>
      <c r="H985" s="30">
        <v>1.0</v>
      </c>
      <c r="I985" s="30">
        <v>729.0</v>
      </c>
      <c r="J985" s="30">
        <v>729.0</v>
      </c>
      <c r="K985" s="30">
        <v>4.41</v>
      </c>
      <c r="L985" s="30">
        <v>32.148900000000005</v>
      </c>
      <c r="M985" s="30">
        <v>580.0</v>
      </c>
      <c r="N985" s="30">
        <v>580.0</v>
      </c>
      <c r="O985" s="30">
        <v>0.0</v>
      </c>
      <c r="P985" s="30">
        <v>0.0</v>
      </c>
      <c r="Q985" s="30">
        <v>116.8511</v>
      </c>
    </row>
    <row r="986">
      <c r="A986" s="47">
        <v>1.1232318427E10</v>
      </c>
      <c r="B986" s="48">
        <v>46156.05571759259</v>
      </c>
      <c r="C986" s="30">
        <v>3.847366721E9</v>
      </c>
      <c r="D986" s="47" t="s">
        <v>1509</v>
      </c>
      <c r="E986" s="47">
        <v>7.613032816536E12</v>
      </c>
      <c r="F986" s="47" t="s">
        <v>1523</v>
      </c>
      <c r="G986" s="47" t="s">
        <v>1533</v>
      </c>
      <c r="H986" s="30">
        <v>1.0</v>
      </c>
      <c r="I986" s="30">
        <v>729.0</v>
      </c>
      <c r="J986" s="30">
        <v>729.0</v>
      </c>
      <c r="K986" s="30">
        <v>4.41</v>
      </c>
      <c r="L986" s="30">
        <v>32.148900000000005</v>
      </c>
      <c r="M986" s="30">
        <v>580.0</v>
      </c>
      <c r="N986" s="30">
        <v>580.0</v>
      </c>
      <c r="O986" s="30">
        <v>0.0</v>
      </c>
      <c r="P986" s="30">
        <v>0.0</v>
      </c>
      <c r="Q986" s="30">
        <v>116.8511</v>
      </c>
    </row>
    <row r="987">
      <c r="A987" s="47">
        <v>1.1231267338E10</v>
      </c>
      <c r="B987" s="48">
        <v>46155.845243055555</v>
      </c>
      <c r="C987" s="30">
        <v>3.846488615E9</v>
      </c>
      <c r="D987" s="47" t="s">
        <v>1509</v>
      </c>
      <c r="E987" s="47">
        <v>3.182550737616E12</v>
      </c>
      <c r="F987" s="47" t="s">
        <v>1523</v>
      </c>
      <c r="G987" s="47" t="s">
        <v>1570</v>
      </c>
      <c r="H987" s="30">
        <v>1.0</v>
      </c>
      <c r="I987" s="30">
        <v>1871.9</v>
      </c>
      <c r="J987" s="30">
        <v>1871.9</v>
      </c>
      <c r="K987" s="30">
        <v>4.32</v>
      </c>
      <c r="L987" s="30">
        <v>80.86608000000001</v>
      </c>
      <c r="M987" s="30">
        <v>1535.52</v>
      </c>
      <c r="N987" s="30">
        <v>1535.52</v>
      </c>
      <c r="O987" s="30">
        <v>0.0</v>
      </c>
      <c r="P987" s="30">
        <v>0.0</v>
      </c>
      <c r="Q987" s="30">
        <v>255.5139200000001</v>
      </c>
    </row>
    <row r="988">
      <c r="A988" s="47">
        <v>1.1235941054E10</v>
      </c>
      <c r="B988" s="48">
        <v>46157.19599537037</v>
      </c>
      <c r="C988" s="30">
        <v>3.850648208E9</v>
      </c>
      <c r="D988" s="47" t="s">
        <v>1511</v>
      </c>
      <c r="E988" s="47">
        <v>7.613032816536E12</v>
      </c>
      <c r="F988" s="47" t="s">
        <v>1523</v>
      </c>
      <c r="G988" s="47" t="s">
        <v>1533</v>
      </c>
      <c r="H988" s="30">
        <v>1.0</v>
      </c>
      <c r="I988" s="30">
        <v>727.0</v>
      </c>
      <c r="J988" s="30">
        <v>727.0</v>
      </c>
      <c r="K988" s="30">
        <v>4.41</v>
      </c>
      <c r="L988" s="30">
        <v>32.060700000000004</v>
      </c>
      <c r="M988" s="30">
        <v>580.0</v>
      </c>
      <c r="N988" s="30">
        <v>580.0</v>
      </c>
      <c r="O988" s="30">
        <v>0.0</v>
      </c>
      <c r="P988" s="30">
        <v>0.0</v>
      </c>
      <c r="Q988" s="30">
        <v>114.9393</v>
      </c>
    </row>
    <row r="989">
      <c r="A989" s="47">
        <v>1.1232390428E10</v>
      </c>
      <c r="B989" s="48">
        <v>46156.07047453704</v>
      </c>
      <c r="C989" s="30">
        <v>3.847435742E9</v>
      </c>
      <c r="D989" s="47" t="s">
        <v>1509</v>
      </c>
      <c r="E989" s="47">
        <v>7.613032816536E12</v>
      </c>
      <c r="F989" s="47" t="s">
        <v>1523</v>
      </c>
      <c r="G989" s="47" t="s">
        <v>1533</v>
      </c>
      <c r="H989" s="30">
        <v>1.0</v>
      </c>
      <c r="I989" s="30">
        <v>729.0</v>
      </c>
      <c r="J989" s="30">
        <v>729.0</v>
      </c>
      <c r="K989" s="30">
        <v>4.41</v>
      </c>
      <c r="L989" s="30">
        <v>32.148900000000005</v>
      </c>
      <c r="M989" s="30">
        <v>580.0</v>
      </c>
      <c r="N989" s="30">
        <v>580.0</v>
      </c>
      <c r="O989" s="30">
        <v>0.0</v>
      </c>
      <c r="P989" s="30">
        <v>0.0</v>
      </c>
      <c r="Q989" s="30">
        <v>116.8511</v>
      </c>
    </row>
    <row r="990">
      <c r="A990" s="47">
        <v>1.1225770657E10</v>
      </c>
      <c r="B990" s="48">
        <v>46154.05074074074</v>
      </c>
      <c r="C990" s="30">
        <v>3.841329845E9</v>
      </c>
      <c r="D990" s="47" t="s">
        <v>1509</v>
      </c>
      <c r="E990" s="47">
        <v>8.684501941813E12</v>
      </c>
      <c r="F990" s="47" t="s">
        <v>287</v>
      </c>
      <c r="G990" s="47" t="s">
        <v>1547</v>
      </c>
      <c r="H990" s="30">
        <v>1.0</v>
      </c>
      <c r="I990" s="30">
        <v>349.99</v>
      </c>
      <c r="J990" s="30">
        <v>349.99</v>
      </c>
      <c r="K990" s="30">
        <v>20.0</v>
      </c>
      <c r="L990" s="30">
        <v>69.998</v>
      </c>
      <c r="M990" s="30">
        <v>53.0</v>
      </c>
      <c r="N990" s="30">
        <v>53.0</v>
      </c>
      <c r="O990" s="30">
        <v>0.0</v>
      </c>
      <c r="P990" s="30">
        <v>0.0</v>
      </c>
      <c r="Q990" s="30">
        <v>226.99200000000002</v>
      </c>
    </row>
    <row r="991">
      <c r="A991" s="47">
        <v>1.1228228642E10</v>
      </c>
      <c r="B991" s="48">
        <v>46154.880520833336</v>
      </c>
      <c r="C991" s="30">
        <v>3.843697491E9</v>
      </c>
      <c r="D991" s="47" t="s">
        <v>1509</v>
      </c>
      <c r="E991" s="47">
        <v>3.182550728102E12</v>
      </c>
      <c r="F991" s="47" t="s">
        <v>1523</v>
      </c>
      <c r="G991" s="47" t="s">
        <v>1576</v>
      </c>
      <c r="H991" s="30">
        <v>1.0</v>
      </c>
      <c r="I991" s="30">
        <v>978.0</v>
      </c>
      <c r="J991" s="30">
        <v>978.0</v>
      </c>
      <c r="K991" s="30">
        <v>11.25</v>
      </c>
      <c r="L991" s="30">
        <v>110.025</v>
      </c>
      <c r="M991" s="30">
        <v>621.6</v>
      </c>
      <c r="N991" s="30">
        <v>621.6</v>
      </c>
      <c r="O991" s="30">
        <v>0.0</v>
      </c>
      <c r="P991" s="30">
        <v>0.0</v>
      </c>
      <c r="Q991" s="30">
        <v>246.37499999999997</v>
      </c>
    </row>
    <row r="992">
      <c r="A992" s="47">
        <v>1.1232242446E10</v>
      </c>
      <c r="B992" s="48">
        <v>46156.040451388886</v>
      </c>
      <c r="C992" s="30">
        <v>3.847287162E9</v>
      </c>
      <c r="D992" s="47" t="s">
        <v>1509</v>
      </c>
      <c r="E992" s="47" t="s">
        <v>393</v>
      </c>
      <c r="F992" s="47" t="s">
        <v>1523</v>
      </c>
      <c r="G992" s="47" t="s">
        <v>1582</v>
      </c>
      <c r="H992" s="30">
        <v>1.0</v>
      </c>
      <c r="I992" s="30">
        <v>1186.0</v>
      </c>
      <c r="J992" s="30">
        <v>1186.0</v>
      </c>
      <c r="K992" s="30">
        <v>12.15</v>
      </c>
      <c r="L992" s="30">
        <v>144.099</v>
      </c>
      <c r="M992" s="30">
        <v>850.0</v>
      </c>
      <c r="N992" s="30">
        <v>850.0</v>
      </c>
      <c r="O992" s="30">
        <v>0.0</v>
      </c>
      <c r="P992" s="30">
        <v>0.0</v>
      </c>
      <c r="Q992" s="30">
        <v>191.901</v>
      </c>
    </row>
    <row r="993">
      <c r="A993" s="47">
        <v>1.1230923082E10</v>
      </c>
      <c r="B993" s="48">
        <v>46155.76447916667</v>
      </c>
      <c r="C993" s="30">
        <v>3.846202855E9</v>
      </c>
      <c r="D993" s="47" t="s">
        <v>1509</v>
      </c>
      <c r="E993" s="47">
        <v>3.182550737616E12</v>
      </c>
      <c r="F993" s="47" t="s">
        <v>1523</v>
      </c>
      <c r="G993" s="47" t="s">
        <v>1570</v>
      </c>
      <c r="H993" s="30">
        <v>1.0</v>
      </c>
      <c r="I993" s="30">
        <v>1880.0</v>
      </c>
      <c r="J993" s="30">
        <v>1880.0</v>
      </c>
      <c r="K993" s="30">
        <v>4.32</v>
      </c>
      <c r="L993" s="30">
        <v>81.21600000000001</v>
      </c>
      <c r="M993" s="30">
        <v>1535.52</v>
      </c>
      <c r="N993" s="30">
        <v>1535.52</v>
      </c>
      <c r="O993" s="30">
        <v>0.0</v>
      </c>
      <c r="P993" s="30">
        <v>0.0</v>
      </c>
      <c r="Q993" s="30">
        <v>263.264</v>
      </c>
    </row>
    <row r="994">
      <c r="A994" s="47">
        <v>1.123206673E10</v>
      </c>
      <c r="B994" s="48">
        <v>46156.00592592593</v>
      </c>
      <c r="C994" s="30">
        <v>3.84711865E9</v>
      </c>
      <c r="D994" s="47" t="s">
        <v>1509</v>
      </c>
      <c r="E994" s="47">
        <v>7.613033560064E12</v>
      </c>
      <c r="F994" s="47" t="s">
        <v>1523</v>
      </c>
      <c r="G994" s="47" t="s">
        <v>1527</v>
      </c>
      <c r="H994" s="30">
        <v>1.0</v>
      </c>
      <c r="I994" s="30">
        <v>1310.0</v>
      </c>
      <c r="J994" s="30">
        <v>1310.0</v>
      </c>
      <c r="K994" s="30">
        <v>2.7</v>
      </c>
      <c r="L994" s="30">
        <v>35.370000000000005</v>
      </c>
      <c r="M994" s="30">
        <v>1190.0</v>
      </c>
      <c r="N994" s="30">
        <v>1190.0</v>
      </c>
      <c r="O994" s="30">
        <v>0.0</v>
      </c>
      <c r="P994" s="30">
        <v>0.0</v>
      </c>
      <c r="Q994" s="30">
        <v>84.63</v>
      </c>
    </row>
    <row r="995">
      <c r="A995" s="47">
        <v>1.123129092E10</v>
      </c>
      <c r="B995" s="48">
        <v>46155.850023148145</v>
      </c>
      <c r="C995" s="30">
        <v>3.846505683E9</v>
      </c>
      <c r="D995" s="47" t="s">
        <v>1509</v>
      </c>
      <c r="E995" s="47">
        <v>3.182550737616E12</v>
      </c>
      <c r="F995" s="47" t="s">
        <v>1523</v>
      </c>
      <c r="G995" s="47" t="s">
        <v>1570</v>
      </c>
      <c r="H995" s="30">
        <v>1.0</v>
      </c>
      <c r="I995" s="30">
        <v>1864.0</v>
      </c>
      <c r="J995" s="30">
        <v>1864.0</v>
      </c>
      <c r="K995" s="30">
        <v>4.32</v>
      </c>
      <c r="L995" s="30">
        <v>80.5248</v>
      </c>
      <c r="M995" s="30">
        <v>1535.52</v>
      </c>
      <c r="N995" s="30">
        <v>1535.52</v>
      </c>
      <c r="O995" s="30">
        <v>0.0</v>
      </c>
      <c r="P995" s="30">
        <v>0.0</v>
      </c>
      <c r="Q995" s="30">
        <v>247.95520000000002</v>
      </c>
    </row>
    <row r="996">
      <c r="A996" s="47">
        <v>1.1227889221E10</v>
      </c>
      <c r="B996" s="48">
        <v>46154.80825231481</v>
      </c>
      <c r="C996" s="30">
        <v>3.843424533E9</v>
      </c>
      <c r="D996" s="47" t="s">
        <v>1509</v>
      </c>
      <c r="E996" s="47">
        <v>3.182550737616E12</v>
      </c>
      <c r="F996" s="47" t="s">
        <v>1523</v>
      </c>
      <c r="G996" s="47" t="s">
        <v>1577</v>
      </c>
      <c r="H996" s="30">
        <v>1.0</v>
      </c>
      <c r="I996" s="30">
        <v>1852.99</v>
      </c>
      <c r="J996" s="30">
        <v>1852.99</v>
      </c>
      <c r="K996" s="30">
        <v>4.32</v>
      </c>
      <c r="L996" s="30">
        <v>80.04916800000001</v>
      </c>
      <c r="M996" s="30">
        <v>1535.52</v>
      </c>
      <c r="N996" s="30">
        <v>1535.52</v>
      </c>
      <c r="O996" s="30">
        <v>0.0</v>
      </c>
      <c r="P996" s="30">
        <v>0.0</v>
      </c>
      <c r="Q996" s="30">
        <v>237.42083200000002</v>
      </c>
    </row>
    <row r="997">
      <c r="A997" s="47">
        <v>1.1233026574E10</v>
      </c>
      <c r="B997" s="48">
        <v>46156.51563657408</v>
      </c>
      <c r="C997" s="30">
        <v>3.848123019E9</v>
      </c>
      <c r="D997" s="47" t="s">
        <v>1509</v>
      </c>
      <c r="E997" s="47">
        <v>7.613032816536E12</v>
      </c>
      <c r="F997" s="47" t="s">
        <v>1523</v>
      </c>
      <c r="G997" s="47" t="s">
        <v>1533</v>
      </c>
      <c r="H997" s="30">
        <v>2.0</v>
      </c>
      <c r="I997" s="30">
        <v>727.0</v>
      </c>
      <c r="J997" s="30">
        <v>1454.0</v>
      </c>
      <c r="K997" s="30">
        <v>4.41</v>
      </c>
      <c r="L997" s="30">
        <v>64.12140000000001</v>
      </c>
      <c r="M997" s="30">
        <v>580.0</v>
      </c>
      <c r="N997" s="30">
        <v>1160.0</v>
      </c>
      <c r="O997" s="30">
        <v>0.0</v>
      </c>
      <c r="P997" s="30">
        <v>0.0</v>
      </c>
      <c r="Q997" s="30">
        <v>229.8786</v>
      </c>
    </row>
    <row r="998">
      <c r="A998" s="47">
        <v>1.1228776875E10</v>
      </c>
      <c r="B998" s="48">
        <v>46154.99107638889</v>
      </c>
      <c r="C998" s="30">
        <v>3.844120996E9</v>
      </c>
      <c r="D998" s="47" t="s">
        <v>1509</v>
      </c>
      <c r="E998" s="47">
        <v>3.182550737616E12</v>
      </c>
      <c r="F998" s="47" t="s">
        <v>1523</v>
      </c>
      <c r="G998" s="47" t="s">
        <v>1570</v>
      </c>
      <c r="H998" s="30">
        <v>1.0</v>
      </c>
      <c r="I998" s="30">
        <v>1852.99</v>
      </c>
      <c r="J998" s="30">
        <v>1852.99</v>
      </c>
      <c r="K998" s="30">
        <v>4.32</v>
      </c>
      <c r="L998" s="30">
        <v>80.04916800000001</v>
      </c>
      <c r="M998" s="30">
        <v>1535.52</v>
      </c>
      <c r="N998" s="30">
        <v>1535.52</v>
      </c>
      <c r="O998" s="30">
        <v>0.0</v>
      </c>
      <c r="P998" s="30">
        <v>0.0</v>
      </c>
      <c r="Q998" s="30">
        <v>237.42083200000002</v>
      </c>
    </row>
    <row r="999">
      <c r="A999" s="47">
        <v>1.1230460575E10</v>
      </c>
      <c r="B999" s="48">
        <v>46155.66763888889</v>
      </c>
      <c r="C999" s="30">
        <v>3.845791445E9</v>
      </c>
      <c r="D999" s="47" t="s">
        <v>1509</v>
      </c>
      <c r="E999" s="47">
        <v>3.182550894128E12</v>
      </c>
      <c r="F999" s="47" t="s">
        <v>1523</v>
      </c>
      <c r="G999" s="47" t="s">
        <v>1557</v>
      </c>
      <c r="H999" s="30">
        <v>2.0</v>
      </c>
      <c r="I999" s="30">
        <v>1595.0</v>
      </c>
      <c r="J999" s="30">
        <v>3190.0</v>
      </c>
      <c r="K999" s="30">
        <v>6.66</v>
      </c>
      <c r="L999" s="30">
        <v>212.454</v>
      </c>
      <c r="M999" s="30">
        <v>1394.04</v>
      </c>
      <c r="N999" s="30">
        <v>2788.08</v>
      </c>
      <c r="O999" s="30">
        <v>0.0</v>
      </c>
      <c r="P999" s="30">
        <v>0.0</v>
      </c>
      <c r="Q999" s="30">
        <v>189.46600000000007</v>
      </c>
    </row>
    <row r="1000">
      <c r="A1000" s="47">
        <v>1.1228043052E10</v>
      </c>
      <c r="B1000" s="48">
        <v>46154.84158564815</v>
      </c>
      <c r="C1000" s="30">
        <v>3.843554916E9</v>
      </c>
      <c r="D1000" s="47" t="s">
        <v>1509</v>
      </c>
      <c r="E1000" s="47">
        <v>3.182550894128E12</v>
      </c>
      <c r="F1000" s="47" t="s">
        <v>1523</v>
      </c>
      <c r="G1000" s="47" t="s">
        <v>1557</v>
      </c>
      <c r="H1000" s="30">
        <v>2.0</v>
      </c>
      <c r="I1000" s="30">
        <v>1595.0</v>
      </c>
      <c r="J1000" s="30">
        <v>3190.0</v>
      </c>
      <c r="K1000" s="30">
        <v>6.66</v>
      </c>
      <c r="L1000" s="30">
        <v>212.454</v>
      </c>
      <c r="M1000" s="30">
        <v>1394.04</v>
      </c>
      <c r="N1000" s="30">
        <v>2788.08</v>
      </c>
      <c r="O1000" s="30">
        <v>0.0</v>
      </c>
      <c r="P1000" s="30">
        <v>0.0</v>
      </c>
      <c r="Q1000" s="30">
        <v>189.46600000000007</v>
      </c>
    </row>
    <row r="1001">
      <c r="A1001" s="47">
        <v>1.1228982304E10</v>
      </c>
      <c r="B1001" s="48">
        <v>46155.03111111111</v>
      </c>
      <c r="C1001" s="30">
        <v>3.844311258E9</v>
      </c>
      <c r="D1001" s="47" t="s">
        <v>1509</v>
      </c>
      <c r="E1001" s="47">
        <v>3.182550737616E12</v>
      </c>
      <c r="F1001" s="47" t="s">
        <v>1523</v>
      </c>
      <c r="G1001" s="47" t="s">
        <v>1570</v>
      </c>
      <c r="H1001" s="30">
        <v>1.0</v>
      </c>
      <c r="I1001" s="30">
        <v>1880.0</v>
      </c>
      <c r="J1001" s="30">
        <v>1880.0</v>
      </c>
      <c r="K1001" s="30">
        <v>4.32</v>
      </c>
      <c r="L1001" s="30">
        <v>81.21600000000001</v>
      </c>
      <c r="M1001" s="30">
        <v>1535.52</v>
      </c>
      <c r="N1001" s="30">
        <v>1535.52</v>
      </c>
      <c r="O1001" s="30">
        <v>0.0</v>
      </c>
      <c r="P1001" s="30">
        <v>0.0</v>
      </c>
      <c r="Q1001" s="30">
        <v>263.264</v>
      </c>
    </row>
    <row r="1002">
      <c r="A1002" s="47">
        <v>1.122992501E10</v>
      </c>
      <c r="B1002" s="48">
        <v>46155.54640046296</v>
      </c>
      <c r="C1002" s="30">
        <v>3.845305418E9</v>
      </c>
      <c r="D1002" s="47" t="s">
        <v>1509</v>
      </c>
      <c r="E1002" s="47">
        <v>3.182550737616E12</v>
      </c>
      <c r="F1002" s="47" t="s">
        <v>1523</v>
      </c>
      <c r="G1002" s="47" t="s">
        <v>1570</v>
      </c>
      <c r="H1002" s="30">
        <v>1.0</v>
      </c>
      <c r="I1002" s="30">
        <v>1880.0</v>
      </c>
      <c r="J1002" s="30">
        <v>1880.0</v>
      </c>
      <c r="K1002" s="30">
        <v>4.32</v>
      </c>
      <c r="L1002" s="30">
        <v>81.21600000000001</v>
      </c>
      <c r="M1002" s="30">
        <v>1535.52</v>
      </c>
      <c r="N1002" s="30">
        <v>1535.52</v>
      </c>
      <c r="O1002" s="30">
        <v>0.0</v>
      </c>
      <c r="P1002" s="30">
        <v>0.0</v>
      </c>
      <c r="Q1002" s="30">
        <v>263.264</v>
      </c>
    </row>
    <row r="1003">
      <c r="A1003" s="47">
        <v>1.1229243654E10</v>
      </c>
      <c r="B1003" s="48">
        <v>46155.084074074075</v>
      </c>
      <c r="C1003" s="30">
        <v>3.844569902E9</v>
      </c>
      <c r="D1003" s="47" t="s">
        <v>1509</v>
      </c>
      <c r="E1003" s="47">
        <v>3.182550737616E12</v>
      </c>
      <c r="F1003" s="47" t="s">
        <v>1523</v>
      </c>
      <c r="G1003" s="47" t="s">
        <v>1570</v>
      </c>
      <c r="H1003" s="30">
        <v>1.0</v>
      </c>
      <c r="I1003" s="30">
        <v>1880.0</v>
      </c>
      <c r="J1003" s="30">
        <v>1880.0</v>
      </c>
      <c r="K1003" s="30">
        <v>4.32</v>
      </c>
      <c r="L1003" s="30">
        <v>81.21600000000001</v>
      </c>
      <c r="M1003" s="30">
        <v>1535.52</v>
      </c>
      <c r="N1003" s="30">
        <v>1535.52</v>
      </c>
      <c r="O1003" s="30">
        <v>0.0</v>
      </c>
      <c r="P1003" s="30">
        <v>0.0</v>
      </c>
      <c r="Q1003" s="30">
        <v>263.264</v>
      </c>
    </row>
    <row r="1004">
      <c r="A1004" s="47">
        <v>1.1229304241E10</v>
      </c>
      <c r="B1004" s="48">
        <v>46155.09700231482</v>
      </c>
      <c r="C1004" s="30">
        <v>3.844630914E9</v>
      </c>
      <c r="D1004" s="47" t="s">
        <v>1509</v>
      </c>
      <c r="E1004" s="47">
        <v>3.182550737616E12</v>
      </c>
      <c r="F1004" s="47" t="s">
        <v>1523</v>
      </c>
      <c r="G1004" s="47" t="s">
        <v>1570</v>
      </c>
      <c r="H1004" s="30">
        <v>1.0</v>
      </c>
      <c r="I1004" s="30">
        <v>1880.0</v>
      </c>
      <c r="J1004" s="30">
        <v>1880.0</v>
      </c>
      <c r="K1004" s="30">
        <v>4.32</v>
      </c>
      <c r="L1004" s="30">
        <v>81.21600000000001</v>
      </c>
      <c r="M1004" s="30">
        <v>1535.52</v>
      </c>
      <c r="N1004" s="30">
        <v>1535.52</v>
      </c>
      <c r="O1004" s="30">
        <v>0.0</v>
      </c>
      <c r="P1004" s="30">
        <v>0.0</v>
      </c>
      <c r="Q1004" s="30">
        <v>263.264</v>
      </c>
    </row>
    <row r="1005">
      <c r="A1005" s="47">
        <v>1.1231086019E10</v>
      </c>
      <c r="B1005" s="48">
        <v>46155.80185185185</v>
      </c>
      <c r="C1005" s="30">
        <v>3.84634144E9</v>
      </c>
      <c r="D1005" s="47" t="s">
        <v>1509</v>
      </c>
      <c r="E1005" s="47">
        <v>6.923632570006E12</v>
      </c>
      <c r="F1005" s="47" t="s">
        <v>298</v>
      </c>
      <c r="G1005" s="47" t="s">
        <v>1544</v>
      </c>
      <c r="H1005" s="30">
        <v>1.0</v>
      </c>
      <c r="I1005" s="30">
        <v>474.0</v>
      </c>
      <c r="J1005" s="30">
        <v>474.0</v>
      </c>
      <c r="K1005" s="30">
        <v>18.0</v>
      </c>
      <c r="L1005" s="30">
        <v>85.32</v>
      </c>
      <c r="M1005" s="30">
        <v>130.0</v>
      </c>
      <c r="N1005" s="30">
        <v>130.0</v>
      </c>
      <c r="O1005" s="30">
        <v>0.0</v>
      </c>
      <c r="P1005" s="30">
        <v>0.0</v>
      </c>
      <c r="Q1005" s="30">
        <v>258.68</v>
      </c>
    </row>
    <row r="1006">
      <c r="A1006" s="47">
        <v>1.1227186215E10</v>
      </c>
      <c r="B1006" s="48">
        <v>46154.65959490741</v>
      </c>
      <c r="C1006" s="30">
        <v>3.842812622E9</v>
      </c>
      <c r="D1006" s="47" t="s">
        <v>1509</v>
      </c>
      <c r="E1006" s="47">
        <v>3.182550737616E12</v>
      </c>
      <c r="F1006" s="47" t="s">
        <v>1523</v>
      </c>
      <c r="G1006" s="47" t="s">
        <v>1577</v>
      </c>
      <c r="H1006" s="30">
        <v>1.0</v>
      </c>
      <c r="I1006" s="30">
        <v>1963.0</v>
      </c>
      <c r="J1006" s="30">
        <v>1963.0</v>
      </c>
      <c r="K1006" s="30">
        <v>6.3</v>
      </c>
      <c r="L1006" s="30">
        <v>123.669</v>
      </c>
      <c r="M1006" s="30">
        <v>1535.52</v>
      </c>
      <c r="N1006" s="30">
        <v>1535.52</v>
      </c>
      <c r="O1006" s="30">
        <v>0.0</v>
      </c>
      <c r="P1006" s="30">
        <v>0.0</v>
      </c>
      <c r="Q1006" s="30">
        <v>303.81100000000004</v>
      </c>
    </row>
    <row r="1007">
      <c r="A1007" s="47">
        <v>1.1233064117E10</v>
      </c>
      <c r="B1007" s="48">
        <v>46156.53016203704</v>
      </c>
      <c r="C1007" s="30">
        <v>3.848160647E9</v>
      </c>
      <c r="D1007" s="47" t="s">
        <v>1509</v>
      </c>
      <c r="E1007" s="47" t="s">
        <v>356</v>
      </c>
      <c r="F1007" s="47" t="s">
        <v>1523</v>
      </c>
      <c r="G1007" s="47" t="s">
        <v>1532</v>
      </c>
      <c r="H1007" s="30">
        <v>1.0</v>
      </c>
      <c r="I1007" s="30">
        <v>729.0</v>
      </c>
      <c r="J1007" s="30">
        <v>729.0</v>
      </c>
      <c r="K1007" s="30">
        <v>4.95</v>
      </c>
      <c r="L1007" s="30">
        <v>36.0855</v>
      </c>
      <c r="M1007" s="30">
        <v>580.0</v>
      </c>
      <c r="N1007" s="30">
        <v>580.0</v>
      </c>
      <c r="O1007" s="30">
        <v>0.0</v>
      </c>
      <c r="P1007" s="30">
        <v>0.0</v>
      </c>
      <c r="Q1007" s="30">
        <v>112.9145</v>
      </c>
    </row>
    <row r="1008">
      <c r="A1008" s="47">
        <v>1.1227687595E10</v>
      </c>
      <c r="B1008" s="48">
        <v>46154.76430555555</v>
      </c>
      <c r="C1008" s="30">
        <v>3.843248893E9</v>
      </c>
      <c r="D1008" s="47" t="s">
        <v>1509</v>
      </c>
      <c r="E1008" s="47">
        <v>3.182550867719E12</v>
      </c>
      <c r="F1008" s="47" t="s">
        <v>1523</v>
      </c>
      <c r="G1008" s="47" t="s">
        <v>1585</v>
      </c>
      <c r="H1008" s="30">
        <v>1.0</v>
      </c>
      <c r="I1008" s="30">
        <v>1486.0</v>
      </c>
      <c r="J1008" s="30">
        <v>1486.0</v>
      </c>
      <c r="K1008" s="30">
        <v>6.57</v>
      </c>
      <c r="L1008" s="30">
        <v>97.6302</v>
      </c>
      <c r="M1008" s="30">
        <v>1137.36</v>
      </c>
      <c r="N1008" s="30">
        <v>1137.36</v>
      </c>
      <c r="O1008" s="30">
        <v>0.0</v>
      </c>
      <c r="P1008" s="30">
        <v>0.0</v>
      </c>
      <c r="Q1008" s="30">
        <v>251.0098000000001</v>
      </c>
    </row>
    <row r="1009">
      <c r="A1009" s="47">
        <v>1.1230914039E10</v>
      </c>
      <c r="B1009" s="48">
        <v>46155.76273148148</v>
      </c>
      <c r="C1009" s="30">
        <v>3.846193978E9</v>
      </c>
      <c r="D1009" s="47" t="s">
        <v>1509</v>
      </c>
      <c r="E1009" s="47">
        <v>3.182550737616E12</v>
      </c>
      <c r="F1009" s="47" t="s">
        <v>1523</v>
      </c>
      <c r="G1009" s="47" t="s">
        <v>1570</v>
      </c>
      <c r="H1009" s="30">
        <v>1.0</v>
      </c>
      <c r="I1009" s="30">
        <v>1880.0</v>
      </c>
      <c r="J1009" s="30">
        <v>1880.0</v>
      </c>
      <c r="K1009" s="30">
        <v>4.32</v>
      </c>
      <c r="L1009" s="30">
        <v>81.21600000000001</v>
      </c>
      <c r="M1009" s="30">
        <v>1535.52</v>
      </c>
      <c r="N1009" s="30">
        <v>1535.52</v>
      </c>
      <c r="O1009" s="30">
        <v>0.0</v>
      </c>
      <c r="P1009" s="30">
        <v>0.0</v>
      </c>
      <c r="Q1009" s="30">
        <v>263.264</v>
      </c>
    </row>
    <row r="1010">
      <c r="A1010" s="47">
        <v>1.1228663315E10</v>
      </c>
      <c r="B1010" s="48">
        <v>46154.96865740741</v>
      </c>
      <c r="C1010" s="30">
        <v>3.844026838E9</v>
      </c>
      <c r="D1010" s="47" t="s">
        <v>1509</v>
      </c>
      <c r="E1010" s="47">
        <v>3.182550894128E12</v>
      </c>
      <c r="F1010" s="47" t="s">
        <v>1523</v>
      </c>
      <c r="G1010" s="47" t="s">
        <v>1557</v>
      </c>
      <c r="H1010" s="30">
        <v>1.0</v>
      </c>
      <c r="I1010" s="30">
        <v>1595.0</v>
      </c>
      <c r="J1010" s="30">
        <v>1595.0</v>
      </c>
      <c r="K1010" s="30">
        <v>6.66</v>
      </c>
      <c r="L1010" s="30">
        <v>106.227</v>
      </c>
      <c r="M1010" s="30">
        <v>1394.04</v>
      </c>
      <c r="N1010" s="30">
        <v>1394.04</v>
      </c>
      <c r="O1010" s="30">
        <v>0.0</v>
      </c>
      <c r="P1010" s="30">
        <v>0.0</v>
      </c>
      <c r="Q1010" s="30">
        <v>94.73300000000003</v>
      </c>
    </row>
    <row r="1011">
      <c r="A1011" s="47">
        <v>1.1229017509E10</v>
      </c>
      <c r="B1011" s="48">
        <v>46155.0378587963</v>
      </c>
      <c r="C1011" s="30">
        <v>3.844341592E9</v>
      </c>
      <c r="D1011" s="47" t="s">
        <v>1509</v>
      </c>
      <c r="E1011" s="47">
        <v>3.182550737616E12</v>
      </c>
      <c r="F1011" s="47" t="s">
        <v>1523</v>
      </c>
      <c r="G1011" s="47" t="s">
        <v>1570</v>
      </c>
      <c r="H1011" s="30">
        <v>1.0</v>
      </c>
      <c r="I1011" s="30">
        <v>1880.0</v>
      </c>
      <c r="J1011" s="30">
        <v>1880.0</v>
      </c>
      <c r="K1011" s="30">
        <v>4.32</v>
      </c>
      <c r="L1011" s="30">
        <v>81.21600000000001</v>
      </c>
      <c r="M1011" s="30">
        <v>1535.52</v>
      </c>
      <c r="N1011" s="30">
        <v>1535.52</v>
      </c>
      <c r="O1011" s="30">
        <v>0.0</v>
      </c>
      <c r="P1011" s="30">
        <v>0.0</v>
      </c>
      <c r="Q1011" s="30">
        <v>263.264</v>
      </c>
    </row>
    <row r="1012">
      <c r="A1012" s="47">
        <v>1.1229877949E10</v>
      </c>
      <c r="B1012" s="48">
        <v>46155.53074074074</v>
      </c>
      <c r="C1012" s="30">
        <v>3.845256664E9</v>
      </c>
      <c r="D1012" s="47" t="s">
        <v>1509</v>
      </c>
      <c r="E1012" s="47" t="s">
        <v>350</v>
      </c>
      <c r="F1012" s="47" t="s">
        <v>1523</v>
      </c>
      <c r="G1012" s="47" t="s">
        <v>1580</v>
      </c>
      <c r="H1012" s="30">
        <v>1.0</v>
      </c>
      <c r="I1012" s="30">
        <v>4341.0</v>
      </c>
      <c r="J1012" s="30">
        <v>4341.0</v>
      </c>
      <c r="K1012" s="30">
        <v>8.82</v>
      </c>
      <c r="L1012" s="30">
        <v>382.87620000000004</v>
      </c>
      <c r="M1012" s="30">
        <v>3475.0</v>
      </c>
      <c r="N1012" s="30">
        <v>3475.0</v>
      </c>
      <c r="O1012" s="30">
        <v>0.0</v>
      </c>
      <c r="P1012" s="30">
        <v>0.0</v>
      </c>
      <c r="Q1012" s="30">
        <v>483.12379999999996</v>
      </c>
    </row>
    <row r="1013">
      <c r="A1013" s="47">
        <v>1.1227965905E10</v>
      </c>
      <c r="B1013" s="48">
        <v>46154.8247337963</v>
      </c>
      <c r="C1013" s="30">
        <v>3.843492656E9</v>
      </c>
      <c r="D1013" s="47" t="s">
        <v>1509</v>
      </c>
      <c r="E1013" s="47">
        <v>3.182550737616E12</v>
      </c>
      <c r="F1013" s="47" t="s">
        <v>1523</v>
      </c>
      <c r="G1013" s="47" t="s">
        <v>1577</v>
      </c>
      <c r="H1013" s="30">
        <v>2.0</v>
      </c>
      <c r="I1013" s="30">
        <v>1852.99</v>
      </c>
      <c r="J1013" s="30">
        <v>3705.98</v>
      </c>
      <c r="K1013" s="30">
        <v>4.32</v>
      </c>
      <c r="L1013" s="30">
        <v>160.09833600000002</v>
      </c>
      <c r="M1013" s="30">
        <v>1535.52</v>
      </c>
      <c r="N1013" s="30">
        <v>3071.04</v>
      </c>
      <c r="O1013" s="30">
        <v>0.0</v>
      </c>
      <c r="P1013" s="30">
        <v>0.0</v>
      </c>
      <c r="Q1013" s="30">
        <v>474.84166400000004</v>
      </c>
    </row>
    <row r="1014">
      <c r="A1014" s="47">
        <v>1.1228748626E10</v>
      </c>
      <c r="B1014" s="48">
        <v>46154.98578703704</v>
      </c>
      <c r="C1014" s="30">
        <v>3.844100706E9</v>
      </c>
      <c r="D1014" s="47" t="s">
        <v>1509</v>
      </c>
      <c r="E1014" s="47">
        <v>3.182550894128E12</v>
      </c>
      <c r="F1014" s="47" t="s">
        <v>1523</v>
      </c>
      <c r="G1014" s="47" t="s">
        <v>1557</v>
      </c>
      <c r="H1014" s="30">
        <v>1.0</v>
      </c>
      <c r="I1014" s="30">
        <v>1595.0</v>
      </c>
      <c r="J1014" s="30">
        <v>1595.0</v>
      </c>
      <c r="K1014" s="30">
        <v>6.66</v>
      </c>
      <c r="L1014" s="30">
        <v>106.227</v>
      </c>
      <c r="M1014" s="30">
        <v>1394.04</v>
      </c>
      <c r="N1014" s="30">
        <v>1394.04</v>
      </c>
      <c r="O1014" s="30">
        <v>0.0</v>
      </c>
      <c r="P1014" s="30">
        <v>0.0</v>
      </c>
      <c r="Q1014" s="30">
        <v>94.73300000000003</v>
      </c>
    </row>
    <row r="1015">
      <c r="A1015" s="47">
        <v>1.1228870923E10</v>
      </c>
      <c r="B1015" s="48">
        <v>46155.009618055556</v>
      </c>
      <c r="C1015" s="30">
        <v>3.84420603E9</v>
      </c>
      <c r="D1015" s="47" t="s">
        <v>1509</v>
      </c>
      <c r="E1015" s="47">
        <v>3.182550737616E12</v>
      </c>
      <c r="F1015" s="47" t="s">
        <v>1523</v>
      </c>
      <c r="G1015" s="47" t="s">
        <v>1570</v>
      </c>
      <c r="H1015" s="30">
        <v>1.0</v>
      </c>
      <c r="I1015" s="30">
        <v>1880.0</v>
      </c>
      <c r="J1015" s="30">
        <v>1880.0</v>
      </c>
      <c r="K1015" s="30">
        <v>4.32</v>
      </c>
      <c r="L1015" s="30">
        <v>81.21600000000001</v>
      </c>
      <c r="M1015" s="30">
        <v>1535.52</v>
      </c>
      <c r="N1015" s="30">
        <v>1535.52</v>
      </c>
      <c r="O1015" s="30">
        <v>0.0</v>
      </c>
      <c r="P1015" s="30">
        <v>0.0</v>
      </c>
      <c r="Q1015" s="30">
        <v>263.264</v>
      </c>
    </row>
    <row r="1016">
      <c r="A1016" s="47">
        <v>1.1226666909E10</v>
      </c>
      <c r="B1016" s="48">
        <v>46154.53165509259</v>
      </c>
      <c r="C1016" s="30">
        <v>3.842336879E9</v>
      </c>
      <c r="D1016" s="47" t="s">
        <v>1509</v>
      </c>
      <c r="E1016" s="47" t="s">
        <v>537</v>
      </c>
      <c r="F1016" s="47" t="s">
        <v>1523</v>
      </c>
      <c r="G1016" s="47" t="s">
        <v>1575</v>
      </c>
      <c r="H1016" s="30">
        <v>1.0</v>
      </c>
      <c r="I1016" s="30">
        <v>1712.0</v>
      </c>
      <c r="J1016" s="30">
        <v>1712.0</v>
      </c>
      <c r="K1016" s="30">
        <v>11.25</v>
      </c>
      <c r="L1016" s="30">
        <v>192.6</v>
      </c>
      <c r="M1016" s="30">
        <v>1053.0</v>
      </c>
      <c r="N1016" s="30">
        <v>1053.0</v>
      </c>
      <c r="O1016" s="30">
        <v>0.0</v>
      </c>
      <c r="P1016" s="30">
        <v>0.0</v>
      </c>
      <c r="Q1016" s="30">
        <v>466.4</v>
      </c>
    </row>
    <row r="1017">
      <c r="A1017" s="47">
        <v>1.1228568117E10</v>
      </c>
      <c r="B1017" s="48">
        <v>46154.94954861111</v>
      </c>
      <c r="C1017" s="30">
        <v>3.843949695E9</v>
      </c>
      <c r="D1017" s="47" t="s">
        <v>1509</v>
      </c>
      <c r="E1017" s="47" t="s">
        <v>275</v>
      </c>
      <c r="F1017" s="47" t="s">
        <v>1523</v>
      </c>
      <c r="G1017" s="47" t="s">
        <v>1586</v>
      </c>
      <c r="H1017" s="30">
        <v>1.0</v>
      </c>
      <c r="I1017" s="30">
        <v>699.0</v>
      </c>
      <c r="J1017" s="30">
        <v>699.0</v>
      </c>
      <c r="K1017" s="30">
        <v>11.25</v>
      </c>
      <c r="L1017" s="30">
        <v>78.6375</v>
      </c>
      <c r="M1017" s="30">
        <v>515.0</v>
      </c>
      <c r="N1017" s="30">
        <v>515.0</v>
      </c>
      <c r="O1017" s="30">
        <v>0.0</v>
      </c>
      <c r="P1017" s="30">
        <v>0.0</v>
      </c>
      <c r="Q1017" s="30">
        <v>105.3625</v>
      </c>
    </row>
    <row r="1018">
      <c r="A1018" s="47">
        <v>1.1228568117E10</v>
      </c>
      <c r="B1018" s="48">
        <v>46154.94954861111</v>
      </c>
      <c r="C1018" s="30">
        <v>3.843949695E9</v>
      </c>
      <c r="D1018" s="47" t="s">
        <v>1509</v>
      </c>
      <c r="E1018" s="47">
        <v>9.003579311295E12</v>
      </c>
      <c r="F1018" s="47" t="s">
        <v>1523</v>
      </c>
      <c r="G1018" s="47" t="s">
        <v>1587</v>
      </c>
      <c r="H1018" s="30">
        <v>1.0</v>
      </c>
      <c r="I1018" s="30">
        <v>750.0</v>
      </c>
      <c r="J1018" s="30">
        <v>750.0</v>
      </c>
      <c r="K1018" s="30">
        <v>11.25</v>
      </c>
      <c r="L1018" s="30">
        <v>84.375</v>
      </c>
      <c r="M1018" s="30">
        <v>485.36</v>
      </c>
      <c r="N1018" s="30">
        <v>485.36</v>
      </c>
      <c r="O1018" s="30">
        <v>0.0</v>
      </c>
      <c r="P1018" s="30">
        <v>0.0</v>
      </c>
      <c r="Q1018" s="30">
        <v>180.265</v>
      </c>
    </row>
    <row r="1019">
      <c r="A1019" s="47">
        <v>1.1228568117E10</v>
      </c>
      <c r="B1019" s="48">
        <v>46154.94954861111</v>
      </c>
      <c r="C1019" s="30">
        <v>3.843949695E9</v>
      </c>
      <c r="D1019" s="47" t="s">
        <v>1509</v>
      </c>
      <c r="E1019" s="47">
        <v>3.182550737616E12</v>
      </c>
      <c r="F1019" s="47" t="s">
        <v>1523</v>
      </c>
      <c r="G1019" s="47" t="s">
        <v>1570</v>
      </c>
      <c r="H1019" s="30">
        <v>1.0</v>
      </c>
      <c r="I1019" s="30">
        <v>1852.99</v>
      </c>
      <c r="J1019" s="30">
        <v>1852.99</v>
      </c>
      <c r="K1019" s="30">
        <v>4.32</v>
      </c>
      <c r="L1019" s="30">
        <v>80.04916800000001</v>
      </c>
      <c r="M1019" s="30">
        <v>1535.52</v>
      </c>
      <c r="N1019" s="30">
        <v>1535.52</v>
      </c>
      <c r="O1019" s="30">
        <v>0.0</v>
      </c>
      <c r="P1019" s="30">
        <v>0.0</v>
      </c>
      <c r="Q1019" s="30">
        <v>237.42083200000002</v>
      </c>
    </row>
    <row r="1020">
      <c r="A1020" s="47">
        <v>1.1230284338E10</v>
      </c>
      <c r="B1020" s="48">
        <v>46155.63185185185</v>
      </c>
      <c r="C1020" s="30">
        <v>3.845646359E9</v>
      </c>
      <c r="D1020" s="47" t="s">
        <v>1509</v>
      </c>
      <c r="E1020" s="47">
        <v>3.182550894128E12</v>
      </c>
      <c r="F1020" s="47" t="s">
        <v>1523</v>
      </c>
      <c r="G1020" s="47" t="s">
        <v>1557</v>
      </c>
      <c r="H1020" s="30">
        <v>1.0</v>
      </c>
      <c r="I1020" s="30">
        <v>1595.0</v>
      </c>
      <c r="J1020" s="30">
        <v>1595.0</v>
      </c>
      <c r="K1020" s="30">
        <v>6.66</v>
      </c>
      <c r="L1020" s="30">
        <v>106.227</v>
      </c>
      <c r="M1020" s="30">
        <v>1394.04</v>
      </c>
      <c r="N1020" s="30">
        <v>1394.04</v>
      </c>
      <c r="O1020" s="30">
        <v>0.0</v>
      </c>
      <c r="P1020" s="30">
        <v>0.0</v>
      </c>
      <c r="Q1020" s="30">
        <v>94.73300000000003</v>
      </c>
    </row>
    <row r="1021">
      <c r="A1021" s="47">
        <v>1.1230049229E10</v>
      </c>
      <c r="B1021" s="48">
        <v>46155.58128472222</v>
      </c>
      <c r="C1021" s="30">
        <v>3.845435647E9</v>
      </c>
      <c r="D1021" s="47" t="s">
        <v>1509</v>
      </c>
      <c r="E1021" s="47">
        <v>3.182550737616E12</v>
      </c>
      <c r="F1021" s="47" t="s">
        <v>1523</v>
      </c>
      <c r="G1021" s="47" t="s">
        <v>1570</v>
      </c>
      <c r="H1021" s="30">
        <v>1.0</v>
      </c>
      <c r="I1021" s="30">
        <v>1880.0</v>
      </c>
      <c r="J1021" s="30">
        <v>1880.0</v>
      </c>
      <c r="K1021" s="30">
        <v>4.32</v>
      </c>
      <c r="L1021" s="30">
        <v>81.21600000000001</v>
      </c>
      <c r="M1021" s="30">
        <v>1535.52</v>
      </c>
      <c r="N1021" s="30">
        <v>1535.52</v>
      </c>
      <c r="O1021" s="30">
        <v>0.0</v>
      </c>
      <c r="P1021" s="30">
        <v>0.0</v>
      </c>
      <c r="Q1021" s="30">
        <v>263.264</v>
      </c>
    </row>
    <row r="1022">
      <c r="A1022" s="47">
        <v>1.122843437E10</v>
      </c>
      <c r="B1022" s="48">
        <v>46154.922314814816</v>
      </c>
      <c r="C1022" s="30">
        <v>3.843849245E9</v>
      </c>
      <c r="D1022" s="47" t="s">
        <v>1509</v>
      </c>
      <c r="E1022" s="47">
        <v>3.182550737616E12</v>
      </c>
      <c r="F1022" s="47" t="s">
        <v>1523</v>
      </c>
      <c r="G1022" s="47" t="s">
        <v>1570</v>
      </c>
      <c r="H1022" s="30">
        <v>1.0</v>
      </c>
      <c r="I1022" s="30">
        <v>1852.99</v>
      </c>
      <c r="J1022" s="30">
        <v>1852.99</v>
      </c>
      <c r="K1022" s="30">
        <v>4.32</v>
      </c>
      <c r="L1022" s="30">
        <v>80.04916800000001</v>
      </c>
      <c r="M1022" s="30">
        <v>1535.52</v>
      </c>
      <c r="N1022" s="30">
        <v>1535.52</v>
      </c>
      <c r="O1022" s="30">
        <v>0.0</v>
      </c>
      <c r="P1022" s="30">
        <v>0.0</v>
      </c>
      <c r="Q1022" s="30">
        <v>237.42083200000002</v>
      </c>
    </row>
    <row r="1023">
      <c r="A1023" s="47">
        <v>1.1228458969E10</v>
      </c>
      <c r="B1023" s="48">
        <v>46154.92748842593</v>
      </c>
      <c r="C1023" s="30">
        <v>3.843867441E9</v>
      </c>
      <c r="D1023" s="47" t="s">
        <v>1509</v>
      </c>
      <c r="E1023" s="47">
        <v>3.182550737616E12</v>
      </c>
      <c r="F1023" s="47" t="s">
        <v>1523</v>
      </c>
      <c r="G1023" s="47" t="s">
        <v>1570</v>
      </c>
      <c r="H1023" s="30">
        <v>1.0</v>
      </c>
      <c r="I1023" s="30">
        <v>1852.99</v>
      </c>
      <c r="J1023" s="30">
        <v>1852.99</v>
      </c>
      <c r="K1023" s="30">
        <v>4.32</v>
      </c>
      <c r="L1023" s="30">
        <v>80.04916800000001</v>
      </c>
      <c r="M1023" s="30">
        <v>1535.52</v>
      </c>
      <c r="N1023" s="30">
        <v>1535.52</v>
      </c>
      <c r="O1023" s="30">
        <v>0.0</v>
      </c>
      <c r="P1023" s="30">
        <v>0.0</v>
      </c>
      <c r="Q1023" s="30">
        <v>237.42083200000002</v>
      </c>
    </row>
    <row r="1024">
      <c r="A1024" s="47">
        <v>1.1229182051E10</v>
      </c>
      <c r="B1024" s="48">
        <v>46155.07125</v>
      </c>
      <c r="C1024" s="30">
        <v>3.84450522E9</v>
      </c>
      <c r="D1024" s="47" t="s">
        <v>1509</v>
      </c>
      <c r="E1024" s="47">
        <v>3.182550737616E12</v>
      </c>
      <c r="F1024" s="47" t="s">
        <v>1523</v>
      </c>
      <c r="G1024" s="47" t="s">
        <v>1570</v>
      </c>
      <c r="H1024" s="30">
        <v>1.0</v>
      </c>
      <c r="I1024" s="30">
        <v>1880.0</v>
      </c>
      <c r="J1024" s="30">
        <v>1880.0</v>
      </c>
      <c r="K1024" s="30">
        <v>4.32</v>
      </c>
      <c r="L1024" s="30">
        <v>81.21600000000001</v>
      </c>
      <c r="M1024" s="30">
        <v>1535.52</v>
      </c>
      <c r="N1024" s="30">
        <v>1535.52</v>
      </c>
      <c r="O1024" s="30">
        <v>0.0</v>
      </c>
      <c r="P1024" s="30">
        <v>0.0</v>
      </c>
      <c r="Q1024" s="30">
        <v>263.264</v>
      </c>
    </row>
    <row r="1025">
      <c r="A1025" s="47">
        <v>1.1226285446E10</v>
      </c>
      <c r="B1025" s="48">
        <v>46154.153020833335</v>
      </c>
      <c r="C1025" s="30">
        <v>3.841902676E9</v>
      </c>
      <c r="D1025" s="47" t="s">
        <v>1509</v>
      </c>
      <c r="E1025" s="47">
        <v>3.182550737616E12</v>
      </c>
      <c r="F1025" s="47" t="s">
        <v>1523</v>
      </c>
      <c r="G1025" s="47" t="s">
        <v>1577</v>
      </c>
      <c r="H1025" s="30">
        <v>1.0</v>
      </c>
      <c r="I1025" s="30">
        <v>2034.0</v>
      </c>
      <c r="J1025" s="30">
        <v>2034.0</v>
      </c>
      <c r="K1025" s="30">
        <v>12.5</v>
      </c>
      <c r="L1025" s="30">
        <v>254.25</v>
      </c>
      <c r="M1025" s="30">
        <v>1535.52</v>
      </c>
      <c r="N1025" s="30">
        <v>1535.52</v>
      </c>
      <c r="O1025" s="30">
        <v>0.0</v>
      </c>
      <c r="P1025" s="30">
        <v>0.0</v>
      </c>
      <c r="Q1025" s="30">
        <v>244.23000000000002</v>
      </c>
    </row>
    <row r="1026">
      <c r="A1026" s="47">
        <v>1.1228662126E10</v>
      </c>
      <c r="B1026" s="48">
        <v>46154.96841435185</v>
      </c>
      <c r="C1026" s="30">
        <v>3.844026966E9</v>
      </c>
      <c r="D1026" s="47" t="s">
        <v>1509</v>
      </c>
      <c r="E1026" s="47">
        <v>3.182550737616E12</v>
      </c>
      <c r="F1026" s="47" t="s">
        <v>1523</v>
      </c>
      <c r="G1026" s="47" t="s">
        <v>1570</v>
      </c>
      <c r="H1026" s="30">
        <v>1.0</v>
      </c>
      <c r="I1026" s="30">
        <v>1852.99</v>
      </c>
      <c r="J1026" s="30">
        <v>1852.99</v>
      </c>
      <c r="K1026" s="30">
        <v>4.32</v>
      </c>
      <c r="L1026" s="30">
        <v>80.04916800000001</v>
      </c>
      <c r="M1026" s="30">
        <v>1535.52</v>
      </c>
      <c r="N1026" s="30">
        <v>1535.52</v>
      </c>
      <c r="O1026" s="30">
        <v>0.0</v>
      </c>
      <c r="P1026" s="30">
        <v>0.0</v>
      </c>
      <c r="Q1026" s="30">
        <v>237.42083200000002</v>
      </c>
    </row>
    <row r="1027">
      <c r="A1027" s="47">
        <v>1.1228402947E10</v>
      </c>
      <c r="B1027" s="48">
        <v>46154.9158912037</v>
      </c>
      <c r="C1027" s="30">
        <v>3.843827905E9</v>
      </c>
      <c r="D1027" s="47" t="s">
        <v>1509</v>
      </c>
      <c r="E1027" s="47">
        <v>3.18255078458E12</v>
      </c>
      <c r="F1027" s="47" t="s">
        <v>1523</v>
      </c>
      <c r="G1027" s="47" t="s">
        <v>1536</v>
      </c>
      <c r="H1027" s="30">
        <v>1.0</v>
      </c>
      <c r="I1027" s="30">
        <v>1950.0</v>
      </c>
      <c r="J1027" s="30">
        <v>1950.0</v>
      </c>
      <c r="K1027" s="30">
        <v>6.3</v>
      </c>
      <c r="L1027" s="30">
        <v>122.85</v>
      </c>
      <c r="M1027" s="30">
        <v>1604.0</v>
      </c>
      <c r="N1027" s="30">
        <v>1604.0</v>
      </c>
      <c r="O1027" s="30">
        <v>0.0</v>
      </c>
      <c r="P1027" s="30">
        <v>0.0</v>
      </c>
      <c r="Q1027" s="30">
        <v>223.15</v>
      </c>
    </row>
    <row r="1028">
      <c r="A1028" s="47">
        <v>1.1227301381E10</v>
      </c>
      <c r="B1028" s="48">
        <v>46154.68262731482</v>
      </c>
      <c r="C1028" s="30">
        <v>3.842909645E9</v>
      </c>
      <c r="D1028" s="47" t="s">
        <v>1509</v>
      </c>
      <c r="E1028" s="47">
        <v>3.182550737616E12</v>
      </c>
      <c r="F1028" s="47" t="s">
        <v>1523</v>
      </c>
      <c r="G1028" s="47" t="s">
        <v>1577</v>
      </c>
      <c r="H1028" s="30">
        <v>1.0</v>
      </c>
      <c r="I1028" s="30">
        <v>1963.0</v>
      </c>
      <c r="J1028" s="30">
        <v>1963.0</v>
      </c>
      <c r="K1028" s="30">
        <v>6.3</v>
      </c>
      <c r="L1028" s="30">
        <v>123.669</v>
      </c>
      <c r="M1028" s="30">
        <v>1535.52</v>
      </c>
      <c r="N1028" s="30">
        <v>1535.52</v>
      </c>
      <c r="O1028" s="30">
        <v>0.0</v>
      </c>
      <c r="P1028" s="30">
        <v>0.0</v>
      </c>
      <c r="Q1028" s="30">
        <v>303.81100000000004</v>
      </c>
    </row>
    <row r="1029">
      <c r="A1029" s="47">
        <v>1.1230158416E10</v>
      </c>
      <c r="B1029" s="48">
        <v>46155.60658564815</v>
      </c>
      <c r="C1029" s="30">
        <v>3.845540132E9</v>
      </c>
      <c r="D1029" s="47" t="s">
        <v>1509</v>
      </c>
      <c r="E1029" s="47">
        <v>3.182550721738E12</v>
      </c>
      <c r="F1029" s="47" t="s">
        <v>1523</v>
      </c>
      <c r="G1029" s="47" t="s">
        <v>1526</v>
      </c>
      <c r="H1029" s="30">
        <v>1.0</v>
      </c>
      <c r="I1029" s="30">
        <v>1471.0</v>
      </c>
      <c r="J1029" s="30">
        <v>1471.0</v>
      </c>
      <c r="K1029" s="30">
        <v>6.84</v>
      </c>
      <c r="L1029" s="30">
        <v>100.6164</v>
      </c>
      <c r="M1029" s="30">
        <v>1210.0</v>
      </c>
      <c r="N1029" s="30">
        <v>1210.0</v>
      </c>
      <c r="O1029" s="30">
        <v>0.0</v>
      </c>
      <c r="P1029" s="30">
        <v>0.0</v>
      </c>
      <c r="Q1029" s="30">
        <v>160.3836</v>
      </c>
    </row>
    <row r="1030">
      <c r="A1030" s="47">
        <v>1.1226300654E10</v>
      </c>
      <c r="B1030" s="48">
        <v>46154.15844907407</v>
      </c>
      <c r="C1030" s="30">
        <v>3.841919364E9</v>
      </c>
      <c r="D1030" s="47" t="s">
        <v>1509</v>
      </c>
      <c r="E1030" s="47">
        <v>3.182550737616E12</v>
      </c>
      <c r="F1030" s="47" t="s">
        <v>1523</v>
      </c>
      <c r="G1030" s="47" t="s">
        <v>1577</v>
      </c>
      <c r="H1030" s="30">
        <v>1.0</v>
      </c>
      <c r="I1030" s="30">
        <v>2034.0</v>
      </c>
      <c r="J1030" s="30">
        <v>2034.0</v>
      </c>
      <c r="K1030" s="30">
        <v>12.5</v>
      </c>
      <c r="L1030" s="30">
        <v>254.25</v>
      </c>
      <c r="M1030" s="30">
        <v>1535.52</v>
      </c>
      <c r="N1030" s="30">
        <v>1535.52</v>
      </c>
      <c r="O1030" s="30">
        <v>0.0</v>
      </c>
      <c r="P1030" s="30">
        <v>0.0</v>
      </c>
      <c r="Q1030" s="30">
        <v>244.23000000000002</v>
      </c>
    </row>
    <row r="1031">
      <c r="A1031" s="47">
        <v>1.1228440851E10</v>
      </c>
      <c r="B1031" s="48">
        <v>46154.92366898148</v>
      </c>
      <c r="C1031" s="30">
        <v>3.843857619E9</v>
      </c>
      <c r="D1031" s="47" t="s">
        <v>1509</v>
      </c>
      <c r="E1031" s="47">
        <v>7.613033560033E12</v>
      </c>
      <c r="F1031" s="47">
        <v>0.0</v>
      </c>
      <c r="G1031" s="47" t="s">
        <v>1539</v>
      </c>
      <c r="H1031" s="30">
        <v>1.0</v>
      </c>
      <c r="I1031" s="30">
        <v>1261.99</v>
      </c>
      <c r="J1031" s="30">
        <v>1261.99</v>
      </c>
      <c r="K1031" s="30">
        <v>3.6</v>
      </c>
      <c r="L1031" s="30">
        <v>45.431639999999994</v>
      </c>
      <c r="M1031" s="30">
        <v>1165.0</v>
      </c>
      <c r="N1031" s="30">
        <v>1165.0</v>
      </c>
      <c r="O1031" s="30">
        <v>0.0</v>
      </c>
      <c r="P1031" s="30">
        <v>0.0</v>
      </c>
      <c r="Q1031" s="30">
        <v>51.558360000000015</v>
      </c>
    </row>
    <row r="1032">
      <c r="A1032" s="47">
        <v>1.1229275921E10</v>
      </c>
      <c r="B1032" s="48">
        <v>46155.090833333335</v>
      </c>
      <c r="C1032" s="30">
        <v>3.844602684E9</v>
      </c>
      <c r="D1032" s="47" t="s">
        <v>1509</v>
      </c>
      <c r="E1032" s="47" t="s">
        <v>353</v>
      </c>
      <c r="F1032" s="47" t="s">
        <v>1523</v>
      </c>
      <c r="G1032" s="47" t="s">
        <v>1588</v>
      </c>
      <c r="H1032" s="30">
        <v>1.0</v>
      </c>
      <c r="I1032" s="30">
        <v>4089.0</v>
      </c>
      <c r="J1032" s="30">
        <v>4089.0</v>
      </c>
      <c r="K1032" s="30">
        <v>5.94</v>
      </c>
      <c r="L1032" s="30">
        <v>242.8866</v>
      </c>
      <c r="M1032" s="30">
        <v>3475.0</v>
      </c>
      <c r="N1032" s="30">
        <v>3475.0</v>
      </c>
      <c r="O1032" s="30">
        <v>0.0</v>
      </c>
      <c r="P1032" s="30">
        <v>0.0</v>
      </c>
      <c r="Q1032" s="30">
        <v>371.1134</v>
      </c>
    </row>
    <row r="1033">
      <c r="A1033" s="47">
        <v>1.1228756328E10</v>
      </c>
      <c r="B1033" s="48">
        <v>46154.98721064815</v>
      </c>
      <c r="C1033" s="30">
        <v>3.844106457E9</v>
      </c>
      <c r="D1033" s="47" t="s">
        <v>1509</v>
      </c>
      <c r="E1033" s="47">
        <v>3.182550737616E12</v>
      </c>
      <c r="F1033" s="47" t="s">
        <v>1523</v>
      </c>
      <c r="G1033" s="47" t="s">
        <v>1570</v>
      </c>
      <c r="H1033" s="30">
        <v>1.0</v>
      </c>
      <c r="I1033" s="30">
        <v>1852.99</v>
      </c>
      <c r="J1033" s="30">
        <v>1852.99</v>
      </c>
      <c r="K1033" s="30">
        <v>4.32</v>
      </c>
      <c r="L1033" s="30">
        <v>80.04916800000001</v>
      </c>
      <c r="M1033" s="30">
        <v>1535.52</v>
      </c>
      <c r="N1033" s="30">
        <v>1535.52</v>
      </c>
      <c r="O1033" s="30">
        <v>0.0</v>
      </c>
      <c r="P1033" s="30">
        <v>0.0</v>
      </c>
      <c r="Q1033" s="30">
        <v>237.42083200000002</v>
      </c>
    </row>
    <row r="1034">
      <c r="A1034" s="47">
        <v>1.1228068907E10</v>
      </c>
      <c r="B1034" s="48">
        <v>46154.846875</v>
      </c>
      <c r="C1034" s="30">
        <v>3.843574169E9</v>
      </c>
      <c r="D1034" s="47" t="s">
        <v>1509</v>
      </c>
      <c r="E1034" s="47" t="s">
        <v>350</v>
      </c>
      <c r="F1034" s="47" t="s">
        <v>1523</v>
      </c>
      <c r="G1034" s="47" t="s">
        <v>1580</v>
      </c>
      <c r="H1034" s="30">
        <v>1.0</v>
      </c>
      <c r="I1034" s="30">
        <v>4000.0</v>
      </c>
      <c r="J1034" s="30">
        <v>4000.0</v>
      </c>
      <c r="K1034" s="30">
        <v>7.83</v>
      </c>
      <c r="L1034" s="30">
        <v>313.2</v>
      </c>
      <c r="M1034" s="30">
        <v>3475.0</v>
      </c>
      <c r="N1034" s="30">
        <v>3475.0</v>
      </c>
      <c r="O1034" s="30">
        <v>0.0</v>
      </c>
      <c r="P1034" s="30">
        <v>0.0</v>
      </c>
      <c r="Q1034" s="30">
        <v>211.8</v>
      </c>
    </row>
    <row r="1035">
      <c r="A1035" s="47">
        <v>1.1227812228E10</v>
      </c>
      <c r="B1035" s="48">
        <v>46154.79146990741</v>
      </c>
      <c r="C1035" s="30">
        <v>3.843358952E9</v>
      </c>
      <c r="D1035" s="47" t="s">
        <v>1509</v>
      </c>
      <c r="E1035" s="47">
        <v>3.182550737616E12</v>
      </c>
      <c r="F1035" s="47" t="s">
        <v>1523</v>
      </c>
      <c r="G1035" s="47" t="s">
        <v>1577</v>
      </c>
      <c r="H1035" s="30">
        <v>1.0</v>
      </c>
      <c r="I1035" s="30">
        <v>1852.99</v>
      </c>
      <c r="J1035" s="30">
        <v>1852.99</v>
      </c>
      <c r="K1035" s="30">
        <v>4.32</v>
      </c>
      <c r="L1035" s="30">
        <v>80.04916800000001</v>
      </c>
      <c r="M1035" s="30">
        <v>1535.52</v>
      </c>
      <c r="N1035" s="30">
        <v>1535.52</v>
      </c>
      <c r="O1035" s="30">
        <v>0.0</v>
      </c>
      <c r="P1035" s="30">
        <v>0.0</v>
      </c>
      <c r="Q1035" s="30">
        <v>237.42083200000002</v>
      </c>
    </row>
    <row r="1036">
      <c r="A1036" s="47">
        <v>1.122918485E10</v>
      </c>
      <c r="B1036" s="48">
        <v>46155.07184027778</v>
      </c>
      <c r="C1036" s="30">
        <v>3.844509368E9</v>
      </c>
      <c r="D1036" s="47" t="s">
        <v>1509</v>
      </c>
      <c r="E1036" s="47">
        <v>3.182550737616E12</v>
      </c>
      <c r="F1036" s="47" t="s">
        <v>1523</v>
      </c>
      <c r="G1036" s="47" t="s">
        <v>1570</v>
      </c>
      <c r="H1036" s="30">
        <v>1.0</v>
      </c>
      <c r="I1036" s="30">
        <v>1880.0</v>
      </c>
      <c r="J1036" s="30">
        <v>1880.0</v>
      </c>
      <c r="K1036" s="30">
        <v>4.32</v>
      </c>
      <c r="L1036" s="30">
        <v>81.21600000000001</v>
      </c>
      <c r="M1036" s="30">
        <v>1535.52</v>
      </c>
      <c r="N1036" s="30">
        <v>1535.52</v>
      </c>
      <c r="O1036" s="30">
        <v>0.0</v>
      </c>
      <c r="P1036" s="30">
        <v>0.0</v>
      </c>
      <c r="Q1036" s="30">
        <v>263.264</v>
      </c>
    </row>
    <row r="1037">
      <c r="A1037" s="47">
        <v>1.1228485245E10</v>
      </c>
      <c r="B1037" s="48">
        <v>46154.9325</v>
      </c>
      <c r="C1037" s="30">
        <v>3.843889364E9</v>
      </c>
      <c r="D1037" s="47" t="s">
        <v>1509</v>
      </c>
      <c r="E1037" s="47">
        <v>3.182550737616E12</v>
      </c>
      <c r="F1037" s="47" t="s">
        <v>1523</v>
      </c>
      <c r="G1037" s="47" t="s">
        <v>1570</v>
      </c>
      <c r="H1037" s="30">
        <v>1.0</v>
      </c>
      <c r="I1037" s="30">
        <v>1852.99</v>
      </c>
      <c r="J1037" s="30">
        <v>1852.99</v>
      </c>
      <c r="K1037" s="30">
        <v>4.32</v>
      </c>
      <c r="L1037" s="30">
        <v>80.04916800000001</v>
      </c>
      <c r="M1037" s="30">
        <v>1535.52</v>
      </c>
      <c r="N1037" s="30">
        <v>1535.52</v>
      </c>
      <c r="O1037" s="30">
        <v>0.0</v>
      </c>
      <c r="P1037" s="30">
        <v>0.0</v>
      </c>
      <c r="Q1037" s="30">
        <v>237.42083200000002</v>
      </c>
    </row>
    <row r="1038">
      <c r="A1038" s="47">
        <v>1.1229182778E10</v>
      </c>
      <c r="B1038" s="48">
        <v>46155.07140046296</v>
      </c>
      <c r="C1038" s="30">
        <v>3.844508254E9</v>
      </c>
      <c r="D1038" s="47" t="s">
        <v>1509</v>
      </c>
      <c r="E1038" s="47">
        <v>3.182550721738E12</v>
      </c>
      <c r="F1038" s="47" t="s">
        <v>1523</v>
      </c>
      <c r="G1038" s="47" t="s">
        <v>1526</v>
      </c>
      <c r="H1038" s="30">
        <v>2.0</v>
      </c>
      <c r="I1038" s="30">
        <v>1482.0</v>
      </c>
      <c r="J1038" s="30">
        <v>2964.0</v>
      </c>
      <c r="K1038" s="30">
        <v>6.84</v>
      </c>
      <c r="L1038" s="30">
        <v>202.7376</v>
      </c>
      <c r="M1038" s="30">
        <v>1210.0</v>
      </c>
      <c r="N1038" s="30">
        <v>2420.0</v>
      </c>
      <c r="O1038" s="30">
        <v>0.0</v>
      </c>
      <c r="P1038" s="30">
        <v>0.0</v>
      </c>
      <c r="Q1038" s="30">
        <v>341.2624</v>
      </c>
    </row>
    <row r="1039">
      <c r="A1039" s="47">
        <v>1.1228208225E10</v>
      </c>
      <c r="B1039" s="48">
        <v>46154.87642361111</v>
      </c>
      <c r="C1039" s="30">
        <v>3.843682149E9</v>
      </c>
      <c r="D1039" s="47" t="s">
        <v>1509</v>
      </c>
      <c r="E1039" s="47">
        <v>3.182550737616E12</v>
      </c>
      <c r="F1039" s="47" t="s">
        <v>1523</v>
      </c>
      <c r="G1039" s="47" t="s">
        <v>1570</v>
      </c>
      <c r="H1039" s="30">
        <v>1.0</v>
      </c>
      <c r="I1039" s="30">
        <v>1852.99</v>
      </c>
      <c r="J1039" s="30">
        <v>1852.99</v>
      </c>
      <c r="K1039" s="30">
        <v>4.32</v>
      </c>
      <c r="L1039" s="30">
        <v>80.04916800000001</v>
      </c>
      <c r="M1039" s="30">
        <v>1535.52</v>
      </c>
      <c r="N1039" s="30">
        <v>1535.52</v>
      </c>
      <c r="O1039" s="30">
        <v>0.0</v>
      </c>
      <c r="P1039" s="30">
        <v>0.0</v>
      </c>
      <c r="Q1039" s="30">
        <v>237.42083200000002</v>
      </c>
    </row>
    <row r="1040">
      <c r="A1040" s="47">
        <v>1.1228110949E10</v>
      </c>
      <c r="B1040" s="48">
        <v>46154.85616898148</v>
      </c>
      <c r="C1040" s="30">
        <v>3.843607819E9</v>
      </c>
      <c r="D1040" s="47" t="s">
        <v>1509</v>
      </c>
      <c r="E1040" s="47">
        <v>3.182550737593E12</v>
      </c>
      <c r="F1040" s="47" t="s">
        <v>1523</v>
      </c>
      <c r="G1040" s="47" t="s">
        <v>1529</v>
      </c>
      <c r="H1040" s="30">
        <v>1.0</v>
      </c>
      <c r="I1040" s="30">
        <v>1017.0</v>
      </c>
      <c r="J1040" s="30">
        <v>1017.0</v>
      </c>
      <c r="K1040" s="30">
        <v>3.4</v>
      </c>
      <c r="L1040" s="30">
        <v>34.577999999999996</v>
      </c>
      <c r="M1040" s="30">
        <v>832.44</v>
      </c>
      <c r="N1040" s="30">
        <v>832.44</v>
      </c>
      <c r="O1040" s="30">
        <v>0.0</v>
      </c>
      <c r="P1040" s="30">
        <v>0.0</v>
      </c>
      <c r="Q1040" s="30">
        <v>149.98199999999994</v>
      </c>
    </row>
    <row r="1041">
      <c r="A1041" s="47">
        <v>1.1226680743E10</v>
      </c>
      <c r="B1041" s="48">
        <v>46154.53681712963</v>
      </c>
      <c r="C1041" s="30">
        <v>3.842347532E9</v>
      </c>
      <c r="D1041" s="47" t="s">
        <v>1509</v>
      </c>
      <c r="E1041" s="47">
        <v>3.182550737593E12</v>
      </c>
      <c r="F1041" s="47" t="s">
        <v>1523</v>
      </c>
      <c r="G1041" s="47" t="s">
        <v>1581</v>
      </c>
      <c r="H1041" s="30">
        <v>1.0</v>
      </c>
      <c r="I1041" s="30">
        <v>1109.0</v>
      </c>
      <c r="J1041" s="30">
        <v>1109.0</v>
      </c>
      <c r="K1041" s="30">
        <v>5.85</v>
      </c>
      <c r="L1041" s="30">
        <v>64.8765</v>
      </c>
      <c r="M1041" s="30">
        <v>832.44</v>
      </c>
      <c r="N1041" s="30">
        <v>832.44</v>
      </c>
      <c r="O1041" s="30">
        <v>0.0</v>
      </c>
      <c r="P1041" s="30">
        <v>0.0</v>
      </c>
      <c r="Q1041" s="30">
        <v>211.68349999999995</v>
      </c>
    </row>
    <row r="1042">
      <c r="A1042" s="47">
        <v>1.1227044042E10</v>
      </c>
      <c r="B1042" s="48">
        <v>46154.6306712963</v>
      </c>
      <c r="C1042" s="30">
        <v>3.842696711E9</v>
      </c>
      <c r="D1042" s="47" t="s">
        <v>1509</v>
      </c>
      <c r="E1042" s="47">
        <v>3.182550737616E12</v>
      </c>
      <c r="F1042" s="47" t="s">
        <v>1523</v>
      </c>
      <c r="G1042" s="47" t="s">
        <v>1577</v>
      </c>
      <c r="H1042" s="30">
        <v>1.0</v>
      </c>
      <c r="I1042" s="30">
        <v>1963.0</v>
      </c>
      <c r="J1042" s="30">
        <v>1963.0</v>
      </c>
      <c r="K1042" s="30">
        <v>6.3</v>
      </c>
      <c r="L1042" s="30">
        <v>123.669</v>
      </c>
      <c r="M1042" s="30">
        <v>1535.52</v>
      </c>
      <c r="N1042" s="30">
        <v>1535.52</v>
      </c>
      <c r="O1042" s="30">
        <v>0.0</v>
      </c>
      <c r="P1042" s="30">
        <v>0.0</v>
      </c>
      <c r="Q1042" s="30">
        <v>303.81100000000004</v>
      </c>
    </row>
    <row r="1043">
      <c r="A1043" s="47">
        <v>1.122902275E10</v>
      </c>
      <c r="B1043" s="48">
        <v>46155.03891203704</v>
      </c>
      <c r="C1043" s="30">
        <v>3.844346936E9</v>
      </c>
      <c r="D1043" s="47" t="s">
        <v>1509</v>
      </c>
      <c r="E1043" s="47">
        <v>3.182550737616E12</v>
      </c>
      <c r="F1043" s="47" t="s">
        <v>1523</v>
      </c>
      <c r="G1043" s="47" t="s">
        <v>1570</v>
      </c>
      <c r="H1043" s="30">
        <v>1.0</v>
      </c>
      <c r="I1043" s="30">
        <v>1880.0</v>
      </c>
      <c r="J1043" s="30">
        <v>1880.0</v>
      </c>
      <c r="K1043" s="30">
        <v>4.32</v>
      </c>
      <c r="L1043" s="30">
        <v>81.21600000000001</v>
      </c>
      <c r="M1043" s="30">
        <v>1535.52</v>
      </c>
      <c r="N1043" s="30">
        <v>1535.52</v>
      </c>
      <c r="O1043" s="30">
        <v>0.0</v>
      </c>
      <c r="P1043" s="30">
        <v>0.0</v>
      </c>
      <c r="Q1043" s="30">
        <v>263.264</v>
      </c>
    </row>
    <row r="1044">
      <c r="A1044" s="47">
        <v>1.1227939602E10</v>
      </c>
      <c r="B1044" s="48">
        <v>46154.81929398148</v>
      </c>
      <c r="C1044" s="30">
        <v>3.843468241E9</v>
      </c>
      <c r="D1044" s="47" t="s">
        <v>1509</v>
      </c>
      <c r="E1044" s="47">
        <v>3.182550737616E12</v>
      </c>
      <c r="F1044" s="47" t="s">
        <v>1523</v>
      </c>
      <c r="G1044" s="47" t="s">
        <v>1577</v>
      </c>
      <c r="H1044" s="30">
        <v>1.0</v>
      </c>
      <c r="I1044" s="30">
        <v>1852.99</v>
      </c>
      <c r="J1044" s="30">
        <v>1852.99</v>
      </c>
      <c r="K1044" s="30">
        <v>4.32</v>
      </c>
      <c r="L1044" s="30">
        <v>80.04916800000001</v>
      </c>
      <c r="M1044" s="30">
        <v>1535.52</v>
      </c>
      <c r="N1044" s="30">
        <v>1535.52</v>
      </c>
      <c r="O1044" s="30">
        <v>0.0</v>
      </c>
      <c r="P1044" s="30">
        <v>0.0</v>
      </c>
      <c r="Q1044" s="30">
        <v>237.42083200000002</v>
      </c>
    </row>
    <row r="1045">
      <c r="A1045" s="47">
        <v>1.1227115046E10</v>
      </c>
      <c r="B1045" s="48">
        <v>46154.645104166666</v>
      </c>
      <c r="C1045" s="30">
        <v>3.842752718E9</v>
      </c>
      <c r="D1045" s="47" t="s">
        <v>1509</v>
      </c>
      <c r="E1045" s="47">
        <v>3.182550721738E12</v>
      </c>
      <c r="F1045" s="47" t="s">
        <v>1523</v>
      </c>
      <c r="G1045" s="47" t="s">
        <v>1526</v>
      </c>
      <c r="H1045" s="30">
        <v>1.0</v>
      </c>
      <c r="I1045" s="30">
        <v>1549.0</v>
      </c>
      <c r="J1045" s="30">
        <v>1549.0</v>
      </c>
      <c r="K1045" s="30">
        <v>8.46</v>
      </c>
      <c r="L1045" s="30">
        <v>131.0454</v>
      </c>
      <c r="M1045" s="30">
        <v>1210.0</v>
      </c>
      <c r="N1045" s="30">
        <v>1210.0</v>
      </c>
      <c r="O1045" s="30">
        <v>0.0</v>
      </c>
      <c r="P1045" s="30">
        <v>0.0</v>
      </c>
      <c r="Q1045" s="30">
        <v>207.9546</v>
      </c>
    </row>
    <row r="1046">
      <c r="A1046" s="47">
        <v>1.1226311039E10</v>
      </c>
      <c r="B1046" s="48">
        <v>46154.16270833334</v>
      </c>
      <c r="C1046" s="30">
        <v>3.841929577E9</v>
      </c>
      <c r="D1046" s="47" t="s">
        <v>1509</v>
      </c>
      <c r="E1046" s="47">
        <v>3.182550737616E12</v>
      </c>
      <c r="F1046" s="47" t="s">
        <v>1523</v>
      </c>
      <c r="G1046" s="47" t="s">
        <v>1577</v>
      </c>
      <c r="H1046" s="30">
        <v>1.0</v>
      </c>
      <c r="I1046" s="30">
        <v>2034.0</v>
      </c>
      <c r="J1046" s="30">
        <v>2034.0</v>
      </c>
      <c r="K1046" s="30">
        <v>12.5</v>
      </c>
      <c r="L1046" s="30">
        <v>254.25</v>
      </c>
      <c r="M1046" s="30">
        <v>1535.52</v>
      </c>
      <c r="N1046" s="30">
        <v>1535.52</v>
      </c>
      <c r="O1046" s="30">
        <v>0.0</v>
      </c>
      <c r="P1046" s="30">
        <v>0.0</v>
      </c>
      <c r="Q1046" s="30">
        <v>244.23000000000002</v>
      </c>
    </row>
    <row r="1047">
      <c r="A1047" s="47">
        <v>1.1230181014E10</v>
      </c>
      <c r="B1047" s="48">
        <v>46155.610914351855</v>
      </c>
      <c r="C1047" s="30">
        <v>3.845557096E9</v>
      </c>
      <c r="D1047" s="47" t="s">
        <v>1509</v>
      </c>
      <c r="E1047" s="47">
        <v>3.182550737616E12</v>
      </c>
      <c r="F1047" s="47" t="s">
        <v>1523</v>
      </c>
      <c r="G1047" s="47" t="s">
        <v>1570</v>
      </c>
      <c r="H1047" s="30">
        <v>1.0</v>
      </c>
      <c r="I1047" s="30">
        <v>1880.0</v>
      </c>
      <c r="J1047" s="30">
        <v>1880.0</v>
      </c>
      <c r="K1047" s="30">
        <v>4.32</v>
      </c>
      <c r="L1047" s="30">
        <v>81.21600000000001</v>
      </c>
      <c r="M1047" s="30">
        <v>1535.52</v>
      </c>
      <c r="N1047" s="30">
        <v>1535.52</v>
      </c>
      <c r="O1047" s="30">
        <v>0.0</v>
      </c>
      <c r="P1047" s="30">
        <v>0.0</v>
      </c>
      <c r="Q1047" s="30">
        <v>263.264</v>
      </c>
    </row>
    <row r="1048">
      <c r="A1048" s="47">
        <v>1.1230362818E10</v>
      </c>
      <c r="B1048" s="48">
        <v>46155.64755787037</v>
      </c>
      <c r="C1048" s="30">
        <v>3.845708887E9</v>
      </c>
      <c r="D1048" s="47" t="s">
        <v>1509</v>
      </c>
      <c r="E1048" s="47">
        <v>8.46799273637E11</v>
      </c>
      <c r="F1048" s="47" t="s">
        <v>1523</v>
      </c>
      <c r="G1048" s="47" t="s">
        <v>1553</v>
      </c>
      <c r="H1048" s="30">
        <v>1.0</v>
      </c>
      <c r="I1048" s="30">
        <v>659.0</v>
      </c>
      <c r="J1048" s="30">
        <v>659.0</v>
      </c>
      <c r="K1048" s="30">
        <v>14.85</v>
      </c>
      <c r="L1048" s="30">
        <v>97.86149999999999</v>
      </c>
      <c r="M1048" s="30">
        <v>420.0</v>
      </c>
      <c r="N1048" s="30">
        <v>420.0</v>
      </c>
      <c r="O1048" s="30">
        <v>0.0</v>
      </c>
      <c r="P1048" s="30">
        <v>0.0</v>
      </c>
      <c r="Q1048" s="30">
        <v>141.13850000000002</v>
      </c>
    </row>
    <row r="1049">
      <c r="A1049" s="47">
        <v>1.1229193422E10</v>
      </c>
      <c r="B1049" s="48">
        <v>46155.073229166665</v>
      </c>
      <c r="C1049" s="30">
        <v>3.844517457E9</v>
      </c>
      <c r="D1049" s="47" t="s">
        <v>1509</v>
      </c>
      <c r="E1049" s="47">
        <v>3.182550737616E12</v>
      </c>
      <c r="F1049" s="47" t="s">
        <v>1523</v>
      </c>
      <c r="G1049" s="47" t="s">
        <v>1570</v>
      </c>
      <c r="H1049" s="30">
        <v>1.0</v>
      </c>
      <c r="I1049" s="30">
        <v>1880.0</v>
      </c>
      <c r="J1049" s="30">
        <v>1880.0</v>
      </c>
      <c r="K1049" s="30">
        <v>4.32</v>
      </c>
      <c r="L1049" s="30">
        <v>81.21600000000001</v>
      </c>
      <c r="M1049" s="30">
        <v>1535.52</v>
      </c>
      <c r="N1049" s="30">
        <v>1535.52</v>
      </c>
      <c r="O1049" s="30">
        <v>0.0</v>
      </c>
      <c r="P1049" s="30">
        <v>0.0</v>
      </c>
      <c r="Q1049" s="30">
        <v>263.264</v>
      </c>
    </row>
    <row r="1050">
      <c r="A1050" s="47">
        <v>1.1228016635E10</v>
      </c>
      <c r="B1050" s="48">
        <v>46154.8356712963</v>
      </c>
      <c r="C1050" s="30">
        <v>3.843533352E9</v>
      </c>
      <c r="D1050" s="47" t="s">
        <v>1509</v>
      </c>
      <c r="E1050" s="47">
        <v>3.182550737616E12</v>
      </c>
      <c r="F1050" s="47" t="s">
        <v>1523</v>
      </c>
      <c r="G1050" s="47" t="s">
        <v>1570</v>
      </c>
      <c r="H1050" s="30">
        <v>1.0</v>
      </c>
      <c r="I1050" s="30">
        <v>1852.99</v>
      </c>
      <c r="J1050" s="30">
        <v>1852.99</v>
      </c>
      <c r="K1050" s="30">
        <v>4.32</v>
      </c>
      <c r="L1050" s="30">
        <v>80.04916800000001</v>
      </c>
      <c r="M1050" s="30">
        <v>1535.52</v>
      </c>
      <c r="N1050" s="30">
        <v>1535.52</v>
      </c>
      <c r="O1050" s="30">
        <v>0.0</v>
      </c>
      <c r="P1050" s="30">
        <v>0.0</v>
      </c>
      <c r="Q1050" s="30">
        <v>237.42083200000002</v>
      </c>
    </row>
    <row r="1051">
      <c r="A1051" s="47">
        <v>1.1225330603E10</v>
      </c>
      <c r="B1051" s="48">
        <v>46153.97862268519</v>
      </c>
      <c r="C1051" s="30">
        <v>3.840891093E9</v>
      </c>
      <c r="D1051" s="47" t="s">
        <v>1509</v>
      </c>
      <c r="E1051" s="47">
        <v>6.923632570121E12</v>
      </c>
      <c r="F1051" s="47" t="s">
        <v>306</v>
      </c>
      <c r="G1051" s="47" t="s">
        <v>1555</v>
      </c>
      <c r="H1051" s="30">
        <v>1.0</v>
      </c>
      <c r="I1051" s="30">
        <v>897.45</v>
      </c>
      <c r="J1051" s="30">
        <v>897.45</v>
      </c>
      <c r="K1051" s="30">
        <v>20.0</v>
      </c>
      <c r="L1051" s="30">
        <v>179.49</v>
      </c>
      <c r="M1051" s="30">
        <v>300.0</v>
      </c>
      <c r="N1051" s="30">
        <v>300.0</v>
      </c>
      <c r="O1051" s="30">
        <v>0.0</v>
      </c>
      <c r="P1051" s="30">
        <v>0.0</v>
      </c>
      <c r="Q1051" s="30">
        <v>417.96000000000004</v>
      </c>
    </row>
    <row r="1052">
      <c r="A1052" s="47">
        <v>1.1229431254E10</v>
      </c>
      <c r="B1052" s="48">
        <v>46155.12804398148</v>
      </c>
      <c r="C1052" s="30">
        <v>3.844761432E9</v>
      </c>
      <c r="D1052" s="47" t="s">
        <v>1509</v>
      </c>
      <c r="E1052" s="47">
        <v>3.182550737616E12</v>
      </c>
      <c r="F1052" s="47" t="s">
        <v>1523</v>
      </c>
      <c r="G1052" s="47" t="s">
        <v>1570</v>
      </c>
      <c r="H1052" s="30">
        <v>1.0</v>
      </c>
      <c r="I1052" s="30">
        <v>1880.0</v>
      </c>
      <c r="J1052" s="30">
        <v>1880.0</v>
      </c>
      <c r="K1052" s="30">
        <v>4.32</v>
      </c>
      <c r="L1052" s="30">
        <v>81.21600000000001</v>
      </c>
      <c r="M1052" s="30">
        <v>1535.52</v>
      </c>
      <c r="N1052" s="30">
        <v>1535.52</v>
      </c>
      <c r="O1052" s="30">
        <v>0.0</v>
      </c>
      <c r="P1052" s="30">
        <v>0.0</v>
      </c>
      <c r="Q1052" s="30">
        <v>263.264</v>
      </c>
    </row>
    <row r="1053">
      <c r="A1053" s="47">
        <v>1.1229436246E10</v>
      </c>
      <c r="B1053" s="48">
        <v>46155.12957175926</v>
      </c>
      <c r="C1053" s="30">
        <v>3.844766329E9</v>
      </c>
      <c r="D1053" s="47" t="s">
        <v>1509</v>
      </c>
      <c r="E1053" s="47">
        <v>7.613033560033E12</v>
      </c>
      <c r="F1053" s="47">
        <v>0.0</v>
      </c>
      <c r="G1053" s="47" t="s">
        <v>1539</v>
      </c>
      <c r="H1053" s="30">
        <v>1.0</v>
      </c>
      <c r="I1053" s="30">
        <v>1261.99</v>
      </c>
      <c r="J1053" s="30">
        <v>1261.99</v>
      </c>
      <c r="K1053" s="30">
        <v>3.6</v>
      </c>
      <c r="L1053" s="30">
        <v>45.431639999999994</v>
      </c>
      <c r="M1053" s="30">
        <v>1165.0</v>
      </c>
      <c r="N1053" s="30">
        <v>1165.0</v>
      </c>
      <c r="O1053" s="30">
        <v>0.0</v>
      </c>
      <c r="P1053" s="30">
        <v>0.0</v>
      </c>
      <c r="Q1053" s="30">
        <v>51.558360000000015</v>
      </c>
    </row>
    <row r="1054">
      <c r="A1054" s="47">
        <v>1.1230015666E10</v>
      </c>
      <c r="B1054" s="48">
        <v>46155.57215277778</v>
      </c>
      <c r="C1054" s="30">
        <v>3.845400387E9</v>
      </c>
      <c r="D1054" s="47" t="s">
        <v>1509</v>
      </c>
      <c r="E1054" s="47">
        <v>3.182550737616E12</v>
      </c>
      <c r="F1054" s="47" t="s">
        <v>1523</v>
      </c>
      <c r="G1054" s="47" t="s">
        <v>1570</v>
      </c>
      <c r="H1054" s="30">
        <v>1.0</v>
      </c>
      <c r="I1054" s="30">
        <v>1880.0</v>
      </c>
      <c r="J1054" s="30">
        <v>1880.0</v>
      </c>
      <c r="K1054" s="30">
        <v>4.32</v>
      </c>
      <c r="L1054" s="30">
        <v>81.21600000000001</v>
      </c>
      <c r="M1054" s="30">
        <v>1535.52</v>
      </c>
      <c r="N1054" s="30">
        <v>1535.52</v>
      </c>
      <c r="O1054" s="30">
        <v>0.0</v>
      </c>
      <c r="P1054" s="30">
        <v>0.0</v>
      </c>
      <c r="Q1054" s="30">
        <v>263.264</v>
      </c>
    </row>
    <row r="1055">
      <c r="A1055" s="47">
        <v>1.1228742448E10</v>
      </c>
      <c r="B1055" s="48">
        <v>46154.984502314815</v>
      </c>
      <c r="C1055" s="30">
        <v>3.84409114E9</v>
      </c>
      <c r="D1055" s="47" t="s">
        <v>1509</v>
      </c>
      <c r="E1055" s="47">
        <v>3.182550737616E12</v>
      </c>
      <c r="F1055" s="47" t="s">
        <v>1523</v>
      </c>
      <c r="G1055" s="47" t="s">
        <v>1570</v>
      </c>
      <c r="H1055" s="30">
        <v>1.0</v>
      </c>
      <c r="I1055" s="30">
        <v>1852.99</v>
      </c>
      <c r="J1055" s="30">
        <v>1852.99</v>
      </c>
      <c r="K1055" s="30">
        <v>4.32</v>
      </c>
      <c r="L1055" s="30">
        <v>80.04916800000001</v>
      </c>
      <c r="M1055" s="30">
        <v>1535.52</v>
      </c>
      <c r="N1055" s="30">
        <v>1535.52</v>
      </c>
      <c r="O1055" s="30">
        <v>0.0</v>
      </c>
      <c r="P1055" s="30">
        <v>0.0</v>
      </c>
      <c r="Q1055" s="30">
        <v>237.42083200000002</v>
      </c>
    </row>
    <row r="1056">
      <c r="A1056" s="47">
        <v>1.1229070301E10</v>
      </c>
      <c r="B1056" s="48">
        <v>46155.048368055555</v>
      </c>
      <c r="C1056" s="30">
        <v>3.844392926E9</v>
      </c>
      <c r="D1056" s="47" t="s">
        <v>1509</v>
      </c>
      <c r="E1056" s="47">
        <v>3.182550756419E12</v>
      </c>
      <c r="F1056" s="47" t="s">
        <v>1523</v>
      </c>
      <c r="G1056" s="47" t="s">
        <v>1583</v>
      </c>
      <c r="H1056" s="30">
        <v>1.0</v>
      </c>
      <c r="I1056" s="30">
        <v>1195.0</v>
      </c>
      <c r="J1056" s="30">
        <v>1195.0</v>
      </c>
      <c r="K1056" s="30">
        <v>8.28</v>
      </c>
      <c r="L1056" s="30">
        <v>98.94599999999998</v>
      </c>
      <c r="M1056" s="30">
        <v>999.0</v>
      </c>
      <c r="N1056" s="30">
        <v>999.0</v>
      </c>
      <c r="O1056" s="30">
        <v>0.0</v>
      </c>
      <c r="P1056" s="30">
        <v>0.0</v>
      </c>
      <c r="Q1056" s="30">
        <v>97.05400000000002</v>
      </c>
    </row>
    <row r="1057">
      <c r="A1057" s="47">
        <v>1.1224329276E10</v>
      </c>
      <c r="B1057" s="48">
        <v>46153.799375</v>
      </c>
      <c r="C1057" s="30">
        <v>3.840023804E9</v>
      </c>
      <c r="D1057" s="47" t="s">
        <v>1509</v>
      </c>
      <c r="E1057" s="47">
        <v>8.010276042323E12</v>
      </c>
      <c r="F1057" s="47" t="s">
        <v>1523</v>
      </c>
      <c r="G1057" s="47" t="s">
        <v>1589</v>
      </c>
      <c r="H1057" s="30">
        <v>1.0</v>
      </c>
      <c r="I1057" s="30">
        <v>2200.0</v>
      </c>
      <c r="J1057" s="30">
        <v>2200.0</v>
      </c>
      <c r="K1057" s="30">
        <v>16.5</v>
      </c>
      <c r="L1057" s="30">
        <v>363.0</v>
      </c>
      <c r="M1057" s="30">
        <v>1638.0</v>
      </c>
      <c r="N1057" s="30">
        <v>1638.0</v>
      </c>
      <c r="O1057" s="30">
        <v>0.0</v>
      </c>
      <c r="P1057" s="30">
        <v>0.0</v>
      </c>
      <c r="Q1057" s="30">
        <v>199.0</v>
      </c>
    </row>
    <row r="1058">
      <c r="A1058" s="47">
        <v>1.1230005416E10</v>
      </c>
      <c r="B1058" s="48">
        <v>46155.56917824074</v>
      </c>
      <c r="C1058" s="30">
        <v>3.845390281E9</v>
      </c>
      <c r="D1058" s="47" t="s">
        <v>1509</v>
      </c>
      <c r="E1058" s="47">
        <v>3.182550894128E12</v>
      </c>
      <c r="F1058" s="47" t="s">
        <v>1523</v>
      </c>
      <c r="G1058" s="47" t="s">
        <v>1557</v>
      </c>
      <c r="H1058" s="30">
        <v>1.0</v>
      </c>
      <c r="I1058" s="30">
        <v>1595.0</v>
      </c>
      <c r="J1058" s="30">
        <v>1595.0</v>
      </c>
      <c r="K1058" s="30">
        <v>6.66</v>
      </c>
      <c r="L1058" s="30">
        <v>106.227</v>
      </c>
      <c r="M1058" s="30">
        <v>1394.04</v>
      </c>
      <c r="N1058" s="30">
        <v>1394.04</v>
      </c>
      <c r="O1058" s="30">
        <v>0.0</v>
      </c>
      <c r="P1058" s="30">
        <v>0.0</v>
      </c>
      <c r="Q1058" s="30">
        <v>94.73300000000003</v>
      </c>
    </row>
    <row r="1059">
      <c r="A1059" s="47">
        <v>1.1229739736E10</v>
      </c>
      <c r="B1059" s="48">
        <v>46155.464791666665</v>
      </c>
      <c r="C1059" s="30">
        <v>3.845096816E9</v>
      </c>
      <c r="D1059" s="47" t="s">
        <v>1509</v>
      </c>
      <c r="E1059" s="47" t="s">
        <v>353</v>
      </c>
      <c r="F1059" s="47" t="s">
        <v>1523</v>
      </c>
      <c r="G1059" s="47" t="s">
        <v>1588</v>
      </c>
      <c r="H1059" s="30">
        <v>1.0</v>
      </c>
      <c r="I1059" s="30">
        <v>4089.0</v>
      </c>
      <c r="J1059" s="30">
        <v>4089.0</v>
      </c>
      <c r="K1059" s="30">
        <v>5.94</v>
      </c>
      <c r="L1059" s="30">
        <v>242.8866</v>
      </c>
      <c r="M1059" s="30">
        <v>3475.0</v>
      </c>
      <c r="N1059" s="30">
        <v>3475.0</v>
      </c>
      <c r="O1059" s="30">
        <v>0.0</v>
      </c>
      <c r="P1059" s="30">
        <v>0.0</v>
      </c>
      <c r="Q1059" s="30">
        <v>371.1134</v>
      </c>
    </row>
    <row r="1060">
      <c r="A1060" s="47">
        <v>1.1229847484E10</v>
      </c>
      <c r="B1060" s="48">
        <v>46155.51976851852</v>
      </c>
      <c r="C1060" s="30">
        <v>3.845218792E9</v>
      </c>
      <c r="D1060" s="47" t="s">
        <v>1509</v>
      </c>
      <c r="E1060" s="47" t="s">
        <v>318</v>
      </c>
      <c r="F1060" s="47" t="s">
        <v>1523</v>
      </c>
      <c r="G1060" s="47" t="s">
        <v>1552</v>
      </c>
      <c r="H1060" s="30">
        <v>1.0</v>
      </c>
      <c r="I1060" s="30">
        <v>200.0</v>
      </c>
      <c r="J1060" s="30">
        <v>200.0</v>
      </c>
      <c r="K1060" s="30">
        <v>11.25</v>
      </c>
      <c r="L1060" s="30">
        <v>22.5</v>
      </c>
      <c r="M1060" s="30">
        <v>78.6</v>
      </c>
      <c r="N1060" s="30">
        <v>78.6</v>
      </c>
      <c r="O1060" s="30">
        <v>0.0</v>
      </c>
      <c r="P1060" s="30">
        <v>0.0</v>
      </c>
      <c r="Q1060" s="30">
        <v>98.9</v>
      </c>
    </row>
    <row r="1061">
      <c r="A1061" s="47">
        <v>1.1229847484E10</v>
      </c>
      <c r="B1061" s="48">
        <v>46155.51976851852</v>
      </c>
      <c r="C1061" s="30">
        <v>3.845218792E9</v>
      </c>
      <c r="D1061" s="47" t="s">
        <v>1509</v>
      </c>
      <c r="E1061" s="47" t="s">
        <v>350</v>
      </c>
      <c r="F1061" s="47" t="s">
        <v>1523</v>
      </c>
      <c r="G1061" s="47" t="s">
        <v>1580</v>
      </c>
      <c r="H1061" s="30">
        <v>1.0</v>
      </c>
      <c r="I1061" s="30">
        <v>4341.0</v>
      </c>
      <c r="J1061" s="30">
        <v>4341.0</v>
      </c>
      <c r="K1061" s="30">
        <v>8.82</v>
      </c>
      <c r="L1061" s="30">
        <v>382.87620000000004</v>
      </c>
      <c r="M1061" s="30">
        <v>3475.0</v>
      </c>
      <c r="N1061" s="30">
        <v>3475.0</v>
      </c>
      <c r="O1061" s="30">
        <v>0.0</v>
      </c>
      <c r="P1061" s="30">
        <v>0.0</v>
      </c>
      <c r="Q1061" s="30">
        <v>483.12379999999996</v>
      </c>
    </row>
    <row r="1062">
      <c r="A1062" s="47">
        <v>1.1229847484E10</v>
      </c>
      <c r="B1062" s="48">
        <v>46155.51976851852</v>
      </c>
      <c r="C1062" s="30">
        <v>3.845218792E9</v>
      </c>
      <c r="D1062" s="47" t="s">
        <v>1509</v>
      </c>
      <c r="E1062" s="47">
        <v>8.684501941837E12</v>
      </c>
      <c r="F1062" s="47" t="s">
        <v>289</v>
      </c>
      <c r="G1062" s="47" t="s">
        <v>1543</v>
      </c>
      <c r="H1062" s="30">
        <v>1.0</v>
      </c>
      <c r="I1062" s="30">
        <v>349.99</v>
      </c>
      <c r="J1062" s="30">
        <v>349.99</v>
      </c>
      <c r="K1062" s="30">
        <v>18.0</v>
      </c>
      <c r="L1062" s="30">
        <v>62.9982</v>
      </c>
      <c r="M1062" s="30">
        <v>53.0</v>
      </c>
      <c r="N1062" s="30">
        <v>53.0</v>
      </c>
      <c r="O1062" s="30">
        <v>0.0</v>
      </c>
      <c r="P1062" s="30">
        <v>0.0</v>
      </c>
      <c r="Q1062" s="30">
        <v>233.9918</v>
      </c>
    </row>
    <row r="1063">
      <c r="A1063" s="47">
        <v>1.1229838817E10</v>
      </c>
      <c r="B1063" s="48">
        <v>46155.51673611111</v>
      </c>
      <c r="C1063" s="30">
        <v>3.845212513E9</v>
      </c>
      <c r="D1063" s="47" t="s">
        <v>1509</v>
      </c>
      <c r="E1063" s="47">
        <v>7.613035846708E12</v>
      </c>
      <c r="F1063" s="47" t="s">
        <v>1523</v>
      </c>
      <c r="G1063" s="47" t="s">
        <v>1535</v>
      </c>
      <c r="H1063" s="30">
        <v>1.0</v>
      </c>
      <c r="I1063" s="30">
        <v>1354.0</v>
      </c>
      <c r="J1063" s="30">
        <v>1354.0</v>
      </c>
      <c r="K1063" s="30">
        <v>6.39</v>
      </c>
      <c r="L1063" s="30">
        <v>86.5206</v>
      </c>
      <c r="M1063" s="30">
        <v>1160.0</v>
      </c>
      <c r="N1063" s="30">
        <v>1160.0</v>
      </c>
      <c r="O1063" s="30">
        <v>0.0</v>
      </c>
      <c r="P1063" s="30">
        <v>0.0</v>
      </c>
      <c r="Q1063" s="30">
        <v>107.4794</v>
      </c>
    </row>
    <row r="1064">
      <c r="A1064" s="47">
        <v>1.1230128424E10</v>
      </c>
      <c r="B1064" s="48">
        <v>46155.600069444445</v>
      </c>
      <c r="C1064" s="30">
        <v>3.845513848E9</v>
      </c>
      <c r="D1064" s="47" t="s">
        <v>1509</v>
      </c>
      <c r="E1064" s="47">
        <v>3.182550737616E12</v>
      </c>
      <c r="F1064" s="47" t="s">
        <v>1523</v>
      </c>
      <c r="G1064" s="47" t="s">
        <v>1570</v>
      </c>
      <c r="H1064" s="30">
        <v>1.0</v>
      </c>
      <c r="I1064" s="30">
        <v>1880.0</v>
      </c>
      <c r="J1064" s="30">
        <v>1880.0</v>
      </c>
      <c r="K1064" s="30">
        <v>4.32</v>
      </c>
      <c r="L1064" s="30">
        <v>81.21600000000001</v>
      </c>
      <c r="M1064" s="30">
        <v>1535.52</v>
      </c>
      <c r="N1064" s="30">
        <v>1535.52</v>
      </c>
      <c r="O1064" s="30">
        <v>0.0</v>
      </c>
      <c r="P1064" s="30">
        <v>0.0</v>
      </c>
      <c r="Q1064" s="30">
        <v>263.264</v>
      </c>
    </row>
    <row r="1065">
      <c r="A1065" s="47">
        <v>1.1228215353E10</v>
      </c>
      <c r="B1065" s="48">
        <v>46154.877962962964</v>
      </c>
      <c r="C1065" s="30">
        <v>3.843686598E9</v>
      </c>
      <c r="D1065" s="47" t="s">
        <v>1509</v>
      </c>
      <c r="E1065" s="47">
        <v>3.182550737616E12</v>
      </c>
      <c r="F1065" s="47" t="s">
        <v>1523</v>
      </c>
      <c r="G1065" s="47" t="s">
        <v>1570</v>
      </c>
      <c r="H1065" s="30">
        <v>1.0</v>
      </c>
      <c r="I1065" s="30">
        <v>1852.99</v>
      </c>
      <c r="J1065" s="30">
        <v>1852.99</v>
      </c>
      <c r="K1065" s="30">
        <v>4.32</v>
      </c>
      <c r="L1065" s="30">
        <v>80.04916800000001</v>
      </c>
      <c r="M1065" s="30">
        <v>1535.52</v>
      </c>
      <c r="N1065" s="30">
        <v>1535.52</v>
      </c>
      <c r="O1065" s="30">
        <v>0.0</v>
      </c>
      <c r="P1065" s="30">
        <v>0.0</v>
      </c>
      <c r="Q1065" s="30">
        <v>237.42083200000002</v>
      </c>
    </row>
    <row r="1066">
      <c r="A1066" s="47">
        <v>1.1227174744E10</v>
      </c>
      <c r="B1066" s="48">
        <v>46154.65730324074</v>
      </c>
      <c r="C1066" s="30">
        <v>3.842806253E9</v>
      </c>
      <c r="D1066" s="47" t="s">
        <v>1509</v>
      </c>
      <c r="E1066" s="47">
        <v>3.182550737616E12</v>
      </c>
      <c r="F1066" s="47" t="s">
        <v>1523</v>
      </c>
      <c r="G1066" s="47" t="s">
        <v>1577</v>
      </c>
      <c r="H1066" s="30">
        <v>1.0</v>
      </c>
      <c r="I1066" s="30">
        <v>1963.0</v>
      </c>
      <c r="J1066" s="30">
        <v>1963.0</v>
      </c>
      <c r="K1066" s="30">
        <v>6.3</v>
      </c>
      <c r="L1066" s="30">
        <v>123.669</v>
      </c>
      <c r="M1066" s="30">
        <v>1535.52</v>
      </c>
      <c r="N1066" s="30">
        <v>1535.52</v>
      </c>
      <c r="O1066" s="30">
        <v>0.0</v>
      </c>
      <c r="P1066" s="30">
        <v>0.0</v>
      </c>
      <c r="Q1066" s="30">
        <v>303.81100000000004</v>
      </c>
    </row>
    <row r="1067">
      <c r="A1067" s="47">
        <v>1.1229460841E10</v>
      </c>
      <c r="B1067" s="48">
        <v>46155.13658564815</v>
      </c>
      <c r="C1067" s="30">
        <v>3.844793166E9</v>
      </c>
      <c r="D1067" s="47" t="s">
        <v>1509</v>
      </c>
      <c r="E1067" s="47">
        <v>3.182550737616E12</v>
      </c>
      <c r="F1067" s="47" t="s">
        <v>1523</v>
      </c>
      <c r="G1067" s="47" t="s">
        <v>1570</v>
      </c>
      <c r="H1067" s="30">
        <v>1.0</v>
      </c>
      <c r="I1067" s="30">
        <v>1880.0</v>
      </c>
      <c r="J1067" s="30">
        <v>1880.0</v>
      </c>
      <c r="K1067" s="30">
        <v>4.32</v>
      </c>
      <c r="L1067" s="30">
        <v>81.21600000000001</v>
      </c>
      <c r="M1067" s="30">
        <v>1535.52</v>
      </c>
      <c r="N1067" s="30">
        <v>1535.52</v>
      </c>
      <c r="O1067" s="30">
        <v>0.0</v>
      </c>
      <c r="P1067" s="30">
        <v>0.0</v>
      </c>
      <c r="Q1067" s="30">
        <v>263.264</v>
      </c>
    </row>
    <row r="1068">
      <c r="A1068" s="47">
        <v>1.1226500543E10</v>
      </c>
      <c r="B1068" s="48">
        <v>46154.4425462963</v>
      </c>
      <c r="C1068" s="30">
        <v>3.842138896E9</v>
      </c>
      <c r="D1068" s="47" t="s">
        <v>1509</v>
      </c>
      <c r="E1068" s="47">
        <v>3.182550737616E12</v>
      </c>
      <c r="F1068" s="47" t="s">
        <v>1523</v>
      </c>
      <c r="G1068" s="47" t="s">
        <v>1577</v>
      </c>
      <c r="H1068" s="30">
        <v>1.0</v>
      </c>
      <c r="I1068" s="30">
        <v>2034.0</v>
      </c>
      <c r="J1068" s="30">
        <v>2034.0</v>
      </c>
      <c r="K1068" s="30">
        <v>12.5</v>
      </c>
      <c r="L1068" s="30">
        <v>254.25</v>
      </c>
      <c r="M1068" s="30">
        <v>1535.52</v>
      </c>
      <c r="N1068" s="30">
        <v>1535.52</v>
      </c>
      <c r="O1068" s="30">
        <v>0.0</v>
      </c>
      <c r="P1068" s="30">
        <v>0.0</v>
      </c>
      <c r="Q1068" s="30">
        <v>244.23000000000002</v>
      </c>
    </row>
    <row r="1069">
      <c r="A1069" s="47">
        <v>1.1227312114E10</v>
      </c>
      <c r="B1069" s="48">
        <v>46154.68488425926</v>
      </c>
      <c r="C1069" s="30">
        <v>3.842921755E9</v>
      </c>
      <c r="D1069" s="47" t="s">
        <v>1509</v>
      </c>
      <c r="E1069" s="47">
        <v>3.182550721738E12</v>
      </c>
      <c r="F1069" s="47" t="s">
        <v>1523</v>
      </c>
      <c r="G1069" s="47" t="s">
        <v>1526</v>
      </c>
      <c r="H1069" s="30">
        <v>1.0</v>
      </c>
      <c r="I1069" s="30">
        <v>1549.0</v>
      </c>
      <c r="J1069" s="30">
        <v>1549.0</v>
      </c>
      <c r="K1069" s="30">
        <v>8.46</v>
      </c>
      <c r="L1069" s="30">
        <v>131.0454</v>
      </c>
      <c r="M1069" s="30">
        <v>1210.0</v>
      </c>
      <c r="N1069" s="30">
        <v>1210.0</v>
      </c>
      <c r="O1069" s="30">
        <v>0.0</v>
      </c>
      <c r="P1069" s="30">
        <v>0.0</v>
      </c>
      <c r="Q1069" s="30">
        <v>207.9546</v>
      </c>
    </row>
    <row r="1070">
      <c r="A1070" s="47">
        <v>1.1228554139E10</v>
      </c>
      <c r="B1070" s="48">
        <v>46154.9465625</v>
      </c>
      <c r="C1070" s="30">
        <v>3.843946915E9</v>
      </c>
      <c r="D1070" s="47" t="s">
        <v>1509</v>
      </c>
      <c r="E1070" s="47">
        <v>3.182550756419E12</v>
      </c>
      <c r="F1070" s="47" t="s">
        <v>1523</v>
      </c>
      <c r="G1070" s="47" t="s">
        <v>1583</v>
      </c>
      <c r="H1070" s="30">
        <v>1.0</v>
      </c>
      <c r="I1070" s="30">
        <v>1195.0</v>
      </c>
      <c r="J1070" s="30">
        <v>1195.0</v>
      </c>
      <c r="K1070" s="30">
        <v>8.28</v>
      </c>
      <c r="L1070" s="30">
        <v>98.94599999999998</v>
      </c>
      <c r="M1070" s="30">
        <v>999.0</v>
      </c>
      <c r="N1070" s="30">
        <v>999.0</v>
      </c>
      <c r="O1070" s="30">
        <v>0.0</v>
      </c>
      <c r="P1070" s="30">
        <v>0.0</v>
      </c>
      <c r="Q1070" s="30">
        <v>97.05400000000002</v>
      </c>
    </row>
    <row r="1071">
      <c r="A1071" s="47">
        <v>1.1229209337E10</v>
      </c>
      <c r="B1071" s="48">
        <v>46155.0765625</v>
      </c>
      <c r="C1071" s="30">
        <v>3.844533174E9</v>
      </c>
      <c r="D1071" s="47" t="s">
        <v>1509</v>
      </c>
      <c r="E1071" s="47">
        <v>3.182550737616E12</v>
      </c>
      <c r="F1071" s="47" t="s">
        <v>1523</v>
      </c>
      <c r="G1071" s="47" t="s">
        <v>1570</v>
      </c>
      <c r="H1071" s="30">
        <v>1.0</v>
      </c>
      <c r="I1071" s="30">
        <v>1880.0</v>
      </c>
      <c r="J1071" s="30">
        <v>1880.0</v>
      </c>
      <c r="K1071" s="30">
        <v>4.32</v>
      </c>
      <c r="L1071" s="30">
        <v>81.21600000000001</v>
      </c>
      <c r="M1071" s="30">
        <v>1535.52</v>
      </c>
      <c r="N1071" s="30">
        <v>1535.52</v>
      </c>
      <c r="O1071" s="30">
        <v>0.0</v>
      </c>
      <c r="P1071" s="30">
        <v>0.0</v>
      </c>
      <c r="Q1071" s="30">
        <v>263.264</v>
      </c>
    </row>
    <row r="1072">
      <c r="A1072" s="47">
        <v>1.1228097705E10</v>
      </c>
      <c r="B1072" s="48">
        <v>46154.85328703704</v>
      </c>
      <c r="C1072" s="30">
        <v>3.843598214E9</v>
      </c>
      <c r="D1072" s="47" t="s">
        <v>1509</v>
      </c>
      <c r="E1072" s="47" t="s">
        <v>393</v>
      </c>
      <c r="F1072" s="47" t="s">
        <v>1523</v>
      </c>
      <c r="G1072" s="47" t="s">
        <v>1582</v>
      </c>
      <c r="H1072" s="30">
        <v>1.0</v>
      </c>
      <c r="I1072" s="30">
        <v>1186.0</v>
      </c>
      <c r="J1072" s="30">
        <v>1186.0</v>
      </c>
      <c r="K1072" s="30">
        <v>12.15</v>
      </c>
      <c r="L1072" s="30">
        <v>144.099</v>
      </c>
      <c r="M1072" s="30">
        <v>850.0</v>
      </c>
      <c r="N1072" s="30">
        <v>850.0</v>
      </c>
      <c r="O1072" s="30">
        <v>0.0</v>
      </c>
      <c r="P1072" s="30">
        <v>0.0</v>
      </c>
      <c r="Q1072" s="30">
        <v>191.901</v>
      </c>
    </row>
    <row r="1073">
      <c r="A1073" s="47">
        <v>1.122982812E10</v>
      </c>
      <c r="B1073" s="48">
        <v>46155.51247685185</v>
      </c>
      <c r="C1073" s="30">
        <v>3.845199165E9</v>
      </c>
      <c r="D1073" s="47" t="s">
        <v>1509</v>
      </c>
      <c r="E1073" s="47">
        <v>7.613033560064E12</v>
      </c>
      <c r="F1073" s="47" t="s">
        <v>1523</v>
      </c>
      <c r="G1073" s="47" t="s">
        <v>1527</v>
      </c>
      <c r="H1073" s="30">
        <v>1.0</v>
      </c>
      <c r="I1073" s="30">
        <v>1530.0</v>
      </c>
      <c r="J1073" s="30">
        <v>1530.0</v>
      </c>
      <c r="K1073" s="30">
        <v>6.3</v>
      </c>
      <c r="L1073" s="30">
        <v>96.39</v>
      </c>
      <c r="M1073" s="30">
        <v>1190.0</v>
      </c>
      <c r="N1073" s="30">
        <v>1190.0</v>
      </c>
      <c r="O1073" s="30">
        <v>0.0</v>
      </c>
      <c r="P1073" s="30">
        <v>0.0</v>
      </c>
      <c r="Q1073" s="30">
        <v>243.61</v>
      </c>
    </row>
    <row r="1074">
      <c r="A1074" s="47">
        <v>1.1229469321E10</v>
      </c>
      <c r="B1074" s="48">
        <v>46155.139340277776</v>
      </c>
      <c r="C1074" s="30">
        <v>3.844800483E9</v>
      </c>
      <c r="D1074" s="47" t="s">
        <v>1509</v>
      </c>
      <c r="E1074" s="47">
        <v>3.182550737616E12</v>
      </c>
      <c r="F1074" s="47" t="s">
        <v>1523</v>
      </c>
      <c r="G1074" s="47" t="s">
        <v>1570</v>
      </c>
      <c r="H1074" s="30">
        <v>1.0</v>
      </c>
      <c r="I1074" s="30">
        <v>1880.0</v>
      </c>
      <c r="J1074" s="30">
        <v>1880.0</v>
      </c>
      <c r="K1074" s="30">
        <v>4.32</v>
      </c>
      <c r="L1074" s="30">
        <v>81.21600000000001</v>
      </c>
      <c r="M1074" s="30">
        <v>1535.52</v>
      </c>
      <c r="N1074" s="30">
        <v>1535.52</v>
      </c>
      <c r="O1074" s="30">
        <v>0.0</v>
      </c>
      <c r="P1074" s="30">
        <v>0.0</v>
      </c>
      <c r="Q1074" s="30">
        <v>263.264</v>
      </c>
    </row>
    <row r="1075">
      <c r="A1075" s="47">
        <v>1.1227721953E10</v>
      </c>
      <c r="B1075" s="48">
        <v>46154.77193287037</v>
      </c>
      <c r="C1075" s="30">
        <v>3.843280113E9</v>
      </c>
      <c r="D1075" s="47" t="s">
        <v>1509</v>
      </c>
      <c r="E1075" s="47">
        <v>3.182550737616E12</v>
      </c>
      <c r="F1075" s="47" t="s">
        <v>1523</v>
      </c>
      <c r="G1075" s="47" t="s">
        <v>1577</v>
      </c>
      <c r="H1075" s="30">
        <v>1.0</v>
      </c>
      <c r="I1075" s="30">
        <v>1852.99</v>
      </c>
      <c r="J1075" s="30">
        <v>1852.99</v>
      </c>
      <c r="K1075" s="30">
        <v>4.32</v>
      </c>
      <c r="L1075" s="30">
        <v>80.04916800000001</v>
      </c>
      <c r="M1075" s="30">
        <v>1535.52</v>
      </c>
      <c r="N1075" s="30">
        <v>1535.52</v>
      </c>
      <c r="O1075" s="30">
        <v>0.0</v>
      </c>
      <c r="P1075" s="30">
        <v>0.0</v>
      </c>
      <c r="Q1075" s="30">
        <v>237.42083200000002</v>
      </c>
    </row>
    <row r="1076">
      <c r="A1076" s="47">
        <v>1.1228695015E10</v>
      </c>
      <c r="B1076" s="48">
        <v>46154.97511574074</v>
      </c>
      <c r="C1076" s="30">
        <v>3.844055017E9</v>
      </c>
      <c r="D1076" s="47" t="s">
        <v>1509</v>
      </c>
      <c r="E1076" s="47">
        <v>3.182550737616E12</v>
      </c>
      <c r="F1076" s="47" t="s">
        <v>1523</v>
      </c>
      <c r="G1076" s="47" t="s">
        <v>1570</v>
      </c>
      <c r="H1076" s="30">
        <v>1.0</v>
      </c>
      <c r="I1076" s="30">
        <v>1852.99</v>
      </c>
      <c r="J1076" s="30">
        <v>1852.99</v>
      </c>
      <c r="K1076" s="30">
        <v>4.32</v>
      </c>
      <c r="L1076" s="30">
        <v>80.04916800000001</v>
      </c>
      <c r="M1076" s="30">
        <v>1535.52</v>
      </c>
      <c r="N1076" s="30">
        <v>1535.52</v>
      </c>
      <c r="O1076" s="30">
        <v>0.0</v>
      </c>
      <c r="P1076" s="30">
        <v>0.0</v>
      </c>
      <c r="Q1076" s="30">
        <v>237.42083200000002</v>
      </c>
    </row>
    <row r="1077">
      <c r="A1077" s="47">
        <v>1.1229229196E10</v>
      </c>
      <c r="B1077" s="48">
        <v>46155.080925925926</v>
      </c>
      <c r="C1077" s="30">
        <v>3.844554212E9</v>
      </c>
      <c r="D1077" s="47" t="s">
        <v>1509</v>
      </c>
      <c r="E1077" s="47">
        <v>3.182550737616E12</v>
      </c>
      <c r="F1077" s="47" t="s">
        <v>1523</v>
      </c>
      <c r="G1077" s="47" t="s">
        <v>1570</v>
      </c>
      <c r="H1077" s="30">
        <v>1.0</v>
      </c>
      <c r="I1077" s="30">
        <v>1880.0</v>
      </c>
      <c r="J1077" s="30">
        <v>1880.0</v>
      </c>
      <c r="K1077" s="30">
        <v>4.32</v>
      </c>
      <c r="L1077" s="30">
        <v>81.21600000000001</v>
      </c>
      <c r="M1077" s="30">
        <v>1535.52</v>
      </c>
      <c r="N1077" s="30">
        <v>1535.52</v>
      </c>
      <c r="O1077" s="30">
        <v>0.0</v>
      </c>
      <c r="P1077" s="30">
        <v>0.0</v>
      </c>
      <c r="Q1077" s="30">
        <v>263.264</v>
      </c>
    </row>
    <row r="1078">
      <c r="A1078" s="47">
        <v>1.1228479358E10</v>
      </c>
      <c r="B1078" s="48">
        <v>46154.93127314815</v>
      </c>
      <c r="C1078" s="30">
        <v>3.843882595E9</v>
      </c>
      <c r="D1078" s="47" t="s">
        <v>1509</v>
      </c>
      <c r="E1078" s="47">
        <v>3.182550737593E12</v>
      </c>
      <c r="F1078" s="47" t="s">
        <v>1523</v>
      </c>
      <c r="G1078" s="47" t="s">
        <v>1529</v>
      </c>
      <c r="H1078" s="30">
        <v>1.0</v>
      </c>
      <c r="I1078" s="30">
        <v>1017.0</v>
      </c>
      <c r="J1078" s="30">
        <v>1017.0</v>
      </c>
      <c r="K1078" s="30">
        <v>3.4</v>
      </c>
      <c r="L1078" s="30">
        <v>34.577999999999996</v>
      </c>
      <c r="M1078" s="30">
        <v>832.44</v>
      </c>
      <c r="N1078" s="30">
        <v>832.44</v>
      </c>
      <c r="O1078" s="30">
        <v>0.0</v>
      </c>
      <c r="P1078" s="30">
        <v>0.0</v>
      </c>
      <c r="Q1078" s="30">
        <v>149.98199999999994</v>
      </c>
    </row>
    <row r="1079">
      <c r="A1079" s="47">
        <v>1.12295535E10</v>
      </c>
      <c r="B1079" s="48">
        <v>46155.17084490741</v>
      </c>
      <c r="C1079" s="30">
        <v>3.84488802E9</v>
      </c>
      <c r="D1079" s="47" t="s">
        <v>1509</v>
      </c>
      <c r="E1079" s="47">
        <v>3.182550756419E12</v>
      </c>
      <c r="F1079" s="47" t="s">
        <v>1523</v>
      </c>
      <c r="G1079" s="47" t="s">
        <v>1583</v>
      </c>
      <c r="H1079" s="30">
        <v>1.0</v>
      </c>
      <c r="I1079" s="30">
        <v>1195.0</v>
      </c>
      <c r="J1079" s="30">
        <v>1195.0</v>
      </c>
      <c r="K1079" s="30">
        <v>8.28</v>
      </c>
      <c r="L1079" s="30">
        <v>98.94599999999998</v>
      </c>
      <c r="M1079" s="30">
        <v>999.0</v>
      </c>
      <c r="N1079" s="30">
        <v>999.0</v>
      </c>
      <c r="O1079" s="30">
        <v>0.0</v>
      </c>
      <c r="P1079" s="30">
        <v>0.0</v>
      </c>
      <c r="Q1079" s="30">
        <v>97.05400000000002</v>
      </c>
    </row>
    <row r="1080">
      <c r="A1080" s="47">
        <v>1.1227036231E10</v>
      </c>
      <c r="B1080" s="48">
        <v>46154.629328703704</v>
      </c>
      <c r="C1080" s="30">
        <v>3.842689634E9</v>
      </c>
      <c r="D1080" s="47" t="s">
        <v>1509</v>
      </c>
      <c r="E1080" s="47" t="s">
        <v>318</v>
      </c>
      <c r="F1080" s="47" t="s">
        <v>1523</v>
      </c>
      <c r="G1080" s="47" t="s">
        <v>1552</v>
      </c>
      <c r="H1080" s="30">
        <v>1.0</v>
      </c>
      <c r="I1080" s="30">
        <v>200.0</v>
      </c>
      <c r="J1080" s="30">
        <v>200.0</v>
      </c>
      <c r="K1080" s="30">
        <v>11.25</v>
      </c>
      <c r="L1080" s="30">
        <v>22.5</v>
      </c>
      <c r="M1080" s="30">
        <v>78.6</v>
      </c>
      <c r="N1080" s="30">
        <v>78.6</v>
      </c>
      <c r="O1080" s="30">
        <v>0.0</v>
      </c>
      <c r="P1080" s="30">
        <v>0.0</v>
      </c>
      <c r="Q1080" s="30">
        <v>98.9</v>
      </c>
    </row>
    <row r="1081">
      <c r="A1081" s="47">
        <v>1.1227036231E10</v>
      </c>
      <c r="B1081" s="48">
        <v>46154.629328703704</v>
      </c>
      <c r="C1081" s="30">
        <v>3.842689634E9</v>
      </c>
      <c r="D1081" s="47" t="s">
        <v>1509</v>
      </c>
      <c r="E1081" s="47">
        <v>3.182550737616E12</v>
      </c>
      <c r="F1081" s="47" t="s">
        <v>1523</v>
      </c>
      <c r="G1081" s="47" t="s">
        <v>1577</v>
      </c>
      <c r="H1081" s="30">
        <v>1.0</v>
      </c>
      <c r="I1081" s="30">
        <v>1963.0</v>
      </c>
      <c r="J1081" s="30">
        <v>1963.0</v>
      </c>
      <c r="K1081" s="30">
        <v>6.3</v>
      </c>
      <c r="L1081" s="30">
        <v>123.669</v>
      </c>
      <c r="M1081" s="30">
        <v>1535.52</v>
      </c>
      <c r="N1081" s="30">
        <v>1535.52</v>
      </c>
      <c r="O1081" s="30">
        <v>0.0</v>
      </c>
      <c r="P1081" s="30">
        <v>0.0</v>
      </c>
      <c r="Q1081" s="30">
        <v>303.81100000000004</v>
      </c>
    </row>
    <row r="1082">
      <c r="A1082" s="47">
        <v>1.1230165051E10</v>
      </c>
      <c r="B1082" s="48">
        <v>46155.60797453704</v>
      </c>
      <c r="C1082" s="30">
        <v>3.845547202E9</v>
      </c>
      <c r="D1082" s="47" t="s">
        <v>1509</v>
      </c>
      <c r="E1082" s="47">
        <v>3.182550737616E12</v>
      </c>
      <c r="F1082" s="47" t="s">
        <v>1523</v>
      </c>
      <c r="G1082" s="47" t="s">
        <v>1570</v>
      </c>
      <c r="H1082" s="30">
        <v>1.0</v>
      </c>
      <c r="I1082" s="30">
        <v>1880.0</v>
      </c>
      <c r="J1082" s="30">
        <v>1880.0</v>
      </c>
      <c r="K1082" s="30">
        <v>4.32</v>
      </c>
      <c r="L1082" s="30">
        <v>81.21600000000001</v>
      </c>
      <c r="M1082" s="30">
        <v>1535.52</v>
      </c>
      <c r="N1082" s="30">
        <v>1535.52</v>
      </c>
      <c r="O1082" s="30">
        <v>0.0</v>
      </c>
      <c r="P1082" s="30">
        <v>0.0</v>
      </c>
      <c r="Q1082" s="30">
        <v>263.264</v>
      </c>
    </row>
    <row r="1083">
      <c r="A1083" s="47">
        <v>1.1228030583E10</v>
      </c>
      <c r="B1083" s="48">
        <v>46154.83881944444</v>
      </c>
      <c r="C1083" s="30">
        <v>3.843546082E9</v>
      </c>
      <c r="D1083" s="47" t="s">
        <v>1509</v>
      </c>
      <c r="E1083" s="47">
        <v>3.182550737616E12</v>
      </c>
      <c r="F1083" s="47" t="s">
        <v>1523</v>
      </c>
      <c r="G1083" s="47" t="s">
        <v>1570</v>
      </c>
      <c r="H1083" s="30">
        <v>1.0</v>
      </c>
      <c r="I1083" s="30">
        <v>1852.99</v>
      </c>
      <c r="J1083" s="30">
        <v>1852.99</v>
      </c>
      <c r="K1083" s="30">
        <v>4.32</v>
      </c>
      <c r="L1083" s="30">
        <v>80.04916800000001</v>
      </c>
      <c r="M1083" s="30">
        <v>1535.52</v>
      </c>
      <c r="N1083" s="30">
        <v>1535.52</v>
      </c>
      <c r="O1083" s="30">
        <v>0.0</v>
      </c>
      <c r="P1083" s="30">
        <v>0.0</v>
      </c>
      <c r="Q1083" s="30">
        <v>237.42083200000002</v>
      </c>
    </row>
    <row r="1084">
      <c r="A1084" s="47">
        <v>1.1228822871E10</v>
      </c>
      <c r="B1084" s="48">
        <v>46155.000231481485</v>
      </c>
      <c r="C1084" s="30">
        <v>3.844172359E9</v>
      </c>
      <c r="D1084" s="47" t="s">
        <v>1509</v>
      </c>
      <c r="E1084" s="47">
        <v>3.182550737616E12</v>
      </c>
      <c r="F1084" s="47" t="s">
        <v>1523</v>
      </c>
      <c r="G1084" s="47" t="s">
        <v>1570</v>
      </c>
      <c r="H1084" s="30">
        <v>1.0</v>
      </c>
      <c r="I1084" s="30">
        <v>1852.99</v>
      </c>
      <c r="J1084" s="30">
        <v>1852.99</v>
      </c>
      <c r="K1084" s="30">
        <v>4.32</v>
      </c>
      <c r="L1084" s="30">
        <v>80.04916800000001</v>
      </c>
      <c r="M1084" s="30">
        <v>1535.52</v>
      </c>
      <c r="N1084" s="30">
        <v>1535.52</v>
      </c>
      <c r="O1084" s="30">
        <v>0.0</v>
      </c>
      <c r="P1084" s="30">
        <v>0.0</v>
      </c>
      <c r="Q1084" s="30">
        <v>237.42083200000002</v>
      </c>
    </row>
    <row r="1085">
      <c r="A1085" s="47">
        <v>1.1226438783E10</v>
      </c>
      <c r="B1085" s="48">
        <v>46154.26216435185</v>
      </c>
      <c r="C1085" s="30">
        <v>3.842062349E9</v>
      </c>
      <c r="D1085" s="47" t="s">
        <v>1509</v>
      </c>
      <c r="E1085" s="47">
        <v>3.182550737616E12</v>
      </c>
      <c r="F1085" s="47" t="s">
        <v>1523</v>
      </c>
      <c r="G1085" s="47" t="s">
        <v>1577</v>
      </c>
      <c r="H1085" s="30">
        <v>1.0</v>
      </c>
      <c r="I1085" s="30">
        <v>2034.0</v>
      </c>
      <c r="J1085" s="30">
        <v>2034.0</v>
      </c>
      <c r="K1085" s="30">
        <v>12.5</v>
      </c>
      <c r="L1085" s="30">
        <v>254.25</v>
      </c>
      <c r="M1085" s="30">
        <v>1535.52</v>
      </c>
      <c r="N1085" s="30">
        <v>1535.52</v>
      </c>
      <c r="O1085" s="30">
        <v>0.0</v>
      </c>
      <c r="P1085" s="30">
        <v>0.0</v>
      </c>
      <c r="Q1085" s="30">
        <v>244.23000000000002</v>
      </c>
    </row>
    <row r="1086">
      <c r="A1086" s="47">
        <v>1.1191945906E10</v>
      </c>
      <c r="B1086" s="48">
        <v>46144.62457175926</v>
      </c>
      <c r="C1086" s="30">
        <v>3.810503541E9</v>
      </c>
      <c r="D1086" s="47" t="s">
        <v>1516</v>
      </c>
      <c r="E1086" s="47" t="s">
        <v>413</v>
      </c>
      <c r="F1086" s="47" t="s">
        <v>1523</v>
      </c>
      <c r="G1086" s="47" t="s">
        <v>1590</v>
      </c>
      <c r="H1086" s="30">
        <v>1.0</v>
      </c>
      <c r="I1086" s="30">
        <v>2134.0</v>
      </c>
      <c r="J1086" s="30">
        <v>2134.0</v>
      </c>
      <c r="K1086" s="30">
        <v>13.5</v>
      </c>
      <c r="L1086" s="30">
        <v>288.09</v>
      </c>
      <c r="M1086" s="30">
        <v>1560.0</v>
      </c>
      <c r="N1086" s="30">
        <v>1560.0</v>
      </c>
      <c r="O1086" s="30">
        <v>0.0</v>
      </c>
      <c r="P1086" s="30">
        <v>0.0</v>
      </c>
      <c r="Q1086" s="30">
        <v>285.91</v>
      </c>
    </row>
    <row r="1087">
      <c r="A1087" s="47">
        <v>1.1228437242E10</v>
      </c>
      <c r="B1087" s="48">
        <v>46154.922939814816</v>
      </c>
      <c r="C1087" s="30">
        <v>3.843851843E9</v>
      </c>
      <c r="D1087" s="47" t="s">
        <v>1509</v>
      </c>
      <c r="E1087" s="47">
        <v>3.182550737616E12</v>
      </c>
      <c r="F1087" s="47" t="s">
        <v>1523</v>
      </c>
      <c r="G1087" s="47" t="s">
        <v>1570</v>
      </c>
      <c r="H1087" s="30">
        <v>1.0</v>
      </c>
      <c r="I1087" s="30">
        <v>1852.99</v>
      </c>
      <c r="J1087" s="30">
        <v>1852.99</v>
      </c>
      <c r="K1087" s="30">
        <v>4.32</v>
      </c>
      <c r="L1087" s="30">
        <v>80.04916800000001</v>
      </c>
      <c r="M1087" s="30">
        <v>1535.52</v>
      </c>
      <c r="N1087" s="30">
        <v>1535.52</v>
      </c>
      <c r="O1087" s="30">
        <v>0.0</v>
      </c>
      <c r="P1087" s="30">
        <v>0.0</v>
      </c>
      <c r="Q1087" s="30">
        <v>237.42083200000002</v>
      </c>
    </row>
    <row r="1088">
      <c r="A1088" s="47">
        <v>1.1227995396E10</v>
      </c>
      <c r="B1088" s="48">
        <v>46154.831296296295</v>
      </c>
      <c r="C1088" s="30">
        <v>3.84351561E9</v>
      </c>
      <c r="D1088" s="47" t="s">
        <v>1509</v>
      </c>
      <c r="E1088" s="47">
        <v>3.182550737616E12</v>
      </c>
      <c r="F1088" s="47" t="s">
        <v>1523</v>
      </c>
      <c r="G1088" s="47" t="s">
        <v>1577</v>
      </c>
      <c r="H1088" s="30">
        <v>1.0</v>
      </c>
      <c r="I1088" s="30">
        <v>1852.99</v>
      </c>
      <c r="J1088" s="30">
        <v>1852.99</v>
      </c>
      <c r="K1088" s="30">
        <v>4.32</v>
      </c>
      <c r="L1088" s="30">
        <v>80.04916800000001</v>
      </c>
      <c r="M1088" s="30">
        <v>1535.52</v>
      </c>
      <c r="N1088" s="30">
        <v>1535.52</v>
      </c>
      <c r="O1088" s="30">
        <v>0.0</v>
      </c>
      <c r="P1088" s="30">
        <v>0.0</v>
      </c>
      <c r="Q1088" s="30">
        <v>237.42083200000002</v>
      </c>
    </row>
    <row r="1089">
      <c r="A1089" s="47">
        <v>1.1228956964E10</v>
      </c>
      <c r="B1089" s="48">
        <v>46155.02601851852</v>
      </c>
      <c r="C1089" s="30">
        <v>3.844283644E9</v>
      </c>
      <c r="D1089" s="47" t="s">
        <v>1509</v>
      </c>
      <c r="E1089" s="47" t="s">
        <v>356</v>
      </c>
      <c r="F1089" s="47" t="s">
        <v>1523</v>
      </c>
      <c r="G1089" s="47" t="s">
        <v>1532</v>
      </c>
      <c r="H1089" s="30">
        <v>1.0</v>
      </c>
      <c r="I1089" s="30">
        <v>737.0</v>
      </c>
      <c r="J1089" s="30">
        <v>737.0</v>
      </c>
      <c r="K1089" s="30">
        <v>4.95</v>
      </c>
      <c r="L1089" s="30">
        <v>36.481500000000004</v>
      </c>
      <c r="M1089" s="30">
        <v>580.0</v>
      </c>
      <c r="N1089" s="30">
        <v>580.0</v>
      </c>
      <c r="O1089" s="30">
        <v>0.0</v>
      </c>
      <c r="P1089" s="30">
        <v>0.0</v>
      </c>
      <c r="Q1089" s="30">
        <v>120.51849999999999</v>
      </c>
    </row>
    <row r="1090">
      <c r="A1090" s="47">
        <v>1.1226989383E10</v>
      </c>
      <c r="B1090" s="48">
        <v>46154.61944444444</v>
      </c>
      <c r="C1090" s="30">
        <v>3.842651846E9</v>
      </c>
      <c r="D1090" s="47" t="s">
        <v>1509</v>
      </c>
      <c r="E1090" s="47">
        <v>3.182550737616E12</v>
      </c>
      <c r="F1090" s="47" t="s">
        <v>1523</v>
      </c>
      <c r="G1090" s="47" t="s">
        <v>1577</v>
      </c>
      <c r="H1090" s="30">
        <v>1.0</v>
      </c>
      <c r="I1090" s="30">
        <v>1963.0</v>
      </c>
      <c r="J1090" s="30">
        <v>1963.0</v>
      </c>
      <c r="K1090" s="30">
        <v>6.3</v>
      </c>
      <c r="L1090" s="30">
        <v>123.669</v>
      </c>
      <c r="M1090" s="30">
        <v>1535.52</v>
      </c>
      <c r="N1090" s="30">
        <v>1535.52</v>
      </c>
      <c r="O1090" s="30">
        <v>0.0</v>
      </c>
      <c r="P1090" s="30">
        <v>0.0</v>
      </c>
      <c r="Q1090" s="30">
        <v>303.81100000000004</v>
      </c>
    </row>
    <row r="1091">
      <c r="A1091" s="47">
        <v>1.1228910589E10</v>
      </c>
      <c r="B1091" s="48">
        <v>46155.017013888886</v>
      </c>
      <c r="C1091" s="30">
        <v>3.844242909E9</v>
      </c>
      <c r="D1091" s="47" t="s">
        <v>1509</v>
      </c>
      <c r="E1091" s="47">
        <v>3.182550737616E12</v>
      </c>
      <c r="F1091" s="47" t="s">
        <v>1523</v>
      </c>
      <c r="G1091" s="47" t="s">
        <v>1570</v>
      </c>
      <c r="H1091" s="30">
        <v>1.0</v>
      </c>
      <c r="I1091" s="30">
        <v>1880.0</v>
      </c>
      <c r="J1091" s="30">
        <v>1880.0</v>
      </c>
      <c r="K1091" s="30">
        <v>4.32</v>
      </c>
      <c r="L1091" s="30">
        <v>81.21600000000001</v>
      </c>
      <c r="M1091" s="30">
        <v>1535.52</v>
      </c>
      <c r="N1091" s="30">
        <v>1535.52</v>
      </c>
      <c r="O1091" s="30">
        <v>0.0</v>
      </c>
      <c r="P1091" s="30">
        <v>0.0</v>
      </c>
      <c r="Q1091" s="30">
        <v>263.264</v>
      </c>
    </row>
    <row r="1092">
      <c r="A1092" s="47">
        <v>1.1227841164E10</v>
      </c>
      <c r="B1092" s="48">
        <v>46154.797476851854</v>
      </c>
      <c r="C1092" s="30">
        <v>3.843384072E9</v>
      </c>
      <c r="D1092" s="47" t="s">
        <v>1509</v>
      </c>
      <c r="E1092" s="47">
        <v>6.923632570005E12</v>
      </c>
      <c r="F1092" s="47" t="s">
        <v>301</v>
      </c>
      <c r="G1092" s="47" t="s">
        <v>1544</v>
      </c>
      <c r="H1092" s="30">
        <v>2.0</v>
      </c>
      <c r="I1092" s="30">
        <v>472.0</v>
      </c>
      <c r="J1092" s="30">
        <v>944.0</v>
      </c>
      <c r="K1092" s="30">
        <v>18.0</v>
      </c>
      <c r="L1092" s="30">
        <v>169.92</v>
      </c>
      <c r="M1092" s="30">
        <v>130.0</v>
      </c>
      <c r="N1092" s="30">
        <v>260.0</v>
      </c>
      <c r="O1092" s="30">
        <v>0.0</v>
      </c>
      <c r="P1092" s="30">
        <v>0.0</v>
      </c>
      <c r="Q1092" s="30">
        <v>514.08</v>
      </c>
    </row>
    <row r="1093">
      <c r="A1093" s="47">
        <v>1.1230136425E10</v>
      </c>
      <c r="B1093" s="48">
        <v>46155.601875</v>
      </c>
      <c r="C1093" s="30">
        <v>3.84551999E9</v>
      </c>
      <c r="D1093" s="47" t="s">
        <v>1509</v>
      </c>
      <c r="E1093" s="47">
        <v>6.923632570001E12</v>
      </c>
      <c r="F1093" s="47" t="s">
        <v>1523</v>
      </c>
      <c r="G1093" s="47" t="s">
        <v>1544</v>
      </c>
      <c r="H1093" s="30">
        <v>2.0</v>
      </c>
      <c r="I1093" s="30">
        <v>474.47</v>
      </c>
      <c r="J1093" s="30">
        <v>948.94</v>
      </c>
      <c r="K1093" s="30">
        <v>18.0</v>
      </c>
      <c r="L1093" s="30">
        <v>170.80920000000003</v>
      </c>
      <c r="M1093" s="30">
        <v>130.0</v>
      </c>
      <c r="N1093" s="30">
        <v>260.0</v>
      </c>
      <c r="O1093" s="30">
        <v>0.0</v>
      </c>
      <c r="P1093" s="30">
        <v>0.0</v>
      </c>
      <c r="Q1093" s="30">
        <v>518.1308</v>
      </c>
    </row>
    <row r="1094">
      <c r="A1094" s="47">
        <v>1.1228603437E10</v>
      </c>
      <c r="B1094" s="48">
        <v>46154.9565625</v>
      </c>
      <c r="C1094" s="30">
        <v>3.843980672E9</v>
      </c>
      <c r="D1094" s="47" t="s">
        <v>1509</v>
      </c>
      <c r="E1094" s="47">
        <v>3.182550737616E12</v>
      </c>
      <c r="F1094" s="47" t="s">
        <v>1523</v>
      </c>
      <c r="G1094" s="47" t="s">
        <v>1570</v>
      </c>
      <c r="H1094" s="30">
        <v>1.0</v>
      </c>
      <c r="I1094" s="30">
        <v>1852.99</v>
      </c>
      <c r="J1094" s="30">
        <v>1852.99</v>
      </c>
      <c r="K1094" s="30">
        <v>4.32</v>
      </c>
      <c r="L1094" s="30">
        <v>80.04916800000001</v>
      </c>
      <c r="M1094" s="30">
        <v>1535.52</v>
      </c>
      <c r="N1094" s="30">
        <v>1535.52</v>
      </c>
      <c r="O1094" s="30">
        <v>0.0</v>
      </c>
      <c r="P1094" s="30">
        <v>0.0</v>
      </c>
      <c r="Q1094" s="30">
        <v>237.42083200000002</v>
      </c>
    </row>
    <row r="1095">
      <c r="A1095" s="47">
        <v>1.1228986214E10</v>
      </c>
      <c r="B1095" s="48">
        <v>46155.031909722224</v>
      </c>
      <c r="C1095" s="30">
        <v>3.844311917E9</v>
      </c>
      <c r="D1095" s="47" t="s">
        <v>1509</v>
      </c>
      <c r="E1095" s="47">
        <v>3.182550737616E12</v>
      </c>
      <c r="F1095" s="47" t="s">
        <v>1523</v>
      </c>
      <c r="G1095" s="47" t="s">
        <v>1570</v>
      </c>
      <c r="H1095" s="30">
        <v>1.0</v>
      </c>
      <c r="I1095" s="30">
        <v>1880.0</v>
      </c>
      <c r="J1095" s="30">
        <v>1880.0</v>
      </c>
      <c r="K1095" s="30">
        <v>4.32</v>
      </c>
      <c r="L1095" s="30">
        <v>81.21600000000001</v>
      </c>
      <c r="M1095" s="30">
        <v>1535.52</v>
      </c>
      <c r="N1095" s="30">
        <v>1535.52</v>
      </c>
      <c r="O1095" s="30">
        <v>0.0</v>
      </c>
      <c r="P1095" s="30">
        <v>0.0</v>
      </c>
      <c r="Q1095" s="30">
        <v>263.264</v>
      </c>
    </row>
    <row r="1096">
      <c r="A1096" s="47">
        <v>1.1230014662E10</v>
      </c>
      <c r="B1096" s="48">
        <v>46155.571863425925</v>
      </c>
      <c r="C1096" s="30">
        <v>3.845398046E9</v>
      </c>
      <c r="D1096" s="47" t="s">
        <v>1509</v>
      </c>
      <c r="E1096" s="47">
        <v>3.182550737616E12</v>
      </c>
      <c r="F1096" s="47" t="s">
        <v>1523</v>
      </c>
      <c r="G1096" s="47" t="s">
        <v>1570</v>
      </c>
      <c r="H1096" s="30">
        <v>1.0</v>
      </c>
      <c r="I1096" s="30">
        <v>1880.0</v>
      </c>
      <c r="J1096" s="30">
        <v>1880.0</v>
      </c>
      <c r="K1096" s="30">
        <v>4.32</v>
      </c>
      <c r="L1096" s="30">
        <v>81.21600000000001</v>
      </c>
      <c r="M1096" s="30">
        <v>1535.52</v>
      </c>
      <c r="N1096" s="30">
        <v>1535.52</v>
      </c>
      <c r="O1096" s="30">
        <v>0.0</v>
      </c>
      <c r="P1096" s="30">
        <v>0.0</v>
      </c>
      <c r="Q1096" s="30">
        <v>263.264</v>
      </c>
    </row>
    <row r="1097">
      <c r="A1097" s="47">
        <v>1.1228715491E10</v>
      </c>
      <c r="B1097" s="48">
        <v>46154.97892361111</v>
      </c>
      <c r="C1097" s="30">
        <v>3.844071763E9</v>
      </c>
      <c r="D1097" s="47" t="s">
        <v>1509</v>
      </c>
      <c r="E1097" s="47">
        <v>3.182550737616E12</v>
      </c>
      <c r="F1097" s="47" t="s">
        <v>1523</v>
      </c>
      <c r="G1097" s="47" t="s">
        <v>1570</v>
      </c>
      <c r="H1097" s="30">
        <v>1.0</v>
      </c>
      <c r="I1097" s="30">
        <v>1852.99</v>
      </c>
      <c r="J1097" s="30">
        <v>1852.99</v>
      </c>
      <c r="K1097" s="30">
        <v>4.32</v>
      </c>
      <c r="L1097" s="30">
        <v>80.04916800000001</v>
      </c>
      <c r="M1097" s="30">
        <v>1535.52</v>
      </c>
      <c r="N1097" s="30">
        <v>1535.52</v>
      </c>
      <c r="O1097" s="30">
        <v>0.0</v>
      </c>
      <c r="P1097" s="30">
        <v>0.0</v>
      </c>
      <c r="Q1097" s="30">
        <v>237.42083200000002</v>
      </c>
    </row>
    <row r="1098">
      <c r="A1098" s="47">
        <v>1.1229173871E10</v>
      </c>
      <c r="B1098" s="48">
        <v>46155.0694212963</v>
      </c>
      <c r="C1098" s="30">
        <v>3.844498615E9</v>
      </c>
      <c r="D1098" s="47" t="s">
        <v>1509</v>
      </c>
      <c r="E1098" s="47" t="s">
        <v>356</v>
      </c>
      <c r="F1098" s="47" t="s">
        <v>1523</v>
      </c>
      <c r="G1098" s="47" t="s">
        <v>1532</v>
      </c>
      <c r="H1098" s="30">
        <v>2.0</v>
      </c>
      <c r="I1098" s="30">
        <v>737.0</v>
      </c>
      <c r="J1098" s="30">
        <v>1474.0</v>
      </c>
      <c r="K1098" s="30">
        <v>4.95</v>
      </c>
      <c r="L1098" s="30">
        <v>72.96300000000001</v>
      </c>
      <c r="M1098" s="30">
        <v>580.0</v>
      </c>
      <c r="N1098" s="30">
        <v>1160.0</v>
      </c>
      <c r="O1098" s="30">
        <v>0.0</v>
      </c>
      <c r="P1098" s="30">
        <v>0.0</v>
      </c>
      <c r="Q1098" s="30">
        <v>241.03699999999998</v>
      </c>
    </row>
    <row r="1099">
      <c r="A1099" s="47">
        <v>1.1227728921E10</v>
      </c>
      <c r="B1099" s="48">
        <v>46154.77349537037</v>
      </c>
      <c r="C1099" s="30">
        <v>3.843285035E9</v>
      </c>
      <c r="D1099" s="47" t="s">
        <v>1509</v>
      </c>
      <c r="E1099" s="47">
        <v>3.182550737616E12</v>
      </c>
      <c r="F1099" s="47" t="s">
        <v>1523</v>
      </c>
      <c r="G1099" s="47" t="s">
        <v>1577</v>
      </c>
      <c r="H1099" s="30">
        <v>1.0</v>
      </c>
      <c r="I1099" s="30">
        <v>1852.99</v>
      </c>
      <c r="J1099" s="30">
        <v>1852.99</v>
      </c>
      <c r="K1099" s="30">
        <v>4.32</v>
      </c>
      <c r="L1099" s="30">
        <v>80.04916800000001</v>
      </c>
      <c r="M1099" s="30">
        <v>1535.52</v>
      </c>
      <c r="N1099" s="30">
        <v>1535.52</v>
      </c>
      <c r="O1099" s="30">
        <v>0.0</v>
      </c>
      <c r="P1099" s="30">
        <v>0.0</v>
      </c>
      <c r="Q1099" s="30">
        <v>237.42083200000002</v>
      </c>
    </row>
    <row r="1100">
      <c r="A1100" s="47">
        <v>1.1228270402E10</v>
      </c>
      <c r="B1100" s="48">
        <v>46154.88920138889</v>
      </c>
      <c r="C1100" s="30">
        <v>3.843729778E9</v>
      </c>
      <c r="D1100" s="47" t="s">
        <v>1509</v>
      </c>
      <c r="E1100" s="47">
        <v>3.182550737616E12</v>
      </c>
      <c r="F1100" s="47" t="s">
        <v>1523</v>
      </c>
      <c r="G1100" s="47" t="s">
        <v>1570</v>
      </c>
      <c r="H1100" s="30">
        <v>1.0</v>
      </c>
      <c r="I1100" s="30">
        <v>1852.99</v>
      </c>
      <c r="J1100" s="30">
        <v>1852.99</v>
      </c>
      <c r="K1100" s="30">
        <v>4.32</v>
      </c>
      <c r="L1100" s="30">
        <v>80.04916800000001</v>
      </c>
      <c r="M1100" s="30">
        <v>1535.52</v>
      </c>
      <c r="N1100" s="30">
        <v>1535.52</v>
      </c>
      <c r="O1100" s="30">
        <v>0.0</v>
      </c>
      <c r="P1100" s="30">
        <v>0.0</v>
      </c>
      <c r="Q1100" s="30">
        <v>237.42083200000002</v>
      </c>
    </row>
    <row r="1101">
      <c r="A1101" s="47">
        <v>1.1228247126E10</v>
      </c>
      <c r="B1101" s="48">
        <v>46154.884305555555</v>
      </c>
      <c r="C1101" s="30">
        <v>3.843712031E9</v>
      </c>
      <c r="D1101" s="47" t="s">
        <v>1509</v>
      </c>
      <c r="E1101" s="47">
        <v>3.182550737616E12</v>
      </c>
      <c r="F1101" s="47" t="s">
        <v>1523</v>
      </c>
      <c r="G1101" s="47" t="s">
        <v>1570</v>
      </c>
      <c r="H1101" s="30">
        <v>1.0</v>
      </c>
      <c r="I1101" s="30">
        <v>1852.99</v>
      </c>
      <c r="J1101" s="30">
        <v>1852.99</v>
      </c>
      <c r="K1101" s="30">
        <v>4.32</v>
      </c>
      <c r="L1101" s="30">
        <v>80.04916800000001</v>
      </c>
      <c r="M1101" s="30">
        <v>1535.52</v>
      </c>
      <c r="N1101" s="30">
        <v>1535.52</v>
      </c>
      <c r="O1101" s="30">
        <v>0.0</v>
      </c>
      <c r="P1101" s="30">
        <v>0.0</v>
      </c>
      <c r="Q1101" s="30">
        <v>237.42083200000002</v>
      </c>
    </row>
    <row r="1102">
      <c r="A1102" s="47">
        <v>1.1228427545E10</v>
      </c>
      <c r="B1102" s="48">
        <v>46154.920902777776</v>
      </c>
      <c r="C1102" s="30">
        <v>3.843846729E9</v>
      </c>
      <c r="D1102" s="47" t="s">
        <v>1509</v>
      </c>
      <c r="E1102" s="47">
        <v>3.182550737616E12</v>
      </c>
      <c r="F1102" s="47" t="s">
        <v>1523</v>
      </c>
      <c r="G1102" s="47" t="s">
        <v>1570</v>
      </c>
      <c r="H1102" s="30">
        <v>1.0</v>
      </c>
      <c r="I1102" s="30">
        <v>1852.99</v>
      </c>
      <c r="J1102" s="30">
        <v>1852.99</v>
      </c>
      <c r="K1102" s="30">
        <v>4.32</v>
      </c>
      <c r="L1102" s="30">
        <v>80.04916800000001</v>
      </c>
      <c r="M1102" s="30">
        <v>1535.52</v>
      </c>
      <c r="N1102" s="30">
        <v>1535.52</v>
      </c>
      <c r="O1102" s="30">
        <v>0.0</v>
      </c>
      <c r="P1102" s="30">
        <v>0.0</v>
      </c>
      <c r="Q1102" s="30">
        <v>237.42083200000002</v>
      </c>
    </row>
    <row r="1103">
      <c r="A1103" s="47">
        <v>1.1228071918E10</v>
      </c>
      <c r="B1103" s="48">
        <v>46154.84753472222</v>
      </c>
      <c r="C1103" s="30">
        <v>3.843578002E9</v>
      </c>
      <c r="D1103" s="47" t="s">
        <v>1509</v>
      </c>
      <c r="E1103" s="47" t="s">
        <v>350</v>
      </c>
      <c r="F1103" s="47" t="s">
        <v>1523</v>
      </c>
      <c r="G1103" s="47" t="s">
        <v>1580</v>
      </c>
      <c r="H1103" s="30">
        <v>1.0</v>
      </c>
      <c r="I1103" s="30">
        <v>4000.0</v>
      </c>
      <c r="J1103" s="30">
        <v>4000.0</v>
      </c>
      <c r="K1103" s="30">
        <v>7.83</v>
      </c>
      <c r="L1103" s="30">
        <v>313.2</v>
      </c>
      <c r="M1103" s="30">
        <v>3475.0</v>
      </c>
      <c r="N1103" s="30">
        <v>3475.0</v>
      </c>
      <c r="O1103" s="30">
        <v>0.0</v>
      </c>
      <c r="P1103" s="30">
        <v>0.0</v>
      </c>
      <c r="Q1103" s="30">
        <v>211.8</v>
      </c>
    </row>
    <row r="1104">
      <c r="A1104" s="47">
        <v>1.1228719998E10</v>
      </c>
      <c r="B1104" s="48">
        <v>46154.97987268519</v>
      </c>
      <c r="C1104" s="30">
        <v>3.844074177E9</v>
      </c>
      <c r="D1104" s="47" t="s">
        <v>1509</v>
      </c>
      <c r="E1104" s="47">
        <v>3.182550737616E12</v>
      </c>
      <c r="F1104" s="47" t="s">
        <v>1523</v>
      </c>
      <c r="G1104" s="47" t="s">
        <v>1570</v>
      </c>
      <c r="H1104" s="30">
        <v>1.0</v>
      </c>
      <c r="I1104" s="30">
        <v>1852.99</v>
      </c>
      <c r="J1104" s="30">
        <v>1852.99</v>
      </c>
      <c r="K1104" s="30">
        <v>4.32</v>
      </c>
      <c r="L1104" s="30">
        <v>80.04916800000001</v>
      </c>
      <c r="M1104" s="30">
        <v>1535.52</v>
      </c>
      <c r="N1104" s="30">
        <v>1535.52</v>
      </c>
      <c r="O1104" s="30">
        <v>0.0</v>
      </c>
      <c r="P1104" s="30">
        <v>0.0</v>
      </c>
      <c r="Q1104" s="30">
        <v>237.42083200000002</v>
      </c>
    </row>
    <row r="1105">
      <c r="A1105" s="47">
        <v>1.1228986829E10</v>
      </c>
      <c r="B1105" s="48">
        <v>46155.03203703704</v>
      </c>
      <c r="C1105" s="30">
        <v>3.844312722E9</v>
      </c>
      <c r="D1105" s="47" t="s">
        <v>1509</v>
      </c>
      <c r="E1105" s="47">
        <v>3.182550737616E12</v>
      </c>
      <c r="F1105" s="47" t="s">
        <v>1523</v>
      </c>
      <c r="G1105" s="47" t="s">
        <v>1570</v>
      </c>
      <c r="H1105" s="30">
        <v>1.0</v>
      </c>
      <c r="I1105" s="30">
        <v>1880.0</v>
      </c>
      <c r="J1105" s="30">
        <v>1880.0</v>
      </c>
      <c r="K1105" s="30">
        <v>4.32</v>
      </c>
      <c r="L1105" s="30">
        <v>81.21600000000001</v>
      </c>
      <c r="M1105" s="30">
        <v>1535.52</v>
      </c>
      <c r="N1105" s="30">
        <v>1535.52</v>
      </c>
      <c r="O1105" s="30">
        <v>0.0</v>
      </c>
      <c r="P1105" s="30">
        <v>0.0</v>
      </c>
      <c r="Q1105" s="30">
        <v>263.264</v>
      </c>
    </row>
    <row r="1106">
      <c r="A1106" s="47">
        <v>1.1229395649E10</v>
      </c>
      <c r="B1106" s="48">
        <v>46155.11858796296</v>
      </c>
      <c r="C1106" s="30">
        <v>3.84472405E9</v>
      </c>
      <c r="D1106" s="47" t="s">
        <v>1509</v>
      </c>
      <c r="E1106" s="47" t="s">
        <v>356</v>
      </c>
      <c r="F1106" s="47" t="s">
        <v>1523</v>
      </c>
      <c r="G1106" s="47" t="s">
        <v>1532</v>
      </c>
      <c r="H1106" s="30">
        <v>1.0</v>
      </c>
      <c r="I1106" s="30">
        <v>737.0</v>
      </c>
      <c r="J1106" s="30">
        <v>737.0</v>
      </c>
      <c r="K1106" s="30">
        <v>4.95</v>
      </c>
      <c r="L1106" s="30">
        <v>36.481500000000004</v>
      </c>
      <c r="M1106" s="30">
        <v>580.0</v>
      </c>
      <c r="N1106" s="30">
        <v>580.0</v>
      </c>
      <c r="O1106" s="30">
        <v>0.0</v>
      </c>
      <c r="P1106" s="30">
        <v>0.0</v>
      </c>
      <c r="Q1106" s="30">
        <v>120.51849999999999</v>
      </c>
    </row>
    <row r="1107">
      <c r="A1107" s="47">
        <v>1.122727367E10</v>
      </c>
      <c r="B1107" s="48">
        <v>46154.67721064815</v>
      </c>
      <c r="C1107" s="30">
        <v>3.842886283E9</v>
      </c>
      <c r="D1107" s="47" t="s">
        <v>1509</v>
      </c>
      <c r="E1107" s="47">
        <v>3.182550737593E12</v>
      </c>
      <c r="F1107" s="47" t="s">
        <v>1523</v>
      </c>
      <c r="G1107" s="47" t="s">
        <v>1581</v>
      </c>
      <c r="H1107" s="30">
        <v>1.0</v>
      </c>
      <c r="I1107" s="30">
        <v>1109.0</v>
      </c>
      <c r="J1107" s="30">
        <v>1109.0</v>
      </c>
      <c r="K1107" s="30">
        <v>5.85</v>
      </c>
      <c r="L1107" s="30">
        <v>64.8765</v>
      </c>
      <c r="M1107" s="30">
        <v>832.44</v>
      </c>
      <c r="N1107" s="30">
        <v>832.44</v>
      </c>
      <c r="O1107" s="30">
        <v>0.0</v>
      </c>
      <c r="P1107" s="30">
        <v>0.0</v>
      </c>
      <c r="Q1107" s="30">
        <v>211.68349999999995</v>
      </c>
    </row>
    <row r="1108">
      <c r="A1108" s="47">
        <v>1.1228629748E10</v>
      </c>
      <c r="B1108" s="48">
        <v>46154.96215277778</v>
      </c>
      <c r="C1108" s="30">
        <v>3.844001562E9</v>
      </c>
      <c r="D1108" s="47" t="s">
        <v>1509</v>
      </c>
      <c r="E1108" s="47">
        <v>3.182550737616E12</v>
      </c>
      <c r="F1108" s="47" t="s">
        <v>1523</v>
      </c>
      <c r="G1108" s="47" t="s">
        <v>1570</v>
      </c>
      <c r="H1108" s="30">
        <v>1.0</v>
      </c>
      <c r="I1108" s="30">
        <v>1852.99</v>
      </c>
      <c r="J1108" s="30">
        <v>1852.99</v>
      </c>
      <c r="K1108" s="30">
        <v>4.32</v>
      </c>
      <c r="L1108" s="30">
        <v>80.04916800000001</v>
      </c>
      <c r="M1108" s="30">
        <v>1535.52</v>
      </c>
      <c r="N1108" s="30">
        <v>1535.52</v>
      </c>
      <c r="O1108" s="30">
        <v>0.0</v>
      </c>
      <c r="P1108" s="30">
        <v>0.0</v>
      </c>
      <c r="Q1108" s="30">
        <v>237.42083200000002</v>
      </c>
    </row>
    <row r="1109">
      <c r="A1109" s="47">
        <v>1.1229110806E10</v>
      </c>
      <c r="B1109" s="48">
        <v>46155.0565625</v>
      </c>
      <c r="C1109" s="30">
        <v>3.844434907E9</v>
      </c>
      <c r="D1109" s="47" t="s">
        <v>1509</v>
      </c>
      <c r="E1109" s="47">
        <v>9.003579013748E12</v>
      </c>
      <c r="F1109" s="47" t="s">
        <v>1523</v>
      </c>
      <c r="G1109" s="47" t="s">
        <v>1591</v>
      </c>
      <c r="H1109" s="30">
        <v>1.0</v>
      </c>
      <c r="I1109" s="30">
        <v>599.0</v>
      </c>
      <c r="J1109" s="30">
        <v>599.0</v>
      </c>
      <c r="K1109" s="30">
        <v>11.25</v>
      </c>
      <c r="L1109" s="30">
        <v>67.3875</v>
      </c>
      <c r="M1109" s="30">
        <v>487.2</v>
      </c>
      <c r="N1109" s="30">
        <v>487.2</v>
      </c>
      <c r="O1109" s="30">
        <v>0.0</v>
      </c>
      <c r="P1109" s="30">
        <v>0.0</v>
      </c>
      <c r="Q1109" s="30">
        <v>44.41250000000001</v>
      </c>
    </row>
    <row r="1110">
      <c r="A1110" s="47">
        <v>1.1229686543E10</v>
      </c>
      <c r="B1110" s="48">
        <v>46155.382685185185</v>
      </c>
      <c r="C1110" s="30">
        <v>3.845027909E9</v>
      </c>
      <c r="D1110" s="47" t="s">
        <v>1509</v>
      </c>
      <c r="E1110" s="47" t="s">
        <v>353</v>
      </c>
      <c r="F1110" s="47" t="s">
        <v>1523</v>
      </c>
      <c r="G1110" s="47" t="s">
        <v>1588</v>
      </c>
      <c r="H1110" s="30">
        <v>1.0</v>
      </c>
      <c r="I1110" s="30">
        <v>4089.0</v>
      </c>
      <c r="J1110" s="30">
        <v>4089.0</v>
      </c>
      <c r="K1110" s="30">
        <v>5.94</v>
      </c>
      <c r="L1110" s="30">
        <v>242.8866</v>
      </c>
      <c r="M1110" s="30">
        <v>3475.0</v>
      </c>
      <c r="N1110" s="30">
        <v>3475.0</v>
      </c>
      <c r="O1110" s="30">
        <v>0.0</v>
      </c>
      <c r="P1110" s="30">
        <v>0.0</v>
      </c>
      <c r="Q1110" s="30">
        <v>371.1134</v>
      </c>
    </row>
    <row r="1111">
      <c r="A1111" s="47">
        <v>1.1228204136E10</v>
      </c>
      <c r="B1111" s="48">
        <v>46154.87556712963</v>
      </c>
      <c r="C1111" s="30">
        <v>3.843678647E9</v>
      </c>
      <c r="D1111" s="47" t="s">
        <v>1509</v>
      </c>
      <c r="E1111" s="47">
        <v>3.182550737616E12</v>
      </c>
      <c r="F1111" s="47" t="s">
        <v>1523</v>
      </c>
      <c r="G1111" s="47" t="s">
        <v>1570</v>
      </c>
      <c r="H1111" s="30">
        <v>1.0</v>
      </c>
      <c r="I1111" s="30">
        <v>1852.99</v>
      </c>
      <c r="J1111" s="30">
        <v>1852.99</v>
      </c>
      <c r="K1111" s="30">
        <v>4.32</v>
      </c>
      <c r="L1111" s="30">
        <v>80.04916800000001</v>
      </c>
      <c r="M1111" s="30">
        <v>1535.52</v>
      </c>
      <c r="N1111" s="30">
        <v>1535.52</v>
      </c>
      <c r="O1111" s="30">
        <v>0.0</v>
      </c>
      <c r="P1111" s="30">
        <v>0.0</v>
      </c>
      <c r="Q1111" s="30">
        <v>237.42083200000002</v>
      </c>
    </row>
    <row r="1112">
      <c r="A1112" s="47">
        <v>1.1217809445E10</v>
      </c>
      <c r="B1112" s="48">
        <v>46151.896099537036</v>
      </c>
      <c r="C1112" s="30">
        <v>3.834130111E9</v>
      </c>
      <c r="D1112" s="47" t="s">
        <v>1509</v>
      </c>
      <c r="E1112" s="47">
        <v>8.684501941806E12</v>
      </c>
      <c r="F1112" s="47" t="s">
        <v>291</v>
      </c>
      <c r="G1112" s="47" t="s">
        <v>1556</v>
      </c>
      <c r="H1112" s="30">
        <v>2.0</v>
      </c>
      <c r="I1112" s="30">
        <v>174.995</v>
      </c>
      <c r="J1112" s="30">
        <v>349.99</v>
      </c>
      <c r="K1112" s="30">
        <v>20.0</v>
      </c>
      <c r="L1112" s="30">
        <v>69.998</v>
      </c>
      <c r="M1112" s="30">
        <v>53.0</v>
      </c>
      <c r="N1112" s="30">
        <v>106.0</v>
      </c>
      <c r="O1112" s="30">
        <v>0.0</v>
      </c>
      <c r="P1112" s="30">
        <v>0.0</v>
      </c>
      <c r="Q1112" s="30">
        <v>173.99200000000002</v>
      </c>
    </row>
    <row r="1113">
      <c r="A1113" s="47">
        <v>1.1227793324E10</v>
      </c>
      <c r="B1113" s="48">
        <v>46154.78717592593</v>
      </c>
      <c r="C1113" s="30">
        <v>3.843343927E9</v>
      </c>
      <c r="D1113" s="47" t="s">
        <v>1509</v>
      </c>
      <c r="E1113" s="47">
        <v>3.182550737616E12</v>
      </c>
      <c r="F1113" s="47" t="s">
        <v>1523</v>
      </c>
      <c r="G1113" s="47" t="s">
        <v>1577</v>
      </c>
      <c r="H1113" s="30">
        <v>1.0</v>
      </c>
      <c r="I1113" s="30">
        <v>1852.99</v>
      </c>
      <c r="J1113" s="30">
        <v>1852.99</v>
      </c>
      <c r="K1113" s="30">
        <v>4.32</v>
      </c>
      <c r="L1113" s="30">
        <v>80.04916800000001</v>
      </c>
      <c r="M1113" s="30">
        <v>1535.52</v>
      </c>
      <c r="N1113" s="30">
        <v>1535.52</v>
      </c>
      <c r="O1113" s="30">
        <v>0.0</v>
      </c>
      <c r="P1113" s="30">
        <v>0.0</v>
      </c>
      <c r="Q1113" s="30">
        <v>237.42083200000002</v>
      </c>
    </row>
    <row r="1114">
      <c r="A1114" s="47">
        <v>1.1227378361E10</v>
      </c>
      <c r="B1114" s="48">
        <v>46154.69855324074</v>
      </c>
      <c r="C1114" s="30">
        <v>3.84297852E9</v>
      </c>
      <c r="D1114" s="47" t="s">
        <v>1509</v>
      </c>
      <c r="E1114" s="47">
        <v>3.182550721738E12</v>
      </c>
      <c r="F1114" s="47" t="s">
        <v>1523</v>
      </c>
      <c r="G1114" s="47" t="s">
        <v>1526</v>
      </c>
      <c r="H1114" s="30">
        <v>1.0</v>
      </c>
      <c r="I1114" s="30">
        <v>1549.0</v>
      </c>
      <c r="J1114" s="30">
        <v>1549.0</v>
      </c>
      <c r="K1114" s="30">
        <v>8.46</v>
      </c>
      <c r="L1114" s="30">
        <v>131.0454</v>
      </c>
      <c r="M1114" s="30">
        <v>1210.0</v>
      </c>
      <c r="N1114" s="30">
        <v>1210.0</v>
      </c>
      <c r="O1114" s="30">
        <v>0.0</v>
      </c>
      <c r="P1114" s="30">
        <v>0.0</v>
      </c>
      <c r="Q1114" s="30">
        <v>207.9546</v>
      </c>
    </row>
    <row r="1115">
      <c r="A1115" s="47">
        <v>1.1227304517E10</v>
      </c>
      <c r="B1115" s="48">
        <v>46154.68329861111</v>
      </c>
      <c r="C1115" s="30">
        <v>3.842914509E9</v>
      </c>
      <c r="D1115" s="47" t="s">
        <v>1509</v>
      </c>
      <c r="E1115" s="47">
        <v>3.182550894128E12</v>
      </c>
      <c r="F1115" s="47" t="s">
        <v>1523</v>
      </c>
      <c r="G1115" s="47" t="s">
        <v>1557</v>
      </c>
      <c r="H1115" s="30">
        <v>1.0</v>
      </c>
      <c r="I1115" s="30">
        <v>1619.0</v>
      </c>
      <c r="J1115" s="30">
        <v>1619.0</v>
      </c>
      <c r="K1115" s="30">
        <v>6.66</v>
      </c>
      <c r="L1115" s="30">
        <v>107.8254</v>
      </c>
      <c r="M1115" s="30">
        <v>1394.04</v>
      </c>
      <c r="N1115" s="30">
        <v>1394.04</v>
      </c>
      <c r="O1115" s="30">
        <v>0.0</v>
      </c>
      <c r="P1115" s="30">
        <v>0.0</v>
      </c>
      <c r="Q1115" s="30">
        <v>117.13460000000003</v>
      </c>
    </row>
    <row r="1116">
      <c r="A1116" s="47">
        <v>1.1228190266E10</v>
      </c>
      <c r="B1116" s="48">
        <v>46154.87259259259</v>
      </c>
      <c r="C1116" s="30">
        <v>3.843669678E9</v>
      </c>
      <c r="D1116" s="47" t="s">
        <v>1509</v>
      </c>
      <c r="E1116" s="47">
        <v>3.182550737616E12</v>
      </c>
      <c r="F1116" s="47" t="s">
        <v>1523</v>
      </c>
      <c r="G1116" s="47" t="s">
        <v>1570</v>
      </c>
      <c r="H1116" s="30">
        <v>1.0</v>
      </c>
      <c r="I1116" s="30">
        <v>1852.99</v>
      </c>
      <c r="J1116" s="30">
        <v>1852.99</v>
      </c>
      <c r="K1116" s="30">
        <v>4.32</v>
      </c>
      <c r="L1116" s="30">
        <v>80.04916800000001</v>
      </c>
      <c r="M1116" s="30">
        <v>1535.52</v>
      </c>
      <c r="N1116" s="30">
        <v>1535.52</v>
      </c>
      <c r="O1116" s="30">
        <v>0.0</v>
      </c>
      <c r="P1116" s="30">
        <v>0.0</v>
      </c>
      <c r="Q1116" s="30">
        <v>237.42083200000002</v>
      </c>
    </row>
    <row r="1117">
      <c r="A1117" s="47">
        <v>1.1223602148E10</v>
      </c>
      <c r="B1117" s="48">
        <v>46153.66572916666</v>
      </c>
      <c r="C1117" s="30">
        <v>3.839334825E9</v>
      </c>
      <c r="D1117" s="47" t="s">
        <v>1509</v>
      </c>
      <c r="E1117" s="47" t="s">
        <v>409</v>
      </c>
      <c r="F1117" s="47" t="s">
        <v>1523</v>
      </c>
      <c r="G1117" s="47" t="s">
        <v>1579</v>
      </c>
      <c r="H1117" s="30">
        <v>1.0</v>
      </c>
      <c r="I1117" s="30">
        <v>1499.0</v>
      </c>
      <c r="J1117" s="30">
        <v>1499.0</v>
      </c>
      <c r="K1117" s="30">
        <v>13.5</v>
      </c>
      <c r="L1117" s="30">
        <v>202.365</v>
      </c>
      <c r="M1117" s="30">
        <v>780.0</v>
      </c>
      <c r="N1117" s="30">
        <v>780.0</v>
      </c>
      <c r="O1117" s="30">
        <v>0.0</v>
      </c>
      <c r="P1117" s="30">
        <v>0.0</v>
      </c>
      <c r="Q1117" s="30">
        <v>516.635</v>
      </c>
    </row>
    <row r="1118">
      <c r="A1118" s="47">
        <v>1.1229982962E10</v>
      </c>
      <c r="B1118" s="48">
        <v>46155.56265046296</v>
      </c>
      <c r="C1118" s="30">
        <v>3.845365952E9</v>
      </c>
      <c r="D1118" s="47" t="s">
        <v>1509</v>
      </c>
      <c r="E1118" s="47">
        <v>3.182550737616E12</v>
      </c>
      <c r="F1118" s="47" t="s">
        <v>1523</v>
      </c>
      <c r="G1118" s="47" t="s">
        <v>1570</v>
      </c>
      <c r="H1118" s="30">
        <v>1.0</v>
      </c>
      <c r="I1118" s="30">
        <v>1880.0</v>
      </c>
      <c r="J1118" s="30">
        <v>1880.0</v>
      </c>
      <c r="K1118" s="30">
        <v>4.32</v>
      </c>
      <c r="L1118" s="30">
        <v>81.21600000000001</v>
      </c>
      <c r="M1118" s="30">
        <v>1535.52</v>
      </c>
      <c r="N1118" s="30">
        <v>1535.52</v>
      </c>
      <c r="O1118" s="30">
        <v>0.0</v>
      </c>
      <c r="P1118" s="30">
        <v>0.0</v>
      </c>
      <c r="Q1118" s="30">
        <v>263.264</v>
      </c>
    </row>
    <row r="1119">
      <c r="A1119" s="47">
        <v>1.1229723669E10</v>
      </c>
      <c r="B1119" s="48">
        <v>46155.45060185185</v>
      </c>
      <c r="C1119" s="30">
        <v>3.845077564E9</v>
      </c>
      <c r="D1119" s="47" t="s">
        <v>1509</v>
      </c>
      <c r="E1119" s="47" t="s">
        <v>353</v>
      </c>
      <c r="F1119" s="47" t="s">
        <v>1523</v>
      </c>
      <c r="G1119" s="47" t="s">
        <v>1588</v>
      </c>
      <c r="H1119" s="30">
        <v>1.0</v>
      </c>
      <c r="I1119" s="30">
        <v>4089.0</v>
      </c>
      <c r="J1119" s="30">
        <v>4089.0</v>
      </c>
      <c r="K1119" s="30">
        <v>5.94</v>
      </c>
      <c r="L1119" s="30">
        <v>242.8866</v>
      </c>
      <c r="M1119" s="30">
        <v>3475.0</v>
      </c>
      <c r="N1119" s="30">
        <v>3475.0</v>
      </c>
      <c r="O1119" s="30">
        <v>0.0</v>
      </c>
      <c r="P1119" s="30">
        <v>0.0</v>
      </c>
      <c r="Q1119" s="30">
        <v>371.1134</v>
      </c>
    </row>
    <row r="1120">
      <c r="A1120" s="47">
        <v>1.1227509728E10</v>
      </c>
      <c r="B1120" s="48">
        <v>46154.72626157408</v>
      </c>
      <c r="C1120" s="30">
        <v>3.843093415E9</v>
      </c>
      <c r="D1120" s="47" t="s">
        <v>1509</v>
      </c>
      <c r="E1120" s="47">
        <v>6.923632570121E12</v>
      </c>
      <c r="F1120" s="47" t="s">
        <v>306</v>
      </c>
      <c r="G1120" s="47" t="s">
        <v>1555</v>
      </c>
      <c r="H1120" s="30">
        <v>1.0</v>
      </c>
      <c r="I1120" s="30">
        <v>897.45</v>
      </c>
      <c r="J1120" s="30">
        <v>897.45</v>
      </c>
      <c r="K1120" s="30">
        <v>18.0</v>
      </c>
      <c r="L1120" s="30">
        <v>161.541</v>
      </c>
      <c r="M1120" s="30">
        <v>300.0</v>
      </c>
      <c r="N1120" s="30">
        <v>300.0</v>
      </c>
      <c r="O1120" s="30">
        <v>0.0</v>
      </c>
      <c r="P1120" s="30">
        <v>0.0</v>
      </c>
      <c r="Q1120" s="30">
        <v>435.90900000000005</v>
      </c>
    </row>
    <row r="1121">
      <c r="A1121" s="47">
        <v>1.1229760206E10</v>
      </c>
      <c r="B1121" s="48">
        <v>46155.47893518519</v>
      </c>
      <c r="C1121" s="30">
        <v>3.845121472E9</v>
      </c>
      <c r="D1121" s="47" t="s">
        <v>1509</v>
      </c>
      <c r="E1121" s="47">
        <v>7.613033560033E12</v>
      </c>
      <c r="F1121" s="47">
        <v>0.0</v>
      </c>
      <c r="G1121" s="47" t="s">
        <v>1539</v>
      </c>
      <c r="H1121" s="30">
        <v>1.0</v>
      </c>
      <c r="I1121" s="30">
        <v>1261.99</v>
      </c>
      <c r="J1121" s="30">
        <v>1261.99</v>
      </c>
      <c r="K1121" s="30">
        <v>3.6</v>
      </c>
      <c r="L1121" s="30">
        <v>45.431639999999994</v>
      </c>
      <c r="M1121" s="30">
        <v>1165.0</v>
      </c>
      <c r="N1121" s="30">
        <v>1165.0</v>
      </c>
      <c r="O1121" s="30">
        <v>0.0</v>
      </c>
      <c r="P1121" s="30">
        <v>0.0</v>
      </c>
      <c r="Q1121" s="30">
        <v>51.558360000000015</v>
      </c>
    </row>
    <row r="1122">
      <c r="A1122" s="47">
        <v>1.1228407532E10</v>
      </c>
      <c r="B1122" s="48">
        <v>46154.91685185185</v>
      </c>
      <c r="C1122" s="30">
        <v>3.843833851E9</v>
      </c>
      <c r="D1122" s="47" t="s">
        <v>1509</v>
      </c>
      <c r="E1122" s="47">
        <v>3.182550756419E12</v>
      </c>
      <c r="F1122" s="47" t="s">
        <v>1523</v>
      </c>
      <c r="G1122" s="47" t="s">
        <v>1583</v>
      </c>
      <c r="H1122" s="30">
        <v>1.0</v>
      </c>
      <c r="I1122" s="30">
        <v>1195.0</v>
      </c>
      <c r="J1122" s="30">
        <v>1195.0</v>
      </c>
      <c r="K1122" s="30">
        <v>8.28</v>
      </c>
      <c r="L1122" s="30">
        <v>98.94599999999998</v>
      </c>
      <c r="M1122" s="30">
        <v>999.0</v>
      </c>
      <c r="N1122" s="30">
        <v>999.0</v>
      </c>
      <c r="O1122" s="30">
        <v>0.0</v>
      </c>
      <c r="P1122" s="30">
        <v>0.0</v>
      </c>
      <c r="Q1122" s="30">
        <v>97.05400000000002</v>
      </c>
    </row>
    <row r="1123">
      <c r="A1123" s="47">
        <v>1.1229928393E10</v>
      </c>
      <c r="B1123" s="48">
        <v>46155.54751157408</v>
      </c>
      <c r="C1123" s="30">
        <v>3.845307041E9</v>
      </c>
      <c r="D1123" s="47" t="s">
        <v>1509</v>
      </c>
      <c r="E1123" s="47">
        <v>3.182550737593E12</v>
      </c>
      <c r="F1123" s="47" t="s">
        <v>1523</v>
      </c>
      <c r="G1123" s="47" t="s">
        <v>1529</v>
      </c>
      <c r="H1123" s="30">
        <v>1.0</v>
      </c>
      <c r="I1123" s="30">
        <v>1017.0</v>
      </c>
      <c r="J1123" s="30">
        <v>1017.0</v>
      </c>
      <c r="K1123" s="30">
        <v>3.4</v>
      </c>
      <c r="L1123" s="30">
        <v>34.577999999999996</v>
      </c>
      <c r="M1123" s="30">
        <v>832.44</v>
      </c>
      <c r="N1123" s="30">
        <v>832.44</v>
      </c>
      <c r="O1123" s="30">
        <v>0.0</v>
      </c>
      <c r="P1123" s="30">
        <v>0.0</v>
      </c>
      <c r="Q1123" s="30">
        <v>149.98199999999994</v>
      </c>
    </row>
    <row r="1124">
      <c r="A1124" s="47">
        <v>1.1228465257E10</v>
      </c>
      <c r="B1124" s="48">
        <v>46154.928402777776</v>
      </c>
      <c r="C1124" s="30">
        <v>3.843877794E9</v>
      </c>
      <c r="D1124" s="47" t="s">
        <v>1509</v>
      </c>
      <c r="E1124" s="47">
        <v>3.182550737616E12</v>
      </c>
      <c r="F1124" s="47" t="s">
        <v>1523</v>
      </c>
      <c r="G1124" s="47" t="s">
        <v>1570</v>
      </c>
      <c r="H1124" s="30">
        <v>1.0</v>
      </c>
      <c r="I1124" s="30">
        <v>1852.99</v>
      </c>
      <c r="J1124" s="30">
        <v>1852.99</v>
      </c>
      <c r="K1124" s="30">
        <v>4.32</v>
      </c>
      <c r="L1124" s="30">
        <v>80.04916800000001</v>
      </c>
      <c r="M1124" s="30">
        <v>1535.52</v>
      </c>
      <c r="N1124" s="30">
        <v>1535.52</v>
      </c>
      <c r="O1124" s="30">
        <v>0.0</v>
      </c>
      <c r="P1124" s="30">
        <v>0.0</v>
      </c>
      <c r="Q1124" s="30">
        <v>237.42083200000002</v>
      </c>
    </row>
    <row r="1125">
      <c r="A1125" s="47">
        <v>1.1227143709E10</v>
      </c>
      <c r="B1125" s="48">
        <v>46154.65133101852</v>
      </c>
      <c r="C1125" s="30">
        <v>3.842777452E9</v>
      </c>
      <c r="D1125" s="47" t="s">
        <v>1509</v>
      </c>
      <c r="E1125" s="47">
        <v>3.182550737616E12</v>
      </c>
      <c r="F1125" s="47" t="s">
        <v>1523</v>
      </c>
      <c r="G1125" s="47" t="s">
        <v>1577</v>
      </c>
      <c r="H1125" s="30">
        <v>1.0</v>
      </c>
      <c r="I1125" s="30">
        <v>1963.0</v>
      </c>
      <c r="J1125" s="30">
        <v>1963.0</v>
      </c>
      <c r="K1125" s="30">
        <v>6.3</v>
      </c>
      <c r="L1125" s="30">
        <v>123.669</v>
      </c>
      <c r="M1125" s="30">
        <v>1535.52</v>
      </c>
      <c r="N1125" s="30">
        <v>1535.52</v>
      </c>
      <c r="O1125" s="30">
        <v>0.0</v>
      </c>
      <c r="P1125" s="30">
        <v>0.0</v>
      </c>
      <c r="Q1125" s="30">
        <v>303.81100000000004</v>
      </c>
    </row>
    <row r="1126">
      <c r="A1126" s="47">
        <v>1.1228682175E10</v>
      </c>
      <c r="B1126" s="48">
        <v>46154.97261574074</v>
      </c>
      <c r="C1126" s="30">
        <v>3.844045453E9</v>
      </c>
      <c r="D1126" s="47" t="s">
        <v>1509</v>
      </c>
      <c r="E1126" s="47">
        <v>3.182550737616E12</v>
      </c>
      <c r="F1126" s="47" t="s">
        <v>1523</v>
      </c>
      <c r="G1126" s="47" t="s">
        <v>1570</v>
      </c>
      <c r="H1126" s="30">
        <v>1.0</v>
      </c>
      <c r="I1126" s="30">
        <v>1852.99</v>
      </c>
      <c r="J1126" s="30">
        <v>1852.99</v>
      </c>
      <c r="K1126" s="30">
        <v>4.32</v>
      </c>
      <c r="L1126" s="30">
        <v>80.04916800000001</v>
      </c>
      <c r="M1126" s="30">
        <v>1535.52</v>
      </c>
      <c r="N1126" s="30">
        <v>1535.52</v>
      </c>
      <c r="O1126" s="30">
        <v>0.0</v>
      </c>
      <c r="P1126" s="30">
        <v>0.0</v>
      </c>
      <c r="Q1126" s="30">
        <v>237.42083200000002</v>
      </c>
    </row>
    <row r="1127">
      <c r="A1127" s="47">
        <v>1.1229164912E10</v>
      </c>
      <c r="B1127" s="48">
        <v>46155.067465277774</v>
      </c>
      <c r="C1127" s="30">
        <v>3.844488424E9</v>
      </c>
      <c r="D1127" s="47" t="s">
        <v>1509</v>
      </c>
      <c r="E1127" s="47">
        <v>3.182550737616E12</v>
      </c>
      <c r="F1127" s="47" t="s">
        <v>1523</v>
      </c>
      <c r="G1127" s="47" t="s">
        <v>1570</v>
      </c>
      <c r="H1127" s="30">
        <v>1.0</v>
      </c>
      <c r="I1127" s="30">
        <v>1880.0</v>
      </c>
      <c r="J1127" s="30">
        <v>1880.0</v>
      </c>
      <c r="K1127" s="30">
        <v>4.32</v>
      </c>
      <c r="L1127" s="30">
        <v>81.21600000000001</v>
      </c>
      <c r="M1127" s="30">
        <v>1535.52</v>
      </c>
      <c r="N1127" s="30">
        <v>1535.52</v>
      </c>
      <c r="O1127" s="30">
        <v>0.0</v>
      </c>
      <c r="P1127" s="30">
        <v>0.0</v>
      </c>
      <c r="Q1127" s="30">
        <v>263.264</v>
      </c>
    </row>
    <row r="1128">
      <c r="A1128" s="47">
        <v>1.1228522574E10</v>
      </c>
      <c r="B1128" s="48">
        <v>46154.94011574074</v>
      </c>
      <c r="C1128" s="30">
        <v>3.843917009E9</v>
      </c>
      <c r="D1128" s="47" t="s">
        <v>1509</v>
      </c>
      <c r="E1128" s="47">
        <v>3.182550737616E12</v>
      </c>
      <c r="F1128" s="47" t="s">
        <v>1523</v>
      </c>
      <c r="G1128" s="47" t="s">
        <v>1570</v>
      </c>
      <c r="H1128" s="30">
        <v>1.0</v>
      </c>
      <c r="I1128" s="30">
        <v>1852.99</v>
      </c>
      <c r="J1128" s="30">
        <v>1852.99</v>
      </c>
      <c r="K1128" s="30">
        <v>4.32</v>
      </c>
      <c r="L1128" s="30">
        <v>80.04916800000001</v>
      </c>
      <c r="M1128" s="30">
        <v>1535.52</v>
      </c>
      <c r="N1128" s="30">
        <v>1535.52</v>
      </c>
      <c r="O1128" s="30">
        <v>0.0</v>
      </c>
      <c r="P1128" s="30">
        <v>0.0</v>
      </c>
      <c r="Q1128" s="30">
        <v>237.42083200000002</v>
      </c>
    </row>
    <row r="1129">
      <c r="A1129" s="47">
        <v>1.1229150923E10</v>
      </c>
      <c r="B1129" s="48">
        <v>46155.064409722225</v>
      </c>
      <c r="C1129" s="30">
        <v>3.844475922E9</v>
      </c>
      <c r="D1129" s="47" t="s">
        <v>1509</v>
      </c>
      <c r="E1129" s="47">
        <v>3.182550737616E12</v>
      </c>
      <c r="F1129" s="47" t="s">
        <v>1523</v>
      </c>
      <c r="G1129" s="47" t="s">
        <v>1570</v>
      </c>
      <c r="H1129" s="30">
        <v>1.0</v>
      </c>
      <c r="I1129" s="30">
        <v>1880.0</v>
      </c>
      <c r="J1129" s="30">
        <v>1880.0</v>
      </c>
      <c r="K1129" s="30">
        <v>4.32</v>
      </c>
      <c r="L1129" s="30">
        <v>81.21600000000001</v>
      </c>
      <c r="M1129" s="30">
        <v>1535.52</v>
      </c>
      <c r="N1129" s="30">
        <v>1535.52</v>
      </c>
      <c r="O1129" s="30">
        <v>0.0</v>
      </c>
      <c r="P1129" s="30">
        <v>0.0</v>
      </c>
      <c r="Q1129" s="30">
        <v>263.264</v>
      </c>
    </row>
    <row r="1130">
      <c r="A1130" s="47">
        <v>1.1229293765E10</v>
      </c>
      <c r="B1130" s="48">
        <v>46155.09486111111</v>
      </c>
      <c r="C1130" s="30">
        <v>3.844619049E9</v>
      </c>
      <c r="D1130" s="47" t="s">
        <v>1509</v>
      </c>
      <c r="E1130" s="47">
        <v>3.182550737616E12</v>
      </c>
      <c r="F1130" s="47" t="s">
        <v>1523</v>
      </c>
      <c r="G1130" s="47" t="s">
        <v>1570</v>
      </c>
      <c r="H1130" s="30">
        <v>1.0</v>
      </c>
      <c r="I1130" s="30">
        <v>1880.0</v>
      </c>
      <c r="J1130" s="30">
        <v>1880.0</v>
      </c>
      <c r="K1130" s="30">
        <v>4.32</v>
      </c>
      <c r="L1130" s="30">
        <v>81.21600000000001</v>
      </c>
      <c r="M1130" s="30">
        <v>1535.52</v>
      </c>
      <c r="N1130" s="30">
        <v>1535.52</v>
      </c>
      <c r="O1130" s="30">
        <v>0.0</v>
      </c>
      <c r="P1130" s="30">
        <v>0.0</v>
      </c>
      <c r="Q1130" s="30">
        <v>263.264</v>
      </c>
    </row>
    <row r="1131">
      <c r="A1131" s="47">
        <v>1.1229052302E10</v>
      </c>
      <c r="B1131" s="48">
        <v>46155.045011574075</v>
      </c>
      <c r="C1131" s="30">
        <v>3.844375999E9</v>
      </c>
      <c r="D1131" s="47" t="s">
        <v>1509</v>
      </c>
      <c r="E1131" s="47">
        <v>7.613032816536E12</v>
      </c>
      <c r="F1131" s="47" t="s">
        <v>1523</v>
      </c>
      <c r="G1131" s="47" t="s">
        <v>1533</v>
      </c>
      <c r="H1131" s="30">
        <v>1.0</v>
      </c>
      <c r="I1131" s="30">
        <v>735.0</v>
      </c>
      <c r="J1131" s="30">
        <v>735.0</v>
      </c>
      <c r="K1131" s="30">
        <v>4.41</v>
      </c>
      <c r="L1131" s="30">
        <v>32.4135</v>
      </c>
      <c r="M1131" s="30">
        <v>580.0</v>
      </c>
      <c r="N1131" s="30">
        <v>580.0</v>
      </c>
      <c r="O1131" s="30">
        <v>0.0</v>
      </c>
      <c r="P1131" s="30">
        <v>0.0</v>
      </c>
      <c r="Q1131" s="30">
        <v>122.5865</v>
      </c>
    </row>
    <row r="1132">
      <c r="A1132" s="47">
        <v>1.1228600691E10</v>
      </c>
      <c r="B1132" s="48">
        <v>46154.95599537037</v>
      </c>
      <c r="C1132" s="30">
        <v>3.843978882E9</v>
      </c>
      <c r="D1132" s="47" t="s">
        <v>1509</v>
      </c>
      <c r="E1132" s="47">
        <v>3.182550756419E12</v>
      </c>
      <c r="F1132" s="47" t="s">
        <v>1523</v>
      </c>
      <c r="G1132" s="47" t="s">
        <v>1583</v>
      </c>
      <c r="H1132" s="30">
        <v>1.0</v>
      </c>
      <c r="I1132" s="30">
        <v>1195.0</v>
      </c>
      <c r="J1132" s="30">
        <v>1195.0</v>
      </c>
      <c r="K1132" s="30">
        <v>8.28</v>
      </c>
      <c r="L1132" s="30">
        <v>98.94599999999998</v>
      </c>
      <c r="M1132" s="30">
        <v>999.0</v>
      </c>
      <c r="N1132" s="30">
        <v>999.0</v>
      </c>
      <c r="O1132" s="30">
        <v>0.0</v>
      </c>
      <c r="P1132" s="30">
        <v>0.0</v>
      </c>
      <c r="Q1132" s="30">
        <v>97.05400000000002</v>
      </c>
    </row>
    <row r="1133">
      <c r="A1133" s="47">
        <v>1.1229467976E10</v>
      </c>
      <c r="B1133" s="48">
        <v>46155.13888888889</v>
      </c>
      <c r="C1133" s="30">
        <v>3.844801362E9</v>
      </c>
      <c r="D1133" s="47" t="s">
        <v>1509</v>
      </c>
      <c r="E1133" s="47">
        <v>3.182550737616E12</v>
      </c>
      <c r="F1133" s="47" t="s">
        <v>1523</v>
      </c>
      <c r="G1133" s="47" t="s">
        <v>1570</v>
      </c>
      <c r="H1133" s="30">
        <v>1.0</v>
      </c>
      <c r="I1133" s="30">
        <v>1880.0</v>
      </c>
      <c r="J1133" s="30">
        <v>1880.0</v>
      </c>
      <c r="K1133" s="30">
        <v>4.32</v>
      </c>
      <c r="L1133" s="30">
        <v>81.21600000000001</v>
      </c>
      <c r="M1133" s="30">
        <v>1535.52</v>
      </c>
      <c r="N1133" s="30">
        <v>1535.52</v>
      </c>
      <c r="O1133" s="30">
        <v>0.0</v>
      </c>
      <c r="P1133" s="30">
        <v>0.0</v>
      </c>
      <c r="Q1133" s="30">
        <v>263.264</v>
      </c>
    </row>
    <row r="1134">
      <c r="A1134" s="47">
        <v>1.1229384637E10</v>
      </c>
      <c r="B1134" s="48">
        <v>46155.11572916667</v>
      </c>
      <c r="C1134" s="30">
        <v>3.844714155E9</v>
      </c>
      <c r="D1134" s="47" t="s">
        <v>1509</v>
      </c>
      <c r="E1134" s="47" t="s">
        <v>356</v>
      </c>
      <c r="F1134" s="47" t="s">
        <v>1523</v>
      </c>
      <c r="G1134" s="47" t="s">
        <v>1532</v>
      </c>
      <c r="H1134" s="30">
        <v>1.0</v>
      </c>
      <c r="I1134" s="30">
        <v>737.0</v>
      </c>
      <c r="J1134" s="30">
        <v>737.0</v>
      </c>
      <c r="K1134" s="30">
        <v>4.95</v>
      </c>
      <c r="L1134" s="30">
        <v>36.481500000000004</v>
      </c>
      <c r="M1134" s="30">
        <v>580.0</v>
      </c>
      <c r="N1134" s="30">
        <v>580.0</v>
      </c>
      <c r="O1134" s="30">
        <v>0.0</v>
      </c>
      <c r="P1134" s="30">
        <v>0.0</v>
      </c>
      <c r="Q1134" s="30">
        <v>120.51849999999999</v>
      </c>
    </row>
    <row r="1135">
      <c r="A1135" s="47">
        <v>1.1228268391E10</v>
      </c>
      <c r="B1135" s="48">
        <v>46154.888773148145</v>
      </c>
      <c r="C1135" s="30">
        <v>3.84372857E9</v>
      </c>
      <c r="D1135" s="47" t="s">
        <v>1509</v>
      </c>
      <c r="E1135" s="47">
        <v>3.182550737616E12</v>
      </c>
      <c r="F1135" s="47" t="s">
        <v>1523</v>
      </c>
      <c r="G1135" s="47" t="s">
        <v>1570</v>
      </c>
      <c r="H1135" s="30">
        <v>1.0</v>
      </c>
      <c r="I1135" s="30">
        <v>1852.99</v>
      </c>
      <c r="J1135" s="30">
        <v>1852.99</v>
      </c>
      <c r="K1135" s="30">
        <v>4.32</v>
      </c>
      <c r="L1135" s="30">
        <v>80.04916800000001</v>
      </c>
      <c r="M1135" s="30">
        <v>1535.52</v>
      </c>
      <c r="N1135" s="30">
        <v>1535.52</v>
      </c>
      <c r="O1135" s="30">
        <v>0.0</v>
      </c>
      <c r="P1135" s="30">
        <v>0.0</v>
      </c>
      <c r="Q1135" s="30">
        <v>237.42083200000002</v>
      </c>
    </row>
    <row r="1136">
      <c r="A1136" s="47">
        <v>1.1227167323E10</v>
      </c>
      <c r="B1136" s="48">
        <v>46154.65584490741</v>
      </c>
      <c r="C1136" s="30">
        <v>3.842797029E9</v>
      </c>
      <c r="D1136" s="47" t="s">
        <v>1509</v>
      </c>
      <c r="E1136" s="47">
        <v>3.182550737616E12</v>
      </c>
      <c r="F1136" s="47" t="s">
        <v>1523</v>
      </c>
      <c r="G1136" s="47" t="s">
        <v>1577</v>
      </c>
      <c r="H1136" s="30">
        <v>1.0</v>
      </c>
      <c r="I1136" s="30">
        <v>1963.0</v>
      </c>
      <c r="J1136" s="30">
        <v>1963.0</v>
      </c>
      <c r="K1136" s="30">
        <v>6.3</v>
      </c>
      <c r="L1136" s="30">
        <v>123.669</v>
      </c>
      <c r="M1136" s="30">
        <v>1535.52</v>
      </c>
      <c r="N1136" s="30">
        <v>1535.52</v>
      </c>
      <c r="O1136" s="30">
        <v>0.0</v>
      </c>
      <c r="P1136" s="30">
        <v>0.0</v>
      </c>
      <c r="Q1136" s="30">
        <v>303.81100000000004</v>
      </c>
    </row>
    <row r="1137">
      <c r="A1137" s="47">
        <v>1.1227907654E10</v>
      </c>
      <c r="B1137" s="48">
        <v>46154.81196759259</v>
      </c>
      <c r="C1137" s="30">
        <v>3.84344236E9</v>
      </c>
      <c r="D1137" s="47" t="s">
        <v>1509</v>
      </c>
      <c r="E1137" s="47">
        <v>3.182550756419E12</v>
      </c>
      <c r="F1137" s="47" t="s">
        <v>1523</v>
      </c>
      <c r="G1137" s="47" t="s">
        <v>1583</v>
      </c>
      <c r="H1137" s="30">
        <v>1.0</v>
      </c>
      <c r="I1137" s="30">
        <v>1195.0</v>
      </c>
      <c r="J1137" s="30">
        <v>1195.0</v>
      </c>
      <c r="K1137" s="30">
        <v>8.28</v>
      </c>
      <c r="L1137" s="30">
        <v>98.94599999999998</v>
      </c>
      <c r="M1137" s="30">
        <v>999.0</v>
      </c>
      <c r="N1137" s="30">
        <v>999.0</v>
      </c>
      <c r="O1137" s="30">
        <v>0.0</v>
      </c>
      <c r="P1137" s="30">
        <v>0.0</v>
      </c>
      <c r="Q1137" s="30">
        <v>97.05400000000002</v>
      </c>
    </row>
    <row r="1138">
      <c r="A1138" s="47">
        <v>1.1228279648E10</v>
      </c>
      <c r="B1138" s="48">
        <v>46154.89115740741</v>
      </c>
      <c r="C1138" s="30">
        <v>3.843735531E9</v>
      </c>
      <c r="D1138" s="47" t="s">
        <v>1509</v>
      </c>
      <c r="E1138" s="47">
        <v>3.182550756419E12</v>
      </c>
      <c r="F1138" s="47" t="s">
        <v>1523</v>
      </c>
      <c r="G1138" s="47" t="s">
        <v>1583</v>
      </c>
      <c r="H1138" s="30">
        <v>1.0</v>
      </c>
      <c r="I1138" s="30">
        <v>1195.0</v>
      </c>
      <c r="J1138" s="30">
        <v>1195.0</v>
      </c>
      <c r="K1138" s="30">
        <v>8.28</v>
      </c>
      <c r="L1138" s="30">
        <v>98.94599999999998</v>
      </c>
      <c r="M1138" s="30">
        <v>999.0</v>
      </c>
      <c r="N1138" s="30">
        <v>999.0</v>
      </c>
      <c r="O1138" s="30">
        <v>0.0</v>
      </c>
      <c r="P1138" s="30">
        <v>0.0</v>
      </c>
      <c r="Q1138" s="30">
        <v>97.05400000000002</v>
      </c>
    </row>
    <row r="1139">
      <c r="A1139" s="47">
        <v>1.1230396592E10</v>
      </c>
      <c r="B1139" s="48">
        <v>46155.65479166667</v>
      </c>
      <c r="C1139" s="30">
        <v>3.845736976E9</v>
      </c>
      <c r="D1139" s="47" t="s">
        <v>1509</v>
      </c>
      <c r="E1139" s="47" t="s">
        <v>393</v>
      </c>
      <c r="F1139" s="47" t="s">
        <v>1523</v>
      </c>
      <c r="G1139" s="47" t="s">
        <v>1582</v>
      </c>
      <c r="H1139" s="30">
        <v>1.0</v>
      </c>
      <c r="I1139" s="30">
        <v>1186.0</v>
      </c>
      <c r="J1139" s="30">
        <v>1186.0</v>
      </c>
      <c r="K1139" s="30">
        <v>12.15</v>
      </c>
      <c r="L1139" s="30">
        <v>144.099</v>
      </c>
      <c r="M1139" s="30">
        <v>850.0</v>
      </c>
      <c r="N1139" s="30">
        <v>850.0</v>
      </c>
      <c r="O1139" s="30">
        <v>0.0</v>
      </c>
      <c r="P1139" s="30">
        <v>0.0</v>
      </c>
      <c r="Q1139" s="30">
        <v>191.901</v>
      </c>
    </row>
    <row r="1140">
      <c r="A1140" s="47">
        <v>1.1227904818E10</v>
      </c>
      <c r="B1140" s="48">
        <v>46154.81133101852</v>
      </c>
      <c r="C1140" s="30">
        <v>3.843438174E9</v>
      </c>
      <c r="D1140" s="47" t="s">
        <v>1509</v>
      </c>
      <c r="E1140" s="47">
        <v>3.182550737616E12</v>
      </c>
      <c r="F1140" s="47" t="s">
        <v>1523</v>
      </c>
      <c r="G1140" s="47" t="s">
        <v>1577</v>
      </c>
      <c r="H1140" s="30">
        <v>1.0</v>
      </c>
      <c r="I1140" s="30">
        <v>1852.99</v>
      </c>
      <c r="J1140" s="30">
        <v>1852.99</v>
      </c>
      <c r="K1140" s="30">
        <v>4.32</v>
      </c>
      <c r="L1140" s="30">
        <v>80.04916800000001</v>
      </c>
      <c r="M1140" s="30">
        <v>1535.52</v>
      </c>
      <c r="N1140" s="30">
        <v>1535.52</v>
      </c>
      <c r="O1140" s="30">
        <v>0.0</v>
      </c>
      <c r="P1140" s="30">
        <v>0.0</v>
      </c>
      <c r="Q1140" s="30">
        <v>237.42083200000002</v>
      </c>
    </row>
    <row r="1141">
      <c r="A1141" s="47">
        <v>1.1229072585E10</v>
      </c>
      <c r="B1141" s="48">
        <v>46155.048854166664</v>
      </c>
      <c r="C1141" s="30">
        <v>3.844397375E9</v>
      </c>
      <c r="D1141" s="47" t="s">
        <v>1509</v>
      </c>
      <c r="E1141" s="47">
        <v>3.182550737616E12</v>
      </c>
      <c r="F1141" s="47" t="s">
        <v>1523</v>
      </c>
      <c r="G1141" s="47" t="s">
        <v>1570</v>
      </c>
      <c r="H1141" s="30">
        <v>1.0</v>
      </c>
      <c r="I1141" s="30">
        <v>1880.0</v>
      </c>
      <c r="J1141" s="30">
        <v>1880.0</v>
      </c>
      <c r="K1141" s="30">
        <v>4.32</v>
      </c>
      <c r="L1141" s="30">
        <v>81.21600000000001</v>
      </c>
      <c r="M1141" s="30">
        <v>1535.52</v>
      </c>
      <c r="N1141" s="30">
        <v>1535.52</v>
      </c>
      <c r="O1141" s="30">
        <v>0.0</v>
      </c>
      <c r="P1141" s="30">
        <v>0.0</v>
      </c>
      <c r="Q1141" s="30">
        <v>263.264</v>
      </c>
    </row>
    <row r="1142">
      <c r="A1142" s="47">
        <v>1.1229510659E10</v>
      </c>
      <c r="B1142" s="48">
        <v>46155.15342592593</v>
      </c>
      <c r="C1142" s="30">
        <v>3.844843918E9</v>
      </c>
      <c r="D1142" s="47" t="s">
        <v>1509</v>
      </c>
      <c r="E1142" s="47">
        <v>7.613033560033E12</v>
      </c>
      <c r="F1142" s="47">
        <v>0.0</v>
      </c>
      <c r="G1142" s="47" t="s">
        <v>1539</v>
      </c>
      <c r="H1142" s="30">
        <v>1.0</v>
      </c>
      <c r="I1142" s="30">
        <v>1261.99</v>
      </c>
      <c r="J1142" s="30">
        <v>1261.99</v>
      </c>
      <c r="K1142" s="30">
        <v>3.6</v>
      </c>
      <c r="L1142" s="30">
        <v>45.431639999999994</v>
      </c>
      <c r="M1142" s="30">
        <v>1165.0</v>
      </c>
      <c r="N1142" s="30">
        <v>1165.0</v>
      </c>
      <c r="O1142" s="30">
        <v>0.0</v>
      </c>
      <c r="P1142" s="30">
        <v>0.0</v>
      </c>
      <c r="Q1142" s="30">
        <v>51.558360000000015</v>
      </c>
    </row>
    <row r="1143">
      <c r="A1143" s="47">
        <v>1.1228632884E10</v>
      </c>
      <c r="B1143" s="48">
        <v>46154.96282407407</v>
      </c>
      <c r="C1143" s="30">
        <v>3.844003341E9</v>
      </c>
      <c r="D1143" s="47" t="s">
        <v>1509</v>
      </c>
      <c r="E1143" s="47">
        <v>3.182550737616E12</v>
      </c>
      <c r="F1143" s="47" t="s">
        <v>1523</v>
      </c>
      <c r="G1143" s="47" t="s">
        <v>1570</v>
      </c>
      <c r="H1143" s="30">
        <v>1.0</v>
      </c>
      <c r="I1143" s="30">
        <v>1852.99</v>
      </c>
      <c r="J1143" s="30">
        <v>1852.99</v>
      </c>
      <c r="K1143" s="30">
        <v>4.32</v>
      </c>
      <c r="L1143" s="30">
        <v>80.04916800000001</v>
      </c>
      <c r="M1143" s="30">
        <v>1535.52</v>
      </c>
      <c r="N1143" s="30">
        <v>1535.52</v>
      </c>
      <c r="O1143" s="30">
        <v>0.0</v>
      </c>
      <c r="P1143" s="30">
        <v>0.0</v>
      </c>
      <c r="Q1143" s="30">
        <v>237.42083200000002</v>
      </c>
    </row>
    <row r="1144">
      <c r="A1144" s="47">
        <v>1.1229405354E10</v>
      </c>
      <c r="B1144" s="48">
        <v>46155.12060185185</v>
      </c>
      <c r="C1144" s="30">
        <v>3.844733781E9</v>
      </c>
      <c r="D1144" s="47" t="s">
        <v>1509</v>
      </c>
      <c r="E1144" s="47" t="s">
        <v>353</v>
      </c>
      <c r="F1144" s="47" t="s">
        <v>1523</v>
      </c>
      <c r="G1144" s="47" t="s">
        <v>1588</v>
      </c>
      <c r="H1144" s="30">
        <v>1.0</v>
      </c>
      <c r="I1144" s="30">
        <v>4089.0</v>
      </c>
      <c r="J1144" s="30">
        <v>4089.0</v>
      </c>
      <c r="K1144" s="30">
        <v>5.94</v>
      </c>
      <c r="L1144" s="30">
        <v>242.8866</v>
      </c>
      <c r="M1144" s="30">
        <v>3475.0</v>
      </c>
      <c r="N1144" s="30">
        <v>3475.0</v>
      </c>
      <c r="O1144" s="30">
        <v>0.0</v>
      </c>
      <c r="P1144" s="30">
        <v>0.0</v>
      </c>
      <c r="Q1144" s="30">
        <v>371.1134</v>
      </c>
    </row>
    <row r="1145">
      <c r="A1145" s="47">
        <v>1.1223959563E10</v>
      </c>
      <c r="B1145" s="48">
        <v>46153.73033564815</v>
      </c>
      <c r="C1145" s="30">
        <v>3.839670951E9</v>
      </c>
      <c r="D1145" s="47" t="s">
        <v>1509</v>
      </c>
      <c r="E1145" s="47">
        <v>3.182550727822E12</v>
      </c>
      <c r="F1145" s="47" t="s">
        <v>1523</v>
      </c>
      <c r="G1145" s="47" t="s">
        <v>1592</v>
      </c>
      <c r="H1145" s="30">
        <v>1.0</v>
      </c>
      <c r="I1145" s="30">
        <v>1767.0</v>
      </c>
      <c r="J1145" s="30">
        <v>1767.0</v>
      </c>
      <c r="K1145" s="30">
        <v>12.5</v>
      </c>
      <c r="L1145" s="30">
        <v>220.875</v>
      </c>
      <c r="M1145" s="30">
        <v>1260.0</v>
      </c>
      <c r="N1145" s="30">
        <v>1260.0</v>
      </c>
      <c r="O1145" s="30">
        <v>0.0</v>
      </c>
      <c r="P1145" s="30">
        <v>0.0</v>
      </c>
      <c r="Q1145" s="30">
        <v>286.125</v>
      </c>
    </row>
    <row r="1146">
      <c r="A1146" s="47">
        <v>1.122836982E10</v>
      </c>
      <c r="B1146" s="48">
        <v>46154.90930555556</v>
      </c>
      <c r="C1146" s="30">
        <v>3.843802496E9</v>
      </c>
      <c r="D1146" s="47" t="s">
        <v>1509</v>
      </c>
      <c r="E1146" s="47">
        <v>3.182550737616E12</v>
      </c>
      <c r="F1146" s="47" t="s">
        <v>1523</v>
      </c>
      <c r="G1146" s="47" t="s">
        <v>1570</v>
      </c>
      <c r="H1146" s="30">
        <v>1.0</v>
      </c>
      <c r="I1146" s="30">
        <v>1852.99</v>
      </c>
      <c r="J1146" s="30">
        <v>1852.99</v>
      </c>
      <c r="K1146" s="30">
        <v>4.32</v>
      </c>
      <c r="L1146" s="30">
        <v>80.04916800000001</v>
      </c>
      <c r="M1146" s="30">
        <v>1535.52</v>
      </c>
      <c r="N1146" s="30">
        <v>1535.52</v>
      </c>
      <c r="O1146" s="30">
        <v>0.0</v>
      </c>
      <c r="P1146" s="30">
        <v>0.0</v>
      </c>
      <c r="Q1146" s="30">
        <v>237.42083200000002</v>
      </c>
    </row>
    <row r="1147">
      <c r="A1147" s="47">
        <v>1.1229089532E10</v>
      </c>
      <c r="B1147" s="48">
        <v>46155.05211805556</v>
      </c>
      <c r="C1147" s="30">
        <v>3.844412285E9</v>
      </c>
      <c r="D1147" s="47" t="s">
        <v>1509</v>
      </c>
      <c r="E1147" s="47">
        <v>7.613032816536E12</v>
      </c>
      <c r="F1147" s="47" t="s">
        <v>1523</v>
      </c>
      <c r="G1147" s="47" t="s">
        <v>1533</v>
      </c>
      <c r="H1147" s="30">
        <v>1.0</v>
      </c>
      <c r="I1147" s="30">
        <v>735.0</v>
      </c>
      <c r="J1147" s="30">
        <v>735.0</v>
      </c>
      <c r="K1147" s="30">
        <v>4.41</v>
      </c>
      <c r="L1147" s="30">
        <v>32.4135</v>
      </c>
      <c r="M1147" s="30">
        <v>580.0</v>
      </c>
      <c r="N1147" s="30">
        <v>580.0</v>
      </c>
      <c r="O1147" s="30">
        <v>0.0</v>
      </c>
      <c r="P1147" s="30">
        <v>0.0</v>
      </c>
      <c r="Q1147" s="30">
        <v>122.5865</v>
      </c>
    </row>
    <row r="1148">
      <c r="A1148" s="47">
        <v>1.1229150322E10</v>
      </c>
      <c r="B1148" s="48">
        <v>46155.06427083333</v>
      </c>
      <c r="C1148" s="30">
        <v>3.844472835E9</v>
      </c>
      <c r="D1148" s="47" t="s">
        <v>1509</v>
      </c>
      <c r="E1148" s="47">
        <v>2.0000041025165E13</v>
      </c>
      <c r="F1148" s="47" t="s">
        <v>1523</v>
      </c>
      <c r="G1148" s="47" t="s">
        <v>1578</v>
      </c>
      <c r="H1148" s="30">
        <v>2.0</v>
      </c>
      <c r="I1148" s="30">
        <v>719.0</v>
      </c>
      <c r="J1148" s="30">
        <v>1438.0</v>
      </c>
      <c r="K1148" s="30">
        <v>14.85</v>
      </c>
      <c r="L1148" s="30">
        <v>213.543</v>
      </c>
      <c r="M1148" s="30">
        <v>377.0</v>
      </c>
      <c r="N1148" s="30">
        <v>754.0</v>
      </c>
      <c r="O1148" s="30">
        <v>0.0</v>
      </c>
      <c r="P1148" s="30">
        <v>0.0</v>
      </c>
      <c r="Q1148" s="30">
        <v>470.457</v>
      </c>
    </row>
    <row r="1149">
      <c r="A1149" s="47">
        <v>1.1227745437E10</v>
      </c>
      <c r="B1149" s="48">
        <v>46154.77678240741</v>
      </c>
      <c r="C1149" s="30">
        <v>3.843298791E9</v>
      </c>
      <c r="D1149" s="47" t="s">
        <v>1509</v>
      </c>
      <c r="E1149" s="47">
        <v>7.301407035156E12</v>
      </c>
      <c r="F1149" s="47" t="s">
        <v>1523</v>
      </c>
      <c r="G1149" s="47" t="s">
        <v>1593</v>
      </c>
      <c r="H1149" s="30">
        <v>1.0</v>
      </c>
      <c r="I1149" s="30">
        <v>579.0</v>
      </c>
      <c r="J1149" s="30">
        <v>579.0</v>
      </c>
      <c r="K1149" s="30">
        <v>11.25</v>
      </c>
      <c r="L1149" s="30">
        <v>65.1375</v>
      </c>
      <c r="M1149" s="30">
        <v>173.0</v>
      </c>
      <c r="N1149" s="30">
        <v>173.0</v>
      </c>
      <c r="O1149" s="30">
        <v>0.0</v>
      </c>
      <c r="P1149" s="30">
        <v>0.0</v>
      </c>
      <c r="Q1149" s="30">
        <v>340.8625</v>
      </c>
    </row>
    <row r="1150">
      <c r="A1150" s="47">
        <v>1.1221130055E10</v>
      </c>
      <c r="B1150" s="48">
        <v>46152.89797453704</v>
      </c>
      <c r="C1150" s="30">
        <v>3.836945918E9</v>
      </c>
      <c r="D1150" s="47" t="s">
        <v>1509</v>
      </c>
      <c r="E1150" s="47" t="s">
        <v>537</v>
      </c>
      <c r="F1150" s="47" t="s">
        <v>1523</v>
      </c>
      <c r="G1150" s="47" t="s">
        <v>1575</v>
      </c>
      <c r="H1150" s="30">
        <v>1.0</v>
      </c>
      <c r="I1150" s="30">
        <v>1482.0</v>
      </c>
      <c r="J1150" s="30">
        <v>1482.0</v>
      </c>
      <c r="K1150" s="30">
        <v>12.5</v>
      </c>
      <c r="L1150" s="30">
        <v>185.25</v>
      </c>
      <c r="M1150" s="30">
        <v>1053.0</v>
      </c>
      <c r="N1150" s="30">
        <v>1053.0</v>
      </c>
      <c r="O1150" s="30">
        <v>0.0</v>
      </c>
      <c r="P1150" s="30">
        <v>0.0</v>
      </c>
      <c r="Q1150" s="30">
        <v>243.75</v>
      </c>
    </row>
    <row r="1151">
      <c r="A1151" s="47">
        <v>1.122924521E10</v>
      </c>
      <c r="B1151" s="48">
        <v>46155.0844212963</v>
      </c>
      <c r="C1151" s="30">
        <v>3.844569839E9</v>
      </c>
      <c r="D1151" s="47" t="s">
        <v>1509</v>
      </c>
      <c r="E1151" s="47">
        <v>3.182550737616E12</v>
      </c>
      <c r="F1151" s="47" t="s">
        <v>1523</v>
      </c>
      <c r="G1151" s="47" t="s">
        <v>1570</v>
      </c>
      <c r="H1151" s="30">
        <v>1.0</v>
      </c>
      <c r="I1151" s="30">
        <v>1880.0</v>
      </c>
      <c r="J1151" s="30">
        <v>1880.0</v>
      </c>
      <c r="K1151" s="30">
        <v>4.32</v>
      </c>
      <c r="L1151" s="30">
        <v>81.21600000000001</v>
      </c>
      <c r="M1151" s="30">
        <v>1535.52</v>
      </c>
      <c r="N1151" s="30">
        <v>1535.52</v>
      </c>
      <c r="O1151" s="30">
        <v>0.0</v>
      </c>
      <c r="P1151" s="30">
        <v>0.0</v>
      </c>
      <c r="Q1151" s="30">
        <v>263.264</v>
      </c>
    </row>
    <row r="1152">
      <c r="A1152" s="47">
        <v>1.1227951298E10</v>
      </c>
      <c r="B1152" s="48">
        <v>46154.821747685186</v>
      </c>
      <c r="C1152" s="30">
        <v>3.843481507E9</v>
      </c>
      <c r="D1152" s="47" t="s">
        <v>1509</v>
      </c>
      <c r="E1152" s="47">
        <v>3.182550737616E12</v>
      </c>
      <c r="F1152" s="47" t="s">
        <v>1523</v>
      </c>
      <c r="G1152" s="47" t="s">
        <v>1577</v>
      </c>
      <c r="H1152" s="30">
        <v>1.0</v>
      </c>
      <c r="I1152" s="30">
        <v>1852.99</v>
      </c>
      <c r="J1152" s="30">
        <v>1852.99</v>
      </c>
      <c r="K1152" s="30">
        <v>4.32</v>
      </c>
      <c r="L1152" s="30">
        <v>80.04916800000001</v>
      </c>
      <c r="M1152" s="30">
        <v>1535.52</v>
      </c>
      <c r="N1152" s="30">
        <v>1535.52</v>
      </c>
      <c r="O1152" s="30">
        <v>0.0</v>
      </c>
      <c r="P1152" s="30">
        <v>0.0</v>
      </c>
      <c r="Q1152" s="30">
        <v>237.42083200000002</v>
      </c>
    </row>
    <row r="1153">
      <c r="A1153" s="47">
        <v>1.1202630318E10</v>
      </c>
      <c r="B1153" s="48">
        <v>46147.88049768518</v>
      </c>
      <c r="C1153" s="30">
        <v>3.819782979E9</v>
      </c>
      <c r="D1153" s="47" t="s">
        <v>1509</v>
      </c>
      <c r="E1153" s="47">
        <v>7.613032816536E12</v>
      </c>
      <c r="F1153" s="47" t="s">
        <v>1523</v>
      </c>
      <c r="G1153" s="47" t="s">
        <v>1549</v>
      </c>
      <c r="H1153" s="30">
        <v>1.0</v>
      </c>
      <c r="I1153" s="30">
        <v>870.0</v>
      </c>
      <c r="J1153" s="30">
        <v>870.0</v>
      </c>
      <c r="K1153" s="30">
        <v>13.5</v>
      </c>
      <c r="L1153" s="30">
        <v>117.45</v>
      </c>
      <c r="M1153" s="30">
        <v>580.0</v>
      </c>
      <c r="N1153" s="30">
        <v>580.0</v>
      </c>
      <c r="O1153" s="30">
        <v>0.0</v>
      </c>
      <c r="P1153" s="30">
        <v>0.0</v>
      </c>
      <c r="Q1153" s="30">
        <v>172.55</v>
      </c>
    </row>
    <row r="1154">
      <c r="A1154" s="47">
        <v>1.1229760692E10</v>
      </c>
      <c r="B1154" s="48">
        <v>46155.47925925926</v>
      </c>
      <c r="C1154" s="30">
        <v>3.845121189E9</v>
      </c>
      <c r="D1154" s="47" t="s">
        <v>1509</v>
      </c>
      <c r="E1154" s="47">
        <v>7.613035846708E12</v>
      </c>
      <c r="F1154" s="47" t="s">
        <v>1523</v>
      </c>
      <c r="G1154" s="47" t="s">
        <v>1535</v>
      </c>
      <c r="H1154" s="30">
        <v>1.0</v>
      </c>
      <c r="I1154" s="30">
        <v>1354.0</v>
      </c>
      <c r="J1154" s="30">
        <v>1354.0</v>
      </c>
      <c r="K1154" s="30">
        <v>6.39</v>
      </c>
      <c r="L1154" s="30">
        <v>86.5206</v>
      </c>
      <c r="M1154" s="30">
        <v>1160.0</v>
      </c>
      <c r="N1154" s="30">
        <v>1160.0</v>
      </c>
      <c r="O1154" s="30">
        <v>0.0</v>
      </c>
      <c r="P1154" s="30">
        <v>0.0</v>
      </c>
      <c r="Q1154" s="30">
        <v>107.4794</v>
      </c>
    </row>
    <row r="1155">
      <c r="A1155" s="47">
        <v>1.1223950144E10</v>
      </c>
      <c r="B1155" s="48">
        <v>46153.728530092594</v>
      </c>
      <c r="C1155" s="30">
        <v>3.839665227E9</v>
      </c>
      <c r="D1155" s="47" t="s">
        <v>1509</v>
      </c>
      <c r="E1155" s="47">
        <v>3.182550702447E12</v>
      </c>
      <c r="F1155" s="47" t="s">
        <v>1523</v>
      </c>
      <c r="G1155" s="47" t="s">
        <v>1594</v>
      </c>
      <c r="H1155" s="30">
        <v>1.0</v>
      </c>
      <c r="I1155" s="30">
        <v>2142.0</v>
      </c>
      <c r="J1155" s="30">
        <v>2142.0</v>
      </c>
      <c r="K1155" s="30">
        <v>12.5</v>
      </c>
      <c r="L1155" s="30">
        <v>267.75</v>
      </c>
      <c r="M1155" s="30">
        <v>1459.08</v>
      </c>
      <c r="N1155" s="30">
        <v>1459.08</v>
      </c>
      <c r="O1155" s="30">
        <v>0.0</v>
      </c>
      <c r="P1155" s="30">
        <v>0.0</v>
      </c>
      <c r="Q1155" s="30">
        <v>415.1700000000001</v>
      </c>
    </row>
    <row r="1156">
      <c r="A1156" s="47">
        <v>1.1223912259E10</v>
      </c>
      <c r="B1156" s="48">
        <v>46153.72144675926</v>
      </c>
      <c r="C1156" s="30">
        <v>3.839626779E9</v>
      </c>
      <c r="D1156" s="47" t="s">
        <v>1509</v>
      </c>
      <c r="E1156" s="47">
        <v>6.923632570121E12</v>
      </c>
      <c r="F1156" s="47" t="s">
        <v>306</v>
      </c>
      <c r="G1156" s="47" t="s">
        <v>1555</v>
      </c>
      <c r="H1156" s="30">
        <v>1.0</v>
      </c>
      <c r="I1156" s="30">
        <v>897.45</v>
      </c>
      <c r="J1156" s="30">
        <v>897.45</v>
      </c>
      <c r="K1156" s="30">
        <v>20.0</v>
      </c>
      <c r="L1156" s="30">
        <v>179.49</v>
      </c>
      <c r="M1156" s="30">
        <v>300.0</v>
      </c>
      <c r="N1156" s="30">
        <v>300.0</v>
      </c>
      <c r="O1156" s="30">
        <v>0.0</v>
      </c>
      <c r="P1156" s="30">
        <v>0.0</v>
      </c>
      <c r="Q1156" s="30">
        <v>417.96000000000004</v>
      </c>
    </row>
    <row r="1157">
      <c r="A1157" s="47">
        <v>1.1228944978E10</v>
      </c>
      <c r="B1157" s="48">
        <v>46155.0240162037</v>
      </c>
      <c r="C1157" s="30">
        <v>3.844272911E9</v>
      </c>
      <c r="D1157" s="47" t="s">
        <v>1509</v>
      </c>
      <c r="E1157" s="47">
        <v>3.182550737616E12</v>
      </c>
      <c r="F1157" s="47" t="s">
        <v>1523</v>
      </c>
      <c r="G1157" s="47" t="s">
        <v>1570</v>
      </c>
      <c r="H1157" s="30">
        <v>1.0</v>
      </c>
      <c r="I1157" s="30">
        <v>1880.0</v>
      </c>
      <c r="J1157" s="30">
        <v>1880.0</v>
      </c>
      <c r="K1157" s="30">
        <v>4.32</v>
      </c>
      <c r="L1157" s="30">
        <v>81.21600000000001</v>
      </c>
      <c r="M1157" s="30">
        <v>1535.52</v>
      </c>
      <c r="N1157" s="30">
        <v>1535.52</v>
      </c>
      <c r="O1157" s="30">
        <v>0.0</v>
      </c>
      <c r="P1157" s="30">
        <v>0.0</v>
      </c>
      <c r="Q1157" s="30">
        <v>263.264</v>
      </c>
    </row>
    <row r="1158">
      <c r="A1158" s="47">
        <v>1.1232379283E10</v>
      </c>
      <c r="B1158" s="48">
        <v>46156.068078703705</v>
      </c>
      <c r="C1158" s="30">
        <v>3.847425707E9</v>
      </c>
      <c r="D1158" s="47" t="s">
        <v>1511</v>
      </c>
      <c r="E1158" s="47">
        <v>7.613032816536E12</v>
      </c>
      <c r="F1158" s="47" t="s">
        <v>1523</v>
      </c>
      <c r="G1158" s="47" t="s">
        <v>1533</v>
      </c>
      <c r="H1158" s="30">
        <v>1.0</v>
      </c>
      <c r="I1158" s="30">
        <v>729.0</v>
      </c>
      <c r="J1158" s="30">
        <v>729.0</v>
      </c>
      <c r="K1158" s="30">
        <v>0.0</v>
      </c>
      <c r="L1158" s="30">
        <v>0.0</v>
      </c>
      <c r="M1158" s="30">
        <v>580.0</v>
      </c>
      <c r="N1158" s="30">
        <v>580.0</v>
      </c>
      <c r="O1158" s="30">
        <v>0.0</v>
      </c>
      <c r="P1158" s="30">
        <v>0.0</v>
      </c>
      <c r="Q1158" s="30">
        <v>149.0</v>
      </c>
    </row>
    <row r="1159">
      <c r="A1159" s="47">
        <v>1.1221474774E10</v>
      </c>
      <c r="B1159" s="48">
        <v>46152.95936342593</v>
      </c>
      <c r="C1159" s="30">
        <v>3.837197434E9</v>
      </c>
      <c r="D1159" s="47" t="s">
        <v>1509</v>
      </c>
      <c r="E1159" s="47">
        <v>3.182550702201E12</v>
      </c>
      <c r="F1159" s="47" t="s">
        <v>1523</v>
      </c>
      <c r="G1159" s="47" t="s">
        <v>1595</v>
      </c>
      <c r="H1159" s="30">
        <v>1.0</v>
      </c>
      <c r="I1159" s="30">
        <v>1199.0</v>
      </c>
      <c r="J1159" s="30">
        <v>1199.0</v>
      </c>
      <c r="K1159" s="30">
        <v>12.5</v>
      </c>
      <c r="L1159" s="30">
        <v>149.875</v>
      </c>
      <c r="M1159" s="30">
        <v>796.32</v>
      </c>
      <c r="N1159" s="30">
        <v>796.32</v>
      </c>
      <c r="O1159" s="30">
        <v>0.0</v>
      </c>
      <c r="P1159" s="30">
        <v>0.0</v>
      </c>
      <c r="Q1159" s="30">
        <v>252.80499999999995</v>
      </c>
    </row>
    <row r="1160">
      <c r="A1160" s="47">
        <v>1.1226192424E10</v>
      </c>
      <c r="B1160" s="48">
        <v>46154.1262037037</v>
      </c>
      <c r="C1160" s="30">
        <v>3.841798751E9</v>
      </c>
      <c r="D1160" s="47" t="s">
        <v>1509</v>
      </c>
      <c r="E1160" s="47">
        <v>6.923632570001E12</v>
      </c>
      <c r="F1160" s="47" t="s">
        <v>1523</v>
      </c>
      <c r="G1160" s="47" t="s">
        <v>1544</v>
      </c>
      <c r="H1160" s="30">
        <v>1.0</v>
      </c>
      <c r="I1160" s="30">
        <v>474.47</v>
      </c>
      <c r="J1160" s="30">
        <v>474.47</v>
      </c>
      <c r="K1160" s="30">
        <v>20.0</v>
      </c>
      <c r="L1160" s="30">
        <v>94.89400000000002</v>
      </c>
      <c r="M1160" s="30">
        <v>130.0</v>
      </c>
      <c r="N1160" s="30">
        <v>130.0</v>
      </c>
      <c r="O1160" s="30">
        <v>0.0</v>
      </c>
      <c r="P1160" s="30">
        <v>0.0</v>
      </c>
      <c r="Q1160" s="30">
        <v>249.57600000000002</v>
      </c>
    </row>
    <row r="1161">
      <c r="A1161" s="47">
        <v>1.1220815832E10</v>
      </c>
      <c r="B1161" s="48">
        <v>46152.84086805556</v>
      </c>
      <c r="C1161" s="30">
        <v>3.836719563E9</v>
      </c>
      <c r="D1161" s="47" t="s">
        <v>1509</v>
      </c>
      <c r="E1161" s="47" t="s">
        <v>537</v>
      </c>
      <c r="F1161" s="47" t="s">
        <v>1523</v>
      </c>
      <c r="G1161" s="47" t="s">
        <v>1575</v>
      </c>
      <c r="H1161" s="30">
        <v>1.0</v>
      </c>
      <c r="I1161" s="30">
        <v>1482.0</v>
      </c>
      <c r="J1161" s="30">
        <v>1482.0</v>
      </c>
      <c r="K1161" s="30">
        <v>12.5</v>
      </c>
      <c r="L1161" s="30">
        <v>185.25</v>
      </c>
      <c r="M1161" s="30">
        <v>1053.0</v>
      </c>
      <c r="N1161" s="30">
        <v>1053.0</v>
      </c>
      <c r="O1161" s="30">
        <v>0.0</v>
      </c>
      <c r="P1161" s="30">
        <v>0.0</v>
      </c>
      <c r="Q1161" s="30">
        <v>243.75</v>
      </c>
    </row>
    <row r="1162">
      <c r="A1162" s="47">
        <v>1.1227149004E10</v>
      </c>
      <c r="B1162" s="48">
        <v>46154.652453703704</v>
      </c>
      <c r="C1162" s="30">
        <v>3.842781773E9</v>
      </c>
      <c r="D1162" s="47" t="s">
        <v>1509</v>
      </c>
      <c r="E1162" s="47">
        <v>3.182550737616E12</v>
      </c>
      <c r="F1162" s="47" t="s">
        <v>1523</v>
      </c>
      <c r="G1162" s="47" t="s">
        <v>1577</v>
      </c>
      <c r="H1162" s="30">
        <v>1.0</v>
      </c>
      <c r="I1162" s="30">
        <v>1963.0</v>
      </c>
      <c r="J1162" s="30">
        <v>1963.0</v>
      </c>
      <c r="K1162" s="30">
        <v>6.3</v>
      </c>
      <c r="L1162" s="30">
        <v>123.669</v>
      </c>
      <c r="M1162" s="30">
        <v>1535.52</v>
      </c>
      <c r="N1162" s="30">
        <v>1535.52</v>
      </c>
      <c r="O1162" s="30">
        <v>0.0</v>
      </c>
      <c r="P1162" s="30">
        <v>0.0</v>
      </c>
      <c r="Q1162" s="30">
        <v>303.81100000000004</v>
      </c>
    </row>
    <row r="1163">
      <c r="A1163" s="47">
        <v>1.121662183E10</v>
      </c>
      <c r="B1163" s="48">
        <v>46151.66903935185</v>
      </c>
      <c r="C1163" s="30">
        <v>3.833154862E9</v>
      </c>
      <c r="D1163" s="47" t="s">
        <v>1509</v>
      </c>
      <c r="E1163" s="47">
        <v>6.923632570004E12</v>
      </c>
      <c r="F1163" s="47" t="s">
        <v>300</v>
      </c>
      <c r="G1163" s="47" t="s">
        <v>1544</v>
      </c>
      <c r="H1163" s="30">
        <v>1.0</v>
      </c>
      <c r="I1163" s="30">
        <v>489.0</v>
      </c>
      <c r="J1163" s="30">
        <v>489.0</v>
      </c>
      <c r="K1163" s="30">
        <v>20.0</v>
      </c>
      <c r="L1163" s="30">
        <v>97.8</v>
      </c>
      <c r="M1163" s="30">
        <v>130.0</v>
      </c>
      <c r="N1163" s="30">
        <v>130.0</v>
      </c>
      <c r="O1163" s="30">
        <v>0.0</v>
      </c>
      <c r="P1163" s="30">
        <v>0.0</v>
      </c>
      <c r="Q1163" s="30">
        <v>261.2</v>
      </c>
    </row>
    <row r="1164">
      <c r="A1164" s="47">
        <v>1.121662183E10</v>
      </c>
      <c r="B1164" s="48">
        <v>46151.66903935185</v>
      </c>
      <c r="C1164" s="30">
        <v>3.833154862E9</v>
      </c>
      <c r="D1164" s="47" t="s">
        <v>1509</v>
      </c>
      <c r="E1164" s="47">
        <v>6.923632570006E12</v>
      </c>
      <c r="F1164" s="47" t="s">
        <v>298</v>
      </c>
      <c r="G1164" s="47" t="s">
        <v>1544</v>
      </c>
      <c r="H1164" s="30">
        <v>1.0</v>
      </c>
      <c r="I1164" s="30">
        <v>474.0</v>
      </c>
      <c r="J1164" s="30">
        <v>474.0</v>
      </c>
      <c r="K1164" s="30">
        <v>20.0</v>
      </c>
      <c r="L1164" s="30">
        <v>94.8</v>
      </c>
      <c r="M1164" s="30">
        <v>130.0</v>
      </c>
      <c r="N1164" s="30">
        <v>130.0</v>
      </c>
      <c r="O1164" s="30">
        <v>0.0</v>
      </c>
      <c r="P1164" s="30">
        <v>0.0</v>
      </c>
      <c r="Q1164" s="30">
        <v>249.2</v>
      </c>
    </row>
    <row r="1165">
      <c r="A1165" s="47">
        <v>1.1226497587E10</v>
      </c>
      <c r="B1165" s="48">
        <v>46154.43920138889</v>
      </c>
      <c r="C1165" s="30">
        <v>3.84213612E9</v>
      </c>
      <c r="D1165" s="47" t="s">
        <v>1509</v>
      </c>
      <c r="E1165" s="47">
        <v>7.613036505277E12</v>
      </c>
      <c r="F1165" s="47" t="s">
        <v>1523</v>
      </c>
      <c r="G1165" s="47" t="s">
        <v>1596</v>
      </c>
      <c r="H1165" s="30">
        <v>1.0</v>
      </c>
      <c r="I1165" s="30">
        <v>1535.0</v>
      </c>
      <c r="J1165" s="30">
        <v>1535.0</v>
      </c>
      <c r="K1165" s="30">
        <v>12.5</v>
      </c>
      <c r="L1165" s="30">
        <v>191.875</v>
      </c>
      <c r="M1165" s="30">
        <v>900.0</v>
      </c>
      <c r="N1165" s="30">
        <v>900.0</v>
      </c>
      <c r="O1165" s="30">
        <v>0.0</v>
      </c>
      <c r="P1165" s="30">
        <v>0.0</v>
      </c>
      <c r="Q1165" s="30">
        <v>443.125</v>
      </c>
    </row>
    <row r="1166">
      <c r="A1166" s="47">
        <v>1.1223412592E10</v>
      </c>
      <c r="B1166" s="48">
        <v>46153.63267361111</v>
      </c>
      <c r="C1166" s="30">
        <v>3.839163167E9</v>
      </c>
      <c r="D1166" s="47" t="s">
        <v>1509</v>
      </c>
      <c r="E1166" s="47">
        <v>6.923632570006E12</v>
      </c>
      <c r="F1166" s="47" t="s">
        <v>298</v>
      </c>
      <c r="G1166" s="47" t="s">
        <v>1544</v>
      </c>
      <c r="H1166" s="30">
        <v>2.0</v>
      </c>
      <c r="I1166" s="30">
        <v>474.0</v>
      </c>
      <c r="J1166" s="30">
        <v>948.0</v>
      </c>
      <c r="K1166" s="30">
        <v>20.0</v>
      </c>
      <c r="L1166" s="30">
        <v>189.6</v>
      </c>
      <c r="M1166" s="30">
        <v>130.0</v>
      </c>
      <c r="N1166" s="30">
        <v>260.0</v>
      </c>
      <c r="O1166" s="30">
        <v>0.0</v>
      </c>
      <c r="P1166" s="30">
        <v>0.0</v>
      </c>
      <c r="Q1166" s="30">
        <v>498.4</v>
      </c>
    </row>
    <row r="1167">
      <c r="A1167" s="47">
        <v>1.1217869754E10</v>
      </c>
      <c r="B1167" s="48">
        <v>46151.90715277778</v>
      </c>
      <c r="C1167" s="30">
        <v>3.83417229E9</v>
      </c>
      <c r="D1167" s="47" t="s">
        <v>1509</v>
      </c>
      <c r="E1167" s="47">
        <v>7.613033560064E12</v>
      </c>
      <c r="F1167" s="47" t="s">
        <v>1523</v>
      </c>
      <c r="G1167" s="47" t="s">
        <v>1527</v>
      </c>
      <c r="H1167" s="30">
        <v>1.0</v>
      </c>
      <c r="I1167" s="30">
        <v>1599.0</v>
      </c>
      <c r="J1167" s="30">
        <v>1599.0</v>
      </c>
      <c r="K1167" s="30">
        <v>12.5</v>
      </c>
      <c r="L1167" s="30">
        <v>199.875</v>
      </c>
      <c r="M1167" s="30">
        <v>1190.0</v>
      </c>
      <c r="N1167" s="30">
        <v>1190.0</v>
      </c>
      <c r="O1167" s="30">
        <v>0.0</v>
      </c>
      <c r="P1167" s="30">
        <v>0.0</v>
      </c>
      <c r="Q1167" s="30">
        <v>209.125</v>
      </c>
    </row>
    <row r="1168">
      <c r="A1168" s="47">
        <v>1.1222132547E10</v>
      </c>
      <c r="B1168" s="48">
        <v>46153.068715277775</v>
      </c>
      <c r="C1168" s="30">
        <v>3.837786575E9</v>
      </c>
      <c r="D1168" s="47" t="s">
        <v>1509</v>
      </c>
      <c r="E1168" s="47">
        <v>6.923632570001E12</v>
      </c>
      <c r="F1168" s="47" t="s">
        <v>1523</v>
      </c>
      <c r="G1168" s="47" t="s">
        <v>1544</v>
      </c>
      <c r="H1168" s="30">
        <v>1.0</v>
      </c>
      <c r="I1168" s="30">
        <v>474.47</v>
      </c>
      <c r="J1168" s="30">
        <v>474.47</v>
      </c>
      <c r="K1168" s="30">
        <v>20.0</v>
      </c>
      <c r="L1168" s="30">
        <v>94.89400000000002</v>
      </c>
      <c r="M1168" s="30">
        <v>130.0</v>
      </c>
      <c r="N1168" s="30">
        <v>130.0</v>
      </c>
      <c r="O1168" s="30">
        <v>0.0</v>
      </c>
      <c r="P1168" s="30">
        <v>0.0</v>
      </c>
      <c r="Q1168" s="30">
        <v>249.57600000000002</v>
      </c>
    </row>
    <row r="1169">
      <c r="A1169" s="47">
        <v>1.122034395E10</v>
      </c>
      <c r="B1169" s="48">
        <v>46152.74951388889</v>
      </c>
      <c r="C1169" s="30">
        <v>3.836349826E9</v>
      </c>
      <c r="D1169" s="47" t="s">
        <v>1509</v>
      </c>
      <c r="E1169" s="47" t="s">
        <v>537</v>
      </c>
      <c r="F1169" s="47" t="s">
        <v>1523</v>
      </c>
      <c r="G1169" s="47" t="s">
        <v>1575</v>
      </c>
      <c r="H1169" s="30">
        <v>1.0</v>
      </c>
      <c r="I1169" s="30">
        <v>1482.0</v>
      </c>
      <c r="J1169" s="30">
        <v>1482.0</v>
      </c>
      <c r="K1169" s="30">
        <v>12.5</v>
      </c>
      <c r="L1169" s="30">
        <v>185.25</v>
      </c>
      <c r="M1169" s="30">
        <v>1053.0</v>
      </c>
      <c r="N1169" s="30">
        <v>1053.0</v>
      </c>
      <c r="O1169" s="30">
        <v>0.0</v>
      </c>
      <c r="P1169" s="30">
        <v>0.0</v>
      </c>
      <c r="Q1169" s="30">
        <v>243.75</v>
      </c>
    </row>
    <row r="1170">
      <c r="A1170" s="47">
        <v>1.1221284215E10</v>
      </c>
      <c r="B1170" s="48">
        <v>46152.925729166665</v>
      </c>
      <c r="C1170" s="30">
        <v>3.837055949E9</v>
      </c>
      <c r="D1170" s="47" t="s">
        <v>1509</v>
      </c>
      <c r="E1170" s="47">
        <v>7.613035846708E12</v>
      </c>
      <c r="F1170" s="47" t="s">
        <v>1523</v>
      </c>
      <c r="G1170" s="47" t="s">
        <v>1535</v>
      </c>
      <c r="H1170" s="30">
        <v>1.0</v>
      </c>
      <c r="I1170" s="30">
        <v>1400.0</v>
      </c>
      <c r="J1170" s="30">
        <v>1400.0</v>
      </c>
      <c r="K1170" s="30">
        <v>6.4</v>
      </c>
      <c r="L1170" s="30">
        <v>89.6</v>
      </c>
      <c r="M1170" s="30">
        <v>1160.0</v>
      </c>
      <c r="N1170" s="30">
        <v>1160.0</v>
      </c>
      <c r="O1170" s="30">
        <v>0.0</v>
      </c>
      <c r="P1170" s="30">
        <v>0.0</v>
      </c>
      <c r="Q1170" s="30">
        <v>150.4</v>
      </c>
    </row>
    <row r="1171">
      <c r="A1171" s="47">
        <v>1.1226279955E10</v>
      </c>
      <c r="B1171" s="48">
        <v>46154.15149305556</v>
      </c>
      <c r="C1171" s="30">
        <v>3.841897815E9</v>
      </c>
      <c r="D1171" s="47" t="s">
        <v>1509</v>
      </c>
      <c r="E1171" s="47">
        <v>3.182550737616E12</v>
      </c>
      <c r="F1171" s="47" t="s">
        <v>1523</v>
      </c>
      <c r="G1171" s="47" t="s">
        <v>1577</v>
      </c>
      <c r="H1171" s="30">
        <v>1.0</v>
      </c>
      <c r="I1171" s="30">
        <v>2034.0</v>
      </c>
      <c r="J1171" s="30">
        <v>2034.0</v>
      </c>
      <c r="K1171" s="30">
        <v>12.5</v>
      </c>
      <c r="L1171" s="30">
        <v>254.25</v>
      </c>
      <c r="M1171" s="30">
        <v>1535.52</v>
      </c>
      <c r="N1171" s="30">
        <v>1535.52</v>
      </c>
      <c r="O1171" s="30">
        <v>0.0</v>
      </c>
      <c r="P1171" s="30">
        <v>0.0</v>
      </c>
      <c r="Q1171" s="30">
        <v>244.23000000000002</v>
      </c>
    </row>
    <row r="1172">
      <c r="A1172" s="47">
        <v>1.1226460789E10</v>
      </c>
      <c r="B1172" s="48">
        <v>46154.335960648146</v>
      </c>
      <c r="C1172" s="30">
        <v>3.842086647E9</v>
      </c>
      <c r="D1172" s="47" t="s">
        <v>1509</v>
      </c>
      <c r="E1172" s="47">
        <v>3.182550737616E12</v>
      </c>
      <c r="F1172" s="47" t="s">
        <v>1523</v>
      </c>
      <c r="G1172" s="47" t="s">
        <v>1577</v>
      </c>
      <c r="H1172" s="30">
        <v>1.0</v>
      </c>
      <c r="I1172" s="30">
        <v>2034.0</v>
      </c>
      <c r="J1172" s="30">
        <v>2034.0</v>
      </c>
      <c r="K1172" s="30">
        <v>12.5</v>
      </c>
      <c r="L1172" s="30">
        <v>254.25</v>
      </c>
      <c r="M1172" s="30">
        <v>1535.52</v>
      </c>
      <c r="N1172" s="30">
        <v>1535.52</v>
      </c>
      <c r="O1172" s="30">
        <v>0.0</v>
      </c>
      <c r="P1172" s="30">
        <v>0.0</v>
      </c>
      <c r="Q1172" s="30">
        <v>244.23000000000002</v>
      </c>
    </row>
    <row r="1173">
      <c r="A1173" s="47">
        <v>1.1224233828E10</v>
      </c>
      <c r="B1173" s="48">
        <v>46153.78103009259</v>
      </c>
      <c r="C1173" s="30">
        <v>3.839934604E9</v>
      </c>
      <c r="D1173" s="47" t="s">
        <v>1509</v>
      </c>
      <c r="E1173" s="47" t="s">
        <v>650</v>
      </c>
      <c r="F1173" s="47" t="s">
        <v>1523</v>
      </c>
      <c r="G1173" s="47" t="s">
        <v>1597</v>
      </c>
      <c r="H1173" s="30">
        <v>1.0</v>
      </c>
      <c r="I1173" s="30">
        <v>850.0</v>
      </c>
      <c r="J1173" s="30">
        <v>850.0</v>
      </c>
      <c r="K1173" s="30">
        <v>13.5</v>
      </c>
      <c r="L1173" s="30">
        <v>114.75</v>
      </c>
      <c r="M1173" s="30">
        <v>100.0</v>
      </c>
      <c r="N1173" s="30">
        <v>100.0</v>
      </c>
      <c r="O1173" s="30">
        <v>0.0</v>
      </c>
      <c r="P1173" s="30">
        <v>0.0</v>
      </c>
      <c r="Q1173" s="30">
        <v>635.25</v>
      </c>
    </row>
    <row r="1174">
      <c r="A1174" s="47">
        <v>1.1226952242E10</v>
      </c>
      <c r="B1174" s="48">
        <v>46154.61170138889</v>
      </c>
      <c r="C1174" s="30">
        <v>3.84262053E9</v>
      </c>
      <c r="D1174" s="47" t="s">
        <v>1509</v>
      </c>
      <c r="E1174" s="47">
        <v>3.182550737616E12</v>
      </c>
      <c r="F1174" s="47" t="s">
        <v>1523</v>
      </c>
      <c r="G1174" s="47" t="s">
        <v>1577</v>
      </c>
      <c r="H1174" s="30">
        <v>1.0</v>
      </c>
      <c r="I1174" s="30">
        <v>1963.0</v>
      </c>
      <c r="J1174" s="30">
        <v>1963.0</v>
      </c>
      <c r="K1174" s="30">
        <v>6.3</v>
      </c>
      <c r="L1174" s="30">
        <v>123.669</v>
      </c>
      <c r="M1174" s="30">
        <v>1535.52</v>
      </c>
      <c r="N1174" s="30">
        <v>1535.52</v>
      </c>
      <c r="O1174" s="30">
        <v>0.0</v>
      </c>
      <c r="P1174" s="30">
        <v>0.0</v>
      </c>
      <c r="Q1174" s="30">
        <v>303.81100000000004</v>
      </c>
    </row>
    <row r="1175">
      <c r="A1175" s="47">
        <v>1.1218287849E10</v>
      </c>
      <c r="B1175" s="48">
        <v>46151.98440972222</v>
      </c>
      <c r="C1175" s="30">
        <v>3.83448097E9</v>
      </c>
      <c r="D1175" s="47" t="s">
        <v>1509</v>
      </c>
      <c r="E1175" s="47">
        <v>7.613035846708E12</v>
      </c>
      <c r="F1175" s="47" t="s">
        <v>1523</v>
      </c>
      <c r="G1175" s="47" t="s">
        <v>1535</v>
      </c>
      <c r="H1175" s="30">
        <v>1.0</v>
      </c>
      <c r="I1175" s="30">
        <v>1400.0</v>
      </c>
      <c r="J1175" s="30">
        <v>1400.0</v>
      </c>
      <c r="K1175" s="30">
        <v>6.4</v>
      </c>
      <c r="L1175" s="30">
        <v>89.6</v>
      </c>
      <c r="M1175" s="30">
        <v>1160.0</v>
      </c>
      <c r="N1175" s="30">
        <v>1160.0</v>
      </c>
      <c r="O1175" s="30">
        <v>0.0</v>
      </c>
      <c r="P1175" s="30">
        <v>0.0</v>
      </c>
      <c r="Q1175" s="30">
        <v>150.4</v>
      </c>
    </row>
    <row r="1176">
      <c r="A1176" s="47">
        <v>1.1223304428E10</v>
      </c>
      <c r="B1176" s="48">
        <v>46153.614270833335</v>
      </c>
      <c r="C1176" s="30">
        <v>3.839071384E9</v>
      </c>
      <c r="D1176" s="47" t="s">
        <v>1509</v>
      </c>
      <c r="E1176" s="47">
        <v>3.182550721738E12</v>
      </c>
      <c r="F1176" s="47" t="s">
        <v>1523</v>
      </c>
      <c r="G1176" s="47" t="s">
        <v>1526</v>
      </c>
      <c r="H1176" s="30">
        <v>1.0</v>
      </c>
      <c r="I1176" s="30">
        <v>1692.0</v>
      </c>
      <c r="J1176" s="30">
        <v>1692.0</v>
      </c>
      <c r="K1176" s="30">
        <v>12.5</v>
      </c>
      <c r="L1176" s="30">
        <v>211.5</v>
      </c>
      <c r="M1176" s="30">
        <v>1210.0</v>
      </c>
      <c r="N1176" s="30">
        <v>1210.0</v>
      </c>
      <c r="O1176" s="30">
        <v>0.0</v>
      </c>
      <c r="P1176" s="30">
        <v>0.0</v>
      </c>
      <c r="Q1176" s="30">
        <v>270.5</v>
      </c>
    </row>
    <row r="1177">
      <c r="A1177" s="47">
        <v>1.1219345366E10</v>
      </c>
      <c r="B1177" s="48">
        <v>46152.42710648148</v>
      </c>
      <c r="C1177" s="30">
        <v>3.835470188E9</v>
      </c>
      <c r="D1177" s="47" t="s">
        <v>1509</v>
      </c>
      <c r="E1177" s="47" t="s">
        <v>537</v>
      </c>
      <c r="F1177" s="47" t="s">
        <v>1523</v>
      </c>
      <c r="G1177" s="47" t="s">
        <v>1575</v>
      </c>
      <c r="H1177" s="30">
        <v>1.0</v>
      </c>
      <c r="I1177" s="30">
        <v>1482.0</v>
      </c>
      <c r="J1177" s="30">
        <v>1482.0</v>
      </c>
      <c r="K1177" s="30">
        <v>12.5</v>
      </c>
      <c r="L1177" s="30">
        <v>185.25</v>
      </c>
      <c r="M1177" s="30">
        <v>1053.0</v>
      </c>
      <c r="N1177" s="30">
        <v>1053.0</v>
      </c>
      <c r="O1177" s="30">
        <v>0.0</v>
      </c>
      <c r="P1177" s="30">
        <v>0.0</v>
      </c>
      <c r="Q1177" s="30">
        <v>243.75</v>
      </c>
    </row>
    <row r="1178">
      <c r="A1178" s="47">
        <v>1.1222125322E10</v>
      </c>
      <c r="B1178" s="48">
        <v>46153.06748842593</v>
      </c>
      <c r="C1178" s="30">
        <v>3.837778073E9</v>
      </c>
      <c r="D1178" s="47" t="s">
        <v>1509</v>
      </c>
      <c r="E1178" s="47" t="s">
        <v>537</v>
      </c>
      <c r="F1178" s="47" t="s">
        <v>1523</v>
      </c>
      <c r="G1178" s="47" t="s">
        <v>1575</v>
      </c>
      <c r="H1178" s="30">
        <v>1.0</v>
      </c>
      <c r="I1178" s="30">
        <v>1482.0</v>
      </c>
      <c r="J1178" s="30">
        <v>1482.0</v>
      </c>
      <c r="K1178" s="30">
        <v>12.5</v>
      </c>
      <c r="L1178" s="30">
        <v>185.25</v>
      </c>
      <c r="M1178" s="30">
        <v>1053.0</v>
      </c>
      <c r="N1178" s="30">
        <v>1053.0</v>
      </c>
      <c r="O1178" s="30">
        <v>0.0</v>
      </c>
      <c r="P1178" s="30">
        <v>0.0</v>
      </c>
      <c r="Q1178" s="30">
        <v>243.75</v>
      </c>
    </row>
    <row r="1179">
      <c r="A1179" s="47">
        <v>1.1227104898E10</v>
      </c>
      <c r="B1179" s="48">
        <v>46154.642962962964</v>
      </c>
      <c r="C1179" s="30">
        <v>3.84274354E9</v>
      </c>
      <c r="D1179" s="47" t="s">
        <v>1509</v>
      </c>
      <c r="E1179" s="47">
        <v>3.182550737616E12</v>
      </c>
      <c r="F1179" s="47" t="s">
        <v>1523</v>
      </c>
      <c r="G1179" s="47" t="s">
        <v>1577</v>
      </c>
      <c r="H1179" s="30">
        <v>1.0</v>
      </c>
      <c r="I1179" s="30">
        <v>1963.0</v>
      </c>
      <c r="J1179" s="30">
        <v>1963.0</v>
      </c>
      <c r="K1179" s="30">
        <v>6.3</v>
      </c>
      <c r="L1179" s="30">
        <v>123.669</v>
      </c>
      <c r="M1179" s="30">
        <v>1535.52</v>
      </c>
      <c r="N1179" s="30">
        <v>1535.52</v>
      </c>
      <c r="O1179" s="30">
        <v>0.0</v>
      </c>
      <c r="P1179" s="30">
        <v>0.0</v>
      </c>
      <c r="Q1179" s="30">
        <v>303.81100000000004</v>
      </c>
    </row>
    <row r="1180">
      <c r="A1180" s="47">
        <v>1.1227725174E10</v>
      </c>
      <c r="B1180" s="48">
        <v>46154.772685185184</v>
      </c>
      <c r="C1180" s="30">
        <v>3.843284231E9</v>
      </c>
      <c r="D1180" s="47" t="s">
        <v>1511</v>
      </c>
      <c r="E1180" s="47">
        <v>3.182550716888E12</v>
      </c>
      <c r="F1180" s="47" t="s">
        <v>1523</v>
      </c>
      <c r="G1180" s="47" t="s">
        <v>1598</v>
      </c>
      <c r="H1180" s="30">
        <v>1.0</v>
      </c>
      <c r="I1180" s="30">
        <v>2700.0</v>
      </c>
      <c r="J1180" s="30">
        <v>2700.0</v>
      </c>
      <c r="K1180" s="30">
        <v>6.21</v>
      </c>
      <c r="L1180" s="30">
        <v>167.67</v>
      </c>
      <c r="M1180" s="30">
        <v>2294.04</v>
      </c>
      <c r="N1180" s="30">
        <v>2294.04</v>
      </c>
      <c r="O1180" s="30">
        <v>0.0</v>
      </c>
      <c r="P1180" s="30">
        <v>0.0</v>
      </c>
      <c r="Q1180" s="30">
        <v>238.29000000000005</v>
      </c>
    </row>
    <row r="1181">
      <c r="A1181" s="47">
        <v>1.1224692735E10</v>
      </c>
      <c r="B1181" s="48">
        <v>46153.865578703706</v>
      </c>
      <c r="C1181" s="30">
        <v>3.840350627E9</v>
      </c>
      <c r="D1181" s="47" t="s">
        <v>1509</v>
      </c>
      <c r="E1181" s="47" t="s">
        <v>348</v>
      </c>
      <c r="F1181" s="47" t="s">
        <v>1523</v>
      </c>
      <c r="G1181" s="47" t="s">
        <v>1599</v>
      </c>
      <c r="H1181" s="30">
        <v>1.0</v>
      </c>
      <c r="I1181" s="30">
        <v>1359.0</v>
      </c>
      <c r="J1181" s="30">
        <v>1359.0</v>
      </c>
      <c r="K1181" s="30">
        <v>12.5</v>
      </c>
      <c r="L1181" s="30">
        <v>169.875</v>
      </c>
      <c r="M1181" s="30">
        <v>924.0</v>
      </c>
      <c r="N1181" s="30">
        <v>924.0</v>
      </c>
      <c r="O1181" s="30">
        <v>0.0</v>
      </c>
      <c r="P1181" s="30">
        <v>0.0</v>
      </c>
      <c r="Q1181" s="30">
        <v>265.125</v>
      </c>
    </row>
    <row r="1182">
      <c r="A1182" s="47">
        <v>1.1216338519E10</v>
      </c>
      <c r="B1182" s="48">
        <v>46151.611122685186</v>
      </c>
      <c r="C1182" s="30">
        <v>3.832895166E9</v>
      </c>
      <c r="D1182" s="47" t="s">
        <v>1509</v>
      </c>
      <c r="E1182" s="47">
        <v>3.182550728102E12</v>
      </c>
      <c r="F1182" s="47" t="s">
        <v>1523</v>
      </c>
      <c r="G1182" s="47" t="s">
        <v>1576</v>
      </c>
      <c r="H1182" s="30">
        <v>1.0</v>
      </c>
      <c r="I1182" s="30">
        <v>978.0</v>
      </c>
      <c r="J1182" s="30">
        <v>978.0</v>
      </c>
      <c r="K1182" s="30">
        <v>12.5</v>
      </c>
      <c r="L1182" s="30">
        <v>122.25</v>
      </c>
      <c r="M1182" s="30">
        <v>621.6</v>
      </c>
      <c r="N1182" s="30">
        <v>621.6</v>
      </c>
      <c r="O1182" s="30">
        <v>0.0</v>
      </c>
      <c r="P1182" s="30">
        <v>0.0</v>
      </c>
      <c r="Q1182" s="30">
        <v>234.14999999999998</v>
      </c>
    </row>
    <row r="1183">
      <c r="A1183" s="47">
        <v>1.1226300311E10</v>
      </c>
      <c r="B1183" s="48">
        <v>46154.15833333333</v>
      </c>
      <c r="C1183" s="30">
        <v>3.841919127E9</v>
      </c>
      <c r="D1183" s="47" t="s">
        <v>1509</v>
      </c>
      <c r="E1183" s="47">
        <v>3.182550737616E12</v>
      </c>
      <c r="F1183" s="47" t="s">
        <v>1523</v>
      </c>
      <c r="G1183" s="47" t="s">
        <v>1577</v>
      </c>
      <c r="H1183" s="30">
        <v>1.0</v>
      </c>
      <c r="I1183" s="30">
        <v>2034.0</v>
      </c>
      <c r="J1183" s="30">
        <v>2034.0</v>
      </c>
      <c r="K1183" s="30">
        <v>12.5</v>
      </c>
      <c r="L1183" s="30">
        <v>254.25</v>
      </c>
      <c r="M1183" s="30">
        <v>1535.52</v>
      </c>
      <c r="N1183" s="30">
        <v>1535.52</v>
      </c>
      <c r="O1183" s="30">
        <v>0.0</v>
      </c>
      <c r="P1183" s="30">
        <v>0.0</v>
      </c>
      <c r="Q1183" s="30">
        <v>244.23000000000002</v>
      </c>
    </row>
    <row r="1184">
      <c r="A1184" s="47">
        <v>1.1226245043E10</v>
      </c>
      <c r="B1184" s="48">
        <v>46154.14015046296</v>
      </c>
      <c r="C1184" s="30">
        <v>3.841859364E9</v>
      </c>
      <c r="D1184" s="47" t="s">
        <v>1509</v>
      </c>
      <c r="E1184" s="47" t="s">
        <v>438</v>
      </c>
      <c r="F1184" s="47" t="s">
        <v>1523</v>
      </c>
      <c r="G1184" s="47" t="s">
        <v>1600</v>
      </c>
      <c r="H1184" s="30">
        <v>1.0</v>
      </c>
      <c r="I1184" s="30">
        <v>999.0</v>
      </c>
      <c r="J1184" s="30">
        <v>999.0</v>
      </c>
      <c r="K1184" s="30">
        <v>12.5</v>
      </c>
      <c r="L1184" s="30">
        <v>124.875</v>
      </c>
      <c r="M1184" s="30">
        <v>796.0</v>
      </c>
      <c r="N1184" s="30">
        <v>796.0</v>
      </c>
      <c r="O1184" s="30">
        <v>0.0</v>
      </c>
      <c r="P1184" s="30">
        <v>0.0</v>
      </c>
      <c r="Q1184" s="30">
        <v>78.125</v>
      </c>
    </row>
    <row r="1185">
      <c r="A1185" s="47">
        <v>1.1226245043E10</v>
      </c>
      <c r="B1185" s="48">
        <v>46154.14015046296</v>
      </c>
      <c r="C1185" s="30">
        <v>3.841859364E9</v>
      </c>
      <c r="D1185" s="47" t="s">
        <v>1509</v>
      </c>
      <c r="E1185" s="47" t="s">
        <v>318</v>
      </c>
      <c r="F1185" s="47" t="s">
        <v>1523</v>
      </c>
      <c r="G1185" s="47" t="s">
        <v>1552</v>
      </c>
      <c r="H1185" s="30">
        <v>1.0</v>
      </c>
      <c r="I1185" s="30">
        <v>200.0</v>
      </c>
      <c r="J1185" s="30">
        <v>200.0</v>
      </c>
      <c r="K1185" s="30">
        <v>12.5</v>
      </c>
      <c r="L1185" s="30">
        <v>25.0</v>
      </c>
      <c r="M1185" s="30">
        <v>78.6</v>
      </c>
      <c r="N1185" s="30">
        <v>78.6</v>
      </c>
      <c r="O1185" s="30">
        <v>0.0</v>
      </c>
      <c r="P1185" s="30">
        <v>0.0</v>
      </c>
      <c r="Q1185" s="30">
        <v>96.4</v>
      </c>
    </row>
    <row r="1186">
      <c r="A1186" s="47">
        <v>1.1226972461E10</v>
      </c>
      <c r="B1186" s="48">
        <v>46154.6162962963</v>
      </c>
      <c r="C1186" s="30">
        <v>3.842638161E9</v>
      </c>
      <c r="D1186" s="47" t="s">
        <v>1509</v>
      </c>
      <c r="E1186" s="47">
        <v>3.182550737616E12</v>
      </c>
      <c r="F1186" s="47" t="s">
        <v>1523</v>
      </c>
      <c r="G1186" s="47" t="s">
        <v>1577</v>
      </c>
      <c r="H1186" s="30">
        <v>1.0</v>
      </c>
      <c r="I1186" s="30">
        <v>1963.0</v>
      </c>
      <c r="J1186" s="30">
        <v>1963.0</v>
      </c>
      <c r="K1186" s="30">
        <v>6.3</v>
      </c>
      <c r="L1186" s="30">
        <v>123.669</v>
      </c>
      <c r="M1186" s="30">
        <v>1535.52</v>
      </c>
      <c r="N1186" s="30">
        <v>1535.52</v>
      </c>
      <c r="O1186" s="30">
        <v>0.0</v>
      </c>
      <c r="P1186" s="30">
        <v>0.0</v>
      </c>
      <c r="Q1186" s="30">
        <v>303.81100000000004</v>
      </c>
    </row>
    <row r="1187">
      <c r="A1187" s="47">
        <v>1.1227144562E10</v>
      </c>
      <c r="B1187" s="48">
        <v>46154.651504629626</v>
      </c>
      <c r="C1187" s="30">
        <v>3.842776632E9</v>
      </c>
      <c r="D1187" s="47" t="s">
        <v>1509</v>
      </c>
      <c r="E1187" s="47">
        <v>3.182550737616E12</v>
      </c>
      <c r="F1187" s="47" t="s">
        <v>1523</v>
      </c>
      <c r="G1187" s="47" t="s">
        <v>1577</v>
      </c>
      <c r="H1187" s="30">
        <v>1.0</v>
      </c>
      <c r="I1187" s="30">
        <v>1963.0</v>
      </c>
      <c r="J1187" s="30">
        <v>1963.0</v>
      </c>
      <c r="K1187" s="30">
        <v>6.3</v>
      </c>
      <c r="L1187" s="30">
        <v>123.669</v>
      </c>
      <c r="M1187" s="30">
        <v>1535.52</v>
      </c>
      <c r="N1187" s="30">
        <v>1535.52</v>
      </c>
      <c r="O1187" s="30">
        <v>0.0</v>
      </c>
      <c r="P1187" s="30">
        <v>0.0</v>
      </c>
      <c r="Q1187" s="30">
        <v>303.81100000000004</v>
      </c>
    </row>
    <row r="1188">
      <c r="A1188" s="47">
        <v>1.1216374631E10</v>
      </c>
      <c r="B1188" s="48">
        <v>46151.619375</v>
      </c>
      <c r="C1188" s="30">
        <v>3.832928393E9</v>
      </c>
      <c r="D1188" s="47" t="s">
        <v>1509</v>
      </c>
      <c r="E1188" s="47">
        <v>985474.0</v>
      </c>
      <c r="F1188" s="47" t="s">
        <v>1523</v>
      </c>
      <c r="G1188" s="47" t="s">
        <v>1601</v>
      </c>
      <c r="H1188" s="30">
        <v>1.0</v>
      </c>
      <c r="I1188" s="30">
        <v>625.0</v>
      </c>
      <c r="J1188" s="30">
        <v>625.0</v>
      </c>
      <c r="K1188" s="30">
        <v>12.5</v>
      </c>
      <c r="L1188" s="30">
        <v>78.125</v>
      </c>
      <c r="M1188" s="30">
        <v>350.0</v>
      </c>
      <c r="N1188" s="30">
        <v>350.0</v>
      </c>
      <c r="O1188" s="30">
        <v>0.0</v>
      </c>
      <c r="P1188" s="30">
        <v>0.0</v>
      </c>
      <c r="Q1188" s="30">
        <v>196.875</v>
      </c>
    </row>
    <row r="1189">
      <c r="A1189" s="47">
        <v>1.1216374631E10</v>
      </c>
      <c r="B1189" s="48">
        <v>46151.619375</v>
      </c>
      <c r="C1189" s="30">
        <v>3.832928393E9</v>
      </c>
      <c r="D1189" s="47" t="s">
        <v>1509</v>
      </c>
      <c r="E1189" s="47">
        <v>7.613033560064E12</v>
      </c>
      <c r="F1189" s="47" t="s">
        <v>1523</v>
      </c>
      <c r="G1189" s="47" t="s">
        <v>1527</v>
      </c>
      <c r="H1189" s="30">
        <v>1.0</v>
      </c>
      <c r="I1189" s="30">
        <v>1599.0</v>
      </c>
      <c r="J1189" s="30">
        <v>1599.0</v>
      </c>
      <c r="K1189" s="30">
        <v>12.5</v>
      </c>
      <c r="L1189" s="30">
        <v>199.875</v>
      </c>
      <c r="M1189" s="30">
        <v>1190.0</v>
      </c>
      <c r="N1189" s="30">
        <v>1190.0</v>
      </c>
      <c r="O1189" s="30">
        <v>0.0</v>
      </c>
      <c r="P1189" s="30">
        <v>0.0</v>
      </c>
      <c r="Q1189" s="30">
        <v>209.125</v>
      </c>
    </row>
    <row r="1190">
      <c r="A1190" s="47">
        <v>1.1217690722E10</v>
      </c>
      <c r="B1190" s="48">
        <v>46151.87414351852</v>
      </c>
      <c r="C1190" s="30">
        <v>3.834042256E9</v>
      </c>
      <c r="D1190" s="47" t="s">
        <v>1509</v>
      </c>
      <c r="E1190" s="47" t="s">
        <v>537</v>
      </c>
      <c r="F1190" s="47" t="s">
        <v>1523</v>
      </c>
      <c r="G1190" s="47" t="s">
        <v>1575</v>
      </c>
      <c r="H1190" s="30">
        <v>2.0</v>
      </c>
      <c r="I1190" s="30">
        <v>1482.0</v>
      </c>
      <c r="J1190" s="30">
        <v>2964.0</v>
      </c>
      <c r="K1190" s="30">
        <v>12.5</v>
      </c>
      <c r="L1190" s="30">
        <v>370.5</v>
      </c>
      <c r="M1190" s="30">
        <v>1053.0</v>
      </c>
      <c r="N1190" s="30">
        <v>2106.0</v>
      </c>
      <c r="O1190" s="30">
        <v>0.0</v>
      </c>
      <c r="P1190" s="30">
        <v>0.0</v>
      </c>
      <c r="Q1190" s="30">
        <v>487.5</v>
      </c>
    </row>
    <row r="1191">
      <c r="A1191" s="47">
        <v>1.1226421908E10</v>
      </c>
      <c r="B1191" s="48">
        <v>46154.235613425924</v>
      </c>
      <c r="C1191" s="30">
        <v>3.842045172E9</v>
      </c>
      <c r="D1191" s="47" t="s">
        <v>1509</v>
      </c>
      <c r="E1191" s="47">
        <v>3.182550737616E12</v>
      </c>
      <c r="F1191" s="47" t="s">
        <v>1523</v>
      </c>
      <c r="G1191" s="47" t="s">
        <v>1577</v>
      </c>
      <c r="H1191" s="30">
        <v>1.0</v>
      </c>
      <c r="I1191" s="30">
        <v>2034.0</v>
      </c>
      <c r="J1191" s="30">
        <v>2034.0</v>
      </c>
      <c r="K1191" s="30">
        <v>12.5</v>
      </c>
      <c r="L1191" s="30">
        <v>254.25</v>
      </c>
      <c r="M1191" s="30">
        <v>1535.52</v>
      </c>
      <c r="N1191" s="30">
        <v>1535.52</v>
      </c>
      <c r="O1191" s="30">
        <v>0.0</v>
      </c>
      <c r="P1191" s="30">
        <v>0.0</v>
      </c>
      <c r="Q1191" s="30">
        <v>244.23000000000002</v>
      </c>
    </row>
    <row r="1192">
      <c r="A1192" s="47">
        <v>1.1226492128E10</v>
      </c>
      <c r="B1192" s="48">
        <v>46154.431759259256</v>
      </c>
      <c r="C1192" s="30">
        <v>3.842127539E9</v>
      </c>
      <c r="D1192" s="47" t="s">
        <v>1509</v>
      </c>
      <c r="E1192" s="47">
        <v>3.182550737616E12</v>
      </c>
      <c r="F1192" s="47" t="s">
        <v>1523</v>
      </c>
      <c r="G1192" s="47" t="s">
        <v>1577</v>
      </c>
      <c r="H1192" s="30">
        <v>1.0</v>
      </c>
      <c r="I1192" s="30">
        <v>2034.0</v>
      </c>
      <c r="J1192" s="30">
        <v>2034.0</v>
      </c>
      <c r="K1192" s="30">
        <v>12.5</v>
      </c>
      <c r="L1192" s="30">
        <v>254.25</v>
      </c>
      <c r="M1192" s="30">
        <v>1535.52</v>
      </c>
      <c r="N1192" s="30">
        <v>1535.52</v>
      </c>
      <c r="O1192" s="30">
        <v>0.0</v>
      </c>
      <c r="P1192" s="30">
        <v>0.0</v>
      </c>
      <c r="Q1192" s="30">
        <v>244.23000000000002</v>
      </c>
    </row>
    <row r="1193">
      <c r="A1193" s="47">
        <v>1.1226468424E10</v>
      </c>
      <c r="B1193" s="48">
        <v>46154.374710648146</v>
      </c>
      <c r="C1193" s="30">
        <v>3.842097681E9</v>
      </c>
      <c r="D1193" s="47" t="s">
        <v>1509</v>
      </c>
      <c r="E1193" s="47">
        <v>3.182550737616E12</v>
      </c>
      <c r="F1193" s="47" t="s">
        <v>1523</v>
      </c>
      <c r="G1193" s="47" t="s">
        <v>1577</v>
      </c>
      <c r="H1193" s="30">
        <v>1.0</v>
      </c>
      <c r="I1193" s="30">
        <v>2034.0</v>
      </c>
      <c r="J1193" s="30">
        <v>2034.0</v>
      </c>
      <c r="K1193" s="30">
        <v>12.5</v>
      </c>
      <c r="L1193" s="30">
        <v>254.25</v>
      </c>
      <c r="M1193" s="30">
        <v>1535.52</v>
      </c>
      <c r="N1193" s="30">
        <v>1535.52</v>
      </c>
      <c r="O1193" s="30">
        <v>0.0</v>
      </c>
      <c r="P1193" s="30">
        <v>0.0</v>
      </c>
      <c r="Q1193" s="30">
        <v>244.23000000000002</v>
      </c>
    </row>
    <row r="1194">
      <c r="A1194" s="47">
        <v>1.1224516336E10</v>
      </c>
      <c r="B1194" s="48">
        <v>46153.833645833336</v>
      </c>
      <c r="C1194" s="30">
        <v>3.840195314E9</v>
      </c>
      <c r="D1194" s="47" t="s">
        <v>1509</v>
      </c>
      <c r="E1194" s="47">
        <v>8.005852171115E12</v>
      </c>
      <c r="F1194" s="47" t="s">
        <v>1523</v>
      </c>
      <c r="G1194" s="47" t="s">
        <v>1602</v>
      </c>
      <c r="H1194" s="30">
        <v>5.0</v>
      </c>
      <c r="I1194" s="30">
        <v>160.0</v>
      </c>
      <c r="J1194" s="30">
        <v>800.0</v>
      </c>
      <c r="K1194" s="30">
        <v>16.5</v>
      </c>
      <c r="L1194" s="30">
        <v>132.0</v>
      </c>
      <c r="M1194" s="30">
        <v>0.0</v>
      </c>
      <c r="N1194" s="30">
        <v>0.0</v>
      </c>
      <c r="O1194" s="30">
        <v>0.0</v>
      </c>
      <c r="P1194" s="30">
        <v>0.0</v>
      </c>
      <c r="Q1194" s="30">
        <v>668.0</v>
      </c>
    </row>
    <row r="1195">
      <c r="A1195" s="47">
        <v>1.122226881E10</v>
      </c>
      <c r="B1195" s="48">
        <v>46153.09196759259</v>
      </c>
      <c r="C1195" s="30">
        <v>3.837929261E9</v>
      </c>
      <c r="D1195" s="47" t="s">
        <v>1509</v>
      </c>
      <c r="E1195" s="47">
        <v>3.182550728102E12</v>
      </c>
      <c r="F1195" s="47" t="s">
        <v>1523</v>
      </c>
      <c r="G1195" s="47" t="s">
        <v>1576</v>
      </c>
      <c r="H1195" s="30">
        <v>1.0</v>
      </c>
      <c r="I1195" s="30">
        <v>978.0</v>
      </c>
      <c r="J1195" s="30">
        <v>978.0</v>
      </c>
      <c r="K1195" s="30">
        <v>12.5</v>
      </c>
      <c r="L1195" s="30">
        <v>122.25</v>
      </c>
      <c r="M1195" s="30">
        <v>621.6</v>
      </c>
      <c r="N1195" s="30">
        <v>621.6</v>
      </c>
      <c r="O1195" s="30">
        <v>0.0</v>
      </c>
      <c r="P1195" s="30">
        <v>0.0</v>
      </c>
      <c r="Q1195" s="30">
        <v>234.14999999999998</v>
      </c>
    </row>
    <row r="1196">
      <c r="A1196" s="47">
        <v>1.1226787084E10</v>
      </c>
      <c r="B1196" s="48">
        <v>46154.570497685185</v>
      </c>
      <c r="C1196" s="30">
        <v>3.842461482E9</v>
      </c>
      <c r="D1196" s="47" t="s">
        <v>1509</v>
      </c>
      <c r="E1196" s="47">
        <v>6.927749871187E12</v>
      </c>
      <c r="F1196" s="47" t="s">
        <v>1523</v>
      </c>
      <c r="G1196" s="47" t="s">
        <v>1546</v>
      </c>
      <c r="H1196" s="30">
        <v>1.0</v>
      </c>
      <c r="I1196" s="30">
        <v>425.0</v>
      </c>
      <c r="J1196" s="30">
        <v>425.0</v>
      </c>
      <c r="K1196" s="30">
        <v>11.25</v>
      </c>
      <c r="L1196" s="30">
        <v>47.8125</v>
      </c>
      <c r="M1196" s="30">
        <v>196.5</v>
      </c>
      <c r="N1196" s="30">
        <v>196.5</v>
      </c>
      <c r="O1196" s="30">
        <v>0.0</v>
      </c>
      <c r="P1196" s="30">
        <v>0.0</v>
      </c>
      <c r="Q1196" s="30">
        <v>180.6875</v>
      </c>
    </row>
    <row r="1197">
      <c r="A1197" s="47">
        <v>1.1180385796E10</v>
      </c>
      <c r="B1197" s="48">
        <v>46140.61753472222</v>
      </c>
      <c r="C1197" s="30">
        <v>3.80104037E9</v>
      </c>
      <c r="D1197" s="47" t="s">
        <v>1509</v>
      </c>
      <c r="E1197" s="47">
        <v>8.410650218663E12</v>
      </c>
      <c r="F1197" s="47" t="s">
        <v>1523</v>
      </c>
      <c r="G1197" s="47" t="s">
        <v>1542</v>
      </c>
      <c r="H1197" s="30">
        <v>1.0</v>
      </c>
      <c r="I1197" s="30">
        <v>4650.0</v>
      </c>
      <c r="J1197" s="30">
        <v>4650.0</v>
      </c>
      <c r="K1197" s="30">
        <v>16.5</v>
      </c>
      <c r="L1197" s="30">
        <v>767.25</v>
      </c>
      <c r="M1197" s="30">
        <v>3556.0</v>
      </c>
      <c r="N1197" s="30">
        <v>3556.0</v>
      </c>
      <c r="O1197" s="30">
        <v>0.0</v>
      </c>
      <c r="P1197" s="30">
        <v>0.0</v>
      </c>
      <c r="Q1197" s="30">
        <v>326.75</v>
      </c>
    </row>
    <row r="1198">
      <c r="A1198" s="47">
        <v>1.1212353688E10</v>
      </c>
      <c r="B1198" s="48">
        <v>46150.472280092596</v>
      </c>
      <c r="C1198" s="30">
        <v>3.82921216E9</v>
      </c>
      <c r="D1198" s="47" t="s">
        <v>1509</v>
      </c>
      <c r="E1198" s="47">
        <v>8.010276042132E12</v>
      </c>
      <c r="F1198" s="47" t="s">
        <v>1523</v>
      </c>
      <c r="G1198" s="47" t="s">
        <v>1603</v>
      </c>
      <c r="H1198" s="30">
        <v>1.0</v>
      </c>
      <c r="I1198" s="30">
        <v>2170.96</v>
      </c>
      <c r="J1198" s="30">
        <v>2170.96</v>
      </c>
      <c r="K1198" s="30">
        <v>12.5</v>
      </c>
      <c r="L1198" s="30">
        <v>271.37</v>
      </c>
      <c r="M1198" s="30">
        <v>1680.0</v>
      </c>
      <c r="N1198" s="30">
        <v>1680.0</v>
      </c>
      <c r="O1198" s="30">
        <v>0.0</v>
      </c>
      <c r="P1198" s="30">
        <v>0.0</v>
      </c>
      <c r="Q1198" s="30">
        <v>219.59000000000003</v>
      </c>
    </row>
    <row r="1199">
      <c r="A1199" s="47">
        <v>1.1213476065E10</v>
      </c>
      <c r="B1199" s="48">
        <v>46150.731840277775</v>
      </c>
      <c r="C1199" s="30">
        <v>3.830287299E9</v>
      </c>
      <c r="D1199" s="47" t="s">
        <v>1509</v>
      </c>
      <c r="E1199" s="47">
        <v>7.613035846708E12</v>
      </c>
      <c r="F1199" s="47" t="s">
        <v>1523</v>
      </c>
      <c r="G1199" s="47" t="s">
        <v>1535</v>
      </c>
      <c r="H1199" s="30">
        <v>1.0</v>
      </c>
      <c r="I1199" s="30">
        <v>1400.0</v>
      </c>
      <c r="J1199" s="30">
        <v>1400.0</v>
      </c>
      <c r="K1199" s="30">
        <v>6.4</v>
      </c>
      <c r="L1199" s="30">
        <v>89.6</v>
      </c>
      <c r="M1199" s="30">
        <v>1160.0</v>
      </c>
      <c r="N1199" s="30">
        <v>1160.0</v>
      </c>
      <c r="O1199" s="30">
        <v>0.0</v>
      </c>
      <c r="P1199" s="30">
        <v>0.0</v>
      </c>
      <c r="Q1199" s="30">
        <v>150.4</v>
      </c>
    </row>
    <row r="1200">
      <c r="A1200" s="47">
        <v>1.1210034634E10</v>
      </c>
      <c r="B1200" s="48">
        <v>46149.78954861111</v>
      </c>
      <c r="C1200" s="30">
        <v>3.827011972E9</v>
      </c>
      <c r="D1200" s="47" t="s">
        <v>1509</v>
      </c>
      <c r="E1200" s="47">
        <v>6.923632570121E12</v>
      </c>
      <c r="F1200" s="47" t="s">
        <v>306</v>
      </c>
      <c r="G1200" s="47" t="s">
        <v>1555</v>
      </c>
      <c r="H1200" s="30">
        <v>1.0</v>
      </c>
      <c r="I1200" s="30">
        <v>897.45</v>
      </c>
      <c r="J1200" s="30">
        <v>897.45</v>
      </c>
      <c r="K1200" s="30">
        <v>20.0</v>
      </c>
      <c r="L1200" s="30">
        <v>179.49</v>
      </c>
      <c r="M1200" s="30">
        <v>300.0</v>
      </c>
      <c r="N1200" s="30">
        <v>300.0</v>
      </c>
      <c r="O1200" s="30">
        <v>0.0</v>
      </c>
      <c r="P1200" s="30">
        <v>0.0</v>
      </c>
      <c r="Q1200" s="30">
        <v>417.96000000000004</v>
      </c>
    </row>
    <row r="1201">
      <c r="A1201" s="47">
        <v>1.1203019068E10</v>
      </c>
      <c r="B1201" s="48">
        <v>46147.9453125</v>
      </c>
      <c r="C1201" s="30">
        <v>3.820100046E9</v>
      </c>
      <c r="D1201" s="47" t="s">
        <v>1509</v>
      </c>
      <c r="E1201" s="47">
        <v>8.410650239156E12</v>
      </c>
      <c r="F1201" s="47" t="s">
        <v>1523</v>
      </c>
      <c r="G1201" s="47" t="s">
        <v>1530</v>
      </c>
      <c r="H1201" s="30">
        <v>1.0</v>
      </c>
      <c r="I1201" s="30">
        <v>1870.0</v>
      </c>
      <c r="J1201" s="30">
        <v>1870.0</v>
      </c>
      <c r="K1201" s="30">
        <v>16.5</v>
      </c>
      <c r="L1201" s="30">
        <v>308.55</v>
      </c>
      <c r="M1201" s="30">
        <v>1260.0</v>
      </c>
      <c r="N1201" s="30">
        <v>1260.0</v>
      </c>
      <c r="O1201" s="30">
        <v>0.0</v>
      </c>
      <c r="P1201" s="30">
        <v>0.0</v>
      </c>
      <c r="Q1201" s="30">
        <v>301.45</v>
      </c>
    </row>
    <row r="1202">
      <c r="A1202" s="47">
        <v>1.1222821155E10</v>
      </c>
      <c r="B1202" s="48">
        <v>46153.47216435185</v>
      </c>
      <c r="C1202" s="30">
        <v>3.838544436E9</v>
      </c>
      <c r="D1202" s="47" t="s">
        <v>1509</v>
      </c>
      <c r="E1202" s="47">
        <v>3.182550702317E12</v>
      </c>
      <c r="F1202" s="47" t="s">
        <v>1523</v>
      </c>
      <c r="G1202" s="47" t="s">
        <v>1604</v>
      </c>
      <c r="H1202" s="30">
        <v>1.0</v>
      </c>
      <c r="I1202" s="30">
        <v>1268.0</v>
      </c>
      <c r="J1202" s="30">
        <v>1268.0</v>
      </c>
      <c r="K1202" s="30">
        <v>12.5</v>
      </c>
      <c r="L1202" s="30">
        <v>158.5</v>
      </c>
      <c r="M1202" s="30">
        <v>832.44</v>
      </c>
      <c r="N1202" s="30">
        <v>832.44</v>
      </c>
      <c r="O1202" s="30">
        <v>0.0</v>
      </c>
      <c r="P1202" s="30">
        <v>0.0</v>
      </c>
      <c r="Q1202" s="30">
        <v>277.05999999999995</v>
      </c>
    </row>
    <row r="1203">
      <c r="A1203" s="47">
        <v>1.1219457496E10</v>
      </c>
      <c r="B1203" s="48">
        <v>46152.52958333334</v>
      </c>
      <c r="C1203" s="30">
        <v>3.835588461E9</v>
      </c>
      <c r="D1203" s="47" t="s">
        <v>1509</v>
      </c>
      <c r="E1203" s="47" t="s">
        <v>348</v>
      </c>
      <c r="F1203" s="47" t="s">
        <v>1523</v>
      </c>
      <c r="G1203" s="47" t="s">
        <v>1599</v>
      </c>
      <c r="H1203" s="30">
        <v>1.0</v>
      </c>
      <c r="I1203" s="30">
        <v>1359.0</v>
      </c>
      <c r="J1203" s="30">
        <v>1359.0</v>
      </c>
      <c r="K1203" s="30">
        <v>12.5</v>
      </c>
      <c r="L1203" s="30">
        <v>169.875</v>
      </c>
      <c r="M1203" s="30">
        <v>924.0</v>
      </c>
      <c r="N1203" s="30">
        <v>924.0</v>
      </c>
      <c r="O1203" s="30">
        <v>0.0</v>
      </c>
      <c r="P1203" s="30">
        <v>0.0</v>
      </c>
      <c r="Q1203" s="30">
        <v>265.125</v>
      </c>
    </row>
    <row r="1204">
      <c r="A1204" s="47">
        <v>1.1221313886E10</v>
      </c>
      <c r="B1204" s="48">
        <v>46152.93094907407</v>
      </c>
      <c r="C1204" s="30">
        <v>3.837077962E9</v>
      </c>
      <c r="D1204" s="47" t="s">
        <v>1509</v>
      </c>
      <c r="E1204" s="47">
        <v>3.182550737616E12</v>
      </c>
      <c r="F1204" s="47" t="s">
        <v>1523</v>
      </c>
      <c r="G1204" s="47" t="s">
        <v>1577</v>
      </c>
      <c r="H1204" s="30">
        <v>1.0</v>
      </c>
      <c r="I1204" s="30">
        <v>2049.99</v>
      </c>
      <c r="J1204" s="30">
        <v>2049.99</v>
      </c>
      <c r="K1204" s="30">
        <v>12.5</v>
      </c>
      <c r="L1204" s="30">
        <v>256.24875</v>
      </c>
      <c r="M1204" s="30">
        <v>1535.52</v>
      </c>
      <c r="N1204" s="30">
        <v>1535.52</v>
      </c>
      <c r="O1204" s="30">
        <v>0.0</v>
      </c>
      <c r="P1204" s="30">
        <v>0.0</v>
      </c>
      <c r="Q1204" s="30">
        <v>258.2212499999998</v>
      </c>
    </row>
    <row r="1205">
      <c r="A1205" s="47">
        <v>1.1215900347E10</v>
      </c>
      <c r="B1205" s="48">
        <v>46151.39809027778</v>
      </c>
      <c r="C1205" s="30">
        <v>3.832444739E9</v>
      </c>
      <c r="D1205" s="47" t="s">
        <v>1509</v>
      </c>
      <c r="E1205" s="47">
        <v>6.923632570006E12</v>
      </c>
      <c r="F1205" s="47" t="s">
        <v>298</v>
      </c>
      <c r="G1205" s="47" t="s">
        <v>1544</v>
      </c>
      <c r="H1205" s="30">
        <v>1.0</v>
      </c>
      <c r="I1205" s="30">
        <v>474.0</v>
      </c>
      <c r="J1205" s="30">
        <v>474.0</v>
      </c>
      <c r="K1205" s="30">
        <v>20.0</v>
      </c>
      <c r="L1205" s="30">
        <v>94.8</v>
      </c>
      <c r="M1205" s="30">
        <v>130.0</v>
      </c>
      <c r="N1205" s="30">
        <v>130.0</v>
      </c>
      <c r="O1205" s="30">
        <v>0.0</v>
      </c>
      <c r="P1205" s="30">
        <v>0.0</v>
      </c>
      <c r="Q1205" s="30">
        <v>249.2</v>
      </c>
    </row>
    <row r="1206">
      <c r="A1206" s="47">
        <v>1.1223058119E10</v>
      </c>
      <c r="B1206" s="48">
        <v>46153.55966435185</v>
      </c>
      <c r="C1206" s="30">
        <v>3.838821313E9</v>
      </c>
      <c r="D1206" s="47" t="s">
        <v>1509</v>
      </c>
      <c r="E1206" s="47" t="s">
        <v>537</v>
      </c>
      <c r="F1206" s="47" t="s">
        <v>1523</v>
      </c>
      <c r="G1206" s="47" t="s">
        <v>1575</v>
      </c>
      <c r="H1206" s="30">
        <v>1.0</v>
      </c>
      <c r="I1206" s="30">
        <v>1582.0</v>
      </c>
      <c r="J1206" s="30">
        <v>1582.0</v>
      </c>
      <c r="K1206" s="30">
        <v>12.5</v>
      </c>
      <c r="L1206" s="30">
        <v>197.75</v>
      </c>
      <c r="M1206" s="30">
        <v>1053.0</v>
      </c>
      <c r="N1206" s="30">
        <v>1053.0</v>
      </c>
      <c r="O1206" s="30">
        <v>0.0</v>
      </c>
      <c r="P1206" s="30">
        <v>0.0</v>
      </c>
      <c r="Q1206" s="30">
        <v>331.25</v>
      </c>
    </row>
    <row r="1207">
      <c r="A1207" s="47">
        <v>1.1216517976E10</v>
      </c>
      <c r="B1207" s="48">
        <v>46151.64865740741</v>
      </c>
      <c r="C1207" s="30">
        <v>3.833058983E9</v>
      </c>
      <c r="D1207" s="47" t="s">
        <v>1509</v>
      </c>
      <c r="E1207" s="47">
        <v>6.923632570121E12</v>
      </c>
      <c r="F1207" s="47" t="s">
        <v>306</v>
      </c>
      <c r="G1207" s="47" t="s">
        <v>1555</v>
      </c>
      <c r="H1207" s="30">
        <v>1.0</v>
      </c>
      <c r="I1207" s="30">
        <v>897.45</v>
      </c>
      <c r="J1207" s="30">
        <v>897.45</v>
      </c>
      <c r="K1207" s="30">
        <v>20.0</v>
      </c>
      <c r="L1207" s="30">
        <v>179.49</v>
      </c>
      <c r="M1207" s="30">
        <v>300.0</v>
      </c>
      <c r="N1207" s="30">
        <v>300.0</v>
      </c>
      <c r="O1207" s="30">
        <v>0.0</v>
      </c>
      <c r="P1207" s="30">
        <v>0.0</v>
      </c>
      <c r="Q1207" s="30">
        <v>417.96000000000004</v>
      </c>
    </row>
    <row r="1208">
      <c r="A1208" s="47">
        <v>1.1208908648E10</v>
      </c>
      <c r="B1208" s="48">
        <v>46149.58336805556</v>
      </c>
      <c r="C1208" s="30">
        <v>3.825974928E9</v>
      </c>
      <c r="D1208" s="47" t="s">
        <v>1509</v>
      </c>
      <c r="E1208" s="47">
        <v>7.613035846708E12</v>
      </c>
      <c r="F1208" s="47" t="s">
        <v>1523</v>
      </c>
      <c r="G1208" s="47" t="s">
        <v>1535</v>
      </c>
      <c r="H1208" s="30">
        <v>1.0</v>
      </c>
      <c r="I1208" s="30">
        <v>1400.0</v>
      </c>
      <c r="J1208" s="30">
        <v>1400.0</v>
      </c>
      <c r="K1208" s="30">
        <v>6.4</v>
      </c>
      <c r="L1208" s="30">
        <v>89.6</v>
      </c>
      <c r="M1208" s="30">
        <v>1160.0</v>
      </c>
      <c r="N1208" s="30">
        <v>1160.0</v>
      </c>
      <c r="O1208" s="30">
        <v>0.0</v>
      </c>
      <c r="P1208" s="30">
        <v>0.0</v>
      </c>
      <c r="Q1208" s="30">
        <v>150.4</v>
      </c>
    </row>
    <row r="1209">
      <c r="A1209" s="47">
        <v>1.1215194279E10</v>
      </c>
      <c r="B1209" s="48">
        <v>46151.04859953704</v>
      </c>
      <c r="C1209" s="30">
        <v>3.831738337E9</v>
      </c>
      <c r="D1209" s="47" t="s">
        <v>1509</v>
      </c>
      <c r="E1209" s="47">
        <v>8.684501941837E12</v>
      </c>
      <c r="F1209" s="47" t="s">
        <v>289</v>
      </c>
      <c r="G1209" s="47" t="s">
        <v>1543</v>
      </c>
      <c r="H1209" s="30">
        <v>1.0</v>
      </c>
      <c r="I1209" s="30">
        <v>349.99</v>
      </c>
      <c r="J1209" s="30">
        <v>349.99</v>
      </c>
      <c r="K1209" s="30">
        <v>20.0</v>
      </c>
      <c r="L1209" s="30">
        <v>69.998</v>
      </c>
      <c r="M1209" s="30">
        <v>53.0</v>
      </c>
      <c r="N1209" s="30">
        <v>53.0</v>
      </c>
      <c r="O1209" s="30">
        <v>0.0</v>
      </c>
      <c r="P1209" s="30">
        <v>0.0</v>
      </c>
      <c r="Q1209" s="30">
        <v>226.99200000000002</v>
      </c>
    </row>
    <row r="1210">
      <c r="A1210" s="47">
        <v>1.1219957923E10</v>
      </c>
      <c r="B1210" s="48">
        <v>46152.67086805555</v>
      </c>
      <c r="C1210" s="30">
        <v>3.836027708E9</v>
      </c>
      <c r="D1210" s="47" t="s">
        <v>1509</v>
      </c>
      <c r="E1210" s="47">
        <v>6.923632570004E12</v>
      </c>
      <c r="F1210" s="47" t="s">
        <v>300</v>
      </c>
      <c r="G1210" s="47" t="s">
        <v>1544</v>
      </c>
      <c r="H1210" s="30">
        <v>2.0</v>
      </c>
      <c r="I1210" s="30">
        <v>489.0</v>
      </c>
      <c r="J1210" s="30">
        <v>978.0</v>
      </c>
      <c r="K1210" s="30">
        <v>20.0</v>
      </c>
      <c r="L1210" s="30">
        <v>195.6</v>
      </c>
      <c r="M1210" s="30">
        <v>130.0</v>
      </c>
      <c r="N1210" s="30">
        <v>260.0</v>
      </c>
      <c r="O1210" s="30">
        <v>0.0</v>
      </c>
      <c r="P1210" s="30">
        <v>0.0</v>
      </c>
      <c r="Q1210" s="30">
        <v>522.4</v>
      </c>
    </row>
    <row r="1211">
      <c r="A1211" s="47">
        <v>1.1215963305E10</v>
      </c>
      <c r="B1211" s="48">
        <v>46151.485810185186</v>
      </c>
      <c r="C1211" s="30">
        <v>3.832524267E9</v>
      </c>
      <c r="D1211" s="47" t="s">
        <v>1509</v>
      </c>
      <c r="E1211" s="47">
        <v>3.182550721745E12</v>
      </c>
      <c r="F1211" s="47" t="s">
        <v>1523</v>
      </c>
      <c r="G1211" s="47" t="s">
        <v>1605</v>
      </c>
      <c r="H1211" s="30">
        <v>1.0</v>
      </c>
      <c r="I1211" s="30">
        <v>2625.0</v>
      </c>
      <c r="J1211" s="30">
        <v>2625.0</v>
      </c>
      <c r="K1211" s="30">
        <v>6.4</v>
      </c>
      <c r="L1211" s="30">
        <v>168.0</v>
      </c>
      <c r="M1211" s="30">
        <v>2000.0</v>
      </c>
      <c r="N1211" s="30">
        <v>2000.0</v>
      </c>
      <c r="O1211" s="30">
        <v>0.0</v>
      </c>
      <c r="P1211" s="30">
        <v>0.0</v>
      </c>
      <c r="Q1211" s="30">
        <v>457.0</v>
      </c>
    </row>
    <row r="1212">
      <c r="A1212" s="47">
        <v>1.1219221812E10</v>
      </c>
      <c r="B1212" s="48">
        <v>46152.20245370371</v>
      </c>
      <c r="C1212" s="30">
        <v>3.835347705E9</v>
      </c>
      <c r="D1212" s="47" t="s">
        <v>1509</v>
      </c>
      <c r="E1212" s="47" t="s">
        <v>537</v>
      </c>
      <c r="F1212" s="47" t="s">
        <v>1523</v>
      </c>
      <c r="G1212" s="47" t="s">
        <v>1606</v>
      </c>
      <c r="H1212" s="30">
        <v>1.0</v>
      </c>
      <c r="I1212" s="30">
        <v>1482.0</v>
      </c>
      <c r="J1212" s="30">
        <v>1482.0</v>
      </c>
      <c r="K1212" s="30">
        <v>12.5</v>
      </c>
      <c r="L1212" s="30">
        <v>185.25</v>
      </c>
      <c r="M1212" s="30">
        <v>1053.0</v>
      </c>
      <c r="N1212" s="30">
        <v>1053.0</v>
      </c>
      <c r="O1212" s="30">
        <v>0.0</v>
      </c>
      <c r="P1212" s="30">
        <v>0.0</v>
      </c>
      <c r="Q1212" s="30">
        <v>243.75</v>
      </c>
    </row>
    <row r="1213">
      <c r="A1213" s="47">
        <v>1.1219486048E10</v>
      </c>
      <c r="B1213" s="48">
        <v>46152.54253472222</v>
      </c>
      <c r="C1213" s="30">
        <v>3.835615962E9</v>
      </c>
      <c r="D1213" s="47" t="s">
        <v>1509</v>
      </c>
      <c r="E1213" s="47">
        <v>3.182550702447E12</v>
      </c>
      <c r="F1213" s="47" t="s">
        <v>1523</v>
      </c>
      <c r="G1213" s="47" t="s">
        <v>1594</v>
      </c>
      <c r="H1213" s="30">
        <v>1.0</v>
      </c>
      <c r="I1213" s="30">
        <v>2142.0</v>
      </c>
      <c r="J1213" s="30">
        <v>2142.0</v>
      </c>
      <c r="K1213" s="30">
        <v>12.5</v>
      </c>
      <c r="L1213" s="30">
        <v>267.75</v>
      </c>
      <c r="M1213" s="30">
        <v>1459.08</v>
      </c>
      <c r="N1213" s="30">
        <v>1459.08</v>
      </c>
      <c r="O1213" s="30">
        <v>0.0</v>
      </c>
      <c r="P1213" s="30">
        <v>0.0</v>
      </c>
      <c r="Q1213" s="30">
        <v>415.1700000000001</v>
      </c>
    </row>
    <row r="1214">
      <c r="A1214" s="47">
        <v>1.1219288374E10</v>
      </c>
      <c r="B1214" s="48">
        <v>46152.25586805555</v>
      </c>
      <c r="C1214" s="30">
        <v>3.835409777E9</v>
      </c>
      <c r="D1214" s="47" t="s">
        <v>1509</v>
      </c>
      <c r="E1214" s="47">
        <v>6.923632570003E12</v>
      </c>
      <c r="F1214" s="47" t="s">
        <v>1523</v>
      </c>
      <c r="G1214" s="47" t="s">
        <v>1544</v>
      </c>
      <c r="H1214" s="30">
        <v>1.0</v>
      </c>
      <c r="I1214" s="30">
        <v>489.0</v>
      </c>
      <c r="J1214" s="30">
        <v>489.0</v>
      </c>
      <c r="K1214" s="30">
        <v>20.0</v>
      </c>
      <c r="L1214" s="30">
        <v>97.8</v>
      </c>
      <c r="M1214" s="30">
        <v>130.0</v>
      </c>
      <c r="N1214" s="30">
        <v>130.0</v>
      </c>
      <c r="O1214" s="30">
        <v>0.0</v>
      </c>
      <c r="P1214" s="30">
        <v>0.0</v>
      </c>
      <c r="Q1214" s="30">
        <v>261.2</v>
      </c>
    </row>
    <row r="1215">
      <c r="A1215" s="47">
        <v>1.1216776132E10</v>
      </c>
      <c r="B1215" s="48">
        <v>46151.697743055556</v>
      </c>
      <c r="C1215" s="30">
        <v>3.83329463E9</v>
      </c>
      <c r="D1215" s="47" t="s">
        <v>1509</v>
      </c>
      <c r="E1215" s="47">
        <v>5.2742071381E10</v>
      </c>
      <c r="F1215" s="47" t="s">
        <v>1523</v>
      </c>
      <c r="G1215" s="47" t="s">
        <v>1607</v>
      </c>
      <c r="H1215" s="30">
        <v>1.0</v>
      </c>
      <c r="I1215" s="30">
        <v>1600.0</v>
      </c>
      <c r="J1215" s="30">
        <v>1600.0</v>
      </c>
      <c r="K1215" s="30">
        <v>12.5</v>
      </c>
      <c r="L1215" s="30">
        <v>200.0</v>
      </c>
      <c r="M1215" s="30">
        <v>0.0</v>
      </c>
      <c r="N1215" s="30">
        <v>0.0</v>
      </c>
      <c r="O1215" s="30">
        <v>0.0</v>
      </c>
      <c r="P1215" s="30">
        <v>0.0</v>
      </c>
      <c r="Q1215" s="30">
        <v>1400.0</v>
      </c>
    </row>
    <row r="1216">
      <c r="A1216" s="47">
        <v>1.1216776132E10</v>
      </c>
      <c r="B1216" s="48">
        <v>46151.697743055556</v>
      </c>
      <c r="C1216" s="30">
        <v>3.83329463E9</v>
      </c>
      <c r="D1216" s="47" t="s">
        <v>1509</v>
      </c>
      <c r="E1216" s="47">
        <v>8.684501941813E12</v>
      </c>
      <c r="F1216" s="47" t="s">
        <v>287</v>
      </c>
      <c r="G1216" s="47" t="s">
        <v>1547</v>
      </c>
      <c r="H1216" s="30">
        <v>2.0</v>
      </c>
      <c r="I1216" s="30">
        <v>174.995</v>
      </c>
      <c r="J1216" s="30">
        <v>349.99</v>
      </c>
      <c r="K1216" s="30">
        <v>20.0</v>
      </c>
      <c r="L1216" s="30">
        <v>69.998</v>
      </c>
      <c r="M1216" s="30">
        <v>53.0</v>
      </c>
      <c r="N1216" s="30">
        <v>106.0</v>
      </c>
      <c r="O1216" s="30">
        <v>0.0</v>
      </c>
      <c r="P1216" s="30">
        <v>0.0</v>
      </c>
      <c r="Q1216" s="30">
        <v>173.99200000000002</v>
      </c>
    </row>
    <row r="1217">
      <c r="A1217" s="47">
        <v>1.1217134019E10</v>
      </c>
      <c r="B1217" s="48">
        <v>46151.766921296294</v>
      </c>
      <c r="C1217" s="30">
        <v>3.83360044E9</v>
      </c>
      <c r="D1217" s="47" t="s">
        <v>1509</v>
      </c>
      <c r="E1217" s="47">
        <v>3.182550737616E12</v>
      </c>
      <c r="F1217" s="47" t="s">
        <v>1523</v>
      </c>
      <c r="G1217" s="47" t="s">
        <v>1577</v>
      </c>
      <c r="H1217" s="30">
        <v>1.0</v>
      </c>
      <c r="I1217" s="30">
        <v>2049.99</v>
      </c>
      <c r="J1217" s="30">
        <v>2049.99</v>
      </c>
      <c r="K1217" s="30">
        <v>12.5</v>
      </c>
      <c r="L1217" s="30">
        <v>256.24875</v>
      </c>
      <c r="M1217" s="30">
        <v>1535.52</v>
      </c>
      <c r="N1217" s="30">
        <v>1535.52</v>
      </c>
      <c r="O1217" s="30">
        <v>0.0</v>
      </c>
      <c r="P1217" s="30">
        <v>0.0</v>
      </c>
      <c r="Q1217" s="30">
        <v>258.2212499999998</v>
      </c>
    </row>
    <row r="1218">
      <c r="A1218" s="47">
        <v>1.1211592843E10</v>
      </c>
      <c r="B1218" s="48">
        <v>46150.058171296296</v>
      </c>
      <c r="C1218" s="30">
        <v>3.828381798E9</v>
      </c>
      <c r="D1218" s="47" t="s">
        <v>1509</v>
      </c>
      <c r="E1218" s="47">
        <v>7.613035846708E12</v>
      </c>
      <c r="F1218" s="47" t="s">
        <v>1523</v>
      </c>
      <c r="G1218" s="47" t="s">
        <v>1535</v>
      </c>
      <c r="H1218" s="30">
        <v>1.0</v>
      </c>
      <c r="I1218" s="30">
        <v>1400.0</v>
      </c>
      <c r="J1218" s="30">
        <v>1400.0</v>
      </c>
      <c r="K1218" s="30">
        <v>6.4</v>
      </c>
      <c r="L1218" s="30">
        <v>89.6</v>
      </c>
      <c r="M1218" s="30">
        <v>1160.0</v>
      </c>
      <c r="N1218" s="30">
        <v>1160.0</v>
      </c>
      <c r="O1218" s="30">
        <v>0.0</v>
      </c>
      <c r="P1218" s="30">
        <v>0.0</v>
      </c>
      <c r="Q1218" s="30">
        <v>150.4</v>
      </c>
    </row>
    <row r="1219">
      <c r="A1219" s="47">
        <v>1.1219260067E10</v>
      </c>
      <c r="B1219" s="48">
        <v>46152.22775462963</v>
      </c>
      <c r="C1219" s="30">
        <v>3.835381477E9</v>
      </c>
      <c r="D1219" s="47" t="s">
        <v>1509</v>
      </c>
      <c r="E1219" s="47" t="s">
        <v>537</v>
      </c>
      <c r="F1219" s="47" t="s">
        <v>1523</v>
      </c>
      <c r="G1219" s="47" t="s">
        <v>1575</v>
      </c>
      <c r="H1219" s="30">
        <v>1.0</v>
      </c>
      <c r="I1219" s="30">
        <v>1482.0</v>
      </c>
      <c r="J1219" s="30">
        <v>1482.0</v>
      </c>
      <c r="K1219" s="30">
        <v>12.5</v>
      </c>
      <c r="L1219" s="30">
        <v>185.25</v>
      </c>
      <c r="M1219" s="30">
        <v>1053.0</v>
      </c>
      <c r="N1219" s="30">
        <v>1053.0</v>
      </c>
      <c r="O1219" s="30">
        <v>0.0</v>
      </c>
      <c r="P1219" s="30">
        <v>0.0</v>
      </c>
      <c r="Q1219" s="30">
        <v>243.75</v>
      </c>
    </row>
    <row r="1220">
      <c r="A1220" s="47">
        <v>1.1222735752E10</v>
      </c>
      <c r="B1220" s="48">
        <v>46153.292650462965</v>
      </c>
      <c r="C1220" s="30">
        <v>3.838434725E9</v>
      </c>
      <c r="D1220" s="47" t="s">
        <v>1509</v>
      </c>
      <c r="E1220" s="47">
        <v>6.923632570004E12</v>
      </c>
      <c r="F1220" s="47" t="s">
        <v>300</v>
      </c>
      <c r="G1220" s="47" t="s">
        <v>1544</v>
      </c>
      <c r="H1220" s="30">
        <v>1.0</v>
      </c>
      <c r="I1220" s="30">
        <v>489.0</v>
      </c>
      <c r="J1220" s="30">
        <v>489.0</v>
      </c>
      <c r="K1220" s="30">
        <v>20.0</v>
      </c>
      <c r="L1220" s="30">
        <v>97.8</v>
      </c>
      <c r="M1220" s="30">
        <v>130.0</v>
      </c>
      <c r="N1220" s="30">
        <v>130.0</v>
      </c>
      <c r="O1220" s="30">
        <v>0.0</v>
      </c>
      <c r="P1220" s="30">
        <v>0.0</v>
      </c>
      <c r="Q1220" s="30">
        <v>261.2</v>
      </c>
    </row>
    <row r="1221">
      <c r="A1221" s="47">
        <v>1.1218544811E10</v>
      </c>
      <c r="B1221" s="48">
        <v>46152.03244212963</v>
      </c>
      <c r="C1221" s="30">
        <v>3.834699942E9</v>
      </c>
      <c r="D1221" s="47" t="s">
        <v>1509</v>
      </c>
      <c r="E1221" s="47">
        <v>6.923632570006E12</v>
      </c>
      <c r="F1221" s="47" t="s">
        <v>298</v>
      </c>
      <c r="G1221" s="47" t="s">
        <v>1544</v>
      </c>
      <c r="H1221" s="30">
        <v>1.0</v>
      </c>
      <c r="I1221" s="30">
        <v>474.0</v>
      </c>
      <c r="J1221" s="30">
        <v>474.0</v>
      </c>
      <c r="K1221" s="30">
        <v>20.0</v>
      </c>
      <c r="L1221" s="30">
        <v>94.8</v>
      </c>
      <c r="M1221" s="30">
        <v>130.0</v>
      </c>
      <c r="N1221" s="30">
        <v>130.0</v>
      </c>
      <c r="O1221" s="30">
        <v>0.0</v>
      </c>
      <c r="P1221" s="30">
        <v>0.0</v>
      </c>
      <c r="Q1221" s="30">
        <v>249.2</v>
      </c>
    </row>
    <row r="1222">
      <c r="A1222" s="47">
        <v>1.121933411E10</v>
      </c>
      <c r="B1222" s="48">
        <v>46152.38743055556</v>
      </c>
      <c r="C1222" s="30">
        <v>3.835458013E9</v>
      </c>
      <c r="D1222" s="47" t="s">
        <v>1509</v>
      </c>
      <c r="E1222" s="47">
        <v>7.613033560064E12</v>
      </c>
      <c r="F1222" s="47" t="s">
        <v>1523</v>
      </c>
      <c r="G1222" s="47" t="s">
        <v>1527</v>
      </c>
      <c r="H1222" s="30">
        <v>1.0</v>
      </c>
      <c r="I1222" s="30">
        <v>1599.0</v>
      </c>
      <c r="J1222" s="30">
        <v>1599.0</v>
      </c>
      <c r="K1222" s="30">
        <v>12.5</v>
      </c>
      <c r="L1222" s="30">
        <v>199.875</v>
      </c>
      <c r="M1222" s="30">
        <v>1190.0</v>
      </c>
      <c r="N1222" s="30">
        <v>1190.0</v>
      </c>
      <c r="O1222" s="30">
        <v>0.0</v>
      </c>
      <c r="P1222" s="30">
        <v>0.0</v>
      </c>
      <c r="Q1222" s="30">
        <v>209.125</v>
      </c>
    </row>
    <row r="1223">
      <c r="A1223" s="47">
        <v>1.1209165822E10</v>
      </c>
      <c r="B1223" s="48">
        <v>46149.631747685184</v>
      </c>
      <c r="C1223" s="30">
        <v>3.826213826E9</v>
      </c>
      <c r="D1223" s="47" t="s">
        <v>1509</v>
      </c>
      <c r="E1223" s="47">
        <v>7.613035846708E12</v>
      </c>
      <c r="F1223" s="47" t="s">
        <v>1523</v>
      </c>
      <c r="G1223" s="47" t="s">
        <v>1535</v>
      </c>
      <c r="H1223" s="30">
        <v>1.0</v>
      </c>
      <c r="I1223" s="30">
        <v>1400.0</v>
      </c>
      <c r="J1223" s="30">
        <v>1400.0</v>
      </c>
      <c r="K1223" s="30">
        <v>6.4</v>
      </c>
      <c r="L1223" s="30">
        <v>89.6</v>
      </c>
      <c r="M1223" s="30">
        <v>1160.0</v>
      </c>
      <c r="N1223" s="30">
        <v>1160.0</v>
      </c>
      <c r="O1223" s="30">
        <v>0.0</v>
      </c>
      <c r="P1223" s="30">
        <v>0.0</v>
      </c>
      <c r="Q1223" s="30">
        <v>150.4</v>
      </c>
    </row>
    <row r="1224">
      <c r="A1224" s="47">
        <v>1.1222736992E10</v>
      </c>
      <c r="B1224" s="48">
        <v>46153.29707175926</v>
      </c>
      <c r="C1224" s="30">
        <v>3.838437003E9</v>
      </c>
      <c r="D1224" s="47" t="s">
        <v>1509</v>
      </c>
      <c r="E1224" s="47">
        <v>1.28022022E8</v>
      </c>
      <c r="F1224" s="47" t="s">
        <v>344</v>
      </c>
      <c r="G1224" s="47" t="s">
        <v>1608</v>
      </c>
      <c r="H1224" s="30">
        <v>2.0</v>
      </c>
      <c r="I1224" s="30">
        <v>1715.0</v>
      </c>
      <c r="J1224" s="30">
        <v>3430.0</v>
      </c>
      <c r="K1224" s="30">
        <v>12.5</v>
      </c>
      <c r="L1224" s="30">
        <v>428.75</v>
      </c>
      <c r="M1224" s="30">
        <v>1137.36</v>
      </c>
      <c r="N1224" s="30">
        <v>2274.72</v>
      </c>
      <c r="O1224" s="30">
        <v>0.0</v>
      </c>
      <c r="P1224" s="30">
        <v>0.0</v>
      </c>
      <c r="Q1224" s="30">
        <v>726.5300000000002</v>
      </c>
    </row>
    <row r="1225">
      <c r="A1225" s="47">
        <v>1.1223088268E10</v>
      </c>
      <c r="B1225" s="48">
        <v>46153.56744212963</v>
      </c>
      <c r="C1225" s="30">
        <v>3.838852164E9</v>
      </c>
      <c r="D1225" s="47" t="s">
        <v>1509</v>
      </c>
      <c r="E1225" s="47" t="s">
        <v>537</v>
      </c>
      <c r="F1225" s="47" t="s">
        <v>1523</v>
      </c>
      <c r="G1225" s="47" t="s">
        <v>1575</v>
      </c>
      <c r="H1225" s="30">
        <v>1.0</v>
      </c>
      <c r="I1225" s="30">
        <v>1582.0</v>
      </c>
      <c r="J1225" s="30">
        <v>1582.0</v>
      </c>
      <c r="K1225" s="30">
        <v>12.5</v>
      </c>
      <c r="L1225" s="30">
        <v>197.75</v>
      </c>
      <c r="M1225" s="30">
        <v>1053.0</v>
      </c>
      <c r="N1225" s="30">
        <v>1053.0</v>
      </c>
      <c r="O1225" s="30">
        <v>0.0</v>
      </c>
      <c r="P1225" s="30">
        <v>0.0</v>
      </c>
      <c r="Q1225" s="30">
        <v>331.25</v>
      </c>
    </row>
    <row r="1226">
      <c r="A1226" s="47">
        <v>1.1194649818E10</v>
      </c>
      <c r="B1226" s="48">
        <v>46145.59978009259</v>
      </c>
      <c r="C1226" s="30">
        <v>3.812667905E9</v>
      </c>
      <c r="D1226" s="47" t="s">
        <v>1509</v>
      </c>
      <c r="E1226" s="47">
        <v>6.38929373773889E14</v>
      </c>
      <c r="F1226" s="47" t="s">
        <v>1523</v>
      </c>
      <c r="G1226" s="47" t="s">
        <v>1609</v>
      </c>
      <c r="H1226" s="30">
        <v>1.0</v>
      </c>
      <c r="I1226" s="30">
        <v>830.0</v>
      </c>
      <c r="J1226" s="30">
        <v>830.0</v>
      </c>
      <c r="K1226" s="30">
        <v>13.5</v>
      </c>
      <c r="L1226" s="30">
        <v>112.05</v>
      </c>
      <c r="M1226" s="30">
        <v>480.0</v>
      </c>
      <c r="N1226" s="30">
        <v>480.0</v>
      </c>
      <c r="O1226" s="30">
        <v>0.0</v>
      </c>
      <c r="P1226" s="30">
        <v>0.0</v>
      </c>
      <c r="Q1226" s="30">
        <v>237.95</v>
      </c>
    </row>
    <row r="1227">
      <c r="A1227" s="47">
        <v>1.1217060132E10</v>
      </c>
      <c r="B1227" s="48">
        <v>46151.752650462964</v>
      </c>
      <c r="C1227" s="30">
        <v>3.833538957E9</v>
      </c>
      <c r="D1227" s="47" t="s">
        <v>1509</v>
      </c>
      <c r="E1227" s="47">
        <v>3.182550721738E12</v>
      </c>
      <c r="F1227" s="47" t="s">
        <v>1523</v>
      </c>
      <c r="G1227" s="47" t="s">
        <v>1526</v>
      </c>
      <c r="H1227" s="30">
        <v>1.0</v>
      </c>
      <c r="I1227" s="30">
        <v>1692.0</v>
      </c>
      <c r="J1227" s="30">
        <v>1692.0</v>
      </c>
      <c r="K1227" s="30">
        <v>12.5</v>
      </c>
      <c r="L1227" s="30">
        <v>211.5</v>
      </c>
      <c r="M1227" s="30">
        <v>1210.0</v>
      </c>
      <c r="N1227" s="30">
        <v>1210.0</v>
      </c>
      <c r="O1227" s="30">
        <v>0.0</v>
      </c>
      <c r="P1227" s="30">
        <v>0.0</v>
      </c>
      <c r="Q1227" s="30">
        <v>270.5</v>
      </c>
    </row>
    <row r="1228">
      <c r="A1228" s="47">
        <v>1.121960149E10</v>
      </c>
      <c r="B1228" s="48">
        <v>46152.58415509259</v>
      </c>
      <c r="C1228" s="30">
        <v>3.835717107E9</v>
      </c>
      <c r="D1228" s="47" t="s">
        <v>1509</v>
      </c>
      <c r="E1228" s="47">
        <v>6.923632570001E12</v>
      </c>
      <c r="F1228" s="47" t="s">
        <v>1523</v>
      </c>
      <c r="G1228" s="47" t="s">
        <v>1544</v>
      </c>
      <c r="H1228" s="30">
        <v>1.0</v>
      </c>
      <c r="I1228" s="30">
        <v>474.47</v>
      </c>
      <c r="J1228" s="30">
        <v>474.47</v>
      </c>
      <c r="K1228" s="30">
        <v>20.0</v>
      </c>
      <c r="L1228" s="30">
        <v>94.89400000000002</v>
      </c>
      <c r="M1228" s="30">
        <v>130.0</v>
      </c>
      <c r="N1228" s="30">
        <v>130.0</v>
      </c>
      <c r="O1228" s="30">
        <v>0.0</v>
      </c>
      <c r="P1228" s="30">
        <v>0.0</v>
      </c>
      <c r="Q1228" s="30">
        <v>249.57600000000002</v>
      </c>
    </row>
    <row r="1229">
      <c r="A1229" s="47">
        <v>1.1217183043E10</v>
      </c>
      <c r="B1229" s="48">
        <v>46151.77685185185</v>
      </c>
      <c r="C1229" s="30">
        <v>3.833640666E9</v>
      </c>
      <c r="D1229" s="47" t="s">
        <v>1509</v>
      </c>
      <c r="E1229" s="47">
        <v>3.182550726948E12</v>
      </c>
      <c r="F1229" s="47" t="s">
        <v>1523</v>
      </c>
      <c r="G1229" s="47" t="s">
        <v>1610</v>
      </c>
      <c r="H1229" s="30">
        <v>1.0</v>
      </c>
      <c r="I1229" s="30">
        <v>589.0</v>
      </c>
      <c r="J1229" s="30">
        <v>589.0</v>
      </c>
      <c r="K1229" s="30">
        <v>12.5</v>
      </c>
      <c r="L1229" s="30">
        <v>73.625</v>
      </c>
      <c r="M1229" s="30">
        <v>1.0</v>
      </c>
      <c r="N1229" s="30">
        <v>1.0</v>
      </c>
      <c r="O1229" s="30">
        <v>0.0</v>
      </c>
      <c r="P1229" s="30">
        <v>0.0</v>
      </c>
      <c r="Q1229" s="30">
        <v>514.375</v>
      </c>
    </row>
    <row r="1230">
      <c r="A1230" s="47">
        <v>1.1188421151E10</v>
      </c>
      <c r="B1230" s="48">
        <v>46143.109826388885</v>
      </c>
      <c r="C1230" s="30">
        <v>3.807609154E9</v>
      </c>
      <c r="D1230" s="47" t="s">
        <v>1509</v>
      </c>
      <c r="E1230" s="47">
        <v>3.182550721738E12</v>
      </c>
      <c r="F1230" s="47" t="s">
        <v>1523</v>
      </c>
      <c r="G1230" s="47" t="s">
        <v>1526</v>
      </c>
      <c r="H1230" s="30">
        <v>1.0</v>
      </c>
      <c r="I1230" s="30">
        <v>1549.0</v>
      </c>
      <c r="J1230" s="30">
        <v>1549.0</v>
      </c>
      <c r="K1230" s="30">
        <v>12.5</v>
      </c>
      <c r="L1230" s="30">
        <v>193.625</v>
      </c>
      <c r="M1230" s="30">
        <v>1210.0</v>
      </c>
      <c r="N1230" s="30">
        <v>1210.0</v>
      </c>
      <c r="O1230" s="30">
        <v>0.0</v>
      </c>
      <c r="P1230" s="30">
        <v>0.0</v>
      </c>
      <c r="Q1230" s="30">
        <v>145.375</v>
      </c>
    </row>
    <row r="1231">
      <c r="A1231" s="47">
        <v>1.1223254914E10</v>
      </c>
      <c r="B1231" s="48">
        <v>46153.605219907404</v>
      </c>
      <c r="C1231" s="30">
        <v>3.839026461E9</v>
      </c>
      <c r="D1231" s="47" t="s">
        <v>1509</v>
      </c>
      <c r="E1231" s="47">
        <v>3.569702998444E12</v>
      </c>
      <c r="F1231" s="47" t="s">
        <v>1523</v>
      </c>
      <c r="G1231" s="47" t="s">
        <v>1611</v>
      </c>
      <c r="H1231" s="30">
        <v>1.0</v>
      </c>
      <c r="I1231" s="30">
        <v>414.0</v>
      </c>
      <c r="J1231" s="30">
        <v>414.0</v>
      </c>
      <c r="K1231" s="30">
        <v>12.5</v>
      </c>
      <c r="L1231" s="30">
        <v>51.75</v>
      </c>
      <c r="M1231" s="30">
        <v>1.0</v>
      </c>
      <c r="N1231" s="30">
        <v>1.0</v>
      </c>
      <c r="O1231" s="30">
        <v>0.0</v>
      </c>
      <c r="P1231" s="30">
        <v>0.0</v>
      </c>
      <c r="Q1231" s="30">
        <v>361.25</v>
      </c>
    </row>
    <row r="1232">
      <c r="A1232" s="47">
        <v>1.121640287E10</v>
      </c>
      <c r="B1232" s="48">
        <v>46151.62517361111</v>
      </c>
      <c r="C1232" s="30">
        <v>3.832953728E9</v>
      </c>
      <c r="D1232" s="47" t="s">
        <v>1509</v>
      </c>
      <c r="E1232" s="47">
        <v>7.613033560064E12</v>
      </c>
      <c r="F1232" s="47" t="s">
        <v>1523</v>
      </c>
      <c r="G1232" s="47" t="s">
        <v>1527</v>
      </c>
      <c r="H1232" s="30">
        <v>1.0</v>
      </c>
      <c r="I1232" s="30">
        <v>1599.0</v>
      </c>
      <c r="J1232" s="30">
        <v>1599.0</v>
      </c>
      <c r="K1232" s="30">
        <v>12.5</v>
      </c>
      <c r="L1232" s="30">
        <v>199.875</v>
      </c>
      <c r="M1232" s="30">
        <v>1190.0</v>
      </c>
      <c r="N1232" s="30">
        <v>1190.0</v>
      </c>
      <c r="O1232" s="30">
        <v>0.0</v>
      </c>
      <c r="P1232" s="30">
        <v>0.0</v>
      </c>
      <c r="Q1232" s="30">
        <v>209.125</v>
      </c>
    </row>
    <row r="1233">
      <c r="A1233" s="47">
        <v>1.1213465544E10</v>
      </c>
      <c r="B1233" s="48">
        <v>46150.72976851852</v>
      </c>
      <c r="C1233" s="30">
        <v>3.830280215E9</v>
      </c>
      <c r="D1233" s="47" t="s">
        <v>1509</v>
      </c>
      <c r="E1233" s="47">
        <v>7.613035846708E12</v>
      </c>
      <c r="F1233" s="47" t="s">
        <v>1523</v>
      </c>
      <c r="G1233" s="47" t="s">
        <v>1535</v>
      </c>
      <c r="H1233" s="30">
        <v>1.0</v>
      </c>
      <c r="I1233" s="30">
        <v>1400.0</v>
      </c>
      <c r="J1233" s="30">
        <v>1400.0</v>
      </c>
      <c r="K1233" s="30">
        <v>6.4</v>
      </c>
      <c r="L1233" s="30">
        <v>89.6</v>
      </c>
      <c r="M1233" s="30">
        <v>1160.0</v>
      </c>
      <c r="N1233" s="30">
        <v>1160.0</v>
      </c>
      <c r="O1233" s="30">
        <v>0.0</v>
      </c>
      <c r="P1233" s="30">
        <v>0.0</v>
      </c>
      <c r="Q1233" s="30">
        <v>150.4</v>
      </c>
    </row>
    <row r="1234">
      <c r="A1234" s="47">
        <v>1.1217235164E10</v>
      </c>
      <c r="B1234" s="48">
        <v>46151.7871875</v>
      </c>
      <c r="C1234" s="30">
        <v>3.833684298E9</v>
      </c>
      <c r="D1234" s="47" t="s">
        <v>1509</v>
      </c>
      <c r="E1234" s="47">
        <v>3.182550721745E12</v>
      </c>
      <c r="F1234" s="47" t="s">
        <v>1523</v>
      </c>
      <c r="G1234" s="47" t="s">
        <v>1605</v>
      </c>
      <c r="H1234" s="30">
        <v>1.0</v>
      </c>
      <c r="I1234" s="30">
        <v>2625.0</v>
      </c>
      <c r="J1234" s="30">
        <v>2625.0</v>
      </c>
      <c r="K1234" s="30">
        <v>6.4</v>
      </c>
      <c r="L1234" s="30">
        <v>168.0</v>
      </c>
      <c r="M1234" s="30">
        <v>2000.0</v>
      </c>
      <c r="N1234" s="30">
        <v>2000.0</v>
      </c>
      <c r="O1234" s="30">
        <v>0.0</v>
      </c>
      <c r="P1234" s="30">
        <v>0.0</v>
      </c>
      <c r="Q1234" s="30">
        <v>457.0</v>
      </c>
    </row>
    <row r="1235">
      <c r="A1235" s="47">
        <v>1.12128967E10</v>
      </c>
      <c r="B1235" s="48">
        <v>46150.62599537037</v>
      </c>
      <c r="C1235" s="30">
        <v>3.829770796E9</v>
      </c>
      <c r="D1235" s="47" t="s">
        <v>1509</v>
      </c>
      <c r="E1235" s="47">
        <v>7.41245638741E11</v>
      </c>
      <c r="F1235" s="47" t="s">
        <v>1523</v>
      </c>
      <c r="G1235" s="47" t="s">
        <v>1569</v>
      </c>
      <c r="H1235" s="30">
        <v>1.0</v>
      </c>
      <c r="I1235" s="30">
        <v>545.0</v>
      </c>
      <c r="J1235" s="30">
        <v>545.0</v>
      </c>
      <c r="K1235" s="30">
        <v>13.5</v>
      </c>
      <c r="L1235" s="30">
        <v>73.575</v>
      </c>
      <c r="M1235" s="30">
        <v>290.0</v>
      </c>
      <c r="N1235" s="30">
        <v>290.0</v>
      </c>
      <c r="O1235" s="30">
        <v>0.0</v>
      </c>
      <c r="P1235" s="30">
        <v>0.0</v>
      </c>
      <c r="Q1235" s="30">
        <v>181.425</v>
      </c>
    </row>
    <row r="1236">
      <c r="A1236" s="47">
        <v>1.1222896065E10</v>
      </c>
      <c r="B1236" s="48">
        <v>46153.51008101852</v>
      </c>
      <c r="C1236" s="30">
        <v>3.838635367E9</v>
      </c>
      <c r="D1236" s="47" t="s">
        <v>1509</v>
      </c>
      <c r="E1236" s="47">
        <v>8.010276042323E12</v>
      </c>
      <c r="F1236" s="47" t="s">
        <v>1523</v>
      </c>
      <c r="G1236" s="47" t="s">
        <v>1589</v>
      </c>
      <c r="H1236" s="30">
        <v>1.0</v>
      </c>
      <c r="I1236" s="30">
        <v>2200.0</v>
      </c>
      <c r="J1236" s="30">
        <v>2200.0</v>
      </c>
      <c r="K1236" s="30">
        <v>16.5</v>
      </c>
      <c r="L1236" s="30">
        <v>363.0</v>
      </c>
      <c r="M1236" s="30">
        <v>1638.0</v>
      </c>
      <c r="N1236" s="30">
        <v>1638.0</v>
      </c>
      <c r="O1236" s="30">
        <v>0.0</v>
      </c>
      <c r="P1236" s="30">
        <v>0.0</v>
      </c>
      <c r="Q1236" s="30">
        <v>199.0</v>
      </c>
    </row>
    <row r="1237">
      <c r="A1237" s="47">
        <v>1.1219539161E10</v>
      </c>
      <c r="B1237" s="48">
        <v>46152.563310185185</v>
      </c>
      <c r="C1237" s="30">
        <v>3.835661601E9</v>
      </c>
      <c r="D1237" s="47" t="s">
        <v>1509</v>
      </c>
      <c r="E1237" s="47">
        <v>7.613032816536E12</v>
      </c>
      <c r="F1237" s="47" t="s">
        <v>1523</v>
      </c>
      <c r="G1237" s="47" t="s">
        <v>1533</v>
      </c>
      <c r="H1237" s="30">
        <v>1.0</v>
      </c>
      <c r="I1237" s="30">
        <v>870.0</v>
      </c>
      <c r="J1237" s="30">
        <v>870.0</v>
      </c>
      <c r="K1237" s="30">
        <v>13.5</v>
      </c>
      <c r="L1237" s="30">
        <v>117.45</v>
      </c>
      <c r="M1237" s="30">
        <v>580.0</v>
      </c>
      <c r="N1237" s="30">
        <v>580.0</v>
      </c>
      <c r="O1237" s="30">
        <v>0.0</v>
      </c>
      <c r="P1237" s="30">
        <v>0.0</v>
      </c>
      <c r="Q1237" s="30">
        <v>172.55</v>
      </c>
    </row>
    <row r="1238">
      <c r="A1238" s="47">
        <v>1.1218883998E10</v>
      </c>
      <c r="B1238" s="48">
        <v>46152.10109953704</v>
      </c>
      <c r="C1238" s="30">
        <v>3.835022797E9</v>
      </c>
      <c r="D1238" s="47" t="s">
        <v>1509</v>
      </c>
      <c r="E1238" s="47">
        <v>3.182550726948E12</v>
      </c>
      <c r="F1238" s="47" t="s">
        <v>1523</v>
      </c>
      <c r="G1238" s="47" t="s">
        <v>1610</v>
      </c>
      <c r="H1238" s="30">
        <v>1.0</v>
      </c>
      <c r="I1238" s="30">
        <v>589.0</v>
      </c>
      <c r="J1238" s="30">
        <v>589.0</v>
      </c>
      <c r="K1238" s="30">
        <v>12.5</v>
      </c>
      <c r="L1238" s="30">
        <v>73.625</v>
      </c>
      <c r="M1238" s="30">
        <v>1.0</v>
      </c>
      <c r="N1238" s="30">
        <v>1.0</v>
      </c>
      <c r="O1238" s="30">
        <v>0.0</v>
      </c>
      <c r="P1238" s="30">
        <v>0.0</v>
      </c>
      <c r="Q1238" s="30">
        <v>514.375</v>
      </c>
    </row>
    <row r="1239">
      <c r="A1239" s="47">
        <v>1.1215189291E10</v>
      </c>
      <c r="B1239" s="48">
        <v>46151.047638888886</v>
      </c>
      <c r="C1239" s="30">
        <v>3.831733744E9</v>
      </c>
      <c r="D1239" s="47" t="s">
        <v>1509</v>
      </c>
      <c r="E1239" s="47">
        <v>6.923632570005E12</v>
      </c>
      <c r="F1239" s="47" t="s">
        <v>301</v>
      </c>
      <c r="G1239" s="47" t="s">
        <v>1544</v>
      </c>
      <c r="H1239" s="30">
        <v>1.0</v>
      </c>
      <c r="I1239" s="30">
        <v>472.0</v>
      </c>
      <c r="J1239" s="30">
        <v>472.0</v>
      </c>
      <c r="K1239" s="30">
        <v>20.0</v>
      </c>
      <c r="L1239" s="30">
        <v>94.4</v>
      </c>
      <c r="M1239" s="30">
        <v>130.0</v>
      </c>
      <c r="N1239" s="30">
        <v>130.0</v>
      </c>
      <c r="O1239" s="30">
        <v>0.0</v>
      </c>
      <c r="P1239" s="30">
        <v>0.0</v>
      </c>
      <c r="Q1239" s="30">
        <v>247.6</v>
      </c>
    </row>
    <row r="1240">
      <c r="A1240" s="47">
        <v>1.121546915E10</v>
      </c>
      <c r="B1240" s="48">
        <v>46151.10142361111</v>
      </c>
      <c r="C1240" s="30">
        <v>3.832014848E9</v>
      </c>
      <c r="D1240" s="47" t="s">
        <v>1509</v>
      </c>
      <c r="E1240" s="47">
        <v>3.182550721738E12</v>
      </c>
      <c r="F1240" s="47" t="s">
        <v>1523</v>
      </c>
      <c r="G1240" s="47" t="s">
        <v>1526</v>
      </c>
      <c r="H1240" s="30">
        <v>1.0</v>
      </c>
      <c r="I1240" s="30">
        <v>1692.0</v>
      </c>
      <c r="J1240" s="30">
        <v>1692.0</v>
      </c>
      <c r="K1240" s="30">
        <v>12.5</v>
      </c>
      <c r="L1240" s="30">
        <v>211.5</v>
      </c>
      <c r="M1240" s="30">
        <v>1210.0</v>
      </c>
      <c r="N1240" s="30">
        <v>1210.0</v>
      </c>
      <c r="O1240" s="30">
        <v>0.0</v>
      </c>
      <c r="P1240" s="30">
        <v>0.0</v>
      </c>
      <c r="Q1240" s="30">
        <v>270.5</v>
      </c>
    </row>
    <row r="1241">
      <c r="A1241" s="47">
        <v>1.1224017684E10</v>
      </c>
      <c r="B1241" s="48">
        <v>46153.74105324074</v>
      </c>
      <c r="C1241" s="30">
        <v>3.839727544E9</v>
      </c>
      <c r="D1241" s="47" t="s">
        <v>1511</v>
      </c>
      <c r="E1241" s="47">
        <v>6.923632570005E12</v>
      </c>
      <c r="F1241" s="47" t="s">
        <v>301</v>
      </c>
      <c r="G1241" s="47" t="s">
        <v>1544</v>
      </c>
      <c r="H1241" s="30">
        <v>1.0</v>
      </c>
      <c r="I1241" s="30">
        <v>472.0</v>
      </c>
      <c r="J1241" s="30">
        <v>472.0</v>
      </c>
      <c r="K1241" s="30">
        <v>0.0</v>
      </c>
      <c r="L1241" s="30">
        <v>0.0</v>
      </c>
      <c r="M1241" s="30">
        <v>130.0</v>
      </c>
      <c r="N1241" s="30">
        <v>130.0</v>
      </c>
      <c r="O1241" s="30">
        <v>0.0</v>
      </c>
      <c r="P1241" s="30">
        <v>0.0</v>
      </c>
      <c r="Q1241" s="30">
        <v>342.0</v>
      </c>
    </row>
    <row r="1242">
      <c r="A1242" s="47">
        <v>1.1224017684E10</v>
      </c>
      <c r="B1242" s="48">
        <v>46153.74105324074</v>
      </c>
      <c r="C1242" s="30">
        <v>3.839727544E9</v>
      </c>
      <c r="D1242" s="47" t="s">
        <v>1511</v>
      </c>
      <c r="E1242" s="47">
        <v>6.923632570006E12</v>
      </c>
      <c r="F1242" s="47" t="s">
        <v>298</v>
      </c>
      <c r="G1242" s="47" t="s">
        <v>1544</v>
      </c>
      <c r="H1242" s="30">
        <v>1.0</v>
      </c>
      <c r="I1242" s="30">
        <v>474.0</v>
      </c>
      <c r="J1242" s="30">
        <v>474.0</v>
      </c>
      <c r="K1242" s="30">
        <v>0.0</v>
      </c>
      <c r="L1242" s="30">
        <v>0.0</v>
      </c>
      <c r="M1242" s="30">
        <v>130.0</v>
      </c>
      <c r="N1242" s="30">
        <v>130.0</v>
      </c>
      <c r="O1242" s="30">
        <v>0.0</v>
      </c>
      <c r="P1242" s="30">
        <v>0.0</v>
      </c>
      <c r="Q1242" s="30">
        <v>344.0</v>
      </c>
    </row>
    <row r="1243">
      <c r="A1243" s="47">
        <v>1.1224017684E10</v>
      </c>
      <c r="B1243" s="48">
        <v>46153.74105324074</v>
      </c>
      <c r="C1243" s="30">
        <v>3.839727544E9</v>
      </c>
      <c r="D1243" s="47" t="s">
        <v>1511</v>
      </c>
      <c r="E1243" s="47">
        <v>6.923632570004E12</v>
      </c>
      <c r="F1243" s="47" t="s">
        <v>300</v>
      </c>
      <c r="G1243" s="47" t="s">
        <v>1544</v>
      </c>
      <c r="H1243" s="30">
        <v>1.0</v>
      </c>
      <c r="I1243" s="30">
        <v>489.0</v>
      </c>
      <c r="J1243" s="30">
        <v>489.0</v>
      </c>
      <c r="K1243" s="30">
        <v>0.0</v>
      </c>
      <c r="L1243" s="30">
        <v>0.0</v>
      </c>
      <c r="M1243" s="30">
        <v>130.0</v>
      </c>
      <c r="N1243" s="30">
        <v>130.0</v>
      </c>
      <c r="O1243" s="30">
        <v>0.0</v>
      </c>
      <c r="P1243" s="30">
        <v>0.0</v>
      </c>
      <c r="Q1243" s="30">
        <v>359.0</v>
      </c>
    </row>
    <row r="1244">
      <c r="A1244" s="47">
        <v>1.1211181952E10</v>
      </c>
      <c r="B1244" s="48">
        <v>46149.99318287037</v>
      </c>
      <c r="C1244" s="30">
        <v>3.827978528E9</v>
      </c>
      <c r="D1244" s="47" t="s">
        <v>1509</v>
      </c>
      <c r="E1244" s="47">
        <v>7.613035846708E12</v>
      </c>
      <c r="F1244" s="47" t="s">
        <v>1523</v>
      </c>
      <c r="G1244" s="47" t="s">
        <v>1535</v>
      </c>
      <c r="H1244" s="30">
        <v>1.0</v>
      </c>
      <c r="I1244" s="30">
        <v>1400.0</v>
      </c>
      <c r="J1244" s="30">
        <v>1400.0</v>
      </c>
      <c r="K1244" s="30">
        <v>6.4</v>
      </c>
      <c r="L1244" s="30">
        <v>89.6</v>
      </c>
      <c r="M1244" s="30">
        <v>1160.0</v>
      </c>
      <c r="N1244" s="30">
        <v>1160.0</v>
      </c>
      <c r="O1244" s="30">
        <v>0.0</v>
      </c>
      <c r="P1244" s="30">
        <v>0.0</v>
      </c>
      <c r="Q1244" s="30">
        <v>150.4</v>
      </c>
    </row>
    <row r="1245">
      <c r="A1245" s="47">
        <v>1.1170956254E10</v>
      </c>
      <c r="B1245" s="48">
        <v>46136.999548611115</v>
      </c>
      <c r="C1245" s="30">
        <v>3.793196081E9</v>
      </c>
      <c r="D1245" s="47" t="s">
        <v>1516</v>
      </c>
      <c r="E1245" s="47" t="s">
        <v>336</v>
      </c>
      <c r="F1245" s="47" t="s">
        <v>1523</v>
      </c>
      <c r="G1245" s="47" t="s">
        <v>1612</v>
      </c>
      <c r="H1245" s="30">
        <v>1.0</v>
      </c>
      <c r="I1245" s="30">
        <v>1299.0</v>
      </c>
      <c r="J1245" s="30">
        <v>1299.0</v>
      </c>
      <c r="K1245" s="30">
        <v>12.5</v>
      </c>
      <c r="L1245" s="30">
        <v>162.375</v>
      </c>
      <c r="M1245" s="30">
        <v>999.6</v>
      </c>
      <c r="N1245" s="30">
        <v>999.6</v>
      </c>
      <c r="O1245" s="30">
        <v>0.0</v>
      </c>
      <c r="P1245" s="30">
        <v>0.0</v>
      </c>
      <c r="Q1245" s="30">
        <v>137.02499999999998</v>
      </c>
    </row>
    <row r="1246">
      <c r="A1246" s="47">
        <v>1.1209659928E10</v>
      </c>
      <c r="B1246" s="48">
        <v>46149.71854166667</v>
      </c>
      <c r="C1246" s="30">
        <v>3.826666525E9</v>
      </c>
      <c r="D1246" s="47" t="s">
        <v>1509</v>
      </c>
      <c r="E1246" s="47">
        <v>8.410650218663E12</v>
      </c>
      <c r="F1246" s="47" t="s">
        <v>1523</v>
      </c>
      <c r="G1246" s="47" t="s">
        <v>1542</v>
      </c>
      <c r="H1246" s="30">
        <v>1.0</v>
      </c>
      <c r="I1246" s="30">
        <v>4430.0</v>
      </c>
      <c r="J1246" s="30">
        <v>4430.0</v>
      </c>
      <c r="K1246" s="30">
        <v>16.5</v>
      </c>
      <c r="L1246" s="30">
        <v>730.95</v>
      </c>
      <c r="M1246" s="30">
        <v>3556.0</v>
      </c>
      <c r="N1246" s="30">
        <v>3556.0</v>
      </c>
      <c r="O1246" s="30">
        <v>0.0</v>
      </c>
      <c r="P1246" s="30">
        <v>0.0</v>
      </c>
      <c r="Q1246" s="30">
        <v>143.04999999999995</v>
      </c>
    </row>
    <row r="1247">
      <c r="A1247" s="47">
        <v>1.1206888025E10</v>
      </c>
      <c r="B1247" s="48">
        <v>46148.92988425926</v>
      </c>
      <c r="C1247" s="30">
        <v>3.823883065E9</v>
      </c>
      <c r="D1247" s="47" t="s">
        <v>1509</v>
      </c>
      <c r="E1247" s="47">
        <v>7.613035846708E12</v>
      </c>
      <c r="F1247" s="47" t="s">
        <v>1523</v>
      </c>
      <c r="G1247" s="47" t="s">
        <v>1535</v>
      </c>
      <c r="H1247" s="30">
        <v>1.0</v>
      </c>
      <c r="I1247" s="30">
        <v>1400.0</v>
      </c>
      <c r="J1247" s="30">
        <v>1400.0</v>
      </c>
      <c r="K1247" s="30">
        <v>6.4</v>
      </c>
      <c r="L1247" s="30">
        <v>89.6</v>
      </c>
      <c r="M1247" s="30">
        <v>1160.0</v>
      </c>
      <c r="N1247" s="30">
        <v>1160.0</v>
      </c>
      <c r="O1247" s="30">
        <v>0.0</v>
      </c>
      <c r="P1247" s="30">
        <v>0.0</v>
      </c>
      <c r="Q1247" s="30">
        <v>150.4</v>
      </c>
    </row>
    <row r="1248">
      <c r="A1248" s="47">
        <v>1.1213012413E10</v>
      </c>
      <c r="B1248" s="48">
        <v>46150.647152777776</v>
      </c>
      <c r="C1248" s="30">
        <v>3.829870474E9</v>
      </c>
      <c r="D1248" s="47" t="s">
        <v>1509</v>
      </c>
      <c r="E1248" s="47" t="s">
        <v>537</v>
      </c>
      <c r="F1248" s="47" t="s">
        <v>1523</v>
      </c>
      <c r="G1248" s="47" t="s">
        <v>1575</v>
      </c>
      <c r="H1248" s="30">
        <v>1.0</v>
      </c>
      <c r="I1248" s="30">
        <v>1482.0</v>
      </c>
      <c r="J1248" s="30">
        <v>1482.0</v>
      </c>
      <c r="K1248" s="30">
        <v>12.5</v>
      </c>
      <c r="L1248" s="30">
        <v>185.25</v>
      </c>
      <c r="M1248" s="30">
        <v>1053.0</v>
      </c>
      <c r="N1248" s="30">
        <v>1053.0</v>
      </c>
      <c r="O1248" s="30">
        <v>0.0</v>
      </c>
      <c r="P1248" s="30">
        <v>0.0</v>
      </c>
      <c r="Q1248" s="30">
        <v>243.75</v>
      </c>
    </row>
    <row r="1249">
      <c r="A1249" s="47">
        <v>1.1206339913E10</v>
      </c>
      <c r="B1249" s="48">
        <v>46148.837905092594</v>
      </c>
      <c r="C1249" s="30">
        <v>3.823414628E9</v>
      </c>
      <c r="D1249" s="47" t="s">
        <v>1509</v>
      </c>
      <c r="E1249" s="47">
        <v>7.613035846708E12</v>
      </c>
      <c r="F1249" s="47" t="s">
        <v>1523</v>
      </c>
      <c r="G1249" s="47" t="s">
        <v>1535</v>
      </c>
      <c r="H1249" s="30">
        <v>1.0</v>
      </c>
      <c r="I1249" s="30">
        <v>1400.0</v>
      </c>
      <c r="J1249" s="30">
        <v>1400.0</v>
      </c>
      <c r="K1249" s="30">
        <v>6.4</v>
      </c>
      <c r="L1249" s="30">
        <v>89.6</v>
      </c>
      <c r="M1249" s="30">
        <v>1160.0</v>
      </c>
      <c r="N1249" s="30">
        <v>1160.0</v>
      </c>
      <c r="O1249" s="30">
        <v>0.0</v>
      </c>
      <c r="P1249" s="30">
        <v>0.0</v>
      </c>
      <c r="Q1249" s="30">
        <v>150.4</v>
      </c>
    </row>
    <row r="1250">
      <c r="A1250" s="47">
        <v>1.1212458871E10</v>
      </c>
      <c r="B1250" s="48">
        <v>46150.51925925926</v>
      </c>
      <c r="C1250" s="30">
        <v>3.829332003E9</v>
      </c>
      <c r="D1250" s="47" t="s">
        <v>1509</v>
      </c>
      <c r="E1250" s="47">
        <v>8.010276042149E12</v>
      </c>
      <c r="F1250" s="47" t="s">
        <v>1523</v>
      </c>
      <c r="G1250" s="47" t="s">
        <v>1613</v>
      </c>
      <c r="H1250" s="30">
        <v>1.0</v>
      </c>
      <c r="I1250" s="30">
        <v>3780.0</v>
      </c>
      <c r="J1250" s="30">
        <v>3780.0</v>
      </c>
      <c r="K1250" s="30">
        <v>12.8</v>
      </c>
      <c r="L1250" s="30">
        <v>483.84</v>
      </c>
      <c r="M1250" s="30">
        <v>2944.0</v>
      </c>
      <c r="N1250" s="30">
        <v>2944.0</v>
      </c>
      <c r="O1250" s="30">
        <v>0.0</v>
      </c>
      <c r="P1250" s="30">
        <v>0.0</v>
      </c>
      <c r="Q1250" s="30">
        <v>352.16</v>
      </c>
    </row>
    <row r="1251">
      <c r="A1251" s="47">
        <v>1.1212747549E10</v>
      </c>
      <c r="B1251" s="48">
        <v>46150.59663194444</v>
      </c>
      <c r="C1251" s="30">
        <v>3.829636099E9</v>
      </c>
      <c r="D1251" s="47" t="s">
        <v>1509</v>
      </c>
      <c r="E1251" s="47" t="s">
        <v>537</v>
      </c>
      <c r="F1251" s="47" t="s">
        <v>1523</v>
      </c>
      <c r="G1251" s="47" t="s">
        <v>1575</v>
      </c>
      <c r="H1251" s="30">
        <v>1.0</v>
      </c>
      <c r="I1251" s="30">
        <v>1482.0</v>
      </c>
      <c r="J1251" s="30">
        <v>1482.0</v>
      </c>
      <c r="K1251" s="30">
        <v>12.5</v>
      </c>
      <c r="L1251" s="30">
        <v>185.25</v>
      </c>
      <c r="M1251" s="30">
        <v>1053.0</v>
      </c>
      <c r="N1251" s="30">
        <v>1053.0</v>
      </c>
      <c r="O1251" s="30">
        <v>0.0</v>
      </c>
      <c r="P1251" s="30">
        <v>0.0</v>
      </c>
      <c r="Q1251" s="30">
        <v>243.75</v>
      </c>
    </row>
    <row r="1252">
      <c r="A1252" s="47">
        <v>1.1212747549E10</v>
      </c>
      <c r="B1252" s="48">
        <v>46150.59663194444</v>
      </c>
      <c r="C1252" s="30">
        <v>3.829636099E9</v>
      </c>
      <c r="D1252" s="47" t="s">
        <v>1509</v>
      </c>
      <c r="E1252" s="47">
        <v>3.182550726948E12</v>
      </c>
      <c r="F1252" s="47" t="s">
        <v>1523</v>
      </c>
      <c r="G1252" s="47" t="s">
        <v>1610</v>
      </c>
      <c r="H1252" s="30">
        <v>1.0</v>
      </c>
      <c r="I1252" s="30">
        <v>589.0</v>
      </c>
      <c r="J1252" s="30">
        <v>589.0</v>
      </c>
      <c r="K1252" s="30">
        <v>12.5</v>
      </c>
      <c r="L1252" s="30">
        <v>73.625</v>
      </c>
      <c r="M1252" s="30">
        <v>1.0</v>
      </c>
      <c r="N1252" s="30">
        <v>1.0</v>
      </c>
      <c r="O1252" s="30">
        <v>0.0</v>
      </c>
      <c r="P1252" s="30">
        <v>0.0</v>
      </c>
      <c r="Q1252" s="30">
        <v>514.375</v>
      </c>
    </row>
    <row r="1253">
      <c r="A1253" s="47">
        <v>1.1209080702E10</v>
      </c>
      <c r="B1253" s="48">
        <v>46149.6169212963</v>
      </c>
      <c r="C1253" s="30">
        <v>3.826143457E9</v>
      </c>
      <c r="D1253" s="47" t="s">
        <v>1509</v>
      </c>
      <c r="E1253" s="47">
        <v>8.410650218663E12</v>
      </c>
      <c r="F1253" s="47" t="s">
        <v>1523</v>
      </c>
      <c r="G1253" s="47" t="s">
        <v>1542</v>
      </c>
      <c r="H1253" s="30">
        <v>1.0</v>
      </c>
      <c r="I1253" s="30">
        <v>4430.0</v>
      </c>
      <c r="J1253" s="30">
        <v>4430.0</v>
      </c>
      <c r="K1253" s="30">
        <v>16.5</v>
      </c>
      <c r="L1253" s="30">
        <v>730.95</v>
      </c>
      <c r="M1253" s="30">
        <v>3556.0</v>
      </c>
      <c r="N1253" s="30">
        <v>3556.0</v>
      </c>
      <c r="O1253" s="30">
        <v>0.0</v>
      </c>
      <c r="P1253" s="30">
        <v>0.0</v>
      </c>
      <c r="Q1253" s="30">
        <v>143.04999999999995</v>
      </c>
    </row>
    <row r="1254">
      <c r="A1254" s="47">
        <v>1.1215618269E10</v>
      </c>
      <c r="B1254" s="48">
        <v>46151.136458333334</v>
      </c>
      <c r="C1254" s="30">
        <v>3.832164636E9</v>
      </c>
      <c r="D1254" s="47" t="s">
        <v>1509</v>
      </c>
      <c r="E1254" s="47" t="s">
        <v>650</v>
      </c>
      <c r="F1254" s="47" t="s">
        <v>1523</v>
      </c>
      <c r="G1254" s="47" t="s">
        <v>1597</v>
      </c>
      <c r="H1254" s="30">
        <v>1.0</v>
      </c>
      <c r="I1254" s="30">
        <v>850.0</v>
      </c>
      <c r="J1254" s="30">
        <v>850.0</v>
      </c>
      <c r="K1254" s="30">
        <v>13.5</v>
      </c>
      <c r="L1254" s="30">
        <v>114.75</v>
      </c>
      <c r="M1254" s="30">
        <v>100.0</v>
      </c>
      <c r="N1254" s="30">
        <v>100.0</v>
      </c>
      <c r="O1254" s="30">
        <v>0.0</v>
      </c>
      <c r="P1254" s="30">
        <v>0.0</v>
      </c>
      <c r="Q1254" s="30">
        <v>635.25</v>
      </c>
    </row>
    <row r="1255">
      <c r="A1255" s="47">
        <v>1.1209945408E10</v>
      </c>
      <c r="B1255" s="48">
        <v>46149.77222222222</v>
      </c>
      <c r="C1255" s="30">
        <v>3.826931718E9</v>
      </c>
      <c r="D1255" s="47" t="s">
        <v>1509</v>
      </c>
      <c r="E1255" s="47">
        <v>7.613035846708E12</v>
      </c>
      <c r="F1255" s="47" t="s">
        <v>1523</v>
      </c>
      <c r="G1255" s="47" t="s">
        <v>1535</v>
      </c>
      <c r="H1255" s="30">
        <v>1.0</v>
      </c>
      <c r="I1255" s="30">
        <v>1400.0</v>
      </c>
      <c r="J1255" s="30">
        <v>1400.0</v>
      </c>
      <c r="K1255" s="30">
        <v>6.4</v>
      </c>
      <c r="L1255" s="30">
        <v>89.6</v>
      </c>
      <c r="M1255" s="30">
        <v>1160.0</v>
      </c>
      <c r="N1255" s="30">
        <v>1160.0</v>
      </c>
      <c r="O1255" s="30">
        <v>0.0</v>
      </c>
      <c r="P1255" s="30">
        <v>0.0</v>
      </c>
      <c r="Q1255" s="30">
        <v>150.4</v>
      </c>
    </row>
    <row r="1256">
      <c r="A1256" s="47">
        <v>1.1213296029E10</v>
      </c>
      <c r="B1256" s="48">
        <v>46150.69832175926</v>
      </c>
      <c r="C1256" s="30">
        <v>3.83012393E9</v>
      </c>
      <c r="D1256" s="47" t="s">
        <v>1509</v>
      </c>
      <c r="E1256" s="47" t="s">
        <v>393</v>
      </c>
      <c r="F1256" s="47" t="s">
        <v>1523</v>
      </c>
      <c r="G1256" s="47" t="s">
        <v>1582</v>
      </c>
      <c r="H1256" s="30">
        <v>1.0</v>
      </c>
      <c r="I1256" s="30">
        <v>1186.0</v>
      </c>
      <c r="J1256" s="30">
        <v>1186.0</v>
      </c>
      <c r="K1256" s="30">
        <v>13.5</v>
      </c>
      <c r="L1256" s="30">
        <v>160.11</v>
      </c>
      <c r="M1256" s="30">
        <v>850.0</v>
      </c>
      <c r="N1256" s="30">
        <v>850.0</v>
      </c>
      <c r="O1256" s="30">
        <v>0.0</v>
      </c>
      <c r="P1256" s="30">
        <v>0.0</v>
      </c>
      <c r="Q1256" s="30">
        <v>175.89</v>
      </c>
    </row>
    <row r="1257">
      <c r="A1257" s="47">
        <v>1.1212171706E10</v>
      </c>
      <c r="B1257" s="48">
        <v>46150.19453703704</v>
      </c>
      <c r="C1257" s="30">
        <v>3.829000514E9</v>
      </c>
      <c r="D1257" s="47" t="s">
        <v>1509</v>
      </c>
      <c r="E1257" s="47">
        <v>8.010276042149E12</v>
      </c>
      <c r="F1257" s="47" t="s">
        <v>1523</v>
      </c>
      <c r="G1257" s="47" t="s">
        <v>1613</v>
      </c>
      <c r="H1257" s="30">
        <v>1.0</v>
      </c>
      <c r="I1257" s="30">
        <v>3780.0</v>
      </c>
      <c r="J1257" s="30">
        <v>3780.0</v>
      </c>
      <c r="K1257" s="30">
        <v>12.8</v>
      </c>
      <c r="L1257" s="30">
        <v>483.84</v>
      </c>
      <c r="M1257" s="30">
        <v>2944.0</v>
      </c>
      <c r="N1257" s="30">
        <v>2944.0</v>
      </c>
      <c r="O1257" s="30">
        <v>0.0</v>
      </c>
      <c r="P1257" s="30">
        <v>0.0</v>
      </c>
      <c r="Q1257" s="30">
        <v>352.16</v>
      </c>
    </row>
    <row r="1258">
      <c r="A1258" s="47">
        <v>1.1215683464E10</v>
      </c>
      <c r="B1258" s="48">
        <v>46151.15545138889</v>
      </c>
      <c r="C1258" s="30">
        <v>3.832231888E9</v>
      </c>
      <c r="D1258" s="47" t="s">
        <v>1509</v>
      </c>
      <c r="E1258" s="47">
        <v>3.182550721745E12</v>
      </c>
      <c r="F1258" s="47" t="s">
        <v>1523</v>
      </c>
      <c r="G1258" s="47" t="s">
        <v>1605</v>
      </c>
      <c r="H1258" s="30">
        <v>1.0</v>
      </c>
      <c r="I1258" s="30">
        <v>2625.0</v>
      </c>
      <c r="J1258" s="30">
        <v>2625.0</v>
      </c>
      <c r="K1258" s="30">
        <v>6.4</v>
      </c>
      <c r="L1258" s="30">
        <v>168.0</v>
      </c>
      <c r="M1258" s="30">
        <v>2000.0</v>
      </c>
      <c r="N1258" s="30">
        <v>2000.0</v>
      </c>
      <c r="O1258" s="30">
        <v>0.0</v>
      </c>
      <c r="P1258" s="30">
        <v>0.0</v>
      </c>
      <c r="Q1258" s="30">
        <v>457.0</v>
      </c>
    </row>
    <row r="1259">
      <c r="A1259" s="47">
        <v>1.1212375575E10</v>
      </c>
      <c r="B1259" s="48">
        <v>46150.485127314816</v>
      </c>
      <c r="C1259" s="30">
        <v>3.829240854E9</v>
      </c>
      <c r="D1259" s="47" t="s">
        <v>1509</v>
      </c>
      <c r="E1259" s="47">
        <v>8.010276042132E12</v>
      </c>
      <c r="F1259" s="47" t="s">
        <v>1523</v>
      </c>
      <c r="G1259" s="47" t="s">
        <v>1603</v>
      </c>
      <c r="H1259" s="30">
        <v>1.0</v>
      </c>
      <c r="I1259" s="30">
        <v>2170.96</v>
      </c>
      <c r="J1259" s="30">
        <v>2170.96</v>
      </c>
      <c r="K1259" s="30">
        <v>12.5</v>
      </c>
      <c r="L1259" s="30">
        <v>271.37</v>
      </c>
      <c r="M1259" s="30">
        <v>1680.0</v>
      </c>
      <c r="N1259" s="30">
        <v>1680.0</v>
      </c>
      <c r="O1259" s="30">
        <v>0.0</v>
      </c>
      <c r="P1259" s="30">
        <v>0.0</v>
      </c>
      <c r="Q1259" s="30">
        <v>219.59000000000003</v>
      </c>
    </row>
    <row r="1260">
      <c r="A1260" s="47">
        <v>1.1214461787E10</v>
      </c>
      <c r="B1260" s="48">
        <v>46150.91972222222</v>
      </c>
      <c r="C1260" s="30">
        <v>3.831121237E9</v>
      </c>
      <c r="D1260" s="47" t="s">
        <v>1509</v>
      </c>
      <c r="E1260" s="47">
        <v>3.182550793032E12</v>
      </c>
      <c r="F1260" s="47" t="s">
        <v>1523</v>
      </c>
      <c r="G1260" s="47" t="s">
        <v>1614</v>
      </c>
      <c r="H1260" s="30">
        <v>1.0</v>
      </c>
      <c r="I1260" s="30">
        <v>1700.0</v>
      </c>
      <c r="J1260" s="30">
        <v>1700.0</v>
      </c>
      <c r="K1260" s="30">
        <v>12.5</v>
      </c>
      <c r="L1260" s="30">
        <v>212.5</v>
      </c>
      <c r="M1260" s="30">
        <v>1260.0</v>
      </c>
      <c r="N1260" s="30">
        <v>1260.0</v>
      </c>
      <c r="O1260" s="30">
        <v>0.0</v>
      </c>
      <c r="P1260" s="30">
        <v>0.0</v>
      </c>
      <c r="Q1260" s="30">
        <v>227.5</v>
      </c>
    </row>
    <row r="1261">
      <c r="A1261" s="47">
        <v>1.1212942098E10</v>
      </c>
      <c r="B1261" s="48">
        <v>46150.63423611111</v>
      </c>
      <c r="C1261" s="30">
        <v>3.829809838E9</v>
      </c>
      <c r="D1261" s="47" t="s">
        <v>1509</v>
      </c>
      <c r="E1261" s="47" t="s">
        <v>143</v>
      </c>
      <c r="F1261" s="47" t="s">
        <v>1523</v>
      </c>
      <c r="G1261" s="47" t="s">
        <v>1545</v>
      </c>
      <c r="H1261" s="30">
        <v>2.0</v>
      </c>
      <c r="I1261" s="30">
        <v>319.0</v>
      </c>
      <c r="J1261" s="30">
        <v>638.0</v>
      </c>
      <c r="K1261" s="30">
        <v>16.5</v>
      </c>
      <c r="L1261" s="30">
        <v>105.27</v>
      </c>
      <c r="M1261" s="30">
        <v>180.0</v>
      </c>
      <c r="N1261" s="30">
        <v>360.0</v>
      </c>
      <c r="O1261" s="30">
        <v>0.0</v>
      </c>
      <c r="P1261" s="30">
        <v>0.0</v>
      </c>
      <c r="Q1261" s="30">
        <v>172.73000000000002</v>
      </c>
    </row>
    <row r="1262">
      <c r="A1262" s="47">
        <v>1.1214718628E10</v>
      </c>
      <c r="B1262" s="48">
        <v>46150.96585648148</v>
      </c>
      <c r="C1262" s="30">
        <v>3.831318405E9</v>
      </c>
      <c r="D1262" s="47" t="s">
        <v>1509</v>
      </c>
      <c r="E1262" s="47" t="s">
        <v>537</v>
      </c>
      <c r="F1262" s="47" t="s">
        <v>1523</v>
      </c>
      <c r="G1262" s="47" t="s">
        <v>1575</v>
      </c>
      <c r="H1262" s="30">
        <v>1.0</v>
      </c>
      <c r="I1262" s="30">
        <v>1482.0</v>
      </c>
      <c r="J1262" s="30">
        <v>1482.0</v>
      </c>
      <c r="K1262" s="30">
        <v>12.5</v>
      </c>
      <c r="L1262" s="30">
        <v>185.25</v>
      </c>
      <c r="M1262" s="30">
        <v>1053.0</v>
      </c>
      <c r="N1262" s="30">
        <v>1053.0</v>
      </c>
      <c r="O1262" s="30">
        <v>0.0</v>
      </c>
      <c r="P1262" s="30">
        <v>0.0</v>
      </c>
      <c r="Q1262" s="30">
        <v>243.75</v>
      </c>
    </row>
    <row r="1263">
      <c r="A1263" s="47">
        <v>1.1215513444E10</v>
      </c>
      <c r="B1263" s="48">
        <v>46151.11119212963</v>
      </c>
      <c r="C1263" s="30">
        <v>3.832058152E9</v>
      </c>
      <c r="D1263" s="47" t="s">
        <v>1509</v>
      </c>
      <c r="E1263" s="47" t="s">
        <v>537</v>
      </c>
      <c r="F1263" s="47" t="s">
        <v>1523</v>
      </c>
      <c r="G1263" s="47" t="s">
        <v>1575</v>
      </c>
      <c r="H1263" s="30">
        <v>1.0</v>
      </c>
      <c r="I1263" s="30">
        <v>1482.0</v>
      </c>
      <c r="J1263" s="30">
        <v>1482.0</v>
      </c>
      <c r="K1263" s="30">
        <v>12.5</v>
      </c>
      <c r="L1263" s="30">
        <v>185.25</v>
      </c>
      <c r="M1263" s="30">
        <v>1053.0</v>
      </c>
      <c r="N1263" s="30">
        <v>1053.0</v>
      </c>
      <c r="O1263" s="30">
        <v>0.0</v>
      </c>
      <c r="P1263" s="30">
        <v>0.0</v>
      </c>
      <c r="Q1263" s="30">
        <v>243.75</v>
      </c>
    </row>
    <row r="1264">
      <c r="A1264" s="47">
        <v>1.121154551E10</v>
      </c>
      <c r="B1264" s="48">
        <v>46150.05086805556</v>
      </c>
      <c r="C1264" s="30">
        <v>3.828333937E9</v>
      </c>
      <c r="D1264" s="47" t="s">
        <v>1509</v>
      </c>
      <c r="E1264" s="47">
        <v>7.613035846708E12</v>
      </c>
      <c r="F1264" s="47" t="s">
        <v>1523</v>
      </c>
      <c r="G1264" s="47" t="s">
        <v>1535</v>
      </c>
      <c r="H1264" s="30">
        <v>1.0</v>
      </c>
      <c r="I1264" s="30">
        <v>1400.0</v>
      </c>
      <c r="J1264" s="30">
        <v>1400.0</v>
      </c>
      <c r="K1264" s="30">
        <v>6.4</v>
      </c>
      <c r="L1264" s="30">
        <v>89.6</v>
      </c>
      <c r="M1264" s="30">
        <v>1160.0</v>
      </c>
      <c r="N1264" s="30">
        <v>1160.0</v>
      </c>
      <c r="O1264" s="30">
        <v>0.0</v>
      </c>
      <c r="P1264" s="30">
        <v>0.0</v>
      </c>
      <c r="Q1264" s="30">
        <v>150.4</v>
      </c>
    </row>
    <row r="1265">
      <c r="A1265" s="47">
        <v>1.1204768924E10</v>
      </c>
      <c r="B1265" s="48">
        <v>46148.553773148145</v>
      </c>
      <c r="C1265" s="30">
        <v>3.82190911E9</v>
      </c>
      <c r="D1265" s="47" t="s">
        <v>1509</v>
      </c>
      <c r="E1265" s="47">
        <v>7.613033560033E12</v>
      </c>
      <c r="F1265" s="47">
        <v>0.0</v>
      </c>
      <c r="G1265" s="47" t="s">
        <v>1539</v>
      </c>
      <c r="H1265" s="30">
        <v>1.0</v>
      </c>
      <c r="I1265" s="30">
        <v>1430.0</v>
      </c>
      <c r="J1265" s="30">
        <v>1430.0</v>
      </c>
      <c r="K1265" s="30">
        <v>6.4</v>
      </c>
      <c r="L1265" s="30">
        <v>91.52</v>
      </c>
      <c r="M1265" s="30">
        <v>1165.0</v>
      </c>
      <c r="N1265" s="30">
        <v>1165.0</v>
      </c>
      <c r="O1265" s="30">
        <v>0.0</v>
      </c>
      <c r="P1265" s="30">
        <v>0.0</v>
      </c>
      <c r="Q1265" s="30">
        <v>173.48000000000002</v>
      </c>
    </row>
    <row r="1266">
      <c r="A1266" s="47">
        <v>1.1215163004E10</v>
      </c>
      <c r="B1266" s="48">
        <v>46151.04268518519</v>
      </c>
      <c r="C1266" s="30">
        <v>3.831710823E9</v>
      </c>
      <c r="D1266" s="47" t="s">
        <v>1509</v>
      </c>
      <c r="E1266" s="47" t="s">
        <v>393</v>
      </c>
      <c r="F1266" s="47" t="s">
        <v>1523</v>
      </c>
      <c r="G1266" s="47" t="s">
        <v>1582</v>
      </c>
      <c r="H1266" s="30">
        <v>1.0</v>
      </c>
      <c r="I1266" s="30">
        <v>1186.0</v>
      </c>
      <c r="J1266" s="30">
        <v>1186.0</v>
      </c>
      <c r="K1266" s="30">
        <v>13.5</v>
      </c>
      <c r="L1266" s="30">
        <v>160.11</v>
      </c>
      <c r="M1266" s="30">
        <v>850.0</v>
      </c>
      <c r="N1266" s="30">
        <v>850.0</v>
      </c>
      <c r="O1266" s="30">
        <v>0.0</v>
      </c>
      <c r="P1266" s="30">
        <v>0.0</v>
      </c>
      <c r="Q1266" s="30">
        <v>175.89</v>
      </c>
    </row>
    <row r="1267">
      <c r="A1267" s="47">
        <v>1.1214002567E10</v>
      </c>
      <c r="B1267" s="48">
        <v>46150.83516203704</v>
      </c>
      <c r="C1267" s="30">
        <v>3.830758173E9</v>
      </c>
      <c r="D1267" s="47" t="s">
        <v>1509</v>
      </c>
      <c r="E1267" s="47">
        <v>3.182550793032E12</v>
      </c>
      <c r="F1267" s="47" t="s">
        <v>1523</v>
      </c>
      <c r="G1267" s="47" t="s">
        <v>1614</v>
      </c>
      <c r="H1267" s="30">
        <v>1.0</v>
      </c>
      <c r="I1267" s="30">
        <v>1700.0</v>
      </c>
      <c r="J1267" s="30">
        <v>1700.0</v>
      </c>
      <c r="K1267" s="30">
        <v>12.5</v>
      </c>
      <c r="L1267" s="30">
        <v>212.5</v>
      </c>
      <c r="M1267" s="30">
        <v>1260.0</v>
      </c>
      <c r="N1267" s="30">
        <v>1260.0</v>
      </c>
      <c r="O1267" s="30">
        <v>0.0</v>
      </c>
      <c r="P1267" s="30">
        <v>0.0</v>
      </c>
      <c r="Q1267" s="30">
        <v>227.5</v>
      </c>
    </row>
    <row r="1268">
      <c r="A1268" s="47">
        <v>1.1212832265E10</v>
      </c>
      <c r="B1268" s="48">
        <v>46150.613900462966</v>
      </c>
      <c r="C1268" s="30">
        <v>3.829715395E9</v>
      </c>
      <c r="D1268" s="47" t="s">
        <v>1509</v>
      </c>
      <c r="E1268" s="47" t="s">
        <v>393</v>
      </c>
      <c r="F1268" s="47" t="s">
        <v>1523</v>
      </c>
      <c r="G1268" s="47" t="s">
        <v>1582</v>
      </c>
      <c r="H1268" s="30">
        <v>1.0</v>
      </c>
      <c r="I1268" s="30">
        <v>1186.0</v>
      </c>
      <c r="J1268" s="30">
        <v>1186.0</v>
      </c>
      <c r="K1268" s="30">
        <v>13.5</v>
      </c>
      <c r="L1268" s="30">
        <v>160.11</v>
      </c>
      <c r="M1268" s="30">
        <v>850.0</v>
      </c>
      <c r="N1268" s="30">
        <v>850.0</v>
      </c>
      <c r="O1268" s="30">
        <v>0.0</v>
      </c>
      <c r="P1268" s="30">
        <v>0.0</v>
      </c>
      <c r="Q1268" s="30">
        <v>175.89</v>
      </c>
    </row>
    <row r="1269">
      <c r="A1269" s="47">
        <v>1.1213423848E10</v>
      </c>
      <c r="B1269" s="48">
        <v>46150.721817129626</v>
      </c>
      <c r="C1269" s="30">
        <v>3.830239188E9</v>
      </c>
      <c r="D1269" s="47" t="s">
        <v>1509</v>
      </c>
      <c r="E1269" s="47">
        <v>7.613032816536E12</v>
      </c>
      <c r="F1269" s="47" t="s">
        <v>1523</v>
      </c>
      <c r="G1269" s="47" t="s">
        <v>1533</v>
      </c>
      <c r="H1269" s="30">
        <v>1.0</v>
      </c>
      <c r="I1269" s="30">
        <v>870.0</v>
      </c>
      <c r="J1269" s="30">
        <v>870.0</v>
      </c>
      <c r="K1269" s="30">
        <v>13.5</v>
      </c>
      <c r="L1269" s="30">
        <v>117.45</v>
      </c>
      <c r="M1269" s="30">
        <v>580.0</v>
      </c>
      <c r="N1269" s="30">
        <v>580.0</v>
      </c>
      <c r="O1269" s="30">
        <v>0.0</v>
      </c>
      <c r="P1269" s="30">
        <v>0.0</v>
      </c>
      <c r="Q1269" s="30">
        <v>172.55</v>
      </c>
    </row>
    <row r="1270">
      <c r="A1270" s="47">
        <v>1.1213314562E10</v>
      </c>
      <c r="B1270" s="48">
        <v>46150.7016087963</v>
      </c>
      <c r="C1270" s="30">
        <v>3.830143665E9</v>
      </c>
      <c r="D1270" s="47" t="s">
        <v>1509</v>
      </c>
      <c r="E1270" s="47">
        <v>3.182550721745E12</v>
      </c>
      <c r="F1270" s="47" t="s">
        <v>1523</v>
      </c>
      <c r="G1270" s="47" t="s">
        <v>1605</v>
      </c>
      <c r="H1270" s="30">
        <v>1.0</v>
      </c>
      <c r="I1270" s="30">
        <v>2627.0</v>
      </c>
      <c r="J1270" s="30">
        <v>2627.0</v>
      </c>
      <c r="K1270" s="30">
        <v>6.4</v>
      </c>
      <c r="L1270" s="30">
        <v>168.128</v>
      </c>
      <c r="M1270" s="30">
        <v>2000.0</v>
      </c>
      <c r="N1270" s="30">
        <v>2000.0</v>
      </c>
      <c r="O1270" s="30">
        <v>0.0</v>
      </c>
      <c r="P1270" s="30">
        <v>0.0</v>
      </c>
      <c r="Q1270" s="30">
        <v>458.872</v>
      </c>
    </row>
    <row r="1271">
      <c r="A1271" s="47">
        <v>1.1209473433E10</v>
      </c>
      <c r="B1271" s="48">
        <v>46149.68592592593</v>
      </c>
      <c r="C1271" s="30">
        <v>3.826489822E9</v>
      </c>
      <c r="D1271" s="47" t="s">
        <v>1509</v>
      </c>
      <c r="E1271" s="47">
        <v>8.010276033277E12</v>
      </c>
      <c r="F1271" s="47" t="s">
        <v>1523</v>
      </c>
      <c r="G1271" s="47" t="s">
        <v>1615</v>
      </c>
      <c r="H1271" s="30">
        <v>1.0</v>
      </c>
      <c r="I1271" s="30">
        <v>1780.0</v>
      </c>
      <c r="J1271" s="30">
        <v>1780.0</v>
      </c>
      <c r="K1271" s="30">
        <v>16.5</v>
      </c>
      <c r="L1271" s="30">
        <v>293.7</v>
      </c>
      <c r="M1271" s="30">
        <v>1307.0</v>
      </c>
      <c r="N1271" s="30">
        <v>1307.0</v>
      </c>
      <c r="O1271" s="30">
        <v>0.0</v>
      </c>
      <c r="P1271" s="30">
        <v>0.0</v>
      </c>
      <c r="Q1271" s="30">
        <v>179.3</v>
      </c>
    </row>
    <row r="1272">
      <c r="A1272" s="47">
        <v>1.121399578E10</v>
      </c>
      <c r="B1272" s="48">
        <v>46150.83375</v>
      </c>
      <c r="C1272" s="30">
        <v>3.830754317E9</v>
      </c>
      <c r="D1272" s="47" t="s">
        <v>1509</v>
      </c>
      <c r="E1272" s="47">
        <v>7.613035846708E12</v>
      </c>
      <c r="F1272" s="47" t="s">
        <v>1523</v>
      </c>
      <c r="G1272" s="47" t="s">
        <v>1535</v>
      </c>
      <c r="H1272" s="30">
        <v>1.0</v>
      </c>
      <c r="I1272" s="30">
        <v>1400.0</v>
      </c>
      <c r="J1272" s="30">
        <v>1400.0</v>
      </c>
      <c r="K1272" s="30">
        <v>6.4</v>
      </c>
      <c r="L1272" s="30">
        <v>89.6</v>
      </c>
      <c r="M1272" s="30">
        <v>1160.0</v>
      </c>
      <c r="N1272" s="30">
        <v>1160.0</v>
      </c>
      <c r="O1272" s="30">
        <v>0.0</v>
      </c>
      <c r="P1272" s="30">
        <v>0.0</v>
      </c>
      <c r="Q1272" s="30">
        <v>150.4</v>
      </c>
    </row>
    <row r="1273">
      <c r="A1273" s="47">
        <v>1.1210451039E10</v>
      </c>
      <c r="B1273" s="48">
        <v>46149.86739583333</v>
      </c>
      <c r="C1273" s="30">
        <v>3.827384716E9</v>
      </c>
      <c r="D1273" s="47" t="s">
        <v>1509</v>
      </c>
      <c r="E1273" s="47" t="s">
        <v>537</v>
      </c>
      <c r="F1273" s="47" t="s">
        <v>1523</v>
      </c>
      <c r="G1273" s="47" t="s">
        <v>1575</v>
      </c>
      <c r="H1273" s="30">
        <v>1.0</v>
      </c>
      <c r="I1273" s="30">
        <v>1482.0</v>
      </c>
      <c r="J1273" s="30">
        <v>1482.0</v>
      </c>
      <c r="K1273" s="30">
        <v>12.5</v>
      </c>
      <c r="L1273" s="30">
        <v>185.25</v>
      </c>
      <c r="M1273" s="30">
        <v>1053.0</v>
      </c>
      <c r="N1273" s="30">
        <v>1053.0</v>
      </c>
      <c r="O1273" s="30">
        <v>0.0</v>
      </c>
      <c r="P1273" s="30">
        <v>0.0</v>
      </c>
      <c r="Q1273" s="30">
        <v>243.75</v>
      </c>
    </row>
    <row r="1274">
      <c r="A1274" s="47">
        <v>1.120429001E10</v>
      </c>
      <c r="B1274" s="48">
        <v>46148.181597222225</v>
      </c>
      <c r="C1274" s="30">
        <v>3.821359266E9</v>
      </c>
      <c r="D1274" s="47" t="s">
        <v>1509</v>
      </c>
      <c r="E1274" s="47">
        <v>3.182550721738E12</v>
      </c>
      <c r="F1274" s="47" t="s">
        <v>1523</v>
      </c>
      <c r="G1274" s="47" t="s">
        <v>1526</v>
      </c>
      <c r="H1274" s="30">
        <v>1.0</v>
      </c>
      <c r="I1274" s="30">
        <v>1554.0</v>
      </c>
      <c r="J1274" s="30">
        <v>1554.0</v>
      </c>
      <c r="K1274" s="30">
        <v>6.4</v>
      </c>
      <c r="L1274" s="30">
        <v>99.456</v>
      </c>
      <c r="M1274" s="30">
        <v>1210.0</v>
      </c>
      <c r="N1274" s="30">
        <v>1210.0</v>
      </c>
      <c r="O1274" s="30">
        <v>0.0</v>
      </c>
      <c r="P1274" s="30">
        <v>0.0</v>
      </c>
      <c r="Q1274" s="30">
        <v>244.54399999999998</v>
      </c>
    </row>
    <row r="1275">
      <c r="A1275" s="47">
        <v>1.1212079791E10</v>
      </c>
      <c r="B1275" s="48">
        <v>46150.156747685185</v>
      </c>
      <c r="C1275" s="30">
        <v>3.828903432E9</v>
      </c>
      <c r="D1275" s="47" t="s">
        <v>1509</v>
      </c>
      <c r="E1275" s="47">
        <v>7.613035846708E12</v>
      </c>
      <c r="F1275" s="47" t="s">
        <v>1523</v>
      </c>
      <c r="G1275" s="47" t="s">
        <v>1535</v>
      </c>
      <c r="H1275" s="30">
        <v>1.0</v>
      </c>
      <c r="I1275" s="30">
        <v>1400.0</v>
      </c>
      <c r="J1275" s="30">
        <v>1400.0</v>
      </c>
      <c r="K1275" s="30">
        <v>6.4</v>
      </c>
      <c r="L1275" s="30">
        <v>89.6</v>
      </c>
      <c r="M1275" s="30">
        <v>1160.0</v>
      </c>
      <c r="N1275" s="30">
        <v>1160.0</v>
      </c>
      <c r="O1275" s="30">
        <v>0.0</v>
      </c>
      <c r="P1275" s="30">
        <v>0.0</v>
      </c>
      <c r="Q1275" s="30">
        <v>150.4</v>
      </c>
    </row>
    <row r="1276">
      <c r="A1276" s="47">
        <v>1.1210413352E10</v>
      </c>
      <c r="B1276" s="48">
        <v>46149.86027777778</v>
      </c>
      <c r="C1276" s="30">
        <v>3.827347484E9</v>
      </c>
      <c r="D1276" s="47" t="s">
        <v>1509</v>
      </c>
      <c r="E1276" s="47">
        <v>6.923632570003E12</v>
      </c>
      <c r="F1276" s="47" t="s">
        <v>1523</v>
      </c>
      <c r="G1276" s="47" t="s">
        <v>1544</v>
      </c>
      <c r="H1276" s="30">
        <v>1.0</v>
      </c>
      <c r="I1276" s="30">
        <v>489.0</v>
      </c>
      <c r="J1276" s="30">
        <v>489.0</v>
      </c>
      <c r="K1276" s="30">
        <v>20.0</v>
      </c>
      <c r="L1276" s="30">
        <v>97.8</v>
      </c>
      <c r="M1276" s="30">
        <v>130.0</v>
      </c>
      <c r="N1276" s="30">
        <v>130.0</v>
      </c>
      <c r="O1276" s="30">
        <v>0.0</v>
      </c>
      <c r="P1276" s="30">
        <v>0.0</v>
      </c>
      <c r="Q1276" s="30">
        <v>261.2</v>
      </c>
    </row>
    <row r="1277">
      <c r="A1277" s="47">
        <v>1.1212660933E10</v>
      </c>
      <c r="B1277" s="48">
        <v>46150.57685185185</v>
      </c>
      <c r="C1277" s="30">
        <v>3.82954798E9</v>
      </c>
      <c r="D1277" s="47" t="s">
        <v>1509</v>
      </c>
      <c r="E1277" s="47" t="s">
        <v>537</v>
      </c>
      <c r="F1277" s="47" t="s">
        <v>1523</v>
      </c>
      <c r="G1277" s="47" t="s">
        <v>1575</v>
      </c>
      <c r="H1277" s="30">
        <v>1.0</v>
      </c>
      <c r="I1277" s="30">
        <v>1482.0</v>
      </c>
      <c r="J1277" s="30">
        <v>1482.0</v>
      </c>
      <c r="K1277" s="30">
        <v>12.5</v>
      </c>
      <c r="L1277" s="30">
        <v>185.25</v>
      </c>
      <c r="M1277" s="30">
        <v>1053.0</v>
      </c>
      <c r="N1277" s="30">
        <v>1053.0</v>
      </c>
      <c r="O1277" s="30">
        <v>0.0</v>
      </c>
      <c r="P1277" s="30">
        <v>0.0</v>
      </c>
      <c r="Q1277" s="30">
        <v>243.75</v>
      </c>
    </row>
    <row r="1278">
      <c r="A1278" s="47">
        <v>1.1212202546E10</v>
      </c>
      <c r="B1278" s="48">
        <v>46150.21460648148</v>
      </c>
      <c r="C1278" s="30">
        <v>3.829032094E9</v>
      </c>
      <c r="D1278" s="47" t="s">
        <v>1509</v>
      </c>
      <c r="E1278" s="47">
        <v>6.923632570001E12</v>
      </c>
      <c r="F1278" s="47" t="s">
        <v>1523</v>
      </c>
      <c r="G1278" s="47" t="s">
        <v>1544</v>
      </c>
      <c r="H1278" s="30">
        <v>1.0</v>
      </c>
      <c r="I1278" s="30">
        <v>474.47</v>
      </c>
      <c r="J1278" s="30">
        <v>474.47</v>
      </c>
      <c r="K1278" s="30">
        <v>20.0</v>
      </c>
      <c r="L1278" s="30">
        <v>94.89400000000002</v>
      </c>
      <c r="M1278" s="30">
        <v>130.0</v>
      </c>
      <c r="N1278" s="30">
        <v>130.0</v>
      </c>
      <c r="O1278" s="30">
        <v>0.0</v>
      </c>
      <c r="P1278" s="30">
        <v>0.0</v>
      </c>
      <c r="Q1278" s="30">
        <v>249.57600000000002</v>
      </c>
    </row>
    <row r="1279">
      <c r="A1279" s="47">
        <v>1.1212078633E10</v>
      </c>
      <c r="B1279" s="48">
        <v>46150.15636574074</v>
      </c>
      <c r="C1279" s="30">
        <v>3.828901777E9</v>
      </c>
      <c r="D1279" s="47" t="s">
        <v>1509</v>
      </c>
      <c r="E1279" s="47">
        <v>7.613035846708E12</v>
      </c>
      <c r="F1279" s="47" t="s">
        <v>1523</v>
      </c>
      <c r="G1279" s="47" t="s">
        <v>1535</v>
      </c>
      <c r="H1279" s="30">
        <v>1.0</v>
      </c>
      <c r="I1279" s="30">
        <v>1400.0</v>
      </c>
      <c r="J1279" s="30">
        <v>1400.0</v>
      </c>
      <c r="K1279" s="30">
        <v>6.4</v>
      </c>
      <c r="L1279" s="30">
        <v>89.6</v>
      </c>
      <c r="M1279" s="30">
        <v>1160.0</v>
      </c>
      <c r="N1279" s="30">
        <v>1160.0</v>
      </c>
      <c r="O1279" s="30">
        <v>0.0</v>
      </c>
      <c r="P1279" s="30">
        <v>0.0</v>
      </c>
      <c r="Q1279" s="30">
        <v>150.4</v>
      </c>
    </row>
    <row r="1280">
      <c r="A1280" s="47">
        <v>1.1212510687E10</v>
      </c>
      <c r="B1280" s="48">
        <v>46150.53600694444</v>
      </c>
      <c r="C1280" s="30">
        <v>3.829388367E9</v>
      </c>
      <c r="D1280" s="47" t="s">
        <v>1509</v>
      </c>
      <c r="E1280" s="47">
        <v>8.010276042149E12</v>
      </c>
      <c r="F1280" s="47" t="s">
        <v>1523</v>
      </c>
      <c r="G1280" s="47" t="s">
        <v>1613</v>
      </c>
      <c r="H1280" s="30">
        <v>1.0</v>
      </c>
      <c r="I1280" s="30">
        <v>3780.0</v>
      </c>
      <c r="J1280" s="30">
        <v>3780.0</v>
      </c>
      <c r="K1280" s="30">
        <v>12.8</v>
      </c>
      <c r="L1280" s="30">
        <v>483.84</v>
      </c>
      <c r="M1280" s="30">
        <v>2944.0</v>
      </c>
      <c r="N1280" s="30">
        <v>2944.0</v>
      </c>
      <c r="O1280" s="30">
        <v>0.0</v>
      </c>
      <c r="P1280" s="30">
        <v>0.0</v>
      </c>
      <c r="Q1280" s="30">
        <v>352.16</v>
      </c>
    </row>
    <row r="1281">
      <c r="A1281" s="47">
        <v>1.1215659935E10</v>
      </c>
      <c r="B1281" s="48">
        <v>46151.148368055554</v>
      </c>
      <c r="C1281" s="30">
        <v>3.832209812E9</v>
      </c>
      <c r="D1281" s="47" t="s">
        <v>1509</v>
      </c>
      <c r="E1281" s="47">
        <v>3.182550721745E12</v>
      </c>
      <c r="F1281" s="47" t="s">
        <v>1523</v>
      </c>
      <c r="G1281" s="47" t="s">
        <v>1605</v>
      </c>
      <c r="H1281" s="30">
        <v>1.0</v>
      </c>
      <c r="I1281" s="30">
        <v>2625.0</v>
      </c>
      <c r="J1281" s="30">
        <v>2625.0</v>
      </c>
      <c r="K1281" s="30">
        <v>6.4</v>
      </c>
      <c r="L1281" s="30">
        <v>168.0</v>
      </c>
      <c r="M1281" s="30">
        <v>2000.0</v>
      </c>
      <c r="N1281" s="30">
        <v>2000.0</v>
      </c>
      <c r="O1281" s="30">
        <v>0.0</v>
      </c>
      <c r="P1281" s="30">
        <v>0.0</v>
      </c>
      <c r="Q1281" s="30">
        <v>457.0</v>
      </c>
    </row>
    <row r="1282">
      <c r="A1282" s="47">
        <v>1.1215704725E10</v>
      </c>
      <c r="B1282" s="48">
        <v>46151.16247685185</v>
      </c>
      <c r="C1282" s="30">
        <v>3.83225249E9</v>
      </c>
      <c r="D1282" s="47" t="s">
        <v>1509</v>
      </c>
      <c r="E1282" s="47">
        <v>8.46799273637E11</v>
      </c>
      <c r="F1282" s="47" t="s">
        <v>1523</v>
      </c>
      <c r="G1282" s="47" t="s">
        <v>1553</v>
      </c>
      <c r="H1282" s="30">
        <v>1.0</v>
      </c>
      <c r="I1282" s="30">
        <v>659.0</v>
      </c>
      <c r="J1282" s="30">
        <v>659.0</v>
      </c>
      <c r="K1282" s="30">
        <v>16.5</v>
      </c>
      <c r="L1282" s="30">
        <v>108.735</v>
      </c>
      <c r="M1282" s="30">
        <v>420.0</v>
      </c>
      <c r="N1282" s="30">
        <v>420.0</v>
      </c>
      <c r="O1282" s="30">
        <v>0.0</v>
      </c>
      <c r="P1282" s="30">
        <v>0.0</v>
      </c>
      <c r="Q1282" s="30">
        <v>130.265</v>
      </c>
    </row>
    <row r="1283">
      <c r="A1283" s="47">
        <v>1.1212121814E10</v>
      </c>
      <c r="B1283" s="48">
        <v>46150.171689814815</v>
      </c>
      <c r="C1283" s="30">
        <v>3.828948212E9</v>
      </c>
      <c r="D1283" s="47" t="s">
        <v>1509</v>
      </c>
      <c r="E1283" s="47">
        <v>8.010276042149E12</v>
      </c>
      <c r="F1283" s="47" t="s">
        <v>1523</v>
      </c>
      <c r="G1283" s="47" t="s">
        <v>1613</v>
      </c>
      <c r="H1283" s="30">
        <v>1.0</v>
      </c>
      <c r="I1283" s="30">
        <v>3780.0</v>
      </c>
      <c r="J1283" s="30">
        <v>3780.0</v>
      </c>
      <c r="K1283" s="30">
        <v>12.8</v>
      </c>
      <c r="L1283" s="30">
        <v>483.84</v>
      </c>
      <c r="M1283" s="30">
        <v>2944.0</v>
      </c>
      <c r="N1283" s="30">
        <v>2944.0</v>
      </c>
      <c r="O1283" s="30">
        <v>0.0</v>
      </c>
      <c r="P1283" s="30">
        <v>0.0</v>
      </c>
      <c r="Q1283" s="30">
        <v>352.16</v>
      </c>
    </row>
    <row r="1284">
      <c r="A1284" s="47">
        <v>1.1212654226E10</v>
      </c>
      <c r="B1284" s="48">
        <v>46150.57512731481</v>
      </c>
      <c r="C1284" s="30">
        <v>3.829541872E9</v>
      </c>
      <c r="D1284" s="47" t="s">
        <v>1509</v>
      </c>
      <c r="E1284" s="47">
        <v>3.182550721745E12</v>
      </c>
      <c r="F1284" s="47" t="s">
        <v>1523</v>
      </c>
      <c r="G1284" s="47" t="s">
        <v>1605</v>
      </c>
      <c r="H1284" s="30">
        <v>1.0</v>
      </c>
      <c r="I1284" s="30">
        <v>2627.0</v>
      </c>
      <c r="J1284" s="30">
        <v>2627.0</v>
      </c>
      <c r="K1284" s="30">
        <v>6.4</v>
      </c>
      <c r="L1284" s="30">
        <v>168.128</v>
      </c>
      <c r="M1284" s="30">
        <v>2000.0</v>
      </c>
      <c r="N1284" s="30">
        <v>2000.0</v>
      </c>
      <c r="O1284" s="30">
        <v>0.0</v>
      </c>
      <c r="P1284" s="30">
        <v>0.0</v>
      </c>
      <c r="Q1284" s="30">
        <v>458.872</v>
      </c>
    </row>
    <row r="1285">
      <c r="A1285" s="47">
        <v>1.1212960759E10</v>
      </c>
      <c r="B1285" s="48">
        <v>46150.63767361111</v>
      </c>
      <c r="C1285" s="30">
        <v>3.829824345E9</v>
      </c>
      <c r="D1285" s="47" t="s">
        <v>1509</v>
      </c>
      <c r="E1285" s="47">
        <v>3.182550793032E12</v>
      </c>
      <c r="F1285" s="47" t="s">
        <v>1523</v>
      </c>
      <c r="G1285" s="47" t="s">
        <v>1614</v>
      </c>
      <c r="H1285" s="30">
        <v>1.0</v>
      </c>
      <c r="I1285" s="30">
        <v>1700.0</v>
      </c>
      <c r="J1285" s="30">
        <v>1700.0</v>
      </c>
      <c r="K1285" s="30">
        <v>12.5</v>
      </c>
      <c r="L1285" s="30">
        <v>212.5</v>
      </c>
      <c r="M1285" s="30">
        <v>1260.0</v>
      </c>
      <c r="N1285" s="30">
        <v>1260.0</v>
      </c>
      <c r="O1285" s="30">
        <v>0.0</v>
      </c>
      <c r="P1285" s="30">
        <v>0.0</v>
      </c>
      <c r="Q1285" s="30">
        <v>227.5</v>
      </c>
    </row>
    <row r="1286">
      <c r="A1286" s="47">
        <v>1.1211528036E10</v>
      </c>
      <c r="B1286" s="48">
        <v>46150.04806712963</v>
      </c>
      <c r="C1286" s="30">
        <v>3.828315537E9</v>
      </c>
      <c r="D1286" s="47" t="s">
        <v>1509</v>
      </c>
      <c r="E1286" s="47">
        <v>7.613035846708E12</v>
      </c>
      <c r="F1286" s="47" t="s">
        <v>1523</v>
      </c>
      <c r="G1286" s="47" t="s">
        <v>1535</v>
      </c>
      <c r="H1286" s="30">
        <v>1.0</v>
      </c>
      <c r="I1286" s="30">
        <v>1400.0</v>
      </c>
      <c r="J1286" s="30">
        <v>1400.0</v>
      </c>
      <c r="K1286" s="30">
        <v>6.4</v>
      </c>
      <c r="L1286" s="30">
        <v>89.6</v>
      </c>
      <c r="M1286" s="30">
        <v>1160.0</v>
      </c>
      <c r="N1286" s="30">
        <v>1160.0</v>
      </c>
      <c r="O1286" s="30">
        <v>0.0</v>
      </c>
      <c r="P1286" s="30">
        <v>0.0</v>
      </c>
      <c r="Q1286" s="30">
        <v>150.4</v>
      </c>
    </row>
    <row r="1287">
      <c r="A1287" s="47">
        <v>1.1210089981E10</v>
      </c>
      <c r="B1287" s="48">
        <v>46149.79996527778</v>
      </c>
      <c r="C1287" s="30">
        <v>3.829425206E9</v>
      </c>
      <c r="D1287" s="47" t="s">
        <v>1509</v>
      </c>
      <c r="E1287" s="47">
        <v>3.182550793032E12</v>
      </c>
      <c r="F1287" s="47" t="s">
        <v>1523</v>
      </c>
      <c r="G1287" s="47" t="s">
        <v>1614</v>
      </c>
      <c r="H1287" s="30">
        <v>1.0</v>
      </c>
      <c r="I1287" s="30">
        <v>1700.0</v>
      </c>
      <c r="J1287" s="30">
        <v>1700.0</v>
      </c>
      <c r="K1287" s="30">
        <v>12.5</v>
      </c>
      <c r="L1287" s="30">
        <v>212.5</v>
      </c>
      <c r="M1287" s="30">
        <v>1260.0</v>
      </c>
      <c r="N1287" s="30">
        <v>1260.0</v>
      </c>
      <c r="O1287" s="30">
        <v>0.0</v>
      </c>
      <c r="P1287" s="30">
        <v>0.0</v>
      </c>
      <c r="Q1287" s="30">
        <v>227.5</v>
      </c>
    </row>
    <row r="1288">
      <c r="A1288" s="47">
        <v>1.1214230866E10</v>
      </c>
      <c r="B1288" s="48">
        <v>46150.8784375</v>
      </c>
      <c r="C1288" s="30">
        <v>3.830943808E9</v>
      </c>
      <c r="D1288" s="47" t="s">
        <v>1509</v>
      </c>
      <c r="E1288" s="47">
        <v>3.182550786218E12</v>
      </c>
      <c r="F1288" s="47" t="s">
        <v>1523</v>
      </c>
      <c r="G1288" s="47" t="s">
        <v>1616</v>
      </c>
      <c r="H1288" s="30">
        <v>1.0</v>
      </c>
      <c r="I1288" s="30">
        <v>1299.0</v>
      </c>
      <c r="J1288" s="30">
        <v>1299.0</v>
      </c>
      <c r="K1288" s="30">
        <v>12.5</v>
      </c>
      <c r="L1288" s="30">
        <v>162.375</v>
      </c>
      <c r="M1288" s="30">
        <v>855.96</v>
      </c>
      <c r="N1288" s="30">
        <v>855.96</v>
      </c>
      <c r="O1288" s="30">
        <v>0.0</v>
      </c>
      <c r="P1288" s="30">
        <v>0.0</v>
      </c>
      <c r="Q1288" s="30">
        <v>280.66499999999996</v>
      </c>
    </row>
    <row r="1289">
      <c r="A1289" s="47">
        <v>1.1204482597E10</v>
      </c>
      <c r="B1289" s="48">
        <v>46148.4444212963</v>
      </c>
      <c r="C1289" s="30">
        <v>3.821580817E9</v>
      </c>
      <c r="D1289" s="47" t="s">
        <v>1509</v>
      </c>
      <c r="E1289" s="47">
        <v>7.613033560033E12</v>
      </c>
      <c r="F1289" s="47">
        <v>0.0</v>
      </c>
      <c r="G1289" s="47" t="s">
        <v>1539</v>
      </c>
      <c r="H1289" s="30">
        <v>1.0</v>
      </c>
      <c r="I1289" s="30">
        <v>1430.0</v>
      </c>
      <c r="J1289" s="30">
        <v>1430.0</v>
      </c>
      <c r="K1289" s="30">
        <v>6.4</v>
      </c>
      <c r="L1289" s="30">
        <v>91.52</v>
      </c>
      <c r="M1289" s="30">
        <v>1165.0</v>
      </c>
      <c r="N1289" s="30">
        <v>1165.0</v>
      </c>
      <c r="O1289" s="30">
        <v>0.0</v>
      </c>
      <c r="P1289" s="30">
        <v>0.0</v>
      </c>
      <c r="Q1289" s="30">
        <v>173.48000000000002</v>
      </c>
    </row>
    <row r="1290">
      <c r="A1290" s="47">
        <v>1.1202110927E10</v>
      </c>
      <c r="B1290" s="48">
        <v>46147.78880787037</v>
      </c>
      <c r="C1290" s="30">
        <v>3.819323662E9</v>
      </c>
      <c r="D1290" s="47" t="s">
        <v>1509</v>
      </c>
      <c r="E1290" s="47">
        <v>7.613035846708E12</v>
      </c>
      <c r="F1290" s="47" t="s">
        <v>1523</v>
      </c>
      <c r="G1290" s="47" t="s">
        <v>1535</v>
      </c>
      <c r="H1290" s="30">
        <v>1.0</v>
      </c>
      <c r="I1290" s="30">
        <v>1400.0</v>
      </c>
      <c r="J1290" s="30">
        <v>1400.0</v>
      </c>
      <c r="K1290" s="30">
        <v>6.4</v>
      </c>
      <c r="L1290" s="30">
        <v>89.6</v>
      </c>
      <c r="M1290" s="30">
        <v>1160.0</v>
      </c>
      <c r="N1290" s="30">
        <v>1160.0</v>
      </c>
      <c r="O1290" s="30">
        <v>0.0</v>
      </c>
      <c r="P1290" s="30">
        <v>0.0</v>
      </c>
      <c r="Q1290" s="30">
        <v>150.4</v>
      </c>
    </row>
    <row r="1291">
      <c r="A1291" s="47">
        <v>1.1217195607E10</v>
      </c>
      <c r="B1291" s="48">
        <v>46151.779027777775</v>
      </c>
      <c r="C1291" s="30">
        <v>3.833651805E9</v>
      </c>
      <c r="D1291" s="47" t="s">
        <v>1511</v>
      </c>
      <c r="E1291" s="47" t="s">
        <v>537</v>
      </c>
      <c r="F1291" s="47" t="s">
        <v>1523</v>
      </c>
      <c r="G1291" s="47" t="s">
        <v>1575</v>
      </c>
      <c r="H1291" s="30">
        <v>1.0</v>
      </c>
      <c r="I1291" s="30">
        <v>1482.0</v>
      </c>
      <c r="J1291" s="30">
        <v>1482.0</v>
      </c>
      <c r="K1291" s="30">
        <v>12.5</v>
      </c>
      <c r="L1291" s="30">
        <v>185.25</v>
      </c>
      <c r="M1291" s="30">
        <v>1053.0</v>
      </c>
      <c r="N1291" s="30">
        <v>1053.0</v>
      </c>
      <c r="O1291" s="30">
        <v>0.0</v>
      </c>
      <c r="P1291" s="30">
        <v>0.0</v>
      </c>
      <c r="Q1291" s="30">
        <v>243.75</v>
      </c>
    </row>
    <row r="1292">
      <c r="A1292" s="47">
        <v>1.1138116908E10</v>
      </c>
      <c r="B1292" s="48">
        <v>46125.93732638889</v>
      </c>
      <c r="C1292" s="30">
        <v>3.765158965E9</v>
      </c>
      <c r="D1292" s="47" t="s">
        <v>1509</v>
      </c>
      <c r="E1292" s="47">
        <v>6.38929373773889E14</v>
      </c>
      <c r="F1292" s="47" t="s">
        <v>1523</v>
      </c>
      <c r="G1292" s="47" t="s">
        <v>1609</v>
      </c>
      <c r="H1292" s="30">
        <v>1.0</v>
      </c>
      <c r="I1292" s="30">
        <v>617.0</v>
      </c>
      <c r="J1292" s="30">
        <v>617.0</v>
      </c>
      <c r="K1292" s="30">
        <v>5.6</v>
      </c>
      <c r="L1292" s="30">
        <v>34.552</v>
      </c>
      <c r="M1292" s="30">
        <v>480.0</v>
      </c>
      <c r="N1292" s="30">
        <v>480.0</v>
      </c>
      <c r="O1292" s="30">
        <v>0.0</v>
      </c>
      <c r="P1292" s="30">
        <v>0.0</v>
      </c>
      <c r="Q1292" s="30">
        <v>102.44800000000001</v>
      </c>
    </row>
    <row r="1293">
      <c r="A1293" s="47">
        <v>1.1207530289E10</v>
      </c>
      <c r="B1293" s="48">
        <v>46149.02909722222</v>
      </c>
      <c r="C1293" s="30">
        <v>3.82446824E9</v>
      </c>
      <c r="D1293" s="47" t="s">
        <v>1509</v>
      </c>
      <c r="E1293" s="47">
        <v>3.182550721745E12</v>
      </c>
      <c r="F1293" s="47" t="s">
        <v>1523</v>
      </c>
      <c r="G1293" s="47" t="s">
        <v>1605</v>
      </c>
      <c r="H1293" s="30">
        <v>1.0</v>
      </c>
      <c r="I1293" s="30">
        <v>2635.0</v>
      </c>
      <c r="J1293" s="30">
        <v>2635.0</v>
      </c>
      <c r="K1293" s="30">
        <v>6.4</v>
      </c>
      <c r="L1293" s="30">
        <v>168.64</v>
      </c>
      <c r="M1293" s="30">
        <v>2000.0</v>
      </c>
      <c r="N1293" s="30">
        <v>2000.0</v>
      </c>
      <c r="O1293" s="30">
        <v>0.0</v>
      </c>
      <c r="P1293" s="30">
        <v>0.0</v>
      </c>
      <c r="Q1293" s="30">
        <v>466.36</v>
      </c>
    </row>
    <row r="1294">
      <c r="A1294" s="47">
        <v>1.1203235934E10</v>
      </c>
      <c r="B1294" s="48">
        <v>46147.98087962963</v>
      </c>
      <c r="C1294" s="30">
        <v>3.820282505E9</v>
      </c>
      <c r="D1294" s="47" t="s">
        <v>1509</v>
      </c>
      <c r="E1294" s="47">
        <v>8.410650239156E12</v>
      </c>
      <c r="F1294" s="47" t="s">
        <v>1523</v>
      </c>
      <c r="G1294" s="47" t="s">
        <v>1530</v>
      </c>
      <c r="H1294" s="30">
        <v>1.0</v>
      </c>
      <c r="I1294" s="30">
        <v>1720.0</v>
      </c>
      <c r="J1294" s="30">
        <v>1720.0</v>
      </c>
      <c r="K1294" s="30">
        <v>16.5</v>
      </c>
      <c r="L1294" s="30">
        <v>283.8</v>
      </c>
      <c r="M1294" s="30">
        <v>1260.0</v>
      </c>
      <c r="N1294" s="30">
        <v>1260.0</v>
      </c>
      <c r="O1294" s="30">
        <v>0.0</v>
      </c>
      <c r="P1294" s="30">
        <v>0.0</v>
      </c>
      <c r="Q1294" s="30">
        <v>176.2</v>
      </c>
    </row>
    <row r="1295">
      <c r="A1295" s="47">
        <v>1.1209872076E10</v>
      </c>
      <c r="B1295" s="48">
        <v>46149.758993055555</v>
      </c>
      <c r="C1295" s="30">
        <v>3.826859094E9</v>
      </c>
      <c r="D1295" s="47" t="s">
        <v>1509</v>
      </c>
      <c r="E1295" s="47">
        <v>7.613033560064E12</v>
      </c>
      <c r="F1295" s="47" t="s">
        <v>1523</v>
      </c>
      <c r="G1295" s="47" t="s">
        <v>1527</v>
      </c>
      <c r="H1295" s="30">
        <v>1.0</v>
      </c>
      <c r="I1295" s="30">
        <v>1599.0</v>
      </c>
      <c r="J1295" s="30">
        <v>1599.0</v>
      </c>
      <c r="K1295" s="30">
        <v>12.5</v>
      </c>
      <c r="L1295" s="30">
        <v>199.875</v>
      </c>
      <c r="M1295" s="30">
        <v>1190.0</v>
      </c>
      <c r="N1295" s="30">
        <v>1190.0</v>
      </c>
      <c r="O1295" s="30">
        <v>0.0</v>
      </c>
      <c r="P1295" s="30">
        <v>0.0</v>
      </c>
      <c r="Q1295" s="30">
        <v>209.125</v>
      </c>
    </row>
    <row r="1296">
      <c r="A1296" s="47">
        <v>1.1207155193E10</v>
      </c>
      <c r="B1296" s="48">
        <v>46148.97284722222</v>
      </c>
      <c r="C1296" s="30">
        <v>3.824112399E9</v>
      </c>
      <c r="D1296" s="47" t="s">
        <v>1509</v>
      </c>
      <c r="E1296" s="47">
        <v>3.182550721738E12</v>
      </c>
      <c r="F1296" s="47" t="s">
        <v>1523</v>
      </c>
      <c r="G1296" s="47" t="s">
        <v>1526</v>
      </c>
      <c r="H1296" s="30">
        <v>1.0</v>
      </c>
      <c r="I1296" s="30">
        <v>1554.0</v>
      </c>
      <c r="J1296" s="30">
        <v>1554.0</v>
      </c>
      <c r="K1296" s="30">
        <v>6.4</v>
      </c>
      <c r="L1296" s="30">
        <v>99.456</v>
      </c>
      <c r="M1296" s="30">
        <v>1210.0</v>
      </c>
      <c r="N1296" s="30">
        <v>1210.0</v>
      </c>
      <c r="O1296" s="30">
        <v>0.0</v>
      </c>
      <c r="P1296" s="30">
        <v>0.0</v>
      </c>
      <c r="Q1296" s="30">
        <v>244.54399999999998</v>
      </c>
    </row>
    <row r="1297">
      <c r="A1297" s="47">
        <v>1.1210286176E10</v>
      </c>
      <c r="B1297" s="48">
        <v>46149.83652777778</v>
      </c>
      <c r="C1297" s="30">
        <v>3.827240547E9</v>
      </c>
      <c r="D1297" s="47" t="s">
        <v>1509</v>
      </c>
      <c r="E1297" s="47">
        <v>8.684501941837E12</v>
      </c>
      <c r="F1297" s="47" t="s">
        <v>289</v>
      </c>
      <c r="G1297" s="47" t="s">
        <v>1543</v>
      </c>
      <c r="H1297" s="30">
        <v>1.0</v>
      </c>
      <c r="I1297" s="30">
        <v>349.99</v>
      </c>
      <c r="J1297" s="30">
        <v>349.99</v>
      </c>
      <c r="K1297" s="30">
        <v>20.0</v>
      </c>
      <c r="L1297" s="30">
        <v>69.998</v>
      </c>
      <c r="M1297" s="30">
        <v>53.0</v>
      </c>
      <c r="N1297" s="30">
        <v>53.0</v>
      </c>
      <c r="O1297" s="30">
        <v>0.0</v>
      </c>
      <c r="P1297" s="30">
        <v>0.0</v>
      </c>
      <c r="Q1297" s="30">
        <v>226.99200000000002</v>
      </c>
    </row>
    <row r="1298">
      <c r="A1298" s="47">
        <v>1.1212500404E10</v>
      </c>
      <c r="B1298" s="48">
        <v>46150.53283564815</v>
      </c>
      <c r="C1298" s="30">
        <v>3.82937434E9</v>
      </c>
      <c r="D1298" s="47" t="s">
        <v>1509</v>
      </c>
      <c r="E1298" s="47">
        <v>8.010276035097E12</v>
      </c>
      <c r="F1298" s="47" t="s">
        <v>1523</v>
      </c>
      <c r="G1298" s="47" t="s">
        <v>1617</v>
      </c>
      <c r="H1298" s="30">
        <v>1.0</v>
      </c>
      <c r="I1298" s="30">
        <v>2785.0</v>
      </c>
      <c r="J1298" s="30">
        <v>2785.0</v>
      </c>
      <c r="K1298" s="30">
        <v>16.5</v>
      </c>
      <c r="L1298" s="30">
        <v>459.525</v>
      </c>
      <c r="M1298" s="30">
        <v>2043.0</v>
      </c>
      <c r="N1298" s="30">
        <v>2043.0</v>
      </c>
      <c r="O1298" s="30">
        <v>0.0</v>
      </c>
      <c r="P1298" s="30">
        <v>0.0</v>
      </c>
      <c r="Q1298" s="30">
        <v>282.475</v>
      </c>
    </row>
    <row r="1299">
      <c r="A1299" s="47">
        <v>1.1205626758E10</v>
      </c>
      <c r="B1299" s="48">
        <v>46148.71165509259</v>
      </c>
      <c r="C1299" s="30">
        <v>3.822735317E9</v>
      </c>
      <c r="D1299" s="47" t="s">
        <v>1509</v>
      </c>
      <c r="E1299" s="47">
        <v>3.182550721738E12</v>
      </c>
      <c r="F1299" s="47" t="s">
        <v>1523</v>
      </c>
      <c r="G1299" s="47" t="s">
        <v>1526</v>
      </c>
      <c r="H1299" s="30">
        <v>1.0</v>
      </c>
      <c r="I1299" s="30">
        <v>1554.0</v>
      </c>
      <c r="J1299" s="30">
        <v>1554.0</v>
      </c>
      <c r="K1299" s="30">
        <v>6.4</v>
      </c>
      <c r="L1299" s="30">
        <v>99.456</v>
      </c>
      <c r="M1299" s="30">
        <v>1210.0</v>
      </c>
      <c r="N1299" s="30">
        <v>1210.0</v>
      </c>
      <c r="O1299" s="30">
        <v>0.0</v>
      </c>
      <c r="P1299" s="30">
        <v>0.0</v>
      </c>
      <c r="Q1299" s="30">
        <v>244.54399999999998</v>
      </c>
    </row>
    <row r="1300">
      <c r="A1300" s="47">
        <v>1.121235451E10</v>
      </c>
      <c r="B1300" s="48">
        <v>46150.47280092593</v>
      </c>
      <c r="C1300" s="30">
        <v>3.829213065E9</v>
      </c>
      <c r="D1300" s="47" t="s">
        <v>1509</v>
      </c>
      <c r="E1300" s="47" t="s">
        <v>537</v>
      </c>
      <c r="F1300" s="47" t="s">
        <v>1523</v>
      </c>
      <c r="G1300" s="47" t="s">
        <v>1575</v>
      </c>
      <c r="H1300" s="30">
        <v>1.0</v>
      </c>
      <c r="I1300" s="30">
        <v>1482.0</v>
      </c>
      <c r="J1300" s="30">
        <v>1482.0</v>
      </c>
      <c r="K1300" s="30">
        <v>12.5</v>
      </c>
      <c r="L1300" s="30">
        <v>185.25</v>
      </c>
      <c r="M1300" s="30">
        <v>1053.0</v>
      </c>
      <c r="N1300" s="30">
        <v>1053.0</v>
      </c>
      <c r="O1300" s="30">
        <v>0.0</v>
      </c>
      <c r="P1300" s="30">
        <v>0.0</v>
      </c>
      <c r="Q1300" s="30">
        <v>243.75</v>
      </c>
    </row>
    <row r="1301">
      <c r="A1301" s="47">
        <v>1.1190012237E10</v>
      </c>
      <c r="B1301" s="48">
        <v>46143.8347337963</v>
      </c>
      <c r="C1301" s="30">
        <v>3.808910958E9</v>
      </c>
      <c r="D1301" s="47" t="s">
        <v>1509</v>
      </c>
      <c r="E1301" s="47" t="s">
        <v>409</v>
      </c>
      <c r="F1301" s="47" t="s">
        <v>1523</v>
      </c>
      <c r="G1301" s="47" t="s">
        <v>1579</v>
      </c>
      <c r="H1301" s="30">
        <v>1.0</v>
      </c>
      <c r="I1301" s="30">
        <v>1099.0</v>
      </c>
      <c r="J1301" s="30">
        <v>1099.0</v>
      </c>
      <c r="K1301" s="30">
        <v>13.5</v>
      </c>
      <c r="L1301" s="30">
        <v>148.365</v>
      </c>
      <c r="M1301" s="30">
        <v>780.0</v>
      </c>
      <c r="N1301" s="30">
        <v>780.0</v>
      </c>
      <c r="O1301" s="30">
        <v>0.0</v>
      </c>
      <c r="P1301" s="30">
        <v>0.0</v>
      </c>
      <c r="Q1301" s="30">
        <v>170.635</v>
      </c>
    </row>
    <row r="1302">
      <c r="A1302" s="47">
        <v>1.1206327618E10</v>
      </c>
      <c r="B1302" s="48">
        <v>46148.83574074074</v>
      </c>
      <c r="C1302" s="30">
        <v>3.823403159E9</v>
      </c>
      <c r="D1302" s="47" t="s">
        <v>1509</v>
      </c>
      <c r="E1302" s="47">
        <v>8.010276042125E12</v>
      </c>
      <c r="F1302" s="47" t="s">
        <v>1523</v>
      </c>
      <c r="G1302" s="47" t="s">
        <v>1618</v>
      </c>
      <c r="H1302" s="30">
        <v>1.0</v>
      </c>
      <c r="I1302" s="30">
        <v>1049.0</v>
      </c>
      <c r="J1302" s="30">
        <v>1049.0</v>
      </c>
      <c r="K1302" s="30">
        <v>16.5</v>
      </c>
      <c r="L1302" s="30">
        <v>173.085</v>
      </c>
      <c r="M1302" s="30">
        <v>713.0</v>
      </c>
      <c r="N1302" s="30">
        <v>713.0</v>
      </c>
      <c r="O1302" s="30">
        <v>0.0</v>
      </c>
      <c r="P1302" s="30">
        <v>0.0</v>
      </c>
      <c r="Q1302" s="30">
        <v>162.915</v>
      </c>
    </row>
    <row r="1303">
      <c r="A1303" s="47">
        <v>1.1209184064E10</v>
      </c>
      <c r="B1303" s="48">
        <v>46149.63511574074</v>
      </c>
      <c r="C1303" s="30">
        <v>3.826229847E9</v>
      </c>
      <c r="D1303" s="47" t="s">
        <v>1509</v>
      </c>
      <c r="E1303" s="47">
        <v>8.410650218663E12</v>
      </c>
      <c r="F1303" s="47" t="s">
        <v>1523</v>
      </c>
      <c r="G1303" s="47" t="s">
        <v>1542</v>
      </c>
      <c r="H1303" s="30">
        <v>1.0</v>
      </c>
      <c r="I1303" s="30">
        <v>4430.0</v>
      </c>
      <c r="J1303" s="30">
        <v>4430.0</v>
      </c>
      <c r="K1303" s="30">
        <v>16.5</v>
      </c>
      <c r="L1303" s="30">
        <v>730.95</v>
      </c>
      <c r="M1303" s="30">
        <v>3556.0</v>
      </c>
      <c r="N1303" s="30">
        <v>3556.0</v>
      </c>
      <c r="O1303" s="30">
        <v>0.0</v>
      </c>
      <c r="P1303" s="30">
        <v>0.0</v>
      </c>
      <c r="Q1303" s="30">
        <v>143.04999999999995</v>
      </c>
    </row>
    <row r="1304">
      <c r="A1304" s="47">
        <v>1.1208878214E10</v>
      </c>
      <c r="B1304" s="48">
        <v>46149.57625</v>
      </c>
      <c r="C1304" s="30">
        <v>3.825943954E9</v>
      </c>
      <c r="D1304" s="47" t="s">
        <v>1509</v>
      </c>
      <c r="E1304" s="47" t="s">
        <v>650</v>
      </c>
      <c r="F1304" s="47" t="s">
        <v>1523</v>
      </c>
      <c r="G1304" s="47" t="s">
        <v>1597</v>
      </c>
      <c r="H1304" s="30">
        <v>1.0</v>
      </c>
      <c r="I1304" s="30">
        <v>850.0</v>
      </c>
      <c r="J1304" s="30">
        <v>850.0</v>
      </c>
      <c r="K1304" s="30">
        <v>13.5</v>
      </c>
      <c r="L1304" s="30">
        <v>114.75</v>
      </c>
      <c r="M1304" s="30">
        <v>100.0</v>
      </c>
      <c r="N1304" s="30">
        <v>100.0</v>
      </c>
      <c r="O1304" s="30">
        <v>0.0</v>
      </c>
      <c r="P1304" s="30">
        <v>0.0</v>
      </c>
      <c r="Q1304" s="30">
        <v>635.25</v>
      </c>
    </row>
    <row r="1305">
      <c r="A1305" s="47">
        <v>1.1202885623E10</v>
      </c>
      <c r="B1305" s="48">
        <v>46147.92358796296</v>
      </c>
      <c r="C1305" s="30">
        <v>3.819990075E9</v>
      </c>
      <c r="D1305" s="47" t="s">
        <v>1509</v>
      </c>
      <c r="E1305" s="47">
        <v>7.613033560033E12</v>
      </c>
      <c r="F1305" s="47">
        <v>0.0</v>
      </c>
      <c r="G1305" s="47" t="s">
        <v>1539</v>
      </c>
      <c r="H1305" s="30">
        <v>1.0</v>
      </c>
      <c r="I1305" s="30">
        <v>1462.0</v>
      </c>
      <c r="J1305" s="30">
        <v>1462.0</v>
      </c>
      <c r="K1305" s="30">
        <v>8.7</v>
      </c>
      <c r="L1305" s="30">
        <v>127.194</v>
      </c>
      <c r="M1305" s="30">
        <v>1165.0</v>
      </c>
      <c r="N1305" s="30">
        <v>1165.0</v>
      </c>
      <c r="O1305" s="30">
        <v>0.0</v>
      </c>
      <c r="P1305" s="30">
        <v>0.0</v>
      </c>
      <c r="Q1305" s="30">
        <v>169.80599999999998</v>
      </c>
    </row>
    <row r="1306">
      <c r="A1306" s="47">
        <v>1.1212429006E10</v>
      </c>
      <c r="B1306" s="48">
        <v>46150.50894675926</v>
      </c>
      <c r="C1306" s="30">
        <v>3.829310847E9</v>
      </c>
      <c r="D1306" s="47" t="s">
        <v>1509</v>
      </c>
      <c r="E1306" s="47">
        <v>3.182550793032E12</v>
      </c>
      <c r="F1306" s="47" t="s">
        <v>1523</v>
      </c>
      <c r="G1306" s="47" t="s">
        <v>1614</v>
      </c>
      <c r="H1306" s="30">
        <v>1.0</v>
      </c>
      <c r="I1306" s="30">
        <v>1700.0</v>
      </c>
      <c r="J1306" s="30">
        <v>1700.0</v>
      </c>
      <c r="K1306" s="30">
        <v>12.5</v>
      </c>
      <c r="L1306" s="30">
        <v>212.5</v>
      </c>
      <c r="M1306" s="30">
        <v>1260.0</v>
      </c>
      <c r="N1306" s="30">
        <v>1260.0</v>
      </c>
      <c r="O1306" s="30">
        <v>0.0</v>
      </c>
      <c r="P1306" s="30">
        <v>0.0</v>
      </c>
      <c r="Q1306" s="30">
        <v>227.5</v>
      </c>
    </row>
    <row r="1307">
      <c r="A1307" s="47">
        <v>1.1206164799E10</v>
      </c>
      <c r="B1307" s="48">
        <v>46148.80755787037</v>
      </c>
      <c r="C1307" s="30">
        <v>3.823248048E9</v>
      </c>
      <c r="D1307" s="47" t="s">
        <v>1509</v>
      </c>
      <c r="E1307" s="47">
        <v>8.010276042125E12</v>
      </c>
      <c r="F1307" s="47" t="s">
        <v>1523</v>
      </c>
      <c r="G1307" s="47" t="s">
        <v>1618</v>
      </c>
      <c r="H1307" s="30">
        <v>1.0</v>
      </c>
      <c r="I1307" s="30">
        <v>1049.0</v>
      </c>
      <c r="J1307" s="30">
        <v>1049.0</v>
      </c>
      <c r="K1307" s="30">
        <v>16.5</v>
      </c>
      <c r="L1307" s="30">
        <v>173.085</v>
      </c>
      <c r="M1307" s="30">
        <v>713.0</v>
      </c>
      <c r="N1307" s="30">
        <v>713.0</v>
      </c>
      <c r="O1307" s="30">
        <v>0.0</v>
      </c>
      <c r="P1307" s="30">
        <v>0.0</v>
      </c>
      <c r="Q1307" s="30">
        <v>162.915</v>
      </c>
    </row>
    <row r="1308">
      <c r="A1308" s="47">
        <v>1.1212414078E10</v>
      </c>
      <c r="B1308" s="48">
        <v>46150.50344907407</v>
      </c>
      <c r="C1308" s="30">
        <v>3.829280343E9</v>
      </c>
      <c r="D1308" s="47" t="s">
        <v>1509</v>
      </c>
      <c r="E1308" s="47">
        <v>8.005852171115E12</v>
      </c>
      <c r="F1308" s="47" t="s">
        <v>1523</v>
      </c>
      <c r="G1308" s="47" t="s">
        <v>1602</v>
      </c>
      <c r="H1308" s="30">
        <v>1.0</v>
      </c>
      <c r="I1308" s="30">
        <v>160.0</v>
      </c>
      <c r="J1308" s="30">
        <v>160.0</v>
      </c>
      <c r="K1308" s="30">
        <v>16.5</v>
      </c>
      <c r="L1308" s="30">
        <v>26.4</v>
      </c>
      <c r="M1308" s="30">
        <v>0.0</v>
      </c>
      <c r="N1308" s="30">
        <v>0.0</v>
      </c>
      <c r="O1308" s="30">
        <v>0.0</v>
      </c>
      <c r="P1308" s="30">
        <v>0.0</v>
      </c>
      <c r="Q1308" s="30">
        <v>133.6</v>
      </c>
    </row>
    <row r="1309">
      <c r="A1309" s="47">
        <v>1.119216443E10</v>
      </c>
      <c r="B1309" s="48">
        <v>46144.676712962966</v>
      </c>
      <c r="C1309" s="30">
        <v>3.810687238E9</v>
      </c>
      <c r="D1309" s="47" t="s">
        <v>1509</v>
      </c>
      <c r="E1309" s="47">
        <v>4.0004872260361E15</v>
      </c>
      <c r="F1309" s="47" t="s">
        <v>1523</v>
      </c>
      <c r="G1309" s="47" t="s">
        <v>1619</v>
      </c>
      <c r="H1309" s="30">
        <v>1.0</v>
      </c>
      <c r="I1309" s="30">
        <v>2075.0</v>
      </c>
      <c r="J1309" s="30">
        <v>2075.0</v>
      </c>
      <c r="K1309" s="30">
        <v>16.5</v>
      </c>
      <c r="L1309" s="30">
        <v>342.375</v>
      </c>
      <c r="M1309" s="30">
        <v>1500.0</v>
      </c>
      <c r="N1309" s="30">
        <v>1500.0</v>
      </c>
      <c r="O1309" s="30">
        <v>0.0</v>
      </c>
      <c r="P1309" s="30">
        <v>0.0</v>
      </c>
      <c r="Q1309" s="30">
        <v>232.625</v>
      </c>
    </row>
    <row r="1310">
      <c r="A1310" s="47">
        <v>1.1212433656E10</v>
      </c>
      <c r="B1310" s="48">
        <v>46150.51063657407</v>
      </c>
      <c r="C1310" s="30">
        <v>3.829300545E9</v>
      </c>
      <c r="D1310" s="47" t="s">
        <v>1509</v>
      </c>
      <c r="E1310" s="47">
        <v>7.613035846708E12</v>
      </c>
      <c r="F1310" s="47" t="s">
        <v>1523</v>
      </c>
      <c r="G1310" s="47" t="s">
        <v>1535</v>
      </c>
      <c r="H1310" s="30">
        <v>1.0</v>
      </c>
      <c r="I1310" s="30">
        <v>1400.0</v>
      </c>
      <c r="J1310" s="30">
        <v>1400.0</v>
      </c>
      <c r="K1310" s="30">
        <v>6.4</v>
      </c>
      <c r="L1310" s="30">
        <v>89.6</v>
      </c>
      <c r="M1310" s="30">
        <v>1160.0</v>
      </c>
      <c r="N1310" s="30">
        <v>1160.0</v>
      </c>
      <c r="O1310" s="30">
        <v>0.0</v>
      </c>
      <c r="P1310" s="30">
        <v>0.0</v>
      </c>
      <c r="Q1310" s="30">
        <v>150.4</v>
      </c>
    </row>
    <row r="1311">
      <c r="A1311" s="47">
        <v>1.1212430512E10</v>
      </c>
      <c r="B1311" s="48">
        <v>46150.50950231482</v>
      </c>
      <c r="C1311" s="30">
        <v>3.829298872E9</v>
      </c>
      <c r="D1311" s="47" t="s">
        <v>1509</v>
      </c>
      <c r="E1311" s="47">
        <v>8.010276030481E12</v>
      </c>
      <c r="F1311" s="47" t="s">
        <v>1523</v>
      </c>
      <c r="G1311" s="47" t="s">
        <v>1620</v>
      </c>
      <c r="H1311" s="30">
        <v>1.0</v>
      </c>
      <c r="I1311" s="30">
        <v>1124.0</v>
      </c>
      <c r="J1311" s="30">
        <v>1124.0</v>
      </c>
      <c r="K1311" s="30">
        <v>16.5</v>
      </c>
      <c r="L1311" s="30">
        <v>185.46</v>
      </c>
      <c r="M1311" s="30">
        <v>824.0</v>
      </c>
      <c r="N1311" s="30">
        <v>824.0</v>
      </c>
      <c r="O1311" s="30">
        <v>0.0</v>
      </c>
      <c r="P1311" s="30">
        <v>0.0</v>
      </c>
      <c r="Q1311" s="30">
        <v>114.53999999999999</v>
      </c>
    </row>
    <row r="1312">
      <c r="A1312" s="47">
        <v>1.1212673181E10</v>
      </c>
      <c r="B1312" s="48">
        <v>46150.5799537037</v>
      </c>
      <c r="C1312" s="30">
        <v>3.829561847E9</v>
      </c>
      <c r="D1312" s="47" t="s">
        <v>1509</v>
      </c>
      <c r="E1312" s="47">
        <v>3.182550721745E12</v>
      </c>
      <c r="F1312" s="47" t="s">
        <v>1523</v>
      </c>
      <c r="G1312" s="47" t="s">
        <v>1605</v>
      </c>
      <c r="H1312" s="30">
        <v>1.0</v>
      </c>
      <c r="I1312" s="30">
        <v>2627.0</v>
      </c>
      <c r="J1312" s="30">
        <v>2627.0</v>
      </c>
      <c r="K1312" s="30">
        <v>6.4</v>
      </c>
      <c r="L1312" s="30">
        <v>168.128</v>
      </c>
      <c r="M1312" s="30">
        <v>2000.0</v>
      </c>
      <c r="N1312" s="30">
        <v>2000.0</v>
      </c>
      <c r="O1312" s="30">
        <v>0.0</v>
      </c>
      <c r="P1312" s="30">
        <v>0.0</v>
      </c>
      <c r="Q1312" s="30">
        <v>458.872</v>
      </c>
    </row>
    <row r="1313">
      <c r="A1313" s="47">
        <v>1.1212130609E10</v>
      </c>
      <c r="B1313" s="48">
        <v>46150.17538194444</v>
      </c>
      <c r="C1313" s="30">
        <v>3.828956197E9</v>
      </c>
      <c r="D1313" s="47" t="s">
        <v>1509</v>
      </c>
      <c r="E1313" s="47">
        <v>8.010276042132E12</v>
      </c>
      <c r="F1313" s="47" t="s">
        <v>1523</v>
      </c>
      <c r="G1313" s="47" t="s">
        <v>1603</v>
      </c>
      <c r="H1313" s="30">
        <v>1.0</v>
      </c>
      <c r="I1313" s="30">
        <v>2170.96</v>
      </c>
      <c r="J1313" s="30">
        <v>2170.96</v>
      </c>
      <c r="K1313" s="30">
        <v>12.5</v>
      </c>
      <c r="L1313" s="30">
        <v>271.37</v>
      </c>
      <c r="M1313" s="30">
        <v>1680.0</v>
      </c>
      <c r="N1313" s="30">
        <v>1680.0</v>
      </c>
      <c r="O1313" s="30">
        <v>0.0</v>
      </c>
      <c r="P1313" s="30">
        <v>0.0</v>
      </c>
      <c r="Q1313" s="30">
        <v>219.59000000000003</v>
      </c>
    </row>
    <row r="1314">
      <c r="A1314" s="47">
        <v>1.1203114621E10</v>
      </c>
      <c r="B1314" s="48">
        <v>46147.96099537037</v>
      </c>
      <c r="C1314" s="30">
        <v>3.820176149E9</v>
      </c>
      <c r="D1314" s="47" t="s">
        <v>1509</v>
      </c>
      <c r="E1314" s="47" t="s">
        <v>336</v>
      </c>
      <c r="F1314" s="47" t="s">
        <v>1523</v>
      </c>
      <c r="G1314" s="47" t="s">
        <v>1612</v>
      </c>
      <c r="H1314" s="30">
        <v>1.0</v>
      </c>
      <c r="I1314" s="30">
        <v>1325.0</v>
      </c>
      <c r="J1314" s="30">
        <v>1325.0</v>
      </c>
      <c r="K1314" s="30">
        <v>12.5</v>
      </c>
      <c r="L1314" s="30">
        <v>165.625</v>
      </c>
      <c r="M1314" s="30">
        <v>999.6</v>
      </c>
      <c r="N1314" s="30">
        <v>999.6</v>
      </c>
      <c r="O1314" s="30">
        <v>0.0</v>
      </c>
      <c r="P1314" s="30">
        <v>0.0</v>
      </c>
      <c r="Q1314" s="30">
        <v>159.77499999999998</v>
      </c>
    </row>
    <row r="1315">
      <c r="A1315" s="47">
        <v>1.1212497778E10</v>
      </c>
      <c r="B1315" s="48">
        <v>46150.53196759259</v>
      </c>
      <c r="C1315" s="30">
        <v>3.829371995E9</v>
      </c>
      <c r="D1315" s="47" t="s">
        <v>1509</v>
      </c>
      <c r="E1315" s="47" t="s">
        <v>411</v>
      </c>
      <c r="F1315" s="47" t="s">
        <v>1523</v>
      </c>
      <c r="G1315" s="47" t="s">
        <v>1531</v>
      </c>
      <c r="H1315" s="30">
        <v>3.0</v>
      </c>
      <c r="I1315" s="30">
        <v>843.0</v>
      </c>
      <c r="J1315" s="30">
        <v>2529.0</v>
      </c>
      <c r="K1315" s="30">
        <v>13.5</v>
      </c>
      <c r="L1315" s="30">
        <v>341.415</v>
      </c>
      <c r="M1315" s="30">
        <v>580.0</v>
      </c>
      <c r="N1315" s="30">
        <v>1740.0</v>
      </c>
      <c r="O1315" s="30">
        <v>0.0</v>
      </c>
      <c r="P1315" s="30">
        <v>0.0</v>
      </c>
      <c r="Q1315" s="30">
        <v>447.585</v>
      </c>
    </row>
    <row r="1316">
      <c r="A1316" s="47">
        <v>1.1195268386E10</v>
      </c>
      <c r="B1316" s="48">
        <v>46145.7484375</v>
      </c>
      <c r="C1316" s="30">
        <v>3.81317709E9</v>
      </c>
      <c r="D1316" s="47" t="s">
        <v>1509</v>
      </c>
      <c r="E1316" s="47" t="s">
        <v>537</v>
      </c>
      <c r="F1316" s="47" t="s">
        <v>1523</v>
      </c>
      <c r="G1316" s="47" t="s">
        <v>1575</v>
      </c>
      <c r="H1316" s="30">
        <v>1.0</v>
      </c>
      <c r="I1316" s="30">
        <v>1482.0</v>
      </c>
      <c r="J1316" s="30">
        <v>1482.0</v>
      </c>
      <c r="K1316" s="30">
        <v>12.5</v>
      </c>
      <c r="L1316" s="30">
        <v>185.25</v>
      </c>
      <c r="M1316" s="30">
        <v>1053.0</v>
      </c>
      <c r="N1316" s="30">
        <v>1053.0</v>
      </c>
      <c r="O1316" s="30">
        <v>0.0</v>
      </c>
      <c r="P1316" s="30">
        <v>0.0</v>
      </c>
      <c r="Q1316" s="30">
        <v>243.75</v>
      </c>
    </row>
    <row r="1317">
      <c r="A1317" s="47">
        <v>1.120690681E10</v>
      </c>
      <c r="B1317" s="48">
        <v>46148.9330787037</v>
      </c>
      <c r="C1317" s="30">
        <v>3.823896298E9</v>
      </c>
      <c r="D1317" s="47" t="s">
        <v>1509</v>
      </c>
      <c r="E1317" s="47" t="s">
        <v>143</v>
      </c>
      <c r="F1317" s="47" t="s">
        <v>1523</v>
      </c>
      <c r="G1317" s="47" t="s">
        <v>1545</v>
      </c>
      <c r="H1317" s="30">
        <v>1.0</v>
      </c>
      <c r="I1317" s="30">
        <v>319.0</v>
      </c>
      <c r="J1317" s="30">
        <v>319.0</v>
      </c>
      <c r="K1317" s="30">
        <v>16.5</v>
      </c>
      <c r="L1317" s="30">
        <v>52.635</v>
      </c>
      <c r="M1317" s="30">
        <v>180.0</v>
      </c>
      <c r="N1317" s="30">
        <v>180.0</v>
      </c>
      <c r="O1317" s="30">
        <v>0.0</v>
      </c>
      <c r="P1317" s="30">
        <v>0.0</v>
      </c>
      <c r="Q1317" s="30">
        <v>86.36500000000001</v>
      </c>
    </row>
    <row r="1318">
      <c r="A1318" s="47">
        <v>1.1206987371E10</v>
      </c>
      <c r="B1318" s="48">
        <v>46148.946238425924</v>
      </c>
      <c r="C1318" s="30">
        <v>3.823968218E9</v>
      </c>
      <c r="D1318" s="47" t="s">
        <v>1509</v>
      </c>
      <c r="E1318" s="47">
        <v>8.410650218663E12</v>
      </c>
      <c r="F1318" s="47" t="s">
        <v>1523</v>
      </c>
      <c r="G1318" s="47" t="s">
        <v>1542</v>
      </c>
      <c r="H1318" s="30">
        <v>1.0</v>
      </c>
      <c r="I1318" s="30">
        <v>4430.0</v>
      </c>
      <c r="J1318" s="30">
        <v>4430.0</v>
      </c>
      <c r="K1318" s="30">
        <v>16.5</v>
      </c>
      <c r="L1318" s="30">
        <v>730.95</v>
      </c>
      <c r="M1318" s="30">
        <v>3556.0</v>
      </c>
      <c r="N1318" s="30">
        <v>3556.0</v>
      </c>
      <c r="O1318" s="30">
        <v>0.0</v>
      </c>
      <c r="P1318" s="30">
        <v>0.0</v>
      </c>
      <c r="Q1318" s="30">
        <v>143.04999999999995</v>
      </c>
    </row>
    <row r="1319">
      <c r="A1319" s="47">
        <v>1.1212314997E10</v>
      </c>
      <c r="B1319" s="48">
        <v>46150.44013888889</v>
      </c>
      <c r="C1319" s="30">
        <v>3.829164353E9</v>
      </c>
      <c r="D1319" s="47" t="s">
        <v>1509</v>
      </c>
      <c r="E1319" s="47">
        <v>8.410650239156E12</v>
      </c>
      <c r="F1319" s="47" t="s">
        <v>1523</v>
      </c>
      <c r="G1319" s="47" t="s">
        <v>1530</v>
      </c>
      <c r="H1319" s="30">
        <v>1.0</v>
      </c>
      <c r="I1319" s="30">
        <v>1720.0</v>
      </c>
      <c r="J1319" s="30">
        <v>1720.0</v>
      </c>
      <c r="K1319" s="30">
        <v>16.5</v>
      </c>
      <c r="L1319" s="30">
        <v>283.8</v>
      </c>
      <c r="M1319" s="30">
        <v>1260.0</v>
      </c>
      <c r="N1319" s="30">
        <v>1260.0</v>
      </c>
      <c r="O1319" s="30">
        <v>0.0</v>
      </c>
      <c r="P1319" s="30">
        <v>0.0</v>
      </c>
      <c r="Q1319" s="30">
        <v>176.2</v>
      </c>
    </row>
    <row r="1320">
      <c r="A1320" s="47">
        <v>1.1210080369E10</v>
      </c>
      <c r="B1320" s="48">
        <v>46149.79813657407</v>
      </c>
      <c r="C1320" s="30">
        <v>3.827056171E9</v>
      </c>
      <c r="D1320" s="47" t="s">
        <v>1509</v>
      </c>
      <c r="E1320" s="47">
        <v>8.410650218663E12</v>
      </c>
      <c r="F1320" s="47" t="s">
        <v>1523</v>
      </c>
      <c r="G1320" s="47" t="s">
        <v>1542</v>
      </c>
      <c r="H1320" s="30">
        <v>1.0</v>
      </c>
      <c r="I1320" s="30">
        <v>4430.0</v>
      </c>
      <c r="J1320" s="30">
        <v>4430.0</v>
      </c>
      <c r="K1320" s="30">
        <v>16.5</v>
      </c>
      <c r="L1320" s="30">
        <v>730.95</v>
      </c>
      <c r="M1320" s="30">
        <v>3556.0</v>
      </c>
      <c r="N1320" s="30">
        <v>3556.0</v>
      </c>
      <c r="O1320" s="30">
        <v>0.0</v>
      </c>
      <c r="P1320" s="30">
        <v>0.0</v>
      </c>
      <c r="Q1320" s="30">
        <v>143.04999999999995</v>
      </c>
    </row>
    <row r="1321">
      <c r="A1321" s="47">
        <v>1.1206115451E10</v>
      </c>
      <c r="B1321" s="48">
        <v>46148.79858796296</v>
      </c>
      <c r="C1321" s="30">
        <v>3.823201535E9</v>
      </c>
      <c r="D1321" s="47" t="s">
        <v>1509</v>
      </c>
      <c r="E1321" s="47">
        <v>7.613035846708E12</v>
      </c>
      <c r="F1321" s="47" t="s">
        <v>1523</v>
      </c>
      <c r="G1321" s="47" t="s">
        <v>1535</v>
      </c>
      <c r="H1321" s="30">
        <v>1.0</v>
      </c>
      <c r="I1321" s="30">
        <v>1400.0</v>
      </c>
      <c r="J1321" s="30">
        <v>1400.0</v>
      </c>
      <c r="K1321" s="30">
        <v>6.4</v>
      </c>
      <c r="L1321" s="30">
        <v>89.6</v>
      </c>
      <c r="M1321" s="30">
        <v>1160.0</v>
      </c>
      <c r="N1321" s="30">
        <v>1160.0</v>
      </c>
      <c r="O1321" s="30">
        <v>0.0</v>
      </c>
      <c r="P1321" s="30">
        <v>0.0</v>
      </c>
      <c r="Q1321" s="30">
        <v>150.4</v>
      </c>
    </row>
    <row r="1322">
      <c r="A1322" s="47">
        <v>1.1210338424E10</v>
      </c>
      <c r="B1322" s="48">
        <v>46149.84627314815</v>
      </c>
      <c r="C1322" s="30">
        <v>3.827286077E9</v>
      </c>
      <c r="D1322" s="47" t="s">
        <v>1509</v>
      </c>
      <c r="E1322" s="47">
        <v>3.182550727822E12</v>
      </c>
      <c r="F1322" s="47" t="s">
        <v>1523</v>
      </c>
      <c r="G1322" s="47" t="s">
        <v>1592</v>
      </c>
      <c r="H1322" s="30">
        <v>1.0</v>
      </c>
      <c r="I1322" s="30">
        <v>1767.0</v>
      </c>
      <c r="J1322" s="30">
        <v>1767.0</v>
      </c>
      <c r="K1322" s="30">
        <v>12.5</v>
      </c>
      <c r="L1322" s="30">
        <v>220.875</v>
      </c>
      <c r="M1322" s="30">
        <v>1260.0</v>
      </c>
      <c r="N1322" s="30">
        <v>1260.0</v>
      </c>
      <c r="O1322" s="30">
        <v>0.0</v>
      </c>
      <c r="P1322" s="30">
        <v>0.0</v>
      </c>
      <c r="Q1322" s="30">
        <v>286.125</v>
      </c>
    </row>
    <row r="1323">
      <c r="A1323" s="47">
        <v>1.1211827227E10</v>
      </c>
      <c r="B1323" s="48">
        <v>46150.0987962963</v>
      </c>
      <c r="C1323" s="30">
        <v>3.828628793E9</v>
      </c>
      <c r="D1323" s="47" t="s">
        <v>1509</v>
      </c>
      <c r="E1323" s="47">
        <v>7.613035846708E12</v>
      </c>
      <c r="F1323" s="47" t="s">
        <v>1523</v>
      </c>
      <c r="G1323" s="47" t="s">
        <v>1535</v>
      </c>
      <c r="H1323" s="30">
        <v>1.0</v>
      </c>
      <c r="I1323" s="30">
        <v>1400.0</v>
      </c>
      <c r="J1323" s="30">
        <v>1400.0</v>
      </c>
      <c r="K1323" s="30">
        <v>6.4</v>
      </c>
      <c r="L1323" s="30">
        <v>89.6</v>
      </c>
      <c r="M1323" s="30">
        <v>1160.0</v>
      </c>
      <c r="N1323" s="30">
        <v>1160.0</v>
      </c>
      <c r="O1323" s="30">
        <v>0.0</v>
      </c>
      <c r="P1323" s="30">
        <v>0.0</v>
      </c>
      <c r="Q1323" s="30">
        <v>150.4</v>
      </c>
    </row>
    <row r="1324">
      <c r="A1324" s="47">
        <v>1.1212310526E10</v>
      </c>
      <c r="B1324" s="48">
        <v>46150.43540509259</v>
      </c>
      <c r="C1324" s="30">
        <v>3.829158462E9</v>
      </c>
      <c r="D1324" s="47" t="s">
        <v>1509</v>
      </c>
      <c r="E1324" s="47">
        <v>7.613035846708E12</v>
      </c>
      <c r="F1324" s="47" t="s">
        <v>1523</v>
      </c>
      <c r="G1324" s="47" t="s">
        <v>1535</v>
      </c>
      <c r="H1324" s="30">
        <v>1.0</v>
      </c>
      <c r="I1324" s="30">
        <v>1400.0</v>
      </c>
      <c r="J1324" s="30">
        <v>1400.0</v>
      </c>
      <c r="K1324" s="30">
        <v>6.4</v>
      </c>
      <c r="L1324" s="30">
        <v>89.6</v>
      </c>
      <c r="M1324" s="30">
        <v>1160.0</v>
      </c>
      <c r="N1324" s="30">
        <v>1160.0</v>
      </c>
      <c r="O1324" s="30">
        <v>0.0</v>
      </c>
      <c r="P1324" s="30">
        <v>0.0</v>
      </c>
      <c r="Q1324" s="30">
        <v>150.4</v>
      </c>
    </row>
    <row r="1325">
      <c r="A1325" s="47">
        <v>1.1209668006E10</v>
      </c>
      <c r="B1325" s="48">
        <v>46149.72006944445</v>
      </c>
      <c r="C1325" s="30">
        <v>3.826671747E9</v>
      </c>
      <c r="D1325" s="47" t="s">
        <v>1509</v>
      </c>
      <c r="E1325" s="47">
        <v>8.410650218663E12</v>
      </c>
      <c r="F1325" s="47" t="s">
        <v>1523</v>
      </c>
      <c r="G1325" s="47" t="s">
        <v>1542</v>
      </c>
      <c r="H1325" s="30">
        <v>1.0</v>
      </c>
      <c r="I1325" s="30">
        <v>4430.0</v>
      </c>
      <c r="J1325" s="30">
        <v>4430.0</v>
      </c>
      <c r="K1325" s="30">
        <v>16.5</v>
      </c>
      <c r="L1325" s="30">
        <v>730.95</v>
      </c>
      <c r="M1325" s="30">
        <v>3556.0</v>
      </c>
      <c r="N1325" s="30">
        <v>3556.0</v>
      </c>
      <c r="O1325" s="30">
        <v>0.0</v>
      </c>
      <c r="P1325" s="30">
        <v>0.0</v>
      </c>
      <c r="Q1325" s="30">
        <v>143.04999999999995</v>
      </c>
    </row>
    <row r="1326">
      <c r="A1326" s="47">
        <v>1.1198889093E10</v>
      </c>
      <c r="B1326" s="48">
        <v>46146.82982638889</v>
      </c>
      <c r="C1326" s="30">
        <v>3.816322546E9</v>
      </c>
      <c r="D1326" s="47" t="s">
        <v>1509</v>
      </c>
      <c r="E1326" s="47">
        <v>8.711231170357E12</v>
      </c>
      <c r="F1326" s="47" t="s">
        <v>1523</v>
      </c>
      <c r="G1326" s="47" t="s">
        <v>1621</v>
      </c>
      <c r="H1326" s="30">
        <v>3.0</v>
      </c>
      <c r="I1326" s="30">
        <v>149.0</v>
      </c>
      <c r="J1326" s="30">
        <v>447.0</v>
      </c>
      <c r="K1326" s="30">
        <v>20.0</v>
      </c>
      <c r="L1326" s="30">
        <v>89.4</v>
      </c>
      <c r="M1326" s="30">
        <v>0.0</v>
      </c>
      <c r="N1326" s="30">
        <v>0.0</v>
      </c>
      <c r="O1326" s="30">
        <v>0.0</v>
      </c>
      <c r="P1326" s="30">
        <v>0.0</v>
      </c>
      <c r="Q1326" s="30">
        <v>357.6</v>
      </c>
    </row>
    <row r="1327">
      <c r="A1327" s="47">
        <v>1.1210157188E10</v>
      </c>
      <c r="B1327" s="48">
        <v>46149.81297453704</v>
      </c>
      <c r="C1327" s="30">
        <v>3.827123999E9</v>
      </c>
      <c r="D1327" s="47" t="s">
        <v>1509</v>
      </c>
      <c r="E1327" s="47">
        <v>1.28022022E8</v>
      </c>
      <c r="F1327" s="47" t="s">
        <v>344</v>
      </c>
      <c r="G1327" s="47" t="s">
        <v>1608</v>
      </c>
      <c r="H1327" s="30">
        <v>1.0</v>
      </c>
      <c r="I1327" s="30">
        <v>1715.0</v>
      </c>
      <c r="J1327" s="30">
        <v>1715.0</v>
      </c>
      <c r="K1327" s="30">
        <v>12.5</v>
      </c>
      <c r="L1327" s="30">
        <v>214.375</v>
      </c>
      <c r="M1327" s="30">
        <v>1137.36</v>
      </c>
      <c r="N1327" s="30">
        <v>1137.36</v>
      </c>
      <c r="O1327" s="30">
        <v>0.0</v>
      </c>
      <c r="P1327" s="30">
        <v>0.0</v>
      </c>
      <c r="Q1327" s="30">
        <v>363.2650000000001</v>
      </c>
    </row>
    <row r="1328">
      <c r="A1328" s="47">
        <v>1.1205063264E10</v>
      </c>
      <c r="B1328" s="48">
        <v>46148.61394675926</v>
      </c>
      <c r="C1328" s="30">
        <v>3.822224493E9</v>
      </c>
      <c r="D1328" s="47" t="s">
        <v>1509</v>
      </c>
      <c r="E1328" s="47">
        <v>7.613033560033E12</v>
      </c>
      <c r="F1328" s="47">
        <v>0.0</v>
      </c>
      <c r="G1328" s="47" t="s">
        <v>1539</v>
      </c>
      <c r="H1328" s="30">
        <v>1.0</v>
      </c>
      <c r="I1328" s="30">
        <v>1430.0</v>
      </c>
      <c r="J1328" s="30">
        <v>1430.0</v>
      </c>
      <c r="K1328" s="30">
        <v>6.4</v>
      </c>
      <c r="L1328" s="30">
        <v>91.52</v>
      </c>
      <c r="M1328" s="30">
        <v>1165.0</v>
      </c>
      <c r="N1328" s="30">
        <v>1165.0</v>
      </c>
      <c r="O1328" s="30">
        <v>0.0</v>
      </c>
      <c r="P1328" s="30">
        <v>0.0</v>
      </c>
      <c r="Q1328" s="30">
        <v>173.48000000000002</v>
      </c>
    </row>
    <row r="1329">
      <c r="A1329" s="47">
        <v>1.1212358546E10</v>
      </c>
      <c r="B1329" s="48">
        <v>46150.475324074076</v>
      </c>
      <c r="C1329" s="30">
        <v>3.82921744E9</v>
      </c>
      <c r="D1329" s="47" t="s">
        <v>1509</v>
      </c>
      <c r="E1329" s="47">
        <v>7.613035846708E12</v>
      </c>
      <c r="F1329" s="47" t="s">
        <v>1523</v>
      </c>
      <c r="G1329" s="47" t="s">
        <v>1535</v>
      </c>
      <c r="H1329" s="30">
        <v>1.0</v>
      </c>
      <c r="I1329" s="30">
        <v>1400.0</v>
      </c>
      <c r="J1329" s="30">
        <v>1400.0</v>
      </c>
      <c r="K1329" s="30">
        <v>6.4</v>
      </c>
      <c r="L1329" s="30">
        <v>89.6</v>
      </c>
      <c r="M1329" s="30">
        <v>1160.0</v>
      </c>
      <c r="N1329" s="30">
        <v>1160.0</v>
      </c>
      <c r="O1329" s="30">
        <v>0.0</v>
      </c>
      <c r="P1329" s="30">
        <v>0.0</v>
      </c>
      <c r="Q1329" s="30">
        <v>150.4</v>
      </c>
    </row>
    <row r="1330">
      <c r="A1330" s="47">
        <v>1.1210793127E10</v>
      </c>
      <c r="B1330" s="48">
        <v>46149.92748842593</v>
      </c>
      <c r="C1330" s="30">
        <v>3.827651974E9</v>
      </c>
      <c r="D1330" s="47" t="s">
        <v>1509</v>
      </c>
      <c r="E1330" s="47">
        <v>7.613035846708E12</v>
      </c>
      <c r="F1330" s="47" t="s">
        <v>1523</v>
      </c>
      <c r="G1330" s="47" t="s">
        <v>1535</v>
      </c>
      <c r="H1330" s="30">
        <v>1.0</v>
      </c>
      <c r="I1330" s="30">
        <v>1400.0</v>
      </c>
      <c r="J1330" s="30">
        <v>1400.0</v>
      </c>
      <c r="K1330" s="30">
        <v>6.4</v>
      </c>
      <c r="L1330" s="30">
        <v>89.6</v>
      </c>
      <c r="M1330" s="30">
        <v>1160.0</v>
      </c>
      <c r="N1330" s="30">
        <v>1160.0</v>
      </c>
      <c r="O1330" s="30">
        <v>0.0</v>
      </c>
      <c r="P1330" s="30">
        <v>0.0</v>
      </c>
      <c r="Q1330" s="30">
        <v>150.4</v>
      </c>
    </row>
    <row r="1331">
      <c r="A1331" s="47">
        <v>1.1209498774E10</v>
      </c>
      <c r="B1331" s="48">
        <v>46149.69006944444</v>
      </c>
      <c r="C1331" s="30">
        <v>3.826516717E9</v>
      </c>
      <c r="D1331" s="47" t="s">
        <v>1509</v>
      </c>
      <c r="E1331" s="47">
        <v>8.410650218663E12</v>
      </c>
      <c r="F1331" s="47" t="s">
        <v>1523</v>
      </c>
      <c r="G1331" s="47" t="s">
        <v>1542</v>
      </c>
      <c r="H1331" s="30">
        <v>1.0</v>
      </c>
      <c r="I1331" s="30">
        <v>4430.0</v>
      </c>
      <c r="J1331" s="30">
        <v>4430.0</v>
      </c>
      <c r="K1331" s="30">
        <v>16.5</v>
      </c>
      <c r="L1331" s="30">
        <v>730.95</v>
      </c>
      <c r="M1331" s="30">
        <v>3556.0</v>
      </c>
      <c r="N1331" s="30">
        <v>3556.0</v>
      </c>
      <c r="O1331" s="30">
        <v>0.0</v>
      </c>
      <c r="P1331" s="30">
        <v>0.0</v>
      </c>
      <c r="Q1331" s="30">
        <v>143.04999999999995</v>
      </c>
    </row>
    <row r="1332">
      <c r="A1332" s="47">
        <v>1.1206269151E10</v>
      </c>
      <c r="B1332" s="48">
        <v>46148.82570601852</v>
      </c>
      <c r="C1332" s="30">
        <v>3.823348458E9</v>
      </c>
      <c r="D1332" s="47" t="s">
        <v>1509</v>
      </c>
      <c r="E1332" s="47">
        <v>8.010276042125E12</v>
      </c>
      <c r="F1332" s="47" t="s">
        <v>1523</v>
      </c>
      <c r="G1332" s="47" t="s">
        <v>1618</v>
      </c>
      <c r="H1332" s="30">
        <v>1.0</v>
      </c>
      <c r="I1332" s="30">
        <v>1049.0</v>
      </c>
      <c r="J1332" s="30">
        <v>1049.0</v>
      </c>
      <c r="K1332" s="30">
        <v>16.5</v>
      </c>
      <c r="L1332" s="30">
        <v>173.085</v>
      </c>
      <c r="M1332" s="30">
        <v>713.0</v>
      </c>
      <c r="N1332" s="30">
        <v>713.0</v>
      </c>
      <c r="O1332" s="30">
        <v>0.0</v>
      </c>
      <c r="P1332" s="30">
        <v>0.0</v>
      </c>
      <c r="Q1332" s="30">
        <v>162.915</v>
      </c>
    </row>
    <row r="1333">
      <c r="A1333" s="47">
        <v>1.1208121992E10</v>
      </c>
      <c r="B1333" s="48">
        <v>46149.12422453704</v>
      </c>
      <c r="C1333" s="30">
        <v>3.825105966E9</v>
      </c>
      <c r="D1333" s="47" t="s">
        <v>1509</v>
      </c>
      <c r="E1333" s="47">
        <v>7.613035846708E12</v>
      </c>
      <c r="F1333" s="47" t="s">
        <v>1523</v>
      </c>
      <c r="G1333" s="47" t="s">
        <v>1535</v>
      </c>
      <c r="H1333" s="30">
        <v>1.0</v>
      </c>
      <c r="I1333" s="30">
        <v>1400.0</v>
      </c>
      <c r="J1333" s="30">
        <v>1400.0</v>
      </c>
      <c r="K1333" s="30">
        <v>6.4</v>
      </c>
      <c r="L1333" s="30">
        <v>89.6</v>
      </c>
      <c r="M1333" s="30">
        <v>1160.0</v>
      </c>
      <c r="N1333" s="30">
        <v>1160.0</v>
      </c>
      <c r="O1333" s="30">
        <v>0.0</v>
      </c>
      <c r="P1333" s="30">
        <v>0.0</v>
      </c>
      <c r="Q1333" s="30">
        <v>150.4</v>
      </c>
    </row>
    <row r="1334">
      <c r="A1334" s="47">
        <v>1.1202573084E10</v>
      </c>
      <c r="B1334" s="48">
        <v>46147.87028935185</v>
      </c>
      <c r="C1334" s="30">
        <v>3.819733195E9</v>
      </c>
      <c r="D1334" s="47" t="s">
        <v>1509</v>
      </c>
      <c r="E1334" s="47" t="s">
        <v>537</v>
      </c>
      <c r="F1334" s="47" t="s">
        <v>1523</v>
      </c>
      <c r="G1334" s="47" t="s">
        <v>1575</v>
      </c>
      <c r="H1334" s="30">
        <v>1.0</v>
      </c>
      <c r="I1334" s="30">
        <v>1482.0</v>
      </c>
      <c r="J1334" s="30">
        <v>1482.0</v>
      </c>
      <c r="K1334" s="30">
        <v>12.5</v>
      </c>
      <c r="L1334" s="30">
        <v>185.25</v>
      </c>
      <c r="M1334" s="30">
        <v>1053.0</v>
      </c>
      <c r="N1334" s="30">
        <v>1053.0</v>
      </c>
      <c r="O1334" s="30">
        <v>0.0</v>
      </c>
      <c r="P1334" s="30">
        <v>0.0</v>
      </c>
      <c r="Q1334" s="30">
        <v>243.75</v>
      </c>
    </row>
    <row r="1335">
      <c r="A1335" s="47">
        <v>1.1210633205E10</v>
      </c>
      <c r="B1335" s="48">
        <v>46149.89991898148</v>
      </c>
      <c r="C1335" s="30">
        <v>3.827525377E9</v>
      </c>
      <c r="D1335" s="47" t="s">
        <v>1509</v>
      </c>
      <c r="E1335" s="47">
        <v>7.613033560064E12</v>
      </c>
      <c r="F1335" s="47" t="s">
        <v>1523</v>
      </c>
      <c r="G1335" s="47" t="s">
        <v>1527</v>
      </c>
      <c r="H1335" s="30">
        <v>1.0</v>
      </c>
      <c r="I1335" s="30">
        <v>1599.0</v>
      </c>
      <c r="J1335" s="30">
        <v>1599.0</v>
      </c>
      <c r="K1335" s="30">
        <v>12.5</v>
      </c>
      <c r="L1335" s="30">
        <v>199.875</v>
      </c>
      <c r="M1335" s="30">
        <v>1190.0</v>
      </c>
      <c r="N1335" s="30">
        <v>1190.0</v>
      </c>
      <c r="O1335" s="30">
        <v>0.0</v>
      </c>
      <c r="P1335" s="30">
        <v>0.0</v>
      </c>
      <c r="Q1335" s="30">
        <v>209.125</v>
      </c>
    </row>
    <row r="1336">
      <c r="A1336" s="47">
        <v>1.1212758592E10</v>
      </c>
      <c r="B1336" s="48">
        <v>46150.599027777775</v>
      </c>
      <c r="C1336" s="30">
        <v>3.829646839E9</v>
      </c>
      <c r="D1336" s="47" t="s">
        <v>1509</v>
      </c>
      <c r="E1336" s="47">
        <v>6.923632570001E12</v>
      </c>
      <c r="F1336" s="47" t="s">
        <v>1523</v>
      </c>
      <c r="G1336" s="47" t="s">
        <v>1544</v>
      </c>
      <c r="H1336" s="30">
        <v>1.0</v>
      </c>
      <c r="I1336" s="30">
        <v>474.47</v>
      </c>
      <c r="J1336" s="30">
        <v>474.47</v>
      </c>
      <c r="K1336" s="30">
        <v>20.0</v>
      </c>
      <c r="L1336" s="30">
        <v>94.89400000000002</v>
      </c>
      <c r="M1336" s="30">
        <v>130.0</v>
      </c>
      <c r="N1336" s="30">
        <v>130.0</v>
      </c>
      <c r="O1336" s="30">
        <v>0.0</v>
      </c>
      <c r="P1336" s="30">
        <v>0.0</v>
      </c>
      <c r="Q1336" s="30">
        <v>249.57600000000002</v>
      </c>
    </row>
    <row r="1337">
      <c r="A1337" s="47">
        <v>1.1212743194E10</v>
      </c>
      <c r="B1337" s="48">
        <v>46150.595671296294</v>
      </c>
      <c r="C1337" s="30">
        <v>3.829635176E9</v>
      </c>
      <c r="D1337" s="47" t="s">
        <v>1509</v>
      </c>
      <c r="E1337" s="47">
        <v>7.613033560064E12</v>
      </c>
      <c r="F1337" s="47" t="s">
        <v>1523</v>
      </c>
      <c r="G1337" s="47" t="s">
        <v>1527</v>
      </c>
      <c r="H1337" s="30">
        <v>1.0</v>
      </c>
      <c r="I1337" s="30">
        <v>1599.0</v>
      </c>
      <c r="J1337" s="30">
        <v>1599.0</v>
      </c>
      <c r="K1337" s="30">
        <v>12.5</v>
      </c>
      <c r="L1337" s="30">
        <v>199.875</v>
      </c>
      <c r="M1337" s="30">
        <v>1190.0</v>
      </c>
      <c r="N1337" s="30">
        <v>1190.0</v>
      </c>
      <c r="O1337" s="30">
        <v>0.0</v>
      </c>
      <c r="P1337" s="30">
        <v>0.0</v>
      </c>
      <c r="Q1337" s="30">
        <v>209.125</v>
      </c>
    </row>
    <row r="1338">
      <c r="A1338" s="47">
        <v>1.1210029414E10</v>
      </c>
      <c r="B1338" s="48">
        <v>46149.78854166667</v>
      </c>
      <c r="C1338" s="30">
        <v>3.827006266E9</v>
      </c>
      <c r="D1338" s="47" t="s">
        <v>1509</v>
      </c>
      <c r="E1338" s="47" t="s">
        <v>457</v>
      </c>
      <c r="F1338" s="47" t="s">
        <v>458</v>
      </c>
      <c r="G1338" s="47" t="s">
        <v>1622</v>
      </c>
      <c r="H1338" s="30">
        <v>1.0</v>
      </c>
      <c r="I1338" s="30">
        <v>249.99</v>
      </c>
      <c r="J1338" s="30">
        <v>249.99</v>
      </c>
      <c r="K1338" s="30">
        <v>20.0</v>
      </c>
      <c r="L1338" s="30">
        <v>49.998000000000005</v>
      </c>
      <c r="M1338" s="30">
        <v>60.0</v>
      </c>
      <c r="N1338" s="30">
        <v>60.0</v>
      </c>
      <c r="O1338" s="30">
        <v>0.0</v>
      </c>
      <c r="P1338" s="30">
        <v>0.0</v>
      </c>
      <c r="Q1338" s="30">
        <v>139.99200000000002</v>
      </c>
    </row>
    <row r="1339">
      <c r="A1339" s="47">
        <v>1.1211978379E10</v>
      </c>
      <c r="B1339" s="48">
        <v>46150.129849537036</v>
      </c>
      <c r="C1339" s="30">
        <v>3.828796916E9</v>
      </c>
      <c r="D1339" s="47" t="s">
        <v>1509</v>
      </c>
      <c r="E1339" s="47">
        <v>3.182550721745E12</v>
      </c>
      <c r="F1339" s="47" t="s">
        <v>1523</v>
      </c>
      <c r="G1339" s="47" t="s">
        <v>1605</v>
      </c>
      <c r="H1339" s="30">
        <v>1.0</v>
      </c>
      <c r="I1339" s="30">
        <v>2628.0</v>
      </c>
      <c r="J1339" s="30">
        <v>2628.0</v>
      </c>
      <c r="K1339" s="30">
        <v>6.4</v>
      </c>
      <c r="L1339" s="30">
        <v>168.192</v>
      </c>
      <c r="M1339" s="30">
        <v>2000.0</v>
      </c>
      <c r="N1339" s="30">
        <v>2000.0</v>
      </c>
      <c r="O1339" s="30">
        <v>0.0</v>
      </c>
      <c r="P1339" s="30">
        <v>0.0</v>
      </c>
      <c r="Q1339" s="30">
        <v>459.808</v>
      </c>
    </row>
    <row r="1340">
      <c r="A1340" s="47">
        <v>1.1212081138E10</v>
      </c>
      <c r="B1340" s="48">
        <v>46150.15719907408</v>
      </c>
      <c r="C1340" s="30">
        <v>3.828906215E9</v>
      </c>
      <c r="D1340" s="47" t="s">
        <v>1509</v>
      </c>
      <c r="E1340" s="47">
        <v>7.613035846708E12</v>
      </c>
      <c r="F1340" s="47" t="s">
        <v>1523</v>
      </c>
      <c r="G1340" s="47" t="s">
        <v>1535</v>
      </c>
      <c r="H1340" s="30">
        <v>2.0</v>
      </c>
      <c r="I1340" s="30">
        <v>1400.0</v>
      </c>
      <c r="J1340" s="30">
        <v>2800.0</v>
      </c>
      <c r="K1340" s="30">
        <v>6.4</v>
      </c>
      <c r="L1340" s="30">
        <v>179.2</v>
      </c>
      <c r="M1340" s="30">
        <v>1160.0</v>
      </c>
      <c r="N1340" s="30">
        <v>2320.0</v>
      </c>
      <c r="O1340" s="30">
        <v>0.0</v>
      </c>
      <c r="P1340" s="30">
        <v>0.0</v>
      </c>
      <c r="Q1340" s="30">
        <v>300.8</v>
      </c>
    </row>
    <row r="1341">
      <c r="A1341" s="47">
        <v>1.1208838549E10</v>
      </c>
      <c r="B1341" s="48">
        <v>46149.56690972222</v>
      </c>
      <c r="C1341" s="30">
        <v>3.825900766E9</v>
      </c>
      <c r="D1341" s="47" t="s">
        <v>1509</v>
      </c>
      <c r="E1341" s="47" t="s">
        <v>316</v>
      </c>
      <c r="F1341" s="47" t="s">
        <v>1523</v>
      </c>
      <c r="G1341" s="47" t="s">
        <v>1623</v>
      </c>
      <c r="H1341" s="30">
        <v>1.0</v>
      </c>
      <c r="I1341" s="30">
        <v>578.0</v>
      </c>
      <c r="J1341" s="30">
        <v>578.0</v>
      </c>
      <c r="K1341" s="30">
        <v>12.5</v>
      </c>
      <c r="L1341" s="30">
        <v>72.25</v>
      </c>
      <c r="M1341" s="30">
        <v>353.7</v>
      </c>
      <c r="N1341" s="30">
        <v>353.7</v>
      </c>
      <c r="O1341" s="30">
        <v>0.0</v>
      </c>
      <c r="P1341" s="30">
        <v>0.0</v>
      </c>
      <c r="Q1341" s="30">
        <v>152.05</v>
      </c>
    </row>
    <row r="1342">
      <c r="A1342" s="47">
        <v>1.1208968697E10</v>
      </c>
      <c r="B1342" s="48">
        <v>46149.59590277778</v>
      </c>
      <c r="C1342" s="30">
        <v>3.826037214E9</v>
      </c>
      <c r="D1342" s="47" t="s">
        <v>1509</v>
      </c>
      <c r="E1342" s="47">
        <v>7.613031384494E12</v>
      </c>
      <c r="F1342" s="47" t="s">
        <v>1523</v>
      </c>
      <c r="G1342" s="47" t="s">
        <v>1573</v>
      </c>
      <c r="H1342" s="30">
        <v>1.0</v>
      </c>
      <c r="I1342" s="30">
        <v>948.0</v>
      </c>
      <c r="J1342" s="30">
        <v>948.0</v>
      </c>
      <c r="K1342" s="30">
        <v>13.5</v>
      </c>
      <c r="L1342" s="30">
        <v>127.98</v>
      </c>
      <c r="M1342" s="30">
        <v>580.0</v>
      </c>
      <c r="N1342" s="30">
        <v>580.0</v>
      </c>
      <c r="O1342" s="30">
        <v>0.0</v>
      </c>
      <c r="P1342" s="30">
        <v>0.0</v>
      </c>
      <c r="Q1342" s="30">
        <v>240.01999999999998</v>
      </c>
    </row>
    <row r="1343">
      <c r="A1343" s="47">
        <v>1.1209628663E10</v>
      </c>
      <c r="B1343" s="48">
        <v>46149.712847222225</v>
      </c>
      <c r="C1343" s="30">
        <v>3.826635556E9</v>
      </c>
      <c r="D1343" s="47" t="s">
        <v>1509</v>
      </c>
      <c r="E1343" s="47">
        <v>6.923632570006E12</v>
      </c>
      <c r="F1343" s="47" t="s">
        <v>298</v>
      </c>
      <c r="G1343" s="47" t="s">
        <v>1544</v>
      </c>
      <c r="H1343" s="30">
        <v>2.0</v>
      </c>
      <c r="I1343" s="30">
        <v>474.0</v>
      </c>
      <c r="J1343" s="30">
        <v>948.0</v>
      </c>
      <c r="K1343" s="30">
        <v>20.0</v>
      </c>
      <c r="L1343" s="30">
        <v>189.6</v>
      </c>
      <c r="M1343" s="30">
        <v>130.0</v>
      </c>
      <c r="N1343" s="30">
        <v>260.0</v>
      </c>
      <c r="O1343" s="30">
        <v>0.0</v>
      </c>
      <c r="P1343" s="30">
        <v>0.0</v>
      </c>
      <c r="Q1343" s="30">
        <v>498.4</v>
      </c>
    </row>
    <row r="1344">
      <c r="A1344" s="47">
        <v>1.120785837E10</v>
      </c>
      <c r="B1344" s="48">
        <v>46149.07869212963</v>
      </c>
      <c r="C1344" s="30">
        <v>3.824814937E9</v>
      </c>
      <c r="D1344" s="47" t="s">
        <v>1509</v>
      </c>
      <c r="E1344" s="47" t="s">
        <v>313</v>
      </c>
      <c r="F1344" s="47" t="s">
        <v>1523</v>
      </c>
      <c r="G1344" s="47" t="s">
        <v>1624</v>
      </c>
      <c r="H1344" s="30">
        <v>1.0</v>
      </c>
      <c r="I1344" s="30">
        <v>355.0</v>
      </c>
      <c r="J1344" s="30">
        <v>355.0</v>
      </c>
      <c r="K1344" s="30">
        <v>12.5</v>
      </c>
      <c r="L1344" s="30">
        <v>44.375</v>
      </c>
      <c r="M1344" s="30">
        <v>122.0</v>
      </c>
      <c r="N1344" s="30">
        <v>122.0</v>
      </c>
      <c r="O1344" s="30">
        <v>0.0</v>
      </c>
      <c r="P1344" s="30">
        <v>0.0</v>
      </c>
      <c r="Q1344" s="30">
        <v>188.625</v>
      </c>
    </row>
    <row r="1345">
      <c r="A1345" s="47">
        <v>1.120785837E10</v>
      </c>
      <c r="B1345" s="48">
        <v>46149.07869212963</v>
      </c>
      <c r="C1345" s="30">
        <v>3.824814937E9</v>
      </c>
      <c r="D1345" s="47" t="s">
        <v>1509</v>
      </c>
      <c r="E1345" s="47">
        <v>3.182550721745E12</v>
      </c>
      <c r="F1345" s="47" t="s">
        <v>1523</v>
      </c>
      <c r="G1345" s="47" t="s">
        <v>1605</v>
      </c>
      <c r="H1345" s="30">
        <v>1.0</v>
      </c>
      <c r="I1345" s="30">
        <v>2635.0</v>
      </c>
      <c r="J1345" s="30">
        <v>2635.0</v>
      </c>
      <c r="K1345" s="30">
        <v>6.4</v>
      </c>
      <c r="L1345" s="30">
        <v>168.64</v>
      </c>
      <c r="M1345" s="30">
        <v>2000.0</v>
      </c>
      <c r="N1345" s="30">
        <v>2000.0</v>
      </c>
      <c r="O1345" s="30">
        <v>0.0</v>
      </c>
      <c r="P1345" s="30">
        <v>0.0</v>
      </c>
      <c r="Q1345" s="30">
        <v>466.36</v>
      </c>
    </row>
    <row r="1346">
      <c r="A1346" s="47">
        <v>1.1211154524E10</v>
      </c>
      <c r="B1346" s="48">
        <v>46149.98872685185</v>
      </c>
      <c r="C1346" s="30">
        <v>3.82795388E9</v>
      </c>
      <c r="D1346" s="47" t="s">
        <v>1509</v>
      </c>
      <c r="E1346" s="47">
        <v>7.613031680992E12</v>
      </c>
      <c r="F1346" s="47" t="s">
        <v>1523</v>
      </c>
      <c r="G1346" s="47" t="s">
        <v>1541</v>
      </c>
      <c r="H1346" s="30">
        <v>1.0</v>
      </c>
      <c r="I1346" s="30">
        <v>817.0</v>
      </c>
      <c r="J1346" s="30">
        <v>817.0</v>
      </c>
      <c r="K1346" s="30">
        <v>13.5</v>
      </c>
      <c r="L1346" s="30">
        <v>110.295</v>
      </c>
      <c r="M1346" s="30">
        <v>580.0</v>
      </c>
      <c r="N1346" s="30">
        <v>580.0</v>
      </c>
      <c r="O1346" s="30">
        <v>0.0</v>
      </c>
      <c r="P1346" s="30">
        <v>0.0</v>
      </c>
      <c r="Q1346" s="30">
        <v>126.705</v>
      </c>
    </row>
    <row r="1347">
      <c r="A1347" s="47">
        <v>1.1211715196E10</v>
      </c>
      <c r="B1347" s="48">
        <v>46150.07850694445</v>
      </c>
      <c r="C1347" s="30">
        <v>3.828512109E9</v>
      </c>
      <c r="D1347" s="47" t="s">
        <v>1509</v>
      </c>
      <c r="E1347" s="47">
        <v>7.613035846708E12</v>
      </c>
      <c r="F1347" s="47" t="s">
        <v>1523</v>
      </c>
      <c r="G1347" s="47" t="s">
        <v>1535</v>
      </c>
      <c r="H1347" s="30">
        <v>1.0</v>
      </c>
      <c r="I1347" s="30">
        <v>1400.0</v>
      </c>
      <c r="J1347" s="30">
        <v>1400.0</v>
      </c>
      <c r="K1347" s="30">
        <v>6.4</v>
      </c>
      <c r="L1347" s="30">
        <v>89.6</v>
      </c>
      <c r="M1347" s="30">
        <v>1160.0</v>
      </c>
      <c r="N1347" s="30">
        <v>1160.0</v>
      </c>
      <c r="O1347" s="30">
        <v>0.0</v>
      </c>
      <c r="P1347" s="30">
        <v>0.0</v>
      </c>
      <c r="Q1347" s="30">
        <v>150.4</v>
      </c>
    </row>
    <row r="1348">
      <c r="A1348" s="47">
        <v>1.1206173543E10</v>
      </c>
      <c r="B1348" s="48">
        <v>46148.808969907404</v>
      </c>
      <c r="C1348" s="30">
        <v>3.823259354E9</v>
      </c>
      <c r="D1348" s="47" t="s">
        <v>1509</v>
      </c>
      <c r="E1348" s="47">
        <v>6.923632570003E12</v>
      </c>
      <c r="F1348" s="47" t="s">
        <v>1523</v>
      </c>
      <c r="G1348" s="47" t="s">
        <v>1544</v>
      </c>
      <c r="H1348" s="30">
        <v>1.0</v>
      </c>
      <c r="I1348" s="30">
        <v>489.0</v>
      </c>
      <c r="J1348" s="30">
        <v>489.0</v>
      </c>
      <c r="K1348" s="30">
        <v>20.0</v>
      </c>
      <c r="L1348" s="30">
        <v>97.8</v>
      </c>
      <c r="M1348" s="30">
        <v>130.0</v>
      </c>
      <c r="N1348" s="30">
        <v>130.0</v>
      </c>
      <c r="O1348" s="30">
        <v>0.0</v>
      </c>
      <c r="P1348" s="30">
        <v>0.0</v>
      </c>
      <c r="Q1348" s="30">
        <v>261.2</v>
      </c>
    </row>
    <row r="1349">
      <c r="A1349" s="47">
        <v>1.1206177675E10</v>
      </c>
      <c r="B1349" s="48">
        <v>46148.8096875</v>
      </c>
      <c r="C1349" s="30">
        <v>3.8232603E9</v>
      </c>
      <c r="D1349" s="47" t="s">
        <v>1509</v>
      </c>
      <c r="E1349" s="47">
        <v>6.923632570005E12</v>
      </c>
      <c r="F1349" s="47" t="s">
        <v>301</v>
      </c>
      <c r="G1349" s="47" t="s">
        <v>1544</v>
      </c>
      <c r="H1349" s="30">
        <v>1.0</v>
      </c>
      <c r="I1349" s="30">
        <v>472.0</v>
      </c>
      <c r="J1349" s="30">
        <v>472.0</v>
      </c>
      <c r="K1349" s="30">
        <v>20.0</v>
      </c>
      <c r="L1349" s="30">
        <v>94.4</v>
      </c>
      <c r="M1349" s="30">
        <v>130.0</v>
      </c>
      <c r="N1349" s="30">
        <v>130.0</v>
      </c>
      <c r="O1349" s="30">
        <v>0.0</v>
      </c>
      <c r="P1349" s="30">
        <v>0.0</v>
      </c>
      <c r="Q1349" s="30">
        <v>247.6</v>
      </c>
    </row>
    <row r="1350">
      <c r="A1350" s="47">
        <v>1.1207845416E10</v>
      </c>
      <c r="B1350" s="48">
        <v>46149.076574074075</v>
      </c>
      <c r="C1350" s="30">
        <v>3.824798576E9</v>
      </c>
      <c r="D1350" s="47" t="s">
        <v>1509</v>
      </c>
      <c r="E1350" s="47">
        <v>8.410650218663E12</v>
      </c>
      <c r="F1350" s="47" t="s">
        <v>1523</v>
      </c>
      <c r="G1350" s="47" t="s">
        <v>1542</v>
      </c>
      <c r="H1350" s="30">
        <v>1.0</v>
      </c>
      <c r="I1350" s="30">
        <v>4430.0</v>
      </c>
      <c r="J1350" s="30">
        <v>4430.0</v>
      </c>
      <c r="K1350" s="30">
        <v>16.5</v>
      </c>
      <c r="L1350" s="30">
        <v>730.95</v>
      </c>
      <c r="M1350" s="30">
        <v>3556.0</v>
      </c>
      <c r="N1350" s="30">
        <v>3556.0</v>
      </c>
      <c r="O1350" s="30">
        <v>0.0</v>
      </c>
      <c r="P1350" s="30">
        <v>0.0</v>
      </c>
      <c r="Q1350" s="30">
        <v>143.04999999999995</v>
      </c>
    </row>
    <row r="1351">
      <c r="A1351" s="47">
        <v>1.1205444505E10</v>
      </c>
      <c r="B1351" s="48">
        <v>46148.68087962963</v>
      </c>
      <c r="C1351" s="30">
        <v>3.822555615E9</v>
      </c>
      <c r="D1351" s="47" t="s">
        <v>1509</v>
      </c>
      <c r="E1351" s="47">
        <v>3.182550721738E12</v>
      </c>
      <c r="F1351" s="47" t="s">
        <v>1523</v>
      </c>
      <c r="G1351" s="47" t="s">
        <v>1526</v>
      </c>
      <c r="H1351" s="30">
        <v>1.0</v>
      </c>
      <c r="I1351" s="30">
        <v>1554.0</v>
      </c>
      <c r="J1351" s="30">
        <v>1554.0</v>
      </c>
      <c r="K1351" s="30">
        <v>6.4</v>
      </c>
      <c r="L1351" s="30">
        <v>99.456</v>
      </c>
      <c r="M1351" s="30">
        <v>1210.0</v>
      </c>
      <c r="N1351" s="30">
        <v>1210.0</v>
      </c>
      <c r="O1351" s="30">
        <v>0.0</v>
      </c>
      <c r="P1351" s="30">
        <v>0.0</v>
      </c>
      <c r="Q1351" s="30">
        <v>244.54399999999998</v>
      </c>
    </row>
    <row r="1352">
      <c r="A1352" s="47">
        <v>1.1202112452E10</v>
      </c>
      <c r="B1352" s="48">
        <v>46147.78909722222</v>
      </c>
      <c r="C1352" s="30">
        <v>3.819328674E9</v>
      </c>
      <c r="D1352" s="47" t="s">
        <v>1509</v>
      </c>
      <c r="E1352" s="47">
        <v>3.182550721738E12</v>
      </c>
      <c r="F1352" s="47" t="s">
        <v>1523</v>
      </c>
      <c r="G1352" s="47" t="s">
        <v>1526</v>
      </c>
      <c r="H1352" s="30">
        <v>1.0</v>
      </c>
      <c r="I1352" s="30">
        <v>1554.0</v>
      </c>
      <c r="J1352" s="30">
        <v>1554.0</v>
      </c>
      <c r="K1352" s="30">
        <v>6.4</v>
      </c>
      <c r="L1352" s="30">
        <v>99.456</v>
      </c>
      <c r="M1352" s="30">
        <v>1210.0</v>
      </c>
      <c r="N1352" s="30">
        <v>1210.0</v>
      </c>
      <c r="O1352" s="30">
        <v>0.0</v>
      </c>
      <c r="P1352" s="30">
        <v>0.0</v>
      </c>
      <c r="Q1352" s="30">
        <v>244.54399999999998</v>
      </c>
    </row>
    <row r="1353">
      <c r="A1353" s="47">
        <v>1.1214858551E10</v>
      </c>
      <c r="B1353" s="48">
        <v>46150.99061342593</v>
      </c>
      <c r="C1353" s="30">
        <v>3.831985052E9</v>
      </c>
      <c r="D1353" s="47" t="s">
        <v>1511</v>
      </c>
      <c r="E1353" s="47">
        <v>6.923632570003E12</v>
      </c>
      <c r="F1353" s="47" t="s">
        <v>1523</v>
      </c>
      <c r="G1353" s="47" t="s">
        <v>1544</v>
      </c>
      <c r="H1353" s="30">
        <v>1.0</v>
      </c>
      <c r="I1353" s="30">
        <v>489.0</v>
      </c>
      <c r="J1353" s="30">
        <v>489.0</v>
      </c>
      <c r="K1353" s="30">
        <v>20.0</v>
      </c>
      <c r="L1353" s="30">
        <v>97.8</v>
      </c>
      <c r="M1353" s="30">
        <v>130.0</v>
      </c>
      <c r="N1353" s="30">
        <v>130.0</v>
      </c>
      <c r="O1353" s="30">
        <v>0.0</v>
      </c>
      <c r="P1353" s="30">
        <v>0.0</v>
      </c>
      <c r="Q1353" s="30">
        <v>261.2</v>
      </c>
    </row>
    <row r="1354">
      <c r="A1354" s="47">
        <v>1.1213617949E10</v>
      </c>
      <c r="B1354" s="48">
        <v>46150.75896990741</v>
      </c>
      <c r="C1354" s="30">
        <v>3.83042225E9</v>
      </c>
      <c r="D1354" s="47" t="s">
        <v>1511</v>
      </c>
      <c r="E1354" s="47" t="s">
        <v>537</v>
      </c>
      <c r="F1354" s="47" t="s">
        <v>1523</v>
      </c>
      <c r="G1354" s="47" t="s">
        <v>1575</v>
      </c>
      <c r="H1354" s="30">
        <v>1.0</v>
      </c>
      <c r="I1354" s="30">
        <v>1482.0</v>
      </c>
      <c r="J1354" s="30">
        <v>1482.0</v>
      </c>
      <c r="K1354" s="30">
        <v>0.0</v>
      </c>
      <c r="L1354" s="30">
        <v>0.0</v>
      </c>
      <c r="M1354" s="30">
        <v>1053.0</v>
      </c>
      <c r="N1354" s="30">
        <v>1053.0</v>
      </c>
      <c r="O1354" s="30">
        <v>0.0</v>
      </c>
      <c r="P1354" s="30">
        <v>0.0</v>
      </c>
      <c r="Q1354" s="30">
        <v>429.0</v>
      </c>
    </row>
    <row r="1355">
      <c r="A1355" s="47">
        <v>1.1214858551E10</v>
      </c>
      <c r="B1355" s="48">
        <v>46150.99061342593</v>
      </c>
      <c r="C1355" s="30">
        <v>3.831430545E9</v>
      </c>
      <c r="D1355" s="47" t="s">
        <v>1511</v>
      </c>
      <c r="E1355" s="47">
        <v>6.923632570003E12</v>
      </c>
      <c r="F1355" s="47" t="s">
        <v>1523</v>
      </c>
      <c r="G1355" s="47" t="s">
        <v>1544</v>
      </c>
      <c r="H1355" s="30">
        <v>2.0</v>
      </c>
      <c r="I1355" s="30">
        <v>489.0</v>
      </c>
      <c r="J1355" s="30">
        <v>978.0</v>
      </c>
      <c r="K1355" s="30">
        <v>20.0</v>
      </c>
      <c r="L1355" s="30">
        <v>195.6</v>
      </c>
      <c r="M1355" s="30">
        <v>130.0</v>
      </c>
      <c r="N1355" s="30">
        <v>260.0</v>
      </c>
      <c r="O1355" s="30">
        <v>0.0</v>
      </c>
      <c r="P1355" s="30">
        <v>0.0</v>
      </c>
      <c r="Q1355" s="30">
        <v>522.4</v>
      </c>
    </row>
    <row r="1356">
      <c r="A1356" s="47">
        <v>1.1203143524E10</v>
      </c>
      <c r="B1356" s="48">
        <v>46147.96571759259</v>
      </c>
      <c r="C1356" s="30">
        <v>3.820201927E9</v>
      </c>
      <c r="D1356" s="47" t="s">
        <v>1509</v>
      </c>
      <c r="E1356" s="47">
        <v>8.410650167886E12</v>
      </c>
      <c r="F1356" s="47" t="s">
        <v>1523</v>
      </c>
      <c r="G1356" s="47" t="s">
        <v>1625</v>
      </c>
      <c r="H1356" s="30">
        <v>1.0</v>
      </c>
      <c r="I1356" s="30">
        <v>900.0</v>
      </c>
      <c r="J1356" s="30">
        <v>900.0</v>
      </c>
      <c r="K1356" s="30">
        <v>16.5</v>
      </c>
      <c r="L1356" s="30">
        <v>148.5</v>
      </c>
      <c r="M1356" s="30">
        <v>715.0</v>
      </c>
      <c r="N1356" s="30">
        <v>715.0</v>
      </c>
      <c r="O1356" s="30">
        <v>0.0</v>
      </c>
      <c r="P1356" s="30">
        <v>0.0</v>
      </c>
      <c r="Q1356" s="30">
        <v>36.5</v>
      </c>
    </row>
    <row r="1357">
      <c r="A1357" s="47">
        <v>1.120443837E10</v>
      </c>
      <c r="B1357" s="48">
        <v>46148.3709375</v>
      </c>
      <c r="C1357" s="30">
        <v>3.821520787E9</v>
      </c>
      <c r="D1357" s="47" t="s">
        <v>1509</v>
      </c>
      <c r="E1357" s="47">
        <v>8.410650239156E12</v>
      </c>
      <c r="F1357" s="47" t="s">
        <v>1523</v>
      </c>
      <c r="G1357" s="47" t="s">
        <v>1530</v>
      </c>
      <c r="H1357" s="30">
        <v>1.0</v>
      </c>
      <c r="I1357" s="30">
        <v>1870.0</v>
      </c>
      <c r="J1357" s="30">
        <v>1870.0</v>
      </c>
      <c r="K1357" s="30">
        <v>16.5</v>
      </c>
      <c r="L1357" s="30">
        <v>308.55</v>
      </c>
      <c r="M1357" s="30">
        <v>1260.0</v>
      </c>
      <c r="N1357" s="30">
        <v>1260.0</v>
      </c>
      <c r="O1357" s="30">
        <v>0.0</v>
      </c>
      <c r="P1357" s="30">
        <v>0.0</v>
      </c>
      <c r="Q1357" s="30">
        <v>301.45</v>
      </c>
    </row>
    <row r="1358">
      <c r="A1358" s="47">
        <v>1.1201351029E10</v>
      </c>
      <c r="B1358" s="48">
        <v>46147.645787037036</v>
      </c>
      <c r="C1358" s="30">
        <v>3.818635738E9</v>
      </c>
      <c r="D1358" s="47" t="s">
        <v>1509</v>
      </c>
      <c r="E1358" s="47" t="s">
        <v>143</v>
      </c>
      <c r="F1358" s="47" t="s">
        <v>1523</v>
      </c>
      <c r="G1358" s="47" t="s">
        <v>1545</v>
      </c>
      <c r="H1358" s="30">
        <v>1.0</v>
      </c>
      <c r="I1358" s="30">
        <v>319.0</v>
      </c>
      <c r="J1358" s="30">
        <v>319.0</v>
      </c>
      <c r="K1358" s="30">
        <v>16.5</v>
      </c>
      <c r="L1358" s="30">
        <v>52.635</v>
      </c>
      <c r="M1358" s="30">
        <v>180.0</v>
      </c>
      <c r="N1358" s="30">
        <v>180.0</v>
      </c>
      <c r="O1358" s="30">
        <v>0.0</v>
      </c>
      <c r="P1358" s="30">
        <v>0.0</v>
      </c>
      <c r="Q1358" s="30">
        <v>86.36500000000001</v>
      </c>
    </row>
    <row r="1359">
      <c r="A1359" s="47">
        <v>1.1207942124E10</v>
      </c>
      <c r="B1359" s="48">
        <v>46149.091886574075</v>
      </c>
      <c r="C1359" s="30">
        <v>3.824903167E9</v>
      </c>
      <c r="D1359" s="47" t="s">
        <v>1509</v>
      </c>
      <c r="E1359" s="47">
        <v>7.613035846708E12</v>
      </c>
      <c r="F1359" s="47" t="s">
        <v>1523</v>
      </c>
      <c r="G1359" s="47" t="s">
        <v>1535</v>
      </c>
      <c r="H1359" s="30">
        <v>1.0</v>
      </c>
      <c r="I1359" s="30">
        <v>1400.0</v>
      </c>
      <c r="J1359" s="30">
        <v>1400.0</v>
      </c>
      <c r="K1359" s="30">
        <v>6.4</v>
      </c>
      <c r="L1359" s="30">
        <v>89.6</v>
      </c>
      <c r="M1359" s="30">
        <v>1160.0</v>
      </c>
      <c r="N1359" s="30">
        <v>1160.0</v>
      </c>
      <c r="O1359" s="30">
        <v>0.0</v>
      </c>
      <c r="P1359" s="30">
        <v>0.0</v>
      </c>
      <c r="Q1359" s="30">
        <v>150.4</v>
      </c>
    </row>
    <row r="1360">
      <c r="A1360" s="47">
        <v>1.1191572708E10</v>
      </c>
      <c r="B1360" s="48">
        <v>46144.45909722222</v>
      </c>
      <c r="C1360" s="30">
        <v>3.810157035E9</v>
      </c>
      <c r="D1360" s="47" t="s">
        <v>1509</v>
      </c>
      <c r="E1360" s="47">
        <v>8.010276042125E12</v>
      </c>
      <c r="F1360" s="47" t="s">
        <v>1523</v>
      </c>
      <c r="G1360" s="47" t="s">
        <v>1618</v>
      </c>
      <c r="H1360" s="30">
        <v>1.0</v>
      </c>
      <c r="I1360" s="30">
        <v>1049.0</v>
      </c>
      <c r="J1360" s="30">
        <v>1049.0</v>
      </c>
      <c r="K1360" s="30">
        <v>16.5</v>
      </c>
      <c r="L1360" s="30">
        <v>173.085</v>
      </c>
      <c r="M1360" s="30">
        <v>713.0</v>
      </c>
      <c r="N1360" s="30">
        <v>713.0</v>
      </c>
      <c r="O1360" s="30">
        <v>0.0</v>
      </c>
      <c r="P1360" s="30">
        <v>0.0</v>
      </c>
      <c r="Q1360" s="30">
        <v>162.915</v>
      </c>
    </row>
    <row r="1361">
      <c r="A1361" s="47">
        <v>1.1203671017E10</v>
      </c>
      <c r="B1361" s="48">
        <v>46148.050416666665</v>
      </c>
      <c r="C1361" s="30">
        <v>3.820698265E9</v>
      </c>
      <c r="D1361" s="47" t="s">
        <v>1509</v>
      </c>
      <c r="E1361" s="47">
        <v>7.613035846708E12</v>
      </c>
      <c r="F1361" s="47" t="s">
        <v>1523</v>
      </c>
      <c r="G1361" s="47" t="s">
        <v>1535</v>
      </c>
      <c r="H1361" s="30">
        <v>1.0</v>
      </c>
      <c r="I1361" s="30">
        <v>1400.0</v>
      </c>
      <c r="J1361" s="30">
        <v>1400.0</v>
      </c>
      <c r="K1361" s="30">
        <v>6.4</v>
      </c>
      <c r="L1361" s="30">
        <v>89.6</v>
      </c>
      <c r="M1361" s="30">
        <v>1160.0</v>
      </c>
      <c r="N1361" s="30">
        <v>1160.0</v>
      </c>
      <c r="O1361" s="30">
        <v>0.0</v>
      </c>
      <c r="P1361" s="30">
        <v>0.0</v>
      </c>
      <c r="Q1361" s="30">
        <v>150.4</v>
      </c>
    </row>
    <row r="1362">
      <c r="A1362" s="47">
        <v>1.1203539285E10</v>
      </c>
      <c r="B1362" s="48">
        <v>46148.02877314815</v>
      </c>
      <c r="C1362" s="30">
        <v>3.820566214E9</v>
      </c>
      <c r="D1362" s="47" t="s">
        <v>1509</v>
      </c>
      <c r="E1362" s="47">
        <v>3.182550721738E12</v>
      </c>
      <c r="F1362" s="47" t="s">
        <v>1523</v>
      </c>
      <c r="G1362" s="47" t="s">
        <v>1526</v>
      </c>
      <c r="H1362" s="30">
        <v>1.0</v>
      </c>
      <c r="I1362" s="30">
        <v>1554.0</v>
      </c>
      <c r="J1362" s="30">
        <v>1554.0</v>
      </c>
      <c r="K1362" s="30">
        <v>6.4</v>
      </c>
      <c r="L1362" s="30">
        <v>99.456</v>
      </c>
      <c r="M1362" s="30">
        <v>1210.0</v>
      </c>
      <c r="N1362" s="30">
        <v>1210.0</v>
      </c>
      <c r="O1362" s="30">
        <v>0.0</v>
      </c>
      <c r="P1362" s="30">
        <v>0.0</v>
      </c>
      <c r="Q1362" s="30">
        <v>244.54399999999998</v>
      </c>
    </row>
    <row r="1363">
      <c r="A1363" s="47">
        <v>1.1208689969E10</v>
      </c>
      <c r="B1363" s="48">
        <v>46149.52814814815</v>
      </c>
      <c r="C1363" s="30">
        <v>3.825739527E9</v>
      </c>
      <c r="D1363" s="47" t="s">
        <v>1509</v>
      </c>
      <c r="E1363" s="47">
        <v>7.613033560033E12</v>
      </c>
      <c r="F1363" s="47">
        <v>0.0</v>
      </c>
      <c r="G1363" s="47" t="s">
        <v>1539</v>
      </c>
      <c r="H1363" s="30">
        <v>1.0</v>
      </c>
      <c r="I1363" s="30">
        <v>1430.0</v>
      </c>
      <c r="J1363" s="30">
        <v>1430.0</v>
      </c>
      <c r="K1363" s="30">
        <v>6.4</v>
      </c>
      <c r="L1363" s="30">
        <v>91.52</v>
      </c>
      <c r="M1363" s="30">
        <v>1165.0</v>
      </c>
      <c r="N1363" s="30">
        <v>1165.0</v>
      </c>
      <c r="O1363" s="30">
        <v>0.0</v>
      </c>
      <c r="P1363" s="30">
        <v>0.0</v>
      </c>
      <c r="Q1363" s="30">
        <v>173.48000000000002</v>
      </c>
    </row>
    <row r="1364">
      <c r="A1364" s="47">
        <v>1.1201838031E10</v>
      </c>
      <c r="B1364" s="48">
        <v>46147.73678240741</v>
      </c>
      <c r="C1364" s="30">
        <v>3.819075706E9</v>
      </c>
      <c r="D1364" s="47" t="s">
        <v>1509</v>
      </c>
      <c r="E1364" s="47">
        <v>7.613033566387E12</v>
      </c>
      <c r="F1364" s="47" t="s">
        <v>1523</v>
      </c>
      <c r="G1364" s="47" t="s">
        <v>1626</v>
      </c>
      <c r="H1364" s="30">
        <v>1.0</v>
      </c>
      <c r="I1364" s="30">
        <v>938.0</v>
      </c>
      <c r="J1364" s="30">
        <v>938.0</v>
      </c>
      <c r="K1364" s="30">
        <v>12.5</v>
      </c>
      <c r="L1364" s="30">
        <v>117.25</v>
      </c>
      <c r="M1364" s="30">
        <v>710.0</v>
      </c>
      <c r="N1364" s="30">
        <v>710.0</v>
      </c>
      <c r="O1364" s="30">
        <v>0.0</v>
      </c>
      <c r="P1364" s="30">
        <v>0.0</v>
      </c>
      <c r="Q1364" s="30">
        <v>110.75</v>
      </c>
    </row>
    <row r="1365">
      <c r="A1365" s="47">
        <v>1.1202500207E10</v>
      </c>
      <c r="B1365" s="48">
        <v>46147.85738425926</v>
      </c>
      <c r="C1365" s="30">
        <v>3.819671789E9</v>
      </c>
      <c r="D1365" s="47" t="s">
        <v>1509</v>
      </c>
      <c r="E1365" s="47" t="s">
        <v>537</v>
      </c>
      <c r="F1365" s="47" t="s">
        <v>1523</v>
      </c>
      <c r="G1365" s="47" t="s">
        <v>1575</v>
      </c>
      <c r="H1365" s="30">
        <v>1.0</v>
      </c>
      <c r="I1365" s="30">
        <v>1482.0</v>
      </c>
      <c r="J1365" s="30">
        <v>1482.0</v>
      </c>
      <c r="K1365" s="30">
        <v>12.5</v>
      </c>
      <c r="L1365" s="30">
        <v>185.25</v>
      </c>
      <c r="M1365" s="30">
        <v>1053.0</v>
      </c>
      <c r="N1365" s="30">
        <v>1053.0</v>
      </c>
      <c r="O1365" s="30">
        <v>0.0</v>
      </c>
      <c r="P1365" s="30">
        <v>0.0</v>
      </c>
      <c r="Q1365" s="30">
        <v>243.75</v>
      </c>
    </row>
    <row r="1366">
      <c r="A1366" s="47">
        <v>1.120129176E10</v>
      </c>
      <c r="B1366" s="48">
        <v>46147.63482638889</v>
      </c>
      <c r="C1366" s="30">
        <v>3.818584747E9</v>
      </c>
      <c r="D1366" s="47" t="s">
        <v>1509</v>
      </c>
      <c r="E1366" s="47">
        <v>7.613033560033E12</v>
      </c>
      <c r="F1366" s="47">
        <v>0.0</v>
      </c>
      <c r="G1366" s="47" t="s">
        <v>1539</v>
      </c>
      <c r="H1366" s="30">
        <v>1.0</v>
      </c>
      <c r="I1366" s="30">
        <v>1462.0</v>
      </c>
      <c r="J1366" s="30">
        <v>1462.0</v>
      </c>
      <c r="K1366" s="30">
        <v>8.7</v>
      </c>
      <c r="L1366" s="30">
        <v>127.194</v>
      </c>
      <c r="M1366" s="30">
        <v>1165.0</v>
      </c>
      <c r="N1366" s="30">
        <v>1165.0</v>
      </c>
      <c r="O1366" s="30">
        <v>0.0</v>
      </c>
      <c r="P1366" s="30">
        <v>0.0</v>
      </c>
      <c r="Q1366" s="30">
        <v>169.80599999999998</v>
      </c>
    </row>
    <row r="1367">
      <c r="A1367" s="47">
        <v>1.1205397727E10</v>
      </c>
      <c r="B1367" s="48">
        <v>46148.67319444445</v>
      </c>
      <c r="C1367" s="30">
        <v>3.82251131E9</v>
      </c>
      <c r="D1367" s="47" t="s">
        <v>1509</v>
      </c>
      <c r="E1367" s="47">
        <v>7.613035846708E12</v>
      </c>
      <c r="F1367" s="47" t="s">
        <v>1523</v>
      </c>
      <c r="G1367" s="47" t="s">
        <v>1535</v>
      </c>
      <c r="H1367" s="30">
        <v>1.0</v>
      </c>
      <c r="I1367" s="30">
        <v>1400.0</v>
      </c>
      <c r="J1367" s="30">
        <v>1400.0</v>
      </c>
      <c r="K1367" s="30">
        <v>6.4</v>
      </c>
      <c r="L1367" s="30">
        <v>89.6</v>
      </c>
      <c r="M1367" s="30">
        <v>1160.0</v>
      </c>
      <c r="N1367" s="30">
        <v>1160.0</v>
      </c>
      <c r="O1367" s="30">
        <v>0.0</v>
      </c>
      <c r="P1367" s="30">
        <v>0.0</v>
      </c>
      <c r="Q1367" s="30">
        <v>150.4</v>
      </c>
    </row>
    <row r="1368">
      <c r="A1368" s="47">
        <v>1.1197013436E10</v>
      </c>
      <c r="B1368" s="48">
        <v>46146.097650462965</v>
      </c>
      <c r="C1368" s="30">
        <v>3.814546301E9</v>
      </c>
      <c r="D1368" s="47" t="s">
        <v>1509</v>
      </c>
      <c r="E1368" s="47" t="s">
        <v>413</v>
      </c>
      <c r="F1368" s="47" t="s">
        <v>1523</v>
      </c>
      <c r="G1368" s="47" t="s">
        <v>1590</v>
      </c>
      <c r="H1368" s="30">
        <v>1.0</v>
      </c>
      <c r="I1368" s="30">
        <v>2399.0</v>
      </c>
      <c r="J1368" s="30">
        <v>2399.0</v>
      </c>
      <c r="K1368" s="30">
        <v>13.5</v>
      </c>
      <c r="L1368" s="30">
        <v>323.865</v>
      </c>
      <c r="M1368" s="30">
        <v>1560.0</v>
      </c>
      <c r="N1368" s="30">
        <v>1560.0</v>
      </c>
      <c r="O1368" s="30">
        <v>0.0</v>
      </c>
      <c r="P1368" s="30">
        <v>0.0</v>
      </c>
      <c r="Q1368" s="30">
        <v>515.135</v>
      </c>
    </row>
    <row r="1369">
      <c r="A1369" s="47">
        <v>1.1208884419E10</v>
      </c>
      <c r="B1369" s="48">
        <v>46149.57775462963</v>
      </c>
      <c r="C1369" s="30">
        <v>3.825951022E9</v>
      </c>
      <c r="D1369" s="47" t="s">
        <v>1509</v>
      </c>
      <c r="E1369" s="47">
        <v>8.410650218663E12</v>
      </c>
      <c r="F1369" s="47" t="s">
        <v>1523</v>
      </c>
      <c r="G1369" s="47" t="s">
        <v>1542</v>
      </c>
      <c r="H1369" s="30">
        <v>1.0</v>
      </c>
      <c r="I1369" s="30">
        <v>4430.0</v>
      </c>
      <c r="J1369" s="30">
        <v>4430.0</v>
      </c>
      <c r="K1369" s="30">
        <v>16.5</v>
      </c>
      <c r="L1369" s="30">
        <v>730.95</v>
      </c>
      <c r="M1369" s="30">
        <v>3556.0</v>
      </c>
      <c r="N1369" s="30">
        <v>3556.0</v>
      </c>
      <c r="O1369" s="30">
        <v>0.0</v>
      </c>
      <c r="P1369" s="30">
        <v>0.0</v>
      </c>
      <c r="Q1369" s="30">
        <v>143.04999999999995</v>
      </c>
    </row>
    <row r="1370">
      <c r="A1370" s="47">
        <v>1.1203405058E10</v>
      </c>
      <c r="B1370" s="48">
        <v>46148.007256944446</v>
      </c>
      <c r="C1370" s="30">
        <v>3.820435343E9</v>
      </c>
      <c r="D1370" s="47" t="s">
        <v>1509</v>
      </c>
      <c r="E1370" s="47" t="s">
        <v>336</v>
      </c>
      <c r="F1370" s="47" t="s">
        <v>1523</v>
      </c>
      <c r="G1370" s="47" t="s">
        <v>1612</v>
      </c>
      <c r="H1370" s="30">
        <v>1.0</v>
      </c>
      <c r="I1370" s="30">
        <v>1340.0</v>
      </c>
      <c r="J1370" s="30">
        <v>1340.0</v>
      </c>
      <c r="K1370" s="30">
        <v>12.5</v>
      </c>
      <c r="L1370" s="30">
        <v>167.5</v>
      </c>
      <c r="M1370" s="30">
        <v>999.6</v>
      </c>
      <c r="N1370" s="30">
        <v>999.6</v>
      </c>
      <c r="O1370" s="30">
        <v>0.0</v>
      </c>
      <c r="P1370" s="30">
        <v>0.0</v>
      </c>
      <c r="Q1370" s="30">
        <v>172.89999999999998</v>
      </c>
    </row>
    <row r="1371">
      <c r="A1371" s="47">
        <v>1.1208819943E10</v>
      </c>
      <c r="B1371" s="48">
        <v>46149.562256944446</v>
      </c>
      <c r="C1371" s="30">
        <v>3.825881395E9</v>
      </c>
      <c r="D1371" s="47" t="s">
        <v>1509</v>
      </c>
      <c r="E1371" s="47">
        <v>6.923632570121E12</v>
      </c>
      <c r="F1371" s="47" t="s">
        <v>306</v>
      </c>
      <c r="G1371" s="47" t="s">
        <v>1555</v>
      </c>
      <c r="H1371" s="30">
        <v>1.0</v>
      </c>
      <c r="I1371" s="30">
        <v>897.45</v>
      </c>
      <c r="J1371" s="30">
        <v>897.45</v>
      </c>
      <c r="K1371" s="30">
        <v>20.0</v>
      </c>
      <c r="L1371" s="30">
        <v>179.49</v>
      </c>
      <c r="M1371" s="30">
        <v>300.0</v>
      </c>
      <c r="N1371" s="30">
        <v>300.0</v>
      </c>
      <c r="O1371" s="30">
        <v>0.0</v>
      </c>
      <c r="P1371" s="30">
        <v>0.0</v>
      </c>
      <c r="Q1371" s="30">
        <v>417.96000000000004</v>
      </c>
    </row>
    <row r="1372">
      <c r="A1372" s="47">
        <v>1.1202056689E10</v>
      </c>
      <c r="B1372" s="48">
        <v>46147.77856481481</v>
      </c>
      <c r="C1372" s="30">
        <v>3.819274515E9</v>
      </c>
      <c r="D1372" s="47" t="s">
        <v>1509</v>
      </c>
      <c r="E1372" s="47">
        <v>7.613035846708E12</v>
      </c>
      <c r="F1372" s="47" t="s">
        <v>1523</v>
      </c>
      <c r="G1372" s="47" t="s">
        <v>1535</v>
      </c>
      <c r="H1372" s="30">
        <v>1.0</v>
      </c>
      <c r="I1372" s="30">
        <v>1400.0</v>
      </c>
      <c r="J1372" s="30">
        <v>1400.0</v>
      </c>
      <c r="K1372" s="30">
        <v>6.4</v>
      </c>
      <c r="L1372" s="30">
        <v>89.6</v>
      </c>
      <c r="M1372" s="30">
        <v>1160.0</v>
      </c>
      <c r="N1372" s="30">
        <v>1160.0</v>
      </c>
      <c r="O1372" s="30">
        <v>0.0</v>
      </c>
      <c r="P1372" s="30">
        <v>0.0</v>
      </c>
      <c r="Q1372" s="30">
        <v>150.4</v>
      </c>
    </row>
    <row r="1373">
      <c r="A1373" s="47">
        <v>1.1204430151E10</v>
      </c>
      <c r="B1373" s="48">
        <v>46148.339166666665</v>
      </c>
      <c r="C1373" s="30">
        <v>3.821512559E9</v>
      </c>
      <c r="D1373" s="47" t="s">
        <v>1509</v>
      </c>
      <c r="E1373" s="47">
        <v>3.182550721738E12</v>
      </c>
      <c r="F1373" s="47" t="s">
        <v>1523</v>
      </c>
      <c r="G1373" s="47" t="s">
        <v>1526</v>
      </c>
      <c r="H1373" s="30">
        <v>1.0</v>
      </c>
      <c r="I1373" s="30">
        <v>1554.0</v>
      </c>
      <c r="J1373" s="30">
        <v>1554.0</v>
      </c>
      <c r="K1373" s="30">
        <v>6.4</v>
      </c>
      <c r="L1373" s="30">
        <v>99.456</v>
      </c>
      <c r="M1373" s="30">
        <v>1210.0</v>
      </c>
      <c r="N1373" s="30">
        <v>1210.0</v>
      </c>
      <c r="O1373" s="30">
        <v>0.0</v>
      </c>
      <c r="P1373" s="30">
        <v>0.0</v>
      </c>
      <c r="Q1373" s="30">
        <v>244.54399999999998</v>
      </c>
    </row>
    <row r="1374">
      <c r="A1374" s="47">
        <v>1.1203619513E10</v>
      </c>
      <c r="B1374" s="48">
        <v>46148.04188657407</v>
      </c>
      <c r="C1374" s="30">
        <v>3.820648014E9</v>
      </c>
      <c r="D1374" s="47" t="s">
        <v>1509</v>
      </c>
      <c r="E1374" s="47">
        <v>7.613035846708E12</v>
      </c>
      <c r="F1374" s="47" t="s">
        <v>1523</v>
      </c>
      <c r="G1374" s="47" t="s">
        <v>1535</v>
      </c>
      <c r="H1374" s="30">
        <v>1.0</v>
      </c>
      <c r="I1374" s="30">
        <v>1400.0</v>
      </c>
      <c r="J1374" s="30">
        <v>1400.0</v>
      </c>
      <c r="K1374" s="30">
        <v>6.4</v>
      </c>
      <c r="L1374" s="30">
        <v>89.6</v>
      </c>
      <c r="M1374" s="30">
        <v>1160.0</v>
      </c>
      <c r="N1374" s="30">
        <v>1160.0</v>
      </c>
      <c r="O1374" s="30">
        <v>0.0</v>
      </c>
      <c r="P1374" s="30">
        <v>0.0</v>
      </c>
      <c r="Q1374" s="30">
        <v>150.4</v>
      </c>
    </row>
    <row r="1375">
      <c r="A1375" s="47">
        <v>1.1208971741E10</v>
      </c>
      <c r="B1375" s="48">
        <v>46149.59652777778</v>
      </c>
      <c r="C1375" s="30">
        <v>3.826039586E9</v>
      </c>
      <c r="D1375" s="47" t="s">
        <v>1509</v>
      </c>
      <c r="E1375" s="47">
        <v>8.410650218663E12</v>
      </c>
      <c r="F1375" s="47" t="s">
        <v>1523</v>
      </c>
      <c r="G1375" s="47" t="s">
        <v>1542</v>
      </c>
      <c r="H1375" s="30">
        <v>1.0</v>
      </c>
      <c r="I1375" s="30">
        <v>4430.0</v>
      </c>
      <c r="J1375" s="30">
        <v>4430.0</v>
      </c>
      <c r="K1375" s="30">
        <v>16.5</v>
      </c>
      <c r="L1375" s="30">
        <v>730.95</v>
      </c>
      <c r="M1375" s="30">
        <v>3556.0</v>
      </c>
      <c r="N1375" s="30">
        <v>3556.0</v>
      </c>
      <c r="O1375" s="30">
        <v>0.0</v>
      </c>
      <c r="P1375" s="30">
        <v>0.0</v>
      </c>
      <c r="Q1375" s="30">
        <v>143.04999999999995</v>
      </c>
    </row>
    <row r="1376">
      <c r="A1376" s="47">
        <v>1.1203461275E10</v>
      </c>
      <c r="B1376" s="48">
        <v>46148.01619212963</v>
      </c>
      <c r="C1376" s="30">
        <v>3.82048905E9</v>
      </c>
      <c r="D1376" s="47" t="s">
        <v>1509</v>
      </c>
      <c r="E1376" s="47">
        <v>7.613035846708E12</v>
      </c>
      <c r="F1376" s="47" t="s">
        <v>1523</v>
      </c>
      <c r="G1376" s="47" t="s">
        <v>1535</v>
      </c>
      <c r="H1376" s="30">
        <v>1.0</v>
      </c>
      <c r="I1376" s="30">
        <v>1400.0</v>
      </c>
      <c r="J1376" s="30">
        <v>1400.0</v>
      </c>
      <c r="K1376" s="30">
        <v>6.4</v>
      </c>
      <c r="L1376" s="30">
        <v>89.6</v>
      </c>
      <c r="M1376" s="30">
        <v>1160.0</v>
      </c>
      <c r="N1376" s="30">
        <v>1160.0</v>
      </c>
      <c r="O1376" s="30">
        <v>0.0</v>
      </c>
      <c r="P1376" s="30">
        <v>0.0</v>
      </c>
      <c r="Q1376" s="30">
        <v>150.4</v>
      </c>
    </row>
    <row r="1377">
      <c r="A1377" s="47">
        <v>1.1208558251E10</v>
      </c>
      <c r="B1377" s="48">
        <v>46149.47891203704</v>
      </c>
      <c r="C1377" s="30">
        <v>3.82559216E9</v>
      </c>
      <c r="D1377" s="47" t="s">
        <v>1509</v>
      </c>
      <c r="E1377" s="47">
        <v>8.410650218663E12</v>
      </c>
      <c r="F1377" s="47" t="s">
        <v>1523</v>
      </c>
      <c r="G1377" s="47" t="s">
        <v>1542</v>
      </c>
      <c r="H1377" s="30">
        <v>1.0</v>
      </c>
      <c r="I1377" s="30">
        <v>4430.0</v>
      </c>
      <c r="J1377" s="30">
        <v>4430.0</v>
      </c>
      <c r="K1377" s="30">
        <v>16.5</v>
      </c>
      <c r="L1377" s="30">
        <v>730.95</v>
      </c>
      <c r="M1377" s="30">
        <v>3556.0</v>
      </c>
      <c r="N1377" s="30">
        <v>3556.0</v>
      </c>
      <c r="O1377" s="30">
        <v>0.0</v>
      </c>
      <c r="P1377" s="30">
        <v>0.0</v>
      </c>
      <c r="Q1377" s="30">
        <v>143.04999999999995</v>
      </c>
    </row>
    <row r="1378">
      <c r="A1378" s="47">
        <v>1.1202838312E10</v>
      </c>
      <c r="B1378" s="48">
        <v>46147.915613425925</v>
      </c>
      <c r="C1378" s="30">
        <v>3.819953089E9</v>
      </c>
      <c r="D1378" s="47" t="s">
        <v>1509</v>
      </c>
      <c r="E1378" s="47">
        <v>7.613035846708E12</v>
      </c>
      <c r="F1378" s="47" t="s">
        <v>1523</v>
      </c>
      <c r="G1378" s="47" t="s">
        <v>1535</v>
      </c>
      <c r="H1378" s="30">
        <v>2.0</v>
      </c>
      <c r="I1378" s="30">
        <v>1400.0</v>
      </c>
      <c r="J1378" s="30">
        <v>2800.0</v>
      </c>
      <c r="K1378" s="30">
        <v>6.4</v>
      </c>
      <c r="L1378" s="30">
        <v>179.2</v>
      </c>
      <c r="M1378" s="30">
        <v>1160.0</v>
      </c>
      <c r="N1378" s="30">
        <v>2320.0</v>
      </c>
      <c r="O1378" s="30">
        <v>0.0</v>
      </c>
      <c r="P1378" s="30">
        <v>0.0</v>
      </c>
      <c r="Q1378" s="30">
        <v>300.8</v>
      </c>
    </row>
    <row r="1379">
      <c r="A1379" s="47">
        <v>1.1208256085E10</v>
      </c>
      <c r="B1379" s="48">
        <v>46149.157430555555</v>
      </c>
      <c r="C1379" s="30">
        <v>3.82524613E9</v>
      </c>
      <c r="D1379" s="47" t="s">
        <v>1509</v>
      </c>
      <c r="E1379" s="47">
        <v>7.613035846708E12</v>
      </c>
      <c r="F1379" s="47" t="s">
        <v>1523</v>
      </c>
      <c r="G1379" s="47" t="s">
        <v>1535</v>
      </c>
      <c r="H1379" s="30">
        <v>1.0</v>
      </c>
      <c r="I1379" s="30">
        <v>1400.0</v>
      </c>
      <c r="J1379" s="30">
        <v>1400.0</v>
      </c>
      <c r="K1379" s="30">
        <v>6.4</v>
      </c>
      <c r="L1379" s="30">
        <v>89.6</v>
      </c>
      <c r="M1379" s="30">
        <v>1160.0</v>
      </c>
      <c r="N1379" s="30">
        <v>1160.0</v>
      </c>
      <c r="O1379" s="30">
        <v>0.0</v>
      </c>
      <c r="P1379" s="30">
        <v>0.0</v>
      </c>
      <c r="Q1379" s="30">
        <v>150.4</v>
      </c>
    </row>
    <row r="1380">
      <c r="A1380" s="47">
        <v>1.1201919575E10</v>
      </c>
      <c r="B1380" s="48">
        <v>46147.752430555556</v>
      </c>
      <c r="C1380" s="30">
        <v>3.819150703E9</v>
      </c>
      <c r="D1380" s="47" t="s">
        <v>1509</v>
      </c>
      <c r="E1380" s="47">
        <v>3.182550721738E12</v>
      </c>
      <c r="F1380" s="47" t="s">
        <v>1523</v>
      </c>
      <c r="G1380" s="47" t="s">
        <v>1526</v>
      </c>
      <c r="H1380" s="30">
        <v>1.0</v>
      </c>
      <c r="I1380" s="30">
        <v>1554.0</v>
      </c>
      <c r="J1380" s="30">
        <v>1554.0</v>
      </c>
      <c r="K1380" s="30">
        <v>6.4</v>
      </c>
      <c r="L1380" s="30">
        <v>99.456</v>
      </c>
      <c r="M1380" s="30">
        <v>1210.0</v>
      </c>
      <c r="N1380" s="30">
        <v>1210.0</v>
      </c>
      <c r="O1380" s="30">
        <v>0.0</v>
      </c>
      <c r="P1380" s="30">
        <v>0.0</v>
      </c>
      <c r="Q1380" s="30">
        <v>244.54399999999998</v>
      </c>
    </row>
    <row r="1381">
      <c r="A1381" s="47">
        <v>1.1203599656E10</v>
      </c>
      <c r="B1381" s="48">
        <v>46148.03849537037</v>
      </c>
      <c r="C1381" s="30">
        <v>3.820625385E9</v>
      </c>
      <c r="D1381" s="47" t="s">
        <v>1509</v>
      </c>
      <c r="E1381" s="47">
        <v>8.410650167886E12</v>
      </c>
      <c r="F1381" s="47" t="s">
        <v>1523</v>
      </c>
      <c r="G1381" s="47" t="s">
        <v>1625</v>
      </c>
      <c r="H1381" s="30">
        <v>1.0</v>
      </c>
      <c r="I1381" s="30">
        <v>900.0</v>
      </c>
      <c r="J1381" s="30">
        <v>900.0</v>
      </c>
      <c r="K1381" s="30">
        <v>16.5</v>
      </c>
      <c r="L1381" s="30">
        <v>148.5</v>
      </c>
      <c r="M1381" s="30">
        <v>715.0</v>
      </c>
      <c r="N1381" s="30">
        <v>715.0</v>
      </c>
      <c r="O1381" s="30">
        <v>0.0</v>
      </c>
      <c r="P1381" s="30">
        <v>0.0</v>
      </c>
      <c r="Q1381" s="30">
        <v>36.5</v>
      </c>
    </row>
    <row r="1382">
      <c r="A1382" s="47">
        <v>1.1189401024E10</v>
      </c>
      <c r="B1382" s="48">
        <v>46143.69756944444</v>
      </c>
      <c r="C1382" s="30">
        <v>3.808466149E9</v>
      </c>
      <c r="D1382" s="47" t="s">
        <v>1509</v>
      </c>
      <c r="E1382" s="47">
        <v>8.711231170357E12</v>
      </c>
      <c r="F1382" s="47" t="s">
        <v>1523</v>
      </c>
      <c r="G1382" s="47" t="s">
        <v>1621</v>
      </c>
      <c r="H1382" s="30">
        <v>3.0</v>
      </c>
      <c r="I1382" s="30">
        <v>149.0</v>
      </c>
      <c r="J1382" s="30">
        <v>447.0</v>
      </c>
      <c r="K1382" s="30">
        <v>20.0</v>
      </c>
      <c r="L1382" s="30">
        <v>89.4</v>
      </c>
      <c r="M1382" s="30">
        <v>0.0</v>
      </c>
      <c r="N1382" s="30">
        <v>0.0</v>
      </c>
      <c r="O1382" s="30">
        <v>0.0</v>
      </c>
      <c r="P1382" s="30">
        <v>0.0</v>
      </c>
      <c r="Q1382" s="30">
        <v>357.6</v>
      </c>
    </row>
    <row r="1383">
      <c r="A1383" s="47">
        <v>1.1193520959E10</v>
      </c>
      <c r="B1383" s="48">
        <v>46144.97777777778</v>
      </c>
      <c r="C1383" s="30">
        <v>3.81167741E9</v>
      </c>
      <c r="D1383" s="47" t="s">
        <v>1509</v>
      </c>
      <c r="E1383" s="47">
        <v>6.38929373773889E14</v>
      </c>
      <c r="F1383" s="47" t="s">
        <v>1523</v>
      </c>
      <c r="G1383" s="47" t="s">
        <v>1609</v>
      </c>
      <c r="H1383" s="30">
        <v>1.0</v>
      </c>
      <c r="I1383" s="30">
        <v>727.0</v>
      </c>
      <c r="J1383" s="30">
        <v>727.0</v>
      </c>
      <c r="K1383" s="30">
        <v>13.5</v>
      </c>
      <c r="L1383" s="30">
        <v>98.145</v>
      </c>
      <c r="M1383" s="30">
        <v>480.0</v>
      </c>
      <c r="N1383" s="30">
        <v>480.0</v>
      </c>
      <c r="O1383" s="30">
        <v>0.0</v>
      </c>
      <c r="P1383" s="30">
        <v>0.0</v>
      </c>
      <c r="Q1383" s="30">
        <v>148.85500000000002</v>
      </c>
    </row>
    <row r="1384">
      <c r="A1384" s="47">
        <v>1.1206423519E10</v>
      </c>
      <c r="B1384" s="48">
        <v>46148.85246527778</v>
      </c>
      <c r="C1384" s="30">
        <v>3.82349017E9</v>
      </c>
      <c r="D1384" s="47" t="s">
        <v>1509</v>
      </c>
      <c r="E1384" s="47">
        <v>7.613035846708E12</v>
      </c>
      <c r="F1384" s="47" t="s">
        <v>1523</v>
      </c>
      <c r="G1384" s="47" t="s">
        <v>1535</v>
      </c>
      <c r="H1384" s="30">
        <v>1.0</v>
      </c>
      <c r="I1384" s="30">
        <v>1325.0</v>
      </c>
      <c r="J1384" s="30">
        <v>1325.0</v>
      </c>
      <c r="K1384" s="30">
        <v>6.4</v>
      </c>
      <c r="L1384" s="30">
        <v>84.8</v>
      </c>
      <c r="M1384" s="30">
        <v>1160.0</v>
      </c>
      <c r="N1384" s="30">
        <v>1160.0</v>
      </c>
      <c r="O1384" s="30">
        <v>0.0</v>
      </c>
      <c r="P1384" s="30">
        <v>0.0</v>
      </c>
      <c r="Q1384" s="30">
        <v>80.2</v>
      </c>
    </row>
    <row r="1385">
      <c r="A1385" s="47">
        <v>1.1206347121E10</v>
      </c>
      <c r="B1385" s="48">
        <v>46148.83920138889</v>
      </c>
      <c r="C1385" s="30">
        <v>3.823422065E9</v>
      </c>
      <c r="D1385" s="47" t="s">
        <v>1509</v>
      </c>
      <c r="E1385" s="47">
        <v>3.182550721745E12</v>
      </c>
      <c r="F1385" s="47" t="s">
        <v>1523</v>
      </c>
      <c r="G1385" s="47" t="s">
        <v>1605</v>
      </c>
      <c r="H1385" s="30">
        <v>1.0</v>
      </c>
      <c r="I1385" s="30">
        <v>2635.0</v>
      </c>
      <c r="J1385" s="30">
        <v>2635.0</v>
      </c>
      <c r="K1385" s="30">
        <v>6.4</v>
      </c>
      <c r="L1385" s="30">
        <v>168.64</v>
      </c>
      <c r="M1385" s="30">
        <v>2000.0</v>
      </c>
      <c r="N1385" s="30">
        <v>2000.0</v>
      </c>
      <c r="O1385" s="30">
        <v>0.0</v>
      </c>
      <c r="P1385" s="30">
        <v>0.0</v>
      </c>
      <c r="Q1385" s="30">
        <v>466.36</v>
      </c>
    </row>
    <row r="1386">
      <c r="A1386" s="47">
        <v>1.1207689436E10</v>
      </c>
      <c r="B1386" s="48">
        <v>46149.052407407406</v>
      </c>
      <c r="C1386" s="30">
        <v>3.824634303E9</v>
      </c>
      <c r="D1386" s="47" t="s">
        <v>1509</v>
      </c>
      <c r="E1386" s="47" t="s">
        <v>336</v>
      </c>
      <c r="F1386" s="47" t="s">
        <v>1523</v>
      </c>
      <c r="G1386" s="47" t="s">
        <v>1612</v>
      </c>
      <c r="H1386" s="30">
        <v>1.0</v>
      </c>
      <c r="I1386" s="30">
        <v>1425.0</v>
      </c>
      <c r="J1386" s="30">
        <v>1425.0</v>
      </c>
      <c r="K1386" s="30">
        <v>12.5</v>
      </c>
      <c r="L1386" s="30">
        <v>178.125</v>
      </c>
      <c r="M1386" s="30">
        <v>999.6</v>
      </c>
      <c r="N1386" s="30">
        <v>999.6</v>
      </c>
      <c r="O1386" s="30">
        <v>0.0</v>
      </c>
      <c r="P1386" s="30">
        <v>0.0</v>
      </c>
      <c r="Q1386" s="30">
        <v>247.27499999999998</v>
      </c>
    </row>
    <row r="1387">
      <c r="A1387" s="47">
        <v>1.1204932252E10</v>
      </c>
      <c r="B1387" s="48">
        <v>46148.59032407407</v>
      </c>
      <c r="C1387" s="30">
        <v>3.822087327E9</v>
      </c>
      <c r="D1387" s="47" t="s">
        <v>1509</v>
      </c>
      <c r="E1387" s="47">
        <v>7.613033560033E12</v>
      </c>
      <c r="F1387" s="47">
        <v>0.0</v>
      </c>
      <c r="G1387" s="47" t="s">
        <v>1539</v>
      </c>
      <c r="H1387" s="30">
        <v>1.0</v>
      </c>
      <c r="I1387" s="30">
        <v>1430.0</v>
      </c>
      <c r="J1387" s="30">
        <v>1430.0</v>
      </c>
      <c r="K1387" s="30">
        <v>6.4</v>
      </c>
      <c r="L1387" s="30">
        <v>91.52</v>
      </c>
      <c r="M1387" s="30">
        <v>1165.0</v>
      </c>
      <c r="N1387" s="30">
        <v>1165.0</v>
      </c>
      <c r="O1387" s="30">
        <v>0.0</v>
      </c>
      <c r="P1387" s="30">
        <v>0.0</v>
      </c>
      <c r="Q1387" s="30">
        <v>173.48000000000002</v>
      </c>
    </row>
    <row r="1388">
      <c r="A1388" s="47">
        <v>1.1203184202E10</v>
      </c>
      <c r="B1388" s="48">
        <v>46147.972708333335</v>
      </c>
      <c r="C1388" s="30">
        <v>3.820236834E9</v>
      </c>
      <c r="D1388" s="47" t="s">
        <v>1509</v>
      </c>
      <c r="E1388" s="47">
        <v>3.182550721745E12</v>
      </c>
      <c r="F1388" s="47" t="s">
        <v>1523</v>
      </c>
      <c r="G1388" s="47" t="s">
        <v>1605</v>
      </c>
      <c r="H1388" s="30">
        <v>1.0</v>
      </c>
      <c r="I1388" s="30">
        <v>2635.0</v>
      </c>
      <c r="J1388" s="30">
        <v>2635.0</v>
      </c>
      <c r="K1388" s="30">
        <v>6.4</v>
      </c>
      <c r="L1388" s="30">
        <v>168.64</v>
      </c>
      <c r="M1388" s="30">
        <v>2000.0</v>
      </c>
      <c r="N1388" s="30">
        <v>2000.0</v>
      </c>
      <c r="O1388" s="30">
        <v>0.0</v>
      </c>
      <c r="P1388" s="30">
        <v>0.0</v>
      </c>
      <c r="Q1388" s="30">
        <v>466.36</v>
      </c>
    </row>
    <row r="1389">
      <c r="A1389" s="47">
        <v>1.1205537199E10</v>
      </c>
      <c r="B1389" s="48">
        <v>46148.696122685185</v>
      </c>
      <c r="C1389" s="30">
        <v>3.822647902E9</v>
      </c>
      <c r="D1389" s="47" t="s">
        <v>1509</v>
      </c>
      <c r="E1389" s="47">
        <v>7.613033560033E12</v>
      </c>
      <c r="F1389" s="47">
        <v>0.0</v>
      </c>
      <c r="G1389" s="47" t="s">
        <v>1539</v>
      </c>
      <c r="H1389" s="30">
        <v>1.0</v>
      </c>
      <c r="I1389" s="30">
        <v>1430.0</v>
      </c>
      <c r="J1389" s="30">
        <v>1430.0</v>
      </c>
      <c r="K1389" s="30">
        <v>6.4</v>
      </c>
      <c r="L1389" s="30">
        <v>91.52</v>
      </c>
      <c r="M1389" s="30">
        <v>1165.0</v>
      </c>
      <c r="N1389" s="30">
        <v>1165.0</v>
      </c>
      <c r="O1389" s="30">
        <v>0.0</v>
      </c>
      <c r="P1389" s="30">
        <v>0.0</v>
      </c>
      <c r="Q1389" s="30">
        <v>173.48000000000002</v>
      </c>
    </row>
    <row r="1390">
      <c r="A1390" s="47">
        <v>1.1204667591E10</v>
      </c>
      <c r="B1390" s="48">
        <v>46148.52690972222</v>
      </c>
      <c r="C1390" s="30">
        <v>3.82179385E9</v>
      </c>
      <c r="D1390" s="47" t="s">
        <v>1509</v>
      </c>
      <c r="E1390" s="47">
        <v>3.182550721738E12</v>
      </c>
      <c r="F1390" s="47" t="s">
        <v>1523</v>
      </c>
      <c r="G1390" s="47" t="s">
        <v>1526</v>
      </c>
      <c r="H1390" s="30">
        <v>1.0</v>
      </c>
      <c r="I1390" s="30">
        <v>1554.0</v>
      </c>
      <c r="J1390" s="30">
        <v>1554.0</v>
      </c>
      <c r="K1390" s="30">
        <v>6.4</v>
      </c>
      <c r="L1390" s="30">
        <v>99.456</v>
      </c>
      <c r="M1390" s="30">
        <v>1210.0</v>
      </c>
      <c r="N1390" s="30">
        <v>1210.0</v>
      </c>
      <c r="O1390" s="30">
        <v>0.0</v>
      </c>
      <c r="P1390" s="30">
        <v>0.0</v>
      </c>
      <c r="Q1390" s="30">
        <v>244.54399999999998</v>
      </c>
    </row>
    <row r="1391">
      <c r="A1391" s="47">
        <v>1.1205121283E10</v>
      </c>
      <c r="B1391" s="48">
        <v>46148.626226851855</v>
      </c>
      <c r="C1391" s="30">
        <v>3.822263289E9</v>
      </c>
      <c r="D1391" s="47" t="s">
        <v>1509</v>
      </c>
      <c r="E1391" s="47">
        <v>7.613035846708E12</v>
      </c>
      <c r="F1391" s="47" t="s">
        <v>1523</v>
      </c>
      <c r="G1391" s="47" t="s">
        <v>1535</v>
      </c>
      <c r="H1391" s="30">
        <v>1.0</v>
      </c>
      <c r="I1391" s="30">
        <v>1400.0</v>
      </c>
      <c r="J1391" s="30">
        <v>1400.0</v>
      </c>
      <c r="K1391" s="30">
        <v>6.4</v>
      </c>
      <c r="L1391" s="30">
        <v>89.6</v>
      </c>
      <c r="M1391" s="30">
        <v>1160.0</v>
      </c>
      <c r="N1391" s="30">
        <v>1160.0</v>
      </c>
      <c r="O1391" s="30">
        <v>0.0</v>
      </c>
      <c r="P1391" s="30">
        <v>0.0</v>
      </c>
      <c r="Q1391" s="30">
        <v>150.4</v>
      </c>
    </row>
    <row r="1392">
      <c r="A1392" s="47">
        <v>1.1204841269E10</v>
      </c>
      <c r="B1392" s="48">
        <v>46148.570810185185</v>
      </c>
      <c r="C1392" s="30">
        <v>3.821987794E9</v>
      </c>
      <c r="D1392" s="47" t="s">
        <v>1509</v>
      </c>
      <c r="E1392" s="47">
        <v>7.613033560033E12</v>
      </c>
      <c r="F1392" s="47">
        <v>0.0</v>
      </c>
      <c r="G1392" s="47" t="s">
        <v>1539</v>
      </c>
      <c r="H1392" s="30">
        <v>1.0</v>
      </c>
      <c r="I1392" s="30">
        <v>1430.0</v>
      </c>
      <c r="J1392" s="30">
        <v>1430.0</v>
      </c>
      <c r="K1392" s="30">
        <v>6.4</v>
      </c>
      <c r="L1392" s="30">
        <v>91.52</v>
      </c>
      <c r="M1392" s="30">
        <v>1165.0</v>
      </c>
      <c r="N1392" s="30">
        <v>1165.0</v>
      </c>
      <c r="O1392" s="30">
        <v>0.0</v>
      </c>
      <c r="P1392" s="30">
        <v>0.0</v>
      </c>
      <c r="Q1392" s="30">
        <v>173.48000000000002</v>
      </c>
    </row>
    <row r="1393">
      <c r="A1393" s="47">
        <v>1.1208161283E10</v>
      </c>
      <c r="B1393" s="48">
        <v>46149.132893518516</v>
      </c>
      <c r="C1393" s="30">
        <v>3.82514607E9</v>
      </c>
      <c r="D1393" s="47" t="s">
        <v>1509</v>
      </c>
      <c r="E1393" s="47">
        <v>7.613035846708E12</v>
      </c>
      <c r="F1393" s="47" t="s">
        <v>1523</v>
      </c>
      <c r="G1393" s="47" t="s">
        <v>1535</v>
      </c>
      <c r="H1393" s="30">
        <v>1.0</v>
      </c>
      <c r="I1393" s="30">
        <v>1400.0</v>
      </c>
      <c r="J1393" s="30">
        <v>1400.0</v>
      </c>
      <c r="K1393" s="30">
        <v>6.4</v>
      </c>
      <c r="L1393" s="30">
        <v>89.6</v>
      </c>
      <c r="M1393" s="30">
        <v>1160.0</v>
      </c>
      <c r="N1393" s="30">
        <v>1160.0</v>
      </c>
      <c r="O1393" s="30">
        <v>0.0</v>
      </c>
      <c r="P1393" s="30">
        <v>0.0</v>
      </c>
      <c r="Q1393" s="30">
        <v>150.4</v>
      </c>
    </row>
    <row r="1394">
      <c r="A1394" s="47">
        <v>1.1204643753E10</v>
      </c>
      <c r="B1394" s="48">
        <v>46148.519907407404</v>
      </c>
      <c r="C1394" s="30">
        <v>3.821769306E9</v>
      </c>
      <c r="D1394" s="47" t="s">
        <v>1509</v>
      </c>
      <c r="E1394" s="47">
        <v>3.182550721745E12</v>
      </c>
      <c r="F1394" s="47" t="s">
        <v>1523</v>
      </c>
      <c r="G1394" s="47" t="s">
        <v>1605</v>
      </c>
      <c r="H1394" s="30">
        <v>1.0</v>
      </c>
      <c r="I1394" s="30">
        <v>2635.0</v>
      </c>
      <c r="J1394" s="30">
        <v>2635.0</v>
      </c>
      <c r="K1394" s="30">
        <v>6.4</v>
      </c>
      <c r="L1394" s="30">
        <v>168.64</v>
      </c>
      <c r="M1394" s="30">
        <v>2000.0</v>
      </c>
      <c r="N1394" s="30">
        <v>2000.0</v>
      </c>
      <c r="O1394" s="30">
        <v>0.0</v>
      </c>
      <c r="P1394" s="30">
        <v>0.0</v>
      </c>
      <c r="Q1394" s="30">
        <v>466.36</v>
      </c>
    </row>
    <row r="1395">
      <c r="A1395" s="47">
        <v>1.1202058075E10</v>
      </c>
      <c r="B1395" s="48">
        <v>46147.77883101852</v>
      </c>
      <c r="C1395" s="30">
        <v>3.819273344E9</v>
      </c>
      <c r="D1395" s="47" t="s">
        <v>1509</v>
      </c>
      <c r="E1395" s="47">
        <v>7.613035846708E12</v>
      </c>
      <c r="F1395" s="47" t="s">
        <v>1523</v>
      </c>
      <c r="G1395" s="47" t="s">
        <v>1535</v>
      </c>
      <c r="H1395" s="30">
        <v>1.0</v>
      </c>
      <c r="I1395" s="30">
        <v>1400.0</v>
      </c>
      <c r="J1395" s="30">
        <v>1400.0</v>
      </c>
      <c r="K1395" s="30">
        <v>6.4</v>
      </c>
      <c r="L1395" s="30">
        <v>89.6</v>
      </c>
      <c r="M1395" s="30">
        <v>1160.0</v>
      </c>
      <c r="N1395" s="30">
        <v>1160.0</v>
      </c>
      <c r="O1395" s="30">
        <v>0.0</v>
      </c>
      <c r="P1395" s="30">
        <v>0.0</v>
      </c>
      <c r="Q1395" s="30">
        <v>150.4</v>
      </c>
    </row>
    <row r="1396">
      <c r="A1396" s="47">
        <v>1.1205803456E10</v>
      </c>
      <c r="B1396" s="48">
        <v>46148.74283564815</v>
      </c>
      <c r="C1396" s="30">
        <v>3.822903322E9</v>
      </c>
      <c r="D1396" s="47" t="s">
        <v>1509</v>
      </c>
      <c r="E1396" s="47">
        <v>7.613035846708E12</v>
      </c>
      <c r="F1396" s="47" t="s">
        <v>1523</v>
      </c>
      <c r="G1396" s="47" t="s">
        <v>1535</v>
      </c>
      <c r="H1396" s="30">
        <v>1.0</v>
      </c>
      <c r="I1396" s="30">
        <v>1400.0</v>
      </c>
      <c r="J1396" s="30">
        <v>1400.0</v>
      </c>
      <c r="K1396" s="30">
        <v>6.4</v>
      </c>
      <c r="L1396" s="30">
        <v>89.6</v>
      </c>
      <c r="M1396" s="30">
        <v>1160.0</v>
      </c>
      <c r="N1396" s="30">
        <v>1160.0</v>
      </c>
      <c r="O1396" s="30">
        <v>0.0</v>
      </c>
      <c r="P1396" s="30">
        <v>0.0</v>
      </c>
      <c r="Q1396" s="30">
        <v>150.4</v>
      </c>
    </row>
    <row r="1397">
      <c r="A1397" s="47">
        <v>1.120226388E10</v>
      </c>
      <c r="B1397" s="48">
        <v>46147.81732638889</v>
      </c>
      <c r="C1397" s="30">
        <v>3.819463024E9</v>
      </c>
      <c r="D1397" s="47" t="s">
        <v>1509</v>
      </c>
      <c r="E1397" s="47" t="s">
        <v>537</v>
      </c>
      <c r="F1397" s="47" t="s">
        <v>1523</v>
      </c>
      <c r="G1397" s="47" t="s">
        <v>1575</v>
      </c>
      <c r="H1397" s="30">
        <v>1.0</v>
      </c>
      <c r="I1397" s="30">
        <v>1482.0</v>
      </c>
      <c r="J1397" s="30">
        <v>1482.0</v>
      </c>
      <c r="K1397" s="30">
        <v>12.5</v>
      </c>
      <c r="L1397" s="30">
        <v>185.25</v>
      </c>
      <c r="M1397" s="30">
        <v>1053.0</v>
      </c>
      <c r="N1397" s="30">
        <v>1053.0</v>
      </c>
      <c r="O1397" s="30">
        <v>0.0</v>
      </c>
      <c r="P1397" s="30">
        <v>0.0</v>
      </c>
      <c r="Q1397" s="30">
        <v>243.75</v>
      </c>
    </row>
    <row r="1398">
      <c r="A1398" s="47">
        <v>1.1204355154E10</v>
      </c>
      <c r="B1398" s="48">
        <v>46148.21597222222</v>
      </c>
      <c r="C1398" s="30">
        <v>3.821429558E9</v>
      </c>
      <c r="D1398" s="47" t="s">
        <v>1509</v>
      </c>
      <c r="E1398" s="47">
        <v>3.182550721738E12</v>
      </c>
      <c r="F1398" s="47" t="s">
        <v>1523</v>
      </c>
      <c r="G1398" s="47" t="s">
        <v>1526</v>
      </c>
      <c r="H1398" s="30">
        <v>1.0</v>
      </c>
      <c r="I1398" s="30">
        <v>1554.0</v>
      </c>
      <c r="J1398" s="30">
        <v>1554.0</v>
      </c>
      <c r="K1398" s="30">
        <v>6.4</v>
      </c>
      <c r="L1398" s="30">
        <v>99.456</v>
      </c>
      <c r="M1398" s="30">
        <v>1210.0</v>
      </c>
      <c r="N1398" s="30">
        <v>1210.0</v>
      </c>
      <c r="O1398" s="30">
        <v>0.0</v>
      </c>
      <c r="P1398" s="30">
        <v>0.0</v>
      </c>
      <c r="Q1398" s="30">
        <v>244.54399999999998</v>
      </c>
    </row>
    <row r="1399">
      <c r="A1399" s="47">
        <v>1.1201828416E10</v>
      </c>
      <c r="B1399" s="48">
        <v>46147.73489583333</v>
      </c>
      <c r="C1399" s="30">
        <v>3.819066129E9</v>
      </c>
      <c r="D1399" s="47" t="s">
        <v>1509</v>
      </c>
      <c r="E1399" s="47">
        <v>7.613035846708E12</v>
      </c>
      <c r="F1399" s="47" t="s">
        <v>1523</v>
      </c>
      <c r="G1399" s="47" t="s">
        <v>1535</v>
      </c>
      <c r="H1399" s="30">
        <v>1.0</v>
      </c>
      <c r="I1399" s="30">
        <v>1400.0</v>
      </c>
      <c r="J1399" s="30">
        <v>1400.0</v>
      </c>
      <c r="K1399" s="30">
        <v>6.4</v>
      </c>
      <c r="L1399" s="30">
        <v>89.6</v>
      </c>
      <c r="M1399" s="30">
        <v>1160.0</v>
      </c>
      <c r="N1399" s="30">
        <v>1160.0</v>
      </c>
      <c r="O1399" s="30">
        <v>0.0</v>
      </c>
      <c r="P1399" s="30">
        <v>0.0</v>
      </c>
      <c r="Q1399" s="30">
        <v>150.4</v>
      </c>
    </row>
    <row r="1400">
      <c r="A1400" s="47">
        <v>1.1202781836E10</v>
      </c>
      <c r="B1400" s="48">
        <v>46147.906122685185</v>
      </c>
      <c r="C1400" s="30">
        <v>3.819905992E9</v>
      </c>
      <c r="D1400" s="47" t="s">
        <v>1509</v>
      </c>
      <c r="E1400" s="47" t="s">
        <v>537</v>
      </c>
      <c r="F1400" s="47" t="s">
        <v>1523</v>
      </c>
      <c r="G1400" s="47" t="s">
        <v>1575</v>
      </c>
      <c r="H1400" s="30">
        <v>1.0</v>
      </c>
      <c r="I1400" s="30">
        <v>1482.0</v>
      </c>
      <c r="J1400" s="30">
        <v>1482.0</v>
      </c>
      <c r="K1400" s="30">
        <v>12.5</v>
      </c>
      <c r="L1400" s="30">
        <v>185.25</v>
      </c>
      <c r="M1400" s="30">
        <v>1053.0</v>
      </c>
      <c r="N1400" s="30">
        <v>1053.0</v>
      </c>
      <c r="O1400" s="30">
        <v>0.0</v>
      </c>
      <c r="P1400" s="30">
        <v>0.0</v>
      </c>
      <c r="Q1400" s="30">
        <v>243.75</v>
      </c>
    </row>
    <row r="1401">
      <c r="A1401" s="47">
        <v>1.1202451646E10</v>
      </c>
      <c r="B1401" s="48">
        <v>46147.84886574074</v>
      </c>
      <c r="C1401" s="30">
        <v>3.819630245E9</v>
      </c>
      <c r="D1401" s="47" t="s">
        <v>1509</v>
      </c>
      <c r="E1401" s="47">
        <v>3.182550721738E12</v>
      </c>
      <c r="F1401" s="47" t="s">
        <v>1523</v>
      </c>
      <c r="G1401" s="47" t="s">
        <v>1526</v>
      </c>
      <c r="H1401" s="30">
        <v>1.0</v>
      </c>
      <c r="I1401" s="30">
        <v>1554.0</v>
      </c>
      <c r="J1401" s="30">
        <v>1554.0</v>
      </c>
      <c r="K1401" s="30">
        <v>6.4</v>
      </c>
      <c r="L1401" s="30">
        <v>99.456</v>
      </c>
      <c r="M1401" s="30">
        <v>1210.0</v>
      </c>
      <c r="N1401" s="30">
        <v>1210.0</v>
      </c>
      <c r="O1401" s="30">
        <v>0.0</v>
      </c>
      <c r="P1401" s="30">
        <v>0.0</v>
      </c>
      <c r="Q1401" s="30">
        <v>244.54399999999998</v>
      </c>
    </row>
    <row r="1402">
      <c r="A1402" s="47">
        <v>1.1209064616E10</v>
      </c>
      <c r="B1402" s="48">
        <v>46149.61400462963</v>
      </c>
      <c r="C1402" s="30">
        <v>3.826127003E9</v>
      </c>
      <c r="D1402" s="47" t="s">
        <v>1509</v>
      </c>
      <c r="E1402" s="47">
        <v>7.613035846708E12</v>
      </c>
      <c r="F1402" s="47" t="s">
        <v>1523</v>
      </c>
      <c r="G1402" s="47" t="s">
        <v>1535</v>
      </c>
      <c r="H1402" s="30">
        <v>1.0</v>
      </c>
      <c r="I1402" s="30">
        <v>1400.0</v>
      </c>
      <c r="J1402" s="30">
        <v>1400.0</v>
      </c>
      <c r="K1402" s="30">
        <v>6.4</v>
      </c>
      <c r="L1402" s="30">
        <v>89.6</v>
      </c>
      <c r="M1402" s="30">
        <v>1160.0</v>
      </c>
      <c r="N1402" s="30">
        <v>1160.0</v>
      </c>
      <c r="O1402" s="30">
        <v>0.0</v>
      </c>
      <c r="P1402" s="30">
        <v>0.0</v>
      </c>
      <c r="Q1402" s="30">
        <v>150.4</v>
      </c>
    </row>
    <row r="1403">
      <c r="A1403" s="47">
        <v>1.1195245656E10</v>
      </c>
      <c r="B1403" s="48">
        <v>46145.743472222224</v>
      </c>
      <c r="C1403" s="30">
        <v>3.813162506E9</v>
      </c>
      <c r="D1403" s="47" t="s">
        <v>1509</v>
      </c>
      <c r="E1403" s="47">
        <v>2.06441287E9</v>
      </c>
      <c r="F1403" s="47" t="s">
        <v>1523</v>
      </c>
      <c r="G1403" s="47" t="s">
        <v>1627</v>
      </c>
      <c r="H1403" s="30">
        <v>1.0</v>
      </c>
      <c r="I1403" s="30">
        <v>2299.0</v>
      </c>
      <c r="J1403" s="30">
        <v>2299.0</v>
      </c>
      <c r="K1403" s="30">
        <v>16.5</v>
      </c>
      <c r="L1403" s="30">
        <v>379.335</v>
      </c>
      <c r="M1403" s="30">
        <v>1500.0</v>
      </c>
      <c r="N1403" s="30">
        <v>1500.0</v>
      </c>
      <c r="O1403" s="30">
        <v>0.0</v>
      </c>
      <c r="P1403" s="30">
        <v>0.0</v>
      </c>
      <c r="Q1403" s="30">
        <v>419.665</v>
      </c>
    </row>
    <row r="1404">
      <c r="A1404" s="47">
        <v>1.1206970033E10</v>
      </c>
      <c r="B1404" s="48">
        <v>46148.94329861111</v>
      </c>
      <c r="C1404" s="30">
        <v>3.823949497E9</v>
      </c>
      <c r="D1404" s="47" t="s">
        <v>1509</v>
      </c>
      <c r="E1404" s="47">
        <v>6.923632570006E12</v>
      </c>
      <c r="F1404" s="47" t="s">
        <v>298</v>
      </c>
      <c r="G1404" s="47" t="s">
        <v>1544</v>
      </c>
      <c r="H1404" s="30">
        <v>1.0</v>
      </c>
      <c r="I1404" s="30">
        <v>474.0</v>
      </c>
      <c r="J1404" s="30">
        <v>474.0</v>
      </c>
      <c r="K1404" s="30">
        <v>20.0</v>
      </c>
      <c r="L1404" s="30">
        <v>94.8</v>
      </c>
      <c r="M1404" s="30">
        <v>130.0</v>
      </c>
      <c r="N1404" s="30">
        <v>130.0</v>
      </c>
      <c r="O1404" s="30">
        <v>0.0</v>
      </c>
      <c r="P1404" s="30">
        <v>0.0</v>
      </c>
      <c r="Q1404" s="30">
        <v>249.2</v>
      </c>
    </row>
    <row r="1405">
      <c r="A1405" s="47">
        <v>1.1204449866E10</v>
      </c>
      <c r="B1405" s="48">
        <v>46148.40180555556</v>
      </c>
      <c r="C1405" s="30">
        <v>3.821536474E9</v>
      </c>
      <c r="D1405" s="47" t="s">
        <v>1509</v>
      </c>
      <c r="E1405" s="47">
        <v>3.182550721745E12</v>
      </c>
      <c r="F1405" s="47" t="s">
        <v>1523</v>
      </c>
      <c r="G1405" s="47" t="s">
        <v>1605</v>
      </c>
      <c r="H1405" s="30">
        <v>1.0</v>
      </c>
      <c r="I1405" s="30">
        <v>2635.0</v>
      </c>
      <c r="J1405" s="30">
        <v>2635.0</v>
      </c>
      <c r="K1405" s="30">
        <v>6.4</v>
      </c>
      <c r="L1405" s="30">
        <v>168.64</v>
      </c>
      <c r="M1405" s="30">
        <v>2000.0</v>
      </c>
      <c r="N1405" s="30">
        <v>2000.0</v>
      </c>
      <c r="O1405" s="30">
        <v>0.0</v>
      </c>
      <c r="P1405" s="30">
        <v>0.0</v>
      </c>
      <c r="Q1405" s="30">
        <v>466.36</v>
      </c>
    </row>
    <row r="1406">
      <c r="A1406" s="47">
        <v>1.1204516875E10</v>
      </c>
      <c r="B1406" s="48">
        <v>46148.46958333333</v>
      </c>
      <c r="C1406" s="30">
        <v>3.821622134E9</v>
      </c>
      <c r="D1406" s="47" t="s">
        <v>1509</v>
      </c>
      <c r="E1406" s="47">
        <v>7.613033560033E12</v>
      </c>
      <c r="F1406" s="47">
        <v>0.0</v>
      </c>
      <c r="G1406" s="47" t="s">
        <v>1539</v>
      </c>
      <c r="H1406" s="30">
        <v>1.0</v>
      </c>
      <c r="I1406" s="30">
        <v>1430.0</v>
      </c>
      <c r="J1406" s="30">
        <v>1430.0</v>
      </c>
      <c r="K1406" s="30">
        <v>6.4</v>
      </c>
      <c r="L1406" s="30">
        <v>91.52</v>
      </c>
      <c r="M1406" s="30">
        <v>1165.0</v>
      </c>
      <c r="N1406" s="30">
        <v>1165.0</v>
      </c>
      <c r="O1406" s="30">
        <v>0.0</v>
      </c>
      <c r="P1406" s="30">
        <v>0.0</v>
      </c>
      <c r="Q1406" s="30">
        <v>173.48000000000002</v>
      </c>
    </row>
    <row r="1407">
      <c r="A1407" s="47">
        <v>1.1206299083E10</v>
      </c>
      <c r="B1407" s="48">
        <v>46148.83085648148</v>
      </c>
      <c r="C1407" s="30">
        <v>3.823375091E9</v>
      </c>
      <c r="D1407" s="47" t="s">
        <v>1509</v>
      </c>
      <c r="E1407" s="47">
        <v>3.182550721745E12</v>
      </c>
      <c r="F1407" s="47" t="s">
        <v>1523</v>
      </c>
      <c r="G1407" s="47" t="s">
        <v>1605</v>
      </c>
      <c r="H1407" s="30">
        <v>1.0</v>
      </c>
      <c r="I1407" s="30">
        <v>2635.0</v>
      </c>
      <c r="J1407" s="30">
        <v>2635.0</v>
      </c>
      <c r="K1407" s="30">
        <v>6.4</v>
      </c>
      <c r="L1407" s="30">
        <v>168.64</v>
      </c>
      <c r="M1407" s="30">
        <v>2000.0</v>
      </c>
      <c r="N1407" s="30">
        <v>2000.0</v>
      </c>
      <c r="O1407" s="30">
        <v>0.0</v>
      </c>
      <c r="P1407" s="30">
        <v>0.0</v>
      </c>
      <c r="Q1407" s="30">
        <v>466.36</v>
      </c>
    </row>
    <row r="1408">
      <c r="A1408" s="47">
        <v>1.1202265981E10</v>
      </c>
      <c r="B1408" s="48">
        <v>46147.817708333336</v>
      </c>
      <c r="C1408" s="30">
        <v>3.819465372E9</v>
      </c>
      <c r="D1408" s="47" t="s">
        <v>1509</v>
      </c>
      <c r="E1408" s="47">
        <v>7.613035846708E12</v>
      </c>
      <c r="F1408" s="47" t="s">
        <v>1523</v>
      </c>
      <c r="G1408" s="47" t="s">
        <v>1535</v>
      </c>
      <c r="H1408" s="30">
        <v>1.0</v>
      </c>
      <c r="I1408" s="30">
        <v>1400.0</v>
      </c>
      <c r="J1408" s="30">
        <v>1400.0</v>
      </c>
      <c r="K1408" s="30">
        <v>6.4</v>
      </c>
      <c r="L1408" s="30">
        <v>89.6</v>
      </c>
      <c r="M1408" s="30">
        <v>1160.0</v>
      </c>
      <c r="N1408" s="30">
        <v>1160.0</v>
      </c>
      <c r="O1408" s="30">
        <v>0.0</v>
      </c>
      <c r="P1408" s="30">
        <v>0.0</v>
      </c>
      <c r="Q1408" s="30">
        <v>150.4</v>
      </c>
    </row>
    <row r="1409">
      <c r="A1409" s="47">
        <v>1.1159603252E10</v>
      </c>
      <c r="B1409" s="48">
        <v>46133.006006944444</v>
      </c>
      <c r="C1409" s="30">
        <v>3.783659162E9</v>
      </c>
      <c r="D1409" s="47" t="s">
        <v>1516</v>
      </c>
      <c r="E1409" s="47">
        <v>8.410650167909E12</v>
      </c>
      <c r="F1409" s="47" t="s">
        <v>1523</v>
      </c>
      <c r="G1409" s="47" t="s">
        <v>1551</v>
      </c>
      <c r="H1409" s="30">
        <v>1.0</v>
      </c>
      <c r="I1409" s="30">
        <v>1650.0</v>
      </c>
      <c r="J1409" s="30">
        <v>1650.0</v>
      </c>
      <c r="K1409" s="30">
        <v>15.2</v>
      </c>
      <c r="L1409" s="30">
        <v>250.8</v>
      </c>
      <c r="M1409" s="30">
        <v>1228.0</v>
      </c>
      <c r="N1409" s="30">
        <v>1228.0</v>
      </c>
      <c r="O1409" s="30">
        <v>0.0</v>
      </c>
      <c r="P1409" s="30">
        <v>0.0</v>
      </c>
      <c r="Q1409" s="30">
        <v>171.2</v>
      </c>
    </row>
    <row r="1410">
      <c r="A1410" s="47">
        <v>1.1159988833E10</v>
      </c>
      <c r="B1410" s="48">
        <v>46133.086377314816</v>
      </c>
      <c r="C1410" s="30">
        <v>3.784027901E9</v>
      </c>
      <c r="D1410" s="47" t="s">
        <v>1516</v>
      </c>
      <c r="E1410" s="47">
        <v>3.182550721738E12</v>
      </c>
      <c r="F1410" s="47" t="s">
        <v>1523</v>
      </c>
      <c r="G1410" s="47" t="s">
        <v>1526</v>
      </c>
      <c r="H1410" s="30">
        <v>1.0</v>
      </c>
      <c r="I1410" s="30">
        <v>1528.0</v>
      </c>
      <c r="J1410" s="30">
        <v>1528.0</v>
      </c>
      <c r="K1410" s="30">
        <v>8.4</v>
      </c>
      <c r="L1410" s="30">
        <v>128.352</v>
      </c>
      <c r="M1410" s="30">
        <v>1210.0</v>
      </c>
      <c r="N1410" s="30">
        <v>1210.0</v>
      </c>
      <c r="O1410" s="30">
        <v>0.0</v>
      </c>
      <c r="P1410" s="30">
        <v>0.0</v>
      </c>
      <c r="Q1410" s="30">
        <v>189.648</v>
      </c>
    </row>
    <row r="1411">
      <c r="A1411" s="47">
        <v>1.1146144235E10</v>
      </c>
      <c r="B1411" s="48">
        <v>46128.67025462963</v>
      </c>
      <c r="C1411" s="30">
        <v>3.772423446E9</v>
      </c>
      <c r="D1411" s="47" t="s">
        <v>1509</v>
      </c>
      <c r="E1411" s="47" t="s">
        <v>537</v>
      </c>
      <c r="F1411" s="47" t="s">
        <v>1523</v>
      </c>
      <c r="G1411" s="47" t="s">
        <v>1575</v>
      </c>
      <c r="H1411" s="30">
        <v>1.0</v>
      </c>
      <c r="I1411" s="30">
        <v>1410.0</v>
      </c>
      <c r="J1411" s="30">
        <v>1410.0</v>
      </c>
      <c r="K1411" s="30">
        <v>12.5</v>
      </c>
      <c r="L1411" s="30">
        <v>176.25</v>
      </c>
      <c r="M1411" s="30">
        <v>1053.0</v>
      </c>
      <c r="N1411" s="30">
        <v>1053.0</v>
      </c>
      <c r="O1411" s="30">
        <v>0.0</v>
      </c>
      <c r="P1411" s="30">
        <v>0.0</v>
      </c>
      <c r="Q1411" s="30">
        <v>180.75</v>
      </c>
    </row>
    <row r="1412">
      <c r="A1412" s="47">
        <v>1.1208922014E10</v>
      </c>
      <c r="B1412" s="48">
        <v>46149.58627314815</v>
      </c>
      <c r="C1412" s="30">
        <v>3.825989369E9</v>
      </c>
      <c r="D1412" s="47" t="s">
        <v>1509</v>
      </c>
      <c r="E1412" s="47" t="s">
        <v>537</v>
      </c>
      <c r="F1412" s="47" t="s">
        <v>1523</v>
      </c>
      <c r="G1412" s="47" t="s">
        <v>1575</v>
      </c>
      <c r="H1412" s="30">
        <v>1.0</v>
      </c>
      <c r="I1412" s="30">
        <v>1482.0</v>
      </c>
      <c r="J1412" s="30">
        <v>1482.0</v>
      </c>
      <c r="K1412" s="30">
        <v>12.5</v>
      </c>
      <c r="L1412" s="30">
        <v>185.25</v>
      </c>
      <c r="M1412" s="30">
        <v>1053.0</v>
      </c>
      <c r="N1412" s="30">
        <v>1053.0</v>
      </c>
      <c r="O1412" s="30">
        <v>0.0</v>
      </c>
      <c r="P1412" s="30">
        <v>0.0</v>
      </c>
      <c r="Q1412" s="30">
        <v>243.75</v>
      </c>
    </row>
    <row r="1413">
      <c r="A1413" s="47">
        <v>1.1212315823E10</v>
      </c>
      <c r="B1413" s="48">
        <v>46150.44101851852</v>
      </c>
      <c r="C1413" s="30">
        <v>3.829165613E9</v>
      </c>
      <c r="D1413" s="47" t="s">
        <v>1511</v>
      </c>
      <c r="E1413" s="47">
        <v>8.010276042132E12</v>
      </c>
      <c r="F1413" s="47" t="s">
        <v>1523</v>
      </c>
      <c r="G1413" s="47" t="s">
        <v>1603</v>
      </c>
      <c r="H1413" s="30">
        <v>1.0</v>
      </c>
      <c r="I1413" s="30">
        <v>2170.96</v>
      </c>
      <c r="J1413" s="30">
        <v>2170.96</v>
      </c>
      <c r="K1413" s="30">
        <v>12.5</v>
      </c>
      <c r="L1413" s="30">
        <v>271.37</v>
      </c>
      <c r="M1413" s="30">
        <v>1680.0</v>
      </c>
      <c r="N1413" s="30">
        <v>1680.0</v>
      </c>
      <c r="O1413" s="30">
        <v>0.0</v>
      </c>
      <c r="P1413" s="30">
        <v>0.0</v>
      </c>
      <c r="Q1413" s="30">
        <v>219.59000000000003</v>
      </c>
    </row>
    <row r="1414">
      <c r="A1414" s="47">
        <v>1.1204171732E10</v>
      </c>
      <c r="B1414" s="48">
        <v>46148.14519675926</v>
      </c>
      <c r="C1414" s="30">
        <v>3.821231205E9</v>
      </c>
      <c r="D1414" s="47" t="s">
        <v>1509</v>
      </c>
      <c r="E1414" s="47" t="s">
        <v>398</v>
      </c>
      <c r="F1414" s="47" t="s">
        <v>1523</v>
      </c>
      <c r="G1414" s="47" t="s">
        <v>1628</v>
      </c>
      <c r="H1414" s="30">
        <v>1.0</v>
      </c>
      <c r="I1414" s="30">
        <v>654.0</v>
      </c>
      <c r="J1414" s="30">
        <v>654.0</v>
      </c>
      <c r="K1414" s="30">
        <v>13.5</v>
      </c>
      <c r="L1414" s="30">
        <v>88.29</v>
      </c>
      <c r="M1414" s="30">
        <v>360.0</v>
      </c>
      <c r="N1414" s="30">
        <v>360.0</v>
      </c>
      <c r="O1414" s="30">
        <v>0.0</v>
      </c>
      <c r="P1414" s="30">
        <v>0.0</v>
      </c>
      <c r="Q1414" s="30">
        <v>205.70999999999998</v>
      </c>
    </row>
    <row r="1415">
      <c r="A1415" s="47">
        <v>1.1201695462E10</v>
      </c>
      <c r="B1415" s="48">
        <v>46147.70898148148</v>
      </c>
      <c r="C1415" s="30">
        <v>3.818943845E9</v>
      </c>
      <c r="D1415" s="47" t="s">
        <v>1509</v>
      </c>
      <c r="E1415" s="47">
        <v>7.613035846708E12</v>
      </c>
      <c r="F1415" s="47" t="s">
        <v>1523</v>
      </c>
      <c r="G1415" s="47" t="s">
        <v>1535</v>
      </c>
      <c r="H1415" s="30">
        <v>1.0</v>
      </c>
      <c r="I1415" s="30">
        <v>1448.0</v>
      </c>
      <c r="J1415" s="30">
        <v>1448.0</v>
      </c>
      <c r="K1415" s="30">
        <v>12.5</v>
      </c>
      <c r="L1415" s="30">
        <v>181.0</v>
      </c>
      <c r="M1415" s="30">
        <v>1160.0</v>
      </c>
      <c r="N1415" s="30">
        <v>1160.0</v>
      </c>
      <c r="O1415" s="30">
        <v>0.0</v>
      </c>
      <c r="P1415" s="30">
        <v>0.0</v>
      </c>
      <c r="Q1415" s="30">
        <v>107.0</v>
      </c>
    </row>
    <row r="1416">
      <c r="A1416" s="47">
        <v>1.1209605804E10</v>
      </c>
      <c r="B1416" s="48">
        <v>46149.70894675926</v>
      </c>
      <c r="C1416" s="30">
        <v>3.826613217E9</v>
      </c>
      <c r="D1416" s="47" t="s">
        <v>1511</v>
      </c>
      <c r="E1416" s="47" t="s">
        <v>143</v>
      </c>
      <c r="F1416" s="47" t="s">
        <v>1523</v>
      </c>
      <c r="G1416" s="47" t="s">
        <v>1545</v>
      </c>
      <c r="H1416" s="30">
        <v>1.0</v>
      </c>
      <c r="I1416" s="30">
        <v>319.0</v>
      </c>
      <c r="J1416" s="30">
        <v>319.0</v>
      </c>
      <c r="K1416" s="30">
        <v>0.0</v>
      </c>
      <c r="L1416" s="30">
        <v>0.0</v>
      </c>
      <c r="M1416" s="30">
        <v>180.0</v>
      </c>
      <c r="N1416" s="30">
        <v>180.0</v>
      </c>
      <c r="O1416" s="30">
        <v>0.0</v>
      </c>
      <c r="P1416" s="30">
        <v>0.0</v>
      </c>
      <c r="Q1416" s="30">
        <v>139.0</v>
      </c>
    </row>
    <row r="1417">
      <c r="A1417" s="47">
        <v>1.1204063274E10</v>
      </c>
      <c r="B1417" s="48">
        <v>46148.12021990741</v>
      </c>
      <c r="C1417" s="30">
        <v>3.821112121E9</v>
      </c>
      <c r="D1417" s="47" t="s">
        <v>1509</v>
      </c>
      <c r="E1417" s="47">
        <v>3.182550721738E12</v>
      </c>
      <c r="F1417" s="47" t="s">
        <v>1523</v>
      </c>
      <c r="G1417" s="47" t="s">
        <v>1526</v>
      </c>
      <c r="H1417" s="30">
        <v>1.0</v>
      </c>
      <c r="I1417" s="30">
        <v>1554.0</v>
      </c>
      <c r="J1417" s="30">
        <v>1554.0</v>
      </c>
      <c r="K1417" s="30">
        <v>6.4</v>
      </c>
      <c r="L1417" s="30">
        <v>99.456</v>
      </c>
      <c r="M1417" s="30">
        <v>1210.0</v>
      </c>
      <c r="N1417" s="30">
        <v>1210.0</v>
      </c>
      <c r="O1417" s="30">
        <v>0.0</v>
      </c>
      <c r="P1417" s="30">
        <v>0.0</v>
      </c>
      <c r="Q1417" s="30">
        <v>244.54399999999998</v>
      </c>
    </row>
    <row r="1418">
      <c r="A1418" s="47">
        <v>1.1204502666E10</v>
      </c>
      <c r="B1418" s="48">
        <v>46148.460868055554</v>
      </c>
      <c r="C1418" s="30">
        <v>3.821607081E9</v>
      </c>
      <c r="D1418" s="47" t="s">
        <v>1509</v>
      </c>
      <c r="E1418" s="47">
        <v>7.613035846708E12</v>
      </c>
      <c r="F1418" s="47" t="s">
        <v>1523</v>
      </c>
      <c r="G1418" s="47" t="s">
        <v>1535</v>
      </c>
      <c r="H1418" s="30">
        <v>1.0</v>
      </c>
      <c r="I1418" s="30">
        <v>1400.0</v>
      </c>
      <c r="J1418" s="30">
        <v>1400.0</v>
      </c>
      <c r="K1418" s="30">
        <v>6.4</v>
      </c>
      <c r="L1418" s="30">
        <v>89.6</v>
      </c>
      <c r="M1418" s="30">
        <v>1160.0</v>
      </c>
      <c r="N1418" s="30">
        <v>1160.0</v>
      </c>
      <c r="O1418" s="30">
        <v>0.0</v>
      </c>
      <c r="P1418" s="30">
        <v>0.0</v>
      </c>
      <c r="Q1418" s="30">
        <v>150.4</v>
      </c>
    </row>
    <row r="1419">
      <c r="A1419" s="47">
        <v>1.1204184075E10</v>
      </c>
      <c r="B1419" s="48">
        <v>46148.148368055554</v>
      </c>
      <c r="C1419" s="30">
        <v>3.821242937E9</v>
      </c>
      <c r="D1419" s="47" t="s">
        <v>1509</v>
      </c>
      <c r="E1419" s="47">
        <v>7.613033560033E12</v>
      </c>
      <c r="F1419" s="47">
        <v>0.0</v>
      </c>
      <c r="G1419" s="47" t="s">
        <v>1539</v>
      </c>
      <c r="H1419" s="30">
        <v>1.0</v>
      </c>
      <c r="I1419" s="30">
        <v>1430.0</v>
      </c>
      <c r="J1419" s="30">
        <v>1430.0</v>
      </c>
      <c r="K1419" s="30">
        <v>6.4</v>
      </c>
      <c r="L1419" s="30">
        <v>91.52</v>
      </c>
      <c r="M1419" s="30">
        <v>1165.0</v>
      </c>
      <c r="N1419" s="30">
        <v>1165.0</v>
      </c>
      <c r="O1419" s="30">
        <v>0.0</v>
      </c>
      <c r="P1419" s="30">
        <v>0.0</v>
      </c>
      <c r="Q1419" s="30">
        <v>173.48000000000002</v>
      </c>
    </row>
    <row r="1420">
      <c r="A1420" s="47">
        <v>1.1196218848E10</v>
      </c>
      <c r="B1420" s="48">
        <v>46145.937731481485</v>
      </c>
      <c r="C1420" s="30">
        <v>3.813860321E9</v>
      </c>
      <c r="D1420" s="47" t="s">
        <v>1509</v>
      </c>
      <c r="E1420" s="47">
        <v>3.182550727822E12</v>
      </c>
      <c r="F1420" s="47" t="s">
        <v>1523</v>
      </c>
      <c r="G1420" s="47" t="s">
        <v>1592</v>
      </c>
      <c r="H1420" s="30">
        <v>1.0</v>
      </c>
      <c r="I1420" s="30">
        <v>1767.0</v>
      </c>
      <c r="J1420" s="30">
        <v>1767.0</v>
      </c>
      <c r="K1420" s="30">
        <v>12.5</v>
      </c>
      <c r="L1420" s="30">
        <v>220.875</v>
      </c>
      <c r="M1420" s="30">
        <v>1260.0</v>
      </c>
      <c r="N1420" s="30">
        <v>1260.0</v>
      </c>
      <c r="O1420" s="30">
        <v>0.0</v>
      </c>
      <c r="P1420" s="30">
        <v>0.0</v>
      </c>
      <c r="Q1420" s="30">
        <v>286.125</v>
      </c>
    </row>
    <row r="1421">
      <c r="A1421" s="47">
        <v>1.1196773816E10</v>
      </c>
      <c r="B1421" s="48">
        <v>46146.04591435185</v>
      </c>
      <c r="C1421" s="30">
        <v>3.81431386E9</v>
      </c>
      <c r="D1421" s="47" t="s">
        <v>1509</v>
      </c>
      <c r="E1421" s="47" t="s">
        <v>143</v>
      </c>
      <c r="F1421" s="47" t="s">
        <v>1523</v>
      </c>
      <c r="G1421" s="47" t="s">
        <v>1545</v>
      </c>
      <c r="H1421" s="30">
        <v>2.0</v>
      </c>
      <c r="I1421" s="30">
        <v>319.0</v>
      </c>
      <c r="J1421" s="30">
        <v>638.0</v>
      </c>
      <c r="K1421" s="30">
        <v>16.5</v>
      </c>
      <c r="L1421" s="30">
        <v>105.27</v>
      </c>
      <c r="M1421" s="30">
        <v>180.0</v>
      </c>
      <c r="N1421" s="30">
        <v>360.0</v>
      </c>
      <c r="O1421" s="30">
        <v>0.0</v>
      </c>
      <c r="P1421" s="30">
        <v>0.0</v>
      </c>
      <c r="Q1421" s="30">
        <v>172.73000000000002</v>
      </c>
    </row>
    <row r="1422">
      <c r="A1422" s="47">
        <v>1.1203407451E10</v>
      </c>
      <c r="B1422" s="48">
        <v>46148.00763888889</v>
      </c>
      <c r="C1422" s="30">
        <v>3.820439071E9</v>
      </c>
      <c r="D1422" s="47" t="s">
        <v>1509</v>
      </c>
      <c r="E1422" s="47" t="s">
        <v>336</v>
      </c>
      <c r="F1422" s="47" t="s">
        <v>1523</v>
      </c>
      <c r="G1422" s="47" t="s">
        <v>1612</v>
      </c>
      <c r="H1422" s="30">
        <v>2.0</v>
      </c>
      <c r="I1422" s="30">
        <v>1340.0</v>
      </c>
      <c r="J1422" s="30">
        <v>2680.0</v>
      </c>
      <c r="K1422" s="30">
        <v>12.5</v>
      </c>
      <c r="L1422" s="30">
        <v>335.0</v>
      </c>
      <c r="M1422" s="30">
        <v>999.6</v>
      </c>
      <c r="N1422" s="30">
        <v>1999.2</v>
      </c>
      <c r="O1422" s="30">
        <v>0.0</v>
      </c>
      <c r="P1422" s="30">
        <v>0.0</v>
      </c>
      <c r="Q1422" s="30">
        <v>345.79999999999995</v>
      </c>
    </row>
    <row r="1423">
      <c r="A1423" s="47">
        <v>1.1203567167E10</v>
      </c>
      <c r="B1423" s="48">
        <v>46148.0334375</v>
      </c>
      <c r="C1423" s="30">
        <v>3.820595961E9</v>
      </c>
      <c r="D1423" s="47" t="s">
        <v>1509</v>
      </c>
      <c r="E1423" s="47">
        <v>7.613035846708E12</v>
      </c>
      <c r="F1423" s="47" t="s">
        <v>1523</v>
      </c>
      <c r="G1423" s="47" t="s">
        <v>1535</v>
      </c>
      <c r="H1423" s="30">
        <v>1.0</v>
      </c>
      <c r="I1423" s="30">
        <v>1400.0</v>
      </c>
      <c r="J1423" s="30">
        <v>1400.0</v>
      </c>
      <c r="K1423" s="30">
        <v>6.4</v>
      </c>
      <c r="L1423" s="30">
        <v>89.6</v>
      </c>
      <c r="M1423" s="30">
        <v>1160.0</v>
      </c>
      <c r="N1423" s="30">
        <v>1160.0</v>
      </c>
      <c r="O1423" s="30">
        <v>0.0</v>
      </c>
      <c r="P1423" s="30">
        <v>0.0</v>
      </c>
      <c r="Q1423" s="30">
        <v>150.4</v>
      </c>
    </row>
    <row r="1424">
      <c r="A1424" s="47">
        <v>1.1203288843E10</v>
      </c>
      <c r="B1424" s="48">
        <v>46147.98902777778</v>
      </c>
      <c r="C1424" s="30">
        <v>3.820327686E9</v>
      </c>
      <c r="D1424" s="47" t="s">
        <v>1509</v>
      </c>
      <c r="E1424" s="47">
        <v>7.613035846708E12</v>
      </c>
      <c r="F1424" s="47" t="s">
        <v>1523</v>
      </c>
      <c r="G1424" s="47" t="s">
        <v>1535</v>
      </c>
      <c r="H1424" s="30">
        <v>1.0</v>
      </c>
      <c r="I1424" s="30">
        <v>1400.0</v>
      </c>
      <c r="J1424" s="30">
        <v>1400.0</v>
      </c>
      <c r="K1424" s="30">
        <v>6.4</v>
      </c>
      <c r="L1424" s="30">
        <v>89.6</v>
      </c>
      <c r="M1424" s="30">
        <v>1160.0</v>
      </c>
      <c r="N1424" s="30">
        <v>1160.0</v>
      </c>
      <c r="O1424" s="30">
        <v>0.0</v>
      </c>
      <c r="P1424" s="30">
        <v>0.0</v>
      </c>
      <c r="Q1424" s="30">
        <v>150.4</v>
      </c>
    </row>
    <row r="1425">
      <c r="A1425" s="47">
        <v>1.1193475229E10</v>
      </c>
      <c r="B1425" s="48">
        <v>46144.96789351852</v>
      </c>
      <c r="C1425" s="30">
        <v>3.811642467E9</v>
      </c>
      <c r="D1425" s="47" t="s">
        <v>1509</v>
      </c>
      <c r="E1425" s="47" t="s">
        <v>409</v>
      </c>
      <c r="F1425" s="47" t="s">
        <v>1523</v>
      </c>
      <c r="G1425" s="47" t="s">
        <v>1579</v>
      </c>
      <c r="H1425" s="30">
        <v>1.0</v>
      </c>
      <c r="I1425" s="30">
        <v>1099.0</v>
      </c>
      <c r="J1425" s="30">
        <v>1099.0</v>
      </c>
      <c r="K1425" s="30">
        <v>13.5</v>
      </c>
      <c r="L1425" s="30">
        <v>148.365</v>
      </c>
      <c r="M1425" s="30">
        <v>780.0</v>
      </c>
      <c r="N1425" s="30">
        <v>780.0</v>
      </c>
      <c r="O1425" s="30">
        <v>0.0</v>
      </c>
      <c r="P1425" s="30">
        <v>0.0</v>
      </c>
      <c r="Q1425" s="30">
        <v>170.635</v>
      </c>
    </row>
    <row r="1426">
      <c r="A1426" s="47">
        <v>1.1203310925E10</v>
      </c>
      <c r="B1426" s="48">
        <v>46147.99261574074</v>
      </c>
      <c r="C1426" s="30">
        <v>3.820347779E9</v>
      </c>
      <c r="D1426" s="47" t="s">
        <v>1509</v>
      </c>
      <c r="E1426" s="47" t="s">
        <v>143</v>
      </c>
      <c r="F1426" s="47" t="s">
        <v>1523</v>
      </c>
      <c r="G1426" s="47" t="s">
        <v>1545</v>
      </c>
      <c r="H1426" s="30">
        <v>1.0</v>
      </c>
      <c r="I1426" s="30">
        <v>319.0</v>
      </c>
      <c r="J1426" s="30">
        <v>319.0</v>
      </c>
      <c r="K1426" s="30">
        <v>16.5</v>
      </c>
      <c r="L1426" s="30">
        <v>52.635</v>
      </c>
      <c r="M1426" s="30">
        <v>180.0</v>
      </c>
      <c r="N1426" s="30">
        <v>180.0</v>
      </c>
      <c r="O1426" s="30">
        <v>0.0</v>
      </c>
      <c r="P1426" s="30">
        <v>0.0</v>
      </c>
      <c r="Q1426" s="30">
        <v>86.36500000000001</v>
      </c>
    </row>
    <row r="1427">
      <c r="A1427" s="47">
        <v>1.120241476E10</v>
      </c>
      <c r="B1427" s="48">
        <v>46147.84238425926</v>
      </c>
      <c r="C1427" s="30">
        <v>3.819599618E9</v>
      </c>
      <c r="D1427" s="47" t="s">
        <v>1509</v>
      </c>
      <c r="E1427" s="47">
        <v>8.711231170357E12</v>
      </c>
      <c r="F1427" s="47" t="s">
        <v>1523</v>
      </c>
      <c r="G1427" s="47" t="s">
        <v>1621</v>
      </c>
      <c r="H1427" s="30">
        <v>3.0</v>
      </c>
      <c r="I1427" s="30">
        <v>149.0</v>
      </c>
      <c r="J1427" s="30">
        <v>447.0</v>
      </c>
      <c r="K1427" s="30">
        <v>5.0</v>
      </c>
      <c r="L1427" s="30">
        <v>22.35</v>
      </c>
      <c r="M1427" s="30">
        <v>0.0</v>
      </c>
      <c r="N1427" s="30">
        <v>0.0</v>
      </c>
      <c r="O1427" s="30">
        <v>0.0</v>
      </c>
      <c r="P1427" s="30">
        <v>0.0</v>
      </c>
      <c r="Q1427" s="30">
        <v>424.65</v>
      </c>
    </row>
    <row r="1428">
      <c r="A1428" s="47">
        <v>1.1188084929E10</v>
      </c>
      <c r="B1428" s="48">
        <v>46143.02627314815</v>
      </c>
      <c r="C1428" s="30">
        <v>3.807313071E9</v>
      </c>
      <c r="D1428" s="47" t="s">
        <v>1509</v>
      </c>
      <c r="E1428" s="47">
        <v>3.182550721738E12</v>
      </c>
      <c r="F1428" s="47" t="s">
        <v>1523</v>
      </c>
      <c r="G1428" s="47" t="s">
        <v>1526</v>
      </c>
      <c r="H1428" s="30">
        <v>1.0</v>
      </c>
      <c r="I1428" s="30">
        <v>1549.0</v>
      </c>
      <c r="J1428" s="30">
        <v>1549.0</v>
      </c>
      <c r="K1428" s="30">
        <v>12.5</v>
      </c>
      <c r="L1428" s="30">
        <v>193.625</v>
      </c>
      <c r="M1428" s="30">
        <v>1210.0</v>
      </c>
      <c r="N1428" s="30">
        <v>1210.0</v>
      </c>
      <c r="O1428" s="30">
        <v>0.0</v>
      </c>
      <c r="P1428" s="30">
        <v>0.0</v>
      </c>
      <c r="Q1428" s="30">
        <v>145.375</v>
      </c>
    </row>
    <row r="1429">
      <c r="A1429" s="47">
        <v>1.1201103713E10</v>
      </c>
      <c r="B1429" s="48">
        <v>46147.59883101852</v>
      </c>
      <c r="C1429" s="30">
        <v>3.818420694E9</v>
      </c>
      <c r="D1429" s="47" t="s">
        <v>1509</v>
      </c>
      <c r="E1429" s="47">
        <v>3.182550728102E12</v>
      </c>
      <c r="F1429" s="47" t="s">
        <v>1523</v>
      </c>
      <c r="G1429" s="47" t="s">
        <v>1576</v>
      </c>
      <c r="H1429" s="30">
        <v>2.0</v>
      </c>
      <c r="I1429" s="30">
        <v>978.0</v>
      </c>
      <c r="J1429" s="30">
        <v>1956.0</v>
      </c>
      <c r="K1429" s="30">
        <v>12.5</v>
      </c>
      <c r="L1429" s="30">
        <v>244.5</v>
      </c>
      <c r="M1429" s="30">
        <v>621.6</v>
      </c>
      <c r="N1429" s="30">
        <v>1243.2</v>
      </c>
      <c r="O1429" s="30">
        <v>0.0</v>
      </c>
      <c r="P1429" s="30">
        <v>0.0</v>
      </c>
      <c r="Q1429" s="30">
        <v>468.29999999999995</v>
      </c>
    </row>
    <row r="1430">
      <c r="A1430" s="47">
        <v>1.1192886534E10</v>
      </c>
      <c r="B1430" s="48">
        <v>46144.83951388889</v>
      </c>
      <c r="C1430" s="30">
        <v>3.811244189E9</v>
      </c>
      <c r="D1430" s="47" t="s">
        <v>1509</v>
      </c>
      <c r="E1430" s="47" t="s">
        <v>409</v>
      </c>
      <c r="F1430" s="47" t="s">
        <v>1523</v>
      </c>
      <c r="G1430" s="47" t="s">
        <v>1579</v>
      </c>
      <c r="H1430" s="30">
        <v>1.0</v>
      </c>
      <c r="I1430" s="30">
        <v>1099.0</v>
      </c>
      <c r="J1430" s="30">
        <v>1099.0</v>
      </c>
      <c r="K1430" s="30">
        <v>13.5</v>
      </c>
      <c r="L1430" s="30">
        <v>148.365</v>
      </c>
      <c r="M1430" s="30">
        <v>780.0</v>
      </c>
      <c r="N1430" s="30">
        <v>780.0</v>
      </c>
      <c r="O1430" s="30">
        <v>0.0</v>
      </c>
      <c r="P1430" s="30">
        <v>0.0</v>
      </c>
      <c r="Q1430" s="30">
        <v>170.635</v>
      </c>
    </row>
    <row r="1431">
      <c r="A1431" s="47">
        <v>1.1200451488E10</v>
      </c>
      <c r="B1431" s="48">
        <v>46147.14418981481</v>
      </c>
      <c r="C1431" s="30">
        <v>3.817711672E9</v>
      </c>
      <c r="D1431" s="47" t="s">
        <v>1509</v>
      </c>
      <c r="E1431" s="47" t="s">
        <v>537</v>
      </c>
      <c r="F1431" s="47" t="s">
        <v>1523</v>
      </c>
      <c r="G1431" s="47" t="s">
        <v>1575</v>
      </c>
      <c r="H1431" s="30">
        <v>1.0</v>
      </c>
      <c r="I1431" s="30">
        <v>1482.0</v>
      </c>
      <c r="J1431" s="30">
        <v>1482.0</v>
      </c>
      <c r="K1431" s="30">
        <v>12.5</v>
      </c>
      <c r="L1431" s="30">
        <v>185.25</v>
      </c>
      <c r="M1431" s="30">
        <v>1053.0</v>
      </c>
      <c r="N1431" s="30">
        <v>1053.0</v>
      </c>
      <c r="O1431" s="30">
        <v>0.0</v>
      </c>
      <c r="P1431" s="30">
        <v>0.0</v>
      </c>
      <c r="Q1431" s="30">
        <v>243.75</v>
      </c>
    </row>
    <row r="1432">
      <c r="A1432" s="47">
        <v>1.1192223131E10</v>
      </c>
      <c r="B1432" s="48">
        <v>46144.689930555556</v>
      </c>
      <c r="C1432" s="30">
        <v>3.810737526E9</v>
      </c>
      <c r="D1432" s="47" t="s">
        <v>1509</v>
      </c>
      <c r="E1432" s="47">
        <v>8.010276040046E12</v>
      </c>
      <c r="F1432" s="47" t="s">
        <v>1523</v>
      </c>
      <c r="G1432" s="47" t="s">
        <v>1629</v>
      </c>
      <c r="H1432" s="30">
        <v>1.0</v>
      </c>
      <c r="I1432" s="30">
        <v>4748.0</v>
      </c>
      <c r="J1432" s="30">
        <v>4748.0</v>
      </c>
      <c r="K1432" s="30">
        <v>16.5</v>
      </c>
      <c r="L1432" s="30">
        <v>783.42</v>
      </c>
      <c r="M1432" s="30">
        <v>3663.0</v>
      </c>
      <c r="N1432" s="30">
        <v>3663.0</v>
      </c>
      <c r="O1432" s="30">
        <v>0.0</v>
      </c>
      <c r="P1432" s="30">
        <v>0.0</v>
      </c>
      <c r="Q1432" s="30">
        <v>301.58000000000004</v>
      </c>
    </row>
    <row r="1433">
      <c r="A1433" s="47">
        <v>1.1204225143E10</v>
      </c>
      <c r="B1433" s="48">
        <v>46148.159363425926</v>
      </c>
      <c r="C1433" s="30">
        <v>3.821286224E9</v>
      </c>
      <c r="D1433" s="47" t="s">
        <v>1509</v>
      </c>
      <c r="E1433" s="47">
        <v>7.613033560033E12</v>
      </c>
      <c r="F1433" s="47">
        <v>0.0</v>
      </c>
      <c r="G1433" s="47" t="s">
        <v>1539</v>
      </c>
      <c r="H1433" s="30">
        <v>1.0</v>
      </c>
      <c r="I1433" s="30">
        <v>1430.0</v>
      </c>
      <c r="J1433" s="30">
        <v>1430.0</v>
      </c>
      <c r="K1433" s="30">
        <v>6.4</v>
      </c>
      <c r="L1433" s="30">
        <v>91.52</v>
      </c>
      <c r="M1433" s="30">
        <v>1165.0</v>
      </c>
      <c r="N1433" s="30">
        <v>1165.0</v>
      </c>
      <c r="O1433" s="30">
        <v>0.0</v>
      </c>
      <c r="P1433" s="30">
        <v>0.0</v>
      </c>
      <c r="Q1433" s="30">
        <v>173.48000000000002</v>
      </c>
    </row>
    <row r="1434">
      <c r="A1434" s="47">
        <v>1.1197716109E10</v>
      </c>
      <c r="B1434" s="48">
        <v>46146.58677083333</v>
      </c>
      <c r="C1434" s="30">
        <v>3.815298441E9</v>
      </c>
      <c r="D1434" s="47" t="s">
        <v>1509</v>
      </c>
      <c r="E1434" s="47">
        <v>8.711231170357E12</v>
      </c>
      <c r="F1434" s="47" t="s">
        <v>1523</v>
      </c>
      <c r="G1434" s="47" t="s">
        <v>1621</v>
      </c>
      <c r="H1434" s="30">
        <v>2.0</v>
      </c>
      <c r="I1434" s="30">
        <v>149.0</v>
      </c>
      <c r="J1434" s="30">
        <v>298.0</v>
      </c>
      <c r="K1434" s="30">
        <v>20.0</v>
      </c>
      <c r="L1434" s="30">
        <v>59.6</v>
      </c>
      <c r="M1434" s="30">
        <v>0.0</v>
      </c>
      <c r="N1434" s="30">
        <v>0.0</v>
      </c>
      <c r="O1434" s="30">
        <v>0.0</v>
      </c>
      <c r="P1434" s="30">
        <v>0.0</v>
      </c>
      <c r="Q1434" s="30">
        <v>238.4</v>
      </c>
    </row>
    <row r="1435">
      <c r="A1435" s="47">
        <v>1.1197200881E10</v>
      </c>
      <c r="B1435" s="48">
        <v>46146.149305555555</v>
      </c>
      <c r="C1435" s="30">
        <v>3.814742811E9</v>
      </c>
      <c r="D1435" s="47" t="s">
        <v>1509</v>
      </c>
      <c r="E1435" s="47">
        <v>8.010276040046E12</v>
      </c>
      <c r="F1435" s="47" t="s">
        <v>1523</v>
      </c>
      <c r="G1435" s="47" t="s">
        <v>1629</v>
      </c>
      <c r="H1435" s="30">
        <v>1.0</v>
      </c>
      <c r="I1435" s="30">
        <v>4848.0</v>
      </c>
      <c r="J1435" s="30">
        <v>4848.0</v>
      </c>
      <c r="K1435" s="30">
        <v>16.5</v>
      </c>
      <c r="L1435" s="30">
        <v>799.92</v>
      </c>
      <c r="M1435" s="30">
        <v>3663.0</v>
      </c>
      <c r="N1435" s="30">
        <v>3663.0</v>
      </c>
      <c r="O1435" s="30">
        <v>0.0</v>
      </c>
      <c r="P1435" s="30">
        <v>0.0</v>
      </c>
      <c r="Q1435" s="30">
        <v>385.08000000000004</v>
      </c>
    </row>
    <row r="1436">
      <c r="A1436" s="47">
        <v>1.1201165188E10</v>
      </c>
      <c r="B1436" s="48">
        <v>46147.61107638889</v>
      </c>
      <c r="C1436" s="30">
        <v>3.818479354E9</v>
      </c>
      <c r="D1436" s="47" t="s">
        <v>1509</v>
      </c>
      <c r="E1436" s="47">
        <v>8.711231170357E12</v>
      </c>
      <c r="F1436" s="47" t="s">
        <v>1523</v>
      </c>
      <c r="G1436" s="47" t="s">
        <v>1621</v>
      </c>
      <c r="H1436" s="30">
        <v>1.0</v>
      </c>
      <c r="I1436" s="30">
        <v>149.0</v>
      </c>
      <c r="J1436" s="30">
        <v>149.0</v>
      </c>
      <c r="K1436" s="30">
        <v>5.0</v>
      </c>
      <c r="L1436" s="30">
        <v>7.45</v>
      </c>
      <c r="M1436" s="30">
        <v>0.0</v>
      </c>
      <c r="N1436" s="30">
        <v>0.0</v>
      </c>
      <c r="O1436" s="30">
        <v>0.0</v>
      </c>
      <c r="P1436" s="30">
        <v>0.0</v>
      </c>
      <c r="Q1436" s="30">
        <v>141.55</v>
      </c>
    </row>
    <row r="1437">
      <c r="A1437" s="47">
        <v>1.1197323335E10</v>
      </c>
      <c r="B1437" s="48">
        <v>46146.21359953703</v>
      </c>
      <c r="C1437" s="30">
        <v>3.814866218E9</v>
      </c>
      <c r="D1437" s="47" t="s">
        <v>1509</v>
      </c>
      <c r="E1437" s="47">
        <v>3.182550721738E12</v>
      </c>
      <c r="F1437" s="47" t="s">
        <v>1523</v>
      </c>
      <c r="G1437" s="47" t="s">
        <v>1526</v>
      </c>
      <c r="H1437" s="30">
        <v>1.0</v>
      </c>
      <c r="I1437" s="30">
        <v>1535.0</v>
      </c>
      <c r="J1437" s="30">
        <v>1535.0</v>
      </c>
      <c r="K1437" s="30">
        <v>8.6</v>
      </c>
      <c r="L1437" s="30">
        <v>132.01</v>
      </c>
      <c r="M1437" s="30">
        <v>1210.0</v>
      </c>
      <c r="N1437" s="30">
        <v>1210.0</v>
      </c>
      <c r="O1437" s="30">
        <v>0.0</v>
      </c>
      <c r="P1437" s="30">
        <v>0.0</v>
      </c>
      <c r="Q1437" s="30">
        <v>192.99</v>
      </c>
    </row>
    <row r="1438">
      <c r="A1438" s="47">
        <v>1.1200654277E10</v>
      </c>
      <c r="B1438" s="48">
        <v>46147.332453703704</v>
      </c>
      <c r="C1438" s="30">
        <v>3.817925374E9</v>
      </c>
      <c r="D1438" s="47" t="s">
        <v>1509</v>
      </c>
      <c r="E1438" s="47" t="s">
        <v>537</v>
      </c>
      <c r="F1438" s="47" t="s">
        <v>1523</v>
      </c>
      <c r="G1438" s="47" t="s">
        <v>1575</v>
      </c>
      <c r="H1438" s="30">
        <v>1.0</v>
      </c>
      <c r="I1438" s="30">
        <v>1482.0</v>
      </c>
      <c r="J1438" s="30">
        <v>1482.0</v>
      </c>
      <c r="K1438" s="30">
        <v>12.5</v>
      </c>
      <c r="L1438" s="30">
        <v>185.25</v>
      </c>
      <c r="M1438" s="30">
        <v>1053.0</v>
      </c>
      <c r="N1438" s="30">
        <v>1053.0</v>
      </c>
      <c r="O1438" s="30">
        <v>0.0</v>
      </c>
      <c r="P1438" s="30">
        <v>0.0</v>
      </c>
      <c r="Q1438" s="30">
        <v>243.75</v>
      </c>
    </row>
    <row r="1439">
      <c r="A1439" s="47">
        <v>1.1202482167E10</v>
      </c>
      <c r="B1439" s="48">
        <v>46147.85439814815</v>
      </c>
      <c r="C1439" s="30">
        <v>3.819660926E9</v>
      </c>
      <c r="D1439" s="47" t="s">
        <v>1509</v>
      </c>
      <c r="E1439" s="47">
        <v>7.613035846708E12</v>
      </c>
      <c r="F1439" s="47" t="s">
        <v>1523</v>
      </c>
      <c r="G1439" s="47" t="s">
        <v>1535</v>
      </c>
      <c r="H1439" s="30">
        <v>1.0</v>
      </c>
      <c r="I1439" s="30">
        <v>1400.0</v>
      </c>
      <c r="J1439" s="30">
        <v>1400.0</v>
      </c>
      <c r="K1439" s="30">
        <v>6.4</v>
      </c>
      <c r="L1439" s="30">
        <v>89.6</v>
      </c>
      <c r="M1439" s="30">
        <v>1160.0</v>
      </c>
      <c r="N1439" s="30">
        <v>1160.0</v>
      </c>
      <c r="O1439" s="30">
        <v>0.0</v>
      </c>
      <c r="P1439" s="30">
        <v>0.0</v>
      </c>
      <c r="Q1439" s="30">
        <v>150.4</v>
      </c>
    </row>
    <row r="1440">
      <c r="A1440" s="47">
        <v>1.120288506E10</v>
      </c>
      <c r="B1440" s="48">
        <v>46147.92349537037</v>
      </c>
      <c r="C1440" s="30">
        <v>3.819994708E9</v>
      </c>
      <c r="D1440" s="47" t="s">
        <v>1509</v>
      </c>
      <c r="E1440" s="47">
        <v>7.613035846708E12</v>
      </c>
      <c r="F1440" s="47" t="s">
        <v>1523</v>
      </c>
      <c r="G1440" s="47" t="s">
        <v>1535</v>
      </c>
      <c r="H1440" s="30">
        <v>1.0</v>
      </c>
      <c r="I1440" s="30">
        <v>1400.0</v>
      </c>
      <c r="J1440" s="30">
        <v>1400.0</v>
      </c>
      <c r="K1440" s="30">
        <v>6.4</v>
      </c>
      <c r="L1440" s="30">
        <v>89.6</v>
      </c>
      <c r="M1440" s="30">
        <v>1160.0</v>
      </c>
      <c r="N1440" s="30">
        <v>1160.0</v>
      </c>
      <c r="O1440" s="30">
        <v>0.0</v>
      </c>
      <c r="P1440" s="30">
        <v>0.0</v>
      </c>
      <c r="Q1440" s="30">
        <v>150.4</v>
      </c>
    </row>
    <row r="1441">
      <c r="A1441" s="47">
        <v>1.1203109622E10</v>
      </c>
      <c r="B1441" s="48">
        <v>46147.96021990741</v>
      </c>
      <c r="C1441" s="30">
        <v>3.820172494E9</v>
      </c>
      <c r="D1441" s="47" t="s">
        <v>1509</v>
      </c>
      <c r="E1441" s="47" t="s">
        <v>336</v>
      </c>
      <c r="F1441" s="47" t="s">
        <v>1523</v>
      </c>
      <c r="G1441" s="47" t="s">
        <v>1612</v>
      </c>
      <c r="H1441" s="30">
        <v>1.0</v>
      </c>
      <c r="I1441" s="30">
        <v>1325.0</v>
      </c>
      <c r="J1441" s="30">
        <v>1325.0</v>
      </c>
      <c r="K1441" s="30">
        <v>12.5</v>
      </c>
      <c r="L1441" s="30">
        <v>165.625</v>
      </c>
      <c r="M1441" s="30">
        <v>999.6</v>
      </c>
      <c r="N1441" s="30">
        <v>999.6</v>
      </c>
      <c r="O1441" s="30">
        <v>0.0</v>
      </c>
      <c r="P1441" s="30">
        <v>0.0</v>
      </c>
      <c r="Q1441" s="30">
        <v>159.77499999999998</v>
      </c>
    </row>
    <row r="1442">
      <c r="A1442" s="47">
        <v>1.1204454691E10</v>
      </c>
      <c r="B1442" s="48">
        <v>46148.41075231481</v>
      </c>
      <c r="C1442" s="30">
        <v>3.82154214E9</v>
      </c>
      <c r="D1442" s="47" t="s">
        <v>1509</v>
      </c>
      <c r="E1442" s="47">
        <v>3.182550721738E12</v>
      </c>
      <c r="F1442" s="47" t="s">
        <v>1523</v>
      </c>
      <c r="G1442" s="47" t="s">
        <v>1526</v>
      </c>
      <c r="H1442" s="30">
        <v>1.0</v>
      </c>
      <c r="I1442" s="30">
        <v>1554.0</v>
      </c>
      <c r="J1442" s="30">
        <v>1554.0</v>
      </c>
      <c r="K1442" s="30">
        <v>6.4</v>
      </c>
      <c r="L1442" s="30">
        <v>99.456</v>
      </c>
      <c r="M1442" s="30">
        <v>1210.0</v>
      </c>
      <c r="N1442" s="30">
        <v>1210.0</v>
      </c>
      <c r="O1442" s="30">
        <v>0.0</v>
      </c>
      <c r="P1442" s="30">
        <v>0.0</v>
      </c>
      <c r="Q1442" s="30">
        <v>244.54399999999998</v>
      </c>
    </row>
    <row r="1443">
      <c r="A1443" s="47">
        <v>1.1202751128E10</v>
      </c>
      <c r="B1443" s="48">
        <v>46147.90118055556</v>
      </c>
      <c r="C1443" s="30">
        <v>3.819879342E9</v>
      </c>
      <c r="D1443" s="47" t="s">
        <v>1509</v>
      </c>
      <c r="E1443" s="47">
        <v>8.711231170357E12</v>
      </c>
      <c r="F1443" s="47" t="s">
        <v>1523</v>
      </c>
      <c r="G1443" s="47" t="s">
        <v>1621</v>
      </c>
      <c r="H1443" s="30">
        <v>1.0</v>
      </c>
      <c r="I1443" s="30">
        <v>149.0</v>
      </c>
      <c r="J1443" s="30">
        <v>149.0</v>
      </c>
      <c r="K1443" s="30">
        <v>5.0</v>
      </c>
      <c r="L1443" s="30">
        <v>7.45</v>
      </c>
      <c r="M1443" s="30">
        <v>0.0</v>
      </c>
      <c r="N1443" s="30">
        <v>0.0</v>
      </c>
      <c r="O1443" s="30">
        <v>0.0</v>
      </c>
      <c r="P1443" s="30">
        <v>0.0</v>
      </c>
      <c r="Q1443" s="30">
        <v>141.55</v>
      </c>
    </row>
    <row r="1444">
      <c r="A1444" s="47">
        <v>1.1204176203E10</v>
      </c>
      <c r="B1444" s="48">
        <v>46148.146319444444</v>
      </c>
      <c r="C1444" s="30">
        <v>3.821238752E9</v>
      </c>
      <c r="D1444" s="47" t="s">
        <v>1509</v>
      </c>
      <c r="E1444" s="47" t="s">
        <v>537</v>
      </c>
      <c r="F1444" s="47" t="s">
        <v>1523</v>
      </c>
      <c r="G1444" s="47" t="s">
        <v>1575</v>
      </c>
      <c r="H1444" s="30">
        <v>1.0</v>
      </c>
      <c r="I1444" s="30">
        <v>1482.0</v>
      </c>
      <c r="J1444" s="30">
        <v>1482.0</v>
      </c>
      <c r="K1444" s="30">
        <v>12.5</v>
      </c>
      <c r="L1444" s="30">
        <v>185.25</v>
      </c>
      <c r="M1444" s="30">
        <v>1053.0</v>
      </c>
      <c r="N1444" s="30">
        <v>1053.0</v>
      </c>
      <c r="O1444" s="30">
        <v>0.0</v>
      </c>
      <c r="P1444" s="30">
        <v>0.0</v>
      </c>
      <c r="Q1444" s="30">
        <v>243.75</v>
      </c>
    </row>
    <row r="1445">
      <c r="A1445" s="47">
        <v>1.1203693909E10</v>
      </c>
      <c r="B1445" s="48">
        <v>46148.05430555555</v>
      </c>
      <c r="C1445" s="30">
        <v>3.820720645E9</v>
      </c>
      <c r="D1445" s="47" t="s">
        <v>1509</v>
      </c>
      <c r="E1445" s="47">
        <v>7.613035846708E12</v>
      </c>
      <c r="F1445" s="47" t="s">
        <v>1523</v>
      </c>
      <c r="G1445" s="47" t="s">
        <v>1535</v>
      </c>
      <c r="H1445" s="30">
        <v>1.0</v>
      </c>
      <c r="I1445" s="30">
        <v>1400.0</v>
      </c>
      <c r="J1445" s="30">
        <v>1400.0</v>
      </c>
      <c r="K1445" s="30">
        <v>6.4</v>
      </c>
      <c r="L1445" s="30">
        <v>89.6</v>
      </c>
      <c r="M1445" s="30">
        <v>1160.0</v>
      </c>
      <c r="N1445" s="30">
        <v>1160.0</v>
      </c>
      <c r="O1445" s="30">
        <v>0.0</v>
      </c>
      <c r="P1445" s="30">
        <v>0.0</v>
      </c>
      <c r="Q1445" s="30">
        <v>150.4</v>
      </c>
    </row>
    <row r="1446">
      <c r="A1446" s="47">
        <v>1.1201793552E10</v>
      </c>
      <c r="B1446" s="48">
        <v>46147.727847222224</v>
      </c>
      <c r="C1446" s="30">
        <v>3.819034609E9</v>
      </c>
      <c r="D1446" s="47" t="s">
        <v>1509</v>
      </c>
      <c r="E1446" s="47" t="s">
        <v>269</v>
      </c>
      <c r="F1446" s="47" t="s">
        <v>271</v>
      </c>
      <c r="G1446" s="47" t="s">
        <v>1561</v>
      </c>
      <c r="H1446" s="30">
        <v>1.0</v>
      </c>
      <c r="I1446" s="30">
        <v>613.0</v>
      </c>
      <c r="J1446" s="30">
        <v>613.0</v>
      </c>
      <c r="K1446" s="30">
        <v>13.5</v>
      </c>
      <c r="L1446" s="30">
        <v>82.755</v>
      </c>
      <c r="M1446" s="30">
        <v>420.0</v>
      </c>
      <c r="N1446" s="30">
        <v>420.0</v>
      </c>
      <c r="O1446" s="30">
        <v>0.0</v>
      </c>
      <c r="P1446" s="30">
        <v>0.0</v>
      </c>
      <c r="Q1446" s="30">
        <v>110.245</v>
      </c>
    </row>
    <row r="1447">
      <c r="A1447" s="47">
        <v>1.120452224E10</v>
      </c>
      <c r="B1447" s="48">
        <v>46148.47262731481</v>
      </c>
      <c r="C1447" s="30">
        <v>3.821626896E9</v>
      </c>
      <c r="D1447" s="47" t="s">
        <v>1509</v>
      </c>
      <c r="E1447" s="47">
        <v>7.613035846708E12</v>
      </c>
      <c r="F1447" s="47" t="s">
        <v>1523</v>
      </c>
      <c r="G1447" s="47" t="s">
        <v>1535</v>
      </c>
      <c r="H1447" s="30">
        <v>1.0</v>
      </c>
      <c r="I1447" s="30">
        <v>1400.0</v>
      </c>
      <c r="J1447" s="30">
        <v>1400.0</v>
      </c>
      <c r="K1447" s="30">
        <v>6.4</v>
      </c>
      <c r="L1447" s="30">
        <v>89.6</v>
      </c>
      <c r="M1447" s="30">
        <v>1160.0</v>
      </c>
      <c r="N1447" s="30">
        <v>1160.0</v>
      </c>
      <c r="O1447" s="30">
        <v>0.0</v>
      </c>
      <c r="P1447" s="30">
        <v>0.0</v>
      </c>
      <c r="Q1447" s="30">
        <v>150.4</v>
      </c>
    </row>
    <row r="1448">
      <c r="A1448" s="47">
        <v>1.1198226494E10</v>
      </c>
      <c r="B1448" s="48">
        <v>46146.69232638889</v>
      </c>
      <c r="C1448" s="30">
        <v>3.815737876E9</v>
      </c>
      <c r="D1448" s="47" t="s">
        <v>1509</v>
      </c>
      <c r="E1448" s="47">
        <v>7.613033560064E12</v>
      </c>
      <c r="F1448" s="47" t="s">
        <v>1523</v>
      </c>
      <c r="G1448" s="47" t="s">
        <v>1527</v>
      </c>
      <c r="H1448" s="30">
        <v>1.0</v>
      </c>
      <c r="I1448" s="30">
        <v>1615.0</v>
      </c>
      <c r="J1448" s="30">
        <v>1615.0</v>
      </c>
      <c r="K1448" s="30">
        <v>12.5</v>
      </c>
      <c r="L1448" s="30">
        <v>201.875</v>
      </c>
      <c r="M1448" s="30">
        <v>1190.0</v>
      </c>
      <c r="N1448" s="30">
        <v>1190.0</v>
      </c>
      <c r="O1448" s="30">
        <v>0.0</v>
      </c>
      <c r="P1448" s="30">
        <v>0.0</v>
      </c>
      <c r="Q1448" s="30">
        <v>223.125</v>
      </c>
    </row>
    <row r="1449">
      <c r="A1449" s="47">
        <v>1.1204034544E10</v>
      </c>
      <c r="B1449" s="48">
        <v>46148.11424768518</v>
      </c>
      <c r="C1449" s="30">
        <v>3.821079965E9</v>
      </c>
      <c r="D1449" s="47" t="s">
        <v>1509</v>
      </c>
      <c r="E1449" s="47">
        <v>3.182550721738E12</v>
      </c>
      <c r="F1449" s="47" t="s">
        <v>1523</v>
      </c>
      <c r="G1449" s="47" t="s">
        <v>1526</v>
      </c>
      <c r="H1449" s="30">
        <v>1.0</v>
      </c>
      <c r="I1449" s="30">
        <v>1554.0</v>
      </c>
      <c r="J1449" s="30">
        <v>1554.0</v>
      </c>
      <c r="K1449" s="30">
        <v>6.4</v>
      </c>
      <c r="L1449" s="30">
        <v>99.456</v>
      </c>
      <c r="M1449" s="30">
        <v>1210.0</v>
      </c>
      <c r="N1449" s="30">
        <v>1210.0</v>
      </c>
      <c r="O1449" s="30">
        <v>0.0</v>
      </c>
      <c r="P1449" s="30">
        <v>0.0</v>
      </c>
      <c r="Q1449" s="30">
        <v>244.54399999999998</v>
      </c>
    </row>
    <row r="1450">
      <c r="A1450" s="47">
        <v>1.1204421418E10</v>
      </c>
      <c r="B1450" s="48">
        <v>46148.30863425926</v>
      </c>
      <c r="C1450" s="30">
        <v>3.821501908E9</v>
      </c>
      <c r="D1450" s="47" t="s">
        <v>1509</v>
      </c>
      <c r="E1450" s="47">
        <v>6.923632570003E12</v>
      </c>
      <c r="F1450" s="47" t="s">
        <v>1523</v>
      </c>
      <c r="G1450" s="47" t="s">
        <v>1544</v>
      </c>
      <c r="H1450" s="30">
        <v>1.0</v>
      </c>
      <c r="I1450" s="30">
        <v>489.0</v>
      </c>
      <c r="J1450" s="30">
        <v>489.0</v>
      </c>
      <c r="K1450" s="30">
        <v>20.0</v>
      </c>
      <c r="L1450" s="30">
        <v>97.8</v>
      </c>
      <c r="M1450" s="30">
        <v>130.0</v>
      </c>
      <c r="N1450" s="30">
        <v>130.0</v>
      </c>
      <c r="O1450" s="30">
        <v>0.0</v>
      </c>
      <c r="P1450" s="30">
        <v>0.0</v>
      </c>
      <c r="Q1450" s="30">
        <v>261.2</v>
      </c>
    </row>
    <row r="1451">
      <c r="A1451" s="47">
        <v>1.1205086713E10</v>
      </c>
      <c r="B1451" s="48">
        <v>46148.61783564815</v>
      </c>
      <c r="C1451" s="30">
        <v>3.822237773E9</v>
      </c>
      <c r="D1451" s="47" t="s">
        <v>1509</v>
      </c>
      <c r="E1451" s="47">
        <v>3.182550721738E12</v>
      </c>
      <c r="F1451" s="47" t="s">
        <v>1523</v>
      </c>
      <c r="G1451" s="47" t="s">
        <v>1526</v>
      </c>
      <c r="H1451" s="30">
        <v>1.0</v>
      </c>
      <c r="I1451" s="30">
        <v>1554.0</v>
      </c>
      <c r="J1451" s="30">
        <v>1554.0</v>
      </c>
      <c r="K1451" s="30">
        <v>6.4</v>
      </c>
      <c r="L1451" s="30">
        <v>99.456</v>
      </c>
      <c r="M1451" s="30">
        <v>1210.0</v>
      </c>
      <c r="N1451" s="30">
        <v>1210.0</v>
      </c>
      <c r="O1451" s="30">
        <v>0.0</v>
      </c>
      <c r="P1451" s="30">
        <v>0.0</v>
      </c>
      <c r="Q1451" s="30">
        <v>244.54399999999998</v>
      </c>
    </row>
    <row r="1452">
      <c r="A1452" s="47">
        <v>1.1203972788E10</v>
      </c>
      <c r="B1452" s="48">
        <v>46148.102175925924</v>
      </c>
      <c r="C1452" s="30">
        <v>3.82101229E9</v>
      </c>
      <c r="D1452" s="47" t="s">
        <v>1509</v>
      </c>
      <c r="E1452" s="47">
        <v>3.182550737593E12</v>
      </c>
      <c r="F1452" s="47" t="s">
        <v>1523</v>
      </c>
      <c r="G1452" s="47" t="s">
        <v>1581</v>
      </c>
      <c r="H1452" s="30">
        <v>1.0</v>
      </c>
      <c r="I1452" s="30">
        <v>1133.0</v>
      </c>
      <c r="J1452" s="30">
        <v>1133.0</v>
      </c>
      <c r="K1452" s="30">
        <v>12.5</v>
      </c>
      <c r="L1452" s="30">
        <v>141.625</v>
      </c>
      <c r="M1452" s="30">
        <v>832.44</v>
      </c>
      <c r="N1452" s="30">
        <v>832.44</v>
      </c>
      <c r="O1452" s="30">
        <v>0.0</v>
      </c>
      <c r="P1452" s="30">
        <v>0.0</v>
      </c>
      <c r="Q1452" s="30">
        <v>158.93499999999995</v>
      </c>
    </row>
    <row r="1453">
      <c r="A1453" s="47">
        <v>1.1204562535E10</v>
      </c>
      <c r="B1453" s="48">
        <v>46148.49253472222</v>
      </c>
      <c r="C1453" s="30">
        <v>3.821675539E9</v>
      </c>
      <c r="D1453" s="47" t="s">
        <v>1509</v>
      </c>
      <c r="E1453" s="47" t="s">
        <v>537</v>
      </c>
      <c r="F1453" s="47" t="s">
        <v>1523</v>
      </c>
      <c r="G1453" s="47" t="s">
        <v>1575</v>
      </c>
      <c r="H1453" s="30">
        <v>1.0</v>
      </c>
      <c r="I1453" s="30">
        <v>1407.0</v>
      </c>
      <c r="J1453" s="30">
        <v>1407.0</v>
      </c>
      <c r="K1453" s="30">
        <v>12.5</v>
      </c>
      <c r="L1453" s="30">
        <v>175.875</v>
      </c>
      <c r="M1453" s="30">
        <v>1053.0</v>
      </c>
      <c r="N1453" s="30">
        <v>1053.0</v>
      </c>
      <c r="O1453" s="30">
        <v>0.0</v>
      </c>
      <c r="P1453" s="30">
        <v>0.0</v>
      </c>
      <c r="Q1453" s="30">
        <v>178.125</v>
      </c>
    </row>
    <row r="1454">
      <c r="A1454" s="47">
        <v>1.1187441938E10</v>
      </c>
      <c r="B1454" s="48">
        <v>46142.88525462963</v>
      </c>
      <c r="C1454" s="30">
        <v>3.806854669E9</v>
      </c>
      <c r="D1454" s="47" t="s">
        <v>1509</v>
      </c>
      <c r="E1454" s="47" t="s">
        <v>391</v>
      </c>
      <c r="F1454" s="47" t="s">
        <v>1523</v>
      </c>
      <c r="G1454" s="47" t="s">
        <v>1630</v>
      </c>
      <c r="H1454" s="30">
        <v>1.0</v>
      </c>
      <c r="I1454" s="30">
        <v>609.0</v>
      </c>
      <c r="J1454" s="30">
        <v>609.0</v>
      </c>
      <c r="K1454" s="30">
        <v>13.5</v>
      </c>
      <c r="L1454" s="30">
        <v>82.215</v>
      </c>
      <c r="M1454" s="30">
        <v>390.0</v>
      </c>
      <c r="N1454" s="30">
        <v>390.0</v>
      </c>
      <c r="O1454" s="30">
        <v>0.0</v>
      </c>
      <c r="P1454" s="30">
        <v>0.0</v>
      </c>
      <c r="Q1454" s="30">
        <v>136.785</v>
      </c>
    </row>
    <row r="1455">
      <c r="A1455" s="47">
        <v>1.1204843183E10</v>
      </c>
      <c r="B1455" s="48">
        <v>46148.57126157408</v>
      </c>
      <c r="C1455" s="30">
        <v>3.821992138E9</v>
      </c>
      <c r="D1455" s="47" t="s">
        <v>1509</v>
      </c>
      <c r="E1455" s="47">
        <v>7.613035846708E12</v>
      </c>
      <c r="F1455" s="47" t="s">
        <v>1523</v>
      </c>
      <c r="G1455" s="47" t="s">
        <v>1535</v>
      </c>
      <c r="H1455" s="30">
        <v>1.0</v>
      </c>
      <c r="I1455" s="30">
        <v>1400.0</v>
      </c>
      <c r="J1455" s="30">
        <v>1400.0</v>
      </c>
      <c r="K1455" s="30">
        <v>6.4</v>
      </c>
      <c r="L1455" s="30">
        <v>89.6</v>
      </c>
      <c r="M1455" s="30">
        <v>1160.0</v>
      </c>
      <c r="N1455" s="30">
        <v>1160.0</v>
      </c>
      <c r="O1455" s="30">
        <v>0.0</v>
      </c>
      <c r="P1455" s="30">
        <v>0.0</v>
      </c>
      <c r="Q1455" s="30">
        <v>150.4</v>
      </c>
    </row>
    <row r="1456">
      <c r="A1456" s="47">
        <v>1.1186315362E10</v>
      </c>
      <c r="B1456" s="48">
        <v>46142.613541666666</v>
      </c>
      <c r="C1456" s="30">
        <v>3.805976993E9</v>
      </c>
      <c r="D1456" s="47" t="s">
        <v>1509</v>
      </c>
      <c r="E1456" s="47">
        <v>8.694867251443E12</v>
      </c>
      <c r="F1456" s="47" t="s">
        <v>1523</v>
      </c>
      <c r="G1456" s="47" t="s">
        <v>1631</v>
      </c>
      <c r="H1456" s="30">
        <v>1.0</v>
      </c>
      <c r="I1456" s="30">
        <v>480.0</v>
      </c>
      <c r="J1456" s="30">
        <v>480.0</v>
      </c>
      <c r="K1456" s="30">
        <v>16.5</v>
      </c>
      <c r="L1456" s="30">
        <v>79.2</v>
      </c>
      <c r="M1456" s="30">
        <v>300.0</v>
      </c>
      <c r="N1456" s="30">
        <v>300.0</v>
      </c>
      <c r="O1456" s="30">
        <v>0.0</v>
      </c>
      <c r="P1456" s="30">
        <v>0.0</v>
      </c>
      <c r="Q1456" s="30">
        <v>100.8</v>
      </c>
    </row>
    <row r="1457">
      <c r="A1457" s="47">
        <v>1.1203327784E10</v>
      </c>
      <c r="B1457" s="48">
        <v>46147.99538194444</v>
      </c>
      <c r="C1457" s="30">
        <v>3.820363883E9</v>
      </c>
      <c r="D1457" s="47" t="s">
        <v>1509</v>
      </c>
      <c r="E1457" s="47">
        <v>8.410650239156E12</v>
      </c>
      <c r="F1457" s="47" t="s">
        <v>1523</v>
      </c>
      <c r="G1457" s="47" t="s">
        <v>1530</v>
      </c>
      <c r="H1457" s="30">
        <v>1.0</v>
      </c>
      <c r="I1457" s="30">
        <v>1720.0</v>
      </c>
      <c r="J1457" s="30">
        <v>1720.0</v>
      </c>
      <c r="K1457" s="30">
        <v>16.5</v>
      </c>
      <c r="L1457" s="30">
        <v>283.8</v>
      </c>
      <c r="M1457" s="30">
        <v>1260.0</v>
      </c>
      <c r="N1457" s="30">
        <v>1260.0</v>
      </c>
      <c r="O1457" s="30">
        <v>0.0</v>
      </c>
      <c r="P1457" s="30">
        <v>0.0</v>
      </c>
      <c r="Q1457" s="30">
        <v>176.2</v>
      </c>
    </row>
    <row r="1458">
      <c r="A1458" s="47">
        <v>1.1197097081E10</v>
      </c>
      <c r="B1458" s="48">
        <v>46146.11844907407</v>
      </c>
      <c r="C1458" s="30">
        <v>3.814630987E9</v>
      </c>
      <c r="D1458" s="47" t="s">
        <v>1509</v>
      </c>
      <c r="E1458" s="47">
        <v>3.182550721738E12</v>
      </c>
      <c r="F1458" s="47" t="s">
        <v>1523</v>
      </c>
      <c r="G1458" s="47" t="s">
        <v>1526</v>
      </c>
      <c r="H1458" s="30">
        <v>1.0</v>
      </c>
      <c r="I1458" s="30">
        <v>1535.0</v>
      </c>
      <c r="J1458" s="30">
        <v>1535.0</v>
      </c>
      <c r="K1458" s="30">
        <v>8.6</v>
      </c>
      <c r="L1458" s="30">
        <v>132.01</v>
      </c>
      <c r="M1458" s="30">
        <v>1210.0</v>
      </c>
      <c r="N1458" s="30">
        <v>1210.0</v>
      </c>
      <c r="O1458" s="30">
        <v>0.0</v>
      </c>
      <c r="P1458" s="30">
        <v>0.0</v>
      </c>
      <c r="Q1458" s="30">
        <v>192.99</v>
      </c>
    </row>
    <row r="1459">
      <c r="A1459" s="47">
        <v>1.1202541836E10</v>
      </c>
      <c r="B1459" s="48">
        <v>46147.86497685185</v>
      </c>
      <c r="C1459" s="30">
        <v>3.819708647E9</v>
      </c>
      <c r="D1459" s="47" t="s">
        <v>1509</v>
      </c>
      <c r="E1459" s="47">
        <v>3.182550728102E12</v>
      </c>
      <c r="F1459" s="47" t="s">
        <v>1523</v>
      </c>
      <c r="G1459" s="47" t="s">
        <v>1576</v>
      </c>
      <c r="H1459" s="30">
        <v>1.0</v>
      </c>
      <c r="I1459" s="30">
        <v>978.0</v>
      </c>
      <c r="J1459" s="30">
        <v>978.0</v>
      </c>
      <c r="K1459" s="30">
        <v>12.5</v>
      </c>
      <c r="L1459" s="30">
        <v>122.25</v>
      </c>
      <c r="M1459" s="30">
        <v>621.6</v>
      </c>
      <c r="N1459" s="30">
        <v>621.6</v>
      </c>
      <c r="O1459" s="30">
        <v>0.0</v>
      </c>
      <c r="P1459" s="30">
        <v>0.0</v>
      </c>
      <c r="Q1459" s="30">
        <v>234.14999999999998</v>
      </c>
    </row>
    <row r="1460">
      <c r="A1460" s="47">
        <v>1.1199148556E10</v>
      </c>
      <c r="B1460" s="48">
        <v>46146.88232638889</v>
      </c>
      <c r="C1460" s="30">
        <v>3.81653287E9</v>
      </c>
      <c r="D1460" s="47" t="s">
        <v>1509</v>
      </c>
      <c r="E1460" s="47">
        <v>8.745236589541E12</v>
      </c>
      <c r="F1460" s="47" t="s">
        <v>1523</v>
      </c>
      <c r="G1460" s="47" t="s">
        <v>1632</v>
      </c>
      <c r="H1460" s="30">
        <v>1.0</v>
      </c>
      <c r="I1460" s="30">
        <v>2229.0</v>
      </c>
      <c r="J1460" s="30">
        <v>2229.0</v>
      </c>
      <c r="K1460" s="30">
        <v>13.5</v>
      </c>
      <c r="L1460" s="30">
        <v>300.915</v>
      </c>
      <c r="M1460" s="30">
        <v>1500.0</v>
      </c>
      <c r="N1460" s="30">
        <v>1500.0</v>
      </c>
      <c r="O1460" s="30">
        <v>0.0</v>
      </c>
      <c r="P1460" s="30">
        <v>0.0</v>
      </c>
      <c r="Q1460" s="30">
        <v>428.085</v>
      </c>
    </row>
    <row r="1461">
      <c r="A1461" s="47">
        <v>1.1202479807E10</v>
      </c>
      <c r="B1461" s="48">
        <v>46147.85398148148</v>
      </c>
      <c r="C1461" s="30">
        <v>3.81965539E9</v>
      </c>
      <c r="D1461" s="47" t="s">
        <v>1509</v>
      </c>
      <c r="E1461" s="47">
        <v>7.613035846708E12</v>
      </c>
      <c r="F1461" s="47" t="s">
        <v>1523</v>
      </c>
      <c r="G1461" s="47" t="s">
        <v>1535</v>
      </c>
      <c r="H1461" s="30">
        <v>1.0</v>
      </c>
      <c r="I1461" s="30">
        <v>1400.0</v>
      </c>
      <c r="J1461" s="30">
        <v>1400.0</v>
      </c>
      <c r="K1461" s="30">
        <v>6.4</v>
      </c>
      <c r="L1461" s="30">
        <v>89.6</v>
      </c>
      <c r="M1461" s="30">
        <v>1160.0</v>
      </c>
      <c r="N1461" s="30">
        <v>1160.0</v>
      </c>
      <c r="O1461" s="30">
        <v>0.0</v>
      </c>
      <c r="P1461" s="30">
        <v>0.0</v>
      </c>
      <c r="Q1461" s="30">
        <v>150.4</v>
      </c>
    </row>
    <row r="1462">
      <c r="A1462" s="47">
        <v>1.1204195175E10</v>
      </c>
      <c r="B1462" s="48">
        <v>46148.15136574074</v>
      </c>
      <c r="C1462" s="30">
        <v>3.821254697E9</v>
      </c>
      <c r="D1462" s="47" t="s">
        <v>1509</v>
      </c>
      <c r="E1462" s="47">
        <v>3.182550721738E12</v>
      </c>
      <c r="F1462" s="47" t="s">
        <v>1523</v>
      </c>
      <c r="G1462" s="47" t="s">
        <v>1526</v>
      </c>
      <c r="H1462" s="30">
        <v>1.0</v>
      </c>
      <c r="I1462" s="30">
        <v>1554.0</v>
      </c>
      <c r="J1462" s="30">
        <v>1554.0</v>
      </c>
      <c r="K1462" s="30">
        <v>6.4</v>
      </c>
      <c r="L1462" s="30">
        <v>99.456</v>
      </c>
      <c r="M1462" s="30">
        <v>1210.0</v>
      </c>
      <c r="N1462" s="30">
        <v>1210.0</v>
      </c>
      <c r="O1462" s="30">
        <v>0.0</v>
      </c>
      <c r="P1462" s="30">
        <v>0.0</v>
      </c>
      <c r="Q1462" s="30">
        <v>244.54399999999998</v>
      </c>
    </row>
    <row r="1463">
      <c r="A1463" s="47">
        <v>1.1203913556E10</v>
      </c>
      <c r="B1463" s="48">
        <v>46148.091516203705</v>
      </c>
      <c r="C1463" s="30">
        <v>3.820949195E9</v>
      </c>
      <c r="D1463" s="47" t="s">
        <v>1509</v>
      </c>
      <c r="E1463" s="47">
        <v>7.613035846708E12</v>
      </c>
      <c r="F1463" s="47" t="s">
        <v>1523</v>
      </c>
      <c r="G1463" s="47" t="s">
        <v>1535</v>
      </c>
      <c r="H1463" s="30">
        <v>1.0</v>
      </c>
      <c r="I1463" s="30">
        <v>1400.0</v>
      </c>
      <c r="J1463" s="30">
        <v>1400.0</v>
      </c>
      <c r="K1463" s="30">
        <v>6.4</v>
      </c>
      <c r="L1463" s="30">
        <v>89.6</v>
      </c>
      <c r="M1463" s="30">
        <v>1160.0</v>
      </c>
      <c r="N1463" s="30">
        <v>1160.0</v>
      </c>
      <c r="O1463" s="30">
        <v>0.0</v>
      </c>
      <c r="P1463" s="30">
        <v>0.0</v>
      </c>
      <c r="Q1463" s="30">
        <v>150.4</v>
      </c>
    </row>
    <row r="1464">
      <c r="A1464" s="47">
        <v>1.1202751678E10</v>
      </c>
      <c r="B1464" s="48">
        <v>46147.90127314815</v>
      </c>
      <c r="C1464" s="30">
        <v>3.81988281E9</v>
      </c>
      <c r="D1464" s="47" t="s">
        <v>1509</v>
      </c>
      <c r="E1464" s="47" t="s">
        <v>336</v>
      </c>
      <c r="F1464" s="47" t="s">
        <v>1523</v>
      </c>
      <c r="G1464" s="47" t="s">
        <v>1612</v>
      </c>
      <c r="H1464" s="30">
        <v>1.0</v>
      </c>
      <c r="I1464" s="30">
        <v>1325.0</v>
      </c>
      <c r="J1464" s="30">
        <v>1325.0</v>
      </c>
      <c r="K1464" s="30">
        <v>12.5</v>
      </c>
      <c r="L1464" s="30">
        <v>165.625</v>
      </c>
      <c r="M1464" s="30">
        <v>999.6</v>
      </c>
      <c r="N1464" s="30">
        <v>999.6</v>
      </c>
      <c r="O1464" s="30">
        <v>0.0</v>
      </c>
      <c r="P1464" s="30">
        <v>0.0</v>
      </c>
      <c r="Q1464" s="30">
        <v>159.77499999999998</v>
      </c>
    </row>
    <row r="1465">
      <c r="A1465" s="47">
        <v>1.1203408436E10</v>
      </c>
      <c r="B1465" s="48">
        <v>46148.00780092592</v>
      </c>
      <c r="C1465" s="30">
        <v>3.820443116E9</v>
      </c>
      <c r="D1465" s="47" t="s">
        <v>1509</v>
      </c>
      <c r="E1465" s="47">
        <v>3.182550721745E12</v>
      </c>
      <c r="F1465" s="47" t="s">
        <v>1523</v>
      </c>
      <c r="G1465" s="47" t="s">
        <v>1605</v>
      </c>
      <c r="H1465" s="30">
        <v>1.0</v>
      </c>
      <c r="I1465" s="30">
        <v>2635.0</v>
      </c>
      <c r="J1465" s="30">
        <v>2635.0</v>
      </c>
      <c r="K1465" s="30">
        <v>6.4</v>
      </c>
      <c r="L1465" s="30">
        <v>168.64</v>
      </c>
      <c r="M1465" s="30">
        <v>2000.0</v>
      </c>
      <c r="N1465" s="30">
        <v>2000.0</v>
      </c>
      <c r="O1465" s="30">
        <v>0.0</v>
      </c>
      <c r="P1465" s="30">
        <v>0.0</v>
      </c>
      <c r="Q1465" s="30">
        <v>466.36</v>
      </c>
    </row>
    <row r="1466">
      <c r="A1466" s="47">
        <v>1.1202402946E10</v>
      </c>
      <c r="B1466" s="48">
        <v>46147.840208333335</v>
      </c>
      <c r="C1466" s="30">
        <v>3.819587941E9</v>
      </c>
      <c r="D1466" s="47" t="s">
        <v>1509</v>
      </c>
      <c r="E1466" s="47" t="s">
        <v>336</v>
      </c>
      <c r="F1466" s="47" t="s">
        <v>1523</v>
      </c>
      <c r="G1466" s="47" t="s">
        <v>1612</v>
      </c>
      <c r="H1466" s="30">
        <v>1.0</v>
      </c>
      <c r="I1466" s="30">
        <v>1285.0</v>
      </c>
      <c r="J1466" s="30">
        <v>1285.0</v>
      </c>
      <c r="K1466" s="30">
        <v>12.5</v>
      </c>
      <c r="L1466" s="30">
        <v>160.625</v>
      </c>
      <c r="M1466" s="30">
        <v>999.6</v>
      </c>
      <c r="N1466" s="30">
        <v>999.6</v>
      </c>
      <c r="O1466" s="30">
        <v>0.0</v>
      </c>
      <c r="P1466" s="30">
        <v>0.0</v>
      </c>
      <c r="Q1466" s="30">
        <v>124.77499999999998</v>
      </c>
    </row>
    <row r="1467">
      <c r="A1467" s="47">
        <v>1.1193119266E10</v>
      </c>
      <c r="B1467" s="48">
        <v>46144.89010416667</v>
      </c>
      <c r="C1467" s="30">
        <v>3.811403834E9</v>
      </c>
      <c r="D1467" s="47" t="s">
        <v>1509</v>
      </c>
      <c r="E1467" s="47">
        <v>8.010276040046E12</v>
      </c>
      <c r="F1467" s="47" t="s">
        <v>1523</v>
      </c>
      <c r="G1467" s="47" t="s">
        <v>1629</v>
      </c>
      <c r="H1467" s="30">
        <v>1.0</v>
      </c>
      <c r="I1467" s="30">
        <v>4748.0</v>
      </c>
      <c r="J1467" s="30">
        <v>4748.0</v>
      </c>
      <c r="K1467" s="30">
        <v>16.5</v>
      </c>
      <c r="L1467" s="30">
        <v>783.42</v>
      </c>
      <c r="M1467" s="30">
        <v>3663.0</v>
      </c>
      <c r="N1467" s="30">
        <v>3663.0</v>
      </c>
      <c r="O1467" s="30">
        <v>0.0</v>
      </c>
      <c r="P1467" s="30">
        <v>0.0</v>
      </c>
      <c r="Q1467" s="30">
        <v>301.58000000000004</v>
      </c>
    </row>
    <row r="1468">
      <c r="A1468" s="47">
        <v>1.120255867E10</v>
      </c>
      <c r="B1468" s="48">
        <v>46147.86783564815</v>
      </c>
      <c r="C1468" s="30">
        <v>3.819722429E9</v>
      </c>
      <c r="D1468" s="47" t="s">
        <v>1509</v>
      </c>
      <c r="E1468" s="47">
        <v>3.182550721738E12</v>
      </c>
      <c r="F1468" s="47" t="s">
        <v>1523</v>
      </c>
      <c r="G1468" s="47" t="s">
        <v>1526</v>
      </c>
      <c r="H1468" s="30">
        <v>1.0</v>
      </c>
      <c r="I1468" s="30">
        <v>1554.0</v>
      </c>
      <c r="J1468" s="30">
        <v>1554.0</v>
      </c>
      <c r="K1468" s="30">
        <v>6.4</v>
      </c>
      <c r="L1468" s="30">
        <v>99.456</v>
      </c>
      <c r="M1468" s="30">
        <v>1210.0</v>
      </c>
      <c r="N1468" s="30">
        <v>1210.0</v>
      </c>
      <c r="O1468" s="30">
        <v>0.0</v>
      </c>
      <c r="P1468" s="30">
        <v>0.0</v>
      </c>
      <c r="Q1468" s="30">
        <v>244.54399999999998</v>
      </c>
    </row>
    <row r="1469">
      <c r="A1469" s="47">
        <v>1.1204053902E10</v>
      </c>
      <c r="B1469" s="48">
        <v>46148.118483796294</v>
      </c>
      <c r="C1469" s="30">
        <v>3.82110103E9</v>
      </c>
      <c r="D1469" s="47" t="s">
        <v>1509</v>
      </c>
      <c r="E1469" s="47">
        <v>3.182550721745E12</v>
      </c>
      <c r="F1469" s="47" t="s">
        <v>1523</v>
      </c>
      <c r="G1469" s="47" t="s">
        <v>1605</v>
      </c>
      <c r="H1469" s="30">
        <v>1.0</v>
      </c>
      <c r="I1469" s="30">
        <v>2635.0</v>
      </c>
      <c r="J1469" s="30">
        <v>2635.0</v>
      </c>
      <c r="K1469" s="30">
        <v>6.4</v>
      </c>
      <c r="L1469" s="30">
        <v>168.64</v>
      </c>
      <c r="M1469" s="30">
        <v>2000.0</v>
      </c>
      <c r="N1469" s="30">
        <v>2000.0</v>
      </c>
      <c r="O1469" s="30">
        <v>0.0</v>
      </c>
      <c r="P1469" s="30">
        <v>0.0</v>
      </c>
      <c r="Q1469" s="30">
        <v>466.36</v>
      </c>
    </row>
    <row r="1470">
      <c r="A1470" s="47">
        <v>1.1199930102E10</v>
      </c>
      <c r="B1470" s="48">
        <v>46147.02880787037</v>
      </c>
      <c r="C1470" s="30">
        <v>3.817179828E9</v>
      </c>
      <c r="D1470" s="47" t="s">
        <v>1509</v>
      </c>
      <c r="E1470" s="47">
        <v>8.684501941806E12</v>
      </c>
      <c r="F1470" s="47" t="s">
        <v>291</v>
      </c>
      <c r="G1470" s="47" t="s">
        <v>1556</v>
      </c>
      <c r="H1470" s="30">
        <v>1.0</v>
      </c>
      <c r="I1470" s="30">
        <v>174.99</v>
      </c>
      <c r="J1470" s="30">
        <v>174.99</v>
      </c>
      <c r="K1470" s="30">
        <v>20.0</v>
      </c>
      <c r="L1470" s="30">
        <v>34.998000000000005</v>
      </c>
      <c r="M1470" s="30">
        <v>53.0</v>
      </c>
      <c r="N1470" s="30">
        <v>53.0</v>
      </c>
      <c r="O1470" s="30">
        <v>0.0</v>
      </c>
      <c r="P1470" s="30">
        <v>0.0</v>
      </c>
      <c r="Q1470" s="30">
        <v>86.992</v>
      </c>
    </row>
    <row r="1471">
      <c r="A1471" s="47">
        <v>1.1199930102E10</v>
      </c>
      <c r="B1471" s="48">
        <v>46147.02880787037</v>
      </c>
      <c r="C1471" s="30">
        <v>3.817179828E9</v>
      </c>
      <c r="D1471" s="47" t="s">
        <v>1509</v>
      </c>
      <c r="E1471" s="47">
        <v>8.684501941813E12</v>
      </c>
      <c r="F1471" s="47" t="s">
        <v>287</v>
      </c>
      <c r="G1471" s="47" t="s">
        <v>1547</v>
      </c>
      <c r="H1471" s="30">
        <v>1.0</v>
      </c>
      <c r="I1471" s="30">
        <v>175.0</v>
      </c>
      <c r="J1471" s="30">
        <v>175.0</v>
      </c>
      <c r="K1471" s="30">
        <v>20.0</v>
      </c>
      <c r="L1471" s="30">
        <v>35.0</v>
      </c>
      <c r="M1471" s="30">
        <v>53.0</v>
      </c>
      <c r="N1471" s="30">
        <v>53.0</v>
      </c>
      <c r="O1471" s="30">
        <v>0.0</v>
      </c>
      <c r="P1471" s="30">
        <v>0.0</v>
      </c>
      <c r="Q1471" s="30">
        <v>87.0</v>
      </c>
    </row>
    <row r="1472">
      <c r="A1472" s="47">
        <v>1.1199921641E10</v>
      </c>
      <c r="B1472" s="48">
        <v>46147.02717592593</v>
      </c>
      <c r="C1472" s="30">
        <v>3.817174005E9</v>
      </c>
      <c r="D1472" s="47" t="s">
        <v>1509</v>
      </c>
      <c r="E1472" s="47">
        <v>7.613035846708E12</v>
      </c>
      <c r="F1472" s="47" t="s">
        <v>1523</v>
      </c>
      <c r="G1472" s="47" t="s">
        <v>1535</v>
      </c>
      <c r="H1472" s="30">
        <v>1.0</v>
      </c>
      <c r="I1472" s="30">
        <v>1448.0</v>
      </c>
      <c r="J1472" s="30">
        <v>1448.0</v>
      </c>
      <c r="K1472" s="30">
        <v>8.6</v>
      </c>
      <c r="L1472" s="30">
        <v>124.52799999999999</v>
      </c>
      <c r="M1472" s="30">
        <v>1160.0</v>
      </c>
      <c r="N1472" s="30">
        <v>1160.0</v>
      </c>
      <c r="O1472" s="30">
        <v>0.0</v>
      </c>
      <c r="P1472" s="30">
        <v>0.0</v>
      </c>
      <c r="Q1472" s="30">
        <v>163.472</v>
      </c>
    </row>
    <row r="1473">
      <c r="A1473" s="47">
        <v>1.1202559137E10</v>
      </c>
      <c r="B1473" s="48">
        <v>46147.86791666667</v>
      </c>
      <c r="C1473" s="30">
        <v>3.81972381E9</v>
      </c>
      <c r="D1473" s="47" t="s">
        <v>1509</v>
      </c>
      <c r="E1473" s="47">
        <v>3.182550721738E12</v>
      </c>
      <c r="F1473" s="47" t="s">
        <v>1523</v>
      </c>
      <c r="G1473" s="47" t="s">
        <v>1526</v>
      </c>
      <c r="H1473" s="30">
        <v>1.0</v>
      </c>
      <c r="I1473" s="30">
        <v>1554.0</v>
      </c>
      <c r="J1473" s="30">
        <v>1554.0</v>
      </c>
      <c r="K1473" s="30">
        <v>6.4</v>
      </c>
      <c r="L1473" s="30">
        <v>99.456</v>
      </c>
      <c r="M1473" s="30">
        <v>1210.0</v>
      </c>
      <c r="N1473" s="30">
        <v>1210.0</v>
      </c>
      <c r="O1473" s="30">
        <v>0.0</v>
      </c>
      <c r="P1473" s="30">
        <v>0.0</v>
      </c>
      <c r="Q1473" s="30">
        <v>244.54399999999998</v>
      </c>
    </row>
    <row r="1474">
      <c r="A1474" s="47">
        <v>1.1202609809E10</v>
      </c>
      <c r="B1474" s="48">
        <v>46147.87703703704</v>
      </c>
      <c r="C1474" s="30">
        <v>3.819766909E9</v>
      </c>
      <c r="D1474" s="47" t="s">
        <v>1509</v>
      </c>
      <c r="E1474" s="47">
        <v>3.182550728102E12</v>
      </c>
      <c r="F1474" s="47" t="s">
        <v>1523</v>
      </c>
      <c r="G1474" s="47" t="s">
        <v>1576</v>
      </c>
      <c r="H1474" s="30">
        <v>2.0</v>
      </c>
      <c r="I1474" s="30">
        <v>978.0</v>
      </c>
      <c r="J1474" s="30">
        <v>1956.0</v>
      </c>
      <c r="K1474" s="30">
        <v>12.5</v>
      </c>
      <c r="L1474" s="30">
        <v>244.5</v>
      </c>
      <c r="M1474" s="30">
        <v>621.6</v>
      </c>
      <c r="N1474" s="30">
        <v>1243.2</v>
      </c>
      <c r="O1474" s="30">
        <v>0.0</v>
      </c>
      <c r="P1474" s="30">
        <v>0.0</v>
      </c>
      <c r="Q1474" s="30">
        <v>468.29999999999995</v>
      </c>
    </row>
    <row r="1475">
      <c r="A1475" s="47">
        <v>1.1203764905E10</v>
      </c>
      <c r="B1475" s="48">
        <v>46148.06637731481</v>
      </c>
      <c r="C1475" s="30">
        <v>3.820794671E9</v>
      </c>
      <c r="D1475" s="47" t="s">
        <v>1509</v>
      </c>
      <c r="E1475" s="47">
        <v>8.410650167909E12</v>
      </c>
      <c r="F1475" s="47" t="s">
        <v>1523</v>
      </c>
      <c r="G1475" s="47" t="s">
        <v>1551</v>
      </c>
      <c r="H1475" s="30">
        <v>1.0</v>
      </c>
      <c r="I1475" s="30">
        <v>1640.0</v>
      </c>
      <c r="J1475" s="30">
        <v>1640.0</v>
      </c>
      <c r="K1475" s="30">
        <v>16.5</v>
      </c>
      <c r="L1475" s="30">
        <v>270.6</v>
      </c>
      <c r="M1475" s="30">
        <v>1228.0</v>
      </c>
      <c r="N1475" s="30">
        <v>1228.0</v>
      </c>
      <c r="O1475" s="30">
        <v>0.0</v>
      </c>
      <c r="P1475" s="30">
        <v>0.0</v>
      </c>
      <c r="Q1475" s="30">
        <v>141.39999999999998</v>
      </c>
    </row>
    <row r="1476">
      <c r="A1476" s="47">
        <v>1.1203936992E10</v>
      </c>
      <c r="B1476" s="48">
        <v>46148.095555555556</v>
      </c>
      <c r="C1476" s="30">
        <v>3.820976712E9</v>
      </c>
      <c r="D1476" s="47" t="s">
        <v>1509</v>
      </c>
      <c r="E1476" s="47">
        <v>6.923632570006E12</v>
      </c>
      <c r="F1476" s="47" t="s">
        <v>298</v>
      </c>
      <c r="G1476" s="47" t="s">
        <v>1544</v>
      </c>
      <c r="H1476" s="30">
        <v>1.0</v>
      </c>
      <c r="I1476" s="30">
        <v>474.0</v>
      </c>
      <c r="J1476" s="30">
        <v>474.0</v>
      </c>
      <c r="K1476" s="30">
        <v>20.0</v>
      </c>
      <c r="L1476" s="30">
        <v>94.8</v>
      </c>
      <c r="M1476" s="30">
        <v>130.0</v>
      </c>
      <c r="N1476" s="30">
        <v>130.0</v>
      </c>
      <c r="O1476" s="30">
        <v>0.0</v>
      </c>
      <c r="P1476" s="30">
        <v>0.0</v>
      </c>
      <c r="Q1476" s="30">
        <v>249.2</v>
      </c>
    </row>
    <row r="1477">
      <c r="A1477" s="47">
        <v>1.1200989551E10</v>
      </c>
      <c r="B1477" s="48">
        <v>46147.57166666666</v>
      </c>
      <c r="C1477" s="30">
        <v>3.818307844E9</v>
      </c>
      <c r="D1477" s="47" t="s">
        <v>1509</v>
      </c>
      <c r="E1477" s="47">
        <v>3.182550786218E12</v>
      </c>
      <c r="F1477" s="47" t="s">
        <v>1523</v>
      </c>
      <c r="G1477" s="47" t="s">
        <v>1616</v>
      </c>
      <c r="H1477" s="30">
        <v>1.0</v>
      </c>
      <c r="I1477" s="30">
        <v>1299.0</v>
      </c>
      <c r="J1477" s="30">
        <v>1299.0</v>
      </c>
      <c r="K1477" s="30">
        <v>12.5</v>
      </c>
      <c r="L1477" s="30">
        <v>162.375</v>
      </c>
      <c r="M1477" s="30">
        <v>855.96</v>
      </c>
      <c r="N1477" s="30">
        <v>855.96</v>
      </c>
      <c r="O1477" s="30">
        <v>0.0</v>
      </c>
      <c r="P1477" s="30">
        <v>0.0</v>
      </c>
      <c r="Q1477" s="30">
        <v>280.66499999999996</v>
      </c>
    </row>
    <row r="1478">
      <c r="A1478" s="47">
        <v>1.1202098854E10</v>
      </c>
      <c r="B1478" s="48">
        <v>46147.78648148148</v>
      </c>
      <c r="C1478" s="30">
        <v>3.819310687E9</v>
      </c>
      <c r="D1478" s="47" t="s">
        <v>1509</v>
      </c>
      <c r="E1478" s="47" t="s">
        <v>537</v>
      </c>
      <c r="F1478" s="47" t="s">
        <v>1523</v>
      </c>
      <c r="G1478" s="47" t="s">
        <v>1575</v>
      </c>
      <c r="H1478" s="30">
        <v>1.0</v>
      </c>
      <c r="I1478" s="30">
        <v>1482.0</v>
      </c>
      <c r="J1478" s="30">
        <v>1482.0</v>
      </c>
      <c r="K1478" s="30">
        <v>12.5</v>
      </c>
      <c r="L1478" s="30">
        <v>185.25</v>
      </c>
      <c r="M1478" s="30">
        <v>1053.0</v>
      </c>
      <c r="N1478" s="30">
        <v>1053.0</v>
      </c>
      <c r="O1478" s="30">
        <v>0.0</v>
      </c>
      <c r="P1478" s="30">
        <v>0.0</v>
      </c>
      <c r="Q1478" s="30">
        <v>243.75</v>
      </c>
    </row>
    <row r="1479">
      <c r="A1479" s="47">
        <v>1.1204354986E10</v>
      </c>
      <c r="B1479" s="48">
        <v>46148.215844907405</v>
      </c>
      <c r="C1479" s="30">
        <v>3.821427201E9</v>
      </c>
      <c r="D1479" s="47" t="s">
        <v>1509</v>
      </c>
      <c r="E1479" s="47">
        <v>7.613035846708E12</v>
      </c>
      <c r="F1479" s="47" t="s">
        <v>1523</v>
      </c>
      <c r="G1479" s="47" t="s">
        <v>1535</v>
      </c>
      <c r="H1479" s="30">
        <v>1.0</v>
      </c>
      <c r="I1479" s="30">
        <v>1400.0</v>
      </c>
      <c r="J1479" s="30">
        <v>1400.0</v>
      </c>
      <c r="K1479" s="30">
        <v>6.4</v>
      </c>
      <c r="L1479" s="30">
        <v>89.6</v>
      </c>
      <c r="M1479" s="30">
        <v>1160.0</v>
      </c>
      <c r="N1479" s="30">
        <v>1160.0</v>
      </c>
      <c r="O1479" s="30">
        <v>0.0</v>
      </c>
      <c r="P1479" s="30">
        <v>0.0</v>
      </c>
      <c r="Q1479" s="30">
        <v>150.4</v>
      </c>
    </row>
    <row r="1480">
      <c r="A1480" s="47">
        <v>1.1204809589E10</v>
      </c>
      <c r="B1480" s="48">
        <v>46148.56327546296</v>
      </c>
      <c r="C1480" s="30">
        <v>3.821952928E9</v>
      </c>
      <c r="D1480" s="47" t="s">
        <v>1509</v>
      </c>
      <c r="E1480" s="47">
        <v>7.613033560033E12</v>
      </c>
      <c r="F1480" s="47">
        <v>0.0</v>
      </c>
      <c r="G1480" s="47" t="s">
        <v>1539</v>
      </c>
      <c r="H1480" s="30">
        <v>1.0</v>
      </c>
      <c r="I1480" s="30">
        <v>1430.0</v>
      </c>
      <c r="J1480" s="30">
        <v>1430.0</v>
      </c>
      <c r="K1480" s="30">
        <v>6.4</v>
      </c>
      <c r="L1480" s="30">
        <v>91.52</v>
      </c>
      <c r="M1480" s="30">
        <v>1165.0</v>
      </c>
      <c r="N1480" s="30">
        <v>1165.0</v>
      </c>
      <c r="O1480" s="30">
        <v>0.0</v>
      </c>
      <c r="P1480" s="30">
        <v>0.0</v>
      </c>
      <c r="Q1480" s="30">
        <v>173.48000000000002</v>
      </c>
    </row>
    <row r="1481">
      <c r="A1481" s="47">
        <v>1.1204967608E10</v>
      </c>
      <c r="B1481" s="48">
        <v>46148.59690972222</v>
      </c>
      <c r="C1481" s="30">
        <v>3.822124963E9</v>
      </c>
      <c r="D1481" s="47" t="s">
        <v>1509</v>
      </c>
      <c r="E1481" s="47" t="s">
        <v>537</v>
      </c>
      <c r="F1481" s="47" t="s">
        <v>1523</v>
      </c>
      <c r="G1481" s="47" t="s">
        <v>1575</v>
      </c>
      <c r="H1481" s="30">
        <v>1.0</v>
      </c>
      <c r="I1481" s="30">
        <v>1482.0</v>
      </c>
      <c r="J1481" s="30">
        <v>1482.0</v>
      </c>
      <c r="K1481" s="30">
        <v>12.5</v>
      </c>
      <c r="L1481" s="30">
        <v>185.25</v>
      </c>
      <c r="M1481" s="30">
        <v>1053.0</v>
      </c>
      <c r="N1481" s="30">
        <v>1053.0</v>
      </c>
      <c r="O1481" s="30">
        <v>0.0</v>
      </c>
      <c r="P1481" s="30">
        <v>0.0</v>
      </c>
      <c r="Q1481" s="30">
        <v>243.75</v>
      </c>
    </row>
    <row r="1482">
      <c r="A1482" s="47">
        <v>1.1202947311E10</v>
      </c>
      <c r="B1482" s="48">
        <v>46147.93373842593</v>
      </c>
      <c r="C1482" s="30">
        <v>3.820039078E9</v>
      </c>
      <c r="D1482" s="47" t="s">
        <v>1509</v>
      </c>
      <c r="E1482" s="47" t="s">
        <v>336</v>
      </c>
      <c r="F1482" s="47" t="s">
        <v>1523</v>
      </c>
      <c r="G1482" s="47" t="s">
        <v>1612</v>
      </c>
      <c r="H1482" s="30">
        <v>1.0</v>
      </c>
      <c r="I1482" s="30">
        <v>1325.0</v>
      </c>
      <c r="J1482" s="30">
        <v>1325.0</v>
      </c>
      <c r="K1482" s="30">
        <v>12.5</v>
      </c>
      <c r="L1482" s="30">
        <v>165.625</v>
      </c>
      <c r="M1482" s="30">
        <v>999.6</v>
      </c>
      <c r="N1482" s="30">
        <v>999.6</v>
      </c>
      <c r="O1482" s="30">
        <v>0.0</v>
      </c>
      <c r="P1482" s="30">
        <v>0.0</v>
      </c>
      <c r="Q1482" s="30">
        <v>159.77499999999998</v>
      </c>
    </row>
    <row r="1483">
      <c r="A1483" s="47">
        <v>1.1202158183E10</v>
      </c>
      <c r="B1483" s="48">
        <v>46147.797743055555</v>
      </c>
      <c r="C1483" s="30">
        <v>3.819364741E9</v>
      </c>
      <c r="D1483" s="47" t="s">
        <v>1509</v>
      </c>
      <c r="E1483" s="47">
        <v>7.613035846708E12</v>
      </c>
      <c r="F1483" s="47" t="s">
        <v>1523</v>
      </c>
      <c r="G1483" s="47" t="s">
        <v>1535</v>
      </c>
      <c r="H1483" s="30">
        <v>1.0</v>
      </c>
      <c r="I1483" s="30">
        <v>1400.0</v>
      </c>
      <c r="J1483" s="30">
        <v>1400.0</v>
      </c>
      <c r="K1483" s="30">
        <v>6.4</v>
      </c>
      <c r="L1483" s="30">
        <v>89.6</v>
      </c>
      <c r="M1483" s="30">
        <v>1160.0</v>
      </c>
      <c r="N1483" s="30">
        <v>1160.0</v>
      </c>
      <c r="O1483" s="30">
        <v>0.0</v>
      </c>
      <c r="P1483" s="30">
        <v>0.0</v>
      </c>
      <c r="Q1483" s="30">
        <v>150.4</v>
      </c>
    </row>
    <row r="1484">
      <c r="A1484" s="47">
        <v>1.1197643718E10</v>
      </c>
      <c r="B1484" s="48">
        <v>46146.56590277778</v>
      </c>
      <c r="C1484" s="30">
        <v>3.815224237E9</v>
      </c>
      <c r="D1484" s="47" t="s">
        <v>1509</v>
      </c>
      <c r="E1484" s="47">
        <v>3.182550721738E12</v>
      </c>
      <c r="F1484" s="47" t="s">
        <v>1523</v>
      </c>
      <c r="G1484" s="47" t="s">
        <v>1526</v>
      </c>
      <c r="H1484" s="30">
        <v>1.0</v>
      </c>
      <c r="I1484" s="30">
        <v>1535.0</v>
      </c>
      <c r="J1484" s="30">
        <v>1535.0</v>
      </c>
      <c r="K1484" s="30">
        <v>8.6</v>
      </c>
      <c r="L1484" s="30">
        <v>132.01</v>
      </c>
      <c r="M1484" s="30">
        <v>1210.0</v>
      </c>
      <c r="N1484" s="30">
        <v>1210.0</v>
      </c>
      <c r="O1484" s="30">
        <v>0.0</v>
      </c>
      <c r="P1484" s="30">
        <v>0.0</v>
      </c>
      <c r="Q1484" s="30">
        <v>192.99</v>
      </c>
    </row>
    <row r="1485">
      <c r="A1485" s="47">
        <v>1.1193896702E10</v>
      </c>
      <c r="B1485" s="48">
        <v>46145.06369212963</v>
      </c>
      <c r="C1485" s="30">
        <v>3.81198106E9</v>
      </c>
      <c r="D1485" s="47" t="s">
        <v>1509</v>
      </c>
      <c r="E1485" s="47" t="s">
        <v>440</v>
      </c>
      <c r="F1485" s="47" t="s">
        <v>1523</v>
      </c>
      <c r="G1485" s="47" t="s">
        <v>1633</v>
      </c>
      <c r="H1485" s="30">
        <v>1.0</v>
      </c>
      <c r="I1485" s="30">
        <v>1149.0</v>
      </c>
      <c r="J1485" s="30">
        <v>1149.0</v>
      </c>
      <c r="K1485" s="30">
        <v>13.5</v>
      </c>
      <c r="L1485" s="30">
        <v>155.115</v>
      </c>
      <c r="M1485" s="30">
        <v>780.0</v>
      </c>
      <c r="N1485" s="30">
        <v>780.0</v>
      </c>
      <c r="O1485" s="30">
        <v>0.0</v>
      </c>
      <c r="P1485" s="30">
        <v>0.0</v>
      </c>
      <c r="Q1485" s="30">
        <v>213.885</v>
      </c>
    </row>
    <row r="1486">
      <c r="A1486" s="47">
        <v>1.1204332856E10</v>
      </c>
      <c r="B1486" s="48">
        <v>46148.2022337963</v>
      </c>
      <c r="C1486" s="30">
        <v>3.821403881E9</v>
      </c>
      <c r="D1486" s="47" t="s">
        <v>1509</v>
      </c>
      <c r="E1486" s="47">
        <v>3.182550721738E12</v>
      </c>
      <c r="F1486" s="47" t="s">
        <v>1523</v>
      </c>
      <c r="G1486" s="47" t="s">
        <v>1526</v>
      </c>
      <c r="H1486" s="30">
        <v>1.0</v>
      </c>
      <c r="I1486" s="30">
        <v>1554.0</v>
      </c>
      <c r="J1486" s="30">
        <v>1554.0</v>
      </c>
      <c r="K1486" s="30">
        <v>6.4</v>
      </c>
      <c r="L1486" s="30">
        <v>99.456</v>
      </c>
      <c r="M1486" s="30">
        <v>1210.0</v>
      </c>
      <c r="N1486" s="30">
        <v>1210.0</v>
      </c>
      <c r="O1486" s="30">
        <v>0.0</v>
      </c>
      <c r="P1486" s="30">
        <v>0.0</v>
      </c>
      <c r="Q1486" s="30">
        <v>244.54399999999998</v>
      </c>
    </row>
    <row r="1487">
      <c r="A1487" s="47">
        <v>1.1202944535E10</v>
      </c>
      <c r="B1487" s="48">
        <v>46147.933287037034</v>
      </c>
      <c r="C1487" s="30">
        <v>3.820037825E9</v>
      </c>
      <c r="D1487" s="47" t="s">
        <v>1509</v>
      </c>
      <c r="E1487" s="47">
        <v>3.182550737616E12</v>
      </c>
      <c r="F1487" s="47" t="s">
        <v>1523</v>
      </c>
      <c r="G1487" s="47" t="s">
        <v>1577</v>
      </c>
      <c r="H1487" s="30">
        <v>1.0</v>
      </c>
      <c r="I1487" s="30">
        <v>2049.99</v>
      </c>
      <c r="J1487" s="30">
        <v>2049.99</v>
      </c>
      <c r="K1487" s="30">
        <v>12.5</v>
      </c>
      <c r="L1487" s="30">
        <v>256.24875</v>
      </c>
      <c r="M1487" s="30">
        <v>1535.52</v>
      </c>
      <c r="N1487" s="30">
        <v>1535.52</v>
      </c>
      <c r="O1487" s="30">
        <v>0.0</v>
      </c>
      <c r="P1487" s="30">
        <v>0.0</v>
      </c>
      <c r="Q1487" s="30">
        <v>258.2212499999998</v>
      </c>
    </row>
    <row r="1488">
      <c r="A1488" s="47">
        <v>1.1203236307E10</v>
      </c>
      <c r="B1488" s="48">
        <v>46147.9809375</v>
      </c>
      <c r="C1488" s="30">
        <v>3.820281595E9</v>
      </c>
      <c r="D1488" s="47" t="s">
        <v>1509</v>
      </c>
      <c r="E1488" s="47">
        <v>3.182550728102E12</v>
      </c>
      <c r="F1488" s="47" t="s">
        <v>1523</v>
      </c>
      <c r="G1488" s="47" t="s">
        <v>1576</v>
      </c>
      <c r="H1488" s="30">
        <v>1.0</v>
      </c>
      <c r="I1488" s="30">
        <v>978.0</v>
      </c>
      <c r="J1488" s="30">
        <v>978.0</v>
      </c>
      <c r="K1488" s="30">
        <v>12.5</v>
      </c>
      <c r="L1488" s="30">
        <v>122.25</v>
      </c>
      <c r="M1488" s="30">
        <v>621.6</v>
      </c>
      <c r="N1488" s="30">
        <v>621.6</v>
      </c>
      <c r="O1488" s="30">
        <v>0.0</v>
      </c>
      <c r="P1488" s="30">
        <v>0.0</v>
      </c>
      <c r="Q1488" s="30">
        <v>234.14999999999998</v>
      </c>
    </row>
    <row r="1489">
      <c r="A1489" s="47">
        <v>1.1204714174E10</v>
      </c>
      <c r="B1489" s="48">
        <v>46148.53971064815</v>
      </c>
      <c r="C1489" s="30">
        <v>3.821846883E9</v>
      </c>
      <c r="D1489" s="47" t="s">
        <v>1509</v>
      </c>
      <c r="E1489" s="47">
        <v>7.613033560033E12</v>
      </c>
      <c r="F1489" s="47">
        <v>0.0</v>
      </c>
      <c r="G1489" s="47" t="s">
        <v>1539</v>
      </c>
      <c r="H1489" s="30">
        <v>1.0</v>
      </c>
      <c r="I1489" s="30">
        <v>1430.0</v>
      </c>
      <c r="J1489" s="30">
        <v>1430.0</v>
      </c>
      <c r="K1489" s="30">
        <v>6.4</v>
      </c>
      <c r="L1489" s="30">
        <v>91.52</v>
      </c>
      <c r="M1489" s="30">
        <v>1165.0</v>
      </c>
      <c r="N1489" s="30">
        <v>1165.0</v>
      </c>
      <c r="O1489" s="30">
        <v>0.0</v>
      </c>
      <c r="P1489" s="30">
        <v>0.0</v>
      </c>
      <c r="Q1489" s="30">
        <v>173.48000000000002</v>
      </c>
    </row>
    <row r="1490">
      <c r="A1490" s="47">
        <v>1.1201903885E10</v>
      </c>
      <c r="B1490" s="48">
        <v>46147.749398148146</v>
      </c>
      <c r="C1490" s="30">
        <v>3.819134276E9</v>
      </c>
      <c r="D1490" s="47" t="s">
        <v>1509</v>
      </c>
      <c r="E1490" s="47">
        <v>7.613035846708E12</v>
      </c>
      <c r="F1490" s="47" t="s">
        <v>1523</v>
      </c>
      <c r="G1490" s="47" t="s">
        <v>1535</v>
      </c>
      <c r="H1490" s="30">
        <v>1.0</v>
      </c>
      <c r="I1490" s="30">
        <v>1400.0</v>
      </c>
      <c r="J1490" s="30">
        <v>1400.0</v>
      </c>
      <c r="K1490" s="30">
        <v>6.4</v>
      </c>
      <c r="L1490" s="30">
        <v>89.6</v>
      </c>
      <c r="M1490" s="30">
        <v>1160.0</v>
      </c>
      <c r="N1490" s="30">
        <v>1160.0</v>
      </c>
      <c r="O1490" s="30">
        <v>0.0</v>
      </c>
      <c r="P1490" s="30">
        <v>0.0</v>
      </c>
      <c r="Q1490" s="30">
        <v>150.4</v>
      </c>
    </row>
    <row r="1491">
      <c r="A1491" s="47">
        <v>1.1204718477E10</v>
      </c>
      <c r="B1491" s="48">
        <v>46148.5408912037</v>
      </c>
      <c r="C1491" s="30">
        <v>3.821850339E9</v>
      </c>
      <c r="D1491" s="47" t="s">
        <v>1509</v>
      </c>
      <c r="E1491" s="47">
        <v>6.923632570001E12</v>
      </c>
      <c r="F1491" s="47" t="s">
        <v>1523</v>
      </c>
      <c r="G1491" s="47" t="s">
        <v>1544</v>
      </c>
      <c r="H1491" s="30">
        <v>1.0</v>
      </c>
      <c r="I1491" s="30">
        <v>474.47</v>
      </c>
      <c r="J1491" s="30">
        <v>474.47</v>
      </c>
      <c r="K1491" s="30">
        <v>20.0</v>
      </c>
      <c r="L1491" s="30">
        <v>94.89400000000002</v>
      </c>
      <c r="M1491" s="30">
        <v>130.0</v>
      </c>
      <c r="N1491" s="30">
        <v>130.0</v>
      </c>
      <c r="O1491" s="30">
        <v>0.0</v>
      </c>
      <c r="P1491" s="30">
        <v>0.0</v>
      </c>
      <c r="Q1491" s="30">
        <v>249.57600000000002</v>
      </c>
    </row>
    <row r="1492">
      <c r="A1492" s="47">
        <v>1.1201356901E10</v>
      </c>
      <c r="B1492" s="48">
        <v>46147.646875</v>
      </c>
      <c r="C1492" s="30">
        <v>3.818642886E9</v>
      </c>
      <c r="D1492" s="47" t="s">
        <v>1509</v>
      </c>
      <c r="E1492" s="47">
        <v>8.711231170357E12</v>
      </c>
      <c r="F1492" s="47" t="s">
        <v>1523</v>
      </c>
      <c r="G1492" s="47" t="s">
        <v>1621</v>
      </c>
      <c r="H1492" s="30">
        <v>20.0</v>
      </c>
      <c r="I1492" s="30">
        <v>149.0</v>
      </c>
      <c r="J1492" s="30">
        <v>2980.0</v>
      </c>
      <c r="K1492" s="30">
        <v>5.0</v>
      </c>
      <c r="L1492" s="30">
        <v>149.0</v>
      </c>
      <c r="M1492" s="30">
        <v>0.0</v>
      </c>
      <c r="N1492" s="30">
        <v>0.0</v>
      </c>
      <c r="O1492" s="30">
        <v>0.0</v>
      </c>
      <c r="P1492" s="30">
        <v>0.0</v>
      </c>
      <c r="Q1492" s="30">
        <v>2831.0</v>
      </c>
    </row>
    <row r="1493">
      <c r="A1493" s="47">
        <v>1.1203089015E10</v>
      </c>
      <c r="B1493" s="48">
        <v>46147.956724537034</v>
      </c>
      <c r="C1493" s="30">
        <v>3.820157068E9</v>
      </c>
      <c r="D1493" s="47" t="s">
        <v>1509</v>
      </c>
      <c r="E1493" s="47">
        <v>3.182550721738E12</v>
      </c>
      <c r="F1493" s="47" t="s">
        <v>1523</v>
      </c>
      <c r="G1493" s="47" t="s">
        <v>1526</v>
      </c>
      <c r="H1493" s="30">
        <v>1.0</v>
      </c>
      <c r="I1493" s="30">
        <v>1554.0</v>
      </c>
      <c r="J1493" s="30">
        <v>1554.0</v>
      </c>
      <c r="K1493" s="30">
        <v>6.4</v>
      </c>
      <c r="L1493" s="30">
        <v>99.456</v>
      </c>
      <c r="M1493" s="30">
        <v>1210.0</v>
      </c>
      <c r="N1493" s="30">
        <v>1210.0</v>
      </c>
      <c r="O1493" s="30">
        <v>0.0</v>
      </c>
      <c r="P1493" s="30">
        <v>0.0</v>
      </c>
      <c r="Q1493" s="30">
        <v>244.54399999999998</v>
      </c>
    </row>
    <row r="1494">
      <c r="A1494" s="47">
        <v>1.1203399755E10</v>
      </c>
      <c r="B1494" s="48">
        <v>46148.00643518518</v>
      </c>
      <c r="C1494" s="30">
        <v>3.820432737E9</v>
      </c>
      <c r="D1494" s="47" t="s">
        <v>1509</v>
      </c>
      <c r="E1494" s="47">
        <v>3.182550721745E12</v>
      </c>
      <c r="F1494" s="47" t="s">
        <v>1523</v>
      </c>
      <c r="G1494" s="47" t="s">
        <v>1605</v>
      </c>
      <c r="H1494" s="30">
        <v>1.0</v>
      </c>
      <c r="I1494" s="30">
        <v>2635.0</v>
      </c>
      <c r="J1494" s="30">
        <v>2635.0</v>
      </c>
      <c r="K1494" s="30">
        <v>6.4</v>
      </c>
      <c r="L1494" s="30">
        <v>168.64</v>
      </c>
      <c r="M1494" s="30">
        <v>2000.0</v>
      </c>
      <c r="N1494" s="30">
        <v>2000.0</v>
      </c>
      <c r="O1494" s="30">
        <v>0.0</v>
      </c>
      <c r="P1494" s="30">
        <v>0.0</v>
      </c>
      <c r="Q1494" s="30">
        <v>466.36</v>
      </c>
    </row>
    <row r="1495">
      <c r="A1495" s="47">
        <v>1.1203998195E10</v>
      </c>
      <c r="B1495" s="48">
        <v>46148.10697916667</v>
      </c>
      <c r="C1495" s="30">
        <v>3.821041229E9</v>
      </c>
      <c r="D1495" s="47" t="s">
        <v>1509</v>
      </c>
      <c r="E1495" s="47">
        <v>3.182550721738E12</v>
      </c>
      <c r="F1495" s="47" t="s">
        <v>1523</v>
      </c>
      <c r="G1495" s="47" t="s">
        <v>1526</v>
      </c>
      <c r="H1495" s="30">
        <v>1.0</v>
      </c>
      <c r="I1495" s="30">
        <v>1554.0</v>
      </c>
      <c r="J1495" s="30">
        <v>1554.0</v>
      </c>
      <c r="K1495" s="30">
        <v>6.4</v>
      </c>
      <c r="L1495" s="30">
        <v>99.456</v>
      </c>
      <c r="M1495" s="30">
        <v>1210.0</v>
      </c>
      <c r="N1495" s="30">
        <v>1210.0</v>
      </c>
      <c r="O1495" s="30">
        <v>0.0</v>
      </c>
      <c r="P1495" s="30">
        <v>0.0</v>
      </c>
      <c r="Q1495" s="30">
        <v>244.54399999999998</v>
      </c>
    </row>
    <row r="1496">
      <c r="A1496" s="47">
        <v>1.1202146371E10</v>
      </c>
      <c r="B1496" s="48">
        <v>46147.795625</v>
      </c>
      <c r="C1496" s="30">
        <v>3.819357629E9</v>
      </c>
      <c r="D1496" s="47" t="s">
        <v>1509</v>
      </c>
      <c r="E1496" s="47" t="s">
        <v>336</v>
      </c>
      <c r="F1496" s="47" t="s">
        <v>1523</v>
      </c>
      <c r="G1496" s="47" t="s">
        <v>1612</v>
      </c>
      <c r="H1496" s="30">
        <v>2.0</v>
      </c>
      <c r="I1496" s="30">
        <v>1285.0</v>
      </c>
      <c r="J1496" s="30">
        <v>2570.0</v>
      </c>
      <c r="K1496" s="30">
        <v>12.5</v>
      </c>
      <c r="L1496" s="30">
        <v>321.25</v>
      </c>
      <c r="M1496" s="30">
        <v>999.6</v>
      </c>
      <c r="N1496" s="30">
        <v>1999.2</v>
      </c>
      <c r="O1496" s="30">
        <v>0.0</v>
      </c>
      <c r="P1496" s="30">
        <v>0.0</v>
      </c>
      <c r="Q1496" s="30">
        <v>249.54999999999995</v>
      </c>
    </row>
    <row r="1497">
      <c r="A1497" s="47">
        <v>1.1204805028E10</v>
      </c>
      <c r="B1497" s="48">
        <v>46148.56219907408</v>
      </c>
      <c r="C1497" s="30">
        <v>3.821949503E9</v>
      </c>
      <c r="D1497" s="47" t="s">
        <v>1509</v>
      </c>
      <c r="E1497" s="47">
        <v>7.613033560033E12</v>
      </c>
      <c r="F1497" s="47">
        <v>0.0</v>
      </c>
      <c r="G1497" s="47" t="s">
        <v>1539</v>
      </c>
      <c r="H1497" s="30">
        <v>1.0</v>
      </c>
      <c r="I1497" s="30">
        <v>1430.0</v>
      </c>
      <c r="J1497" s="30">
        <v>1430.0</v>
      </c>
      <c r="K1497" s="30">
        <v>6.4</v>
      </c>
      <c r="L1497" s="30">
        <v>91.52</v>
      </c>
      <c r="M1497" s="30">
        <v>1165.0</v>
      </c>
      <c r="N1497" s="30">
        <v>1165.0</v>
      </c>
      <c r="O1497" s="30">
        <v>0.0</v>
      </c>
      <c r="P1497" s="30">
        <v>0.0</v>
      </c>
      <c r="Q1497" s="30">
        <v>173.48000000000002</v>
      </c>
    </row>
    <row r="1498">
      <c r="A1498" s="47">
        <v>1.1202691073E10</v>
      </c>
      <c r="B1498" s="48">
        <v>46147.891388888886</v>
      </c>
      <c r="C1498" s="30">
        <v>3.81982989E9</v>
      </c>
      <c r="D1498" s="47" t="s">
        <v>1509</v>
      </c>
      <c r="E1498" s="47">
        <v>7.613035846708E12</v>
      </c>
      <c r="F1498" s="47" t="s">
        <v>1523</v>
      </c>
      <c r="G1498" s="47" t="s">
        <v>1535</v>
      </c>
      <c r="H1498" s="30">
        <v>1.0</v>
      </c>
      <c r="I1498" s="30">
        <v>1400.0</v>
      </c>
      <c r="J1498" s="30">
        <v>1400.0</v>
      </c>
      <c r="K1498" s="30">
        <v>6.4</v>
      </c>
      <c r="L1498" s="30">
        <v>89.6</v>
      </c>
      <c r="M1498" s="30">
        <v>1160.0</v>
      </c>
      <c r="N1498" s="30">
        <v>1160.0</v>
      </c>
      <c r="O1498" s="30">
        <v>0.0</v>
      </c>
      <c r="P1498" s="30">
        <v>0.0</v>
      </c>
      <c r="Q1498" s="30">
        <v>150.4</v>
      </c>
    </row>
    <row r="1499">
      <c r="A1499" s="47">
        <v>1.1204843158E10</v>
      </c>
      <c r="B1499" s="48">
        <v>46148.57125</v>
      </c>
      <c r="C1499" s="30">
        <v>3.821991633E9</v>
      </c>
      <c r="D1499" s="47" t="s">
        <v>1509</v>
      </c>
      <c r="E1499" s="47">
        <v>3.182550721738E12</v>
      </c>
      <c r="F1499" s="47" t="s">
        <v>1523</v>
      </c>
      <c r="G1499" s="47" t="s">
        <v>1526</v>
      </c>
      <c r="H1499" s="30">
        <v>1.0</v>
      </c>
      <c r="I1499" s="30">
        <v>1554.0</v>
      </c>
      <c r="J1499" s="30">
        <v>1554.0</v>
      </c>
      <c r="K1499" s="30">
        <v>6.4</v>
      </c>
      <c r="L1499" s="30">
        <v>99.456</v>
      </c>
      <c r="M1499" s="30">
        <v>1210.0</v>
      </c>
      <c r="N1499" s="30">
        <v>1210.0</v>
      </c>
      <c r="O1499" s="30">
        <v>0.0</v>
      </c>
      <c r="P1499" s="30">
        <v>0.0</v>
      </c>
      <c r="Q1499" s="30">
        <v>244.54399999999998</v>
      </c>
    </row>
    <row r="1500">
      <c r="A1500" s="47">
        <v>1.1202902881E10</v>
      </c>
      <c r="B1500" s="48">
        <v>46147.92643518518</v>
      </c>
      <c r="C1500" s="30">
        <v>3.82000442E9</v>
      </c>
      <c r="D1500" s="47" t="s">
        <v>1509</v>
      </c>
      <c r="E1500" s="47" t="s">
        <v>336</v>
      </c>
      <c r="F1500" s="47" t="s">
        <v>1523</v>
      </c>
      <c r="G1500" s="47" t="s">
        <v>1612</v>
      </c>
      <c r="H1500" s="30">
        <v>1.0</v>
      </c>
      <c r="I1500" s="30">
        <v>1325.0</v>
      </c>
      <c r="J1500" s="30">
        <v>1325.0</v>
      </c>
      <c r="K1500" s="30">
        <v>12.5</v>
      </c>
      <c r="L1500" s="30">
        <v>165.625</v>
      </c>
      <c r="M1500" s="30">
        <v>999.6</v>
      </c>
      <c r="N1500" s="30">
        <v>999.6</v>
      </c>
      <c r="O1500" s="30">
        <v>0.0</v>
      </c>
      <c r="P1500" s="30">
        <v>0.0</v>
      </c>
      <c r="Q1500" s="30">
        <v>159.77499999999998</v>
      </c>
    </row>
    <row r="1501">
      <c r="A1501" s="47">
        <v>1.1204568088E10</v>
      </c>
      <c r="B1501" s="48">
        <v>46148.494618055556</v>
      </c>
      <c r="C1501" s="30">
        <v>3.82168185E9</v>
      </c>
      <c r="D1501" s="47" t="s">
        <v>1509</v>
      </c>
      <c r="E1501" s="47">
        <v>7.613033560064E12</v>
      </c>
      <c r="F1501" s="47" t="s">
        <v>1523</v>
      </c>
      <c r="G1501" s="47" t="s">
        <v>1527</v>
      </c>
      <c r="H1501" s="30">
        <v>1.0</v>
      </c>
      <c r="I1501" s="30">
        <v>1599.0</v>
      </c>
      <c r="J1501" s="30">
        <v>1599.0</v>
      </c>
      <c r="K1501" s="30">
        <v>12.5</v>
      </c>
      <c r="L1501" s="30">
        <v>199.875</v>
      </c>
      <c r="M1501" s="30">
        <v>1190.0</v>
      </c>
      <c r="N1501" s="30">
        <v>1190.0</v>
      </c>
      <c r="O1501" s="30">
        <v>0.0</v>
      </c>
      <c r="P1501" s="30">
        <v>0.0</v>
      </c>
      <c r="Q1501" s="30">
        <v>209.125</v>
      </c>
    </row>
    <row r="1502">
      <c r="A1502" s="47">
        <v>1.1193009164E10</v>
      </c>
      <c r="B1502" s="48">
        <v>46144.86597222222</v>
      </c>
      <c r="C1502" s="30">
        <v>3.811331177E9</v>
      </c>
      <c r="D1502" s="47" t="s">
        <v>1509</v>
      </c>
      <c r="E1502" s="47">
        <v>3.182550721738E12</v>
      </c>
      <c r="F1502" s="47" t="s">
        <v>1523</v>
      </c>
      <c r="G1502" s="47" t="s">
        <v>1526</v>
      </c>
      <c r="H1502" s="30">
        <v>1.0</v>
      </c>
      <c r="I1502" s="30">
        <v>1535.0</v>
      </c>
      <c r="J1502" s="30">
        <v>1535.0</v>
      </c>
      <c r="K1502" s="30">
        <v>8.6</v>
      </c>
      <c r="L1502" s="30">
        <v>132.01</v>
      </c>
      <c r="M1502" s="30">
        <v>1210.0</v>
      </c>
      <c r="N1502" s="30">
        <v>1210.0</v>
      </c>
      <c r="O1502" s="30">
        <v>0.0</v>
      </c>
      <c r="P1502" s="30">
        <v>0.0</v>
      </c>
      <c r="Q1502" s="30">
        <v>192.99</v>
      </c>
    </row>
    <row r="1503">
      <c r="A1503" s="47">
        <v>1.1203332879E10</v>
      </c>
      <c r="B1503" s="48">
        <v>46147.99623842593</v>
      </c>
      <c r="C1503" s="30">
        <v>3.820371528E9</v>
      </c>
      <c r="D1503" s="47" t="s">
        <v>1509</v>
      </c>
      <c r="E1503" s="47" t="s">
        <v>336</v>
      </c>
      <c r="F1503" s="47" t="s">
        <v>1523</v>
      </c>
      <c r="G1503" s="47" t="s">
        <v>1612</v>
      </c>
      <c r="H1503" s="30">
        <v>1.0</v>
      </c>
      <c r="I1503" s="30">
        <v>1340.0</v>
      </c>
      <c r="J1503" s="30">
        <v>1340.0</v>
      </c>
      <c r="K1503" s="30">
        <v>12.5</v>
      </c>
      <c r="L1503" s="30">
        <v>167.5</v>
      </c>
      <c r="M1503" s="30">
        <v>999.6</v>
      </c>
      <c r="N1503" s="30">
        <v>999.6</v>
      </c>
      <c r="O1503" s="30">
        <v>0.0</v>
      </c>
      <c r="P1503" s="30">
        <v>0.0</v>
      </c>
      <c r="Q1503" s="30">
        <v>172.89999999999998</v>
      </c>
    </row>
    <row r="1504">
      <c r="A1504" s="47">
        <v>1.1202656585E10</v>
      </c>
      <c r="B1504" s="48">
        <v>46147.88521990741</v>
      </c>
      <c r="C1504" s="30">
        <v>3.819805153E9</v>
      </c>
      <c r="D1504" s="47" t="s">
        <v>1509</v>
      </c>
      <c r="E1504" s="47" t="s">
        <v>650</v>
      </c>
      <c r="F1504" s="47" t="s">
        <v>1523</v>
      </c>
      <c r="G1504" s="47" t="s">
        <v>1597</v>
      </c>
      <c r="H1504" s="30">
        <v>1.0</v>
      </c>
      <c r="I1504" s="30">
        <v>850.0</v>
      </c>
      <c r="J1504" s="30">
        <v>850.0</v>
      </c>
      <c r="K1504" s="30">
        <v>13.5</v>
      </c>
      <c r="L1504" s="30">
        <v>114.75</v>
      </c>
      <c r="M1504" s="30">
        <v>100.0</v>
      </c>
      <c r="N1504" s="30">
        <v>100.0</v>
      </c>
      <c r="O1504" s="30">
        <v>0.0</v>
      </c>
      <c r="P1504" s="30">
        <v>0.0</v>
      </c>
      <c r="Q1504" s="30">
        <v>635.25</v>
      </c>
    </row>
    <row r="1505">
      <c r="A1505" s="47">
        <v>1.1183630316E10</v>
      </c>
      <c r="B1505" s="48">
        <v>46141.695069444446</v>
      </c>
      <c r="C1505" s="30">
        <v>3.803832187E9</v>
      </c>
      <c r="D1505" s="47" t="s">
        <v>1509</v>
      </c>
      <c r="E1505" s="47">
        <v>8.010276042125E12</v>
      </c>
      <c r="F1505" s="47" t="s">
        <v>1523</v>
      </c>
      <c r="G1505" s="47" t="s">
        <v>1618</v>
      </c>
      <c r="H1505" s="30">
        <v>1.0</v>
      </c>
      <c r="I1505" s="30">
        <v>1049.0</v>
      </c>
      <c r="J1505" s="30">
        <v>1049.0</v>
      </c>
      <c r="K1505" s="30">
        <v>16.5</v>
      </c>
      <c r="L1505" s="30">
        <v>173.085</v>
      </c>
      <c r="M1505" s="30">
        <v>713.0</v>
      </c>
      <c r="N1505" s="30">
        <v>713.0</v>
      </c>
      <c r="O1505" s="30">
        <v>0.0</v>
      </c>
      <c r="P1505" s="30">
        <v>0.0</v>
      </c>
      <c r="Q1505" s="30">
        <v>162.915</v>
      </c>
    </row>
    <row r="1506">
      <c r="A1506" s="47">
        <v>1.1192484216E10</v>
      </c>
      <c r="B1506" s="48">
        <v>46144.74865740741</v>
      </c>
      <c r="C1506" s="30">
        <v>3.810947978E9</v>
      </c>
      <c r="D1506" s="47" t="s">
        <v>1509</v>
      </c>
      <c r="E1506" s="47">
        <v>6.38929373773889E14</v>
      </c>
      <c r="F1506" s="47" t="s">
        <v>1523</v>
      </c>
      <c r="G1506" s="47" t="s">
        <v>1609</v>
      </c>
      <c r="H1506" s="30">
        <v>2.0</v>
      </c>
      <c r="I1506" s="30">
        <v>727.0</v>
      </c>
      <c r="J1506" s="30">
        <v>1454.0</v>
      </c>
      <c r="K1506" s="30">
        <v>13.5</v>
      </c>
      <c r="L1506" s="30">
        <v>196.29</v>
      </c>
      <c r="M1506" s="30">
        <v>480.0</v>
      </c>
      <c r="N1506" s="30">
        <v>960.0</v>
      </c>
      <c r="O1506" s="30">
        <v>0.0</v>
      </c>
      <c r="P1506" s="30">
        <v>0.0</v>
      </c>
      <c r="Q1506" s="30">
        <v>297.71000000000004</v>
      </c>
    </row>
    <row r="1507">
      <c r="A1507" s="47">
        <v>1.1192499182E10</v>
      </c>
      <c r="B1507" s="48">
        <v>46144.75219907407</v>
      </c>
      <c r="C1507" s="30">
        <v>3.810960336E9</v>
      </c>
      <c r="D1507" s="47" t="s">
        <v>1509</v>
      </c>
      <c r="E1507" s="47">
        <v>4.0004872260361E15</v>
      </c>
      <c r="F1507" s="47" t="s">
        <v>1523</v>
      </c>
      <c r="G1507" s="47" t="s">
        <v>1619</v>
      </c>
      <c r="H1507" s="30">
        <v>1.0</v>
      </c>
      <c r="I1507" s="30">
        <v>2075.0</v>
      </c>
      <c r="J1507" s="30">
        <v>2075.0</v>
      </c>
      <c r="K1507" s="30">
        <v>16.5</v>
      </c>
      <c r="L1507" s="30">
        <v>342.375</v>
      </c>
      <c r="M1507" s="30">
        <v>1500.0</v>
      </c>
      <c r="N1507" s="30">
        <v>1500.0</v>
      </c>
      <c r="O1507" s="30">
        <v>0.0</v>
      </c>
      <c r="P1507" s="30">
        <v>0.0</v>
      </c>
      <c r="Q1507" s="30">
        <v>232.625</v>
      </c>
    </row>
    <row r="1508">
      <c r="A1508" s="47">
        <v>1.1192312275E10</v>
      </c>
      <c r="B1508" s="48">
        <v>46144.71041666667</v>
      </c>
      <c r="C1508" s="30">
        <v>3.810809396E9</v>
      </c>
      <c r="D1508" s="47" t="s">
        <v>1509</v>
      </c>
      <c r="E1508" s="47">
        <v>4.54654654354534E14</v>
      </c>
      <c r="F1508" s="47" t="s">
        <v>1523</v>
      </c>
      <c r="G1508" s="47" t="s">
        <v>1634</v>
      </c>
      <c r="H1508" s="30">
        <v>1.0</v>
      </c>
      <c r="I1508" s="30">
        <v>599.0</v>
      </c>
      <c r="J1508" s="30">
        <v>599.0</v>
      </c>
      <c r="K1508" s="30">
        <v>13.5</v>
      </c>
      <c r="L1508" s="30">
        <v>80.865</v>
      </c>
      <c r="M1508" s="30">
        <v>390.0</v>
      </c>
      <c r="N1508" s="30">
        <v>390.0</v>
      </c>
      <c r="O1508" s="30">
        <v>0.0</v>
      </c>
      <c r="P1508" s="30">
        <v>0.0</v>
      </c>
      <c r="Q1508" s="30">
        <v>128.135</v>
      </c>
    </row>
    <row r="1509">
      <c r="A1509" s="47">
        <v>1.1192508945E10</v>
      </c>
      <c r="B1509" s="48">
        <v>46144.754479166666</v>
      </c>
      <c r="C1509" s="30">
        <v>3.81096673E9</v>
      </c>
      <c r="D1509" s="47" t="s">
        <v>1509</v>
      </c>
      <c r="E1509" s="47" t="s">
        <v>413</v>
      </c>
      <c r="F1509" s="47" t="s">
        <v>1523</v>
      </c>
      <c r="G1509" s="47" t="s">
        <v>1590</v>
      </c>
      <c r="H1509" s="30">
        <v>1.0</v>
      </c>
      <c r="I1509" s="30">
        <v>2134.0</v>
      </c>
      <c r="J1509" s="30">
        <v>2134.0</v>
      </c>
      <c r="K1509" s="30">
        <v>13.5</v>
      </c>
      <c r="L1509" s="30">
        <v>288.09</v>
      </c>
      <c r="M1509" s="30">
        <v>1560.0</v>
      </c>
      <c r="N1509" s="30">
        <v>1560.0</v>
      </c>
      <c r="O1509" s="30">
        <v>0.0</v>
      </c>
      <c r="P1509" s="30">
        <v>0.0</v>
      </c>
      <c r="Q1509" s="30">
        <v>285.91</v>
      </c>
    </row>
    <row r="1510">
      <c r="A1510" s="47">
        <v>1.1197733623E10</v>
      </c>
      <c r="B1510" s="48">
        <v>46146.59144675926</v>
      </c>
      <c r="C1510" s="30">
        <v>3.815316684E9</v>
      </c>
      <c r="D1510" s="47" t="s">
        <v>1509</v>
      </c>
      <c r="E1510" s="47">
        <v>3.182550728102E12</v>
      </c>
      <c r="F1510" s="47" t="s">
        <v>1523</v>
      </c>
      <c r="G1510" s="47" t="s">
        <v>1576</v>
      </c>
      <c r="H1510" s="30">
        <v>1.0</v>
      </c>
      <c r="I1510" s="30">
        <v>978.0</v>
      </c>
      <c r="J1510" s="30">
        <v>978.0</v>
      </c>
      <c r="K1510" s="30">
        <v>12.5</v>
      </c>
      <c r="L1510" s="30">
        <v>122.25</v>
      </c>
      <c r="M1510" s="30">
        <v>621.6</v>
      </c>
      <c r="N1510" s="30">
        <v>621.6</v>
      </c>
      <c r="O1510" s="30">
        <v>0.0</v>
      </c>
      <c r="P1510" s="30">
        <v>0.0</v>
      </c>
      <c r="Q1510" s="30">
        <v>234.14999999999998</v>
      </c>
    </row>
    <row r="1511">
      <c r="A1511" s="47">
        <v>1.1198201552E10</v>
      </c>
      <c r="B1511" s="48">
        <v>46146.68760416667</v>
      </c>
      <c r="C1511" s="30">
        <v>3.815716513E9</v>
      </c>
      <c r="D1511" s="47" t="s">
        <v>1509</v>
      </c>
      <c r="E1511" s="47">
        <v>3.182550793032E12</v>
      </c>
      <c r="F1511" s="47" t="s">
        <v>1523</v>
      </c>
      <c r="G1511" s="47" t="s">
        <v>1614</v>
      </c>
      <c r="H1511" s="30">
        <v>1.0</v>
      </c>
      <c r="I1511" s="30">
        <v>1606.0</v>
      </c>
      <c r="J1511" s="30">
        <v>1606.0</v>
      </c>
      <c r="K1511" s="30">
        <v>12.5</v>
      </c>
      <c r="L1511" s="30">
        <v>200.75</v>
      </c>
      <c r="M1511" s="30">
        <v>1260.0</v>
      </c>
      <c r="N1511" s="30">
        <v>1260.0</v>
      </c>
      <c r="O1511" s="30">
        <v>0.0</v>
      </c>
      <c r="P1511" s="30">
        <v>0.0</v>
      </c>
      <c r="Q1511" s="30">
        <v>145.25</v>
      </c>
    </row>
    <row r="1512">
      <c r="A1512" s="47">
        <v>1.1192525233E10</v>
      </c>
      <c r="B1512" s="48">
        <v>46144.75790509259</v>
      </c>
      <c r="C1512" s="30">
        <v>3.810980077E9</v>
      </c>
      <c r="D1512" s="47" t="s">
        <v>1509</v>
      </c>
      <c r="E1512" s="47" t="s">
        <v>537</v>
      </c>
      <c r="F1512" s="47" t="s">
        <v>1523</v>
      </c>
      <c r="G1512" s="47" t="s">
        <v>1575</v>
      </c>
      <c r="H1512" s="30">
        <v>1.0</v>
      </c>
      <c r="I1512" s="30">
        <v>1482.0</v>
      </c>
      <c r="J1512" s="30">
        <v>1482.0</v>
      </c>
      <c r="K1512" s="30">
        <v>12.5</v>
      </c>
      <c r="L1512" s="30">
        <v>185.25</v>
      </c>
      <c r="M1512" s="30">
        <v>1053.0</v>
      </c>
      <c r="N1512" s="30">
        <v>1053.0</v>
      </c>
      <c r="O1512" s="30">
        <v>0.0</v>
      </c>
      <c r="P1512" s="30">
        <v>0.0</v>
      </c>
      <c r="Q1512" s="30">
        <v>243.75</v>
      </c>
    </row>
    <row r="1513">
      <c r="A1513" s="47">
        <v>1.1198292953E10</v>
      </c>
      <c r="B1513" s="48">
        <v>46146.705775462964</v>
      </c>
      <c r="C1513" s="30">
        <v>3.815797513E9</v>
      </c>
      <c r="D1513" s="47" t="s">
        <v>1509</v>
      </c>
      <c r="E1513" s="47">
        <v>3.182550728102E12</v>
      </c>
      <c r="F1513" s="47" t="s">
        <v>1523</v>
      </c>
      <c r="G1513" s="47" t="s">
        <v>1576</v>
      </c>
      <c r="H1513" s="30">
        <v>1.0</v>
      </c>
      <c r="I1513" s="30">
        <v>978.0</v>
      </c>
      <c r="J1513" s="30">
        <v>978.0</v>
      </c>
      <c r="K1513" s="30">
        <v>12.5</v>
      </c>
      <c r="L1513" s="30">
        <v>122.25</v>
      </c>
      <c r="M1513" s="30">
        <v>621.6</v>
      </c>
      <c r="N1513" s="30">
        <v>621.6</v>
      </c>
      <c r="O1513" s="30">
        <v>0.0</v>
      </c>
      <c r="P1513" s="30">
        <v>0.0</v>
      </c>
      <c r="Q1513" s="30">
        <v>234.14999999999998</v>
      </c>
    </row>
    <row r="1514">
      <c r="A1514" s="47">
        <v>1.1199192447E10</v>
      </c>
      <c r="B1514" s="48">
        <v>46146.891076388885</v>
      </c>
      <c r="C1514" s="30">
        <v>3.816565881E9</v>
      </c>
      <c r="D1514" s="47" t="s">
        <v>1509</v>
      </c>
      <c r="E1514" s="47">
        <v>7.613032816536E12</v>
      </c>
      <c r="F1514" s="47" t="s">
        <v>1523</v>
      </c>
      <c r="G1514" s="47" t="s">
        <v>1533</v>
      </c>
      <c r="H1514" s="30">
        <v>1.0</v>
      </c>
      <c r="I1514" s="30">
        <v>870.0</v>
      </c>
      <c r="J1514" s="30">
        <v>870.0</v>
      </c>
      <c r="K1514" s="30">
        <v>13.5</v>
      </c>
      <c r="L1514" s="30">
        <v>117.45</v>
      </c>
      <c r="M1514" s="30">
        <v>580.0</v>
      </c>
      <c r="N1514" s="30">
        <v>580.0</v>
      </c>
      <c r="O1514" s="30">
        <v>0.0</v>
      </c>
      <c r="P1514" s="30">
        <v>0.0</v>
      </c>
      <c r="Q1514" s="30">
        <v>172.55</v>
      </c>
    </row>
    <row r="1515">
      <c r="A1515" s="47">
        <v>1.1193082729E10</v>
      </c>
      <c r="B1515" s="48">
        <v>46144.88228009259</v>
      </c>
      <c r="C1515" s="30">
        <v>3.811380196E9</v>
      </c>
      <c r="D1515" s="47" t="s">
        <v>1509</v>
      </c>
      <c r="E1515" s="47">
        <v>3.182550721738E12</v>
      </c>
      <c r="F1515" s="47" t="s">
        <v>1523</v>
      </c>
      <c r="G1515" s="47" t="s">
        <v>1526</v>
      </c>
      <c r="H1515" s="30">
        <v>1.0</v>
      </c>
      <c r="I1515" s="30">
        <v>1535.0</v>
      </c>
      <c r="J1515" s="30">
        <v>1535.0</v>
      </c>
      <c r="K1515" s="30">
        <v>8.6</v>
      </c>
      <c r="L1515" s="30">
        <v>132.01</v>
      </c>
      <c r="M1515" s="30">
        <v>1210.0</v>
      </c>
      <c r="N1515" s="30">
        <v>1210.0</v>
      </c>
      <c r="O1515" s="30">
        <v>0.0</v>
      </c>
      <c r="P1515" s="30">
        <v>0.0</v>
      </c>
      <c r="Q1515" s="30">
        <v>192.99</v>
      </c>
    </row>
    <row r="1516">
      <c r="A1516" s="47">
        <v>1.1193104193E10</v>
      </c>
      <c r="B1516" s="48">
        <v>46144.887094907404</v>
      </c>
      <c r="C1516" s="30">
        <v>3.811394023E9</v>
      </c>
      <c r="D1516" s="47" t="s">
        <v>1509</v>
      </c>
      <c r="E1516" s="47">
        <v>6.38929373773889E14</v>
      </c>
      <c r="F1516" s="47" t="s">
        <v>1523</v>
      </c>
      <c r="G1516" s="47" t="s">
        <v>1609</v>
      </c>
      <c r="H1516" s="30">
        <v>1.0</v>
      </c>
      <c r="I1516" s="30">
        <v>727.0</v>
      </c>
      <c r="J1516" s="30">
        <v>727.0</v>
      </c>
      <c r="K1516" s="30">
        <v>13.5</v>
      </c>
      <c r="L1516" s="30">
        <v>98.145</v>
      </c>
      <c r="M1516" s="30">
        <v>480.0</v>
      </c>
      <c r="N1516" s="30">
        <v>480.0</v>
      </c>
      <c r="O1516" s="30">
        <v>0.0</v>
      </c>
      <c r="P1516" s="30">
        <v>0.0</v>
      </c>
      <c r="Q1516" s="30">
        <v>148.85500000000002</v>
      </c>
    </row>
    <row r="1517">
      <c r="A1517" s="47">
        <v>1.1198620211E10</v>
      </c>
      <c r="B1517" s="48">
        <v>46146.774375</v>
      </c>
      <c r="C1517" s="30">
        <v>3.816090625E9</v>
      </c>
      <c r="D1517" s="47" t="s">
        <v>1509</v>
      </c>
      <c r="E1517" s="47" t="s">
        <v>537</v>
      </c>
      <c r="F1517" s="47" t="s">
        <v>1523</v>
      </c>
      <c r="G1517" s="47" t="s">
        <v>1575</v>
      </c>
      <c r="H1517" s="30">
        <v>1.0</v>
      </c>
      <c r="I1517" s="30">
        <v>1482.0</v>
      </c>
      <c r="J1517" s="30">
        <v>1482.0</v>
      </c>
      <c r="K1517" s="30">
        <v>12.5</v>
      </c>
      <c r="L1517" s="30">
        <v>185.25</v>
      </c>
      <c r="M1517" s="30">
        <v>1053.0</v>
      </c>
      <c r="N1517" s="30">
        <v>1053.0</v>
      </c>
      <c r="O1517" s="30">
        <v>0.0</v>
      </c>
      <c r="P1517" s="30">
        <v>0.0</v>
      </c>
      <c r="Q1517" s="30">
        <v>243.75</v>
      </c>
    </row>
    <row r="1518">
      <c r="A1518" s="47">
        <v>1.1195825651E10</v>
      </c>
      <c r="B1518" s="48">
        <v>46145.861597222225</v>
      </c>
      <c r="C1518" s="30">
        <v>3.813584773E9</v>
      </c>
      <c r="D1518" s="47" t="s">
        <v>1509</v>
      </c>
      <c r="E1518" s="47">
        <v>3.182550721738E12</v>
      </c>
      <c r="F1518" s="47" t="s">
        <v>1523</v>
      </c>
      <c r="G1518" s="47" t="s">
        <v>1526</v>
      </c>
      <c r="H1518" s="30">
        <v>1.0</v>
      </c>
      <c r="I1518" s="30">
        <v>1535.0</v>
      </c>
      <c r="J1518" s="30">
        <v>1535.0</v>
      </c>
      <c r="K1518" s="30">
        <v>8.6</v>
      </c>
      <c r="L1518" s="30">
        <v>132.01</v>
      </c>
      <c r="M1518" s="30">
        <v>1210.0</v>
      </c>
      <c r="N1518" s="30">
        <v>1210.0</v>
      </c>
      <c r="O1518" s="30">
        <v>0.0</v>
      </c>
      <c r="P1518" s="30">
        <v>0.0</v>
      </c>
      <c r="Q1518" s="30">
        <v>192.99</v>
      </c>
    </row>
    <row r="1519">
      <c r="A1519" s="47">
        <v>1.1193373192E10</v>
      </c>
      <c r="B1519" s="48">
        <v>46144.94582175926</v>
      </c>
      <c r="C1519" s="30">
        <v>3.811570294E9</v>
      </c>
      <c r="D1519" s="47" t="s">
        <v>1509</v>
      </c>
      <c r="E1519" s="47">
        <v>4.54654654354534E14</v>
      </c>
      <c r="F1519" s="47" t="s">
        <v>1523</v>
      </c>
      <c r="G1519" s="47" t="s">
        <v>1634</v>
      </c>
      <c r="H1519" s="30">
        <v>1.0</v>
      </c>
      <c r="I1519" s="30">
        <v>599.0</v>
      </c>
      <c r="J1519" s="30">
        <v>599.0</v>
      </c>
      <c r="K1519" s="30">
        <v>13.5</v>
      </c>
      <c r="L1519" s="30">
        <v>80.865</v>
      </c>
      <c r="M1519" s="30">
        <v>390.0</v>
      </c>
      <c r="N1519" s="30">
        <v>390.0</v>
      </c>
      <c r="O1519" s="30">
        <v>0.0</v>
      </c>
      <c r="P1519" s="30">
        <v>0.0</v>
      </c>
      <c r="Q1519" s="30">
        <v>128.135</v>
      </c>
    </row>
    <row r="1520">
      <c r="A1520" s="47">
        <v>1.1194935461E10</v>
      </c>
      <c r="B1520" s="48">
        <v>46145.67471064815</v>
      </c>
      <c r="C1520" s="30">
        <v>3.812906487E9</v>
      </c>
      <c r="D1520" s="47" t="s">
        <v>1509</v>
      </c>
      <c r="E1520" s="47">
        <v>3.182550721738E12</v>
      </c>
      <c r="F1520" s="47" t="s">
        <v>1523</v>
      </c>
      <c r="G1520" s="47" t="s">
        <v>1526</v>
      </c>
      <c r="H1520" s="30">
        <v>1.0</v>
      </c>
      <c r="I1520" s="30">
        <v>1535.0</v>
      </c>
      <c r="J1520" s="30">
        <v>1535.0</v>
      </c>
      <c r="K1520" s="30">
        <v>8.6</v>
      </c>
      <c r="L1520" s="30">
        <v>132.01</v>
      </c>
      <c r="M1520" s="30">
        <v>1210.0</v>
      </c>
      <c r="N1520" s="30">
        <v>1210.0</v>
      </c>
      <c r="O1520" s="30">
        <v>0.0</v>
      </c>
      <c r="P1520" s="30">
        <v>0.0</v>
      </c>
      <c r="Q1520" s="30">
        <v>192.99</v>
      </c>
    </row>
    <row r="1521">
      <c r="A1521" s="47">
        <v>1.1193567987E10</v>
      </c>
      <c r="B1521" s="48">
        <v>46144.98813657407</v>
      </c>
      <c r="C1521" s="30">
        <v>3.811709035E9</v>
      </c>
      <c r="D1521" s="47" t="s">
        <v>1509</v>
      </c>
      <c r="E1521" s="47" t="s">
        <v>409</v>
      </c>
      <c r="F1521" s="47" t="s">
        <v>1523</v>
      </c>
      <c r="G1521" s="47" t="s">
        <v>1579</v>
      </c>
      <c r="H1521" s="30">
        <v>1.0</v>
      </c>
      <c r="I1521" s="30">
        <v>1099.0</v>
      </c>
      <c r="J1521" s="30">
        <v>1099.0</v>
      </c>
      <c r="K1521" s="30">
        <v>13.5</v>
      </c>
      <c r="L1521" s="30">
        <v>148.365</v>
      </c>
      <c r="M1521" s="30">
        <v>780.0</v>
      </c>
      <c r="N1521" s="30">
        <v>780.0</v>
      </c>
      <c r="O1521" s="30">
        <v>0.0</v>
      </c>
      <c r="P1521" s="30">
        <v>0.0</v>
      </c>
      <c r="Q1521" s="30">
        <v>170.635</v>
      </c>
    </row>
    <row r="1522">
      <c r="A1522" s="47">
        <v>1.1193681003E10</v>
      </c>
      <c r="B1522" s="48">
        <v>46145.01273148148</v>
      </c>
      <c r="C1522" s="30">
        <v>3.811798205E9</v>
      </c>
      <c r="D1522" s="47" t="s">
        <v>1509</v>
      </c>
      <c r="E1522" s="47">
        <v>4.54654654354534E14</v>
      </c>
      <c r="F1522" s="47" t="s">
        <v>1523</v>
      </c>
      <c r="G1522" s="47" t="s">
        <v>1634</v>
      </c>
      <c r="H1522" s="30">
        <v>2.0</v>
      </c>
      <c r="I1522" s="30">
        <v>599.0</v>
      </c>
      <c r="J1522" s="30">
        <v>1198.0</v>
      </c>
      <c r="K1522" s="30">
        <v>13.5</v>
      </c>
      <c r="L1522" s="30">
        <v>161.73</v>
      </c>
      <c r="M1522" s="30">
        <v>390.0</v>
      </c>
      <c r="N1522" s="30">
        <v>780.0</v>
      </c>
      <c r="O1522" s="30">
        <v>0.0</v>
      </c>
      <c r="P1522" s="30">
        <v>0.0</v>
      </c>
      <c r="Q1522" s="30">
        <v>256.27</v>
      </c>
    </row>
    <row r="1523">
      <c r="A1523" s="47">
        <v>1.1199205394E10</v>
      </c>
      <c r="B1523" s="48">
        <v>46146.89365740741</v>
      </c>
      <c r="C1523" s="30">
        <v>3.816576508E9</v>
      </c>
      <c r="D1523" s="47" t="s">
        <v>1509</v>
      </c>
      <c r="E1523" s="47">
        <v>6.923632570121E12</v>
      </c>
      <c r="F1523" s="47" t="s">
        <v>306</v>
      </c>
      <c r="G1523" s="47" t="s">
        <v>1555</v>
      </c>
      <c r="H1523" s="30">
        <v>1.0</v>
      </c>
      <c r="I1523" s="30">
        <v>897.45</v>
      </c>
      <c r="J1523" s="30">
        <v>897.45</v>
      </c>
      <c r="K1523" s="30">
        <v>20.0</v>
      </c>
      <c r="L1523" s="30">
        <v>179.49</v>
      </c>
      <c r="M1523" s="30">
        <v>300.0</v>
      </c>
      <c r="N1523" s="30">
        <v>300.0</v>
      </c>
      <c r="O1523" s="30">
        <v>0.0</v>
      </c>
      <c r="P1523" s="30">
        <v>0.0</v>
      </c>
      <c r="Q1523" s="30">
        <v>417.96000000000004</v>
      </c>
    </row>
    <row r="1524">
      <c r="A1524" s="47">
        <v>1.1192395204E10</v>
      </c>
      <c r="B1524" s="48">
        <v>46144.72875</v>
      </c>
      <c r="C1524" s="30">
        <v>3.810877367E9</v>
      </c>
      <c r="D1524" s="47" t="s">
        <v>1509</v>
      </c>
      <c r="E1524" s="47">
        <v>3.182550721738E12</v>
      </c>
      <c r="F1524" s="47" t="s">
        <v>1523</v>
      </c>
      <c r="G1524" s="47" t="s">
        <v>1526</v>
      </c>
      <c r="H1524" s="30">
        <v>1.0</v>
      </c>
      <c r="I1524" s="30">
        <v>1535.0</v>
      </c>
      <c r="J1524" s="30">
        <v>1535.0</v>
      </c>
      <c r="K1524" s="30">
        <v>8.6</v>
      </c>
      <c r="L1524" s="30">
        <v>132.01</v>
      </c>
      <c r="M1524" s="30">
        <v>1210.0</v>
      </c>
      <c r="N1524" s="30">
        <v>1210.0</v>
      </c>
      <c r="O1524" s="30">
        <v>0.0</v>
      </c>
      <c r="P1524" s="30">
        <v>0.0</v>
      </c>
      <c r="Q1524" s="30">
        <v>192.99</v>
      </c>
    </row>
    <row r="1525">
      <c r="A1525" s="47">
        <v>1.1195663693E10</v>
      </c>
      <c r="B1525" s="48">
        <v>46145.829733796294</v>
      </c>
      <c r="C1525" s="30">
        <v>3.813473119E9</v>
      </c>
      <c r="D1525" s="47" t="s">
        <v>1509</v>
      </c>
      <c r="E1525" s="47">
        <v>3.182550721738E12</v>
      </c>
      <c r="F1525" s="47" t="s">
        <v>1523</v>
      </c>
      <c r="G1525" s="47" t="s">
        <v>1526</v>
      </c>
      <c r="H1525" s="30">
        <v>1.0</v>
      </c>
      <c r="I1525" s="30">
        <v>1535.0</v>
      </c>
      <c r="J1525" s="30">
        <v>1535.0</v>
      </c>
      <c r="K1525" s="30">
        <v>8.6</v>
      </c>
      <c r="L1525" s="30">
        <v>132.01</v>
      </c>
      <c r="M1525" s="30">
        <v>1210.0</v>
      </c>
      <c r="N1525" s="30">
        <v>1210.0</v>
      </c>
      <c r="O1525" s="30">
        <v>0.0</v>
      </c>
      <c r="P1525" s="30">
        <v>0.0</v>
      </c>
      <c r="Q1525" s="30">
        <v>192.99</v>
      </c>
    </row>
    <row r="1526">
      <c r="A1526" s="47">
        <v>1.1193724966E10</v>
      </c>
      <c r="B1526" s="48">
        <v>46145.02270833333</v>
      </c>
      <c r="C1526" s="30">
        <v>3.811832487E9</v>
      </c>
      <c r="D1526" s="47" t="s">
        <v>1509</v>
      </c>
      <c r="E1526" s="47">
        <v>4.54654654354534E14</v>
      </c>
      <c r="F1526" s="47" t="s">
        <v>1523</v>
      </c>
      <c r="G1526" s="47" t="s">
        <v>1634</v>
      </c>
      <c r="H1526" s="30">
        <v>1.0</v>
      </c>
      <c r="I1526" s="30">
        <v>599.0</v>
      </c>
      <c r="J1526" s="30">
        <v>599.0</v>
      </c>
      <c r="K1526" s="30">
        <v>13.5</v>
      </c>
      <c r="L1526" s="30">
        <v>80.865</v>
      </c>
      <c r="M1526" s="30">
        <v>390.0</v>
      </c>
      <c r="N1526" s="30">
        <v>390.0</v>
      </c>
      <c r="O1526" s="30">
        <v>0.0</v>
      </c>
      <c r="P1526" s="30">
        <v>0.0</v>
      </c>
      <c r="Q1526" s="30">
        <v>128.135</v>
      </c>
    </row>
    <row r="1527">
      <c r="A1527" s="47">
        <v>1.1193786755E10</v>
      </c>
      <c r="B1527" s="48">
        <v>46145.03758101852</v>
      </c>
      <c r="C1527" s="30">
        <v>3.811884496E9</v>
      </c>
      <c r="D1527" s="47" t="s">
        <v>1509</v>
      </c>
      <c r="E1527" s="47" t="s">
        <v>537</v>
      </c>
      <c r="F1527" s="47" t="s">
        <v>1523</v>
      </c>
      <c r="G1527" s="47" t="s">
        <v>1575</v>
      </c>
      <c r="H1527" s="30">
        <v>1.0</v>
      </c>
      <c r="I1527" s="30">
        <v>1482.0</v>
      </c>
      <c r="J1527" s="30">
        <v>1482.0</v>
      </c>
      <c r="K1527" s="30">
        <v>12.5</v>
      </c>
      <c r="L1527" s="30">
        <v>185.25</v>
      </c>
      <c r="M1527" s="30">
        <v>1053.0</v>
      </c>
      <c r="N1527" s="30">
        <v>1053.0</v>
      </c>
      <c r="O1527" s="30">
        <v>0.0</v>
      </c>
      <c r="P1527" s="30">
        <v>0.0</v>
      </c>
      <c r="Q1527" s="30">
        <v>243.75</v>
      </c>
    </row>
    <row r="1528">
      <c r="A1528" s="47">
        <v>1.1195246035E10</v>
      </c>
      <c r="B1528" s="48">
        <v>46145.74356481482</v>
      </c>
      <c r="C1528" s="30">
        <v>3.813161571E9</v>
      </c>
      <c r="D1528" s="47" t="s">
        <v>1509</v>
      </c>
      <c r="E1528" s="47">
        <v>4.54654654354534E14</v>
      </c>
      <c r="F1528" s="47" t="s">
        <v>1523</v>
      </c>
      <c r="G1528" s="47" t="s">
        <v>1634</v>
      </c>
      <c r="H1528" s="30">
        <v>1.0</v>
      </c>
      <c r="I1528" s="30">
        <v>719.0</v>
      </c>
      <c r="J1528" s="30">
        <v>719.0</v>
      </c>
      <c r="K1528" s="30">
        <v>13.5</v>
      </c>
      <c r="L1528" s="30">
        <v>97.065</v>
      </c>
      <c r="M1528" s="30">
        <v>390.0</v>
      </c>
      <c r="N1528" s="30">
        <v>390.0</v>
      </c>
      <c r="O1528" s="30">
        <v>0.0</v>
      </c>
      <c r="P1528" s="30">
        <v>0.0</v>
      </c>
      <c r="Q1528" s="30">
        <v>231.935</v>
      </c>
    </row>
    <row r="1529">
      <c r="A1529" s="47">
        <v>1.1195691755E10</v>
      </c>
      <c r="B1529" s="48">
        <v>46145.835543981484</v>
      </c>
      <c r="C1529" s="30">
        <v>3.813493519E9</v>
      </c>
      <c r="D1529" s="47" t="s">
        <v>1509</v>
      </c>
      <c r="E1529" s="47">
        <v>8.010276040046E12</v>
      </c>
      <c r="F1529" s="47" t="s">
        <v>1523</v>
      </c>
      <c r="G1529" s="47" t="s">
        <v>1629</v>
      </c>
      <c r="H1529" s="30">
        <v>1.0</v>
      </c>
      <c r="I1529" s="30">
        <v>4748.0</v>
      </c>
      <c r="J1529" s="30">
        <v>4748.0</v>
      </c>
      <c r="K1529" s="30">
        <v>16.5</v>
      </c>
      <c r="L1529" s="30">
        <v>783.42</v>
      </c>
      <c r="M1529" s="30">
        <v>3663.0</v>
      </c>
      <c r="N1529" s="30">
        <v>3663.0</v>
      </c>
      <c r="O1529" s="30">
        <v>0.0</v>
      </c>
      <c r="P1529" s="30">
        <v>0.0</v>
      </c>
      <c r="Q1529" s="30">
        <v>301.58000000000004</v>
      </c>
    </row>
    <row r="1530">
      <c r="A1530" s="47">
        <v>1.1192304851E10</v>
      </c>
      <c r="B1530" s="48">
        <v>46144.708645833336</v>
      </c>
      <c r="C1530" s="30">
        <v>3.810804956E9</v>
      </c>
      <c r="D1530" s="47" t="s">
        <v>1509</v>
      </c>
      <c r="E1530" s="47">
        <v>8.745236589541E12</v>
      </c>
      <c r="F1530" s="47" t="s">
        <v>1523</v>
      </c>
      <c r="G1530" s="47" t="s">
        <v>1632</v>
      </c>
      <c r="H1530" s="30">
        <v>1.0</v>
      </c>
      <c r="I1530" s="30">
        <v>2073.0</v>
      </c>
      <c r="J1530" s="30">
        <v>2073.0</v>
      </c>
      <c r="K1530" s="30">
        <v>12.7</v>
      </c>
      <c r="L1530" s="30">
        <v>263.27099999999996</v>
      </c>
      <c r="M1530" s="30">
        <v>1500.0</v>
      </c>
      <c r="N1530" s="30">
        <v>1500.0</v>
      </c>
      <c r="O1530" s="30">
        <v>0.0</v>
      </c>
      <c r="P1530" s="30">
        <v>0.0</v>
      </c>
      <c r="Q1530" s="30">
        <v>309.72900000000004</v>
      </c>
    </row>
    <row r="1531">
      <c r="A1531" s="47">
        <v>1.1191166866E10</v>
      </c>
      <c r="B1531" s="48">
        <v>46144.09104166667</v>
      </c>
      <c r="C1531" s="30">
        <v>3.809760746E9</v>
      </c>
      <c r="D1531" s="47" t="s">
        <v>1509</v>
      </c>
      <c r="E1531" s="47">
        <v>3.182550721738E12</v>
      </c>
      <c r="F1531" s="47" t="s">
        <v>1523</v>
      </c>
      <c r="G1531" s="47" t="s">
        <v>1526</v>
      </c>
      <c r="H1531" s="30">
        <v>1.0</v>
      </c>
      <c r="I1531" s="30">
        <v>1535.0</v>
      </c>
      <c r="J1531" s="30">
        <v>1535.0</v>
      </c>
      <c r="K1531" s="30">
        <v>8.6</v>
      </c>
      <c r="L1531" s="30">
        <v>132.01</v>
      </c>
      <c r="M1531" s="30">
        <v>1210.0</v>
      </c>
      <c r="N1531" s="30">
        <v>1210.0</v>
      </c>
      <c r="O1531" s="30">
        <v>0.0</v>
      </c>
      <c r="P1531" s="30">
        <v>0.0</v>
      </c>
      <c r="Q1531" s="30">
        <v>192.99</v>
      </c>
    </row>
    <row r="1532">
      <c r="A1532" s="47">
        <v>1.11920996E10</v>
      </c>
      <c r="B1532" s="48">
        <v>46144.662314814814</v>
      </c>
      <c r="C1532" s="30">
        <v>3.810633037E9</v>
      </c>
      <c r="D1532" s="47" t="s">
        <v>1509</v>
      </c>
      <c r="E1532" s="47">
        <v>3.182550721738E12</v>
      </c>
      <c r="F1532" s="47" t="s">
        <v>1523</v>
      </c>
      <c r="G1532" s="47" t="s">
        <v>1526</v>
      </c>
      <c r="H1532" s="30">
        <v>1.0</v>
      </c>
      <c r="I1532" s="30">
        <v>1535.0</v>
      </c>
      <c r="J1532" s="30">
        <v>1535.0</v>
      </c>
      <c r="K1532" s="30">
        <v>8.6</v>
      </c>
      <c r="L1532" s="30">
        <v>132.01</v>
      </c>
      <c r="M1532" s="30">
        <v>1210.0</v>
      </c>
      <c r="N1532" s="30">
        <v>1210.0</v>
      </c>
      <c r="O1532" s="30">
        <v>0.0</v>
      </c>
      <c r="P1532" s="30">
        <v>0.0</v>
      </c>
      <c r="Q1532" s="30">
        <v>192.99</v>
      </c>
    </row>
    <row r="1533">
      <c r="A1533" s="47">
        <v>1.1196440633E10</v>
      </c>
      <c r="B1533" s="48">
        <v>46145.980219907404</v>
      </c>
      <c r="C1533" s="30">
        <v>3.814024674E9</v>
      </c>
      <c r="D1533" s="47" t="s">
        <v>1509</v>
      </c>
      <c r="E1533" s="47" t="s">
        <v>537</v>
      </c>
      <c r="F1533" s="47" t="s">
        <v>1523</v>
      </c>
      <c r="G1533" s="47" t="s">
        <v>1575</v>
      </c>
      <c r="H1533" s="30">
        <v>1.0</v>
      </c>
      <c r="I1533" s="30">
        <v>1482.0</v>
      </c>
      <c r="J1533" s="30">
        <v>1482.0</v>
      </c>
      <c r="K1533" s="30">
        <v>12.5</v>
      </c>
      <c r="L1533" s="30">
        <v>185.25</v>
      </c>
      <c r="M1533" s="30">
        <v>1053.0</v>
      </c>
      <c r="N1533" s="30">
        <v>1053.0</v>
      </c>
      <c r="O1533" s="30">
        <v>0.0</v>
      </c>
      <c r="P1533" s="30">
        <v>0.0</v>
      </c>
      <c r="Q1533" s="30">
        <v>243.75</v>
      </c>
    </row>
    <row r="1534">
      <c r="A1534" s="47">
        <v>1.1200262241E10</v>
      </c>
      <c r="B1534" s="48">
        <v>46147.0946875</v>
      </c>
      <c r="C1534" s="30">
        <v>3.81752221E9</v>
      </c>
      <c r="D1534" s="47" t="s">
        <v>1509</v>
      </c>
      <c r="E1534" s="47">
        <v>8.410650239156E12</v>
      </c>
      <c r="F1534" s="47" t="s">
        <v>1523</v>
      </c>
      <c r="G1534" s="47" t="s">
        <v>1530</v>
      </c>
      <c r="H1534" s="30">
        <v>1.0</v>
      </c>
      <c r="I1534" s="30">
        <v>1870.0</v>
      </c>
      <c r="J1534" s="30">
        <v>1870.0</v>
      </c>
      <c r="K1534" s="30">
        <v>16.5</v>
      </c>
      <c r="L1534" s="30">
        <v>308.55</v>
      </c>
      <c r="M1534" s="30">
        <v>1260.0</v>
      </c>
      <c r="N1534" s="30">
        <v>1260.0</v>
      </c>
      <c r="O1534" s="30">
        <v>0.0</v>
      </c>
      <c r="P1534" s="30">
        <v>0.0</v>
      </c>
      <c r="Q1534" s="30">
        <v>301.45</v>
      </c>
    </row>
    <row r="1535">
      <c r="A1535" s="47">
        <v>1.1187194029E10</v>
      </c>
      <c r="B1535" s="48">
        <v>46142.8266087963</v>
      </c>
      <c r="C1535" s="30">
        <v>3.806674685E9</v>
      </c>
      <c r="D1535" s="47" t="s">
        <v>1509</v>
      </c>
      <c r="E1535" s="47" t="s">
        <v>83</v>
      </c>
      <c r="F1535" s="47" t="s">
        <v>1523</v>
      </c>
      <c r="G1535" s="47" t="s">
        <v>1635</v>
      </c>
      <c r="H1535" s="30">
        <v>1.0</v>
      </c>
      <c r="I1535" s="30">
        <v>645.0</v>
      </c>
      <c r="J1535" s="30">
        <v>645.0</v>
      </c>
      <c r="K1535" s="30">
        <v>20.0</v>
      </c>
      <c r="L1535" s="30">
        <v>129.0</v>
      </c>
      <c r="M1535" s="30">
        <v>0.0</v>
      </c>
      <c r="N1535" s="30">
        <v>0.0</v>
      </c>
      <c r="O1535" s="30">
        <v>0.0</v>
      </c>
      <c r="P1535" s="30">
        <v>0.0</v>
      </c>
      <c r="Q1535" s="30">
        <v>516.0</v>
      </c>
    </row>
    <row r="1536">
      <c r="A1536" s="47">
        <v>1.1192065528E10</v>
      </c>
      <c r="B1536" s="48">
        <v>46144.653912037036</v>
      </c>
      <c r="C1536" s="30">
        <v>3.810610453E9</v>
      </c>
      <c r="D1536" s="47" t="s">
        <v>1509</v>
      </c>
      <c r="E1536" s="47" t="s">
        <v>413</v>
      </c>
      <c r="F1536" s="47" t="s">
        <v>1523</v>
      </c>
      <c r="G1536" s="47" t="s">
        <v>1590</v>
      </c>
      <c r="H1536" s="30">
        <v>1.0</v>
      </c>
      <c r="I1536" s="30">
        <v>2134.0</v>
      </c>
      <c r="J1536" s="30">
        <v>2134.0</v>
      </c>
      <c r="K1536" s="30">
        <v>13.5</v>
      </c>
      <c r="L1536" s="30">
        <v>288.09</v>
      </c>
      <c r="M1536" s="30">
        <v>1560.0</v>
      </c>
      <c r="N1536" s="30">
        <v>1560.0</v>
      </c>
      <c r="O1536" s="30">
        <v>0.0</v>
      </c>
      <c r="P1536" s="30">
        <v>0.0</v>
      </c>
      <c r="Q1536" s="30">
        <v>285.91</v>
      </c>
    </row>
    <row r="1537">
      <c r="A1537" s="47">
        <v>1.1194596663E10</v>
      </c>
      <c r="B1537" s="48">
        <v>46145.58126157407</v>
      </c>
      <c r="C1537" s="30">
        <v>3.812623803E9</v>
      </c>
      <c r="D1537" s="47" t="s">
        <v>1509</v>
      </c>
      <c r="E1537" s="47">
        <v>3.182550721738E12</v>
      </c>
      <c r="F1537" s="47" t="s">
        <v>1523</v>
      </c>
      <c r="G1537" s="47" t="s">
        <v>1526</v>
      </c>
      <c r="H1537" s="30">
        <v>1.0</v>
      </c>
      <c r="I1537" s="30">
        <v>1535.0</v>
      </c>
      <c r="J1537" s="30">
        <v>1535.0</v>
      </c>
      <c r="K1537" s="30">
        <v>8.6</v>
      </c>
      <c r="L1537" s="30">
        <v>132.01</v>
      </c>
      <c r="M1537" s="30">
        <v>1210.0</v>
      </c>
      <c r="N1537" s="30">
        <v>1210.0</v>
      </c>
      <c r="O1537" s="30">
        <v>0.0</v>
      </c>
      <c r="P1537" s="30">
        <v>0.0</v>
      </c>
      <c r="Q1537" s="30">
        <v>192.99</v>
      </c>
    </row>
    <row r="1538">
      <c r="A1538" s="47">
        <v>1.1196423703E10</v>
      </c>
      <c r="B1538" s="48">
        <v>46145.977222222224</v>
      </c>
      <c r="C1538" s="30">
        <v>3.814013203E9</v>
      </c>
      <c r="D1538" s="47" t="s">
        <v>1509</v>
      </c>
      <c r="E1538" s="47">
        <v>7.95258613316E11</v>
      </c>
      <c r="F1538" s="47" t="s">
        <v>1523</v>
      </c>
      <c r="G1538" s="47" t="s">
        <v>1636</v>
      </c>
      <c r="H1538" s="30">
        <v>3.0</v>
      </c>
      <c r="I1538" s="30">
        <v>678.0</v>
      </c>
      <c r="J1538" s="30">
        <v>2034.0</v>
      </c>
      <c r="K1538" s="30">
        <v>12.5</v>
      </c>
      <c r="L1538" s="30">
        <v>254.25</v>
      </c>
      <c r="M1538" s="30">
        <v>0.0</v>
      </c>
      <c r="N1538" s="30">
        <v>0.0</v>
      </c>
      <c r="O1538" s="30">
        <v>0.0</v>
      </c>
      <c r="P1538" s="30">
        <v>0.0</v>
      </c>
      <c r="Q1538" s="30">
        <v>1779.75</v>
      </c>
    </row>
    <row r="1539">
      <c r="A1539" s="47">
        <v>1.1198841687E10</v>
      </c>
      <c r="B1539" s="48">
        <v>46146.82015046296</v>
      </c>
      <c r="C1539" s="30">
        <v>3.816285953E9</v>
      </c>
      <c r="D1539" s="47" t="s">
        <v>1509</v>
      </c>
      <c r="E1539" s="47" t="s">
        <v>143</v>
      </c>
      <c r="F1539" s="47" t="s">
        <v>1523</v>
      </c>
      <c r="G1539" s="47" t="s">
        <v>1545</v>
      </c>
      <c r="H1539" s="30">
        <v>1.0</v>
      </c>
      <c r="I1539" s="30">
        <v>319.0</v>
      </c>
      <c r="J1539" s="30">
        <v>319.0</v>
      </c>
      <c r="K1539" s="30">
        <v>16.5</v>
      </c>
      <c r="L1539" s="30">
        <v>52.635</v>
      </c>
      <c r="M1539" s="30">
        <v>180.0</v>
      </c>
      <c r="N1539" s="30">
        <v>180.0</v>
      </c>
      <c r="O1539" s="30">
        <v>0.0</v>
      </c>
      <c r="P1539" s="30">
        <v>0.0</v>
      </c>
      <c r="Q1539" s="30">
        <v>86.36500000000001</v>
      </c>
    </row>
    <row r="1540">
      <c r="A1540" s="47">
        <v>1.1192409091E10</v>
      </c>
      <c r="B1540" s="48">
        <v>46144.73200231481</v>
      </c>
      <c r="C1540" s="30">
        <v>3.810885995E9</v>
      </c>
      <c r="D1540" s="47" t="s">
        <v>1509</v>
      </c>
      <c r="E1540" s="47">
        <v>4.54654654354534E14</v>
      </c>
      <c r="F1540" s="47" t="s">
        <v>1523</v>
      </c>
      <c r="G1540" s="47" t="s">
        <v>1634</v>
      </c>
      <c r="H1540" s="30">
        <v>1.0</v>
      </c>
      <c r="I1540" s="30">
        <v>599.0</v>
      </c>
      <c r="J1540" s="30">
        <v>599.0</v>
      </c>
      <c r="K1540" s="30">
        <v>13.5</v>
      </c>
      <c r="L1540" s="30">
        <v>80.865</v>
      </c>
      <c r="M1540" s="30">
        <v>390.0</v>
      </c>
      <c r="N1540" s="30">
        <v>390.0</v>
      </c>
      <c r="O1540" s="30">
        <v>0.0</v>
      </c>
      <c r="P1540" s="30">
        <v>0.0</v>
      </c>
      <c r="Q1540" s="30">
        <v>128.135</v>
      </c>
    </row>
    <row r="1541">
      <c r="A1541" s="47">
        <v>1.1201082754E10</v>
      </c>
      <c r="B1541" s="48">
        <v>46147.59453703704</v>
      </c>
      <c r="C1541" s="30">
        <v>3.818402731E9</v>
      </c>
      <c r="D1541" s="47" t="s">
        <v>1509</v>
      </c>
      <c r="E1541" s="47">
        <v>702614.0</v>
      </c>
      <c r="F1541" s="47" t="s">
        <v>1523</v>
      </c>
      <c r="G1541" s="47" t="s">
        <v>1637</v>
      </c>
      <c r="H1541" s="30">
        <v>1.0</v>
      </c>
      <c r="I1541" s="30">
        <v>1289.0</v>
      </c>
      <c r="J1541" s="30">
        <v>1289.0</v>
      </c>
      <c r="K1541" s="30">
        <v>12.5</v>
      </c>
      <c r="L1541" s="30">
        <v>161.125</v>
      </c>
      <c r="M1541" s="30">
        <v>1000.0</v>
      </c>
      <c r="N1541" s="30">
        <v>1000.0</v>
      </c>
      <c r="O1541" s="30">
        <v>0.0</v>
      </c>
      <c r="P1541" s="30">
        <v>0.0</v>
      </c>
      <c r="Q1541" s="30">
        <v>127.875</v>
      </c>
    </row>
    <row r="1542">
      <c r="A1542" s="47">
        <v>1.1191658033E10</v>
      </c>
      <c r="B1542" s="48">
        <v>46144.52685185185</v>
      </c>
      <c r="C1542" s="30">
        <v>3.810242927E9</v>
      </c>
      <c r="D1542" s="47" t="s">
        <v>1509</v>
      </c>
      <c r="E1542" s="47" t="s">
        <v>413</v>
      </c>
      <c r="F1542" s="47" t="s">
        <v>1523</v>
      </c>
      <c r="G1542" s="47" t="s">
        <v>1590</v>
      </c>
      <c r="H1542" s="30">
        <v>1.0</v>
      </c>
      <c r="I1542" s="30">
        <v>2134.0</v>
      </c>
      <c r="J1542" s="30">
        <v>2134.0</v>
      </c>
      <c r="K1542" s="30">
        <v>13.5</v>
      </c>
      <c r="L1542" s="30">
        <v>288.09</v>
      </c>
      <c r="M1542" s="30">
        <v>1560.0</v>
      </c>
      <c r="N1542" s="30">
        <v>1560.0</v>
      </c>
      <c r="O1542" s="30">
        <v>0.0</v>
      </c>
      <c r="P1542" s="30">
        <v>0.0</v>
      </c>
      <c r="Q1542" s="30">
        <v>285.91</v>
      </c>
    </row>
    <row r="1543">
      <c r="A1543" s="47">
        <v>1.1198351604E10</v>
      </c>
      <c r="B1543" s="48">
        <v>46146.717939814815</v>
      </c>
      <c r="C1543" s="30">
        <v>3.815847898E9</v>
      </c>
      <c r="D1543" s="47" t="s">
        <v>1509</v>
      </c>
      <c r="E1543" s="47" t="s">
        <v>537</v>
      </c>
      <c r="F1543" s="47" t="s">
        <v>1523</v>
      </c>
      <c r="G1543" s="47" t="s">
        <v>1575</v>
      </c>
      <c r="H1543" s="30">
        <v>1.0</v>
      </c>
      <c r="I1543" s="30">
        <v>1482.0</v>
      </c>
      <c r="J1543" s="30">
        <v>1482.0</v>
      </c>
      <c r="K1543" s="30">
        <v>12.5</v>
      </c>
      <c r="L1543" s="30">
        <v>185.25</v>
      </c>
      <c r="M1543" s="30">
        <v>1053.0</v>
      </c>
      <c r="N1543" s="30">
        <v>1053.0</v>
      </c>
      <c r="O1543" s="30">
        <v>0.0</v>
      </c>
      <c r="P1543" s="30">
        <v>0.0</v>
      </c>
      <c r="Q1543" s="30">
        <v>243.75</v>
      </c>
    </row>
    <row r="1544">
      <c r="A1544" s="47">
        <v>1.1196717032E10</v>
      </c>
      <c r="B1544" s="48">
        <v>46146.03429398148</v>
      </c>
      <c r="C1544" s="30">
        <v>3.814260784E9</v>
      </c>
      <c r="D1544" s="47" t="s">
        <v>1509</v>
      </c>
      <c r="E1544" s="47">
        <v>3.182550721738E12</v>
      </c>
      <c r="F1544" s="47" t="s">
        <v>1523</v>
      </c>
      <c r="G1544" s="47" t="s">
        <v>1526</v>
      </c>
      <c r="H1544" s="30">
        <v>1.0</v>
      </c>
      <c r="I1544" s="30">
        <v>1535.0</v>
      </c>
      <c r="J1544" s="30">
        <v>1535.0</v>
      </c>
      <c r="K1544" s="30">
        <v>8.6</v>
      </c>
      <c r="L1544" s="30">
        <v>132.01</v>
      </c>
      <c r="M1544" s="30">
        <v>1210.0</v>
      </c>
      <c r="N1544" s="30">
        <v>1210.0</v>
      </c>
      <c r="O1544" s="30">
        <v>0.0</v>
      </c>
      <c r="P1544" s="30">
        <v>0.0</v>
      </c>
      <c r="Q1544" s="30">
        <v>192.99</v>
      </c>
    </row>
    <row r="1545">
      <c r="A1545" s="47">
        <v>1.1196126969E10</v>
      </c>
      <c r="B1545" s="48">
        <v>46145.919803240744</v>
      </c>
      <c r="C1545" s="30">
        <v>3.813790837E9</v>
      </c>
      <c r="D1545" s="47" t="s">
        <v>1509</v>
      </c>
      <c r="E1545" s="47">
        <v>3.182550721738E12</v>
      </c>
      <c r="F1545" s="47" t="s">
        <v>1523</v>
      </c>
      <c r="G1545" s="47" t="s">
        <v>1526</v>
      </c>
      <c r="H1545" s="30">
        <v>1.0</v>
      </c>
      <c r="I1545" s="30">
        <v>1535.0</v>
      </c>
      <c r="J1545" s="30">
        <v>1535.0</v>
      </c>
      <c r="K1545" s="30">
        <v>8.6</v>
      </c>
      <c r="L1545" s="30">
        <v>132.01</v>
      </c>
      <c r="M1545" s="30">
        <v>1210.0</v>
      </c>
      <c r="N1545" s="30">
        <v>1210.0</v>
      </c>
      <c r="O1545" s="30">
        <v>0.0</v>
      </c>
      <c r="P1545" s="30">
        <v>0.0</v>
      </c>
      <c r="Q1545" s="30">
        <v>192.99</v>
      </c>
    </row>
    <row r="1546">
      <c r="A1546" s="47">
        <v>1.1198499352E10</v>
      </c>
      <c r="B1546" s="48">
        <v>46146.74925925926</v>
      </c>
      <c r="C1546" s="30">
        <v>3.815983523E9</v>
      </c>
      <c r="D1546" s="47" t="s">
        <v>1509</v>
      </c>
      <c r="E1546" s="47">
        <v>3.182550793032E12</v>
      </c>
      <c r="F1546" s="47" t="s">
        <v>1523</v>
      </c>
      <c r="G1546" s="47" t="s">
        <v>1614</v>
      </c>
      <c r="H1546" s="30">
        <v>1.0</v>
      </c>
      <c r="I1546" s="30">
        <v>1606.0</v>
      </c>
      <c r="J1546" s="30">
        <v>1606.0</v>
      </c>
      <c r="K1546" s="30">
        <v>12.5</v>
      </c>
      <c r="L1546" s="30">
        <v>200.75</v>
      </c>
      <c r="M1546" s="30">
        <v>1260.0</v>
      </c>
      <c r="N1546" s="30">
        <v>1260.0</v>
      </c>
      <c r="O1546" s="30">
        <v>0.0</v>
      </c>
      <c r="P1546" s="30">
        <v>0.0</v>
      </c>
      <c r="Q1546" s="30">
        <v>145.25</v>
      </c>
    </row>
    <row r="1547">
      <c r="A1547" s="47">
        <v>1.1195319296E10</v>
      </c>
      <c r="B1547" s="48">
        <v>46145.75917824074</v>
      </c>
      <c r="C1547" s="30">
        <v>3.813218143E9</v>
      </c>
      <c r="D1547" s="47" t="s">
        <v>1509</v>
      </c>
      <c r="E1547" s="47">
        <v>8.684501941837E12</v>
      </c>
      <c r="F1547" s="47" t="s">
        <v>289</v>
      </c>
      <c r="G1547" s="47" t="s">
        <v>1543</v>
      </c>
      <c r="H1547" s="30">
        <v>1.0</v>
      </c>
      <c r="I1547" s="30">
        <v>349.99</v>
      </c>
      <c r="J1547" s="30">
        <v>349.99</v>
      </c>
      <c r="K1547" s="30">
        <v>20.0</v>
      </c>
      <c r="L1547" s="30">
        <v>69.998</v>
      </c>
      <c r="M1547" s="30">
        <v>53.0</v>
      </c>
      <c r="N1547" s="30">
        <v>53.0</v>
      </c>
      <c r="O1547" s="30">
        <v>0.0</v>
      </c>
      <c r="P1547" s="30">
        <v>0.0</v>
      </c>
      <c r="Q1547" s="30">
        <v>226.99200000000002</v>
      </c>
    </row>
    <row r="1548">
      <c r="A1548" s="47">
        <v>1.1199238228E10</v>
      </c>
      <c r="B1548" s="48">
        <v>46146.89990740741</v>
      </c>
      <c r="C1548" s="30">
        <v>3.816602912E9</v>
      </c>
      <c r="D1548" s="47" t="s">
        <v>1509</v>
      </c>
      <c r="E1548" s="47">
        <v>8.745236589541E12</v>
      </c>
      <c r="F1548" s="47" t="s">
        <v>1523</v>
      </c>
      <c r="G1548" s="47" t="s">
        <v>1632</v>
      </c>
      <c r="H1548" s="30">
        <v>2.0</v>
      </c>
      <c r="I1548" s="30">
        <v>2229.0</v>
      </c>
      <c r="J1548" s="30">
        <v>4458.0</v>
      </c>
      <c r="K1548" s="30">
        <v>13.5</v>
      </c>
      <c r="L1548" s="30">
        <v>601.83</v>
      </c>
      <c r="M1548" s="30">
        <v>1500.0</v>
      </c>
      <c r="N1548" s="30">
        <v>3000.0</v>
      </c>
      <c r="O1548" s="30">
        <v>0.0</v>
      </c>
      <c r="P1548" s="30">
        <v>0.0</v>
      </c>
      <c r="Q1548" s="30">
        <v>856.17</v>
      </c>
    </row>
    <row r="1549">
      <c r="A1549" s="47">
        <v>1.1192086068E10</v>
      </c>
      <c r="B1549" s="48">
        <v>46144.65899305556</v>
      </c>
      <c r="C1549" s="30">
        <v>3.810622768E9</v>
      </c>
      <c r="D1549" s="47" t="s">
        <v>1509</v>
      </c>
      <c r="E1549" s="47">
        <v>3.182550721738E12</v>
      </c>
      <c r="F1549" s="47" t="s">
        <v>1523</v>
      </c>
      <c r="G1549" s="47" t="s">
        <v>1526</v>
      </c>
      <c r="H1549" s="30">
        <v>1.0</v>
      </c>
      <c r="I1549" s="30">
        <v>1535.0</v>
      </c>
      <c r="J1549" s="30">
        <v>1535.0</v>
      </c>
      <c r="K1549" s="30">
        <v>8.6</v>
      </c>
      <c r="L1549" s="30">
        <v>132.01</v>
      </c>
      <c r="M1549" s="30">
        <v>1210.0</v>
      </c>
      <c r="N1549" s="30">
        <v>1210.0</v>
      </c>
      <c r="O1549" s="30">
        <v>0.0</v>
      </c>
      <c r="P1549" s="30">
        <v>0.0</v>
      </c>
      <c r="Q1549" s="30">
        <v>192.99</v>
      </c>
    </row>
    <row r="1550">
      <c r="A1550" s="47">
        <v>1.1194688916E10</v>
      </c>
      <c r="B1550" s="48">
        <v>46145.61208333333</v>
      </c>
      <c r="C1550" s="30">
        <v>3.812699539E9</v>
      </c>
      <c r="D1550" s="47" t="s">
        <v>1509</v>
      </c>
      <c r="E1550" s="47">
        <v>3.182550721738E12</v>
      </c>
      <c r="F1550" s="47" t="s">
        <v>1523</v>
      </c>
      <c r="G1550" s="47" t="s">
        <v>1526</v>
      </c>
      <c r="H1550" s="30">
        <v>1.0</v>
      </c>
      <c r="I1550" s="30">
        <v>1535.0</v>
      </c>
      <c r="J1550" s="30">
        <v>1535.0</v>
      </c>
      <c r="K1550" s="30">
        <v>8.6</v>
      </c>
      <c r="L1550" s="30">
        <v>132.01</v>
      </c>
      <c r="M1550" s="30">
        <v>1210.0</v>
      </c>
      <c r="N1550" s="30">
        <v>1210.0</v>
      </c>
      <c r="O1550" s="30">
        <v>0.0</v>
      </c>
      <c r="P1550" s="30">
        <v>0.0</v>
      </c>
      <c r="Q1550" s="30">
        <v>192.99</v>
      </c>
    </row>
    <row r="1551">
      <c r="A1551" s="47">
        <v>1.1200884954E10</v>
      </c>
      <c r="B1551" s="48">
        <v>46147.54137731482</v>
      </c>
      <c r="C1551" s="30">
        <v>3.818195824E9</v>
      </c>
      <c r="D1551" s="47" t="s">
        <v>1509</v>
      </c>
      <c r="E1551" s="47" t="s">
        <v>537</v>
      </c>
      <c r="F1551" s="47" t="s">
        <v>1523</v>
      </c>
      <c r="G1551" s="47" t="s">
        <v>1575</v>
      </c>
      <c r="H1551" s="30">
        <v>1.0</v>
      </c>
      <c r="I1551" s="30">
        <v>1482.0</v>
      </c>
      <c r="J1551" s="30">
        <v>1482.0</v>
      </c>
      <c r="K1551" s="30">
        <v>12.5</v>
      </c>
      <c r="L1551" s="30">
        <v>185.25</v>
      </c>
      <c r="M1551" s="30">
        <v>1053.0</v>
      </c>
      <c r="N1551" s="30">
        <v>1053.0</v>
      </c>
      <c r="O1551" s="30">
        <v>0.0</v>
      </c>
      <c r="P1551" s="30">
        <v>0.0</v>
      </c>
      <c r="Q1551" s="30">
        <v>243.75</v>
      </c>
    </row>
    <row r="1552">
      <c r="A1552" s="47">
        <v>1.1201174441E10</v>
      </c>
      <c r="B1552" s="48">
        <v>46147.612905092596</v>
      </c>
      <c r="C1552" s="30">
        <v>3.818486817E9</v>
      </c>
      <c r="D1552" s="47" t="s">
        <v>1509</v>
      </c>
      <c r="E1552" s="47">
        <v>7.613033560064E12</v>
      </c>
      <c r="F1552" s="47" t="s">
        <v>1523</v>
      </c>
      <c r="G1552" s="47" t="s">
        <v>1527</v>
      </c>
      <c r="H1552" s="30">
        <v>1.0</v>
      </c>
      <c r="I1552" s="30">
        <v>1615.0</v>
      </c>
      <c r="J1552" s="30">
        <v>1615.0</v>
      </c>
      <c r="K1552" s="30">
        <v>12.5</v>
      </c>
      <c r="L1552" s="30">
        <v>201.875</v>
      </c>
      <c r="M1552" s="30">
        <v>1190.0</v>
      </c>
      <c r="N1552" s="30">
        <v>1190.0</v>
      </c>
      <c r="O1552" s="30">
        <v>0.0</v>
      </c>
      <c r="P1552" s="30">
        <v>0.0</v>
      </c>
      <c r="Q1552" s="30">
        <v>223.125</v>
      </c>
    </row>
    <row r="1553">
      <c r="A1553" s="47">
        <v>1.1198241247E10</v>
      </c>
      <c r="B1553" s="48">
        <v>46146.695335648146</v>
      </c>
      <c r="C1553" s="30">
        <v>3.815748843E9</v>
      </c>
      <c r="D1553" s="47" t="s">
        <v>1509</v>
      </c>
      <c r="E1553" s="47">
        <v>1.28022022E8</v>
      </c>
      <c r="F1553" s="47" t="s">
        <v>344</v>
      </c>
      <c r="G1553" s="47" t="s">
        <v>1608</v>
      </c>
      <c r="H1553" s="30">
        <v>1.0</v>
      </c>
      <c r="I1553" s="30">
        <v>1715.0</v>
      </c>
      <c r="J1553" s="30">
        <v>1715.0</v>
      </c>
      <c r="K1553" s="30">
        <v>12.5</v>
      </c>
      <c r="L1553" s="30">
        <v>214.375</v>
      </c>
      <c r="M1553" s="30">
        <v>1137.36</v>
      </c>
      <c r="N1553" s="30">
        <v>1137.36</v>
      </c>
      <c r="O1553" s="30">
        <v>0.0</v>
      </c>
      <c r="P1553" s="30">
        <v>0.0</v>
      </c>
      <c r="Q1553" s="30">
        <v>363.2650000000001</v>
      </c>
    </row>
    <row r="1554">
      <c r="A1554" s="47">
        <v>1.1193621095E10</v>
      </c>
      <c r="B1554" s="48">
        <v>46144.999814814815</v>
      </c>
      <c r="C1554" s="30">
        <v>3.811750034E9</v>
      </c>
      <c r="D1554" s="47" t="s">
        <v>1509</v>
      </c>
      <c r="E1554" s="47">
        <v>6.38929373773889E14</v>
      </c>
      <c r="F1554" s="47" t="s">
        <v>1523</v>
      </c>
      <c r="G1554" s="47" t="s">
        <v>1609</v>
      </c>
      <c r="H1554" s="30">
        <v>2.0</v>
      </c>
      <c r="I1554" s="30">
        <v>727.0</v>
      </c>
      <c r="J1554" s="30">
        <v>1454.0</v>
      </c>
      <c r="K1554" s="30">
        <v>13.5</v>
      </c>
      <c r="L1554" s="30">
        <v>196.29</v>
      </c>
      <c r="M1554" s="30">
        <v>480.0</v>
      </c>
      <c r="N1554" s="30">
        <v>960.0</v>
      </c>
      <c r="O1554" s="30">
        <v>0.0</v>
      </c>
      <c r="P1554" s="30">
        <v>0.0</v>
      </c>
      <c r="Q1554" s="30">
        <v>297.71000000000004</v>
      </c>
    </row>
    <row r="1555">
      <c r="A1555" s="47">
        <v>1.1193274539E10</v>
      </c>
      <c r="B1555" s="48">
        <v>46144.92427083333</v>
      </c>
      <c r="C1555" s="30">
        <v>3.811507582E9</v>
      </c>
      <c r="D1555" s="47" t="s">
        <v>1509</v>
      </c>
      <c r="E1555" s="47">
        <v>8.010276021595E12</v>
      </c>
      <c r="F1555" s="47" t="s">
        <v>1523</v>
      </c>
      <c r="G1555" s="47" t="s">
        <v>1638</v>
      </c>
      <c r="H1555" s="30">
        <v>1.0</v>
      </c>
      <c r="I1555" s="30">
        <v>1137.0</v>
      </c>
      <c r="J1555" s="30">
        <v>1137.0</v>
      </c>
      <c r="K1555" s="30">
        <v>16.5</v>
      </c>
      <c r="L1555" s="30">
        <v>187.605</v>
      </c>
      <c r="M1555" s="30">
        <v>824.0</v>
      </c>
      <c r="N1555" s="30">
        <v>824.0</v>
      </c>
      <c r="O1555" s="30">
        <v>0.0</v>
      </c>
      <c r="P1555" s="30">
        <v>0.0</v>
      </c>
      <c r="Q1555" s="30">
        <v>125.39500000000001</v>
      </c>
    </row>
    <row r="1556">
      <c r="A1556" s="47">
        <v>1.1196029533E10</v>
      </c>
      <c r="B1556" s="48">
        <v>46145.9008912037</v>
      </c>
      <c r="C1556" s="30">
        <v>3.813726854E9</v>
      </c>
      <c r="D1556" s="47" t="s">
        <v>1509</v>
      </c>
      <c r="E1556" s="47">
        <v>4.0004872260361E15</v>
      </c>
      <c r="F1556" s="47" t="s">
        <v>1523</v>
      </c>
      <c r="G1556" s="47" t="s">
        <v>1639</v>
      </c>
      <c r="H1556" s="30">
        <v>1.0</v>
      </c>
      <c r="I1556" s="30">
        <v>2222.0</v>
      </c>
      <c r="J1556" s="30">
        <v>2222.0</v>
      </c>
      <c r="K1556" s="30">
        <v>16.5</v>
      </c>
      <c r="L1556" s="30">
        <v>366.63</v>
      </c>
      <c r="M1556" s="30">
        <v>1500.0</v>
      </c>
      <c r="N1556" s="30">
        <v>1500.0</v>
      </c>
      <c r="O1556" s="30">
        <v>0.0</v>
      </c>
      <c r="P1556" s="30">
        <v>0.0</v>
      </c>
      <c r="Q1556" s="30">
        <v>355.37</v>
      </c>
    </row>
    <row r="1557">
      <c r="A1557" s="47">
        <v>1.1192933835E10</v>
      </c>
      <c r="B1557" s="48">
        <v>46144.84951388889</v>
      </c>
      <c r="C1557" s="30">
        <v>3.811278538E9</v>
      </c>
      <c r="D1557" s="47" t="s">
        <v>1509</v>
      </c>
      <c r="E1557" s="47">
        <v>4.0004872260361E15</v>
      </c>
      <c r="F1557" s="47" t="s">
        <v>1523</v>
      </c>
      <c r="G1557" s="47" t="s">
        <v>1619</v>
      </c>
      <c r="H1557" s="30">
        <v>1.0</v>
      </c>
      <c r="I1557" s="30">
        <v>2075.0</v>
      </c>
      <c r="J1557" s="30">
        <v>2075.0</v>
      </c>
      <c r="K1557" s="30">
        <v>16.5</v>
      </c>
      <c r="L1557" s="30">
        <v>342.375</v>
      </c>
      <c r="M1557" s="30">
        <v>1500.0</v>
      </c>
      <c r="N1557" s="30">
        <v>1500.0</v>
      </c>
      <c r="O1557" s="30">
        <v>0.0</v>
      </c>
      <c r="P1557" s="30">
        <v>0.0</v>
      </c>
      <c r="Q1557" s="30">
        <v>232.625</v>
      </c>
    </row>
    <row r="1558">
      <c r="A1558" s="47">
        <v>1.1197785926E10</v>
      </c>
      <c r="B1558" s="48">
        <v>46146.60386574074</v>
      </c>
      <c r="C1558" s="30">
        <v>3.815365631E9</v>
      </c>
      <c r="D1558" s="47" t="s">
        <v>1509</v>
      </c>
      <c r="E1558" s="47" t="s">
        <v>393</v>
      </c>
      <c r="F1558" s="47" t="s">
        <v>1523</v>
      </c>
      <c r="G1558" s="47" t="s">
        <v>1582</v>
      </c>
      <c r="H1558" s="30">
        <v>1.0</v>
      </c>
      <c r="I1558" s="30">
        <v>1186.0</v>
      </c>
      <c r="J1558" s="30">
        <v>1186.0</v>
      </c>
      <c r="K1558" s="30">
        <v>13.5</v>
      </c>
      <c r="L1558" s="30">
        <v>160.11</v>
      </c>
      <c r="M1558" s="30">
        <v>850.0</v>
      </c>
      <c r="N1558" s="30">
        <v>850.0</v>
      </c>
      <c r="O1558" s="30">
        <v>0.0</v>
      </c>
      <c r="P1558" s="30">
        <v>0.0</v>
      </c>
      <c r="Q1558" s="30">
        <v>175.89</v>
      </c>
    </row>
    <row r="1559">
      <c r="A1559" s="47">
        <v>1.1197116237E10</v>
      </c>
      <c r="B1559" s="48">
        <v>46146.12383101852</v>
      </c>
      <c r="C1559" s="30">
        <v>3.814653454E9</v>
      </c>
      <c r="D1559" s="47" t="s">
        <v>1509</v>
      </c>
      <c r="E1559" s="47">
        <v>3.182550721738E12</v>
      </c>
      <c r="F1559" s="47" t="s">
        <v>1523</v>
      </c>
      <c r="G1559" s="47" t="s">
        <v>1526</v>
      </c>
      <c r="H1559" s="30">
        <v>1.0</v>
      </c>
      <c r="I1559" s="30">
        <v>1535.0</v>
      </c>
      <c r="J1559" s="30">
        <v>1535.0</v>
      </c>
      <c r="K1559" s="30">
        <v>8.6</v>
      </c>
      <c r="L1559" s="30">
        <v>132.01</v>
      </c>
      <c r="M1559" s="30">
        <v>1210.0</v>
      </c>
      <c r="N1559" s="30">
        <v>1210.0</v>
      </c>
      <c r="O1559" s="30">
        <v>0.0</v>
      </c>
      <c r="P1559" s="30">
        <v>0.0</v>
      </c>
      <c r="Q1559" s="30">
        <v>192.99</v>
      </c>
    </row>
    <row r="1560">
      <c r="A1560" s="47">
        <v>1.1200856038E10</v>
      </c>
      <c r="B1560" s="48">
        <v>46147.531875</v>
      </c>
      <c r="C1560" s="30">
        <v>3.818160395E9</v>
      </c>
      <c r="D1560" s="47" t="s">
        <v>1509</v>
      </c>
      <c r="E1560" s="47">
        <v>8.684501941837E12</v>
      </c>
      <c r="F1560" s="47" t="s">
        <v>289</v>
      </c>
      <c r="G1560" s="47" t="s">
        <v>1543</v>
      </c>
      <c r="H1560" s="30">
        <v>2.0</v>
      </c>
      <c r="I1560" s="30">
        <v>174.995</v>
      </c>
      <c r="J1560" s="30">
        <v>349.99</v>
      </c>
      <c r="K1560" s="30">
        <v>20.0</v>
      </c>
      <c r="L1560" s="30">
        <v>69.998</v>
      </c>
      <c r="M1560" s="30">
        <v>53.0</v>
      </c>
      <c r="N1560" s="30">
        <v>106.0</v>
      </c>
      <c r="O1560" s="30">
        <v>0.0</v>
      </c>
      <c r="P1560" s="30">
        <v>0.0</v>
      </c>
      <c r="Q1560" s="30">
        <v>173.99200000000002</v>
      </c>
    </row>
    <row r="1561">
      <c r="A1561" s="47">
        <v>1.1199606004E10</v>
      </c>
      <c r="B1561" s="48">
        <v>46146.96923611111</v>
      </c>
      <c r="C1561" s="30">
        <v>3.81689153E9</v>
      </c>
      <c r="D1561" s="47" t="s">
        <v>1509</v>
      </c>
      <c r="E1561" s="47" t="s">
        <v>336</v>
      </c>
      <c r="F1561" s="47" t="s">
        <v>1523</v>
      </c>
      <c r="G1561" s="47" t="s">
        <v>1612</v>
      </c>
      <c r="H1561" s="30">
        <v>1.0</v>
      </c>
      <c r="I1561" s="30">
        <v>1290.0</v>
      </c>
      <c r="J1561" s="30">
        <v>1290.0</v>
      </c>
      <c r="K1561" s="30">
        <v>12.5</v>
      </c>
      <c r="L1561" s="30">
        <v>161.25</v>
      </c>
      <c r="M1561" s="30">
        <v>999.6</v>
      </c>
      <c r="N1561" s="30">
        <v>999.6</v>
      </c>
      <c r="O1561" s="30">
        <v>0.0</v>
      </c>
      <c r="P1561" s="30">
        <v>0.0</v>
      </c>
      <c r="Q1561" s="30">
        <v>129.14999999999998</v>
      </c>
    </row>
    <row r="1562">
      <c r="A1562" s="47">
        <v>1.1199606004E10</v>
      </c>
      <c r="B1562" s="48">
        <v>46146.96923611111</v>
      </c>
      <c r="C1562" s="30">
        <v>3.81689153E9</v>
      </c>
      <c r="D1562" s="47" t="s">
        <v>1509</v>
      </c>
      <c r="E1562" s="47">
        <v>702614.0</v>
      </c>
      <c r="F1562" s="47" t="s">
        <v>1523</v>
      </c>
      <c r="G1562" s="47" t="s">
        <v>1637</v>
      </c>
      <c r="H1562" s="30">
        <v>1.0</v>
      </c>
      <c r="I1562" s="30">
        <v>1289.0</v>
      </c>
      <c r="J1562" s="30">
        <v>1289.0</v>
      </c>
      <c r="K1562" s="30">
        <v>12.5</v>
      </c>
      <c r="L1562" s="30">
        <v>161.125</v>
      </c>
      <c r="M1562" s="30">
        <v>1000.0</v>
      </c>
      <c r="N1562" s="30">
        <v>1000.0</v>
      </c>
      <c r="O1562" s="30">
        <v>0.0</v>
      </c>
      <c r="P1562" s="30">
        <v>0.0</v>
      </c>
      <c r="Q1562" s="30">
        <v>127.875</v>
      </c>
    </row>
    <row r="1563">
      <c r="A1563" s="47">
        <v>1.119401151E10</v>
      </c>
      <c r="B1563" s="48">
        <v>46145.09170138889</v>
      </c>
      <c r="C1563" s="30">
        <v>3.812081776E9</v>
      </c>
      <c r="D1563" s="47" t="s">
        <v>1509</v>
      </c>
      <c r="E1563" s="47">
        <v>3.182550721738E12</v>
      </c>
      <c r="F1563" s="47" t="s">
        <v>1523</v>
      </c>
      <c r="G1563" s="47" t="s">
        <v>1526</v>
      </c>
      <c r="H1563" s="30">
        <v>1.0</v>
      </c>
      <c r="I1563" s="30">
        <v>1535.0</v>
      </c>
      <c r="J1563" s="30">
        <v>1535.0</v>
      </c>
      <c r="K1563" s="30">
        <v>8.6</v>
      </c>
      <c r="L1563" s="30">
        <v>132.01</v>
      </c>
      <c r="M1563" s="30">
        <v>1210.0</v>
      </c>
      <c r="N1563" s="30">
        <v>1210.0</v>
      </c>
      <c r="O1563" s="30">
        <v>0.0</v>
      </c>
      <c r="P1563" s="30">
        <v>0.0</v>
      </c>
      <c r="Q1563" s="30">
        <v>192.99</v>
      </c>
    </row>
    <row r="1564">
      <c r="A1564" s="47">
        <v>1.1198676494E10</v>
      </c>
      <c r="B1564" s="48">
        <v>46146.786203703705</v>
      </c>
      <c r="C1564" s="30">
        <v>3.816138681E9</v>
      </c>
      <c r="D1564" s="47" t="s">
        <v>1509</v>
      </c>
      <c r="E1564" s="47">
        <v>8.410650239156E12</v>
      </c>
      <c r="F1564" s="47" t="s">
        <v>1523</v>
      </c>
      <c r="G1564" s="47" t="s">
        <v>1530</v>
      </c>
      <c r="H1564" s="30">
        <v>1.0</v>
      </c>
      <c r="I1564" s="30">
        <v>1870.0</v>
      </c>
      <c r="J1564" s="30">
        <v>1870.0</v>
      </c>
      <c r="K1564" s="30">
        <v>16.5</v>
      </c>
      <c r="L1564" s="30">
        <v>308.55</v>
      </c>
      <c r="M1564" s="30">
        <v>1260.0</v>
      </c>
      <c r="N1564" s="30">
        <v>1260.0</v>
      </c>
      <c r="O1564" s="30">
        <v>0.0</v>
      </c>
      <c r="P1564" s="30">
        <v>0.0</v>
      </c>
      <c r="Q1564" s="30">
        <v>301.45</v>
      </c>
    </row>
    <row r="1565">
      <c r="A1565" s="47">
        <v>1.1178235958E10</v>
      </c>
      <c r="B1565" s="48">
        <v>46139.79467592593</v>
      </c>
      <c r="C1565" s="30">
        <v>3.799109612E9</v>
      </c>
      <c r="D1565" s="47" t="s">
        <v>1509</v>
      </c>
      <c r="E1565" s="47">
        <v>3.182550721738E12</v>
      </c>
      <c r="F1565" s="47" t="s">
        <v>1523</v>
      </c>
      <c r="G1565" s="47" t="s">
        <v>1526</v>
      </c>
      <c r="H1565" s="30">
        <v>1.0</v>
      </c>
      <c r="I1565" s="30">
        <v>1555.0</v>
      </c>
      <c r="J1565" s="30">
        <v>1555.0</v>
      </c>
      <c r="K1565" s="30">
        <v>8.5</v>
      </c>
      <c r="L1565" s="30">
        <v>132.175</v>
      </c>
      <c r="M1565" s="30">
        <v>1210.0</v>
      </c>
      <c r="N1565" s="30">
        <v>1210.0</v>
      </c>
      <c r="O1565" s="30">
        <v>0.0</v>
      </c>
      <c r="P1565" s="30">
        <v>0.0</v>
      </c>
      <c r="Q1565" s="30">
        <v>212.825</v>
      </c>
    </row>
    <row r="1566">
      <c r="A1566" s="47">
        <v>1.1204559577E10</v>
      </c>
      <c r="B1566" s="48">
        <v>46148.49125</v>
      </c>
      <c r="C1566" s="30">
        <v>3.82167406E9</v>
      </c>
      <c r="D1566" s="47" t="s">
        <v>1511</v>
      </c>
      <c r="E1566" s="47">
        <v>3.182550721738E12</v>
      </c>
      <c r="F1566" s="47" t="s">
        <v>1523</v>
      </c>
      <c r="G1566" s="47" t="s">
        <v>1526</v>
      </c>
      <c r="H1566" s="30">
        <v>1.0</v>
      </c>
      <c r="I1566" s="30">
        <v>1554.0</v>
      </c>
      <c r="J1566" s="30">
        <v>1554.0</v>
      </c>
      <c r="K1566" s="30">
        <v>0.0</v>
      </c>
      <c r="L1566" s="30">
        <v>0.0</v>
      </c>
      <c r="M1566" s="30">
        <v>1210.0</v>
      </c>
      <c r="N1566" s="30">
        <v>1210.0</v>
      </c>
      <c r="O1566" s="30">
        <v>0.0</v>
      </c>
      <c r="P1566" s="30">
        <v>0.0</v>
      </c>
      <c r="Q1566" s="30">
        <v>344.0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52.88"/>
    <col customWidth="1" min="4" max="4" width="34.63"/>
  </cols>
  <sheetData>
    <row r="1">
      <c r="A1" s="47" t="s">
        <v>1640</v>
      </c>
      <c r="B1" s="47" t="s">
        <v>1641</v>
      </c>
      <c r="C1" s="47" t="s">
        <v>1642</v>
      </c>
      <c r="D1" s="47" t="s">
        <v>1643</v>
      </c>
    </row>
    <row r="2">
      <c r="A2" s="48">
        <v>46161.98684027778</v>
      </c>
      <c r="B2" s="47" t="s">
        <v>1644</v>
      </c>
      <c r="C2" s="47" t="s">
        <v>1645</v>
      </c>
      <c r="D2" s="47" t="s">
        <v>1646</v>
      </c>
    </row>
    <row r="3">
      <c r="A3" s="48">
        <v>46162.01138888889</v>
      </c>
      <c r="B3" s="47" t="s">
        <v>1647</v>
      </c>
      <c r="C3" s="47" t="s">
        <v>1648</v>
      </c>
      <c r="D3" s="47" t="s">
        <v>1649</v>
      </c>
    </row>
    <row r="4">
      <c r="A4" s="48">
        <v>46162.011412037034</v>
      </c>
      <c r="B4" s="47" t="s">
        <v>1644</v>
      </c>
      <c r="C4" s="47" t="s">
        <v>1645</v>
      </c>
      <c r="D4" s="47" t="s">
        <v>1650</v>
      </c>
    </row>
    <row r="5">
      <c r="A5" s="48">
        <v>46162.01170138889</v>
      </c>
      <c r="B5" s="47" t="s">
        <v>1644</v>
      </c>
      <c r="C5" s="47" t="s">
        <v>1645</v>
      </c>
      <c r="D5" s="47" t="s">
        <v>1651</v>
      </c>
    </row>
    <row r="6">
      <c r="A6" s="48">
        <v>46162.01524305555</v>
      </c>
      <c r="B6" s="47" t="s">
        <v>1644</v>
      </c>
      <c r="C6" s="47" t="s">
        <v>1645</v>
      </c>
      <c r="D6" s="47" t="s">
        <v>1651</v>
      </c>
    </row>
    <row r="7">
      <c r="A7" s="48">
        <v>46162.01862268519</v>
      </c>
      <c r="B7" s="47" t="s">
        <v>1644</v>
      </c>
      <c r="C7" s="47" t="s">
        <v>1645</v>
      </c>
      <c r="D7" s="47" t="s">
        <v>1651</v>
      </c>
    </row>
    <row r="8">
      <c r="A8" s="48">
        <v>46162.03296296296</v>
      </c>
      <c r="B8" s="47" t="s">
        <v>1644</v>
      </c>
      <c r="C8" s="47" t="s">
        <v>1652</v>
      </c>
      <c r="D8" s="47" t="s">
        <v>1653</v>
      </c>
    </row>
    <row r="9">
      <c r="A9" s="48">
        <v>46162.0334375</v>
      </c>
      <c r="B9" s="47" t="s">
        <v>1644</v>
      </c>
      <c r="C9" s="47" t="s">
        <v>1652</v>
      </c>
      <c r="D9" s="47" t="s">
        <v>1653</v>
      </c>
    </row>
    <row r="10">
      <c r="A10" s="48">
        <v>46162.03364583333</v>
      </c>
      <c r="B10" s="47" t="s">
        <v>1644</v>
      </c>
      <c r="C10" s="47" t="s">
        <v>1654</v>
      </c>
      <c r="D10" s="47" t="s">
        <v>1655</v>
      </c>
    </row>
    <row r="11">
      <c r="A11" s="48">
        <v>46162.0403125</v>
      </c>
      <c r="B11" s="47" t="s">
        <v>1644</v>
      </c>
      <c r="C11" s="47" t="s">
        <v>1652</v>
      </c>
      <c r="D11" s="47" t="s">
        <v>1653</v>
      </c>
    </row>
    <row r="12">
      <c r="A12" s="48">
        <v>46162.04054398148</v>
      </c>
      <c r="B12" s="47" t="s">
        <v>1644</v>
      </c>
      <c r="C12" s="47" t="s">
        <v>1654</v>
      </c>
      <c r="D12" s="47" t="s">
        <v>1655</v>
      </c>
    </row>
    <row r="13">
      <c r="A13" s="48">
        <v>46162.04518518518</v>
      </c>
      <c r="B13" s="47" t="s">
        <v>1644</v>
      </c>
      <c r="C13" s="47" t="s">
        <v>1652</v>
      </c>
      <c r="D13" s="47" t="s">
        <v>1653</v>
      </c>
    </row>
    <row r="14">
      <c r="A14" s="48">
        <v>46162.045439814814</v>
      </c>
      <c r="B14" s="47" t="s">
        <v>1644</v>
      </c>
      <c r="C14" s="47" t="s">
        <v>1654</v>
      </c>
      <c r="D14" s="47" t="s">
        <v>1655</v>
      </c>
    </row>
    <row r="15">
      <c r="A15" s="48">
        <v>46162.04570601852</v>
      </c>
      <c r="B15" s="47" t="s">
        <v>1644</v>
      </c>
      <c r="C15" s="47" t="s">
        <v>1654</v>
      </c>
      <c r="D15" s="47" t="s">
        <v>1655</v>
      </c>
    </row>
    <row r="16">
      <c r="A16" s="48">
        <v>46162.04591435185</v>
      </c>
      <c r="B16" s="47" t="s">
        <v>1644</v>
      </c>
      <c r="C16" s="47" t="s">
        <v>1652</v>
      </c>
      <c r="D16" s="47" t="s">
        <v>1653</v>
      </c>
    </row>
    <row r="17">
      <c r="A17" s="48">
        <v>46162.04614583333</v>
      </c>
      <c r="B17" s="47" t="s">
        <v>1644</v>
      </c>
      <c r="C17" s="47" t="s">
        <v>1654</v>
      </c>
      <c r="D17" s="47" t="s">
        <v>1655</v>
      </c>
    </row>
    <row r="18">
      <c r="A18" s="48">
        <v>46162.04957175926</v>
      </c>
      <c r="B18" s="47" t="s">
        <v>1644</v>
      </c>
      <c r="C18" s="47" t="s">
        <v>1652</v>
      </c>
      <c r="D18" s="47" t="s">
        <v>1653</v>
      </c>
    </row>
    <row r="19">
      <c r="A19" s="48">
        <v>46162.04988425926</v>
      </c>
      <c r="B19" s="47" t="s">
        <v>1644</v>
      </c>
      <c r="C19" s="47" t="s">
        <v>1654</v>
      </c>
      <c r="D19" s="47" t="s">
        <v>1655</v>
      </c>
    </row>
    <row r="20">
      <c r="A20" s="48">
        <v>46162.96053240741</v>
      </c>
      <c r="B20" s="47" t="s">
        <v>1644</v>
      </c>
      <c r="C20" s="47" t="s">
        <v>1645</v>
      </c>
      <c r="D20" s="47" t="s">
        <v>1651</v>
      </c>
    </row>
    <row r="21">
      <c r="A21" s="48">
        <v>46162.961331018516</v>
      </c>
      <c r="B21" s="47" t="s">
        <v>1644</v>
      </c>
      <c r="C21" s="47" t="s">
        <v>1645</v>
      </c>
      <c r="D21" s="47" t="s">
        <v>1651</v>
      </c>
    </row>
    <row r="22">
      <c r="A22" s="48">
        <v>46164.98266203704</v>
      </c>
      <c r="B22" s="47" t="s">
        <v>1656</v>
      </c>
      <c r="C22" s="47" t="s">
        <v>1657</v>
      </c>
      <c r="D22" s="47" t="s">
        <v>1658</v>
      </c>
    </row>
    <row r="23">
      <c r="A23" s="48">
        <v>46164.9828587963</v>
      </c>
      <c r="B23" s="47" t="s">
        <v>1644</v>
      </c>
      <c r="C23" s="47" t="s">
        <v>1652</v>
      </c>
      <c r="D23" s="47" t="s">
        <v>1653</v>
      </c>
    </row>
    <row r="24">
      <c r="A24" s="48">
        <v>46164.98478009259</v>
      </c>
      <c r="B24" s="47" t="s">
        <v>1644</v>
      </c>
      <c r="C24" s="47" t="s">
        <v>1645</v>
      </c>
      <c r="D24" s="47" t="s">
        <v>1659</v>
      </c>
    </row>
    <row r="25">
      <c r="A25" s="48">
        <v>46165.043275462966</v>
      </c>
      <c r="B25" s="47" t="s">
        <v>1644</v>
      </c>
      <c r="C25" s="47" t="s">
        <v>1645</v>
      </c>
      <c r="D25" s="47" t="s">
        <v>1659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12.63"/>
    <col customWidth="1" min="3" max="3" width="74.63"/>
    <col customWidth="1" min="4" max="4" width="13.38"/>
    <col customWidth="1" min="5" max="5" width="10.63"/>
    <col customWidth="1" min="6" max="6" width="12.5"/>
    <col customWidth="1" min="7" max="7" width="13.13"/>
    <col customWidth="1" min="8" max="8" width="13.63"/>
    <col customWidth="1" min="9" max="9" width="14.75"/>
    <col customWidth="1" min="10" max="10" width="14.25"/>
    <col customWidth="1" min="11" max="12" width="17.63"/>
    <col customWidth="1" min="13" max="13" width="13.38"/>
    <col customWidth="1" min="14" max="14" width="15.0"/>
    <col customWidth="1" min="15" max="15" width="15.88"/>
    <col customWidth="1" min="16" max="16" width="17.5"/>
    <col customWidth="1" min="17" max="21" width="21.13"/>
  </cols>
  <sheetData>
    <row r="1" ht="42.0" customHeight="1">
      <c r="A1" s="50" t="s">
        <v>19</v>
      </c>
      <c r="B1" s="51" t="s">
        <v>20</v>
      </c>
      <c r="C1" s="51" t="s">
        <v>21</v>
      </c>
      <c r="D1" s="51" t="s">
        <v>22</v>
      </c>
      <c r="E1" s="51" t="s">
        <v>23</v>
      </c>
      <c r="F1" s="51" t="s">
        <v>1660</v>
      </c>
      <c r="G1" s="51" t="s">
        <v>1661</v>
      </c>
      <c r="H1" s="51" t="s">
        <v>1662</v>
      </c>
      <c r="I1" s="51" t="s">
        <v>1663</v>
      </c>
      <c r="J1" s="51" t="s">
        <v>1664</v>
      </c>
      <c r="K1" s="51" t="s">
        <v>40</v>
      </c>
      <c r="L1" s="51" t="s">
        <v>41</v>
      </c>
      <c r="M1" s="51" t="s">
        <v>1494</v>
      </c>
      <c r="N1" s="51" t="s">
        <v>34</v>
      </c>
      <c r="O1" s="51" t="s">
        <v>47</v>
      </c>
      <c r="P1" s="51" t="s">
        <v>36</v>
      </c>
      <c r="Q1" s="51" t="s">
        <v>37</v>
      </c>
      <c r="R1" s="51" t="s">
        <v>31</v>
      </c>
      <c r="S1" s="51" t="s">
        <v>1665</v>
      </c>
      <c r="T1" s="51" t="s">
        <v>1666</v>
      </c>
      <c r="U1" s="51" t="s">
        <v>1667</v>
      </c>
    </row>
    <row r="2">
      <c r="A2" s="2">
        <f>IFERROR(__xludf.DUMMYFUNCTION("FILTER(Products!A2:A1000,Products!P2:P1000&lt;&gt;"""")"),7.613033568558E12)</f>
        <v>7613033568558</v>
      </c>
      <c r="B2" s="17" t="str">
        <f>IFERROR(__xludf.DUMMYFUNCTION("FILTER(Products!D2:D1000,Products!P2:P1000&lt;&gt;"""")"),"Pro Plan")</f>
        <v>Pro Plan</v>
      </c>
      <c r="C2" s="28" t="str">
        <f>IFERROR(__xludf.DUMMYFUNCTION("FILTER(Products!C2:C1000,Products!P2:P1000&lt;&gt;"""")"),"Sterilised Somonlu Kısırlaştırılmış Kedi Konservesi 85 Gr")</f>
        <v>Sterilised Somonlu Kısırlaştırılmış Kedi Konservesi 85 Gr</v>
      </c>
      <c r="D2" s="14">
        <f>IFERROR(__xludf.DUMMYFUNCTION("FILTER(Products!P2:P1000,Products!P2:P1000&lt;&gt;"""")"),72.0)</f>
        <v>72</v>
      </c>
      <c r="E2" s="14">
        <f t="array" ref="E2">IF($A2="","",IFERROR($D2*IF($D2&gt;=INDEX('Komisyon Tarifesi'!$I$2:$I$1000,MATCH($A2,'Komisyon Tarifesi'!$B$2:$B$1000,0)),INDEX('Komisyon Tarifesi'!$O$2:$O$1000,MATCH($A2,'Komisyon Tarifesi'!$B$2:$B$1000,0)),IF($D2&gt;=INDEX('Komisyon Tarifesi'!$K$2:$K$1000,MATCH($A2,'Komisyon Tarifesi'!$B$2:$B$1000,0)),INDEX('Komisyon Tarifesi'!$P$2:$P$1000,MATCH($A2,'Komisyon Tarifesi'!$B$2:$B$1000,0)),IF($D2&gt;=INDEX('Komisyon Tarifesi'!$M$2:$M$1000,MATCH($A2,'Komisyon Tarifesi'!$B$2:$B$1000,0)),INDEX('Komisyon Tarifesi'!$Q$2:$Q$1000,MATCH($A2,'Komisyon Tarifesi'!$B$2:$B$1000,0)),INDEX('Komisyon Tarifesi'!$R$2:$R$1000,MATCH($A2,'Komisyon Tarifesi'!$B$2:$B$1000,0)))))/100,IFERROR(IF(VLOOKUP($A2,Products!$A$2:$W$1000,21,0)&lt;&gt;"",$D2*VLOOKUP($A2,Products!$A$2:$W$1000,21,0)/100,""),"")))</f>
        <v>9</v>
      </c>
      <c r="F2" s="14">
        <f t="array" ref="F2">IF($A2="","",IFERROR(IF(INDEX('Maliyet Giris'!$G$2:$G$550,MATCH($A2,'Maliyet Giris'!$A$2:$A$550,0))="","",IF(INDEX('Maliyet Giris'!$G$2:$G$550,MATCH($A2,'Maliyet Giris'!$A$2:$A$550,0))&lt;=2,86.4,IF(INDEX('Maliyet Giris'!$G$2:$G$550,MATCH($A2,'Maliyet Giris'!$A$2:$A$550,0))&lt;=3,90,IF(INDEX('Maliyet Giris'!$G$2:$G$550,MATCH($A2,'Maliyet Giris'!$A$2:$A$550,0))&lt;=5,102,IF(INDEX('Maliyet Giris'!$G$2:$G$550,MATCH($A2,'Maliyet Giris'!$A$2:$A$550,0))&lt;=10,159.74,IF(INDEX('Maliyet Giris'!$G$2:$G$550,MATCH($A2,'Maliyet Giris'!$A$2:$A$550,0))&lt;=15,187.5,IF(INDEX('Maliyet Giris'!$G$2:$G$550,MATCH($A2,'Maliyet Giris'!$A$2:$A$550,0))&lt;=20,225,299))))))),""))</f>
        <v>86.4</v>
      </c>
      <c r="G2" s="14">
        <f t="array" ref="G2">IF($A2="","",IFERROR(INDEX('Maliyet Giris'!$F$2:$F$550,MATCH($A2,'Maliyet Giris'!$A$2:$A$550,0)),""))</f>
        <v>41</v>
      </c>
      <c r="H2" s="14">
        <f t="shared" ref="H2:H300" si="1">IF($A2="","",13.19)</f>
        <v>13.19</v>
      </c>
      <c r="I2" s="14">
        <f t="shared" ref="I2:I300" si="2">IF($A2="","",($D2/1.2)*0.01)</f>
        <v>0.6</v>
      </c>
      <c r="J2" s="14">
        <f t="shared" ref="J2:J300" si="3">IF($A2="","",IF(OR($D2="",$E2="",$F2="",$G2="",$H2=""),"",MAX(0,($D2-($D2/1.2))-($G2-($G2/1.2))-($F2-($F2/1.2))-($E2-($E2/1.2))-($H2-($H2/1.2)))))</f>
        <v>0</v>
      </c>
      <c r="K2" s="14">
        <f t="shared" ref="K2:K300" si="4">IF($A2="","",IF(OR($D2="",$E2="",$F2="",$G2="",$H2="",$I2="",$J2=""),"",$D2-$E2-$F2-$G2-$H2-$I2-$J2))</f>
        <v>-78.19</v>
      </c>
      <c r="L2" s="15">
        <f t="shared" ref="L2:L300" si="5">IF($A2="","",IF($K2="","",IFERROR($K2/$D2,"")))</f>
        <v>-1.085972222</v>
      </c>
      <c r="M2" s="17" t="str">
        <f t="shared" ref="M2:M300" si="6">IF($A2="","",IF(OR($E2="",$F2="",$G2=""),"EKSİK VERİ",IF($K2&gt;0,"KÂRLI","ZARAR")))</f>
        <v>ZARAR</v>
      </c>
      <c r="N2" s="17" t="str">
        <f t="shared" ref="N2:N300" si="7">IF($A2="","",IF($E2="","Komisyon eksik",""))</f>
        <v/>
      </c>
      <c r="O2" s="17">
        <f t="array" ref="O2">IF($A2="","",IFERROR(INDEX('Maliyet Giris'!$G$2:$G$550,MATCH($A2,'Maliyet Giris'!$A$2:$A$550,0)),""))</f>
        <v>1</v>
      </c>
      <c r="P2" s="17" t="str">
        <f t="shared" ref="P2:P300" si="8">IF($A2="","",IF($G2="","Maliyet eksik",""))</f>
        <v/>
      </c>
      <c r="Q2" s="17" t="str">
        <f t="shared" ref="Q2:Q300" si="9">IF($A2="","",IF($O2="","Desi eksik",""))</f>
        <v/>
      </c>
      <c r="R2" s="14">
        <f t="shared" ref="R2:R300" si="10">IF($A2="","",IF($M2="EKSİK VERİ","",IFERROR(($F2+$G2+$H2)/(1-($E2/$D2)-0.008333-IF($J2&gt;0,$J2/$D2,0)),"")))</f>
        <v>162.2191684</v>
      </c>
      <c r="S2" s="14">
        <f t="shared" ref="S2:S300" si="11">IF($A2="","",IF($R2="","",$D2-$R2))</f>
        <v>-90.21916838</v>
      </c>
      <c r="T2" s="17" t="str">
        <f t="shared" ref="T2:T300" si="12">IF($A2="","",IF($M2="EKSİK VERİ","EKSİK VERİ",IF($K2&lt;0,"ZARAR",IF($L2&lt;0.03,"RİSKLİ",IF($L2&lt;0.1,"DÜŞÜK KÂR",IF($L2&gt;=0.25,"ÇOK KÂRLI","SAĞLIKLI"))))))</f>
        <v>ZARAR</v>
      </c>
      <c r="U2" s="17" t="str">
        <f t="shared" ref="U2:U300" si="13">IF($A2="","",IF($T2="EKSİK VERİ","Maliyet/desi/komisyon tamamla",IF($T2="ZARAR","Fiyat, maliyet veya kampanya kontrol et",IF($T2="RİSKLİ","Minimum fiyat altına düşme",IF($T2="DÜŞÜK KÂR","Reklam/komisyon etkisini kontrol et",IF($T2="ÇOK KÂRLI","Stok ve BuyBox takibini artır","Takip et"))))))</f>
        <v>Fiyat, maliyet veya kampanya kontrol et</v>
      </c>
    </row>
    <row r="3">
      <c r="A3" s="2">
        <f>IFERROR(__xludf.DUMMYFUNCTION("""COMPUTED_VALUE"""),9.003579311301E12)</f>
        <v>9003579311301</v>
      </c>
      <c r="B3" s="17" t="str">
        <f>IFERROR(__xludf.DUMMYFUNCTION("""COMPUTED_VALUE"""),"Royal Canin")</f>
        <v>Royal Canin</v>
      </c>
      <c r="C3" s="28" t="str">
        <f>IFERROR(__xludf.DUMMYFUNCTION("""COMPUTED_VALUE"""),"Sterilised Gravy Yaş Kedi Maması 85 gr")</f>
        <v>Sterilised Gravy Yaş Kedi Maması 85 gr</v>
      </c>
      <c r="D3" s="14">
        <f>IFERROR(__xludf.DUMMYFUNCTION("""COMPUTED_VALUE"""),71.0)</f>
        <v>71</v>
      </c>
      <c r="E3" s="14">
        <f t="array" ref="E3">IF($A3="","",IFERROR($D3*IF($D3&gt;=INDEX('Komisyon Tarifesi'!$I$2:$I$1000,MATCH($A3,'Komisyon Tarifesi'!$B$2:$B$1000,0)),INDEX('Komisyon Tarifesi'!$O$2:$O$1000,MATCH($A3,'Komisyon Tarifesi'!$B$2:$B$1000,0)),IF($D3&gt;=INDEX('Komisyon Tarifesi'!$K$2:$K$1000,MATCH($A3,'Komisyon Tarifesi'!$B$2:$B$1000,0)),INDEX('Komisyon Tarifesi'!$P$2:$P$1000,MATCH($A3,'Komisyon Tarifesi'!$B$2:$B$1000,0)),IF($D3&gt;=INDEX('Komisyon Tarifesi'!$M$2:$M$1000,MATCH($A3,'Komisyon Tarifesi'!$B$2:$B$1000,0)),INDEX('Komisyon Tarifesi'!$Q$2:$Q$1000,MATCH($A3,'Komisyon Tarifesi'!$B$2:$B$1000,0)),INDEX('Komisyon Tarifesi'!$R$2:$R$1000,MATCH($A3,'Komisyon Tarifesi'!$B$2:$B$1000,0)))))/100,IFERROR(IF(VLOOKUP($A3,Products!$A$2:$W$1000,21,0)&lt;&gt;"",$D3*VLOOKUP($A3,Products!$A$2:$W$1000,21,0)/100,""),"")))</f>
        <v>2.13</v>
      </c>
      <c r="F3" s="14">
        <f t="array" ref="F3">IF($A3="","",IFERROR(IF(INDEX('Maliyet Giris'!$G$2:$G$550,MATCH($A3,'Maliyet Giris'!$A$2:$A$550,0))="","",IF(INDEX('Maliyet Giris'!$G$2:$G$550,MATCH($A3,'Maliyet Giris'!$A$2:$A$550,0))&lt;=2,86.4,IF(INDEX('Maliyet Giris'!$G$2:$G$550,MATCH($A3,'Maliyet Giris'!$A$2:$A$550,0))&lt;=3,90,IF(INDEX('Maliyet Giris'!$G$2:$G$550,MATCH($A3,'Maliyet Giris'!$A$2:$A$550,0))&lt;=5,102,IF(INDEX('Maliyet Giris'!$G$2:$G$550,MATCH($A3,'Maliyet Giris'!$A$2:$A$550,0))&lt;=10,159.74,IF(INDEX('Maliyet Giris'!$G$2:$G$550,MATCH($A3,'Maliyet Giris'!$A$2:$A$550,0))&lt;=15,187.5,IF(INDEX('Maliyet Giris'!$G$2:$G$550,MATCH($A3,'Maliyet Giris'!$A$2:$A$550,0))&lt;=20,225,299))))))),""))</f>
        <v>86.4</v>
      </c>
      <c r="G3" s="14">
        <f t="array" ref="G3">IF($A3="","",IFERROR(INDEX('Maliyet Giris'!$F$2:$F$550,MATCH($A3,'Maliyet Giris'!$A$2:$A$550,0)),""))</f>
        <v>41</v>
      </c>
      <c r="H3" s="14">
        <f t="shared" si="1"/>
        <v>13.19</v>
      </c>
      <c r="I3" s="14">
        <f t="shared" si="2"/>
        <v>0.5916666667</v>
      </c>
      <c r="J3" s="14">
        <f t="shared" si="3"/>
        <v>0</v>
      </c>
      <c r="K3" s="14">
        <f t="shared" si="4"/>
        <v>-72.31166667</v>
      </c>
      <c r="L3" s="15">
        <f t="shared" si="5"/>
        <v>-1.018474178</v>
      </c>
      <c r="M3" s="17" t="str">
        <f t="shared" si="6"/>
        <v>ZARAR</v>
      </c>
      <c r="N3" s="17" t="str">
        <f t="shared" si="7"/>
        <v/>
      </c>
      <c r="O3" s="17">
        <f t="array" ref="O3">IF($A3="","",IFERROR(INDEX('Maliyet Giris'!$G$2:$G$550,MATCH($A3,'Maliyet Giris'!$A$2:$A$550,0)),""))</f>
        <v>1</v>
      </c>
      <c r="P3" s="17" t="str">
        <f t="shared" si="8"/>
        <v/>
      </c>
      <c r="Q3" s="17" t="str">
        <f t="shared" si="9"/>
        <v/>
      </c>
      <c r="R3" s="14">
        <f t="shared" si="10"/>
        <v>146.1940568</v>
      </c>
      <c r="S3" s="14">
        <f t="shared" si="11"/>
        <v>-75.19405678</v>
      </c>
      <c r="T3" s="17" t="str">
        <f t="shared" si="12"/>
        <v>ZARAR</v>
      </c>
      <c r="U3" s="17" t="str">
        <f t="shared" si="13"/>
        <v>Fiyat, maliyet veya kampanya kontrol et</v>
      </c>
    </row>
    <row r="4">
      <c r="A4" s="2">
        <f>IFERROR(__xludf.DUMMYFUNCTION("""COMPUTED_VALUE"""),9.003579311714E12)</f>
        <v>9003579311714</v>
      </c>
      <c r="B4" s="17" t="str">
        <f>IFERROR(__xludf.DUMMYFUNCTION("""COMPUTED_VALUE"""),"Royal Canin")</f>
        <v>Royal Canin</v>
      </c>
      <c r="C4" s="28" t="str">
        <f>IFERROR(__xludf.DUMMYFUNCTION("""COMPUTED_VALUE"""),"Jelly Kitten Instinctive Yaş Yavru Kedi Maması 85 Gr")</f>
        <v>Jelly Kitten Instinctive Yaş Yavru Kedi Maması 85 Gr</v>
      </c>
      <c r="D4" s="14">
        <f>IFERROR(__xludf.DUMMYFUNCTION("""COMPUTED_VALUE"""),99.0)</f>
        <v>99</v>
      </c>
      <c r="E4" s="14">
        <f t="array" ref="E4">IF($A4="","",IFERROR($D4*IF($D4&gt;=INDEX('Komisyon Tarifesi'!$I$2:$I$1000,MATCH($A4,'Komisyon Tarifesi'!$B$2:$B$1000,0)),INDEX('Komisyon Tarifesi'!$O$2:$O$1000,MATCH($A4,'Komisyon Tarifesi'!$B$2:$B$1000,0)),IF($D4&gt;=INDEX('Komisyon Tarifesi'!$K$2:$K$1000,MATCH($A4,'Komisyon Tarifesi'!$B$2:$B$1000,0)),INDEX('Komisyon Tarifesi'!$P$2:$P$1000,MATCH($A4,'Komisyon Tarifesi'!$B$2:$B$1000,0)),IF($D4&gt;=INDEX('Komisyon Tarifesi'!$M$2:$M$1000,MATCH($A4,'Komisyon Tarifesi'!$B$2:$B$1000,0)),INDEX('Komisyon Tarifesi'!$Q$2:$Q$1000,MATCH($A4,'Komisyon Tarifesi'!$B$2:$B$1000,0)),INDEX('Komisyon Tarifesi'!$R$2:$R$1000,MATCH($A4,'Komisyon Tarifesi'!$B$2:$B$1000,0)))))/100,IFERROR(IF(VLOOKUP($A4,Products!$A$2:$W$1000,21,0)&lt;&gt;"",$D4*VLOOKUP($A4,Products!$A$2:$W$1000,21,0)/100,""),"")))</f>
        <v>12.375</v>
      </c>
      <c r="F4" s="14">
        <f t="array" ref="F4">IF($A4="","",IFERROR(IF(INDEX('Maliyet Giris'!$G$2:$G$550,MATCH($A4,'Maliyet Giris'!$A$2:$A$550,0))="","",IF(INDEX('Maliyet Giris'!$G$2:$G$550,MATCH($A4,'Maliyet Giris'!$A$2:$A$550,0))&lt;=2,86.4,IF(INDEX('Maliyet Giris'!$G$2:$G$550,MATCH($A4,'Maliyet Giris'!$A$2:$A$550,0))&lt;=3,90,IF(INDEX('Maliyet Giris'!$G$2:$G$550,MATCH($A4,'Maliyet Giris'!$A$2:$A$550,0))&lt;=5,102,IF(INDEX('Maliyet Giris'!$G$2:$G$550,MATCH($A4,'Maliyet Giris'!$A$2:$A$550,0))&lt;=10,159.74,IF(INDEX('Maliyet Giris'!$G$2:$G$550,MATCH($A4,'Maliyet Giris'!$A$2:$A$550,0))&lt;=15,187.5,IF(INDEX('Maliyet Giris'!$G$2:$G$550,MATCH($A4,'Maliyet Giris'!$A$2:$A$550,0))&lt;=20,225,299))))))),""))</f>
        <v>86.4</v>
      </c>
      <c r="G4" s="14">
        <f t="array" ref="G4">IF($A4="","",IFERROR(INDEX('Maliyet Giris'!$F$2:$F$550,MATCH($A4,'Maliyet Giris'!$A$2:$A$550,0)),""))</f>
        <v>41</v>
      </c>
      <c r="H4" s="14">
        <f t="shared" si="1"/>
        <v>13.19</v>
      </c>
      <c r="I4" s="14">
        <f t="shared" si="2"/>
        <v>0.825</v>
      </c>
      <c r="J4" s="14">
        <f t="shared" si="3"/>
        <v>0</v>
      </c>
      <c r="K4" s="14">
        <f t="shared" si="4"/>
        <v>-54.79</v>
      </c>
      <c r="L4" s="15">
        <f t="shared" si="5"/>
        <v>-0.5534343434</v>
      </c>
      <c r="M4" s="17" t="str">
        <f t="shared" si="6"/>
        <v>ZARAR</v>
      </c>
      <c r="N4" s="17" t="str">
        <f t="shared" si="7"/>
        <v/>
      </c>
      <c r="O4" s="17">
        <f t="array" ref="O4">IF($A4="","",IFERROR(INDEX('Maliyet Giris'!$G$2:$G$550,MATCH($A4,'Maliyet Giris'!$A$2:$A$550,0)),""))</f>
        <v>1</v>
      </c>
      <c r="P4" s="17" t="str">
        <f t="shared" si="8"/>
        <v/>
      </c>
      <c r="Q4" s="17" t="str">
        <f t="shared" si="9"/>
        <v/>
      </c>
      <c r="R4" s="14">
        <f t="shared" si="10"/>
        <v>162.2191684</v>
      </c>
      <c r="S4" s="14">
        <f t="shared" si="11"/>
        <v>-63.21916838</v>
      </c>
      <c r="T4" s="17" t="str">
        <f t="shared" si="12"/>
        <v>ZARAR</v>
      </c>
      <c r="U4" s="17" t="str">
        <f t="shared" si="13"/>
        <v>Fiyat, maliyet veya kampanya kontrol et</v>
      </c>
    </row>
    <row r="5">
      <c r="A5" s="2">
        <f>IFERROR(__xludf.DUMMYFUNCTION("""COMPUTED_VALUE"""),9.003579308929E12)</f>
        <v>9003579308929</v>
      </c>
      <c r="B5" s="17" t="str">
        <f>IFERROR(__xludf.DUMMYFUNCTION("""COMPUTED_VALUE"""),"Royal Canin")</f>
        <v>Royal Canin</v>
      </c>
      <c r="C5" s="28" t="str">
        <f>IFERROR(__xludf.DUMMYFUNCTION("""COMPUTED_VALUE"""),"Intense Beauty Gravy Pouch Yetişkin Kedi Konservesi 85 Gr")</f>
        <v>Intense Beauty Gravy Pouch Yetişkin Kedi Konservesi 85 Gr</v>
      </c>
      <c r="D5" s="14">
        <f>IFERROR(__xludf.DUMMYFUNCTION("""COMPUTED_VALUE"""),76.3)</f>
        <v>76.3</v>
      </c>
      <c r="E5" s="14">
        <f t="array" ref="E5">IF($A5="","",IFERROR($D5*IF($D5&gt;=INDEX('Komisyon Tarifesi'!$I$2:$I$1000,MATCH($A5,'Komisyon Tarifesi'!$B$2:$B$1000,0)),INDEX('Komisyon Tarifesi'!$O$2:$O$1000,MATCH($A5,'Komisyon Tarifesi'!$B$2:$B$1000,0)),IF($D5&gt;=INDEX('Komisyon Tarifesi'!$K$2:$K$1000,MATCH($A5,'Komisyon Tarifesi'!$B$2:$B$1000,0)),INDEX('Komisyon Tarifesi'!$P$2:$P$1000,MATCH($A5,'Komisyon Tarifesi'!$B$2:$B$1000,0)),IF($D5&gt;=INDEX('Komisyon Tarifesi'!$M$2:$M$1000,MATCH($A5,'Komisyon Tarifesi'!$B$2:$B$1000,0)),INDEX('Komisyon Tarifesi'!$Q$2:$Q$1000,MATCH($A5,'Komisyon Tarifesi'!$B$2:$B$1000,0)),INDEX('Komisyon Tarifesi'!$R$2:$R$1000,MATCH($A5,'Komisyon Tarifesi'!$B$2:$B$1000,0)))))/100,IFERROR(IF(VLOOKUP($A5,Products!$A$2:$W$1000,21,0)&lt;&gt;"",$D5*VLOOKUP($A5,Products!$A$2:$W$1000,21,0)/100,""),"")))</f>
        <v>9.5375</v>
      </c>
      <c r="F5" s="14">
        <f t="array" ref="F5">IF($A5="","",IFERROR(IF(INDEX('Maliyet Giris'!$G$2:$G$550,MATCH($A5,'Maliyet Giris'!$A$2:$A$550,0))="","",IF(INDEX('Maliyet Giris'!$G$2:$G$550,MATCH($A5,'Maliyet Giris'!$A$2:$A$550,0))&lt;=2,86.4,IF(INDEX('Maliyet Giris'!$G$2:$G$550,MATCH($A5,'Maliyet Giris'!$A$2:$A$550,0))&lt;=3,90,IF(INDEX('Maliyet Giris'!$G$2:$G$550,MATCH($A5,'Maliyet Giris'!$A$2:$A$550,0))&lt;=5,102,IF(INDEX('Maliyet Giris'!$G$2:$G$550,MATCH($A5,'Maliyet Giris'!$A$2:$A$550,0))&lt;=10,159.74,IF(INDEX('Maliyet Giris'!$G$2:$G$550,MATCH($A5,'Maliyet Giris'!$A$2:$A$550,0))&lt;=15,187.5,IF(INDEX('Maliyet Giris'!$G$2:$G$550,MATCH($A5,'Maliyet Giris'!$A$2:$A$550,0))&lt;=20,225,299))))))),""))</f>
        <v>86.4</v>
      </c>
      <c r="G5" s="14">
        <f t="array" ref="G5">IF($A5="","",IFERROR(INDEX('Maliyet Giris'!$F$2:$F$550,MATCH($A5,'Maliyet Giris'!$A$2:$A$550,0)),""))</f>
        <v>41</v>
      </c>
      <c r="H5" s="14">
        <f t="shared" si="1"/>
        <v>13.19</v>
      </c>
      <c r="I5" s="14">
        <f t="shared" si="2"/>
        <v>0.6358333333</v>
      </c>
      <c r="J5" s="14">
        <f t="shared" si="3"/>
        <v>0</v>
      </c>
      <c r="K5" s="14">
        <f t="shared" si="4"/>
        <v>-74.46333333</v>
      </c>
      <c r="L5" s="15">
        <f t="shared" si="5"/>
        <v>-0.975928353</v>
      </c>
      <c r="M5" s="17" t="str">
        <f t="shared" si="6"/>
        <v>ZARAR</v>
      </c>
      <c r="N5" s="17" t="str">
        <f t="shared" si="7"/>
        <v/>
      </c>
      <c r="O5" s="17">
        <f t="array" ref="O5">IF($A5="","",IFERROR(INDEX('Maliyet Giris'!$G$2:$G$550,MATCH($A5,'Maliyet Giris'!$A$2:$A$550,0)),""))</f>
        <v>1</v>
      </c>
      <c r="P5" s="17" t="str">
        <f t="shared" si="8"/>
        <v/>
      </c>
      <c r="Q5" s="17" t="str">
        <f t="shared" si="9"/>
        <v/>
      </c>
      <c r="R5" s="14">
        <f t="shared" si="10"/>
        <v>162.2191684</v>
      </c>
      <c r="S5" s="14">
        <f t="shared" si="11"/>
        <v>-85.91916838</v>
      </c>
      <c r="T5" s="17" t="str">
        <f t="shared" si="12"/>
        <v>ZARAR</v>
      </c>
      <c r="U5" s="17" t="str">
        <f t="shared" si="13"/>
        <v>Fiyat, maliyet veya kampanya kontrol et</v>
      </c>
    </row>
    <row r="6">
      <c r="A6" s="2">
        <f>IFERROR(__xludf.DUMMYFUNCTION("""COMPUTED_VALUE"""),1.172022022E9)</f>
        <v>1172022022</v>
      </c>
      <c r="B6" s="17" t="str">
        <f>IFERROR(__xludf.DUMMYFUNCTION("""COMPUTED_VALUE"""),"Royal Canin")</f>
        <v>Royal Canin</v>
      </c>
      <c r="C6" s="28" t="str">
        <f>IFERROR(__xludf.DUMMYFUNCTION("""COMPUTED_VALUE"""),"Ageing 11+ Yaşlı Ve Ileri Yaştaki Kedi Yaş Mama 85 gr X 12 Adet Gravy Soslu")</f>
        <v>Ageing 11+ Yaşlı Ve Ileri Yaştaki Kedi Yaş Mama 85 gr X 12 Adet Gravy Soslu</v>
      </c>
      <c r="D6" s="14">
        <f>IFERROR(__xludf.DUMMYFUNCTION("""COMPUTED_VALUE"""),869.0)</f>
        <v>869</v>
      </c>
      <c r="E6" s="14">
        <f t="array" ref="E6">IF($A6="","",IFERROR($D6*IF($D6&gt;=INDEX('Komisyon Tarifesi'!$I$2:$I$1000,MATCH($A6,'Komisyon Tarifesi'!$B$2:$B$1000,0)),INDEX('Komisyon Tarifesi'!$O$2:$O$1000,MATCH($A6,'Komisyon Tarifesi'!$B$2:$B$1000,0)),IF($D6&gt;=INDEX('Komisyon Tarifesi'!$K$2:$K$1000,MATCH($A6,'Komisyon Tarifesi'!$B$2:$B$1000,0)),INDEX('Komisyon Tarifesi'!$P$2:$P$1000,MATCH($A6,'Komisyon Tarifesi'!$B$2:$B$1000,0)),IF($D6&gt;=INDEX('Komisyon Tarifesi'!$M$2:$M$1000,MATCH($A6,'Komisyon Tarifesi'!$B$2:$B$1000,0)),INDEX('Komisyon Tarifesi'!$Q$2:$Q$1000,MATCH($A6,'Komisyon Tarifesi'!$B$2:$B$1000,0)),INDEX('Komisyon Tarifesi'!$R$2:$R$1000,MATCH($A6,'Komisyon Tarifesi'!$B$2:$B$1000,0)))))/100,IFERROR(IF(VLOOKUP($A6,Products!$A$2:$W$1000,21,0)&lt;&gt;"",$D6*VLOOKUP($A6,Products!$A$2:$W$1000,21,0)/100,""),"")))</f>
        <v>108.625</v>
      </c>
      <c r="F6" s="14">
        <f t="array" ref="F6">IF($A6="","",IFERROR(IF(INDEX('Maliyet Giris'!$G$2:$G$550,MATCH($A6,'Maliyet Giris'!$A$2:$A$550,0))="","",IF(INDEX('Maliyet Giris'!$G$2:$G$550,MATCH($A6,'Maliyet Giris'!$A$2:$A$550,0))&lt;=2,86.4,IF(INDEX('Maliyet Giris'!$G$2:$G$550,MATCH($A6,'Maliyet Giris'!$A$2:$A$550,0))&lt;=3,90,IF(INDEX('Maliyet Giris'!$G$2:$G$550,MATCH($A6,'Maliyet Giris'!$A$2:$A$550,0))&lt;=5,102,IF(INDEX('Maliyet Giris'!$G$2:$G$550,MATCH($A6,'Maliyet Giris'!$A$2:$A$550,0))&lt;=10,159.74,IF(INDEX('Maliyet Giris'!$G$2:$G$550,MATCH($A6,'Maliyet Giris'!$A$2:$A$550,0))&lt;=15,187.5,IF(INDEX('Maliyet Giris'!$G$2:$G$550,MATCH($A6,'Maliyet Giris'!$A$2:$A$550,0))&lt;=20,225,299))))))),""))</f>
        <v>86.4</v>
      </c>
      <c r="G6" s="14">
        <f t="array" ref="G6">IF($A6="","",IFERROR(INDEX('Maliyet Giris'!$F$2:$F$550,MATCH($A6,'Maliyet Giris'!$A$2:$A$550,0)),""))</f>
        <v>490</v>
      </c>
      <c r="H6" s="14">
        <f t="shared" si="1"/>
        <v>13.19</v>
      </c>
      <c r="I6" s="14">
        <f t="shared" si="2"/>
        <v>7.241666667</v>
      </c>
      <c r="J6" s="14">
        <f t="shared" si="3"/>
        <v>28.46416667</v>
      </c>
      <c r="K6" s="14">
        <f t="shared" si="4"/>
        <v>135.0791667</v>
      </c>
      <c r="L6" s="15">
        <f t="shared" si="5"/>
        <v>0.155442079</v>
      </c>
      <c r="M6" s="17" t="str">
        <f t="shared" si="6"/>
        <v>KÂRLI</v>
      </c>
      <c r="N6" s="17" t="str">
        <f t="shared" si="7"/>
        <v/>
      </c>
      <c r="O6" s="17">
        <f t="array" ref="O6">IF($A6="","",IFERROR(INDEX('Maliyet Giris'!$G$2:$G$550,MATCH($A6,'Maliyet Giris'!$A$2:$A$550,0)),""))</f>
        <v>1</v>
      </c>
      <c r="P6" s="17" t="str">
        <f t="shared" si="8"/>
        <v/>
      </c>
      <c r="Q6" s="17" t="str">
        <f t="shared" si="9"/>
        <v/>
      </c>
      <c r="R6" s="14">
        <f t="shared" si="10"/>
        <v>707.0171173</v>
      </c>
      <c r="S6" s="14">
        <f t="shared" si="11"/>
        <v>161.9828827</v>
      </c>
      <c r="T6" s="17" t="str">
        <f t="shared" si="12"/>
        <v>SAĞLIKLI</v>
      </c>
      <c r="U6" s="17" t="str">
        <f t="shared" si="13"/>
        <v>Takip et</v>
      </c>
    </row>
    <row r="7">
      <c r="A7" s="2">
        <f>IFERROR(__xludf.DUMMYFUNCTION("""COMPUTED_VALUE"""),1.10201908E8)</f>
        <v>110201908</v>
      </c>
      <c r="B7" s="17" t="str">
        <f>IFERROR(__xludf.DUMMYFUNCTION("""COMPUTED_VALUE"""),"Purina Pro Plan")</f>
        <v>Purina Pro Plan</v>
      </c>
      <c r="C7" s="28" t="str">
        <f>IFERROR(__xludf.DUMMYFUNCTION("""COMPUTED_VALUE"""),"Sterilised Somonlu Kısır Kedi Maması 3kg")</f>
        <v>Sterilised Somonlu Kısır Kedi Maması 3kg</v>
      </c>
      <c r="D7" s="14">
        <f>IFERROR(__xludf.DUMMYFUNCTION("""COMPUTED_VALUE"""),1645.0)</f>
        <v>1645</v>
      </c>
      <c r="E7" s="14">
        <f t="array" ref="E7">IF($A7="","",IFERROR($D7*IF($D7&gt;=INDEX('Komisyon Tarifesi'!$I$2:$I$1000,MATCH($A7,'Komisyon Tarifesi'!$B$2:$B$1000,0)),INDEX('Komisyon Tarifesi'!$O$2:$O$1000,MATCH($A7,'Komisyon Tarifesi'!$B$2:$B$1000,0)),IF($D7&gt;=INDEX('Komisyon Tarifesi'!$K$2:$K$1000,MATCH($A7,'Komisyon Tarifesi'!$B$2:$B$1000,0)),INDEX('Komisyon Tarifesi'!$P$2:$P$1000,MATCH($A7,'Komisyon Tarifesi'!$B$2:$B$1000,0)),IF($D7&gt;=INDEX('Komisyon Tarifesi'!$M$2:$M$1000,MATCH($A7,'Komisyon Tarifesi'!$B$2:$B$1000,0)),INDEX('Komisyon Tarifesi'!$Q$2:$Q$1000,MATCH($A7,'Komisyon Tarifesi'!$B$2:$B$1000,0)),INDEX('Komisyon Tarifesi'!$R$2:$R$1000,MATCH($A7,'Komisyon Tarifesi'!$B$2:$B$1000,0)))))/100,IFERROR(IF(VLOOKUP($A7,Products!$A$2:$W$1000,21,0)&lt;&gt;"",$D7*VLOOKUP($A7,Products!$A$2:$W$1000,21,0)/100,""),"")))</f>
        <v>271.425</v>
      </c>
      <c r="F7" s="14">
        <f t="array" ref="F7">IF($A7="","",IFERROR(IF(INDEX('Maliyet Giris'!$G$2:$G$550,MATCH($A7,'Maliyet Giris'!$A$2:$A$550,0))="","",IF(INDEX('Maliyet Giris'!$G$2:$G$550,MATCH($A7,'Maliyet Giris'!$A$2:$A$550,0))&lt;=2,86.4,IF(INDEX('Maliyet Giris'!$G$2:$G$550,MATCH($A7,'Maliyet Giris'!$A$2:$A$550,0))&lt;=3,90,IF(INDEX('Maliyet Giris'!$G$2:$G$550,MATCH($A7,'Maliyet Giris'!$A$2:$A$550,0))&lt;=5,102,IF(INDEX('Maliyet Giris'!$G$2:$G$550,MATCH($A7,'Maliyet Giris'!$A$2:$A$550,0))&lt;=10,159.74,IF(INDEX('Maliyet Giris'!$G$2:$G$550,MATCH($A7,'Maliyet Giris'!$A$2:$A$550,0))&lt;=15,187.5,IF(INDEX('Maliyet Giris'!$G$2:$G$550,MATCH($A7,'Maliyet Giris'!$A$2:$A$550,0))&lt;=20,225,299))))))),""))</f>
        <v>90</v>
      </c>
      <c r="G7" s="14">
        <f t="array" ref="G7">IF($A7="","",IFERROR(INDEX('Maliyet Giris'!$F$2:$F$550,MATCH($A7,'Maliyet Giris'!$A$2:$A$550,0)),""))</f>
        <v>1194</v>
      </c>
      <c r="H7" s="14">
        <f t="shared" si="1"/>
        <v>13.19</v>
      </c>
      <c r="I7" s="14">
        <f t="shared" si="2"/>
        <v>13.70833333</v>
      </c>
      <c r="J7" s="14">
        <f t="shared" si="3"/>
        <v>12.73083333</v>
      </c>
      <c r="K7" s="14">
        <f t="shared" si="4"/>
        <v>49.94583333</v>
      </c>
      <c r="L7" s="15">
        <f t="shared" si="5"/>
        <v>0.03036220871</v>
      </c>
      <c r="M7" s="17" t="str">
        <f t="shared" si="6"/>
        <v>KÂRLI</v>
      </c>
      <c r="N7" s="17" t="str">
        <f t="shared" si="7"/>
        <v/>
      </c>
      <c r="O7" s="17">
        <f t="array" ref="O7">IF($A7="","",IFERROR(INDEX('Maliyet Giris'!$G$2:$G$550,MATCH($A7,'Maliyet Giris'!$A$2:$A$550,0)),""))</f>
        <v>3</v>
      </c>
      <c r="P7" s="17" t="str">
        <f t="shared" si="8"/>
        <v/>
      </c>
      <c r="Q7" s="17" t="str">
        <f t="shared" si="9"/>
        <v/>
      </c>
      <c r="R7" s="14">
        <f t="shared" si="10"/>
        <v>1584.010037</v>
      </c>
      <c r="S7" s="14">
        <f t="shared" si="11"/>
        <v>60.98996283</v>
      </c>
      <c r="T7" s="17" t="str">
        <f t="shared" si="12"/>
        <v>DÜŞÜK KÂR</v>
      </c>
      <c r="U7" s="17" t="str">
        <f t="shared" si="13"/>
        <v>Reklam/komisyon etkisini kontrol et</v>
      </c>
    </row>
    <row r="8">
      <c r="A8" s="2">
        <f>IFERROR(__xludf.DUMMYFUNCTION("""COMPUTED_VALUE"""),8.40134695853E11)</f>
        <v>840134695853</v>
      </c>
      <c r="B8" s="17" t="str">
        <f>IFERROR(__xludf.DUMMYFUNCTION("""COMPUTED_VALUE"""),"BARK")</f>
        <v>BARK</v>
      </c>
      <c r="C8" s="28" t="str">
        <f>IFERROR(__xludf.DUMMYFUNCTION("""COMPUTED_VALUE"""),"Starbark Beyaz Bardak Köpek Çiğneme Oyuncak - M/L Boy (Ödül Doldurulabilir)")</f>
        <v>Starbark Beyaz Bardak Köpek Çiğneme Oyuncak - M/L Boy (Ödül Doldurulabilir)</v>
      </c>
      <c r="D8" s="14">
        <f>IFERROR(__xludf.DUMMYFUNCTION("""COMPUTED_VALUE"""),1592.91)</f>
        <v>1592.91</v>
      </c>
      <c r="E8" s="14">
        <f t="array" ref="E8">IF($A8="","",IFERROR($D8*IF($D8&gt;=INDEX('Komisyon Tarifesi'!$I$2:$I$1000,MATCH($A8,'Komisyon Tarifesi'!$B$2:$B$1000,0)),INDEX('Komisyon Tarifesi'!$O$2:$O$1000,MATCH($A8,'Komisyon Tarifesi'!$B$2:$B$1000,0)),IF($D8&gt;=INDEX('Komisyon Tarifesi'!$K$2:$K$1000,MATCH($A8,'Komisyon Tarifesi'!$B$2:$B$1000,0)),INDEX('Komisyon Tarifesi'!$P$2:$P$1000,MATCH($A8,'Komisyon Tarifesi'!$B$2:$B$1000,0)),IF($D8&gt;=INDEX('Komisyon Tarifesi'!$M$2:$M$1000,MATCH($A8,'Komisyon Tarifesi'!$B$2:$B$1000,0)),INDEX('Komisyon Tarifesi'!$Q$2:$Q$1000,MATCH($A8,'Komisyon Tarifesi'!$B$2:$B$1000,0)),INDEX('Komisyon Tarifesi'!$R$2:$R$1000,MATCH($A8,'Komisyon Tarifesi'!$B$2:$B$1000,0)))))/100,IFERROR(IF(VLOOKUP($A8,Products!$A$2:$W$1000,21,0)&lt;&gt;"",$D8*VLOOKUP($A8,Products!$A$2:$W$1000,21,0)/100,""),"")))</f>
        <v>318.582</v>
      </c>
      <c r="F8" s="14">
        <f t="array" ref="F8">IF($A8="","",IFERROR(IF(INDEX('Maliyet Giris'!$G$2:$G$550,MATCH($A8,'Maliyet Giris'!$A$2:$A$550,0))="","",IF(INDEX('Maliyet Giris'!$G$2:$G$550,MATCH($A8,'Maliyet Giris'!$A$2:$A$550,0))&lt;=2,86.4,IF(INDEX('Maliyet Giris'!$G$2:$G$550,MATCH($A8,'Maliyet Giris'!$A$2:$A$550,0))&lt;=3,90,IF(INDEX('Maliyet Giris'!$G$2:$G$550,MATCH($A8,'Maliyet Giris'!$A$2:$A$550,0))&lt;=5,102,IF(INDEX('Maliyet Giris'!$G$2:$G$550,MATCH($A8,'Maliyet Giris'!$A$2:$A$550,0))&lt;=10,159.74,IF(INDEX('Maliyet Giris'!$G$2:$G$550,MATCH($A8,'Maliyet Giris'!$A$2:$A$550,0))&lt;=15,187.5,IF(INDEX('Maliyet Giris'!$G$2:$G$550,MATCH($A8,'Maliyet Giris'!$A$2:$A$550,0))&lt;=20,225,299))))))),""))</f>
        <v>86.4</v>
      </c>
      <c r="G8" s="14" t="str">
        <f t="array" ref="G8">IF($A8="","",IFERROR(INDEX('Maliyet Giris'!$F$2:$F$550,MATCH($A8,'Maliyet Giris'!$A$2:$A$550,0)),""))</f>
        <v/>
      </c>
      <c r="H8" s="14">
        <f t="shared" si="1"/>
        <v>13.19</v>
      </c>
      <c r="I8" s="14">
        <f t="shared" si="2"/>
        <v>13.27425</v>
      </c>
      <c r="J8" s="14" t="str">
        <f t="shared" si="3"/>
        <v/>
      </c>
      <c r="K8" s="14" t="str">
        <f t="shared" si="4"/>
        <v/>
      </c>
      <c r="L8" s="15" t="str">
        <f t="shared" si="5"/>
        <v/>
      </c>
      <c r="M8" s="17" t="str">
        <f t="shared" si="6"/>
        <v>EKSİK VERİ</v>
      </c>
      <c r="N8" s="17" t="str">
        <f t="shared" si="7"/>
        <v/>
      </c>
      <c r="O8" s="17">
        <f t="array" ref="O8">IF($A8="","",IFERROR(INDEX('Maliyet Giris'!$G$2:$G$550,MATCH($A8,'Maliyet Giris'!$A$2:$A$550,0)),""))</f>
        <v>1</v>
      </c>
      <c r="P8" s="17" t="str">
        <f t="shared" si="8"/>
        <v>Maliyet eksik</v>
      </c>
      <c r="Q8" s="17" t="str">
        <f t="shared" si="9"/>
        <v/>
      </c>
      <c r="R8" s="14" t="str">
        <f t="shared" si="10"/>
        <v/>
      </c>
      <c r="S8" s="14" t="str">
        <f t="shared" si="11"/>
        <v/>
      </c>
      <c r="T8" s="17" t="str">
        <f t="shared" si="12"/>
        <v>EKSİK VERİ</v>
      </c>
      <c r="U8" s="17" t="str">
        <f t="shared" si="13"/>
        <v>Maliyet/desi/komisyon tamamla</v>
      </c>
    </row>
    <row r="9">
      <c r="A9" s="2">
        <f>IFERROR(__xludf.DUMMYFUNCTION("""COMPUTED_VALUE"""),8.40134695921E11)</f>
        <v>840134695921</v>
      </c>
      <c r="B9" s="17" t="str">
        <f>IFERROR(__xludf.DUMMYFUNCTION("""COMPUTED_VALUE"""),"BARK")</f>
        <v>BARK</v>
      </c>
      <c r="C9" s="28" t="str">
        <f>IFERROR(__xludf.DUMMYFUNCTION("""COMPUTED_VALUE"""),"Flingray Sesli Vatos Köpek Oyuncağı")</f>
        <v>Flingray Sesli Vatos Köpek Oyuncağı</v>
      </c>
      <c r="D9" s="14">
        <f>IFERROR(__xludf.DUMMYFUNCTION("""COMPUTED_VALUE"""),2126.52)</f>
        <v>2126.52</v>
      </c>
      <c r="E9" s="14">
        <f t="array" ref="E9">IF($A9="","",IFERROR($D9*IF($D9&gt;=INDEX('Komisyon Tarifesi'!$I$2:$I$1000,MATCH($A9,'Komisyon Tarifesi'!$B$2:$B$1000,0)),INDEX('Komisyon Tarifesi'!$O$2:$O$1000,MATCH($A9,'Komisyon Tarifesi'!$B$2:$B$1000,0)),IF($D9&gt;=INDEX('Komisyon Tarifesi'!$K$2:$K$1000,MATCH($A9,'Komisyon Tarifesi'!$B$2:$B$1000,0)),INDEX('Komisyon Tarifesi'!$P$2:$P$1000,MATCH($A9,'Komisyon Tarifesi'!$B$2:$B$1000,0)),IF($D9&gt;=INDEX('Komisyon Tarifesi'!$M$2:$M$1000,MATCH($A9,'Komisyon Tarifesi'!$B$2:$B$1000,0)),INDEX('Komisyon Tarifesi'!$Q$2:$Q$1000,MATCH($A9,'Komisyon Tarifesi'!$B$2:$B$1000,0)),INDEX('Komisyon Tarifesi'!$R$2:$R$1000,MATCH($A9,'Komisyon Tarifesi'!$B$2:$B$1000,0)))))/100,IFERROR(IF(VLOOKUP($A9,Products!$A$2:$W$1000,21,0)&lt;&gt;"",$D9*VLOOKUP($A9,Products!$A$2:$W$1000,21,0)/100,""),"")))</f>
        <v>425.304</v>
      </c>
      <c r="F9" s="14">
        <f t="array" ref="F9">IF($A9="","",IFERROR(IF(INDEX('Maliyet Giris'!$G$2:$G$550,MATCH($A9,'Maliyet Giris'!$A$2:$A$550,0))="","",IF(INDEX('Maliyet Giris'!$G$2:$G$550,MATCH($A9,'Maliyet Giris'!$A$2:$A$550,0))&lt;=2,86.4,IF(INDEX('Maliyet Giris'!$G$2:$G$550,MATCH($A9,'Maliyet Giris'!$A$2:$A$550,0))&lt;=3,90,IF(INDEX('Maliyet Giris'!$G$2:$G$550,MATCH($A9,'Maliyet Giris'!$A$2:$A$550,0))&lt;=5,102,IF(INDEX('Maliyet Giris'!$G$2:$G$550,MATCH($A9,'Maliyet Giris'!$A$2:$A$550,0))&lt;=10,159.74,IF(INDEX('Maliyet Giris'!$G$2:$G$550,MATCH($A9,'Maliyet Giris'!$A$2:$A$550,0))&lt;=15,187.5,IF(INDEX('Maliyet Giris'!$G$2:$G$550,MATCH($A9,'Maliyet Giris'!$A$2:$A$550,0))&lt;=20,225,299))))))),""))</f>
        <v>86.4</v>
      </c>
      <c r="G9" s="14" t="str">
        <f t="array" ref="G9">IF($A9="","",IFERROR(INDEX('Maliyet Giris'!$F$2:$F$550,MATCH($A9,'Maliyet Giris'!$A$2:$A$550,0)),""))</f>
        <v/>
      </c>
      <c r="H9" s="14">
        <f t="shared" si="1"/>
        <v>13.19</v>
      </c>
      <c r="I9" s="14">
        <f t="shared" si="2"/>
        <v>17.721</v>
      </c>
      <c r="J9" s="14" t="str">
        <f t="shared" si="3"/>
        <v/>
      </c>
      <c r="K9" s="14" t="str">
        <f t="shared" si="4"/>
        <v/>
      </c>
      <c r="L9" s="15" t="str">
        <f t="shared" si="5"/>
        <v/>
      </c>
      <c r="M9" s="17" t="str">
        <f t="shared" si="6"/>
        <v>EKSİK VERİ</v>
      </c>
      <c r="N9" s="17" t="str">
        <f t="shared" si="7"/>
        <v/>
      </c>
      <c r="O9" s="17">
        <f t="array" ref="O9">IF($A9="","",IFERROR(INDEX('Maliyet Giris'!$G$2:$G$550,MATCH($A9,'Maliyet Giris'!$A$2:$A$550,0)),""))</f>
        <v>1</v>
      </c>
      <c r="P9" s="17" t="str">
        <f t="shared" si="8"/>
        <v>Maliyet eksik</v>
      </c>
      <c r="Q9" s="17" t="str">
        <f t="shared" si="9"/>
        <v/>
      </c>
      <c r="R9" s="14" t="str">
        <f t="shared" si="10"/>
        <v/>
      </c>
      <c r="S9" s="14" t="str">
        <f t="shared" si="11"/>
        <v/>
      </c>
      <c r="T9" s="17" t="str">
        <f t="shared" si="12"/>
        <v>EKSİK VERİ</v>
      </c>
      <c r="U9" s="17" t="str">
        <f t="shared" si="13"/>
        <v>Maliyet/desi/komisyon tamamla</v>
      </c>
    </row>
    <row r="10">
      <c r="A10" s="2">
        <f>IFERROR(__xludf.DUMMYFUNCTION("""COMPUTED_VALUE"""),8.40134695938E11)</f>
        <v>840134695938</v>
      </c>
      <c r="B10" s="17" t="str">
        <f>IFERROR(__xludf.DUMMYFUNCTION("""COMPUTED_VALUE"""),"BARK")</f>
        <v>BARK</v>
      </c>
      <c r="C10" s="28" t="str">
        <f>IFERROR(__xludf.DUMMYFUNCTION("""COMPUTED_VALUE"""),"Hambone Çiğneme Köpek Oyuncağı")</f>
        <v>Hambone Çiğneme Köpek Oyuncağı</v>
      </c>
      <c r="D10" s="14">
        <f>IFERROR(__xludf.DUMMYFUNCTION("""COMPUTED_VALUE"""),1914.66)</f>
        <v>1914.66</v>
      </c>
      <c r="E10" s="14">
        <f t="array" ref="E10">IF($A10="","",IFERROR($D10*IF($D10&gt;=INDEX('Komisyon Tarifesi'!$I$2:$I$1000,MATCH($A10,'Komisyon Tarifesi'!$B$2:$B$1000,0)),INDEX('Komisyon Tarifesi'!$O$2:$O$1000,MATCH($A10,'Komisyon Tarifesi'!$B$2:$B$1000,0)),IF($D10&gt;=INDEX('Komisyon Tarifesi'!$K$2:$K$1000,MATCH($A10,'Komisyon Tarifesi'!$B$2:$B$1000,0)),INDEX('Komisyon Tarifesi'!$P$2:$P$1000,MATCH($A10,'Komisyon Tarifesi'!$B$2:$B$1000,0)),IF($D10&gt;=INDEX('Komisyon Tarifesi'!$M$2:$M$1000,MATCH($A10,'Komisyon Tarifesi'!$B$2:$B$1000,0)),INDEX('Komisyon Tarifesi'!$Q$2:$Q$1000,MATCH($A10,'Komisyon Tarifesi'!$B$2:$B$1000,0)),INDEX('Komisyon Tarifesi'!$R$2:$R$1000,MATCH($A10,'Komisyon Tarifesi'!$B$2:$B$1000,0)))))/100,IFERROR(IF(VLOOKUP($A10,Products!$A$2:$W$1000,21,0)&lt;&gt;"",$D10*VLOOKUP($A10,Products!$A$2:$W$1000,21,0)/100,""),"")))</f>
        <v>382.932</v>
      </c>
      <c r="F10" s="14">
        <f t="array" ref="F10">IF($A10="","",IFERROR(IF(INDEX('Maliyet Giris'!$G$2:$G$550,MATCH($A10,'Maliyet Giris'!$A$2:$A$550,0))="","",IF(INDEX('Maliyet Giris'!$G$2:$G$550,MATCH($A10,'Maliyet Giris'!$A$2:$A$550,0))&lt;=2,86.4,IF(INDEX('Maliyet Giris'!$G$2:$G$550,MATCH($A10,'Maliyet Giris'!$A$2:$A$550,0))&lt;=3,90,IF(INDEX('Maliyet Giris'!$G$2:$G$550,MATCH($A10,'Maliyet Giris'!$A$2:$A$550,0))&lt;=5,102,IF(INDEX('Maliyet Giris'!$G$2:$G$550,MATCH($A10,'Maliyet Giris'!$A$2:$A$550,0))&lt;=10,159.74,IF(INDEX('Maliyet Giris'!$G$2:$G$550,MATCH($A10,'Maliyet Giris'!$A$2:$A$550,0))&lt;=15,187.5,IF(INDEX('Maliyet Giris'!$G$2:$G$550,MATCH($A10,'Maliyet Giris'!$A$2:$A$550,0))&lt;=20,225,299))))))),""))</f>
        <v>86.4</v>
      </c>
      <c r="G10" s="14" t="str">
        <f t="array" ref="G10">IF($A10="","",IFERROR(INDEX('Maliyet Giris'!$F$2:$F$550,MATCH($A10,'Maliyet Giris'!$A$2:$A$550,0)),""))</f>
        <v/>
      </c>
      <c r="H10" s="14">
        <f t="shared" si="1"/>
        <v>13.19</v>
      </c>
      <c r="I10" s="14">
        <f t="shared" si="2"/>
        <v>15.9555</v>
      </c>
      <c r="J10" s="14" t="str">
        <f t="shared" si="3"/>
        <v/>
      </c>
      <c r="K10" s="14" t="str">
        <f t="shared" si="4"/>
        <v/>
      </c>
      <c r="L10" s="15" t="str">
        <f t="shared" si="5"/>
        <v/>
      </c>
      <c r="M10" s="17" t="str">
        <f t="shared" si="6"/>
        <v>EKSİK VERİ</v>
      </c>
      <c r="N10" s="17" t="str">
        <f t="shared" si="7"/>
        <v/>
      </c>
      <c r="O10" s="17">
        <f t="array" ref="O10">IF($A10="","",IFERROR(INDEX('Maliyet Giris'!$G$2:$G$550,MATCH($A10,'Maliyet Giris'!$A$2:$A$550,0)),""))</f>
        <v>1</v>
      </c>
      <c r="P10" s="17" t="str">
        <f t="shared" si="8"/>
        <v>Maliyet eksik</v>
      </c>
      <c r="Q10" s="17" t="str">
        <f t="shared" si="9"/>
        <v/>
      </c>
      <c r="R10" s="14" t="str">
        <f t="shared" si="10"/>
        <v/>
      </c>
      <c r="S10" s="14" t="str">
        <f t="shared" si="11"/>
        <v/>
      </c>
      <c r="T10" s="17" t="str">
        <f t="shared" si="12"/>
        <v>EKSİK VERİ</v>
      </c>
      <c r="U10" s="17" t="str">
        <f t="shared" si="13"/>
        <v>Maliyet/desi/komisyon tamamla</v>
      </c>
    </row>
    <row r="11">
      <c r="A11" s="2">
        <f>IFERROR(__xludf.DUMMYFUNCTION("""COMPUTED_VALUE"""),8.40134695983E11)</f>
        <v>840134695983</v>
      </c>
      <c r="B11" s="17" t="str">
        <f>IFERROR(__xludf.DUMMYFUNCTION("""COMPUTED_VALUE"""),"BARK")</f>
        <v>BARK</v>
      </c>
      <c r="C11" s="28" t="str">
        <f>IFERROR(__xludf.DUMMYFUNCTION("""COMPUTED_VALUE"""),"Brtha Sesli Ejderha Köpek Oyuncağı")</f>
        <v>Brtha Sesli Ejderha Köpek Oyuncağı</v>
      </c>
      <c r="D11" s="14">
        <f>IFERROR(__xludf.DUMMYFUNCTION("""COMPUTED_VALUE"""),1286.01)</f>
        <v>1286.01</v>
      </c>
      <c r="E11" s="14">
        <f t="array" ref="E11">IF($A11="","",IFERROR($D11*IF($D11&gt;=INDEX('Komisyon Tarifesi'!$I$2:$I$1000,MATCH($A11,'Komisyon Tarifesi'!$B$2:$B$1000,0)),INDEX('Komisyon Tarifesi'!$O$2:$O$1000,MATCH($A11,'Komisyon Tarifesi'!$B$2:$B$1000,0)),IF($D11&gt;=INDEX('Komisyon Tarifesi'!$K$2:$K$1000,MATCH($A11,'Komisyon Tarifesi'!$B$2:$B$1000,0)),INDEX('Komisyon Tarifesi'!$P$2:$P$1000,MATCH($A11,'Komisyon Tarifesi'!$B$2:$B$1000,0)),IF($D11&gt;=INDEX('Komisyon Tarifesi'!$M$2:$M$1000,MATCH($A11,'Komisyon Tarifesi'!$B$2:$B$1000,0)),INDEX('Komisyon Tarifesi'!$Q$2:$Q$1000,MATCH($A11,'Komisyon Tarifesi'!$B$2:$B$1000,0)),INDEX('Komisyon Tarifesi'!$R$2:$R$1000,MATCH($A11,'Komisyon Tarifesi'!$B$2:$B$1000,0)))))/100,IFERROR(IF(VLOOKUP($A11,Products!$A$2:$W$1000,21,0)&lt;&gt;"",$D11*VLOOKUP($A11,Products!$A$2:$W$1000,21,0)/100,""),"")))</f>
        <v>257.202</v>
      </c>
      <c r="F11" s="14">
        <f t="array" ref="F11">IF($A11="","",IFERROR(IF(INDEX('Maliyet Giris'!$G$2:$G$550,MATCH($A11,'Maliyet Giris'!$A$2:$A$550,0))="","",IF(INDEX('Maliyet Giris'!$G$2:$G$550,MATCH($A11,'Maliyet Giris'!$A$2:$A$550,0))&lt;=2,86.4,IF(INDEX('Maliyet Giris'!$G$2:$G$550,MATCH($A11,'Maliyet Giris'!$A$2:$A$550,0))&lt;=3,90,IF(INDEX('Maliyet Giris'!$G$2:$G$550,MATCH($A11,'Maliyet Giris'!$A$2:$A$550,0))&lt;=5,102,IF(INDEX('Maliyet Giris'!$G$2:$G$550,MATCH($A11,'Maliyet Giris'!$A$2:$A$550,0))&lt;=10,159.74,IF(INDEX('Maliyet Giris'!$G$2:$G$550,MATCH($A11,'Maliyet Giris'!$A$2:$A$550,0))&lt;=15,187.5,IF(INDEX('Maliyet Giris'!$G$2:$G$550,MATCH($A11,'Maliyet Giris'!$A$2:$A$550,0))&lt;=20,225,299))))))),""))</f>
        <v>86.4</v>
      </c>
      <c r="G11" s="14" t="str">
        <f t="array" ref="G11">IF($A11="","",IFERROR(INDEX('Maliyet Giris'!$F$2:$F$550,MATCH($A11,'Maliyet Giris'!$A$2:$A$550,0)),""))</f>
        <v/>
      </c>
      <c r="H11" s="14">
        <f t="shared" si="1"/>
        <v>13.19</v>
      </c>
      <c r="I11" s="14">
        <f t="shared" si="2"/>
        <v>10.71675</v>
      </c>
      <c r="J11" s="14" t="str">
        <f t="shared" si="3"/>
        <v/>
      </c>
      <c r="K11" s="14" t="str">
        <f t="shared" si="4"/>
        <v/>
      </c>
      <c r="L11" s="15" t="str">
        <f t="shared" si="5"/>
        <v/>
      </c>
      <c r="M11" s="17" t="str">
        <f t="shared" si="6"/>
        <v>EKSİK VERİ</v>
      </c>
      <c r="N11" s="17" t="str">
        <f t="shared" si="7"/>
        <v/>
      </c>
      <c r="O11" s="17">
        <f t="array" ref="O11">IF($A11="","",IFERROR(INDEX('Maliyet Giris'!$G$2:$G$550,MATCH($A11,'Maliyet Giris'!$A$2:$A$550,0)),""))</f>
        <v>1</v>
      </c>
      <c r="P11" s="17" t="str">
        <f t="shared" si="8"/>
        <v>Maliyet eksik</v>
      </c>
      <c r="Q11" s="17" t="str">
        <f t="shared" si="9"/>
        <v/>
      </c>
      <c r="R11" s="14" t="str">
        <f t="shared" si="10"/>
        <v/>
      </c>
      <c r="S11" s="14" t="str">
        <f t="shared" si="11"/>
        <v/>
      </c>
      <c r="T11" s="17" t="str">
        <f t="shared" si="12"/>
        <v>EKSİK VERİ</v>
      </c>
      <c r="U11" s="17" t="str">
        <f t="shared" si="13"/>
        <v>Maliyet/desi/komisyon tamamla</v>
      </c>
    </row>
    <row r="12">
      <c r="A12" s="2">
        <f>IFERROR(__xludf.DUMMYFUNCTION("""COMPUTED_VALUE"""),8.4013469599E11)</f>
        <v>840134695990</v>
      </c>
      <c r="B12" s="17" t="str">
        <f>IFERROR(__xludf.DUMMYFUNCTION("""COMPUTED_VALUE"""),"BARK")</f>
        <v>BARK</v>
      </c>
      <c r="C12" s="28" t="str">
        <f>IFERROR(__xludf.DUMMYFUNCTION("""COMPUTED_VALUE"""),"Acornucopia Çiğneme Köpek Oyuncağı")</f>
        <v>Acornucopia Çiğneme Köpek Oyuncağı</v>
      </c>
      <c r="D12" s="14">
        <f>IFERROR(__xludf.DUMMYFUNCTION("""COMPUTED_VALUE"""),1583.01)</f>
        <v>1583.01</v>
      </c>
      <c r="E12" s="14">
        <f t="array" ref="E12">IF($A12="","",IFERROR($D12*IF($D12&gt;=INDEX('Komisyon Tarifesi'!$I$2:$I$1000,MATCH($A12,'Komisyon Tarifesi'!$B$2:$B$1000,0)),INDEX('Komisyon Tarifesi'!$O$2:$O$1000,MATCH($A12,'Komisyon Tarifesi'!$B$2:$B$1000,0)),IF($D12&gt;=INDEX('Komisyon Tarifesi'!$K$2:$K$1000,MATCH($A12,'Komisyon Tarifesi'!$B$2:$B$1000,0)),INDEX('Komisyon Tarifesi'!$P$2:$P$1000,MATCH($A12,'Komisyon Tarifesi'!$B$2:$B$1000,0)),IF($D12&gt;=INDEX('Komisyon Tarifesi'!$M$2:$M$1000,MATCH($A12,'Komisyon Tarifesi'!$B$2:$B$1000,0)),INDEX('Komisyon Tarifesi'!$Q$2:$Q$1000,MATCH($A12,'Komisyon Tarifesi'!$B$2:$B$1000,0)),INDEX('Komisyon Tarifesi'!$R$2:$R$1000,MATCH($A12,'Komisyon Tarifesi'!$B$2:$B$1000,0)))))/100,IFERROR(IF(VLOOKUP($A12,Products!$A$2:$W$1000,21,0)&lt;&gt;"",$D12*VLOOKUP($A12,Products!$A$2:$W$1000,21,0)/100,""),"")))</f>
        <v>316.602</v>
      </c>
      <c r="F12" s="14">
        <f t="array" ref="F12">IF($A12="","",IFERROR(IF(INDEX('Maliyet Giris'!$G$2:$G$550,MATCH($A12,'Maliyet Giris'!$A$2:$A$550,0))="","",IF(INDEX('Maliyet Giris'!$G$2:$G$550,MATCH($A12,'Maliyet Giris'!$A$2:$A$550,0))&lt;=2,86.4,IF(INDEX('Maliyet Giris'!$G$2:$G$550,MATCH($A12,'Maliyet Giris'!$A$2:$A$550,0))&lt;=3,90,IF(INDEX('Maliyet Giris'!$G$2:$G$550,MATCH($A12,'Maliyet Giris'!$A$2:$A$550,0))&lt;=5,102,IF(INDEX('Maliyet Giris'!$G$2:$G$550,MATCH($A12,'Maliyet Giris'!$A$2:$A$550,0))&lt;=10,159.74,IF(INDEX('Maliyet Giris'!$G$2:$G$550,MATCH($A12,'Maliyet Giris'!$A$2:$A$550,0))&lt;=15,187.5,IF(INDEX('Maliyet Giris'!$G$2:$G$550,MATCH($A12,'Maliyet Giris'!$A$2:$A$550,0))&lt;=20,225,299))))))),""))</f>
        <v>86.4</v>
      </c>
      <c r="G12" s="14" t="str">
        <f t="array" ref="G12">IF($A12="","",IFERROR(INDEX('Maliyet Giris'!$F$2:$F$550,MATCH($A12,'Maliyet Giris'!$A$2:$A$550,0)),""))</f>
        <v/>
      </c>
      <c r="H12" s="14">
        <f t="shared" si="1"/>
        <v>13.19</v>
      </c>
      <c r="I12" s="14">
        <f t="shared" si="2"/>
        <v>13.19175</v>
      </c>
      <c r="J12" s="14" t="str">
        <f t="shared" si="3"/>
        <v/>
      </c>
      <c r="K12" s="14" t="str">
        <f t="shared" si="4"/>
        <v/>
      </c>
      <c r="L12" s="15" t="str">
        <f t="shared" si="5"/>
        <v/>
      </c>
      <c r="M12" s="17" t="str">
        <f t="shared" si="6"/>
        <v>EKSİK VERİ</v>
      </c>
      <c r="N12" s="17" t="str">
        <f t="shared" si="7"/>
        <v/>
      </c>
      <c r="O12" s="17">
        <f t="array" ref="O12">IF($A12="","",IFERROR(INDEX('Maliyet Giris'!$G$2:$G$550,MATCH($A12,'Maliyet Giris'!$A$2:$A$550,0)),""))</f>
        <v>1</v>
      </c>
      <c r="P12" s="17" t="str">
        <f t="shared" si="8"/>
        <v>Maliyet eksik</v>
      </c>
      <c r="Q12" s="17" t="str">
        <f t="shared" si="9"/>
        <v/>
      </c>
      <c r="R12" s="14" t="str">
        <f t="shared" si="10"/>
        <v/>
      </c>
      <c r="S12" s="14" t="str">
        <f t="shared" si="11"/>
        <v/>
      </c>
      <c r="T12" s="17" t="str">
        <f t="shared" si="12"/>
        <v>EKSİK VERİ</v>
      </c>
      <c r="U12" s="17" t="str">
        <f t="shared" si="13"/>
        <v>Maliyet/desi/komisyon tamamla</v>
      </c>
    </row>
    <row r="13">
      <c r="A13" s="2">
        <f>IFERROR(__xludf.DUMMYFUNCTION("""COMPUTED_VALUE"""),8.40134696355E11)</f>
        <v>840134696355</v>
      </c>
      <c r="B13" s="17" t="str">
        <f>IFERROR(__xludf.DUMMYFUNCTION("""COMPUTED_VALUE"""),"BARK")</f>
        <v>BARK</v>
      </c>
      <c r="C13" s="28" t="str">
        <f>IFERROR(__xludf.DUMMYFUNCTION("""COMPUTED_VALUE"""),"Turnt Turp Köpek Oyuncağı")</f>
        <v>Turnt Turp Köpek Oyuncağı</v>
      </c>
      <c r="D13" s="14">
        <f>IFERROR(__xludf.DUMMYFUNCTION("""COMPUTED_VALUE"""),1999.0)</f>
        <v>1999</v>
      </c>
      <c r="E13" s="14">
        <f t="array" ref="E13">IF($A13="","",IFERROR($D13*IF($D13&gt;=INDEX('Komisyon Tarifesi'!$I$2:$I$1000,MATCH($A13,'Komisyon Tarifesi'!$B$2:$B$1000,0)),INDEX('Komisyon Tarifesi'!$O$2:$O$1000,MATCH($A13,'Komisyon Tarifesi'!$B$2:$B$1000,0)),IF($D13&gt;=INDEX('Komisyon Tarifesi'!$K$2:$K$1000,MATCH($A13,'Komisyon Tarifesi'!$B$2:$B$1000,0)),INDEX('Komisyon Tarifesi'!$P$2:$P$1000,MATCH($A13,'Komisyon Tarifesi'!$B$2:$B$1000,0)),IF($D13&gt;=INDEX('Komisyon Tarifesi'!$M$2:$M$1000,MATCH($A13,'Komisyon Tarifesi'!$B$2:$B$1000,0)),INDEX('Komisyon Tarifesi'!$Q$2:$Q$1000,MATCH($A13,'Komisyon Tarifesi'!$B$2:$B$1000,0)),INDEX('Komisyon Tarifesi'!$R$2:$R$1000,MATCH($A13,'Komisyon Tarifesi'!$B$2:$B$1000,0)))))/100,IFERROR(IF(VLOOKUP($A13,Products!$A$2:$W$1000,21,0)&lt;&gt;"",$D13*VLOOKUP($A13,Products!$A$2:$W$1000,21,0)/100,""),"")))</f>
        <v>399.8</v>
      </c>
      <c r="F13" s="14">
        <f t="array" ref="F13">IF($A13="","",IFERROR(IF(INDEX('Maliyet Giris'!$G$2:$G$550,MATCH($A13,'Maliyet Giris'!$A$2:$A$550,0))="","",IF(INDEX('Maliyet Giris'!$G$2:$G$550,MATCH($A13,'Maliyet Giris'!$A$2:$A$550,0))&lt;=2,86.4,IF(INDEX('Maliyet Giris'!$G$2:$G$550,MATCH($A13,'Maliyet Giris'!$A$2:$A$550,0))&lt;=3,90,IF(INDEX('Maliyet Giris'!$G$2:$G$550,MATCH($A13,'Maliyet Giris'!$A$2:$A$550,0))&lt;=5,102,IF(INDEX('Maliyet Giris'!$G$2:$G$550,MATCH($A13,'Maliyet Giris'!$A$2:$A$550,0))&lt;=10,159.74,IF(INDEX('Maliyet Giris'!$G$2:$G$550,MATCH($A13,'Maliyet Giris'!$A$2:$A$550,0))&lt;=15,187.5,IF(INDEX('Maliyet Giris'!$G$2:$G$550,MATCH($A13,'Maliyet Giris'!$A$2:$A$550,0))&lt;=20,225,299))))))),""))</f>
        <v>86.4</v>
      </c>
      <c r="G13" s="14" t="str">
        <f t="array" ref="G13">IF($A13="","",IFERROR(INDEX('Maliyet Giris'!$F$2:$F$550,MATCH($A13,'Maliyet Giris'!$A$2:$A$550,0)),""))</f>
        <v/>
      </c>
      <c r="H13" s="14">
        <f t="shared" si="1"/>
        <v>13.19</v>
      </c>
      <c r="I13" s="14">
        <f t="shared" si="2"/>
        <v>16.65833333</v>
      </c>
      <c r="J13" s="14" t="str">
        <f t="shared" si="3"/>
        <v/>
      </c>
      <c r="K13" s="14" t="str">
        <f t="shared" si="4"/>
        <v/>
      </c>
      <c r="L13" s="15" t="str">
        <f t="shared" si="5"/>
        <v/>
      </c>
      <c r="M13" s="17" t="str">
        <f t="shared" si="6"/>
        <v>EKSİK VERİ</v>
      </c>
      <c r="N13" s="17" t="str">
        <f t="shared" si="7"/>
        <v/>
      </c>
      <c r="O13" s="17">
        <f t="array" ref="O13">IF($A13="","",IFERROR(INDEX('Maliyet Giris'!$G$2:$G$550,MATCH($A13,'Maliyet Giris'!$A$2:$A$550,0)),""))</f>
        <v>1</v>
      </c>
      <c r="P13" s="17" t="str">
        <f t="shared" si="8"/>
        <v>Maliyet eksik</v>
      </c>
      <c r="Q13" s="17" t="str">
        <f t="shared" si="9"/>
        <v/>
      </c>
      <c r="R13" s="14" t="str">
        <f t="shared" si="10"/>
        <v/>
      </c>
      <c r="S13" s="14" t="str">
        <f t="shared" si="11"/>
        <v/>
      </c>
      <c r="T13" s="17" t="str">
        <f t="shared" si="12"/>
        <v>EKSİK VERİ</v>
      </c>
      <c r="U13" s="17" t="str">
        <f t="shared" si="13"/>
        <v>Maliyet/desi/komisyon tamamla</v>
      </c>
    </row>
    <row r="14">
      <c r="A14" s="2">
        <f>IFERROR(__xludf.DUMMYFUNCTION("""COMPUTED_VALUE"""),8.40134696461E11)</f>
        <v>840134696461</v>
      </c>
      <c r="B14" s="17" t="str">
        <f>IFERROR(__xludf.DUMMYFUNCTION("""COMPUTED_VALUE"""),"BARK")</f>
        <v>BARK</v>
      </c>
      <c r="C14" s="28" t="str">
        <f>IFERROR(__xludf.DUMMYFUNCTION("""COMPUTED_VALUE"""),"Fetch Dal Köpek Oyuncağı")</f>
        <v>Fetch Dal Köpek Oyuncağı</v>
      </c>
      <c r="D14" s="14">
        <f>IFERROR(__xludf.DUMMYFUNCTION("""COMPUTED_VALUE"""),1484.01)</f>
        <v>1484.01</v>
      </c>
      <c r="E14" s="14">
        <f t="array" ref="E14">IF($A14="","",IFERROR($D14*IF($D14&gt;=INDEX('Komisyon Tarifesi'!$I$2:$I$1000,MATCH($A14,'Komisyon Tarifesi'!$B$2:$B$1000,0)),INDEX('Komisyon Tarifesi'!$O$2:$O$1000,MATCH($A14,'Komisyon Tarifesi'!$B$2:$B$1000,0)),IF($D14&gt;=INDEX('Komisyon Tarifesi'!$K$2:$K$1000,MATCH($A14,'Komisyon Tarifesi'!$B$2:$B$1000,0)),INDEX('Komisyon Tarifesi'!$P$2:$P$1000,MATCH($A14,'Komisyon Tarifesi'!$B$2:$B$1000,0)),IF($D14&gt;=INDEX('Komisyon Tarifesi'!$M$2:$M$1000,MATCH($A14,'Komisyon Tarifesi'!$B$2:$B$1000,0)),INDEX('Komisyon Tarifesi'!$Q$2:$Q$1000,MATCH($A14,'Komisyon Tarifesi'!$B$2:$B$1000,0)),INDEX('Komisyon Tarifesi'!$R$2:$R$1000,MATCH($A14,'Komisyon Tarifesi'!$B$2:$B$1000,0)))))/100,IFERROR(IF(VLOOKUP($A14,Products!$A$2:$W$1000,21,0)&lt;&gt;"",$D14*VLOOKUP($A14,Products!$A$2:$W$1000,21,0)/100,""),"")))</f>
        <v>296.802</v>
      </c>
      <c r="F14" s="14">
        <f t="array" ref="F14">IF($A14="","",IFERROR(IF(INDEX('Maliyet Giris'!$G$2:$G$550,MATCH($A14,'Maliyet Giris'!$A$2:$A$550,0))="","",IF(INDEX('Maliyet Giris'!$G$2:$G$550,MATCH($A14,'Maliyet Giris'!$A$2:$A$550,0))&lt;=2,86.4,IF(INDEX('Maliyet Giris'!$G$2:$G$550,MATCH($A14,'Maliyet Giris'!$A$2:$A$550,0))&lt;=3,90,IF(INDEX('Maliyet Giris'!$G$2:$G$550,MATCH($A14,'Maliyet Giris'!$A$2:$A$550,0))&lt;=5,102,IF(INDEX('Maliyet Giris'!$G$2:$G$550,MATCH($A14,'Maliyet Giris'!$A$2:$A$550,0))&lt;=10,159.74,IF(INDEX('Maliyet Giris'!$G$2:$G$550,MATCH($A14,'Maliyet Giris'!$A$2:$A$550,0))&lt;=15,187.5,IF(INDEX('Maliyet Giris'!$G$2:$G$550,MATCH($A14,'Maliyet Giris'!$A$2:$A$550,0))&lt;=20,225,299))))))),""))</f>
        <v>86.4</v>
      </c>
      <c r="G14" s="14" t="str">
        <f t="array" ref="G14">IF($A14="","",IFERROR(INDEX('Maliyet Giris'!$F$2:$F$550,MATCH($A14,'Maliyet Giris'!$A$2:$A$550,0)),""))</f>
        <v/>
      </c>
      <c r="H14" s="14">
        <f t="shared" si="1"/>
        <v>13.19</v>
      </c>
      <c r="I14" s="14">
        <f t="shared" si="2"/>
        <v>12.36675</v>
      </c>
      <c r="J14" s="14" t="str">
        <f t="shared" si="3"/>
        <v/>
      </c>
      <c r="K14" s="14" t="str">
        <f t="shared" si="4"/>
        <v/>
      </c>
      <c r="L14" s="15" t="str">
        <f t="shared" si="5"/>
        <v/>
      </c>
      <c r="M14" s="17" t="str">
        <f t="shared" si="6"/>
        <v>EKSİK VERİ</v>
      </c>
      <c r="N14" s="17" t="str">
        <f t="shared" si="7"/>
        <v/>
      </c>
      <c r="O14" s="17">
        <f t="array" ref="O14">IF($A14="","",IFERROR(INDEX('Maliyet Giris'!$G$2:$G$550,MATCH($A14,'Maliyet Giris'!$A$2:$A$550,0)),""))</f>
        <v>1</v>
      </c>
      <c r="P14" s="17" t="str">
        <f t="shared" si="8"/>
        <v>Maliyet eksik</v>
      </c>
      <c r="Q14" s="17" t="str">
        <f t="shared" si="9"/>
        <v/>
      </c>
      <c r="R14" s="14" t="str">
        <f t="shared" si="10"/>
        <v/>
      </c>
      <c r="S14" s="14" t="str">
        <f t="shared" si="11"/>
        <v/>
      </c>
      <c r="T14" s="17" t="str">
        <f t="shared" si="12"/>
        <v>EKSİK VERİ</v>
      </c>
      <c r="U14" s="17" t="str">
        <f t="shared" si="13"/>
        <v>Maliyet/desi/komisyon tamamla</v>
      </c>
    </row>
    <row r="15">
      <c r="A15" s="2">
        <f>IFERROR(__xludf.DUMMYFUNCTION("""COMPUTED_VALUE"""),8.40134696485E11)</f>
        <v>840134696485</v>
      </c>
      <c r="B15" s="17" t="str">
        <f>IFERROR(__xludf.DUMMYFUNCTION("""COMPUTED_VALUE"""),"BARK")</f>
        <v>BARK</v>
      </c>
      <c r="C15" s="28" t="str">
        <f>IFERROR(__xludf.DUMMYFUNCTION("""COMPUTED_VALUE"""),"Beaver Kunduz Köpek Oyuncağı")</f>
        <v>Beaver Kunduz Köpek Oyuncağı</v>
      </c>
      <c r="D15" s="14">
        <f>IFERROR(__xludf.DUMMYFUNCTION("""COMPUTED_VALUE"""),1557.27)</f>
        <v>1557.27</v>
      </c>
      <c r="E15" s="14">
        <f t="array" ref="E15">IF($A15="","",IFERROR($D15*IF($D15&gt;=INDEX('Komisyon Tarifesi'!$I$2:$I$1000,MATCH($A15,'Komisyon Tarifesi'!$B$2:$B$1000,0)),INDEX('Komisyon Tarifesi'!$O$2:$O$1000,MATCH($A15,'Komisyon Tarifesi'!$B$2:$B$1000,0)),IF($D15&gt;=INDEX('Komisyon Tarifesi'!$K$2:$K$1000,MATCH($A15,'Komisyon Tarifesi'!$B$2:$B$1000,0)),INDEX('Komisyon Tarifesi'!$P$2:$P$1000,MATCH($A15,'Komisyon Tarifesi'!$B$2:$B$1000,0)),IF($D15&gt;=INDEX('Komisyon Tarifesi'!$M$2:$M$1000,MATCH($A15,'Komisyon Tarifesi'!$B$2:$B$1000,0)),INDEX('Komisyon Tarifesi'!$Q$2:$Q$1000,MATCH($A15,'Komisyon Tarifesi'!$B$2:$B$1000,0)),INDEX('Komisyon Tarifesi'!$R$2:$R$1000,MATCH($A15,'Komisyon Tarifesi'!$B$2:$B$1000,0)))))/100,IFERROR(IF(VLOOKUP($A15,Products!$A$2:$W$1000,21,0)&lt;&gt;"",$D15*VLOOKUP($A15,Products!$A$2:$W$1000,21,0)/100,""),"")))</f>
        <v>311.454</v>
      </c>
      <c r="F15" s="14">
        <f t="array" ref="F15">IF($A15="","",IFERROR(IF(INDEX('Maliyet Giris'!$G$2:$G$550,MATCH($A15,'Maliyet Giris'!$A$2:$A$550,0))="","",IF(INDEX('Maliyet Giris'!$G$2:$G$550,MATCH($A15,'Maliyet Giris'!$A$2:$A$550,0))&lt;=2,86.4,IF(INDEX('Maliyet Giris'!$G$2:$G$550,MATCH($A15,'Maliyet Giris'!$A$2:$A$550,0))&lt;=3,90,IF(INDEX('Maliyet Giris'!$G$2:$G$550,MATCH($A15,'Maliyet Giris'!$A$2:$A$550,0))&lt;=5,102,IF(INDEX('Maliyet Giris'!$G$2:$G$550,MATCH($A15,'Maliyet Giris'!$A$2:$A$550,0))&lt;=10,159.74,IF(INDEX('Maliyet Giris'!$G$2:$G$550,MATCH($A15,'Maliyet Giris'!$A$2:$A$550,0))&lt;=15,187.5,IF(INDEX('Maliyet Giris'!$G$2:$G$550,MATCH($A15,'Maliyet Giris'!$A$2:$A$550,0))&lt;=20,225,299))))))),""))</f>
        <v>86.4</v>
      </c>
      <c r="G15" s="14" t="str">
        <f t="array" ref="G15">IF($A15="","",IFERROR(INDEX('Maliyet Giris'!$F$2:$F$550,MATCH($A15,'Maliyet Giris'!$A$2:$A$550,0)),""))</f>
        <v/>
      </c>
      <c r="H15" s="14">
        <f t="shared" si="1"/>
        <v>13.19</v>
      </c>
      <c r="I15" s="14">
        <f t="shared" si="2"/>
        <v>12.97725</v>
      </c>
      <c r="J15" s="14" t="str">
        <f t="shared" si="3"/>
        <v/>
      </c>
      <c r="K15" s="14" t="str">
        <f t="shared" si="4"/>
        <v/>
      </c>
      <c r="L15" s="15" t="str">
        <f t="shared" si="5"/>
        <v/>
      </c>
      <c r="M15" s="17" t="str">
        <f t="shared" si="6"/>
        <v>EKSİK VERİ</v>
      </c>
      <c r="N15" s="17" t="str">
        <f t="shared" si="7"/>
        <v/>
      </c>
      <c r="O15" s="17">
        <f t="array" ref="O15">IF($A15="","",IFERROR(INDEX('Maliyet Giris'!$G$2:$G$550,MATCH($A15,'Maliyet Giris'!$A$2:$A$550,0)),""))</f>
        <v>1</v>
      </c>
      <c r="P15" s="17" t="str">
        <f t="shared" si="8"/>
        <v>Maliyet eksik</v>
      </c>
      <c r="Q15" s="17" t="str">
        <f t="shared" si="9"/>
        <v/>
      </c>
      <c r="R15" s="14" t="str">
        <f t="shared" si="10"/>
        <v/>
      </c>
      <c r="S15" s="14" t="str">
        <f t="shared" si="11"/>
        <v/>
      </c>
      <c r="T15" s="17" t="str">
        <f t="shared" si="12"/>
        <v>EKSİK VERİ</v>
      </c>
      <c r="U15" s="17" t="str">
        <f t="shared" si="13"/>
        <v>Maliyet/desi/komisyon tamamla</v>
      </c>
    </row>
    <row r="16">
      <c r="A16" s="2">
        <f>IFERROR(__xludf.DUMMYFUNCTION("""COMPUTED_VALUE"""),2.10420241807E11)</f>
        <v>210420241807</v>
      </c>
      <c r="B16" s="17" t="str">
        <f>IFERROR(__xludf.DUMMYFUNCTION("""COMPUTED_VALUE"""),"N&amp;D")</f>
        <v>N&amp;D</v>
      </c>
      <c r="C16" s="28" t="str">
        <f>IFERROR(__xludf.DUMMYFUNCTION("""COMPUTED_VALUE"""),"ND KEDİ MAMASI TROPICAL SELECTİON KISIRLAŞTIRILMIŞ KUZULU 10 KG 1 ADET")</f>
        <v>ND KEDİ MAMASI TROPICAL SELECTİON KISIRLAŞTIRILMIŞ KUZULU 10 KG 1 ADET</v>
      </c>
      <c r="D16" s="14">
        <f>IFERROR(__xludf.DUMMYFUNCTION("""COMPUTED_VALUE"""),3899.0)</f>
        <v>3899</v>
      </c>
      <c r="E16" s="14">
        <f t="array" ref="E16">IF($A16="","",IFERROR($D16*IF($D16&gt;=INDEX('Komisyon Tarifesi'!$I$2:$I$1000,MATCH($A16,'Komisyon Tarifesi'!$B$2:$B$1000,0)),INDEX('Komisyon Tarifesi'!$O$2:$O$1000,MATCH($A16,'Komisyon Tarifesi'!$B$2:$B$1000,0)),IF($D16&gt;=INDEX('Komisyon Tarifesi'!$K$2:$K$1000,MATCH($A16,'Komisyon Tarifesi'!$B$2:$B$1000,0)),INDEX('Komisyon Tarifesi'!$P$2:$P$1000,MATCH($A16,'Komisyon Tarifesi'!$B$2:$B$1000,0)),IF($D16&gt;=INDEX('Komisyon Tarifesi'!$M$2:$M$1000,MATCH($A16,'Komisyon Tarifesi'!$B$2:$B$1000,0)),INDEX('Komisyon Tarifesi'!$Q$2:$Q$1000,MATCH($A16,'Komisyon Tarifesi'!$B$2:$B$1000,0)),INDEX('Komisyon Tarifesi'!$R$2:$R$1000,MATCH($A16,'Komisyon Tarifesi'!$B$2:$B$1000,0)))))/100,IFERROR(IF(VLOOKUP($A16,Products!$A$2:$W$1000,21,0)&lt;&gt;"",$D16*VLOOKUP($A16,Products!$A$2:$W$1000,21,0)/100,""),"")))</f>
        <v>643.335</v>
      </c>
      <c r="F16" s="14">
        <f t="array" ref="F16">IF($A16="","",IFERROR(IF(INDEX('Maliyet Giris'!$G$2:$G$550,MATCH($A16,'Maliyet Giris'!$A$2:$A$550,0))="","",IF(INDEX('Maliyet Giris'!$G$2:$G$550,MATCH($A16,'Maliyet Giris'!$A$2:$A$550,0))&lt;=2,86.4,IF(INDEX('Maliyet Giris'!$G$2:$G$550,MATCH($A16,'Maliyet Giris'!$A$2:$A$550,0))&lt;=3,90,IF(INDEX('Maliyet Giris'!$G$2:$G$550,MATCH($A16,'Maliyet Giris'!$A$2:$A$550,0))&lt;=5,102,IF(INDEX('Maliyet Giris'!$G$2:$G$550,MATCH($A16,'Maliyet Giris'!$A$2:$A$550,0))&lt;=10,159.74,IF(INDEX('Maliyet Giris'!$G$2:$G$550,MATCH($A16,'Maliyet Giris'!$A$2:$A$550,0))&lt;=15,187.5,IF(INDEX('Maliyet Giris'!$G$2:$G$550,MATCH($A16,'Maliyet Giris'!$A$2:$A$550,0))&lt;=20,225,299))))))),""))</f>
        <v>159.74</v>
      </c>
      <c r="G16" s="14">
        <f t="array" ref="G16">IF($A16="","",IFERROR(INDEX('Maliyet Giris'!$F$2:$F$550,MATCH($A16,'Maliyet Giris'!$A$2:$A$550,0)),""))</f>
        <v>2944</v>
      </c>
      <c r="H16" s="14">
        <f t="shared" si="1"/>
        <v>13.19</v>
      </c>
      <c r="I16" s="14">
        <f t="shared" si="2"/>
        <v>32.49166667</v>
      </c>
      <c r="J16" s="14">
        <f t="shared" si="3"/>
        <v>23.1225</v>
      </c>
      <c r="K16" s="14">
        <f t="shared" si="4"/>
        <v>83.12083333</v>
      </c>
      <c r="L16" s="15">
        <f t="shared" si="5"/>
        <v>0.02131850047</v>
      </c>
      <c r="M16" s="17" t="str">
        <f t="shared" si="6"/>
        <v>KÂRLI</v>
      </c>
      <c r="N16" s="17" t="str">
        <f t="shared" si="7"/>
        <v/>
      </c>
      <c r="O16" s="17">
        <f t="array" ref="O16">IF($A16="","",IFERROR(INDEX('Maliyet Giris'!$G$2:$G$550,MATCH($A16,'Maliyet Giris'!$A$2:$A$550,0)),""))</f>
        <v>10</v>
      </c>
      <c r="P16" s="17" t="str">
        <f t="shared" si="8"/>
        <v/>
      </c>
      <c r="Q16" s="17" t="str">
        <f t="shared" si="9"/>
        <v/>
      </c>
      <c r="R16" s="14">
        <f t="shared" si="10"/>
        <v>3797.722526</v>
      </c>
      <c r="S16" s="14">
        <f t="shared" si="11"/>
        <v>101.277474</v>
      </c>
      <c r="T16" s="17" t="str">
        <f t="shared" si="12"/>
        <v>RİSKLİ</v>
      </c>
      <c r="U16" s="17" t="str">
        <f t="shared" si="13"/>
        <v>Minimum fiyat altına düşme</v>
      </c>
    </row>
    <row r="17">
      <c r="A17" s="2">
        <f>IFERROR(__xludf.DUMMYFUNCTION("""COMPUTED_VALUE"""),8.010276042149E12)</f>
        <v>8010276042149</v>
      </c>
      <c r="B17" s="17" t="str">
        <f>IFERROR(__xludf.DUMMYFUNCTION("""COMPUTED_VALUE"""),"N&amp;D")</f>
        <v>N&amp;D</v>
      </c>
      <c r="C17" s="28" t="str">
        <f>IFERROR(__xludf.DUMMYFUNCTION("""COMPUTED_VALUE"""),"Tropical Kuzu Etli Kısırlaştırılmış Kedi Maması 10 KG")</f>
        <v>Tropical Kuzu Etli Kısırlaştırılmış Kedi Maması 10 KG</v>
      </c>
      <c r="D17" s="14">
        <f>IFERROR(__xludf.DUMMYFUNCTION("""COMPUTED_VALUE"""),3872.0)</f>
        <v>3872</v>
      </c>
      <c r="E17" s="14">
        <f t="array" ref="E17">IF($A17="","",IFERROR($D17*IF($D17&gt;=INDEX('Komisyon Tarifesi'!$I$2:$I$1000,MATCH($A17,'Komisyon Tarifesi'!$B$2:$B$1000,0)),INDEX('Komisyon Tarifesi'!$O$2:$O$1000,MATCH($A17,'Komisyon Tarifesi'!$B$2:$B$1000,0)),IF($D17&gt;=INDEX('Komisyon Tarifesi'!$K$2:$K$1000,MATCH($A17,'Komisyon Tarifesi'!$B$2:$B$1000,0)),INDEX('Komisyon Tarifesi'!$P$2:$P$1000,MATCH($A17,'Komisyon Tarifesi'!$B$2:$B$1000,0)),IF($D17&gt;=INDEX('Komisyon Tarifesi'!$M$2:$M$1000,MATCH($A17,'Komisyon Tarifesi'!$B$2:$B$1000,0)),INDEX('Komisyon Tarifesi'!$Q$2:$Q$1000,MATCH($A17,'Komisyon Tarifesi'!$B$2:$B$1000,0)),INDEX('Komisyon Tarifesi'!$R$2:$R$1000,MATCH($A17,'Komisyon Tarifesi'!$B$2:$B$1000,0)))))/100,IFERROR(IF(VLOOKUP($A17,Products!$A$2:$W$1000,21,0)&lt;&gt;"",$D17*VLOOKUP($A17,Products!$A$2:$W$1000,21,0)/100,""),"")))</f>
        <v>638.88</v>
      </c>
      <c r="F17" s="14">
        <f t="array" ref="F17">IF($A17="","",IFERROR(IF(INDEX('Maliyet Giris'!$G$2:$G$550,MATCH($A17,'Maliyet Giris'!$A$2:$A$550,0))="","",IF(INDEX('Maliyet Giris'!$G$2:$G$550,MATCH($A17,'Maliyet Giris'!$A$2:$A$550,0))&lt;=2,86.4,IF(INDEX('Maliyet Giris'!$G$2:$G$550,MATCH($A17,'Maliyet Giris'!$A$2:$A$550,0))&lt;=3,90,IF(INDEX('Maliyet Giris'!$G$2:$G$550,MATCH($A17,'Maliyet Giris'!$A$2:$A$550,0))&lt;=5,102,IF(INDEX('Maliyet Giris'!$G$2:$G$550,MATCH($A17,'Maliyet Giris'!$A$2:$A$550,0))&lt;=10,159.74,IF(INDEX('Maliyet Giris'!$G$2:$G$550,MATCH($A17,'Maliyet Giris'!$A$2:$A$550,0))&lt;=15,187.5,IF(INDEX('Maliyet Giris'!$G$2:$G$550,MATCH($A17,'Maliyet Giris'!$A$2:$A$550,0))&lt;=20,225,299))))))),""))</f>
        <v>159.74</v>
      </c>
      <c r="G17" s="14">
        <f t="array" ref="G17">IF($A17="","",IFERROR(INDEX('Maliyet Giris'!$F$2:$F$550,MATCH($A17,'Maliyet Giris'!$A$2:$A$550,0)),""))</f>
        <v>2944</v>
      </c>
      <c r="H17" s="14">
        <f t="shared" si="1"/>
        <v>13.19</v>
      </c>
      <c r="I17" s="14">
        <f t="shared" si="2"/>
        <v>32.26666667</v>
      </c>
      <c r="J17" s="14">
        <f t="shared" si="3"/>
        <v>19.365</v>
      </c>
      <c r="K17" s="14">
        <f t="shared" si="4"/>
        <v>64.55833333</v>
      </c>
      <c r="L17" s="15">
        <f t="shared" si="5"/>
        <v>0.01667312328</v>
      </c>
      <c r="M17" s="17" t="str">
        <f t="shared" si="6"/>
        <v>KÂRLI</v>
      </c>
      <c r="N17" s="17" t="str">
        <f t="shared" si="7"/>
        <v/>
      </c>
      <c r="O17" s="17">
        <f t="array" ref="O17">IF($A17="","",IFERROR(INDEX('Maliyet Giris'!$G$2:$G$550,MATCH($A17,'Maliyet Giris'!$A$2:$A$550,0)),""))</f>
        <v>10</v>
      </c>
      <c r="P17" s="17" t="str">
        <f t="shared" si="8"/>
        <v/>
      </c>
      <c r="Q17" s="17" t="str">
        <f t="shared" si="9"/>
        <v/>
      </c>
      <c r="R17" s="14">
        <f t="shared" si="10"/>
        <v>3793.428358</v>
      </c>
      <c r="S17" s="14">
        <f t="shared" si="11"/>
        <v>78.57164211</v>
      </c>
      <c r="T17" s="17" t="str">
        <f t="shared" si="12"/>
        <v>RİSKLİ</v>
      </c>
      <c r="U17" s="17" t="str">
        <f t="shared" si="13"/>
        <v>Minimum fiyat altına düşme</v>
      </c>
    </row>
    <row r="18">
      <c r="A18" s="2">
        <f>IFERROR(__xludf.DUMMYFUNCTION("""COMPUTED_VALUE"""),5.060412212489E12)</f>
        <v>5060412212489</v>
      </c>
      <c r="B18" s="17" t="str">
        <f>IFERROR(__xludf.DUMMYFUNCTION("""COMPUTED_VALUE"""),"Ever Clean")</f>
        <v>Ever Clean</v>
      </c>
      <c r="C18" s="28" t="str">
        <f>IFERROR(__xludf.DUMMYFUNCTION("""COMPUTED_VALUE"""),"Fast Acting 10 lt.")</f>
        <v>Fast Acting 10 lt.</v>
      </c>
      <c r="D18" s="14">
        <f>IFERROR(__xludf.DUMMYFUNCTION("""COMPUTED_VALUE"""),1169.1)</f>
        <v>1169.1</v>
      </c>
      <c r="E18" s="14">
        <f t="array" ref="E18">IF($A18="","",IFERROR($D18*IF($D18&gt;=INDEX('Komisyon Tarifesi'!$I$2:$I$1000,MATCH($A18,'Komisyon Tarifesi'!$B$2:$B$1000,0)),INDEX('Komisyon Tarifesi'!$O$2:$O$1000,MATCH($A18,'Komisyon Tarifesi'!$B$2:$B$1000,0)),IF($D18&gt;=INDEX('Komisyon Tarifesi'!$K$2:$K$1000,MATCH($A18,'Komisyon Tarifesi'!$B$2:$B$1000,0)),INDEX('Komisyon Tarifesi'!$P$2:$P$1000,MATCH($A18,'Komisyon Tarifesi'!$B$2:$B$1000,0)),IF($D18&gt;=INDEX('Komisyon Tarifesi'!$M$2:$M$1000,MATCH($A18,'Komisyon Tarifesi'!$B$2:$B$1000,0)),INDEX('Komisyon Tarifesi'!$Q$2:$Q$1000,MATCH($A18,'Komisyon Tarifesi'!$B$2:$B$1000,0)),INDEX('Komisyon Tarifesi'!$R$2:$R$1000,MATCH($A18,'Komisyon Tarifesi'!$B$2:$B$1000,0)))))/100,IFERROR(IF(VLOOKUP($A18,Products!$A$2:$W$1000,21,0)&lt;&gt;"",$D18*VLOOKUP($A18,Products!$A$2:$W$1000,21,0)/100,""),"")))</f>
        <v>169.5195</v>
      </c>
      <c r="F18" s="14">
        <f t="array" ref="F18">IF($A18="","",IFERROR(IF(INDEX('Maliyet Giris'!$G$2:$G$550,MATCH($A18,'Maliyet Giris'!$A$2:$A$550,0))="","",IF(INDEX('Maliyet Giris'!$G$2:$G$550,MATCH($A18,'Maliyet Giris'!$A$2:$A$550,0))&lt;=2,86.4,IF(INDEX('Maliyet Giris'!$G$2:$G$550,MATCH($A18,'Maliyet Giris'!$A$2:$A$550,0))&lt;=3,90,IF(INDEX('Maliyet Giris'!$G$2:$G$550,MATCH($A18,'Maliyet Giris'!$A$2:$A$550,0))&lt;=5,102,IF(INDEX('Maliyet Giris'!$G$2:$G$550,MATCH($A18,'Maliyet Giris'!$A$2:$A$550,0))&lt;=10,159.74,IF(INDEX('Maliyet Giris'!$G$2:$G$550,MATCH($A18,'Maliyet Giris'!$A$2:$A$550,0))&lt;=15,187.5,IF(INDEX('Maliyet Giris'!$G$2:$G$550,MATCH($A18,'Maliyet Giris'!$A$2:$A$550,0))&lt;=20,225,299))))))),""))</f>
        <v>86.4</v>
      </c>
      <c r="G18" s="14" t="str">
        <f t="array" ref="G18">IF($A18="","",IFERROR(INDEX('Maliyet Giris'!$F$2:$F$550,MATCH($A18,'Maliyet Giris'!$A$2:$A$550,0)),""))</f>
        <v/>
      </c>
      <c r="H18" s="14">
        <f t="shared" si="1"/>
        <v>13.19</v>
      </c>
      <c r="I18" s="14">
        <f t="shared" si="2"/>
        <v>9.7425</v>
      </c>
      <c r="J18" s="14" t="str">
        <f t="shared" si="3"/>
        <v/>
      </c>
      <c r="K18" s="14" t="str">
        <f t="shared" si="4"/>
        <v/>
      </c>
      <c r="L18" s="15" t="str">
        <f t="shared" si="5"/>
        <v/>
      </c>
      <c r="M18" s="17" t="str">
        <f t="shared" si="6"/>
        <v>EKSİK VERİ</v>
      </c>
      <c r="N18" s="17" t="str">
        <f t="shared" si="7"/>
        <v/>
      </c>
      <c r="O18" s="17">
        <f t="array" ref="O18">IF($A18="","",IFERROR(INDEX('Maliyet Giris'!$G$2:$G$550,MATCH($A18,'Maliyet Giris'!$A$2:$A$550,0)),""))</f>
        <v>2</v>
      </c>
      <c r="P18" s="17" t="str">
        <f t="shared" si="8"/>
        <v>Maliyet eksik</v>
      </c>
      <c r="Q18" s="17" t="str">
        <f t="shared" si="9"/>
        <v/>
      </c>
      <c r="R18" s="14" t="str">
        <f t="shared" si="10"/>
        <v/>
      </c>
      <c r="S18" s="14" t="str">
        <f t="shared" si="11"/>
        <v/>
      </c>
      <c r="T18" s="17" t="str">
        <f t="shared" si="12"/>
        <v>EKSİK VERİ</v>
      </c>
      <c r="U18" s="17" t="str">
        <f t="shared" si="13"/>
        <v>Maliyet/desi/komisyon tamamla</v>
      </c>
    </row>
    <row r="19">
      <c r="A19" s="2">
        <f>IFERROR(__xludf.DUMMYFUNCTION("""COMPUTED_VALUE"""),5.060255492253E12)</f>
        <v>5060255492253</v>
      </c>
      <c r="B19" s="17" t="str">
        <f>IFERROR(__xludf.DUMMYFUNCTION("""COMPUTED_VALUE"""),"Ever Clean")</f>
        <v>Ever Clean</v>
      </c>
      <c r="C19" s="28" t="str">
        <f>IFERROR(__xludf.DUMMYFUNCTION("""COMPUTED_VALUE"""),"Multiple Cat Kedi Kumu 10 Lt")</f>
        <v>Multiple Cat Kedi Kumu 10 Lt</v>
      </c>
      <c r="D19" s="14">
        <f>IFERROR(__xludf.DUMMYFUNCTION("""COMPUTED_VALUE"""),1124.1)</f>
        <v>1124.1</v>
      </c>
      <c r="E19" s="14">
        <f t="array" ref="E19">IF($A19="","",IFERROR($D19*IF($D19&gt;=INDEX('Komisyon Tarifesi'!$I$2:$I$1000,MATCH($A19,'Komisyon Tarifesi'!$B$2:$B$1000,0)),INDEX('Komisyon Tarifesi'!$O$2:$O$1000,MATCH($A19,'Komisyon Tarifesi'!$B$2:$B$1000,0)),IF($D19&gt;=INDEX('Komisyon Tarifesi'!$K$2:$K$1000,MATCH($A19,'Komisyon Tarifesi'!$B$2:$B$1000,0)),INDEX('Komisyon Tarifesi'!$P$2:$P$1000,MATCH($A19,'Komisyon Tarifesi'!$B$2:$B$1000,0)),IF($D19&gt;=INDEX('Komisyon Tarifesi'!$M$2:$M$1000,MATCH($A19,'Komisyon Tarifesi'!$B$2:$B$1000,0)),INDEX('Komisyon Tarifesi'!$Q$2:$Q$1000,MATCH($A19,'Komisyon Tarifesi'!$B$2:$B$1000,0)),INDEX('Komisyon Tarifesi'!$R$2:$R$1000,MATCH($A19,'Komisyon Tarifesi'!$B$2:$B$1000,0)))))/100,IFERROR(IF(VLOOKUP($A19,Products!$A$2:$W$1000,21,0)&lt;&gt;"",$D19*VLOOKUP($A19,Products!$A$2:$W$1000,21,0)/100,""),"")))</f>
        <v>149.5053</v>
      </c>
      <c r="F19" s="14">
        <f t="array" ref="F19">IF($A19="","",IFERROR(IF(INDEX('Maliyet Giris'!$G$2:$G$550,MATCH($A19,'Maliyet Giris'!$A$2:$A$550,0))="","",IF(INDEX('Maliyet Giris'!$G$2:$G$550,MATCH($A19,'Maliyet Giris'!$A$2:$A$550,0))&lt;=2,86.4,IF(INDEX('Maliyet Giris'!$G$2:$G$550,MATCH($A19,'Maliyet Giris'!$A$2:$A$550,0))&lt;=3,90,IF(INDEX('Maliyet Giris'!$G$2:$G$550,MATCH($A19,'Maliyet Giris'!$A$2:$A$550,0))&lt;=5,102,IF(INDEX('Maliyet Giris'!$G$2:$G$550,MATCH($A19,'Maliyet Giris'!$A$2:$A$550,0))&lt;=10,159.74,IF(INDEX('Maliyet Giris'!$G$2:$G$550,MATCH($A19,'Maliyet Giris'!$A$2:$A$550,0))&lt;=15,187.5,IF(INDEX('Maliyet Giris'!$G$2:$G$550,MATCH($A19,'Maliyet Giris'!$A$2:$A$550,0))&lt;=20,225,299))))))),""))</f>
        <v>86.4</v>
      </c>
      <c r="G19" s="14" t="str">
        <f t="array" ref="G19">IF($A19="","",IFERROR(INDEX('Maliyet Giris'!$F$2:$F$550,MATCH($A19,'Maliyet Giris'!$A$2:$A$550,0)),""))</f>
        <v/>
      </c>
      <c r="H19" s="14">
        <f t="shared" si="1"/>
        <v>13.19</v>
      </c>
      <c r="I19" s="14">
        <f t="shared" si="2"/>
        <v>9.3675</v>
      </c>
      <c r="J19" s="14" t="str">
        <f t="shared" si="3"/>
        <v/>
      </c>
      <c r="K19" s="14" t="str">
        <f t="shared" si="4"/>
        <v/>
      </c>
      <c r="L19" s="15" t="str">
        <f t="shared" si="5"/>
        <v/>
      </c>
      <c r="M19" s="17" t="str">
        <f t="shared" si="6"/>
        <v>EKSİK VERİ</v>
      </c>
      <c r="N19" s="17" t="str">
        <f t="shared" si="7"/>
        <v/>
      </c>
      <c r="O19" s="17">
        <f t="array" ref="O19">IF($A19="","",IFERROR(INDEX('Maliyet Giris'!$G$2:$G$550,MATCH($A19,'Maliyet Giris'!$A$2:$A$550,0)),""))</f>
        <v>2</v>
      </c>
      <c r="P19" s="17" t="str">
        <f t="shared" si="8"/>
        <v>Maliyet eksik</v>
      </c>
      <c r="Q19" s="17" t="str">
        <f t="shared" si="9"/>
        <v/>
      </c>
      <c r="R19" s="14" t="str">
        <f t="shared" si="10"/>
        <v/>
      </c>
      <c r="S19" s="14" t="str">
        <f t="shared" si="11"/>
        <v/>
      </c>
      <c r="T19" s="17" t="str">
        <f t="shared" si="12"/>
        <v>EKSİK VERİ</v>
      </c>
      <c r="U19" s="17" t="str">
        <f t="shared" si="13"/>
        <v>Maliyet/desi/komisyon tamamla</v>
      </c>
    </row>
    <row r="20">
      <c r="A20" s="2">
        <f>IFERROR(__xludf.DUMMYFUNCTION("""COMPUTED_VALUE"""),5.060255492291E12)</f>
        <v>5060255492291</v>
      </c>
      <c r="B20" s="17" t="str">
        <f>IFERROR(__xludf.DUMMYFUNCTION("""COMPUTED_VALUE"""),"Ever Clean")</f>
        <v>Ever Clean</v>
      </c>
      <c r="C20" s="28" t="str">
        <f>IFERROR(__xludf.DUMMYFUNCTION("""COMPUTED_VALUE"""),"Lavender Lavanta Kokulu Ince Taneli Topaklaşan Kedi Kumu 10 L")</f>
        <v>Lavender Lavanta Kokulu Ince Taneli Topaklaşan Kedi Kumu 10 L</v>
      </c>
      <c r="D20" s="14">
        <f>IFERROR(__xludf.DUMMYFUNCTION("""COMPUTED_VALUE"""),1048.5)</f>
        <v>1048.5</v>
      </c>
      <c r="E20" s="14">
        <f t="array" ref="E20">IF($A20="","",IFERROR($D20*IF($D20&gt;=INDEX('Komisyon Tarifesi'!$I$2:$I$1000,MATCH($A20,'Komisyon Tarifesi'!$B$2:$B$1000,0)),INDEX('Komisyon Tarifesi'!$O$2:$O$1000,MATCH($A20,'Komisyon Tarifesi'!$B$2:$B$1000,0)),IF($D20&gt;=INDEX('Komisyon Tarifesi'!$K$2:$K$1000,MATCH($A20,'Komisyon Tarifesi'!$B$2:$B$1000,0)),INDEX('Komisyon Tarifesi'!$P$2:$P$1000,MATCH($A20,'Komisyon Tarifesi'!$B$2:$B$1000,0)),IF($D20&gt;=INDEX('Komisyon Tarifesi'!$M$2:$M$1000,MATCH($A20,'Komisyon Tarifesi'!$B$2:$B$1000,0)),INDEX('Komisyon Tarifesi'!$Q$2:$Q$1000,MATCH($A20,'Komisyon Tarifesi'!$B$2:$B$1000,0)),INDEX('Komisyon Tarifesi'!$R$2:$R$1000,MATCH($A20,'Komisyon Tarifesi'!$B$2:$B$1000,0)))))/100,IFERROR(IF(VLOOKUP($A20,Products!$A$2:$W$1000,21,0)&lt;&gt;"",$D20*VLOOKUP($A20,Products!$A$2:$W$1000,21,0)/100,""),"")))</f>
        <v>152.0325</v>
      </c>
      <c r="F20" s="14">
        <f t="array" ref="F20">IF($A20="","",IFERROR(IF(INDEX('Maliyet Giris'!$G$2:$G$550,MATCH($A20,'Maliyet Giris'!$A$2:$A$550,0))="","",IF(INDEX('Maliyet Giris'!$G$2:$G$550,MATCH($A20,'Maliyet Giris'!$A$2:$A$550,0))&lt;=2,86.4,IF(INDEX('Maliyet Giris'!$G$2:$G$550,MATCH($A20,'Maliyet Giris'!$A$2:$A$550,0))&lt;=3,90,IF(INDEX('Maliyet Giris'!$G$2:$G$550,MATCH($A20,'Maliyet Giris'!$A$2:$A$550,0))&lt;=5,102,IF(INDEX('Maliyet Giris'!$G$2:$G$550,MATCH($A20,'Maliyet Giris'!$A$2:$A$550,0))&lt;=10,159.74,IF(INDEX('Maliyet Giris'!$G$2:$G$550,MATCH($A20,'Maliyet Giris'!$A$2:$A$550,0))&lt;=15,187.5,IF(INDEX('Maliyet Giris'!$G$2:$G$550,MATCH($A20,'Maliyet Giris'!$A$2:$A$550,0))&lt;=20,225,299))))))),""))</f>
        <v>86.4</v>
      </c>
      <c r="G20" s="14" t="str">
        <f t="array" ref="G20">IF($A20="","",IFERROR(INDEX('Maliyet Giris'!$F$2:$F$550,MATCH($A20,'Maliyet Giris'!$A$2:$A$550,0)),""))</f>
        <v/>
      </c>
      <c r="H20" s="14">
        <f t="shared" si="1"/>
        <v>13.19</v>
      </c>
      <c r="I20" s="14">
        <f t="shared" si="2"/>
        <v>8.7375</v>
      </c>
      <c r="J20" s="14" t="str">
        <f t="shared" si="3"/>
        <v/>
      </c>
      <c r="K20" s="14" t="str">
        <f t="shared" si="4"/>
        <v/>
      </c>
      <c r="L20" s="15" t="str">
        <f t="shared" si="5"/>
        <v/>
      </c>
      <c r="M20" s="17" t="str">
        <f t="shared" si="6"/>
        <v>EKSİK VERİ</v>
      </c>
      <c r="N20" s="17" t="str">
        <f t="shared" si="7"/>
        <v/>
      </c>
      <c r="O20" s="17">
        <f t="array" ref="O20">IF($A20="","",IFERROR(INDEX('Maliyet Giris'!$G$2:$G$550,MATCH($A20,'Maliyet Giris'!$A$2:$A$550,0)),""))</f>
        <v>2</v>
      </c>
      <c r="P20" s="17" t="str">
        <f t="shared" si="8"/>
        <v>Maliyet eksik</v>
      </c>
      <c r="Q20" s="17" t="str">
        <f t="shared" si="9"/>
        <v/>
      </c>
      <c r="R20" s="14" t="str">
        <f t="shared" si="10"/>
        <v/>
      </c>
      <c r="S20" s="14" t="str">
        <f t="shared" si="11"/>
        <v/>
      </c>
      <c r="T20" s="17" t="str">
        <f t="shared" si="12"/>
        <v>EKSİK VERİ</v>
      </c>
      <c r="U20" s="17" t="str">
        <f t="shared" si="13"/>
        <v>Maliyet/desi/komisyon tamamla</v>
      </c>
    </row>
    <row r="21">
      <c r="A21" s="2" t="str">
        <f>IFERROR(__xludf.DUMMYFUNCTION("""COMPUTED_VALUE"""),"AK73LD91")</f>
        <v>AK73LD91</v>
      </c>
      <c r="B21" s="17" t="str">
        <f>IFERROR(__xludf.DUMMYFUNCTION("""COMPUTED_VALUE"""),"Ever Clean")</f>
        <v>Ever Clean</v>
      </c>
      <c r="C21" s="28" t="str">
        <f>IFERROR(__xludf.DUMMYFUNCTION("""COMPUTED_VALUE"""),"Less Trail (patilere Yapışmayan) Kedi Kumu 10 Lt X 2 Adet")</f>
        <v>Less Trail (patilere Yapışmayan) Kedi Kumu 10 Lt X 2 Adet</v>
      </c>
      <c r="D21" s="14">
        <f>IFERROR(__xludf.DUMMYFUNCTION("""COMPUTED_VALUE"""),2119.5)</f>
        <v>2119.5</v>
      </c>
      <c r="E21" s="14">
        <f t="array" ref="E21">IF($A21="","",IFERROR($D21*IF($D21&gt;=INDEX('Komisyon Tarifesi'!$I$2:$I$1000,MATCH($A21,'Komisyon Tarifesi'!$B$2:$B$1000,0)),INDEX('Komisyon Tarifesi'!$O$2:$O$1000,MATCH($A21,'Komisyon Tarifesi'!$B$2:$B$1000,0)),IF($D21&gt;=INDEX('Komisyon Tarifesi'!$K$2:$K$1000,MATCH($A21,'Komisyon Tarifesi'!$B$2:$B$1000,0)),INDEX('Komisyon Tarifesi'!$P$2:$P$1000,MATCH($A21,'Komisyon Tarifesi'!$B$2:$B$1000,0)),IF($D21&gt;=INDEX('Komisyon Tarifesi'!$M$2:$M$1000,MATCH($A21,'Komisyon Tarifesi'!$B$2:$B$1000,0)),INDEX('Komisyon Tarifesi'!$Q$2:$Q$1000,MATCH($A21,'Komisyon Tarifesi'!$B$2:$B$1000,0)),INDEX('Komisyon Tarifesi'!$R$2:$R$1000,MATCH($A21,'Komisyon Tarifesi'!$B$2:$B$1000,0)))))/100,IFERROR(IF(VLOOKUP($A21,Products!$A$2:$W$1000,21,0)&lt;&gt;"",$D21*VLOOKUP($A21,Products!$A$2:$W$1000,21,0)/100,""),"")))</f>
        <v>307.3275</v>
      </c>
      <c r="F21" s="14">
        <f t="array" ref="F21">IF($A21="","",IFERROR(IF(INDEX('Maliyet Giris'!$G$2:$G$550,MATCH($A21,'Maliyet Giris'!$A$2:$A$550,0))="","",IF(INDEX('Maliyet Giris'!$G$2:$G$550,MATCH($A21,'Maliyet Giris'!$A$2:$A$550,0))&lt;=2,86.4,IF(INDEX('Maliyet Giris'!$G$2:$G$550,MATCH($A21,'Maliyet Giris'!$A$2:$A$550,0))&lt;=3,90,IF(INDEX('Maliyet Giris'!$G$2:$G$550,MATCH($A21,'Maliyet Giris'!$A$2:$A$550,0))&lt;=5,102,IF(INDEX('Maliyet Giris'!$G$2:$G$550,MATCH($A21,'Maliyet Giris'!$A$2:$A$550,0))&lt;=10,159.74,IF(INDEX('Maliyet Giris'!$G$2:$G$550,MATCH($A21,'Maliyet Giris'!$A$2:$A$550,0))&lt;=15,187.5,IF(INDEX('Maliyet Giris'!$G$2:$G$550,MATCH($A21,'Maliyet Giris'!$A$2:$A$550,0))&lt;=20,225,299))))))),""))</f>
        <v>86.4</v>
      </c>
      <c r="G21" s="14" t="str">
        <f t="array" ref="G21">IF($A21="","",IFERROR(INDEX('Maliyet Giris'!$F$2:$F$550,MATCH($A21,'Maliyet Giris'!$A$2:$A$550,0)),""))</f>
        <v/>
      </c>
      <c r="H21" s="14">
        <f t="shared" si="1"/>
        <v>13.19</v>
      </c>
      <c r="I21" s="14">
        <f t="shared" si="2"/>
        <v>17.6625</v>
      </c>
      <c r="J21" s="14" t="str">
        <f t="shared" si="3"/>
        <v/>
      </c>
      <c r="K21" s="14" t="str">
        <f t="shared" si="4"/>
        <v/>
      </c>
      <c r="L21" s="15" t="str">
        <f t="shared" si="5"/>
        <v/>
      </c>
      <c r="M21" s="17" t="str">
        <f t="shared" si="6"/>
        <v>EKSİK VERİ</v>
      </c>
      <c r="N21" s="17" t="str">
        <f t="shared" si="7"/>
        <v/>
      </c>
      <c r="O21" s="17">
        <f t="array" ref="O21">IF($A21="","",IFERROR(INDEX('Maliyet Giris'!$G$2:$G$550,MATCH($A21,'Maliyet Giris'!$A$2:$A$550,0)),""))</f>
        <v>2</v>
      </c>
      <c r="P21" s="17" t="str">
        <f t="shared" si="8"/>
        <v>Maliyet eksik</v>
      </c>
      <c r="Q21" s="17" t="str">
        <f t="shared" si="9"/>
        <v/>
      </c>
      <c r="R21" s="14" t="str">
        <f t="shared" si="10"/>
        <v/>
      </c>
      <c r="S21" s="14" t="str">
        <f t="shared" si="11"/>
        <v/>
      </c>
      <c r="T21" s="17" t="str">
        <f t="shared" si="12"/>
        <v>EKSİK VERİ</v>
      </c>
      <c r="U21" s="17" t="str">
        <f t="shared" si="13"/>
        <v>Maliyet/desi/komisyon tamamla</v>
      </c>
    </row>
    <row r="22">
      <c r="A22" s="2" t="str">
        <f>IFERROR(__xludf.DUMMYFUNCTION("""COMPUTED_VALUE"""),"TYBUAJE2I9OWF7YM95")</f>
        <v>TYBUAJE2I9OWF7YM95</v>
      </c>
      <c r="B22" s="17" t="str">
        <f>IFERROR(__xludf.DUMMYFUNCTION("""COMPUTED_VALUE"""),"Ever Clean")</f>
        <v>Ever Clean</v>
      </c>
      <c r="C22" s="28" t="str">
        <f>IFERROR(__xludf.DUMMYFUNCTION("""COMPUTED_VALUE"""),"Litter Free Paws Patilere Yapışmayan Kedi Kumu 2 X 10 L")</f>
        <v>Litter Free Paws Patilere Yapışmayan Kedi Kumu 2 X 10 L</v>
      </c>
      <c r="D22" s="14">
        <f>IFERROR(__xludf.DUMMYFUNCTION("""COMPUTED_VALUE"""),2016.0)</f>
        <v>2016</v>
      </c>
      <c r="E22" s="14">
        <f t="array" ref="E22">IF($A22="","",IFERROR($D22*IF($D22&gt;=INDEX('Komisyon Tarifesi'!$I$2:$I$1000,MATCH($A22,'Komisyon Tarifesi'!$B$2:$B$1000,0)),INDEX('Komisyon Tarifesi'!$O$2:$O$1000,MATCH($A22,'Komisyon Tarifesi'!$B$2:$B$1000,0)),IF($D22&gt;=INDEX('Komisyon Tarifesi'!$K$2:$K$1000,MATCH($A22,'Komisyon Tarifesi'!$B$2:$B$1000,0)),INDEX('Komisyon Tarifesi'!$P$2:$P$1000,MATCH($A22,'Komisyon Tarifesi'!$B$2:$B$1000,0)),IF($D22&gt;=INDEX('Komisyon Tarifesi'!$M$2:$M$1000,MATCH($A22,'Komisyon Tarifesi'!$B$2:$B$1000,0)),INDEX('Komisyon Tarifesi'!$Q$2:$Q$1000,MATCH($A22,'Komisyon Tarifesi'!$B$2:$B$1000,0)),INDEX('Komisyon Tarifesi'!$R$2:$R$1000,MATCH($A22,'Komisyon Tarifesi'!$B$2:$B$1000,0)))))/100,IFERROR(IF(VLOOKUP($A22,Products!$A$2:$W$1000,21,0)&lt;&gt;"",$D22*VLOOKUP($A22,Products!$A$2:$W$1000,21,0)/100,""),"")))</f>
        <v>292.32</v>
      </c>
      <c r="F22" s="14">
        <f t="array" ref="F22">IF($A22="","",IFERROR(IF(INDEX('Maliyet Giris'!$G$2:$G$550,MATCH($A22,'Maliyet Giris'!$A$2:$A$550,0))="","",IF(INDEX('Maliyet Giris'!$G$2:$G$550,MATCH($A22,'Maliyet Giris'!$A$2:$A$550,0))&lt;=2,86.4,IF(INDEX('Maliyet Giris'!$G$2:$G$550,MATCH($A22,'Maliyet Giris'!$A$2:$A$550,0))&lt;=3,90,IF(INDEX('Maliyet Giris'!$G$2:$G$550,MATCH($A22,'Maliyet Giris'!$A$2:$A$550,0))&lt;=5,102,IF(INDEX('Maliyet Giris'!$G$2:$G$550,MATCH($A22,'Maliyet Giris'!$A$2:$A$550,0))&lt;=10,159.74,IF(INDEX('Maliyet Giris'!$G$2:$G$550,MATCH($A22,'Maliyet Giris'!$A$2:$A$550,0))&lt;=15,187.5,IF(INDEX('Maliyet Giris'!$G$2:$G$550,MATCH($A22,'Maliyet Giris'!$A$2:$A$550,0))&lt;=20,225,299))))))),""))</f>
        <v>86.4</v>
      </c>
      <c r="G22" s="14" t="str">
        <f t="array" ref="G22">IF($A22="","",IFERROR(INDEX('Maliyet Giris'!$F$2:$F$550,MATCH($A22,'Maliyet Giris'!$A$2:$A$550,0)),""))</f>
        <v/>
      </c>
      <c r="H22" s="14">
        <f t="shared" si="1"/>
        <v>13.19</v>
      </c>
      <c r="I22" s="14">
        <f t="shared" si="2"/>
        <v>16.8</v>
      </c>
      <c r="J22" s="14" t="str">
        <f t="shared" si="3"/>
        <v/>
      </c>
      <c r="K22" s="14" t="str">
        <f t="shared" si="4"/>
        <v/>
      </c>
      <c r="L22" s="15" t="str">
        <f t="shared" si="5"/>
        <v/>
      </c>
      <c r="M22" s="17" t="str">
        <f t="shared" si="6"/>
        <v>EKSİK VERİ</v>
      </c>
      <c r="N22" s="17" t="str">
        <f t="shared" si="7"/>
        <v/>
      </c>
      <c r="O22" s="17">
        <f t="array" ref="O22">IF($A22="","",IFERROR(INDEX('Maliyet Giris'!$G$2:$G$550,MATCH($A22,'Maliyet Giris'!$A$2:$A$550,0)),""))</f>
        <v>2</v>
      </c>
      <c r="P22" s="17" t="str">
        <f t="shared" si="8"/>
        <v>Maliyet eksik</v>
      </c>
      <c r="Q22" s="17" t="str">
        <f t="shared" si="9"/>
        <v/>
      </c>
      <c r="R22" s="14" t="str">
        <f t="shared" si="10"/>
        <v/>
      </c>
      <c r="S22" s="14" t="str">
        <f t="shared" si="11"/>
        <v/>
      </c>
      <c r="T22" s="17" t="str">
        <f t="shared" si="12"/>
        <v>EKSİK VERİ</v>
      </c>
      <c r="U22" s="17" t="str">
        <f t="shared" si="13"/>
        <v>Maliyet/desi/komisyon tamamla</v>
      </c>
    </row>
    <row r="23">
      <c r="A23" s="2">
        <f>IFERROR(__xludf.DUMMYFUNCTION("""COMPUTED_VALUE"""),5.060255492192E12)</f>
        <v>5060255492192</v>
      </c>
      <c r="B23" s="17" t="str">
        <f>IFERROR(__xludf.DUMMYFUNCTION("""COMPUTED_VALUE"""),"Ever Clean")</f>
        <v>Ever Clean</v>
      </c>
      <c r="C23" s="28" t="str">
        <f>IFERROR(__xludf.DUMMYFUNCTION("""COMPUTED_VALUE"""),"Less Pass(PATİLERE YAPIŞMAYAN) Kedi Kumu 10 Lt")</f>
        <v>Less Pass(PATİLERE YAPIŞMAYAN) Kedi Kumu 10 Lt</v>
      </c>
      <c r="D23" s="14">
        <f>IFERROR(__xludf.DUMMYFUNCTION("""COMPUTED_VALUE"""),1000.0)</f>
        <v>1000</v>
      </c>
      <c r="E23" s="14">
        <f t="array" ref="E23">IF($A23="","",IFERROR($D23*IF($D23&gt;=INDEX('Komisyon Tarifesi'!$I$2:$I$1000,MATCH($A23,'Komisyon Tarifesi'!$B$2:$B$1000,0)),INDEX('Komisyon Tarifesi'!$O$2:$O$1000,MATCH($A23,'Komisyon Tarifesi'!$B$2:$B$1000,0)),IF($D23&gt;=INDEX('Komisyon Tarifesi'!$K$2:$K$1000,MATCH($A23,'Komisyon Tarifesi'!$B$2:$B$1000,0)),INDEX('Komisyon Tarifesi'!$P$2:$P$1000,MATCH($A23,'Komisyon Tarifesi'!$B$2:$B$1000,0)),IF($D23&gt;=INDEX('Komisyon Tarifesi'!$M$2:$M$1000,MATCH($A23,'Komisyon Tarifesi'!$B$2:$B$1000,0)),INDEX('Komisyon Tarifesi'!$Q$2:$Q$1000,MATCH($A23,'Komisyon Tarifesi'!$B$2:$B$1000,0)),INDEX('Komisyon Tarifesi'!$R$2:$R$1000,MATCH($A23,'Komisyon Tarifesi'!$B$2:$B$1000,0)))))/100,IFERROR(IF(VLOOKUP($A23,Products!$A$2:$W$1000,21,0)&lt;&gt;"",$D23*VLOOKUP($A23,Products!$A$2:$W$1000,21,0)/100,""),"")))</f>
        <v>128</v>
      </c>
      <c r="F23" s="14">
        <f t="array" ref="F23">IF($A23="","",IFERROR(IF(INDEX('Maliyet Giris'!$G$2:$G$550,MATCH($A23,'Maliyet Giris'!$A$2:$A$550,0))="","",IF(INDEX('Maliyet Giris'!$G$2:$G$550,MATCH($A23,'Maliyet Giris'!$A$2:$A$550,0))&lt;=2,86.4,IF(INDEX('Maliyet Giris'!$G$2:$G$550,MATCH($A23,'Maliyet Giris'!$A$2:$A$550,0))&lt;=3,90,IF(INDEX('Maliyet Giris'!$G$2:$G$550,MATCH($A23,'Maliyet Giris'!$A$2:$A$550,0))&lt;=5,102,IF(INDEX('Maliyet Giris'!$G$2:$G$550,MATCH($A23,'Maliyet Giris'!$A$2:$A$550,0))&lt;=10,159.74,IF(INDEX('Maliyet Giris'!$G$2:$G$550,MATCH($A23,'Maliyet Giris'!$A$2:$A$550,0))&lt;=15,187.5,IF(INDEX('Maliyet Giris'!$G$2:$G$550,MATCH($A23,'Maliyet Giris'!$A$2:$A$550,0))&lt;=20,225,299))))))),""))</f>
        <v>86.4</v>
      </c>
      <c r="G23" s="14" t="str">
        <f t="array" ref="G23">IF($A23="","",IFERROR(INDEX('Maliyet Giris'!$F$2:$F$550,MATCH($A23,'Maliyet Giris'!$A$2:$A$550,0)),""))</f>
        <v/>
      </c>
      <c r="H23" s="14">
        <f t="shared" si="1"/>
        <v>13.19</v>
      </c>
      <c r="I23" s="14">
        <f t="shared" si="2"/>
        <v>8.333333333</v>
      </c>
      <c r="J23" s="14" t="str">
        <f t="shared" si="3"/>
        <v/>
      </c>
      <c r="K23" s="14" t="str">
        <f t="shared" si="4"/>
        <v/>
      </c>
      <c r="L23" s="15" t="str">
        <f t="shared" si="5"/>
        <v/>
      </c>
      <c r="M23" s="17" t="str">
        <f t="shared" si="6"/>
        <v>EKSİK VERİ</v>
      </c>
      <c r="N23" s="17" t="str">
        <f t="shared" si="7"/>
        <v/>
      </c>
      <c r="O23" s="17">
        <f t="array" ref="O23">IF($A23="","",IFERROR(INDEX('Maliyet Giris'!$G$2:$G$550,MATCH($A23,'Maliyet Giris'!$A$2:$A$550,0)),""))</f>
        <v>2</v>
      </c>
      <c r="P23" s="17" t="str">
        <f t="shared" si="8"/>
        <v>Maliyet eksik</v>
      </c>
      <c r="Q23" s="17" t="str">
        <f t="shared" si="9"/>
        <v/>
      </c>
      <c r="R23" s="14" t="str">
        <f t="shared" si="10"/>
        <v/>
      </c>
      <c r="S23" s="14" t="str">
        <f t="shared" si="11"/>
        <v/>
      </c>
      <c r="T23" s="17" t="str">
        <f t="shared" si="12"/>
        <v>EKSİK VERİ</v>
      </c>
      <c r="U23" s="17" t="str">
        <f t="shared" si="13"/>
        <v>Maliyet/desi/komisyon tamamla</v>
      </c>
    </row>
    <row r="24">
      <c r="A24" s="2">
        <f>IFERROR(__xludf.DUMMYFUNCTION("""COMPUTED_VALUE"""),5.060255492161E12)</f>
        <v>5060255492161</v>
      </c>
      <c r="B24" s="17" t="str">
        <f>IFERROR(__xludf.DUMMYFUNCTION("""COMPUTED_VALUE"""),"Ever Clean")</f>
        <v>Ever Clean</v>
      </c>
      <c r="C24" s="28" t="str">
        <f>IFERROR(__xludf.DUMMYFUNCTION("""COMPUTED_VALUE"""),"Extra Strength Scented Koku Engelleyici Doğal Kedi Kumu 10 Lt")</f>
        <v>Extra Strength Scented Koku Engelleyici Doğal Kedi Kumu 10 Lt</v>
      </c>
      <c r="D24" s="14">
        <f>IFERROR(__xludf.DUMMYFUNCTION("""COMPUTED_VALUE"""),1169.1)</f>
        <v>1169.1</v>
      </c>
      <c r="E24" s="14">
        <f t="array" ref="E24">IF($A24="","",IFERROR($D24*IF($D24&gt;=INDEX('Komisyon Tarifesi'!$I$2:$I$1000,MATCH($A24,'Komisyon Tarifesi'!$B$2:$B$1000,0)),INDEX('Komisyon Tarifesi'!$O$2:$O$1000,MATCH($A24,'Komisyon Tarifesi'!$B$2:$B$1000,0)),IF($D24&gt;=INDEX('Komisyon Tarifesi'!$K$2:$K$1000,MATCH($A24,'Komisyon Tarifesi'!$B$2:$B$1000,0)),INDEX('Komisyon Tarifesi'!$P$2:$P$1000,MATCH($A24,'Komisyon Tarifesi'!$B$2:$B$1000,0)),IF($D24&gt;=INDEX('Komisyon Tarifesi'!$M$2:$M$1000,MATCH($A24,'Komisyon Tarifesi'!$B$2:$B$1000,0)),INDEX('Komisyon Tarifesi'!$Q$2:$Q$1000,MATCH($A24,'Komisyon Tarifesi'!$B$2:$B$1000,0)),INDEX('Komisyon Tarifesi'!$R$2:$R$1000,MATCH($A24,'Komisyon Tarifesi'!$B$2:$B$1000,0)))))/100,IFERROR(IF(VLOOKUP($A24,Products!$A$2:$W$1000,21,0)&lt;&gt;"",$D24*VLOOKUP($A24,Products!$A$2:$W$1000,21,0)/100,""),"")))</f>
        <v>169.5195</v>
      </c>
      <c r="F24" s="14">
        <f t="array" ref="F24">IF($A24="","",IFERROR(IF(INDEX('Maliyet Giris'!$G$2:$G$550,MATCH($A24,'Maliyet Giris'!$A$2:$A$550,0))="","",IF(INDEX('Maliyet Giris'!$G$2:$G$550,MATCH($A24,'Maliyet Giris'!$A$2:$A$550,0))&lt;=2,86.4,IF(INDEX('Maliyet Giris'!$G$2:$G$550,MATCH($A24,'Maliyet Giris'!$A$2:$A$550,0))&lt;=3,90,IF(INDEX('Maliyet Giris'!$G$2:$G$550,MATCH($A24,'Maliyet Giris'!$A$2:$A$550,0))&lt;=5,102,IF(INDEX('Maliyet Giris'!$G$2:$G$550,MATCH($A24,'Maliyet Giris'!$A$2:$A$550,0))&lt;=10,159.74,IF(INDEX('Maliyet Giris'!$G$2:$G$550,MATCH($A24,'Maliyet Giris'!$A$2:$A$550,0))&lt;=15,187.5,IF(INDEX('Maliyet Giris'!$G$2:$G$550,MATCH($A24,'Maliyet Giris'!$A$2:$A$550,0))&lt;=20,225,299))))))),""))</f>
        <v>86.4</v>
      </c>
      <c r="G24" s="14">
        <f t="array" ref="G24">IF($A24="","",IFERROR(INDEX('Maliyet Giris'!$F$2:$F$550,MATCH($A24,'Maliyet Giris'!$A$2:$A$550,0)),""))</f>
        <v>800</v>
      </c>
      <c r="H24" s="14">
        <f t="shared" si="1"/>
        <v>13.19</v>
      </c>
      <c r="I24" s="14">
        <f t="shared" si="2"/>
        <v>9.7425</v>
      </c>
      <c r="J24" s="14">
        <f t="shared" si="3"/>
        <v>16.66508333</v>
      </c>
      <c r="K24" s="14">
        <f t="shared" si="4"/>
        <v>73.58291667</v>
      </c>
      <c r="L24" s="15">
        <f t="shared" si="5"/>
        <v>0.06293979699</v>
      </c>
      <c r="M24" s="17" t="str">
        <f t="shared" si="6"/>
        <v>KÂRLI</v>
      </c>
      <c r="N24" s="17" t="str">
        <f t="shared" si="7"/>
        <v/>
      </c>
      <c r="O24" s="17">
        <f t="array" ref="O24">IF($A24="","",IFERROR(INDEX('Maliyet Giris'!$G$2:$G$550,MATCH($A24,'Maliyet Giris'!$A$2:$A$550,0)),""))</f>
        <v>2</v>
      </c>
      <c r="P24" s="17" t="str">
        <f t="shared" si="8"/>
        <v/>
      </c>
      <c r="Q24" s="17" t="str">
        <f t="shared" si="9"/>
        <v/>
      </c>
      <c r="R24" s="14">
        <f t="shared" si="10"/>
        <v>1080.70234</v>
      </c>
      <c r="S24" s="14">
        <f t="shared" si="11"/>
        <v>88.39766043</v>
      </c>
      <c r="T24" s="17" t="str">
        <f t="shared" si="12"/>
        <v>DÜŞÜK KÂR</v>
      </c>
      <c r="U24" s="17" t="str">
        <f t="shared" si="13"/>
        <v>Reklam/komisyon etkisini kontrol et</v>
      </c>
    </row>
    <row r="25">
      <c r="A25" s="2">
        <f>IFERROR(__xludf.DUMMYFUNCTION("""COMPUTED_VALUE"""),5.060412214117E12)</f>
        <v>5060412214117</v>
      </c>
      <c r="B25" s="17" t="str">
        <f>IFERROR(__xludf.DUMMYFUNCTION("""COMPUTED_VALUE"""),"Ever Clean")</f>
        <v>Ever Clean</v>
      </c>
      <c r="C25" s="28" t="str">
        <f>IFERROR(__xludf.DUMMYFUNCTION("""COMPUTED_VALUE"""),"LitterFree Paws 10 Lt")</f>
        <v>LitterFree Paws 10 Lt</v>
      </c>
      <c r="D25" s="14">
        <f>IFERROR(__xludf.DUMMYFUNCTION("""COMPUTED_VALUE"""),1047.6)</f>
        <v>1047.6</v>
      </c>
      <c r="E25" s="14">
        <f t="array" ref="E25">IF($A25="","",IFERROR($D25*IF($D25&gt;=INDEX('Komisyon Tarifesi'!$I$2:$I$1000,MATCH($A25,'Komisyon Tarifesi'!$B$2:$B$1000,0)),INDEX('Komisyon Tarifesi'!$O$2:$O$1000,MATCH($A25,'Komisyon Tarifesi'!$B$2:$B$1000,0)),IF($D25&gt;=INDEX('Komisyon Tarifesi'!$K$2:$K$1000,MATCH($A25,'Komisyon Tarifesi'!$B$2:$B$1000,0)),INDEX('Komisyon Tarifesi'!$P$2:$P$1000,MATCH($A25,'Komisyon Tarifesi'!$B$2:$B$1000,0)),IF($D25&gt;=INDEX('Komisyon Tarifesi'!$M$2:$M$1000,MATCH($A25,'Komisyon Tarifesi'!$B$2:$B$1000,0)),INDEX('Komisyon Tarifesi'!$Q$2:$Q$1000,MATCH($A25,'Komisyon Tarifesi'!$B$2:$B$1000,0)),INDEX('Komisyon Tarifesi'!$R$2:$R$1000,MATCH($A25,'Komisyon Tarifesi'!$B$2:$B$1000,0)))))/100,IFERROR(IF(VLOOKUP($A25,Products!$A$2:$W$1000,21,0)&lt;&gt;"",$D25*VLOOKUP($A25,Products!$A$2:$W$1000,21,0)/100,""),"")))</f>
        <v>151.902</v>
      </c>
      <c r="F25" s="14">
        <f t="array" ref="F25">IF($A25="","",IFERROR(IF(INDEX('Maliyet Giris'!$G$2:$G$550,MATCH($A25,'Maliyet Giris'!$A$2:$A$550,0))="","",IF(INDEX('Maliyet Giris'!$G$2:$G$550,MATCH($A25,'Maliyet Giris'!$A$2:$A$550,0))&lt;=2,86.4,IF(INDEX('Maliyet Giris'!$G$2:$G$550,MATCH($A25,'Maliyet Giris'!$A$2:$A$550,0))&lt;=3,90,IF(INDEX('Maliyet Giris'!$G$2:$G$550,MATCH($A25,'Maliyet Giris'!$A$2:$A$550,0))&lt;=5,102,IF(INDEX('Maliyet Giris'!$G$2:$G$550,MATCH($A25,'Maliyet Giris'!$A$2:$A$550,0))&lt;=10,159.74,IF(INDEX('Maliyet Giris'!$G$2:$G$550,MATCH($A25,'Maliyet Giris'!$A$2:$A$550,0))&lt;=15,187.5,IF(INDEX('Maliyet Giris'!$G$2:$G$550,MATCH($A25,'Maliyet Giris'!$A$2:$A$550,0))&lt;=20,225,299))))))),""))</f>
        <v>86.4</v>
      </c>
      <c r="G25" s="14" t="str">
        <f t="array" ref="G25">IF($A25="","",IFERROR(INDEX('Maliyet Giris'!$F$2:$F$550,MATCH($A25,'Maliyet Giris'!$A$2:$A$550,0)),""))</f>
        <v/>
      </c>
      <c r="H25" s="14">
        <f t="shared" si="1"/>
        <v>13.19</v>
      </c>
      <c r="I25" s="14">
        <f t="shared" si="2"/>
        <v>8.73</v>
      </c>
      <c r="J25" s="14" t="str">
        <f t="shared" si="3"/>
        <v/>
      </c>
      <c r="K25" s="14" t="str">
        <f t="shared" si="4"/>
        <v/>
      </c>
      <c r="L25" s="15" t="str">
        <f t="shared" si="5"/>
        <v/>
      </c>
      <c r="M25" s="17" t="str">
        <f t="shared" si="6"/>
        <v>EKSİK VERİ</v>
      </c>
      <c r="N25" s="17" t="str">
        <f t="shared" si="7"/>
        <v/>
      </c>
      <c r="O25" s="17">
        <f t="array" ref="O25">IF($A25="","",IFERROR(INDEX('Maliyet Giris'!$G$2:$G$550,MATCH($A25,'Maliyet Giris'!$A$2:$A$550,0)),""))</f>
        <v>2</v>
      </c>
      <c r="P25" s="17" t="str">
        <f t="shared" si="8"/>
        <v>Maliyet eksik</v>
      </c>
      <c r="Q25" s="17" t="str">
        <f t="shared" si="9"/>
        <v/>
      </c>
      <c r="R25" s="14" t="str">
        <f t="shared" si="10"/>
        <v/>
      </c>
      <c r="S25" s="14" t="str">
        <f t="shared" si="11"/>
        <v/>
      </c>
      <c r="T25" s="17" t="str">
        <f t="shared" si="12"/>
        <v>EKSİK VERİ</v>
      </c>
      <c r="U25" s="17" t="str">
        <f t="shared" si="13"/>
        <v>Maliyet/desi/komisyon tamamla</v>
      </c>
    </row>
    <row r="26">
      <c r="A26" s="2">
        <f>IFERROR(__xludf.DUMMYFUNCTION("""COMPUTED_VALUE"""),8.410650173535E12)</f>
        <v>8410650173535</v>
      </c>
      <c r="B26" s="17" t="str">
        <f>IFERROR(__xludf.DUMMYFUNCTION("""COMPUTED_VALUE"""),"Advance")</f>
        <v>Advance</v>
      </c>
      <c r="C26" s="28" t="str">
        <f>IFERROR(__xludf.DUMMYFUNCTION("""COMPUTED_VALUE"""),"Sensitive Kuzu Etli Hassas Yetişkin Köpek Maması 12 Kg")</f>
        <v>Sensitive Kuzu Etli Hassas Yetişkin Köpek Maması 12 Kg</v>
      </c>
      <c r="D26" s="14">
        <f>IFERROR(__xludf.DUMMYFUNCTION("""COMPUTED_VALUE"""),3729.0)</f>
        <v>3729</v>
      </c>
      <c r="E26" s="14">
        <f t="array" ref="E26">IF($A26="","",IFERROR($D26*IF($D26&gt;=INDEX('Komisyon Tarifesi'!$I$2:$I$1000,MATCH($A26,'Komisyon Tarifesi'!$B$2:$B$1000,0)),INDEX('Komisyon Tarifesi'!$O$2:$O$1000,MATCH($A26,'Komisyon Tarifesi'!$B$2:$B$1000,0)),IF($D26&gt;=INDEX('Komisyon Tarifesi'!$K$2:$K$1000,MATCH($A26,'Komisyon Tarifesi'!$B$2:$B$1000,0)),INDEX('Komisyon Tarifesi'!$P$2:$P$1000,MATCH($A26,'Komisyon Tarifesi'!$B$2:$B$1000,0)),IF($D26&gt;=INDEX('Komisyon Tarifesi'!$M$2:$M$1000,MATCH($A26,'Komisyon Tarifesi'!$B$2:$B$1000,0)),INDEX('Komisyon Tarifesi'!$Q$2:$Q$1000,MATCH($A26,'Komisyon Tarifesi'!$B$2:$B$1000,0)),INDEX('Komisyon Tarifesi'!$R$2:$R$1000,MATCH($A26,'Komisyon Tarifesi'!$B$2:$B$1000,0)))))/100,IFERROR(IF(VLOOKUP($A26,Products!$A$2:$W$1000,21,0)&lt;&gt;"",$D26*VLOOKUP($A26,Products!$A$2:$W$1000,21,0)/100,""),"")))</f>
        <v>563.079</v>
      </c>
      <c r="F26" s="14">
        <f t="array" ref="F26">IF($A26="","",IFERROR(IF(INDEX('Maliyet Giris'!$G$2:$G$550,MATCH($A26,'Maliyet Giris'!$A$2:$A$550,0))="","",IF(INDEX('Maliyet Giris'!$G$2:$G$550,MATCH($A26,'Maliyet Giris'!$A$2:$A$550,0))&lt;=2,86.4,IF(INDEX('Maliyet Giris'!$G$2:$G$550,MATCH($A26,'Maliyet Giris'!$A$2:$A$550,0))&lt;=3,90,IF(INDEX('Maliyet Giris'!$G$2:$G$550,MATCH($A26,'Maliyet Giris'!$A$2:$A$550,0))&lt;=5,102,IF(INDEX('Maliyet Giris'!$G$2:$G$550,MATCH($A26,'Maliyet Giris'!$A$2:$A$550,0))&lt;=10,159.74,IF(INDEX('Maliyet Giris'!$G$2:$G$550,MATCH($A26,'Maliyet Giris'!$A$2:$A$550,0))&lt;=15,187.5,IF(INDEX('Maliyet Giris'!$G$2:$G$550,MATCH($A26,'Maliyet Giris'!$A$2:$A$550,0))&lt;=20,225,299))))))),""))</f>
        <v>159.74</v>
      </c>
      <c r="G26" s="14">
        <f t="array" ref="G26">IF($A26="","",IFERROR(INDEX('Maliyet Giris'!$F$2:$F$550,MATCH($A26,'Maliyet Giris'!$A$2:$A$550,0)),""))</f>
        <v>3034</v>
      </c>
      <c r="H26" s="14">
        <f t="shared" si="1"/>
        <v>13.19</v>
      </c>
      <c r="I26" s="14">
        <f t="shared" si="2"/>
        <v>31.075</v>
      </c>
      <c r="J26" s="14">
        <f t="shared" si="3"/>
        <v>0</v>
      </c>
      <c r="K26" s="14">
        <f t="shared" si="4"/>
        <v>-72.084</v>
      </c>
      <c r="L26" s="15">
        <f t="shared" si="5"/>
        <v>-0.01933065165</v>
      </c>
      <c r="M26" s="17" t="str">
        <f t="shared" si="6"/>
        <v>ZARAR</v>
      </c>
      <c r="N26" s="17" t="str">
        <f t="shared" si="7"/>
        <v/>
      </c>
      <c r="O26" s="17">
        <f t="array" ref="O26">IF($A26="","",IFERROR(INDEX('Maliyet Giris'!$G$2:$G$550,MATCH($A26,'Maliyet Giris'!$A$2:$A$550,0)),""))</f>
        <v>10</v>
      </c>
      <c r="P26" s="17" t="str">
        <f t="shared" si="8"/>
        <v/>
      </c>
      <c r="Q26" s="17" t="str">
        <f t="shared" si="9"/>
        <v/>
      </c>
      <c r="R26" s="14">
        <f t="shared" si="10"/>
        <v>3814.744721</v>
      </c>
      <c r="S26" s="14">
        <f t="shared" si="11"/>
        <v>-85.74472056</v>
      </c>
      <c r="T26" s="17" t="str">
        <f t="shared" si="12"/>
        <v>ZARAR</v>
      </c>
      <c r="U26" s="17" t="str">
        <f t="shared" si="13"/>
        <v>Fiyat, maliyet veya kampanya kontrol et</v>
      </c>
    </row>
    <row r="27">
      <c r="A27" s="2">
        <f>IFERROR(__xludf.DUMMYFUNCTION("""COMPUTED_VALUE"""),8.410650167886E12)</f>
        <v>8410650167886</v>
      </c>
      <c r="B27" s="17" t="str">
        <f>IFERROR(__xludf.DUMMYFUNCTION("""COMPUTED_VALUE"""),"Advance")</f>
        <v>Advance</v>
      </c>
      <c r="C27" s="28" t="str">
        <f>IFERROR(__xludf.DUMMYFUNCTION("""COMPUTED_VALUE"""),"Kedi Yetişkin Kısır Somonlu 1.5 Kg")</f>
        <v>Kedi Yetişkin Kısır Somonlu 1.5 Kg</v>
      </c>
      <c r="D27" s="14">
        <f>IFERROR(__xludf.DUMMYFUNCTION("""COMPUTED_VALUE"""),980.0)</f>
        <v>980</v>
      </c>
      <c r="E27" s="14">
        <f t="array" ref="E27">IF($A27="","",IFERROR($D27*IF($D27&gt;=INDEX('Komisyon Tarifesi'!$I$2:$I$1000,MATCH($A27,'Komisyon Tarifesi'!$B$2:$B$1000,0)),INDEX('Komisyon Tarifesi'!$O$2:$O$1000,MATCH($A27,'Komisyon Tarifesi'!$B$2:$B$1000,0)),IF($D27&gt;=INDEX('Komisyon Tarifesi'!$K$2:$K$1000,MATCH($A27,'Komisyon Tarifesi'!$B$2:$B$1000,0)),INDEX('Komisyon Tarifesi'!$P$2:$P$1000,MATCH($A27,'Komisyon Tarifesi'!$B$2:$B$1000,0)),IF($D27&gt;=INDEX('Komisyon Tarifesi'!$M$2:$M$1000,MATCH($A27,'Komisyon Tarifesi'!$B$2:$B$1000,0)),INDEX('Komisyon Tarifesi'!$Q$2:$Q$1000,MATCH($A27,'Komisyon Tarifesi'!$B$2:$B$1000,0)),INDEX('Komisyon Tarifesi'!$R$2:$R$1000,MATCH($A27,'Komisyon Tarifesi'!$B$2:$B$1000,0)))))/100,IFERROR(IF(VLOOKUP($A27,Products!$A$2:$W$1000,21,0)&lt;&gt;"",$D27*VLOOKUP($A27,Products!$A$2:$W$1000,21,0)/100,""),"")))</f>
        <v>161.7</v>
      </c>
      <c r="F27" s="14">
        <f t="array" ref="F27">IF($A27="","",IFERROR(IF(INDEX('Maliyet Giris'!$G$2:$G$550,MATCH($A27,'Maliyet Giris'!$A$2:$A$550,0))="","",IF(INDEX('Maliyet Giris'!$G$2:$G$550,MATCH($A27,'Maliyet Giris'!$A$2:$A$550,0))&lt;=2,86.4,IF(INDEX('Maliyet Giris'!$G$2:$G$550,MATCH($A27,'Maliyet Giris'!$A$2:$A$550,0))&lt;=3,90,IF(INDEX('Maliyet Giris'!$G$2:$G$550,MATCH($A27,'Maliyet Giris'!$A$2:$A$550,0))&lt;=5,102,IF(INDEX('Maliyet Giris'!$G$2:$G$550,MATCH($A27,'Maliyet Giris'!$A$2:$A$550,0))&lt;=10,159.74,IF(INDEX('Maliyet Giris'!$G$2:$G$550,MATCH($A27,'Maliyet Giris'!$A$2:$A$550,0))&lt;=15,187.5,IF(INDEX('Maliyet Giris'!$G$2:$G$550,MATCH($A27,'Maliyet Giris'!$A$2:$A$550,0))&lt;=20,225,299))))))),""))</f>
        <v>90</v>
      </c>
      <c r="G27" s="14">
        <f t="array" ref="G27">IF($A27="","",IFERROR(INDEX('Maliyet Giris'!$F$2:$F$550,MATCH($A27,'Maliyet Giris'!$A$2:$A$550,0)),""))</f>
        <v>715</v>
      </c>
      <c r="H27" s="14">
        <f t="shared" si="1"/>
        <v>13.19</v>
      </c>
      <c r="I27" s="14">
        <f t="shared" si="2"/>
        <v>8.166666667</v>
      </c>
      <c r="J27" s="14">
        <f t="shared" si="3"/>
        <v>0.01833333333</v>
      </c>
      <c r="K27" s="14">
        <f t="shared" si="4"/>
        <v>-8.075</v>
      </c>
      <c r="L27" s="15">
        <f t="shared" si="5"/>
        <v>-0.008239795918</v>
      </c>
      <c r="M27" s="17" t="str">
        <f t="shared" si="6"/>
        <v>ZARAR</v>
      </c>
      <c r="N27" s="17" t="str">
        <f t="shared" si="7"/>
        <v/>
      </c>
      <c r="O27" s="17">
        <f t="array" ref="O27">IF($A27="","",IFERROR(INDEX('Maliyet Giris'!$G$2:$G$550,MATCH($A27,'Maliyet Giris'!$A$2:$A$550,0)),""))</f>
        <v>3</v>
      </c>
      <c r="P27" s="17" t="str">
        <f t="shared" si="8"/>
        <v/>
      </c>
      <c r="Q27" s="17" t="str">
        <f t="shared" si="9"/>
        <v/>
      </c>
      <c r="R27" s="14">
        <f t="shared" si="10"/>
        <v>989.7679671</v>
      </c>
      <c r="S27" s="14">
        <f t="shared" si="11"/>
        <v>-9.767967111</v>
      </c>
      <c r="T27" s="17" t="str">
        <f t="shared" si="12"/>
        <v>ZARAR</v>
      </c>
      <c r="U27" s="17" t="str">
        <f t="shared" si="13"/>
        <v>Fiyat, maliyet veya kampanya kontrol et</v>
      </c>
    </row>
    <row r="28">
      <c r="A28" s="2">
        <f>IFERROR(__xludf.DUMMYFUNCTION("""COMPUTED_VALUE"""),8.410650239156E12)</f>
        <v>8410650239156</v>
      </c>
      <c r="B28" s="17" t="str">
        <f>IFERROR(__xludf.DUMMYFUNCTION("""COMPUTED_VALUE"""),"Advance")</f>
        <v>Advance</v>
      </c>
      <c r="C28" s="28" t="str">
        <f>IFERROR(__xludf.DUMMYFUNCTION("""COMPUTED_VALUE"""),"Cat Sterilized Hairball Hindili Kısır Kedi Maması 3 Kg")</f>
        <v>Cat Sterilized Hairball Hindili Kısır Kedi Maması 3 Kg</v>
      </c>
      <c r="D28" s="14">
        <f>IFERROR(__xludf.DUMMYFUNCTION("""COMPUTED_VALUE"""),1698.0)</f>
        <v>1698</v>
      </c>
      <c r="E28" s="14">
        <f t="array" ref="E28">IF($A28="","",IFERROR($D28*IF($D28&gt;=INDEX('Komisyon Tarifesi'!$I$2:$I$1000,MATCH($A28,'Komisyon Tarifesi'!$B$2:$B$1000,0)),INDEX('Komisyon Tarifesi'!$O$2:$O$1000,MATCH($A28,'Komisyon Tarifesi'!$B$2:$B$1000,0)),IF($D28&gt;=INDEX('Komisyon Tarifesi'!$K$2:$K$1000,MATCH($A28,'Komisyon Tarifesi'!$B$2:$B$1000,0)),INDEX('Komisyon Tarifesi'!$P$2:$P$1000,MATCH($A28,'Komisyon Tarifesi'!$B$2:$B$1000,0)),IF($D28&gt;=INDEX('Komisyon Tarifesi'!$M$2:$M$1000,MATCH($A28,'Komisyon Tarifesi'!$B$2:$B$1000,0)),INDEX('Komisyon Tarifesi'!$Q$2:$Q$1000,MATCH($A28,'Komisyon Tarifesi'!$B$2:$B$1000,0)),INDEX('Komisyon Tarifesi'!$R$2:$R$1000,MATCH($A28,'Komisyon Tarifesi'!$B$2:$B$1000,0)))))/100,IFERROR(IF(VLOOKUP($A28,Products!$A$2:$W$1000,21,0)&lt;&gt;"",$D28*VLOOKUP($A28,Products!$A$2:$W$1000,21,0)/100,""),"")))</f>
        <v>259.794</v>
      </c>
      <c r="F28" s="14">
        <f t="array" ref="F28">IF($A28="","",IFERROR(IF(INDEX('Maliyet Giris'!$G$2:$G$550,MATCH($A28,'Maliyet Giris'!$A$2:$A$550,0))="","",IF(INDEX('Maliyet Giris'!$G$2:$G$550,MATCH($A28,'Maliyet Giris'!$A$2:$A$550,0))&lt;=2,86.4,IF(INDEX('Maliyet Giris'!$G$2:$G$550,MATCH($A28,'Maliyet Giris'!$A$2:$A$550,0))&lt;=3,90,IF(INDEX('Maliyet Giris'!$G$2:$G$550,MATCH($A28,'Maliyet Giris'!$A$2:$A$550,0))&lt;=5,102,IF(INDEX('Maliyet Giris'!$G$2:$G$550,MATCH($A28,'Maliyet Giris'!$A$2:$A$550,0))&lt;=10,159.74,IF(INDEX('Maliyet Giris'!$G$2:$G$550,MATCH($A28,'Maliyet Giris'!$A$2:$A$550,0))&lt;=15,187.5,IF(INDEX('Maliyet Giris'!$G$2:$G$550,MATCH($A28,'Maliyet Giris'!$A$2:$A$550,0))&lt;=20,225,299))))))),""))</f>
        <v>90</v>
      </c>
      <c r="G28" s="14">
        <f t="array" ref="G28">IF($A28="","",IFERROR(INDEX('Maliyet Giris'!$F$2:$F$550,MATCH($A28,'Maliyet Giris'!$A$2:$A$550,0)),""))</f>
        <v>1260</v>
      </c>
      <c r="H28" s="14">
        <f t="shared" si="1"/>
        <v>13.19</v>
      </c>
      <c r="I28" s="14">
        <f t="shared" si="2"/>
        <v>14.15</v>
      </c>
      <c r="J28" s="14">
        <f t="shared" si="3"/>
        <v>12.50266667</v>
      </c>
      <c r="K28" s="14">
        <f t="shared" si="4"/>
        <v>48.36333333</v>
      </c>
      <c r="L28" s="15">
        <f t="shared" si="5"/>
        <v>0.02848252846</v>
      </c>
      <c r="M28" s="17" t="str">
        <f t="shared" si="6"/>
        <v>KÂRLI</v>
      </c>
      <c r="N28" s="17" t="str">
        <f t="shared" si="7"/>
        <v/>
      </c>
      <c r="O28" s="17">
        <f t="array" ref="O28">IF($A28="","",IFERROR(INDEX('Maliyet Giris'!$G$2:$G$550,MATCH($A28,'Maliyet Giris'!$A$2:$A$550,0)),""))</f>
        <v>3</v>
      </c>
      <c r="P28" s="17" t="str">
        <f t="shared" si="8"/>
        <v/>
      </c>
      <c r="Q28" s="17" t="str">
        <f t="shared" si="9"/>
        <v/>
      </c>
      <c r="R28" s="14">
        <f t="shared" si="10"/>
        <v>1639.821633</v>
      </c>
      <c r="S28" s="14">
        <f t="shared" si="11"/>
        <v>58.17836719</v>
      </c>
      <c r="T28" s="17" t="str">
        <f t="shared" si="12"/>
        <v>RİSKLİ</v>
      </c>
      <c r="U28" s="17" t="str">
        <f t="shared" si="13"/>
        <v>Minimum fiyat altına düşme</v>
      </c>
    </row>
    <row r="29">
      <c r="A29" s="2">
        <f>IFERROR(__xludf.DUMMYFUNCTION("""COMPUTED_VALUE"""),8.410650167909E12)</f>
        <v>8410650167909</v>
      </c>
      <c r="B29" s="17" t="str">
        <f>IFERROR(__xludf.DUMMYFUNCTION("""COMPUTED_VALUE"""),"Advance")</f>
        <v>Advance</v>
      </c>
      <c r="C29" s="28" t="str">
        <f>IFERROR(__xludf.DUMMYFUNCTION("""COMPUTED_VALUE"""),"Sensitive Somonlu Hassas Kısırlaştırılmış Kedi Maması 3 Kg")</f>
        <v>Sensitive Somonlu Hassas Kısırlaştırılmış Kedi Maması 3 Kg</v>
      </c>
      <c r="D29" s="14">
        <f>IFERROR(__xludf.DUMMYFUNCTION("""COMPUTED_VALUE"""),1799.0)</f>
        <v>1799</v>
      </c>
      <c r="E29" s="14">
        <f t="array" ref="E29">IF($A29="","",IFERROR($D29*IF($D29&gt;=INDEX('Komisyon Tarifesi'!$I$2:$I$1000,MATCH($A29,'Komisyon Tarifesi'!$B$2:$B$1000,0)),INDEX('Komisyon Tarifesi'!$O$2:$O$1000,MATCH($A29,'Komisyon Tarifesi'!$B$2:$B$1000,0)),IF($D29&gt;=INDEX('Komisyon Tarifesi'!$K$2:$K$1000,MATCH($A29,'Komisyon Tarifesi'!$B$2:$B$1000,0)),INDEX('Komisyon Tarifesi'!$P$2:$P$1000,MATCH($A29,'Komisyon Tarifesi'!$B$2:$B$1000,0)),IF($D29&gt;=INDEX('Komisyon Tarifesi'!$M$2:$M$1000,MATCH($A29,'Komisyon Tarifesi'!$B$2:$B$1000,0)),INDEX('Komisyon Tarifesi'!$Q$2:$Q$1000,MATCH($A29,'Komisyon Tarifesi'!$B$2:$B$1000,0)),INDEX('Komisyon Tarifesi'!$R$2:$R$1000,MATCH($A29,'Komisyon Tarifesi'!$B$2:$B$1000,0)))))/100,IFERROR(IF(VLOOKUP($A29,Products!$A$2:$W$1000,21,0)&lt;&gt;"",$D29*VLOOKUP($A29,Products!$A$2:$W$1000,21,0)/100,""),"")))</f>
        <v>296.835</v>
      </c>
      <c r="F29" s="14">
        <f t="array" ref="F29">IF($A29="","",IFERROR(IF(INDEX('Maliyet Giris'!$G$2:$G$550,MATCH($A29,'Maliyet Giris'!$A$2:$A$550,0))="","",IF(INDEX('Maliyet Giris'!$G$2:$G$550,MATCH($A29,'Maliyet Giris'!$A$2:$A$550,0))&lt;=2,86.4,IF(INDEX('Maliyet Giris'!$G$2:$G$550,MATCH($A29,'Maliyet Giris'!$A$2:$A$550,0))&lt;=3,90,IF(INDEX('Maliyet Giris'!$G$2:$G$550,MATCH($A29,'Maliyet Giris'!$A$2:$A$550,0))&lt;=5,102,IF(INDEX('Maliyet Giris'!$G$2:$G$550,MATCH($A29,'Maliyet Giris'!$A$2:$A$550,0))&lt;=10,159.74,IF(INDEX('Maliyet Giris'!$G$2:$G$550,MATCH($A29,'Maliyet Giris'!$A$2:$A$550,0))&lt;=15,187.5,IF(INDEX('Maliyet Giris'!$G$2:$G$550,MATCH($A29,'Maliyet Giris'!$A$2:$A$550,0))&lt;=20,225,299))))))),""))</f>
        <v>90</v>
      </c>
      <c r="G29" s="14">
        <f t="array" ref="G29">IF($A29="","",IFERROR(INDEX('Maliyet Giris'!$F$2:$F$550,MATCH($A29,'Maliyet Giris'!$A$2:$A$550,0)),""))</f>
        <v>1228</v>
      </c>
      <c r="H29" s="14">
        <f t="shared" si="1"/>
        <v>13.19</v>
      </c>
      <c r="I29" s="14">
        <f t="shared" si="2"/>
        <v>14.99166667</v>
      </c>
      <c r="J29" s="14">
        <f t="shared" si="3"/>
        <v>28.49583333</v>
      </c>
      <c r="K29" s="14">
        <f t="shared" si="4"/>
        <v>127.4875</v>
      </c>
      <c r="L29" s="15">
        <f t="shared" si="5"/>
        <v>0.07086575875</v>
      </c>
      <c r="M29" s="17" t="str">
        <f t="shared" si="6"/>
        <v>KÂRLI</v>
      </c>
      <c r="N29" s="17" t="str">
        <f t="shared" si="7"/>
        <v/>
      </c>
      <c r="O29" s="17">
        <f t="array" ref="O29">IF($A29="","",IFERROR(INDEX('Maliyet Giris'!$G$2:$G$550,MATCH($A29,'Maliyet Giris'!$A$2:$A$550,0)),""))</f>
        <v>3</v>
      </c>
      <c r="P29" s="17" t="str">
        <f t="shared" si="8"/>
        <v/>
      </c>
      <c r="Q29" s="17" t="str">
        <f t="shared" si="9"/>
        <v/>
      </c>
      <c r="R29" s="14">
        <f t="shared" si="10"/>
        <v>1641.767852</v>
      </c>
      <c r="S29" s="14">
        <f t="shared" si="11"/>
        <v>157.2321483</v>
      </c>
      <c r="T29" s="17" t="str">
        <f t="shared" si="12"/>
        <v>DÜŞÜK KÂR</v>
      </c>
      <c r="U29" s="17" t="str">
        <f t="shared" si="13"/>
        <v>Reklam/komisyon etkisini kontrol et</v>
      </c>
    </row>
    <row r="30">
      <c r="A30" s="2">
        <f>IFERROR(__xludf.DUMMYFUNCTION("""COMPUTED_VALUE"""),8.005852171108E12)</f>
        <v>8005852171108</v>
      </c>
      <c r="B30" s="17" t="str">
        <f>IFERROR(__xludf.DUMMYFUNCTION("""COMPUTED_VALUE"""),"Schesir")</f>
        <v>Schesir</v>
      </c>
      <c r="C30" s="28" t="str">
        <f>IFERROR(__xludf.DUMMYFUNCTION("""COMPUTED_VALUE"""),"Jelly Ton Balıklı Tavuk Ve Karidesli Kedi Yaş Maması 85gr Skt:09/2024")</f>
        <v>Jelly Ton Balıklı Tavuk Ve Karidesli Kedi Yaş Maması 85gr Skt:09/2024</v>
      </c>
      <c r="D30" s="14">
        <f>IFERROR(__xludf.DUMMYFUNCTION("""COMPUTED_VALUE"""),175.0)</f>
        <v>175</v>
      </c>
      <c r="E30" s="14">
        <f t="array" ref="E30">IF($A30="","",IFERROR($D30*IF($D30&gt;=INDEX('Komisyon Tarifesi'!$I$2:$I$1000,MATCH($A30,'Komisyon Tarifesi'!$B$2:$B$1000,0)),INDEX('Komisyon Tarifesi'!$O$2:$O$1000,MATCH($A30,'Komisyon Tarifesi'!$B$2:$B$1000,0)),IF($D30&gt;=INDEX('Komisyon Tarifesi'!$K$2:$K$1000,MATCH($A30,'Komisyon Tarifesi'!$B$2:$B$1000,0)),INDEX('Komisyon Tarifesi'!$P$2:$P$1000,MATCH($A30,'Komisyon Tarifesi'!$B$2:$B$1000,0)),IF($D30&gt;=INDEX('Komisyon Tarifesi'!$M$2:$M$1000,MATCH($A30,'Komisyon Tarifesi'!$B$2:$B$1000,0)),INDEX('Komisyon Tarifesi'!$Q$2:$Q$1000,MATCH($A30,'Komisyon Tarifesi'!$B$2:$B$1000,0)),INDEX('Komisyon Tarifesi'!$R$2:$R$1000,MATCH($A30,'Komisyon Tarifesi'!$B$2:$B$1000,0)))))/100,IFERROR(IF(VLOOKUP($A30,Products!$A$2:$W$1000,21,0)&lt;&gt;"",$D30*VLOOKUP($A30,Products!$A$2:$W$1000,21,0)/100,""),"")))</f>
        <v>28.875</v>
      </c>
      <c r="F30" s="14">
        <f t="array" ref="F30">IF($A30="","",IFERROR(IF(INDEX('Maliyet Giris'!$G$2:$G$550,MATCH($A30,'Maliyet Giris'!$A$2:$A$550,0))="","",IF(INDEX('Maliyet Giris'!$G$2:$G$550,MATCH($A30,'Maliyet Giris'!$A$2:$A$550,0))&lt;=2,86.4,IF(INDEX('Maliyet Giris'!$G$2:$G$550,MATCH($A30,'Maliyet Giris'!$A$2:$A$550,0))&lt;=3,90,IF(INDEX('Maliyet Giris'!$G$2:$G$550,MATCH($A30,'Maliyet Giris'!$A$2:$A$550,0))&lt;=5,102,IF(INDEX('Maliyet Giris'!$G$2:$G$550,MATCH($A30,'Maliyet Giris'!$A$2:$A$550,0))&lt;=10,159.74,IF(INDEX('Maliyet Giris'!$G$2:$G$550,MATCH($A30,'Maliyet Giris'!$A$2:$A$550,0))&lt;=15,187.5,IF(INDEX('Maliyet Giris'!$G$2:$G$550,MATCH($A30,'Maliyet Giris'!$A$2:$A$550,0))&lt;=20,225,299))))))),""))</f>
        <v>90</v>
      </c>
      <c r="G30" s="14" t="str">
        <f t="array" ref="G30">IF($A30="","",IFERROR(INDEX('Maliyet Giris'!$F$2:$F$550,MATCH($A30,'Maliyet Giris'!$A$2:$A$550,0)),""))</f>
        <v/>
      </c>
      <c r="H30" s="14">
        <f t="shared" si="1"/>
        <v>13.19</v>
      </c>
      <c r="I30" s="14">
        <f t="shared" si="2"/>
        <v>1.458333333</v>
      </c>
      <c r="J30" s="14" t="str">
        <f t="shared" si="3"/>
        <v/>
      </c>
      <c r="K30" s="14" t="str">
        <f t="shared" si="4"/>
        <v/>
      </c>
      <c r="L30" s="15" t="str">
        <f t="shared" si="5"/>
        <v/>
      </c>
      <c r="M30" s="17" t="str">
        <f t="shared" si="6"/>
        <v>EKSİK VERİ</v>
      </c>
      <c r="N30" s="17" t="str">
        <f t="shared" si="7"/>
        <v/>
      </c>
      <c r="O30" s="17">
        <f t="array" ref="O30">IF($A30="","",IFERROR(INDEX('Maliyet Giris'!$G$2:$G$550,MATCH($A30,'Maliyet Giris'!$A$2:$A$550,0)),""))</f>
        <v>3</v>
      </c>
      <c r="P30" s="17" t="str">
        <f t="shared" si="8"/>
        <v>Maliyet eksik</v>
      </c>
      <c r="Q30" s="17" t="str">
        <f t="shared" si="9"/>
        <v/>
      </c>
      <c r="R30" s="14" t="str">
        <f t="shared" si="10"/>
        <v/>
      </c>
      <c r="S30" s="14" t="str">
        <f t="shared" si="11"/>
        <v/>
      </c>
      <c r="T30" s="17" t="str">
        <f t="shared" si="12"/>
        <v>EKSİK VERİ</v>
      </c>
      <c r="U30" s="17" t="str">
        <f t="shared" si="13"/>
        <v>Maliyet/desi/komisyon tamamla</v>
      </c>
    </row>
    <row r="31">
      <c r="A31" s="2">
        <f>IFERROR(__xludf.DUMMYFUNCTION("""COMPUTED_VALUE"""),8.005852171054E12)</f>
        <v>8005852171054</v>
      </c>
      <c r="B31" s="17" t="str">
        <f>IFERROR(__xludf.DUMMYFUNCTION("""COMPUTED_VALUE"""),"Schesir")</f>
        <v>Schesir</v>
      </c>
      <c r="C31" s="28" t="str">
        <f>IFERROR(__xludf.DUMMYFUNCTION("""COMPUTED_VALUE"""),"Jelly Ton Balıklı ve Levrekli Pouch Kedi Konservesi 85 Gr")</f>
        <v>Jelly Ton Balıklı ve Levrekli Pouch Kedi Konservesi 85 Gr</v>
      </c>
      <c r="D31" s="14">
        <f>IFERROR(__xludf.DUMMYFUNCTION("""COMPUTED_VALUE"""),259.0)</f>
        <v>259</v>
      </c>
      <c r="E31" s="14">
        <f t="array" ref="E31">IF($A31="","",IFERROR($D31*IF($D31&gt;=INDEX('Komisyon Tarifesi'!$I$2:$I$1000,MATCH($A31,'Komisyon Tarifesi'!$B$2:$B$1000,0)),INDEX('Komisyon Tarifesi'!$O$2:$O$1000,MATCH($A31,'Komisyon Tarifesi'!$B$2:$B$1000,0)),IF($D31&gt;=INDEX('Komisyon Tarifesi'!$K$2:$K$1000,MATCH($A31,'Komisyon Tarifesi'!$B$2:$B$1000,0)),INDEX('Komisyon Tarifesi'!$P$2:$P$1000,MATCH($A31,'Komisyon Tarifesi'!$B$2:$B$1000,0)),IF($D31&gt;=INDEX('Komisyon Tarifesi'!$M$2:$M$1000,MATCH($A31,'Komisyon Tarifesi'!$B$2:$B$1000,0)),INDEX('Komisyon Tarifesi'!$Q$2:$Q$1000,MATCH($A31,'Komisyon Tarifesi'!$B$2:$B$1000,0)),INDEX('Komisyon Tarifesi'!$R$2:$R$1000,MATCH($A31,'Komisyon Tarifesi'!$B$2:$B$1000,0)))))/100,IFERROR(IF(VLOOKUP($A31,Products!$A$2:$W$1000,21,0)&lt;&gt;"",$D31*VLOOKUP($A31,Products!$A$2:$W$1000,21,0)/100,""),"")))</f>
        <v>42.735</v>
      </c>
      <c r="F31" s="14">
        <f t="array" ref="F31">IF($A31="","",IFERROR(IF(INDEX('Maliyet Giris'!$G$2:$G$550,MATCH($A31,'Maliyet Giris'!$A$2:$A$550,0))="","",IF(INDEX('Maliyet Giris'!$G$2:$G$550,MATCH($A31,'Maliyet Giris'!$A$2:$A$550,0))&lt;=2,86.4,IF(INDEX('Maliyet Giris'!$G$2:$G$550,MATCH($A31,'Maliyet Giris'!$A$2:$A$550,0))&lt;=3,90,IF(INDEX('Maliyet Giris'!$G$2:$G$550,MATCH($A31,'Maliyet Giris'!$A$2:$A$550,0))&lt;=5,102,IF(INDEX('Maliyet Giris'!$G$2:$G$550,MATCH($A31,'Maliyet Giris'!$A$2:$A$550,0))&lt;=10,159.74,IF(INDEX('Maliyet Giris'!$G$2:$G$550,MATCH($A31,'Maliyet Giris'!$A$2:$A$550,0))&lt;=15,187.5,IF(INDEX('Maliyet Giris'!$G$2:$G$550,MATCH($A31,'Maliyet Giris'!$A$2:$A$550,0))&lt;=20,225,299))))))),""))</f>
        <v>90</v>
      </c>
      <c r="G31" s="14" t="str">
        <f t="array" ref="G31">IF($A31="","",IFERROR(INDEX('Maliyet Giris'!$F$2:$F$550,MATCH($A31,'Maliyet Giris'!$A$2:$A$550,0)),""))</f>
        <v/>
      </c>
      <c r="H31" s="14">
        <f t="shared" si="1"/>
        <v>13.19</v>
      </c>
      <c r="I31" s="14">
        <f t="shared" si="2"/>
        <v>2.158333333</v>
      </c>
      <c r="J31" s="14" t="str">
        <f t="shared" si="3"/>
        <v/>
      </c>
      <c r="K31" s="14" t="str">
        <f t="shared" si="4"/>
        <v/>
      </c>
      <c r="L31" s="15" t="str">
        <f t="shared" si="5"/>
        <v/>
      </c>
      <c r="M31" s="17" t="str">
        <f t="shared" si="6"/>
        <v>EKSİK VERİ</v>
      </c>
      <c r="N31" s="17" t="str">
        <f t="shared" si="7"/>
        <v/>
      </c>
      <c r="O31" s="17">
        <f t="array" ref="O31">IF($A31="","",IFERROR(INDEX('Maliyet Giris'!$G$2:$G$550,MATCH($A31,'Maliyet Giris'!$A$2:$A$550,0)),""))</f>
        <v>3</v>
      </c>
      <c r="P31" s="17" t="str">
        <f t="shared" si="8"/>
        <v>Maliyet eksik</v>
      </c>
      <c r="Q31" s="17" t="str">
        <f t="shared" si="9"/>
        <v/>
      </c>
      <c r="R31" s="14" t="str">
        <f t="shared" si="10"/>
        <v/>
      </c>
      <c r="S31" s="14" t="str">
        <f t="shared" si="11"/>
        <v/>
      </c>
      <c r="T31" s="17" t="str">
        <f t="shared" si="12"/>
        <v>EKSİK VERİ</v>
      </c>
      <c r="U31" s="17" t="str">
        <f t="shared" si="13"/>
        <v>Maliyet/desi/komisyon tamamla</v>
      </c>
    </row>
    <row r="32">
      <c r="A32" s="2">
        <f>IFERROR(__xludf.DUMMYFUNCTION("""COMPUTED_VALUE"""),8.005852171115E12)</f>
        <v>8005852171115</v>
      </c>
      <c r="B32" s="17" t="str">
        <f>IFERROR(__xludf.DUMMYFUNCTION("""COMPUTED_VALUE"""),"Schesir")</f>
        <v>Schesir</v>
      </c>
      <c r="C32" s="28" t="str">
        <f>IFERROR(__xludf.DUMMYFUNCTION("""COMPUTED_VALUE"""),"Pouch Gravy Tavuklu Kıyılmış Kedi Yaş Maması 85 Gr")</f>
        <v>Pouch Gravy Tavuklu Kıyılmış Kedi Yaş Maması 85 Gr</v>
      </c>
      <c r="D32" s="14">
        <f>IFERROR(__xludf.DUMMYFUNCTION("""COMPUTED_VALUE"""),138.18)</f>
        <v>138.18</v>
      </c>
      <c r="E32" s="14">
        <f t="array" ref="E32">IF($A32="","",IFERROR($D32*IF($D32&gt;=INDEX('Komisyon Tarifesi'!$I$2:$I$1000,MATCH($A32,'Komisyon Tarifesi'!$B$2:$B$1000,0)),INDEX('Komisyon Tarifesi'!$O$2:$O$1000,MATCH($A32,'Komisyon Tarifesi'!$B$2:$B$1000,0)),IF($D32&gt;=INDEX('Komisyon Tarifesi'!$K$2:$K$1000,MATCH($A32,'Komisyon Tarifesi'!$B$2:$B$1000,0)),INDEX('Komisyon Tarifesi'!$P$2:$P$1000,MATCH($A32,'Komisyon Tarifesi'!$B$2:$B$1000,0)),IF($D32&gt;=INDEX('Komisyon Tarifesi'!$M$2:$M$1000,MATCH($A32,'Komisyon Tarifesi'!$B$2:$B$1000,0)),INDEX('Komisyon Tarifesi'!$Q$2:$Q$1000,MATCH($A32,'Komisyon Tarifesi'!$B$2:$B$1000,0)),INDEX('Komisyon Tarifesi'!$R$2:$R$1000,MATCH($A32,'Komisyon Tarifesi'!$B$2:$B$1000,0)))))/100,IFERROR(IF(VLOOKUP($A32,Products!$A$2:$W$1000,21,0)&lt;&gt;"",$D32*VLOOKUP($A32,Products!$A$2:$W$1000,21,0)/100,""),"")))</f>
        <v>22.7997</v>
      </c>
      <c r="F32" s="14">
        <f t="array" ref="F32">IF($A32="","",IFERROR(IF(INDEX('Maliyet Giris'!$G$2:$G$550,MATCH($A32,'Maliyet Giris'!$A$2:$A$550,0))="","",IF(INDEX('Maliyet Giris'!$G$2:$G$550,MATCH($A32,'Maliyet Giris'!$A$2:$A$550,0))&lt;=2,86.4,IF(INDEX('Maliyet Giris'!$G$2:$G$550,MATCH($A32,'Maliyet Giris'!$A$2:$A$550,0))&lt;=3,90,IF(INDEX('Maliyet Giris'!$G$2:$G$550,MATCH($A32,'Maliyet Giris'!$A$2:$A$550,0))&lt;=5,102,IF(INDEX('Maliyet Giris'!$G$2:$G$550,MATCH($A32,'Maliyet Giris'!$A$2:$A$550,0))&lt;=10,159.74,IF(INDEX('Maliyet Giris'!$G$2:$G$550,MATCH($A32,'Maliyet Giris'!$A$2:$A$550,0))&lt;=15,187.5,IF(INDEX('Maliyet Giris'!$G$2:$G$550,MATCH($A32,'Maliyet Giris'!$A$2:$A$550,0))&lt;=20,225,299))))))),""))</f>
        <v>90</v>
      </c>
      <c r="G32" s="14" t="str">
        <f t="array" ref="G32">IF($A32="","",IFERROR(INDEX('Maliyet Giris'!$F$2:$F$550,MATCH($A32,'Maliyet Giris'!$A$2:$A$550,0)),""))</f>
        <v/>
      </c>
      <c r="H32" s="14">
        <f t="shared" si="1"/>
        <v>13.19</v>
      </c>
      <c r="I32" s="14">
        <f t="shared" si="2"/>
        <v>1.1515</v>
      </c>
      <c r="J32" s="14" t="str">
        <f t="shared" si="3"/>
        <v/>
      </c>
      <c r="K32" s="14" t="str">
        <f t="shared" si="4"/>
        <v/>
      </c>
      <c r="L32" s="15" t="str">
        <f t="shared" si="5"/>
        <v/>
      </c>
      <c r="M32" s="17" t="str">
        <f t="shared" si="6"/>
        <v>EKSİK VERİ</v>
      </c>
      <c r="N32" s="17" t="str">
        <f t="shared" si="7"/>
        <v/>
      </c>
      <c r="O32" s="17">
        <f t="array" ref="O32">IF($A32="","",IFERROR(INDEX('Maliyet Giris'!$G$2:$G$550,MATCH($A32,'Maliyet Giris'!$A$2:$A$550,0)),""))</f>
        <v>3</v>
      </c>
      <c r="P32" s="17" t="str">
        <f t="shared" si="8"/>
        <v>Maliyet eksik</v>
      </c>
      <c r="Q32" s="17" t="str">
        <f t="shared" si="9"/>
        <v/>
      </c>
      <c r="R32" s="14" t="str">
        <f t="shared" si="10"/>
        <v/>
      </c>
      <c r="S32" s="14" t="str">
        <f t="shared" si="11"/>
        <v/>
      </c>
      <c r="T32" s="17" t="str">
        <f t="shared" si="12"/>
        <v>EKSİK VERİ</v>
      </c>
      <c r="U32" s="17" t="str">
        <f t="shared" si="13"/>
        <v>Maliyet/desi/komisyon tamamla</v>
      </c>
    </row>
    <row r="33">
      <c r="A33" s="2">
        <f>IFERROR(__xludf.DUMMYFUNCTION("""COMPUTED_VALUE"""),7.613033560033E12)</f>
        <v>7613033560033</v>
      </c>
      <c r="B33" s="17" t="str">
        <f>IFERROR(__xludf.DUMMYFUNCTION("""COMPUTED_VALUE"""),"Pro Plan")</f>
        <v>Pro Plan</v>
      </c>
      <c r="C33" s="28" t="str">
        <f>IFERROR(__xludf.DUMMYFUNCTION("""COMPUTED_VALUE"""),"Sterilised Hindi-Tavuk Kısırlaştırılmış Kedi Maması 3 Kg")</f>
        <v>Sterilised Hindi-Tavuk Kısırlaştırılmış Kedi Maması 3 Kg</v>
      </c>
      <c r="D33" s="14">
        <f>IFERROR(__xludf.DUMMYFUNCTION("""COMPUTED_VALUE"""),1299.0)</f>
        <v>1299</v>
      </c>
      <c r="E33" s="14">
        <f t="array" ref="E33">IF($A33="","",IFERROR($D33*IF($D33&gt;=INDEX('Komisyon Tarifesi'!$I$2:$I$1000,MATCH($A33,'Komisyon Tarifesi'!$B$2:$B$1000,0)),INDEX('Komisyon Tarifesi'!$O$2:$O$1000,MATCH($A33,'Komisyon Tarifesi'!$B$2:$B$1000,0)),IF($D33&gt;=INDEX('Komisyon Tarifesi'!$K$2:$K$1000,MATCH($A33,'Komisyon Tarifesi'!$B$2:$B$1000,0)),INDEX('Komisyon Tarifesi'!$P$2:$P$1000,MATCH($A33,'Komisyon Tarifesi'!$B$2:$B$1000,0)),IF($D33&gt;=INDEX('Komisyon Tarifesi'!$M$2:$M$1000,MATCH($A33,'Komisyon Tarifesi'!$B$2:$B$1000,0)),INDEX('Komisyon Tarifesi'!$Q$2:$Q$1000,MATCH($A33,'Komisyon Tarifesi'!$B$2:$B$1000,0)),INDEX('Komisyon Tarifesi'!$R$2:$R$1000,MATCH($A33,'Komisyon Tarifesi'!$B$2:$B$1000,0)))))/100,IFERROR(IF(VLOOKUP($A33,Products!$A$2:$W$1000,21,0)&lt;&gt;"",$D33*VLOOKUP($A33,Products!$A$2:$W$1000,21,0)/100,""),"")))</f>
        <v>116.91</v>
      </c>
      <c r="F33" s="14">
        <f t="array" ref="F33">IF($A33="","",IFERROR(IF(INDEX('Maliyet Giris'!$G$2:$G$550,MATCH($A33,'Maliyet Giris'!$A$2:$A$550,0))="","",IF(INDEX('Maliyet Giris'!$G$2:$G$550,MATCH($A33,'Maliyet Giris'!$A$2:$A$550,0))&lt;=2,86.4,IF(INDEX('Maliyet Giris'!$G$2:$G$550,MATCH($A33,'Maliyet Giris'!$A$2:$A$550,0))&lt;=3,90,IF(INDEX('Maliyet Giris'!$G$2:$G$550,MATCH($A33,'Maliyet Giris'!$A$2:$A$550,0))&lt;=5,102,IF(INDEX('Maliyet Giris'!$G$2:$G$550,MATCH($A33,'Maliyet Giris'!$A$2:$A$550,0))&lt;=10,159.74,IF(INDEX('Maliyet Giris'!$G$2:$G$550,MATCH($A33,'Maliyet Giris'!$A$2:$A$550,0))&lt;=15,187.5,IF(INDEX('Maliyet Giris'!$G$2:$G$550,MATCH($A33,'Maliyet Giris'!$A$2:$A$550,0))&lt;=20,225,299))))))),""))</f>
        <v>90</v>
      </c>
      <c r="G33" s="14">
        <f t="array" ref="G33">IF($A33="","",IFERROR(INDEX('Maliyet Giris'!$F$2:$F$550,MATCH($A33,'Maliyet Giris'!$A$2:$A$550,0)),""))</f>
        <v>1165</v>
      </c>
      <c r="H33" s="14">
        <f t="shared" si="1"/>
        <v>13.19</v>
      </c>
      <c r="I33" s="14">
        <f t="shared" si="2"/>
        <v>10.825</v>
      </c>
      <c r="J33" s="14">
        <f t="shared" si="3"/>
        <v>0</v>
      </c>
      <c r="K33" s="14">
        <f t="shared" si="4"/>
        <v>-96.925</v>
      </c>
      <c r="L33" s="15">
        <f t="shared" si="5"/>
        <v>-0.07461508853</v>
      </c>
      <c r="M33" s="17" t="str">
        <f t="shared" si="6"/>
        <v>ZARAR</v>
      </c>
      <c r="N33" s="17" t="str">
        <f t="shared" si="7"/>
        <v/>
      </c>
      <c r="O33" s="17">
        <f t="array" ref="O33">IF($A33="","",IFERROR(INDEX('Maliyet Giris'!$G$2:$G$550,MATCH($A33,'Maliyet Giris'!$A$2:$A$550,0)),""))</f>
        <v>3</v>
      </c>
      <c r="P33" s="17" t="str">
        <f t="shared" si="8"/>
        <v/>
      </c>
      <c r="Q33" s="17" t="str">
        <f t="shared" si="9"/>
        <v/>
      </c>
      <c r="R33" s="14">
        <f t="shared" si="10"/>
        <v>1406.494859</v>
      </c>
      <c r="S33" s="14">
        <f t="shared" si="11"/>
        <v>-107.494859</v>
      </c>
      <c r="T33" s="17" t="str">
        <f t="shared" si="12"/>
        <v>ZARAR</v>
      </c>
      <c r="U33" s="17" t="str">
        <f t="shared" si="13"/>
        <v>Fiyat, maliyet veya kampanya kontrol et</v>
      </c>
    </row>
    <row r="34">
      <c r="A34" s="2">
        <f>IFERROR(__xludf.DUMMYFUNCTION("""COMPUTED_VALUE"""),8.681002995178E12)</f>
        <v>8681002995178</v>
      </c>
      <c r="B34" s="17" t="str">
        <f>IFERROR(__xludf.DUMMYFUNCTION("""COMPUTED_VALUE"""),"Whiskas")</f>
        <v>Whiskas</v>
      </c>
      <c r="C34" s="28" t="str">
        <f>IFERROR(__xludf.DUMMYFUNCTION("""COMPUTED_VALUE"""),"Tavuklu Konserve Kedi Maması 400 gr 24x")</f>
        <v>Tavuklu Konserve Kedi Maması 400 gr 24x</v>
      </c>
      <c r="D34" s="14">
        <f>IFERROR(__xludf.DUMMYFUNCTION("""COMPUTED_VALUE"""),2065.0)</f>
        <v>2065</v>
      </c>
      <c r="E34" s="14">
        <f t="array" ref="E34">IF($A34="","",IFERROR($D34*IF($D34&gt;=INDEX('Komisyon Tarifesi'!$I$2:$I$1000,MATCH($A34,'Komisyon Tarifesi'!$B$2:$B$1000,0)),INDEX('Komisyon Tarifesi'!$O$2:$O$1000,MATCH($A34,'Komisyon Tarifesi'!$B$2:$B$1000,0)),IF($D34&gt;=INDEX('Komisyon Tarifesi'!$K$2:$K$1000,MATCH($A34,'Komisyon Tarifesi'!$B$2:$B$1000,0)),INDEX('Komisyon Tarifesi'!$P$2:$P$1000,MATCH($A34,'Komisyon Tarifesi'!$B$2:$B$1000,0)),IF($D34&gt;=INDEX('Komisyon Tarifesi'!$M$2:$M$1000,MATCH($A34,'Komisyon Tarifesi'!$B$2:$B$1000,0)),INDEX('Komisyon Tarifesi'!$Q$2:$Q$1000,MATCH($A34,'Komisyon Tarifesi'!$B$2:$B$1000,0)),INDEX('Komisyon Tarifesi'!$R$2:$R$1000,MATCH($A34,'Komisyon Tarifesi'!$B$2:$B$1000,0)))))/100,IFERROR(IF(VLOOKUP($A34,Products!$A$2:$W$1000,21,0)&lt;&gt;"",$D34*VLOOKUP($A34,Products!$A$2:$W$1000,21,0)/100,""),"")))</f>
        <v>278.775</v>
      </c>
      <c r="F34" s="14">
        <f t="array" ref="F34">IF($A34="","",IFERROR(IF(INDEX('Maliyet Giris'!$G$2:$G$550,MATCH($A34,'Maliyet Giris'!$A$2:$A$550,0))="","",IF(INDEX('Maliyet Giris'!$G$2:$G$550,MATCH($A34,'Maliyet Giris'!$A$2:$A$550,0))&lt;=2,86.4,IF(INDEX('Maliyet Giris'!$G$2:$G$550,MATCH($A34,'Maliyet Giris'!$A$2:$A$550,0))&lt;=3,90,IF(INDEX('Maliyet Giris'!$G$2:$G$550,MATCH($A34,'Maliyet Giris'!$A$2:$A$550,0))&lt;=5,102,IF(INDEX('Maliyet Giris'!$G$2:$G$550,MATCH($A34,'Maliyet Giris'!$A$2:$A$550,0))&lt;=10,159.74,IF(INDEX('Maliyet Giris'!$G$2:$G$550,MATCH($A34,'Maliyet Giris'!$A$2:$A$550,0))&lt;=15,187.5,IF(INDEX('Maliyet Giris'!$G$2:$G$550,MATCH($A34,'Maliyet Giris'!$A$2:$A$550,0))&lt;=20,225,299))))))),""))</f>
        <v>90</v>
      </c>
      <c r="G34" s="14" t="str">
        <f t="array" ref="G34">IF($A34="","",IFERROR(INDEX('Maliyet Giris'!$F$2:$F$550,MATCH($A34,'Maliyet Giris'!$A$2:$A$550,0)),""))</f>
        <v/>
      </c>
      <c r="H34" s="14">
        <f t="shared" si="1"/>
        <v>13.19</v>
      </c>
      <c r="I34" s="14">
        <f t="shared" si="2"/>
        <v>17.20833333</v>
      </c>
      <c r="J34" s="14" t="str">
        <f t="shared" si="3"/>
        <v/>
      </c>
      <c r="K34" s="14" t="str">
        <f t="shared" si="4"/>
        <v/>
      </c>
      <c r="L34" s="15" t="str">
        <f t="shared" si="5"/>
        <v/>
      </c>
      <c r="M34" s="17" t="str">
        <f t="shared" si="6"/>
        <v>EKSİK VERİ</v>
      </c>
      <c r="N34" s="17" t="str">
        <f t="shared" si="7"/>
        <v/>
      </c>
      <c r="O34" s="17">
        <f t="array" ref="O34">IF($A34="","",IFERROR(INDEX('Maliyet Giris'!$G$2:$G$550,MATCH($A34,'Maliyet Giris'!$A$2:$A$550,0)),""))</f>
        <v>3</v>
      </c>
      <c r="P34" s="17" t="str">
        <f t="shared" si="8"/>
        <v>Maliyet eksik</v>
      </c>
      <c r="Q34" s="17" t="str">
        <f t="shared" si="9"/>
        <v/>
      </c>
      <c r="R34" s="14" t="str">
        <f t="shared" si="10"/>
        <v/>
      </c>
      <c r="S34" s="14" t="str">
        <f t="shared" si="11"/>
        <v/>
      </c>
      <c r="T34" s="17" t="str">
        <f t="shared" si="12"/>
        <v>EKSİK VERİ</v>
      </c>
      <c r="U34" s="17" t="str">
        <f t="shared" si="13"/>
        <v>Maliyet/desi/komisyon tamamla</v>
      </c>
    </row>
    <row r="35">
      <c r="A35" s="2">
        <f>IFERROR(__xludf.DUMMYFUNCTION("""COMPUTED_VALUE"""),8.681002994201E12)</f>
        <v>8681002994201</v>
      </c>
      <c r="B35" s="17" t="str">
        <f>IFERROR(__xludf.DUMMYFUNCTION("""COMPUTED_VALUE"""),"Dreamies")</f>
        <v>Dreamies</v>
      </c>
      <c r="C35" s="28" t="str">
        <f>IFERROR(__xludf.DUMMYFUNCTION("""COMPUTED_VALUE"""),"Somonlu Mega Kedi Ödül Maması 180 G 4X")</f>
        <v>Somonlu Mega Kedi Ödül Maması 180 G 4X</v>
      </c>
      <c r="D35" s="14">
        <f>IFERROR(__xludf.DUMMYFUNCTION("""COMPUTED_VALUE"""),414.5)</f>
        <v>414.5</v>
      </c>
      <c r="E35" s="14">
        <f t="array" ref="E35">IF($A35="","",IFERROR($D35*IF($D35&gt;=INDEX('Komisyon Tarifesi'!$I$2:$I$1000,MATCH($A35,'Komisyon Tarifesi'!$B$2:$B$1000,0)),INDEX('Komisyon Tarifesi'!$O$2:$O$1000,MATCH($A35,'Komisyon Tarifesi'!$B$2:$B$1000,0)),IF($D35&gt;=INDEX('Komisyon Tarifesi'!$K$2:$K$1000,MATCH($A35,'Komisyon Tarifesi'!$B$2:$B$1000,0)),INDEX('Komisyon Tarifesi'!$P$2:$P$1000,MATCH($A35,'Komisyon Tarifesi'!$B$2:$B$1000,0)),IF($D35&gt;=INDEX('Komisyon Tarifesi'!$M$2:$M$1000,MATCH($A35,'Komisyon Tarifesi'!$B$2:$B$1000,0)),INDEX('Komisyon Tarifesi'!$Q$2:$Q$1000,MATCH($A35,'Komisyon Tarifesi'!$B$2:$B$1000,0)),INDEX('Komisyon Tarifesi'!$R$2:$R$1000,MATCH($A35,'Komisyon Tarifesi'!$B$2:$B$1000,0)))))/100,IFERROR(IF(VLOOKUP($A35,Products!$A$2:$W$1000,21,0)&lt;&gt;"",$D35*VLOOKUP($A35,Products!$A$2:$W$1000,21,0)/100,""),"")))</f>
        <v>82.9</v>
      </c>
      <c r="F35" s="14">
        <f t="array" ref="F35">IF($A35="","",IFERROR(IF(INDEX('Maliyet Giris'!$G$2:$G$550,MATCH($A35,'Maliyet Giris'!$A$2:$A$550,0))="","",IF(INDEX('Maliyet Giris'!$G$2:$G$550,MATCH($A35,'Maliyet Giris'!$A$2:$A$550,0))&lt;=2,86.4,IF(INDEX('Maliyet Giris'!$G$2:$G$550,MATCH($A35,'Maliyet Giris'!$A$2:$A$550,0))&lt;=3,90,IF(INDEX('Maliyet Giris'!$G$2:$G$550,MATCH($A35,'Maliyet Giris'!$A$2:$A$550,0))&lt;=5,102,IF(INDEX('Maliyet Giris'!$G$2:$G$550,MATCH($A35,'Maliyet Giris'!$A$2:$A$550,0))&lt;=10,159.74,IF(INDEX('Maliyet Giris'!$G$2:$G$550,MATCH($A35,'Maliyet Giris'!$A$2:$A$550,0))&lt;=15,187.5,IF(INDEX('Maliyet Giris'!$G$2:$G$550,MATCH($A35,'Maliyet Giris'!$A$2:$A$550,0))&lt;=20,225,299))))))),""))</f>
        <v>86.4</v>
      </c>
      <c r="G35" s="14">
        <f t="array" ref="G35">IF($A35="","",IFERROR(INDEX('Maliyet Giris'!$F$2:$F$550,MATCH($A35,'Maliyet Giris'!$A$2:$A$550,0)),""))</f>
        <v>85</v>
      </c>
      <c r="H35" s="14">
        <f t="shared" si="1"/>
        <v>13.19</v>
      </c>
      <c r="I35" s="14">
        <f t="shared" si="2"/>
        <v>3.454166667</v>
      </c>
      <c r="J35" s="14">
        <f t="shared" si="3"/>
        <v>24.50166667</v>
      </c>
      <c r="K35" s="14">
        <f t="shared" si="4"/>
        <v>119.0541667</v>
      </c>
      <c r="L35" s="15">
        <f t="shared" si="5"/>
        <v>0.2872235625</v>
      </c>
      <c r="M35" s="17" t="str">
        <f t="shared" si="6"/>
        <v>KÂRLI</v>
      </c>
      <c r="N35" s="17" t="str">
        <f t="shared" si="7"/>
        <v/>
      </c>
      <c r="O35" s="17">
        <f t="array" ref="O35">IF($A35="","",IFERROR(INDEX('Maliyet Giris'!$G$2:$G$550,MATCH($A35,'Maliyet Giris'!$A$2:$A$550,0)),""))</f>
        <v>0.5</v>
      </c>
      <c r="P35" s="17" t="str">
        <f t="shared" si="8"/>
        <v/>
      </c>
      <c r="Q35" s="17" t="str">
        <f t="shared" si="9"/>
        <v/>
      </c>
      <c r="R35" s="14">
        <f t="shared" si="10"/>
        <v>251.9808664</v>
      </c>
      <c r="S35" s="14">
        <f t="shared" si="11"/>
        <v>162.5191336</v>
      </c>
      <c r="T35" s="17" t="str">
        <f t="shared" si="12"/>
        <v>ÇOK KÂRLI</v>
      </c>
      <c r="U35" s="17" t="str">
        <f t="shared" si="13"/>
        <v>Stok ve BuyBox takibini artır</v>
      </c>
    </row>
    <row r="36">
      <c r="A36" s="2" t="str">
        <f>IFERROR(__xludf.DUMMYFUNCTION("""COMPUTED_VALUE"""),"TYBPC0369DN0S47078")</f>
        <v>TYBPC0369DN0S47078</v>
      </c>
      <c r="B36" s="17" t="str">
        <f>IFERROR(__xludf.DUMMYFUNCTION("""COMPUTED_VALUE"""),"Whiskas")</f>
        <v>Whiskas</v>
      </c>
      <c r="C36" s="28" t="str">
        <f>IFERROR(__xludf.DUMMYFUNCTION("""COMPUTED_VALUE"""),"Sığır - Tavuk - Somon - Ton Balıklı Karışık Yaş Kedi Maması 28 Adet 85 Gr.")</f>
        <v>Sığır - Tavuk - Somon - Ton Balıklı Karışık Yaş Kedi Maması 28 Adet 85 Gr.</v>
      </c>
      <c r="D36" s="14">
        <f>IFERROR(__xludf.DUMMYFUNCTION("""COMPUTED_VALUE"""),690.0)</f>
        <v>690</v>
      </c>
      <c r="E36" s="14">
        <f t="array" ref="E36">IF($A36="","",IFERROR($D36*IF($D36&gt;=INDEX('Komisyon Tarifesi'!$I$2:$I$1000,MATCH($A36,'Komisyon Tarifesi'!$B$2:$B$1000,0)),INDEX('Komisyon Tarifesi'!$O$2:$O$1000,MATCH($A36,'Komisyon Tarifesi'!$B$2:$B$1000,0)),IF($D36&gt;=INDEX('Komisyon Tarifesi'!$K$2:$K$1000,MATCH($A36,'Komisyon Tarifesi'!$B$2:$B$1000,0)),INDEX('Komisyon Tarifesi'!$P$2:$P$1000,MATCH($A36,'Komisyon Tarifesi'!$B$2:$B$1000,0)),IF($D36&gt;=INDEX('Komisyon Tarifesi'!$M$2:$M$1000,MATCH($A36,'Komisyon Tarifesi'!$B$2:$B$1000,0)),INDEX('Komisyon Tarifesi'!$Q$2:$Q$1000,MATCH($A36,'Komisyon Tarifesi'!$B$2:$B$1000,0)),INDEX('Komisyon Tarifesi'!$R$2:$R$1000,MATCH($A36,'Komisyon Tarifesi'!$B$2:$B$1000,0)))))/100,IFERROR(IF(VLOOKUP($A36,Products!$A$2:$W$1000,21,0)&lt;&gt;"",$D36*VLOOKUP($A36,Products!$A$2:$W$1000,21,0)/100,""),"")))</f>
        <v>93.15</v>
      </c>
      <c r="F36" s="14">
        <f t="array" ref="F36">IF($A36="","",IFERROR(IF(INDEX('Maliyet Giris'!$G$2:$G$550,MATCH($A36,'Maliyet Giris'!$A$2:$A$550,0))="","",IF(INDEX('Maliyet Giris'!$G$2:$G$550,MATCH($A36,'Maliyet Giris'!$A$2:$A$550,0))&lt;=2,86.4,IF(INDEX('Maliyet Giris'!$G$2:$G$550,MATCH($A36,'Maliyet Giris'!$A$2:$A$550,0))&lt;=3,90,IF(INDEX('Maliyet Giris'!$G$2:$G$550,MATCH($A36,'Maliyet Giris'!$A$2:$A$550,0))&lt;=5,102,IF(INDEX('Maliyet Giris'!$G$2:$G$550,MATCH($A36,'Maliyet Giris'!$A$2:$A$550,0))&lt;=10,159.74,IF(INDEX('Maliyet Giris'!$G$2:$G$550,MATCH($A36,'Maliyet Giris'!$A$2:$A$550,0))&lt;=15,187.5,IF(INDEX('Maliyet Giris'!$G$2:$G$550,MATCH($A36,'Maliyet Giris'!$A$2:$A$550,0))&lt;=20,225,299))))))),""))</f>
        <v>90</v>
      </c>
      <c r="G36" s="14">
        <f t="array" ref="G36">IF($A36="","",IFERROR(INDEX('Maliyet Giris'!$F$2:$F$550,MATCH($A36,'Maliyet Giris'!$A$2:$A$550,0)),""))</f>
        <v>1</v>
      </c>
      <c r="H36" s="14">
        <f t="shared" si="1"/>
        <v>13.19</v>
      </c>
      <c r="I36" s="14">
        <f t="shared" si="2"/>
        <v>5.75</v>
      </c>
      <c r="J36" s="14">
        <f t="shared" si="3"/>
        <v>82.11</v>
      </c>
      <c r="K36" s="14">
        <f t="shared" si="4"/>
        <v>404.8</v>
      </c>
      <c r="L36" s="15">
        <f t="shared" si="5"/>
        <v>0.5866666667</v>
      </c>
      <c r="M36" s="17" t="str">
        <f t="shared" si="6"/>
        <v>KÂRLI</v>
      </c>
      <c r="N36" s="17" t="str">
        <f t="shared" si="7"/>
        <v/>
      </c>
      <c r="O36" s="17">
        <f t="array" ref="O36">IF($A36="","",IFERROR(INDEX('Maliyet Giris'!$G$2:$G$550,MATCH($A36,'Maliyet Giris'!$A$2:$A$550,0)),""))</f>
        <v>3</v>
      </c>
      <c r="P36" s="17" t="str">
        <f t="shared" si="8"/>
        <v/>
      </c>
      <c r="Q36" s="17" t="str">
        <f t="shared" si="9"/>
        <v/>
      </c>
      <c r="R36" s="14">
        <f t="shared" si="10"/>
        <v>141.2425932</v>
      </c>
      <c r="S36" s="14">
        <f t="shared" si="11"/>
        <v>548.7574068</v>
      </c>
      <c r="T36" s="17" t="str">
        <f t="shared" si="12"/>
        <v>ÇOK KÂRLI</v>
      </c>
      <c r="U36" s="17" t="str">
        <f t="shared" si="13"/>
        <v>Stok ve BuyBox takibini artır</v>
      </c>
    </row>
    <row r="37">
      <c r="A37" s="2">
        <f>IFERROR(__xludf.DUMMYFUNCTION("""COMPUTED_VALUE"""),8.745236589541E12)</f>
        <v>8745236589541</v>
      </c>
      <c r="B37" s="17" t="str">
        <f>IFERROR(__xludf.DUMMYFUNCTION("""COMPUTED_VALUE"""),"FELIX")</f>
        <v>FELIX</v>
      </c>
      <c r="C37" s="28" t="str">
        <f>IFERROR(__xludf.DUMMYFUNCTION("""COMPUTED_VALUE"""),"Pouch Karışık Yaş Kedi Maması 100 Adet")</f>
        <v>Pouch Karışık Yaş Kedi Maması 100 Adet</v>
      </c>
      <c r="D37" s="14">
        <f>IFERROR(__xludf.DUMMYFUNCTION("""COMPUTED_VALUE"""),2247.0)</f>
        <v>2247</v>
      </c>
      <c r="E37" s="14">
        <f t="array" ref="E37">IF($A37="","",IFERROR($D37*IF($D37&gt;=INDEX('Komisyon Tarifesi'!$I$2:$I$1000,MATCH($A37,'Komisyon Tarifesi'!$B$2:$B$1000,0)),INDEX('Komisyon Tarifesi'!$O$2:$O$1000,MATCH($A37,'Komisyon Tarifesi'!$B$2:$B$1000,0)),IF($D37&gt;=INDEX('Komisyon Tarifesi'!$K$2:$K$1000,MATCH($A37,'Komisyon Tarifesi'!$B$2:$B$1000,0)),INDEX('Komisyon Tarifesi'!$P$2:$P$1000,MATCH($A37,'Komisyon Tarifesi'!$B$2:$B$1000,0)),IF($D37&gt;=INDEX('Komisyon Tarifesi'!$M$2:$M$1000,MATCH($A37,'Komisyon Tarifesi'!$B$2:$B$1000,0)),INDEX('Komisyon Tarifesi'!$Q$2:$Q$1000,MATCH($A37,'Komisyon Tarifesi'!$B$2:$B$1000,0)),INDEX('Komisyon Tarifesi'!$R$2:$R$1000,MATCH($A37,'Komisyon Tarifesi'!$B$2:$B$1000,0)))))/100,IFERROR(IF(VLOOKUP($A37,Products!$A$2:$W$1000,21,0)&lt;&gt;"",$D37*VLOOKUP($A37,Products!$A$2:$W$1000,21,0)/100,""),"")))</f>
        <v>303.345</v>
      </c>
      <c r="F37" s="14">
        <f t="array" ref="F37">IF($A37="","",IFERROR(IF(INDEX('Maliyet Giris'!$G$2:$G$550,MATCH($A37,'Maliyet Giris'!$A$2:$A$550,0))="","",IF(INDEX('Maliyet Giris'!$G$2:$G$550,MATCH($A37,'Maliyet Giris'!$A$2:$A$550,0))&lt;=2,86.4,IF(INDEX('Maliyet Giris'!$G$2:$G$550,MATCH($A37,'Maliyet Giris'!$A$2:$A$550,0))&lt;=3,90,IF(INDEX('Maliyet Giris'!$G$2:$G$550,MATCH($A37,'Maliyet Giris'!$A$2:$A$550,0))&lt;=5,102,IF(INDEX('Maliyet Giris'!$G$2:$G$550,MATCH($A37,'Maliyet Giris'!$A$2:$A$550,0))&lt;=10,159.74,IF(INDEX('Maliyet Giris'!$G$2:$G$550,MATCH($A37,'Maliyet Giris'!$A$2:$A$550,0))&lt;=15,187.5,IF(INDEX('Maliyet Giris'!$G$2:$G$550,MATCH($A37,'Maliyet Giris'!$A$2:$A$550,0))&lt;=20,225,299))))))),""))</f>
        <v>90</v>
      </c>
      <c r="G37" s="14">
        <f t="array" ref="G37">IF($A37="","",IFERROR(INDEX('Maliyet Giris'!$F$2:$F$550,MATCH($A37,'Maliyet Giris'!$A$2:$A$550,0)),""))</f>
        <v>1500</v>
      </c>
      <c r="H37" s="14">
        <f t="shared" si="1"/>
        <v>13.19</v>
      </c>
      <c r="I37" s="14">
        <f t="shared" si="2"/>
        <v>18.725</v>
      </c>
      <c r="J37" s="14">
        <f t="shared" si="3"/>
        <v>56.74416667</v>
      </c>
      <c r="K37" s="14">
        <f t="shared" si="4"/>
        <v>264.9958333</v>
      </c>
      <c r="L37" s="15">
        <f t="shared" si="5"/>
        <v>0.1179331702</v>
      </c>
      <c r="M37" s="17" t="str">
        <f t="shared" si="6"/>
        <v>KÂRLI</v>
      </c>
      <c r="N37" s="17" t="str">
        <f t="shared" si="7"/>
        <v/>
      </c>
      <c r="O37" s="17">
        <f t="array" ref="O37">IF($A37="","",IFERROR(INDEX('Maliyet Giris'!$G$2:$G$550,MATCH($A37,'Maliyet Giris'!$A$2:$A$550,0)),""))</f>
        <v>3</v>
      </c>
      <c r="P37" s="17" t="str">
        <f t="shared" si="8"/>
        <v/>
      </c>
      <c r="Q37" s="17" t="str">
        <f t="shared" si="9"/>
        <v/>
      </c>
      <c r="R37" s="14">
        <f t="shared" si="10"/>
        <v>1928.269887</v>
      </c>
      <c r="S37" s="14">
        <f t="shared" si="11"/>
        <v>318.730113</v>
      </c>
      <c r="T37" s="17" t="str">
        <f t="shared" si="12"/>
        <v>SAĞLIKLI</v>
      </c>
      <c r="U37" s="17" t="str">
        <f t="shared" si="13"/>
        <v>Takip et</v>
      </c>
    </row>
    <row r="38">
      <c r="A38" s="2">
        <f>IFERROR(__xludf.DUMMYFUNCTION("""COMPUTED_VALUE"""),8.694867251443E12)</f>
        <v>8694867251443</v>
      </c>
      <c r="B38" s="17" t="str">
        <f>IFERROR(__xludf.DUMMYFUNCTION("""COMPUTED_VALUE"""),"Purina Felix")</f>
        <v>Purina Felix</v>
      </c>
      <c r="C38" s="28" t="str">
        <f>IFERROR(__xludf.DUMMYFUNCTION("""COMPUTED_VALUE"""),"Felix Karışık Yaş Kedi Maması 20 Adet")</f>
        <v>Felix Karışık Yaş Kedi Maması 20 Adet</v>
      </c>
      <c r="D38" s="14">
        <f>IFERROR(__xludf.DUMMYFUNCTION("""COMPUTED_VALUE"""),476.0)</f>
        <v>476</v>
      </c>
      <c r="E38" s="14">
        <f t="array" ref="E38">IF($A38="","",IFERROR($D38*IF($D38&gt;=INDEX('Komisyon Tarifesi'!$I$2:$I$1000,MATCH($A38,'Komisyon Tarifesi'!$B$2:$B$1000,0)),INDEX('Komisyon Tarifesi'!$O$2:$O$1000,MATCH($A38,'Komisyon Tarifesi'!$B$2:$B$1000,0)),IF($D38&gt;=INDEX('Komisyon Tarifesi'!$K$2:$K$1000,MATCH($A38,'Komisyon Tarifesi'!$B$2:$B$1000,0)),INDEX('Komisyon Tarifesi'!$P$2:$P$1000,MATCH($A38,'Komisyon Tarifesi'!$B$2:$B$1000,0)),IF($D38&gt;=INDEX('Komisyon Tarifesi'!$M$2:$M$1000,MATCH($A38,'Komisyon Tarifesi'!$B$2:$B$1000,0)),INDEX('Komisyon Tarifesi'!$Q$2:$Q$1000,MATCH($A38,'Komisyon Tarifesi'!$B$2:$B$1000,0)),INDEX('Komisyon Tarifesi'!$R$2:$R$1000,MATCH($A38,'Komisyon Tarifesi'!$B$2:$B$1000,0)))))/100,IFERROR(IF(VLOOKUP($A38,Products!$A$2:$W$1000,21,0)&lt;&gt;"",$D38*VLOOKUP($A38,Products!$A$2:$W$1000,21,0)/100,""),"")))</f>
        <v>78.54</v>
      </c>
      <c r="F38" s="14">
        <f t="array" ref="F38">IF($A38="","",IFERROR(IF(INDEX('Maliyet Giris'!$G$2:$G$550,MATCH($A38,'Maliyet Giris'!$A$2:$A$550,0))="","",IF(INDEX('Maliyet Giris'!$G$2:$G$550,MATCH($A38,'Maliyet Giris'!$A$2:$A$550,0))&lt;=2,86.4,IF(INDEX('Maliyet Giris'!$G$2:$G$550,MATCH($A38,'Maliyet Giris'!$A$2:$A$550,0))&lt;=3,90,IF(INDEX('Maliyet Giris'!$G$2:$G$550,MATCH($A38,'Maliyet Giris'!$A$2:$A$550,0))&lt;=5,102,IF(INDEX('Maliyet Giris'!$G$2:$G$550,MATCH($A38,'Maliyet Giris'!$A$2:$A$550,0))&lt;=10,159.74,IF(INDEX('Maliyet Giris'!$G$2:$G$550,MATCH($A38,'Maliyet Giris'!$A$2:$A$550,0))&lt;=15,187.5,IF(INDEX('Maliyet Giris'!$G$2:$G$550,MATCH($A38,'Maliyet Giris'!$A$2:$A$550,0))&lt;=20,225,299))))))),""))</f>
        <v>90</v>
      </c>
      <c r="G38" s="14">
        <f t="array" ref="G38">IF($A38="","",IFERROR(INDEX('Maliyet Giris'!$F$2:$F$550,MATCH($A38,'Maliyet Giris'!$A$2:$A$550,0)),""))</f>
        <v>300</v>
      </c>
      <c r="H38" s="14">
        <f t="shared" si="1"/>
        <v>13.19</v>
      </c>
      <c r="I38" s="14">
        <f t="shared" si="2"/>
        <v>3.966666667</v>
      </c>
      <c r="J38" s="14">
        <f t="shared" si="3"/>
        <v>0</v>
      </c>
      <c r="K38" s="14">
        <f t="shared" si="4"/>
        <v>-9.696666667</v>
      </c>
      <c r="L38" s="15">
        <f t="shared" si="5"/>
        <v>-0.02037114846</v>
      </c>
      <c r="M38" s="17" t="str">
        <f t="shared" si="6"/>
        <v>ZARAR</v>
      </c>
      <c r="N38" s="17" t="str">
        <f t="shared" si="7"/>
        <v/>
      </c>
      <c r="O38" s="17">
        <f t="array" ref="O38">IF($A38="","",IFERROR(INDEX('Maliyet Giris'!$G$2:$G$550,MATCH($A38,'Maliyet Giris'!$A$2:$A$550,0)),""))</f>
        <v>3</v>
      </c>
      <c r="P38" s="17" t="str">
        <f t="shared" si="8"/>
        <v/>
      </c>
      <c r="Q38" s="17" t="str">
        <f t="shared" si="9"/>
        <v/>
      </c>
      <c r="R38" s="14">
        <f t="shared" si="10"/>
        <v>487.729642</v>
      </c>
      <c r="S38" s="14">
        <f t="shared" si="11"/>
        <v>-11.72964204</v>
      </c>
      <c r="T38" s="17" t="str">
        <f t="shared" si="12"/>
        <v>ZARAR</v>
      </c>
      <c r="U38" s="17" t="str">
        <f t="shared" si="13"/>
        <v>Fiyat, maliyet veya kampanya kontrol et</v>
      </c>
    </row>
    <row r="39">
      <c r="A39" s="2" t="str">
        <f>IFERROR(__xludf.DUMMYFUNCTION("""COMPUTED_VALUE"""),"TYPET19")</f>
        <v>TYPET19</v>
      </c>
      <c r="B39" s="17" t="str">
        <f>IFERROR(__xludf.DUMMYFUNCTION("""COMPUTED_VALUE"""),"FELIX")</f>
        <v>FELIX</v>
      </c>
      <c r="C39" s="28" t="str">
        <f>IFERROR(__xludf.DUMMYFUNCTION("""COMPUTED_VALUE"""),"Karma Paket Kedi Konserve Maması 28 Adet X 85gr")</f>
        <v>Karma Paket Kedi Konserve Maması 28 Adet X 85gr</v>
      </c>
      <c r="D39" s="14">
        <f>IFERROR(__xludf.DUMMYFUNCTION("""COMPUTED_VALUE"""),630.0)</f>
        <v>630</v>
      </c>
      <c r="E39" s="14">
        <f t="array" ref="E39">IF($A39="","",IFERROR($D39*IF($D39&gt;=INDEX('Komisyon Tarifesi'!$I$2:$I$1000,MATCH($A39,'Komisyon Tarifesi'!$B$2:$B$1000,0)),INDEX('Komisyon Tarifesi'!$O$2:$O$1000,MATCH($A39,'Komisyon Tarifesi'!$B$2:$B$1000,0)),IF($D39&gt;=INDEX('Komisyon Tarifesi'!$K$2:$K$1000,MATCH($A39,'Komisyon Tarifesi'!$B$2:$B$1000,0)),INDEX('Komisyon Tarifesi'!$P$2:$P$1000,MATCH($A39,'Komisyon Tarifesi'!$B$2:$B$1000,0)),IF($D39&gt;=INDEX('Komisyon Tarifesi'!$M$2:$M$1000,MATCH($A39,'Komisyon Tarifesi'!$B$2:$B$1000,0)),INDEX('Komisyon Tarifesi'!$Q$2:$Q$1000,MATCH($A39,'Komisyon Tarifesi'!$B$2:$B$1000,0)),INDEX('Komisyon Tarifesi'!$R$2:$R$1000,MATCH($A39,'Komisyon Tarifesi'!$B$2:$B$1000,0)))))/100,IFERROR(IF(VLOOKUP($A39,Products!$A$2:$W$1000,21,0)&lt;&gt;"",$D39*VLOOKUP($A39,Products!$A$2:$W$1000,21,0)/100,""),"")))</f>
        <v>85.05</v>
      </c>
      <c r="F39" s="14">
        <f t="array" ref="F39">IF($A39="","",IFERROR(IF(INDEX('Maliyet Giris'!$G$2:$G$550,MATCH($A39,'Maliyet Giris'!$A$2:$A$550,0))="","",IF(INDEX('Maliyet Giris'!$G$2:$G$550,MATCH($A39,'Maliyet Giris'!$A$2:$A$550,0))&lt;=2,86.4,IF(INDEX('Maliyet Giris'!$G$2:$G$550,MATCH($A39,'Maliyet Giris'!$A$2:$A$550,0))&lt;=3,90,IF(INDEX('Maliyet Giris'!$G$2:$G$550,MATCH($A39,'Maliyet Giris'!$A$2:$A$550,0))&lt;=5,102,IF(INDEX('Maliyet Giris'!$G$2:$G$550,MATCH($A39,'Maliyet Giris'!$A$2:$A$550,0))&lt;=10,159.74,IF(INDEX('Maliyet Giris'!$G$2:$G$550,MATCH($A39,'Maliyet Giris'!$A$2:$A$550,0))&lt;=15,187.5,IF(INDEX('Maliyet Giris'!$G$2:$G$550,MATCH($A39,'Maliyet Giris'!$A$2:$A$550,0))&lt;=20,225,299))))))),""))</f>
        <v>90</v>
      </c>
      <c r="G39" s="14">
        <f t="array" ref="G39">IF($A39="","",IFERROR(INDEX('Maliyet Giris'!$F$2:$F$550,MATCH($A39,'Maliyet Giris'!$A$2:$A$550,0)),""))</f>
        <v>420</v>
      </c>
      <c r="H39" s="14">
        <f t="shared" si="1"/>
        <v>13.19</v>
      </c>
      <c r="I39" s="14">
        <f t="shared" si="2"/>
        <v>5.25</v>
      </c>
      <c r="J39" s="14">
        <f t="shared" si="3"/>
        <v>3.626666667</v>
      </c>
      <c r="K39" s="14">
        <f t="shared" si="4"/>
        <v>12.88333333</v>
      </c>
      <c r="L39" s="15">
        <f t="shared" si="5"/>
        <v>0.02044973545</v>
      </c>
      <c r="M39" s="17" t="str">
        <f t="shared" si="6"/>
        <v>KÂRLI</v>
      </c>
      <c r="N39" s="17" t="str">
        <f t="shared" si="7"/>
        <v/>
      </c>
      <c r="O39" s="17">
        <f t="array" ref="O39">IF($A39="","",IFERROR(INDEX('Maliyet Giris'!$G$2:$G$550,MATCH($A39,'Maliyet Giris'!$A$2:$A$550,0)),""))</f>
        <v>3</v>
      </c>
      <c r="P39" s="17" t="str">
        <f t="shared" si="8"/>
        <v/>
      </c>
      <c r="Q39" s="17" t="str">
        <f t="shared" si="9"/>
        <v/>
      </c>
      <c r="R39" s="14">
        <f t="shared" si="10"/>
        <v>614.8591067</v>
      </c>
      <c r="S39" s="14">
        <f t="shared" si="11"/>
        <v>15.14089326</v>
      </c>
      <c r="T39" s="17" t="str">
        <f t="shared" si="12"/>
        <v>RİSKLİ</v>
      </c>
      <c r="U39" s="17" t="str">
        <f t="shared" si="13"/>
        <v>Minimum fiyat altına düşme</v>
      </c>
    </row>
    <row r="40">
      <c r="A40" s="2" t="str">
        <f>IFERROR(__xludf.DUMMYFUNCTION("""COMPUTED_VALUE"""),"63773829299393728")</f>
        <v>63773829299393728</v>
      </c>
      <c r="B40" s="17" t="str">
        <f>IFERROR(__xludf.DUMMYFUNCTION("""COMPUTED_VALUE"""),"FELIX")</f>
        <v>FELIX</v>
      </c>
      <c r="C40" s="28" t="str">
        <f>IFERROR(__xludf.DUMMYFUNCTION("""COMPUTED_VALUE"""),"Karışık Yaş Kedi Maması Serisi 12 Adet Yeni Çeşitleri Ile")</f>
        <v>Karışık Yaş Kedi Maması Serisi 12 Adet Yeni Çeşitleri Ile</v>
      </c>
      <c r="D40" s="14">
        <f>IFERROR(__xludf.DUMMYFUNCTION("""COMPUTED_VALUE"""),319.0)</f>
        <v>319</v>
      </c>
      <c r="E40" s="14">
        <f t="array" ref="E40">IF($A40="","",IFERROR($D40*IF($D40&gt;=INDEX('Komisyon Tarifesi'!$I$2:$I$1000,MATCH($A40,'Komisyon Tarifesi'!$B$2:$B$1000,0)),INDEX('Komisyon Tarifesi'!$O$2:$O$1000,MATCH($A40,'Komisyon Tarifesi'!$B$2:$B$1000,0)),IF($D40&gt;=INDEX('Komisyon Tarifesi'!$K$2:$K$1000,MATCH($A40,'Komisyon Tarifesi'!$B$2:$B$1000,0)),INDEX('Komisyon Tarifesi'!$P$2:$P$1000,MATCH($A40,'Komisyon Tarifesi'!$B$2:$B$1000,0)),IF($D40&gt;=INDEX('Komisyon Tarifesi'!$M$2:$M$1000,MATCH($A40,'Komisyon Tarifesi'!$B$2:$B$1000,0)),INDEX('Komisyon Tarifesi'!$Q$2:$Q$1000,MATCH($A40,'Komisyon Tarifesi'!$B$2:$B$1000,0)),INDEX('Komisyon Tarifesi'!$R$2:$R$1000,MATCH($A40,'Komisyon Tarifesi'!$B$2:$B$1000,0)))))/100,IFERROR(IF(VLOOKUP($A40,Products!$A$2:$W$1000,21,0)&lt;&gt;"",$D40*VLOOKUP($A40,Products!$A$2:$W$1000,21,0)/100,""),"")))</f>
        <v>52.635</v>
      </c>
      <c r="F40" s="14">
        <f t="array" ref="F40">IF($A40="","",IFERROR(IF(INDEX('Maliyet Giris'!$G$2:$G$550,MATCH($A40,'Maliyet Giris'!$A$2:$A$550,0))="","",IF(INDEX('Maliyet Giris'!$G$2:$G$550,MATCH($A40,'Maliyet Giris'!$A$2:$A$550,0))&lt;=2,86.4,IF(INDEX('Maliyet Giris'!$G$2:$G$550,MATCH($A40,'Maliyet Giris'!$A$2:$A$550,0))&lt;=3,90,IF(INDEX('Maliyet Giris'!$G$2:$G$550,MATCH($A40,'Maliyet Giris'!$A$2:$A$550,0))&lt;=5,102,IF(INDEX('Maliyet Giris'!$G$2:$G$550,MATCH($A40,'Maliyet Giris'!$A$2:$A$550,0))&lt;=10,159.74,IF(INDEX('Maliyet Giris'!$G$2:$G$550,MATCH($A40,'Maliyet Giris'!$A$2:$A$550,0))&lt;=15,187.5,IF(INDEX('Maliyet Giris'!$G$2:$G$550,MATCH($A40,'Maliyet Giris'!$A$2:$A$550,0))&lt;=20,225,299))))))),""))</f>
        <v>90</v>
      </c>
      <c r="G40" s="14">
        <f t="array" ref="G40">IF($A40="","",IFERROR(INDEX('Maliyet Giris'!$F$2:$F$550,MATCH($A40,'Maliyet Giris'!$A$2:$A$550,0)),""))</f>
        <v>180</v>
      </c>
      <c r="H40" s="14">
        <f t="shared" si="1"/>
        <v>13.19</v>
      </c>
      <c r="I40" s="14">
        <f t="shared" si="2"/>
        <v>2.658333333</v>
      </c>
      <c r="J40" s="14">
        <f t="shared" si="3"/>
        <v>0</v>
      </c>
      <c r="K40" s="14">
        <f t="shared" si="4"/>
        <v>-19.48333333</v>
      </c>
      <c r="L40" s="15">
        <f t="shared" si="5"/>
        <v>-0.06107628004</v>
      </c>
      <c r="M40" s="17" t="str">
        <f t="shared" si="6"/>
        <v>ZARAR</v>
      </c>
      <c r="N40" s="17" t="str">
        <f t="shared" si="7"/>
        <v/>
      </c>
      <c r="O40" s="17">
        <f t="array" ref="O40">IF($A40="","",IFERROR(INDEX('Maliyet Giris'!$G$2:$G$550,MATCH($A40,'Maliyet Giris'!$A$2:$A$550,0)),""))</f>
        <v>3</v>
      </c>
      <c r="P40" s="17" t="str">
        <f t="shared" si="8"/>
        <v/>
      </c>
      <c r="Q40" s="17" t="str">
        <f t="shared" si="9"/>
        <v/>
      </c>
      <c r="R40" s="14">
        <f t="shared" si="10"/>
        <v>342.5684103</v>
      </c>
      <c r="S40" s="14">
        <f t="shared" si="11"/>
        <v>-23.56841025</v>
      </c>
      <c r="T40" s="17" t="str">
        <f t="shared" si="12"/>
        <v>ZARAR</v>
      </c>
      <c r="U40" s="17" t="str">
        <f t="shared" si="13"/>
        <v>Fiyat, maliyet veya kampanya kontrol et</v>
      </c>
    </row>
    <row r="41">
      <c r="A41" s="2">
        <f>IFERROR(__xludf.DUMMYFUNCTION("""COMPUTED_VALUE"""),1.613036962014E12)</f>
        <v>1613036962014</v>
      </c>
      <c r="B41" s="17" t="str">
        <f>IFERROR(__xludf.DUMMYFUNCTION("""COMPUTED_VALUE"""),"FELIX")</f>
        <v>FELIX</v>
      </c>
      <c r="C41" s="28" t="str">
        <f>IFERROR(__xludf.DUMMYFUNCTION("""COMPUTED_VALUE"""),"Somonlu Ton Balıklı Yaş Kedi Maması X 20 Adet")</f>
        <v>Somonlu Ton Balıklı Yaş Kedi Maması X 20 Adet</v>
      </c>
      <c r="D41" s="14">
        <f>IFERROR(__xludf.DUMMYFUNCTION("""COMPUTED_VALUE"""),725.0)</f>
        <v>725</v>
      </c>
      <c r="E41" s="14">
        <f t="array" ref="E41">IF($A41="","",IFERROR($D41*IF($D41&gt;=INDEX('Komisyon Tarifesi'!$I$2:$I$1000,MATCH($A41,'Komisyon Tarifesi'!$B$2:$B$1000,0)),INDEX('Komisyon Tarifesi'!$O$2:$O$1000,MATCH($A41,'Komisyon Tarifesi'!$B$2:$B$1000,0)),IF($D41&gt;=INDEX('Komisyon Tarifesi'!$K$2:$K$1000,MATCH($A41,'Komisyon Tarifesi'!$B$2:$B$1000,0)),INDEX('Komisyon Tarifesi'!$P$2:$P$1000,MATCH($A41,'Komisyon Tarifesi'!$B$2:$B$1000,0)),IF($D41&gt;=INDEX('Komisyon Tarifesi'!$M$2:$M$1000,MATCH($A41,'Komisyon Tarifesi'!$B$2:$B$1000,0)),INDEX('Komisyon Tarifesi'!$Q$2:$Q$1000,MATCH($A41,'Komisyon Tarifesi'!$B$2:$B$1000,0)),INDEX('Komisyon Tarifesi'!$R$2:$R$1000,MATCH($A41,'Komisyon Tarifesi'!$B$2:$B$1000,0)))))/100,IFERROR(IF(VLOOKUP($A41,Products!$A$2:$W$1000,21,0)&lt;&gt;"",$D41*VLOOKUP($A41,Products!$A$2:$W$1000,21,0)/100,""),"")))</f>
        <v>119.625</v>
      </c>
      <c r="F41" s="14">
        <f t="array" ref="F41">IF($A41="","",IFERROR(IF(INDEX('Maliyet Giris'!$G$2:$G$550,MATCH($A41,'Maliyet Giris'!$A$2:$A$550,0))="","",IF(INDEX('Maliyet Giris'!$G$2:$G$550,MATCH($A41,'Maliyet Giris'!$A$2:$A$550,0))&lt;=2,86.4,IF(INDEX('Maliyet Giris'!$G$2:$G$550,MATCH($A41,'Maliyet Giris'!$A$2:$A$550,0))&lt;=3,90,IF(INDEX('Maliyet Giris'!$G$2:$G$550,MATCH($A41,'Maliyet Giris'!$A$2:$A$550,0))&lt;=5,102,IF(INDEX('Maliyet Giris'!$G$2:$G$550,MATCH($A41,'Maliyet Giris'!$A$2:$A$550,0))&lt;=10,159.74,IF(INDEX('Maliyet Giris'!$G$2:$G$550,MATCH($A41,'Maliyet Giris'!$A$2:$A$550,0))&lt;=15,187.5,IF(INDEX('Maliyet Giris'!$G$2:$G$550,MATCH($A41,'Maliyet Giris'!$A$2:$A$550,0))&lt;=20,225,299))))))),""))</f>
        <v>90</v>
      </c>
      <c r="G41" s="14">
        <f t="array" ref="G41">IF($A41="","",IFERROR(INDEX('Maliyet Giris'!$F$2:$F$550,MATCH($A41,'Maliyet Giris'!$A$2:$A$550,0)),""))</f>
        <v>300</v>
      </c>
      <c r="H41" s="14">
        <f t="shared" si="1"/>
        <v>13.19</v>
      </c>
      <c r="I41" s="14">
        <f t="shared" si="2"/>
        <v>6.041666667</v>
      </c>
      <c r="J41" s="14">
        <f t="shared" si="3"/>
        <v>33.6975</v>
      </c>
      <c r="K41" s="14">
        <f t="shared" si="4"/>
        <v>162.4458333</v>
      </c>
      <c r="L41" s="15">
        <f t="shared" si="5"/>
        <v>0.2240632184</v>
      </c>
      <c r="M41" s="17" t="str">
        <f t="shared" si="6"/>
        <v>KÂRLI</v>
      </c>
      <c r="N41" s="17" t="str">
        <f t="shared" si="7"/>
        <v/>
      </c>
      <c r="O41" s="17">
        <f t="array" ref="O41">IF($A41="","",IFERROR(INDEX('Maliyet Giris'!$G$2:$G$550,MATCH($A41,'Maliyet Giris'!$A$2:$A$550,0)),""))</f>
        <v>3</v>
      </c>
      <c r="P41" s="17" t="str">
        <f t="shared" si="8"/>
        <v/>
      </c>
      <c r="Q41" s="17" t="str">
        <f t="shared" si="9"/>
        <v/>
      </c>
      <c r="R41" s="14">
        <f t="shared" si="10"/>
        <v>516.7859034</v>
      </c>
      <c r="S41" s="14">
        <f t="shared" si="11"/>
        <v>208.2140966</v>
      </c>
      <c r="T41" s="17" t="str">
        <f t="shared" si="12"/>
        <v>SAĞLIKLI</v>
      </c>
      <c r="U41" s="17" t="str">
        <f t="shared" si="13"/>
        <v>Takip et</v>
      </c>
    </row>
    <row r="42">
      <c r="A42" s="2">
        <f>IFERROR(__xludf.DUMMYFUNCTION("""COMPUTED_VALUE"""),8.681002997592E12)</f>
        <v>8681002997592</v>
      </c>
      <c r="B42" s="17" t="str">
        <f>IFERROR(__xludf.DUMMYFUNCTION("""COMPUTED_VALUE"""),"Dreamies")</f>
        <v>Dreamies</v>
      </c>
      <c r="C42" s="28" t="str">
        <f>IFERROR(__xludf.DUMMYFUNCTION("""COMPUTED_VALUE"""),"Kedi Ödül Maması Karışık Paket 60 Gr X 36 Adet")</f>
        <v>Kedi Ödül Maması Karışık Paket 60 Gr X 36 Adet</v>
      </c>
      <c r="D42" s="14">
        <f>IFERROR(__xludf.DUMMYFUNCTION("""COMPUTED_VALUE"""),1455.0)</f>
        <v>1455</v>
      </c>
      <c r="E42" s="14">
        <f t="array" ref="E42">IF($A42="","",IFERROR($D42*IF($D42&gt;=INDEX('Komisyon Tarifesi'!$I$2:$I$1000,MATCH($A42,'Komisyon Tarifesi'!$B$2:$B$1000,0)),INDEX('Komisyon Tarifesi'!$O$2:$O$1000,MATCH($A42,'Komisyon Tarifesi'!$B$2:$B$1000,0)),IF($D42&gt;=INDEX('Komisyon Tarifesi'!$K$2:$K$1000,MATCH($A42,'Komisyon Tarifesi'!$B$2:$B$1000,0)),INDEX('Komisyon Tarifesi'!$P$2:$P$1000,MATCH($A42,'Komisyon Tarifesi'!$B$2:$B$1000,0)),IF($D42&gt;=INDEX('Komisyon Tarifesi'!$M$2:$M$1000,MATCH($A42,'Komisyon Tarifesi'!$B$2:$B$1000,0)),INDEX('Komisyon Tarifesi'!$Q$2:$Q$1000,MATCH($A42,'Komisyon Tarifesi'!$B$2:$B$1000,0)),INDEX('Komisyon Tarifesi'!$R$2:$R$1000,MATCH($A42,'Komisyon Tarifesi'!$B$2:$B$1000,0)))))/100,IFERROR(IF(VLOOKUP($A42,Products!$A$2:$W$1000,21,0)&lt;&gt;"",$D42*VLOOKUP($A42,Products!$A$2:$W$1000,21,0)/100,""),"")))</f>
        <v>291</v>
      </c>
      <c r="F42" s="14">
        <f t="array" ref="F42">IF($A42="","",IFERROR(IF(INDEX('Maliyet Giris'!$G$2:$G$550,MATCH($A42,'Maliyet Giris'!$A$2:$A$550,0))="","",IF(INDEX('Maliyet Giris'!$G$2:$G$550,MATCH($A42,'Maliyet Giris'!$A$2:$A$550,0))&lt;=2,86.4,IF(INDEX('Maliyet Giris'!$G$2:$G$550,MATCH($A42,'Maliyet Giris'!$A$2:$A$550,0))&lt;=3,90,IF(INDEX('Maliyet Giris'!$G$2:$G$550,MATCH($A42,'Maliyet Giris'!$A$2:$A$550,0))&lt;=5,102,IF(INDEX('Maliyet Giris'!$G$2:$G$550,MATCH($A42,'Maliyet Giris'!$A$2:$A$550,0))&lt;=10,159.74,IF(INDEX('Maliyet Giris'!$G$2:$G$550,MATCH($A42,'Maliyet Giris'!$A$2:$A$550,0))&lt;=15,187.5,IF(INDEX('Maliyet Giris'!$G$2:$G$550,MATCH($A42,'Maliyet Giris'!$A$2:$A$550,0))&lt;=20,225,299))))))),""))</f>
        <v>86.4</v>
      </c>
      <c r="G42" s="14">
        <f t="array" ref="G42">IF($A42="","",IFERROR(INDEX('Maliyet Giris'!$F$2:$F$550,MATCH($A42,'Maliyet Giris'!$A$2:$A$550,0)),""))</f>
        <v>100</v>
      </c>
      <c r="H42" s="14">
        <f t="shared" si="1"/>
        <v>13.19</v>
      </c>
      <c r="I42" s="14">
        <f t="shared" si="2"/>
        <v>12.125</v>
      </c>
      <c r="J42" s="14">
        <f t="shared" si="3"/>
        <v>160.735</v>
      </c>
      <c r="K42" s="14">
        <f t="shared" si="4"/>
        <v>791.55</v>
      </c>
      <c r="L42" s="15">
        <f t="shared" si="5"/>
        <v>0.5440206186</v>
      </c>
      <c r="M42" s="17" t="str">
        <f t="shared" si="6"/>
        <v>KÂRLI</v>
      </c>
      <c r="N42" s="17" t="str">
        <f t="shared" si="7"/>
        <v/>
      </c>
      <c r="O42" s="17">
        <f t="array" ref="O42">IF($A42="","",IFERROR(INDEX('Maliyet Giris'!$G$2:$G$550,MATCH($A42,'Maliyet Giris'!$A$2:$A$550,0)),""))</f>
        <v>0.5</v>
      </c>
      <c r="P42" s="17" t="str">
        <f t="shared" si="8"/>
        <v/>
      </c>
      <c r="Q42" s="17" t="str">
        <f t="shared" si="9"/>
        <v/>
      </c>
      <c r="R42" s="14">
        <f t="shared" si="10"/>
        <v>292.9992815</v>
      </c>
      <c r="S42" s="14">
        <f t="shared" si="11"/>
        <v>1162.000718</v>
      </c>
      <c r="T42" s="17" t="str">
        <f t="shared" si="12"/>
        <v>ÇOK KÂRLI</v>
      </c>
      <c r="U42" s="17" t="str">
        <f t="shared" si="13"/>
        <v>Stok ve BuyBox takibini artır</v>
      </c>
    </row>
    <row r="43">
      <c r="A43" s="2">
        <f>IFERROR(__xludf.DUMMYFUNCTION("""COMPUTED_VALUE"""),6.2420056724154E13)</f>
        <v>62420056724154</v>
      </c>
      <c r="B43" s="17" t="str">
        <f>IFERROR(__xludf.DUMMYFUNCTION("""COMPUTED_VALUE"""),"Dreamies")</f>
        <v>Dreamies</v>
      </c>
      <c r="C43" s="28" t="str">
        <f>IFERROR(__xludf.DUMMYFUNCTION("""COMPUTED_VALUE"""),"Kedi Ödül Maması Karışık 60 gr X 24 Adet")</f>
        <v>Kedi Ödül Maması Karışık 60 gr X 24 Adet</v>
      </c>
      <c r="D43" s="14">
        <f>IFERROR(__xludf.DUMMYFUNCTION("""COMPUTED_VALUE"""),1019.08)</f>
        <v>1019.08</v>
      </c>
      <c r="E43" s="14">
        <f t="array" ref="E43">IF($A43="","",IFERROR($D43*IF($D43&gt;=INDEX('Komisyon Tarifesi'!$I$2:$I$1000,MATCH($A43,'Komisyon Tarifesi'!$B$2:$B$1000,0)),INDEX('Komisyon Tarifesi'!$O$2:$O$1000,MATCH($A43,'Komisyon Tarifesi'!$B$2:$B$1000,0)),IF($D43&gt;=INDEX('Komisyon Tarifesi'!$K$2:$K$1000,MATCH($A43,'Komisyon Tarifesi'!$B$2:$B$1000,0)),INDEX('Komisyon Tarifesi'!$P$2:$P$1000,MATCH($A43,'Komisyon Tarifesi'!$B$2:$B$1000,0)),IF($D43&gt;=INDEX('Komisyon Tarifesi'!$M$2:$M$1000,MATCH($A43,'Komisyon Tarifesi'!$B$2:$B$1000,0)),INDEX('Komisyon Tarifesi'!$Q$2:$Q$1000,MATCH($A43,'Komisyon Tarifesi'!$B$2:$B$1000,0)),INDEX('Komisyon Tarifesi'!$R$2:$R$1000,MATCH($A43,'Komisyon Tarifesi'!$B$2:$B$1000,0)))))/100,IFERROR(IF(VLOOKUP($A43,Products!$A$2:$W$1000,21,0)&lt;&gt;"",$D43*VLOOKUP($A43,Products!$A$2:$W$1000,21,0)/100,""),"")))</f>
        <v>89.67904</v>
      </c>
      <c r="F43" s="14">
        <f t="array" ref="F43">IF($A43="","",IFERROR(IF(INDEX('Maliyet Giris'!$G$2:$G$550,MATCH($A43,'Maliyet Giris'!$A$2:$A$550,0))="","",IF(INDEX('Maliyet Giris'!$G$2:$G$550,MATCH($A43,'Maliyet Giris'!$A$2:$A$550,0))&lt;=2,86.4,IF(INDEX('Maliyet Giris'!$G$2:$G$550,MATCH($A43,'Maliyet Giris'!$A$2:$A$550,0))&lt;=3,90,IF(INDEX('Maliyet Giris'!$G$2:$G$550,MATCH($A43,'Maliyet Giris'!$A$2:$A$550,0))&lt;=5,102,IF(INDEX('Maliyet Giris'!$G$2:$G$550,MATCH($A43,'Maliyet Giris'!$A$2:$A$550,0))&lt;=10,159.74,IF(INDEX('Maliyet Giris'!$G$2:$G$550,MATCH($A43,'Maliyet Giris'!$A$2:$A$550,0))&lt;=15,187.5,IF(INDEX('Maliyet Giris'!$G$2:$G$550,MATCH($A43,'Maliyet Giris'!$A$2:$A$550,0))&lt;=20,225,299))))))),""))</f>
        <v>90</v>
      </c>
      <c r="G43" s="14">
        <f t="array" ref="G43">IF($A43="","",IFERROR(INDEX('Maliyet Giris'!$F$2:$F$550,MATCH($A43,'Maliyet Giris'!$A$2:$A$550,0)),""))</f>
        <v>10</v>
      </c>
      <c r="H43" s="14">
        <f t="shared" si="1"/>
        <v>13.19</v>
      </c>
      <c r="I43" s="14">
        <f t="shared" si="2"/>
        <v>8.492333333</v>
      </c>
      <c r="J43" s="14">
        <f t="shared" si="3"/>
        <v>136.03516</v>
      </c>
      <c r="K43" s="14">
        <f t="shared" si="4"/>
        <v>671.6834667</v>
      </c>
      <c r="L43" s="15">
        <f t="shared" si="5"/>
        <v>0.6591076919</v>
      </c>
      <c r="M43" s="17" t="str">
        <f t="shared" si="6"/>
        <v>KÂRLI</v>
      </c>
      <c r="N43" s="17" t="str">
        <f t="shared" si="7"/>
        <v/>
      </c>
      <c r="O43" s="17">
        <f t="array" ref="O43">IF($A43="","",IFERROR(INDEX('Maliyet Giris'!$G$2:$G$550,MATCH($A43,'Maliyet Giris'!$A$2:$A$550,0)),""))</f>
        <v>3</v>
      </c>
      <c r="P43" s="17" t="str">
        <f t="shared" si="8"/>
        <v/>
      </c>
      <c r="Q43" s="17" t="str">
        <f t="shared" si="9"/>
        <v/>
      </c>
      <c r="R43" s="14">
        <f t="shared" si="10"/>
        <v>146.9658743</v>
      </c>
      <c r="S43" s="14">
        <f t="shared" si="11"/>
        <v>872.1141257</v>
      </c>
      <c r="T43" s="17" t="str">
        <f t="shared" si="12"/>
        <v>ÇOK KÂRLI</v>
      </c>
      <c r="U43" s="17" t="str">
        <f t="shared" si="13"/>
        <v>Stok ve BuyBox takibini artır</v>
      </c>
    </row>
    <row r="44">
      <c r="A44" s="2" t="str">
        <f>IFERROR(__xludf.DUMMYFUNCTION("""COMPUTED_VALUE"""),"TYBJH953EK2C3Z3444")</f>
        <v>TYBJH953EK2C3Z3444</v>
      </c>
      <c r="B44" s="17" t="str">
        <f>IFERROR(__xludf.DUMMYFUNCTION("""COMPUTED_VALUE"""),"Dreamies")</f>
        <v>Dreamies</v>
      </c>
      <c r="C44" s="28" t="str">
        <f>IFERROR(__xludf.DUMMYFUNCTION("""COMPUTED_VALUE"""),"Kedi Ödülü Seti Sığırlı, Somonlu, Peynirli, Tavuklu, Somonlu Peynir, Ördekli 6 Adet")</f>
        <v>Kedi Ödülü Seti Sığırlı, Somonlu, Peynirli, Tavuklu, Somonlu Peynir, Ördekli 6 Adet</v>
      </c>
      <c r="D44" s="14">
        <f>IFERROR(__xludf.DUMMYFUNCTION("""COMPUTED_VALUE"""),374.0)</f>
        <v>374</v>
      </c>
      <c r="E44" s="14">
        <f t="array" ref="E44">IF($A44="","",IFERROR($D44*IF($D44&gt;=INDEX('Komisyon Tarifesi'!$I$2:$I$1000,MATCH($A44,'Komisyon Tarifesi'!$B$2:$B$1000,0)),INDEX('Komisyon Tarifesi'!$O$2:$O$1000,MATCH($A44,'Komisyon Tarifesi'!$B$2:$B$1000,0)),IF($D44&gt;=INDEX('Komisyon Tarifesi'!$K$2:$K$1000,MATCH($A44,'Komisyon Tarifesi'!$B$2:$B$1000,0)),INDEX('Komisyon Tarifesi'!$P$2:$P$1000,MATCH($A44,'Komisyon Tarifesi'!$B$2:$B$1000,0)),IF($D44&gt;=INDEX('Komisyon Tarifesi'!$M$2:$M$1000,MATCH($A44,'Komisyon Tarifesi'!$B$2:$B$1000,0)),INDEX('Komisyon Tarifesi'!$Q$2:$Q$1000,MATCH($A44,'Komisyon Tarifesi'!$B$2:$B$1000,0)),INDEX('Komisyon Tarifesi'!$R$2:$R$1000,MATCH($A44,'Komisyon Tarifesi'!$B$2:$B$1000,0)))))/100,IFERROR(IF(VLOOKUP($A44,Products!$A$2:$W$1000,21,0)&lt;&gt;"",$D44*VLOOKUP($A44,Products!$A$2:$W$1000,21,0)/100,""),"")))</f>
        <v>74.8</v>
      </c>
      <c r="F44" s="14">
        <f t="array" ref="F44">IF($A44="","",IFERROR(IF(INDEX('Maliyet Giris'!$G$2:$G$550,MATCH($A44,'Maliyet Giris'!$A$2:$A$550,0))="","",IF(INDEX('Maliyet Giris'!$G$2:$G$550,MATCH($A44,'Maliyet Giris'!$A$2:$A$550,0))&lt;=2,86.4,IF(INDEX('Maliyet Giris'!$G$2:$G$550,MATCH($A44,'Maliyet Giris'!$A$2:$A$550,0))&lt;=3,90,IF(INDEX('Maliyet Giris'!$G$2:$G$550,MATCH($A44,'Maliyet Giris'!$A$2:$A$550,0))&lt;=5,102,IF(INDEX('Maliyet Giris'!$G$2:$G$550,MATCH($A44,'Maliyet Giris'!$A$2:$A$550,0))&lt;=10,159.74,IF(INDEX('Maliyet Giris'!$G$2:$G$550,MATCH($A44,'Maliyet Giris'!$A$2:$A$550,0))&lt;=15,187.5,IF(INDEX('Maliyet Giris'!$G$2:$G$550,MATCH($A44,'Maliyet Giris'!$A$2:$A$550,0))&lt;=20,225,299))))))),""))</f>
        <v>86.4</v>
      </c>
      <c r="G44" s="14">
        <f t="array" ref="G44">IF($A44="","",IFERROR(INDEX('Maliyet Giris'!$F$2:$F$550,MATCH($A44,'Maliyet Giris'!$A$2:$A$550,0)),""))</f>
        <v>10</v>
      </c>
      <c r="H44" s="14">
        <f t="shared" si="1"/>
        <v>13.19</v>
      </c>
      <c r="I44" s="14">
        <f t="shared" si="2"/>
        <v>3.116666667</v>
      </c>
      <c r="J44" s="14">
        <f t="shared" si="3"/>
        <v>31.60166667</v>
      </c>
      <c r="K44" s="14">
        <f t="shared" si="4"/>
        <v>154.8916667</v>
      </c>
      <c r="L44" s="15">
        <f t="shared" si="5"/>
        <v>0.4141488414</v>
      </c>
      <c r="M44" s="17" t="str">
        <f t="shared" si="6"/>
        <v>KÂRLI</v>
      </c>
      <c r="N44" s="17" t="str">
        <f t="shared" si="7"/>
        <v/>
      </c>
      <c r="O44" s="17">
        <f t="array" ref="O44">IF($A44="","",IFERROR(INDEX('Maliyet Giris'!$G$2:$G$550,MATCH($A44,'Maliyet Giris'!$A$2:$A$550,0)),""))</f>
        <v>0.5</v>
      </c>
      <c r="P44" s="17" t="str">
        <f t="shared" si="8"/>
        <v/>
      </c>
      <c r="Q44" s="17" t="str">
        <f t="shared" si="9"/>
        <v/>
      </c>
      <c r="R44" s="14">
        <f t="shared" si="10"/>
        <v>154.9696854</v>
      </c>
      <c r="S44" s="14">
        <f t="shared" si="11"/>
        <v>219.0303146</v>
      </c>
      <c r="T44" s="17" t="str">
        <f t="shared" si="12"/>
        <v>ÇOK KÂRLI</v>
      </c>
      <c r="U44" s="17" t="str">
        <f t="shared" si="13"/>
        <v>Stok ve BuyBox takibini artır</v>
      </c>
    </row>
    <row r="45">
      <c r="A45" s="2">
        <f>IFERROR(__xludf.DUMMYFUNCTION("""COMPUTED_VALUE"""),4.77060823913824E14)</f>
        <v>477060823913824</v>
      </c>
      <c r="B45" s="17" t="str">
        <f>IFERROR(__xludf.DUMMYFUNCTION("""COMPUTED_VALUE"""),"Whiskas")</f>
        <v>Whiskas</v>
      </c>
      <c r="C45" s="28" t="str">
        <f>IFERROR(__xludf.DUMMYFUNCTION("""COMPUTED_VALUE"""),"Klasik Öğünler Sos Içinde Sığırlı Ve Tavuklu Yetişkin Kedi Maması 24 X 85 G")</f>
        <v>Klasik Öğünler Sos Içinde Sığırlı Ve Tavuklu Yetişkin Kedi Maması 24 X 85 G</v>
      </c>
      <c r="D45" s="14">
        <f>IFERROR(__xludf.DUMMYFUNCTION("""COMPUTED_VALUE"""),800.0)</f>
        <v>800</v>
      </c>
      <c r="E45" s="14">
        <f t="array" ref="E45">IF($A45="","",IFERROR($D45*IF($D45&gt;=INDEX('Komisyon Tarifesi'!$I$2:$I$1000,MATCH($A45,'Komisyon Tarifesi'!$B$2:$B$1000,0)),INDEX('Komisyon Tarifesi'!$O$2:$O$1000,MATCH($A45,'Komisyon Tarifesi'!$B$2:$B$1000,0)),IF($D45&gt;=INDEX('Komisyon Tarifesi'!$K$2:$K$1000,MATCH($A45,'Komisyon Tarifesi'!$B$2:$B$1000,0)),INDEX('Komisyon Tarifesi'!$P$2:$P$1000,MATCH($A45,'Komisyon Tarifesi'!$B$2:$B$1000,0)),IF($D45&gt;=INDEX('Komisyon Tarifesi'!$M$2:$M$1000,MATCH($A45,'Komisyon Tarifesi'!$B$2:$B$1000,0)),INDEX('Komisyon Tarifesi'!$Q$2:$Q$1000,MATCH($A45,'Komisyon Tarifesi'!$B$2:$B$1000,0)),INDEX('Komisyon Tarifesi'!$R$2:$R$1000,MATCH($A45,'Komisyon Tarifesi'!$B$2:$B$1000,0)))))/100,IFERROR(IF(VLOOKUP($A45,Products!$A$2:$W$1000,21,0)&lt;&gt;"",$D45*VLOOKUP($A45,Products!$A$2:$W$1000,21,0)/100,""),"")))</f>
        <v>108</v>
      </c>
      <c r="F45" s="14">
        <f t="array" ref="F45">IF($A45="","",IFERROR(IF(INDEX('Maliyet Giris'!$G$2:$G$550,MATCH($A45,'Maliyet Giris'!$A$2:$A$550,0))="","",IF(INDEX('Maliyet Giris'!$G$2:$G$550,MATCH($A45,'Maliyet Giris'!$A$2:$A$550,0))&lt;=2,86.4,IF(INDEX('Maliyet Giris'!$G$2:$G$550,MATCH($A45,'Maliyet Giris'!$A$2:$A$550,0))&lt;=3,90,IF(INDEX('Maliyet Giris'!$G$2:$G$550,MATCH($A45,'Maliyet Giris'!$A$2:$A$550,0))&lt;=5,102,IF(INDEX('Maliyet Giris'!$G$2:$G$550,MATCH($A45,'Maliyet Giris'!$A$2:$A$550,0))&lt;=10,159.74,IF(INDEX('Maliyet Giris'!$G$2:$G$550,MATCH($A45,'Maliyet Giris'!$A$2:$A$550,0))&lt;=15,187.5,IF(INDEX('Maliyet Giris'!$G$2:$G$550,MATCH($A45,'Maliyet Giris'!$A$2:$A$550,0))&lt;=20,225,299))))))),""))</f>
        <v>90</v>
      </c>
      <c r="G45" s="14">
        <f t="array" ref="G45">IF($A45="","",IFERROR(INDEX('Maliyet Giris'!$F$2:$F$550,MATCH($A45,'Maliyet Giris'!$A$2:$A$550,0)),""))</f>
        <v>1</v>
      </c>
      <c r="H45" s="14">
        <f t="shared" si="1"/>
        <v>13.19</v>
      </c>
      <c r="I45" s="14">
        <f t="shared" si="2"/>
        <v>6.666666667</v>
      </c>
      <c r="J45" s="14">
        <f t="shared" si="3"/>
        <v>97.96833333</v>
      </c>
      <c r="K45" s="14">
        <f t="shared" si="4"/>
        <v>483.175</v>
      </c>
      <c r="L45" s="15">
        <f t="shared" si="5"/>
        <v>0.60396875</v>
      </c>
      <c r="M45" s="17" t="str">
        <f t="shared" si="6"/>
        <v>KÂRLI</v>
      </c>
      <c r="N45" s="17" t="str">
        <f t="shared" si="7"/>
        <v/>
      </c>
      <c r="O45" s="17">
        <f t="array" ref="O45">IF($A45="","",IFERROR(INDEX('Maliyet Giris'!$G$2:$G$550,MATCH($A45,'Maliyet Giris'!$A$2:$A$550,0)),""))</f>
        <v>3</v>
      </c>
      <c r="P45" s="17" t="str">
        <f t="shared" si="8"/>
        <v/>
      </c>
      <c r="Q45" s="17" t="str">
        <f t="shared" si="9"/>
        <v/>
      </c>
      <c r="R45" s="14">
        <f t="shared" si="10"/>
        <v>141.908289</v>
      </c>
      <c r="S45" s="14">
        <f t="shared" si="11"/>
        <v>658.091711</v>
      </c>
      <c r="T45" s="17" t="str">
        <f t="shared" si="12"/>
        <v>ÇOK KÂRLI</v>
      </c>
      <c r="U45" s="17" t="str">
        <f t="shared" si="13"/>
        <v>Stok ve BuyBox takibini artır</v>
      </c>
    </row>
    <row r="46">
      <c r="A46" s="2" t="str">
        <f>IFERROR(__xludf.DUMMYFUNCTION("""COMPUTED_VALUE"""),"TY988899455015287")</f>
        <v>TY988899455015287</v>
      </c>
      <c r="B46" s="17" t="str">
        <f>IFERROR(__xludf.DUMMYFUNCTION("""COMPUTED_VALUE"""),"Royal Canin")</f>
        <v>Royal Canin</v>
      </c>
      <c r="C46" s="28" t="str">
        <f>IFERROR(__xludf.DUMMYFUNCTION("""COMPUTED_VALUE"""),"Mini Starter Mother &amp; Babydog Anne ve Yavru Köpek Maması 4kg")</f>
        <v>Mini Starter Mother &amp; Babydog Anne ve Yavru Köpek Maması 4kg</v>
      </c>
      <c r="D46" s="14">
        <f>IFERROR(__xludf.DUMMYFUNCTION("""COMPUTED_VALUE"""),1555.99)</f>
        <v>1555.99</v>
      </c>
      <c r="E46" s="14">
        <f t="array" ref="E46">IF($A46="","",IFERROR($D46*IF($D46&gt;=INDEX('Komisyon Tarifesi'!$I$2:$I$1000,MATCH($A46,'Komisyon Tarifesi'!$B$2:$B$1000,0)),INDEX('Komisyon Tarifesi'!$O$2:$O$1000,MATCH($A46,'Komisyon Tarifesi'!$B$2:$B$1000,0)),IF($D46&gt;=INDEX('Komisyon Tarifesi'!$K$2:$K$1000,MATCH($A46,'Komisyon Tarifesi'!$B$2:$B$1000,0)),INDEX('Komisyon Tarifesi'!$P$2:$P$1000,MATCH($A46,'Komisyon Tarifesi'!$B$2:$B$1000,0)),IF($D46&gt;=INDEX('Komisyon Tarifesi'!$M$2:$M$1000,MATCH($A46,'Komisyon Tarifesi'!$B$2:$B$1000,0)),INDEX('Komisyon Tarifesi'!$Q$2:$Q$1000,MATCH($A46,'Komisyon Tarifesi'!$B$2:$B$1000,0)),INDEX('Komisyon Tarifesi'!$R$2:$R$1000,MATCH($A46,'Komisyon Tarifesi'!$B$2:$B$1000,0)))))/100,IFERROR(IF(VLOOKUP($A46,Products!$A$2:$W$1000,21,0)&lt;&gt;"",$D46*VLOOKUP($A46,Products!$A$2:$W$1000,21,0)/100,""),"")))</f>
        <v>130.70316</v>
      </c>
      <c r="F46" s="14">
        <f t="array" ref="F46">IF($A46="","",IFERROR(IF(INDEX('Maliyet Giris'!$G$2:$G$550,MATCH($A46,'Maliyet Giris'!$A$2:$A$550,0))="","",IF(INDEX('Maliyet Giris'!$G$2:$G$550,MATCH($A46,'Maliyet Giris'!$A$2:$A$550,0))&lt;=2,86.4,IF(INDEX('Maliyet Giris'!$G$2:$G$550,MATCH($A46,'Maliyet Giris'!$A$2:$A$550,0))&lt;=3,90,IF(INDEX('Maliyet Giris'!$G$2:$G$550,MATCH($A46,'Maliyet Giris'!$A$2:$A$550,0))&lt;=5,102,IF(INDEX('Maliyet Giris'!$G$2:$G$550,MATCH($A46,'Maliyet Giris'!$A$2:$A$550,0))&lt;=10,159.74,IF(INDEX('Maliyet Giris'!$G$2:$G$550,MATCH($A46,'Maliyet Giris'!$A$2:$A$550,0))&lt;=15,187.5,IF(INDEX('Maliyet Giris'!$G$2:$G$550,MATCH($A46,'Maliyet Giris'!$A$2:$A$550,0))&lt;=20,225,299))))))),""))</f>
        <v>90</v>
      </c>
      <c r="G46" s="14">
        <f t="array" ref="G46">IF($A46="","",IFERROR(INDEX('Maliyet Giris'!$F$2:$F$550,MATCH($A46,'Maliyet Giris'!$A$2:$A$550,0)),""))</f>
        <v>1537</v>
      </c>
      <c r="H46" s="14">
        <f t="shared" si="1"/>
        <v>13.19</v>
      </c>
      <c r="I46" s="14">
        <f t="shared" si="2"/>
        <v>12.96658333</v>
      </c>
      <c r="J46" s="14">
        <f t="shared" si="3"/>
        <v>0</v>
      </c>
      <c r="K46" s="14">
        <f t="shared" si="4"/>
        <v>-227.8697433</v>
      </c>
      <c r="L46" s="15">
        <f t="shared" si="5"/>
        <v>-0.1464467916</v>
      </c>
      <c r="M46" s="17" t="str">
        <f t="shared" si="6"/>
        <v>ZARAR</v>
      </c>
      <c r="N46" s="17" t="str">
        <f t="shared" si="7"/>
        <v/>
      </c>
      <c r="O46" s="17">
        <f t="array" ref="O46">IF($A46="","",IFERROR(INDEX('Maliyet Giris'!$G$2:$G$550,MATCH($A46,'Maliyet Giris'!$A$2:$A$550,0)),""))</f>
        <v>3</v>
      </c>
      <c r="P46" s="17" t="str">
        <f t="shared" si="8"/>
        <v/>
      </c>
      <c r="Q46" s="17" t="str">
        <f t="shared" si="9"/>
        <v/>
      </c>
      <c r="R46" s="14">
        <f t="shared" si="10"/>
        <v>1807.039366</v>
      </c>
      <c r="S46" s="14">
        <f t="shared" si="11"/>
        <v>-251.0493658</v>
      </c>
      <c r="T46" s="17" t="str">
        <f t="shared" si="12"/>
        <v>ZARAR</v>
      </c>
      <c r="U46" s="17" t="str">
        <f t="shared" si="13"/>
        <v>Fiyat, maliyet veya kampanya kontrol et</v>
      </c>
    </row>
    <row r="47">
      <c r="A47" s="2">
        <f>IFERROR(__xludf.DUMMYFUNCTION("""COMPUTED_VALUE"""),9.888569998999E12)</f>
        <v>9888569998999</v>
      </c>
      <c r="B47" s="17" t="str">
        <f>IFERROR(__xludf.DUMMYFUNCTION("""COMPUTED_VALUE"""),"Gourmet")</f>
        <v>Gourmet</v>
      </c>
      <c r="C47" s="28" t="str">
        <f>IFERROR(__xludf.DUMMYFUNCTION("""COMPUTED_VALUE"""),"Purina Karışık Kedi Konservesi 85 gr X 24 Adet")</f>
        <v>Purina Karışık Kedi Konservesi 85 gr X 24 Adet</v>
      </c>
      <c r="D47" s="14">
        <f>IFERROR(__xludf.DUMMYFUNCTION("""COMPUTED_VALUE"""),790.0)</f>
        <v>790</v>
      </c>
      <c r="E47" s="14">
        <f t="array" ref="E47">IF($A47="","",IFERROR($D47*IF($D47&gt;=INDEX('Komisyon Tarifesi'!$I$2:$I$1000,MATCH($A47,'Komisyon Tarifesi'!$B$2:$B$1000,0)),INDEX('Komisyon Tarifesi'!$O$2:$O$1000,MATCH($A47,'Komisyon Tarifesi'!$B$2:$B$1000,0)),IF($D47&gt;=INDEX('Komisyon Tarifesi'!$K$2:$K$1000,MATCH($A47,'Komisyon Tarifesi'!$B$2:$B$1000,0)),INDEX('Komisyon Tarifesi'!$P$2:$P$1000,MATCH($A47,'Komisyon Tarifesi'!$B$2:$B$1000,0)),IF($D47&gt;=INDEX('Komisyon Tarifesi'!$M$2:$M$1000,MATCH($A47,'Komisyon Tarifesi'!$B$2:$B$1000,0)),INDEX('Komisyon Tarifesi'!$Q$2:$Q$1000,MATCH($A47,'Komisyon Tarifesi'!$B$2:$B$1000,0)),INDEX('Komisyon Tarifesi'!$R$2:$R$1000,MATCH($A47,'Komisyon Tarifesi'!$B$2:$B$1000,0)))))/100,IFERROR(IF(VLOOKUP($A47,Products!$A$2:$W$1000,21,0)&lt;&gt;"",$D47*VLOOKUP($A47,Products!$A$2:$W$1000,21,0)/100,""),"")))</f>
        <v>106.65</v>
      </c>
      <c r="F47" s="14">
        <f t="array" ref="F47">IF($A47="","",IFERROR(IF(INDEX('Maliyet Giris'!$G$2:$G$550,MATCH($A47,'Maliyet Giris'!$A$2:$A$550,0))="","",IF(INDEX('Maliyet Giris'!$G$2:$G$550,MATCH($A47,'Maliyet Giris'!$A$2:$A$550,0))&lt;=2,86.4,IF(INDEX('Maliyet Giris'!$G$2:$G$550,MATCH($A47,'Maliyet Giris'!$A$2:$A$550,0))&lt;=3,90,IF(INDEX('Maliyet Giris'!$G$2:$G$550,MATCH($A47,'Maliyet Giris'!$A$2:$A$550,0))&lt;=5,102,IF(INDEX('Maliyet Giris'!$G$2:$G$550,MATCH($A47,'Maliyet Giris'!$A$2:$A$550,0))&lt;=10,159.74,IF(INDEX('Maliyet Giris'!$G$2:$G$550,MATCH($A47,'Maliyet Giris'!$A$2:$A$550,0))&lt;=15,187.5,IF(INDEX('Maliyet Giris'!$G$2:$G$550,MATCH($A47,'Maliyet Giris'!$A$2:$A$550,0))&lt;=20,225,299))))))),""))</f>
        <v>90</v>
      </c>
      <c r="G47" s="14">
        <f t="array" ref="G47">IF($A47="","",IFERROR(INDEX('Maliyet Giris'!$F$2:$F$550,MATCH($A47,'Maliyet Giris'!$A$2:$A$550,0)),""))</f>
        <v>576</v>
      </c>
      <c r="H47" s="14">
        <f t="shared" si="1"/>
        <v>13.19</v>
      </c>
      <c r="I47" s="14">
        <f t="shared" si="2"/>
        <v>6.583333333</v>
      </c>
      <c r="J47" s="14">
        <f t="shared" si="3"/>
        <v>0.6933333333</v>
      </c>
      <c r="K47" s="14">
        <f t="shared" si="4"/>
        <v>-3.116666667</v>
      </c>
      <c r="L47" s="15">
        <f t="shared" si="5"/>
        <v>-0.003945147679</v>
      </c>
      <c r="M47" s="17" t="str">
        <f t="shared" si="6"/>
        <v>ZARAR</v>
      </c>
      <c r="N47" s="17" t="str">
        <f t="shared" si="7"/>
        <v/>
      </c>
      <c r="O47" s="17">
        <f t="array" ref="O47">IF($A47="","",IFERROR(INDEX('Maliyet Giris'!$G$2:$G$550,MATCH($A47,'Maliyet Giris'!$A$2:$A$550,0)),""))</f>
        <v>3</v>
      </c>
      <c r="P47" s="17" t="str">
        <f t="shared" si="8"/>
        <v/>
      </c>
      <c r="Q47" s="17" t="str">
        <f t="shared" si="9"/>
        <v/>
      </c>
      <c r="R47" s="14">
        <f t="shared" si="10"/>
        <v>793.6415542</v>
      </c>
      <c r="S47" s="14">
        <f t="shared" si="11"/>
        <v>-3.641554182</v>
      </c>
      <c r="T47" s="17" t="str">
        <f t="shared" si="12"/>
        <v>ZARAR</v>
      </c>
      <c r="U47" s="17" t="str">
        <f t="shared" si="13"/>
        <v>Fiyat, maliyet veya kampanya kontrol et</v>
      </c>
    </row>
    <row r="48">
      <c r="A48" s="2">
        <f>IFERROR(__xludf.DUMMYFUNCTION("""COMPUTED_VALUE"""),2.1042024055E11)</f>
        <v>210420240550</v>
      </c>
      <c r="B48" s="17" t="str">
        <f>IFERROR(__xludf.DUMMYFUNCTION("""COMPUTED_VALUE"""),"N&amp;D")</f>
        <v>N&amp;D</v>
      </c>
      <c r="C48" s="28" t="str">
        <f>IFERROR(__xludf.DUMMYFUNCTION("""COMPUTED_VALUE"""),"Nd tropical selection köpek 1,5kg mini adult kuzu etli tropikal meyve küçük ırk yetişkin köpek mama")</f>
        <v>Nd tropical selection köpek 1,5kg mini adult kuzu etli tropikal meyve küçük ırk yetişkin köpek mama</v>
      </c>
      <c r="D48" s="14">
        <f>IFERROR(__xludf.DUMMYFUNCTION("""COMPUTED_VALUE"""),988.9)</f>
        <v>988.9</v>
      </c>
      <c r="E48" s="14">
        <f t="array" ref="E48">IF($A48="","",IFERROR($D48*IF($D48&gt;=INDEX('Komisyon Tarifesi'!$I$2:$I$1000,MATCH($A48,'Komisyon Tarifesi'!$B$2:$B$1000,0)),INDEX('Komisyon Tarifesi'!$O$2:$O$1000,MATCH($A48,'Komisyon Tarifesi'!$B$2:$B$1000,0)),IF($D48&gt;=INDEX('Komisyon Tarifesi'!$K$2:$K$1000,MATCH($A48,'Komisyon Tarifesi'!$B$2:$B$1000,0)),INDEX('Komisyon Tarifesi'!$P$2:$P$1000,MATCH($A48,'Komisyon Tarifesi'!$B$2:$B$1000,0)),IF($D48&gt;=INDEX('Komisyon Tarifesi'!$M$2:$M$1000,MATCH($A48,'Komisyon Tarifesi'!$B$2:$B$1000,0)),INDEX('Komisyon Tarifesi'!$Q$2:$Q$1000,MATCH($A48,'Komisyon Tarifesi'!$B$2:$B$1000,0)),INDEX('Komisyon Tarifesi'!$R$2:$R$1000,MATCH($A48,'Komisyon Tarifesi'!$B$2:$B$1000,0)))))/100,IFERROR(IF(VLOOKUP($A48,Products!$A$2:$W$1000,21,0)&lt;&gt;"",$D48*VLOOKUP($A48,Products!$A$2:$W$1000,21,0)/100,""),"")))</f>
        <v>163.1685</v>
      </c>
      <c r="F48" s="14">
        <f t="array" ref="F48">IF($A48="","",IFERROR(IF(INDEX('Maliyet Giris'!$G$2:$G$550,MATCH($A48,'Maliyet Giris'!$A$2:$A$550,0))="","",IF(INDEX('Maliyet Giris'!$G$2:$G$550,MATCH($A48,'Maliyet Giris'!$A$2:$A$550,0))&lt;=2,86.4,IF(INDEX('Maliyet Giris'!$G$2:$G$550,MATCH($A48,'Maliyet Giris'!$A$2:$A$550,0))&lt;=3,90,IF(INDEX('Maliyet Giris'!$G$2:$G$550,MATCH($A48,'Maliyet Giris'!$A$2:$A$550,0))&lt;=5,102,IF(INDEX('Maliyet Giris'!$G$2:$G$550,MATCH($A48,'Maliyet Giris'!$A$2:$A$550,0))&lt;=10,159.74,IF(INDEX('Maliyet Giris'!$G$2:$G$550,MATCH($A48,'Maliyet Giris'!$A$2:$A$550,0))&lt;=15,187.5,IF(INDEX('Maliyet Giris'!$G$2:$G$550,MATCH($A48,'Maliyet Giris'!$A$2:$A$550,0))&lt;=20,225,299))))))),""))</f>
        <v>90</v>
      </c>
      <c r="G48" s="14">
        <f t="array" ref="G48">IF($A48="","",IFERROR(INDEX('Maliyet Giris'!$F$2:$F$550,MATCH($A48,'Maliyet Giris'!$A$2:$A$550,0)),""))</f>
        <v>713</v>
      </c>
      <c r="H48" s="14">
        <f t="shared" si="1"/>
        <v>13.19</v>
      </c>
      <c r="I48" s="14">
        <f t="shared" si="2"/>
        <v>8.240833333</v>
      </c>
      <c r="J48" s="14">
        <f t="shared" si="3"/>
        <v>1.59025</v>
      </c>
      <c r="K48" s="14">
        <f t="shared" si="4"/>
        <v>-0.2895833333</v>
      </c>
      <c r="L48" s="15">
        <f t="shared" si="5"/>
        <v>-0.0002928337884</v>
      </c>
      <c r="M48" s="17" t="str">
        <f t="shared" si="6"/>
        <v>ZARAR</v>
      </c>
      <c r="N48" s="17" t="str">
        <f t="shared" si="7"/>
        <v/>
      </c>
      <c r="O48" s="17">
        <f t="array" ref="O48">IF($A48="","",IFERROR(INDEX('Maliyet Giris'!$G$2:$G$550,MATCH($A48,'Maliyet Giris'!$A$2:$A$550,0)),""))</f>
        <v>3</v>
      </c>
      <c r="P48" s="17" t="str">
        <f t="shared" si="8"/>
        <v/>
      </c>
      <c r="Q48" s="17" t="str">
        <f t="shared" si="9"/>
        <v/>
      </c>
      <c r="R48" s="14">
        <f t="shared" si="10"/>
        <v>989.2505855</v>
      </c>
      <c r="S48" s="14">
        <f t="shared" si="11"/>
        <v>-0.3505855157</v>
      </c>
      <c r="T48" s="17" t="str">
        <f t="shared" si="12"/>
        <v>ZARAR</v>
      </c>
      <c r="U48" s="17" t="str">
        <f t="shared" si="13"/>
        <v>Fiyat, maliyet veya kampanya kontrol et</v>
      </c>
    </row>
    <row r="49">
      <c r="A49" s="2" t="str">
        <f>IFERROR(__xludf.DUMMYFUNCTION("""COMPUTED_VALUE"""),"TYBL1W9TPK3NCREP31")</f>
        <v>TYBL1W9TPK3NCREP31</v>
      </c>
      <c r="B49" s="17" t="str">
        <f>IFERROR(__xludf.DUMMYFUNCTION("""COMPUTED_VALUE"""),"Royal Canin")</f>
        <v>Royal Canin</v>
      </c>
      <c r="C49" s="28" t="str">
        <f>IFERROR(__xludf.DUMMYFUNCTION("""COMPUTED_VALUE"""),"Babycat Instinctive Yavru ve Anne Kediler Için Konserve 195 gr x 12 Adet")</f>
        <v>Babycat Instinctive Yavru ve Anne Kediler Için Konserve 195 gr x 12 Adet</v>
      </c>
      <c r="D49" s="14">
        <f>IFERROR(__xludf.DUMMYFUNCTION("""COMPUTED_VALUE"""),1630.0)</f>
        <v>1630</v>
      </c>
      <c r="E49" s="14">
        <f t="array" ref="E49">IF($A49="","",IFERROR($D49*IF($D49&gt;=INDEX('Komisyon Tarifesi'!$I$2:$I$1000,MATCH($A49,'Komisyon Tarifesi'!$B$2:$B$1000,0)),INDEX('Komisyon Tarifesi'!$O$2:$O$1000,MATCH($A49,'Komisyon Tarifesi'!$B$2:$B$1000,0)),IF($D49&gt;=INDEX('Komisyon Tarifesi'!$K$2:$K$1000,MATCH($A49,'Komisyon Tarifesi'!$B$2:$B$1000,0)),INDEX('Komisyon Tarifesi'!$P$2:$P$1000,MATCH($A49,'Komisyon Tarifesi'!$B$2:$B$1000,0)),IF($D49&gt;=INDEX('Komisyon Tarifesi'!$M$2:$M$1000,MATCH($A49,'Komisyon Tarifesi'!$B$2:$B$1000,0)),INDEX('Komisyon Tarifesi'!$Q$2:$Q$1000,MATCH($A49,'Komisyon Tarifesi'!$B$2:$B$1000,0)),INDEX('Komisyon Tarifesi'!$R$2:$R$1000,MATCH($A49,'Komisyon Tarifesi'!$B$2:$B$1000,0)))))/100,IFERROR(IF(VLOOKUP($A49,Products!$A$2:$W$1000,21,0)&lt;&gt;"",$D49*VLOOKUP($A49,Products!$A$2:$W$1000,21,0)/100,""),"")))</f>
        <v>203.75</v>
      </c>
      <c r="F49" s="14">
        <f t="array" ref="F49">IF($A49="","",IFERROR(IF(INDEX('Maliyet Giris'!$G$2:$G$550,MATCH($A49,'Maliyet Giris'!$A$2:$A$550,0))="","",IF(INDEX('Maliyet Giris'!$G$2:$G$550,MATCH($A49,'Maliyet Giris'!$A$2:$A$550,0))&lt;=2,86.4,IF(INDEX('Maliyet Giris'!$G$2:$G$550,MATCH($A49,'Maliyet Giris'!$A$2:$A$550,0))&lt;=3,90,IF(INDEX('Maliyet Giris'!$G$2:$G$550,MATCH($A49,'Maliyet Giris'!$A$2:$A$550,0))&lt;=5,102,IF(INDEX('Maliyet Giris'!$G$2:$G$550,MATCH($A49,'Maliyet Giris'!$A$2:$A$550,0))&lt;=10,159.74,IF(INDEX('Maliyet Giris'!$G$2:$G$550,MATCH($A49,'Maliyet Giris'!$A$2:$A$550,0))&lt;=15,187.5,IF(INDEX('Maliyet Giris'!$G$2:$G$550,MATCH($A49,'Maliyet Giris'!$A$2:$A$550,0))&lt;=20,225,299))))))),""))</f>
        <v>90</v>
      </c>
      <c r="G49" s="14">
        <f t="array" ref="G49">IF($A49="","",IFERROR(INDEX('Maliyet Giris'!$F$2:$F$550,MATCH($A49,'Maliyet Giris'!$A$2:$A$550,0)),""))</f>
        <v>1301</v>
      </c>
      <c r="H49" s="14">
        <f t="shared" si="1"/>
        <v>13.19</v>
      </c>
      <c r="I49" s="14">
        <f t="shared" si="2"/>
        <v>13.58333333</v>
      </c>
      <c r="J49" s="14">
        <f t="shared" si="3"/>
        <v>3.676666667</v>
      </c>
      <c r="K49" s="14">
        <f t="shared" si="4"/>
        <v>4.8</v>
      </c>
      <c r="L49" s="15">
        <f t="shared" si="5"/>
        <v>0.002944785276</v>
      </c>
      <c r="M49" s="17" t="str">
        <f t="shared" si="6"/>
        <v>KÂRLI</v>
      </c>
      <c r="N49" s="17" t="str">
        <f t="shared" si="7"/>
        <v/>
      </c>
      <c r="O49" s="17">
        <f t="array" ref="O49">IF($A49="","",IFERROR(INDEX('Maliyet Giris'!$G$2:$G$550,MATCH($A49,'Maliyet Giris'!$A$2:$A$550,0)),""))</f>
        <v>3</v>
      </c>
      <c r="P49" s="17" t="str">
        <f t="shared" si="8"/>
        <v/>
      </c>
      <c r="Q49" s="17" t="str">
        <f t="shared" si="9"/>
        <v/>
      </c>
      <c r="R49" s="14">
        <f t="shared" si="10"/>
        <v>1624.44646</v>
      </c>
      <c r="S49" s="14">
        <f t="shared" si="11"/>
        <v>5.553540207</v>
      </c>
      <c r="T49" s="17" t="str">
        <f t="shared" si="12"/>
        <v>RİSKLİ</v>
      </c>
      <c r="U49" s="17" t="str">
        <f t="shared" si="13"/>
        <v>Minimum fiyat altına düşme</v>
      </c>
    </row>
    <row r="50">
      <c r="A50" s="2" t="str">
        <f>IFERROR(__xludf.DUMMYFUNCTION("""COMPUTED_VALUE"""),"WHS28850000")</f>
        <v>WHS28850000</v>
      </c>
      <c r="B50" s="17" t="str">
        <f>IFERROR(__xludf.DUMMYFUNCTION("""COMPUTED_VALUE"""),"Whiskas")</f>
        <v>Whiskas</v>
      </c>
      <c r="C50" s="28" t="str">
        <f>IFERROR(__xludf.DUMMYFUNCTION("""COMPUTED_VALUE"""),"Sığır - Tavuk - Somon - Ton Balıklı Karışık Yaş Kedi Maması 28 Adet 85 Gr.")</f>
        <v>Sığır - Tavuk - Somon - Ton Balıklı Karışık Yaş Kedi Maması 28 Adet 85 Gr.</v>
      </c>
      <c r="D50" s="14">
        <f>IFERROR(__xludf.DUMMYFUNCTION("""COMPUTED_VALUE"""),696.0)</f>
        <v>696</v>
      </c>
      <c r="E50" s="14">
        <f t="array" ref="E50">IF($A50="","",IFERROR($D50*IF($D50&gt;=INDEX('Komisyon Tarifesi'!$I$2:$I$1000,MATCH($A50,'Komisyon Tarifesi'!$B$2:$B$1000,0)),INDEX('Komisyon Tarifesi'!$O$2:$O$1000,MATCH($A50,'Komisyon Tarifesi'!$B$2:$B$1000,0)),IF($D50&gt;=INDEX('Komisyon Tarifesi'!$K$2:$K$1000,MATCH($A50,'Komisyon Tarifesi'!$B$2:$B$1000,0)),INDEX('Komisyon Tarifesi'!$P$2:$P$1000,MATCH($A50,'Komisyon Tarifesi'!$B$2:$B$1000,0)),IF($D50&gt;=INDEX('Komisyon Tarifesi'!$M$2:$M$1000,MATCH($A50,'Komisyon Tarifesi'!$B$2:$B$1000,0)),INDEX('Komisyon Tarifesi'!$Q$2:$Q$1000,MATCH($A50,'Komisyon Tarifesi'!$B$2:$B$1000,0)),INDEX('Komisyon Tarifesi'!$R$2:$R$1000,MATCH($A50,'Komisyon Tarifesi'!$B$2:$B$1000,0)))))/100,IFERROR(IF(VLOOKUP($A50,Products!$A$2:$W$1000,21,0)&lt;&gt;"",$D50*VLOOKUP($A50,Products!$A$2:$W$1000,21,0)/100,""),"")))</f>
        <v>93.96</v>
      </c>
      <c r="F50" s="14">
        <f t="array" ref="F50">IF($A50="","",IFERROR(IF(INDEX('Maliyet Giris'!$G$2:$G$550,MATCH($A50,'Maliyet Giris'!$A$2:$A$550,0))="","",IF(INDEX('Maliyet Giris'!$G$2:$G$550,MATCH($A50,'Maliyet Giris'!$A$2:$A$550,0))&lt;=2,86.4,IF(INDEX('Maliyet Giris'!$G$2:$G$550,MATCH($A50,'Maliyet Giris'!$A$2:$A$550,0))&lt;=3,90,IF(INDEX('Maliyet Giris'!$G$2:$G$550,MATCH($A50,'Maliyet Giris'!$A$2:$A$550,0))&lt;=5,102,IF(INDEX('Maliyet Giris'!$G$2:$G$550,MATCH($A50,'Maliyet Giris'!$A$2:$A$550,0))&lt;=10,159.74,IF(INDEX('Maliyet Giris'!$G$2:$G$550,MATCH($A50,'Maliyet Giris'!$A$2:$A$550,0))&lt;=15,187.5,IF(INDEX('Maliyet Giris'!$G$2:$G$550,MATCH($A50,'Maliyet Giris'!$A$2:$A$550,0))&lt;=20,225,299))))))),""))</f>
        <v>90</v>
      </c>
      <c r="G50" s="14">
        <f t="array" ref="G50">IF($A50="","",IFERROR(INDEX('Maliyet Giris'!$F$2:$F$550,MATCH($A50,'Maliyet Giris'!$A$2:$A$550,0)),""))</f>
        <v>1</v>
      </c>
      <c r="H50" s="14">
        <f t="shared" si="1"/>
        <v>13.19</v>
      </c>
      <c r="I50" s="14">
        <f t="shared" si="2"/>
        <v>5.8</v>
      </c>
      <c r="J50" s="14">
        <f t="shared" si="3"/>
        <v>82.975</v>
      </c>
      <c r="K50" s="14">
        <f t="shared" si="4"/>
        <v>409.075</v>
      </c>
      <c r="L50" s="15">
        <f t="shared" si="5"/>
        <v>0.5877514368</v>
      </c>
      <c r="M50" s="17" t="str">
        <f t="shared" si="6"/>
        <v>KÂRLI</v>
      </c>
      <c r="N50" s="17" t="str">
        <f t="shared" si="7"/>
        <v/>
      </c>
      <c r="O50" s="17">
        <f t="array" ref="O50">IF($A50="","",IFERROR(INDEX('Maliyet Giris'!$G$2:$G$550,MATCH($A50,'Maliyet Giris'!$A$2:$A$550,0)),""))</f>
        <v>3</v>
      </c>
      <c r="P50" s="17" t="str">
        <f t="shared" si="8"/>
        <v/>
      </c>
      <c r="Q50" s="17" t="str">
        <f t="shared" si="9"/>
        <v/>
      </c>
      <c r="R50" s="14">
        <f t="shared" si="10"/>
        <v>141.284146</v>
      </c>
      <c r="S50" s="14">
        <f t="shared" si="11"/>
        <v>554.715854</v>
      </c>
      <c r="T50" s="17" t="str">
        <f t="shared" si="12"/>
        <v>ÇOK KÂRLI</v>
      </c>
      <c r="U50" s="17" t="str">
        <f t="shared" si="13"/>
        <v>Stok ve BuyBox takibini artır</v>
      </c>
    </row>
    <row r="51">
      <c r="A51" s="2">
        <f>IFERROR(__xludf.DUMMYFUNCTION("""COMPUTED_VALUE"""),7.613033566387E12)</f>
        <v>7613033566387</v>
      </c>
      <c r="B51" s="17" t="str">
        <f>IFERROR(__xludf.DUMMYFUNCTION("""COMPUTED_VALUE"""),"Pro Plan")</f>
        <v>Pro Plan</v>
      </c>
      <c r="C51" s="28" t="str">
        <f>IFERROR(__xludf.DUMMYFUNCTION("""COMPUTED_VALUE"""),"Renal Plus Sterilised, Somonlu Kısırlaştırılmış Kedi Maması 1.5 Kg")</f>
        <v>Renal Plus Sterilised, Somonlu Kısırlaştırılmış Kedi Maması 1.5 Kg</v>
      </c>
      <c r="D51" s="14">
        <f>IFERROR(__xludf.DUMMYFUNCTION("""COMPUTED_VALUE"""),781.3)</f>
        <v>781.3</v>
      </c>
      <c r="E51" s="14">
        <f t="array" ref="E51">IF($A51="","",IFERROR($D51*IF($D51&gt;=INDEX('Komisyon Tarifesi'!$I$2:$I$1000,MATCH($A51,'Komisyon Tarifesi'!$B$2:$B$1000,0)),INDEX('Komisyon Tarifesi'!$O$2:$O$1000,MATCH($A51,'Komisyon Tarifesi'!$B$2:$B$1000,0)),IF($D51&gt;=INDEX('Komisyon Tarifesi'!$K$2:$K$1000,MATCH($A51,'Komisyon Tarifesi'!$B$2:$B$1000,0)),INDEX('Komisyon Tarifesi'!$P$2:$P$1000,MATCH($A51,'Komisyon Tarifesi'!$B$2:$B$1000,0)),IF($D51&gt;=INDEX('Komisyon Tarifesi'!$M$2:$M$1000,MATCH($A51,'Komisyon Tarifesi'!$B$2:$B$1000,0)),INDEX('Komisyon Tarifesi'!$Q$2:$Q$1000,MATCH($A51,'Komisyon Tarifesi'!$B$2:$B$1000,0)),INDEX('Komisyon Tarifesi'!$R$2:$R$1000,MATCH($A51,'Komisyon Tarifesi'!$B$2:$B$1000,0)))))/100,IFERROR(IF(VLOOKUP($A51,Products!$A$2:$W$1000,21,0)&lt;&gt;"",$D51*VLOOKUP($A51,Products!$A$2:$W$1000,21,0)/100,""),"")))</f>
        <v>68.7544</v>
      </c>
      <c r="F51" s="14">
        <f t="array" ref="F51">IF($A51="","",IFERROR(IF(INDEX('Maliyet Giris'!$G$2:$G$550,MATCH($A51,'Maliyet Giris'!$A$2:$A$550,0))="","",IF(INDEX('Maliyet Giris'!$G$2:$G$550,MATCH($A51,'Maliyet Giris'!$A$2:$A$550,0))&lt;=2,86.4,IF(INDEX('Maliyet Giris'!$G$2:$G$550,MATCH($A51,'Maliyet Giris'!$A$2:$A$550,0))&lt;=3,90,IF(INDEX('Maliyet Giris'!$G$2:$G$550,MATCH($A51,'Maliyet Giris'!$A$2:$A$550,0))&lt;=5,102,IF(INDEX('Maliyet Giris'!$G$2:$G$550,MATCH($A51,'Maliyet Giris'!$A$2:$A$550,0))&lt;=10,159.74,IF(INDEX('Maliyet Giris'!$G$2:$G$550,MATCH($A51,'Maliyet Giris'!$A$2:$A$550,0))&lt;=15,187.5,IF(INDEX('Maliyet Giris'!$G$2:$G$550,MATCH($A51,'Maliyet Giris'!$A$2:$A$550,0))&lt;=20,225,299))))))),""))</f>
        <v>90</v>
      </c>
      <c r="G51" s="14">
        <f t="array" ref="G51">IF($A51="","",IFERROR(INDEX('Maliyet Giris'!$F$2:$F$550,MATCH($A51,'Maliyet Giris'!$A$2:$A$550,0)),""))</f>
        <v>710</v>
      </c>
      <c r="H51" s="14">
        <f t="shared" si="1"/>
        <v>13.19</v>
      </c>
      <c r="I51" s="14">
        <f t="shared" si="2"/>
        <v>6.510833333</v>
      </c>
      <c r="J51" s="14">
        <f t="shared" si="3"/>
        <v>0</v>
      </c>
      <c r="K51" s="14">
        <f t="shared" si="4"/>
        <v>-107.1552333</v>
      </c>
      <c r="L51" s="15">
        <f t="shared" si="5"/>
        <v>-0.1371499211</v>
      </c>
      <c r="M51" s="17" t="str">
        <f t="shared" si="6"/>
        <v>ZARAR</v>
      </c>
      <c r="N51" s="17" t="str">
        <f t="shared" si="7"/>
        <v/>
      </c>
      <c r="O51" s="17">
        <f t="array" ref="O51">IF($A51="","",IFERROR(INDEX('Maliyet Giris'!$G$2:$G$550,MATCH($A51,'Maliyet Giris'!$A$2:$A$550,0)),""))</f>
        <v>3</v>
      </c>
      <c r="P51" s="17" t="str">
        <f t="shared" si="8"/>
        <v/>
      </c>
      <c r="Q51" s="17" t="str">
        <f t="shared" si="9"/>
        <v/>
      </c>
      <c r="R51" s="14">
        <f t="shared" si="10"/>
        <v>899.8779418</v>
      </c>
      <c r="S51" s="14">
        <f t="shared" si="11"/>
        <v>-118.5779418</v>
      </c>
      <c r="T51" s="17" t="str">
        <f t="shared" si="12"/>
        <v>ZARAR</v>
      </c>
      <c r="U51" s="17" t="str">
        <f t="shared" si="13"/>
        <v>Fiyat, maliyet veya kampanya kontrol et</v>
      </c>
    </row>
    <row r="52">
      <c r="A52" s="2">
        <f>IFERROR(__xludf.DUMMYFUNCTION("""COMPUTED_VALUE"""),8.010276035097E12)</f>
        <v>8010276035097</v>
      </c>
      <c r="B52" s="17" t="str">
        <f>IFERROR(__xludf.DUMMYFUNCTION("""COMPUTED_VALUE"""),"N&amp;D")</f>
        <v>N&amp;D</v>
      </c>
      <c r="C52" s="28" t="str">
        <f>IFERROR(__xludf.DUMMYFUNCTION("""COMPUTED_VALUE"""),"A.grain Düşük Tahıllı Kuzulu Ve Yaban Mersinli Mini Irk Yetişkin Köpek Kuru Maması 7 Kg")</f>
        <v>A.grain Düşük Tahıllı Kuzulu Ve Yaban Mersinli Mini Irk Yetişkin Köpek Kuru Maması 7 Kg</v>
      </c>
      <c r="D52" s="14">
        <f>IFERROR(__xludf.DUMMYFUNCTION("""COMPUTED_VALUE"""),2690.0)</f>
        <v>2690</v>
      </c>
      <c r="E52" s="14">
        <f t="array" ref="E52">IF($A52="","",IFERROR($D52*IF($D52&gt;=INDEX('Komisyon Tarifesi'!$I$2:$I$1000,MATCH($A52,'Komisyon Tarifesi'!$B$2:$B$1000,0)),INDEX('Komisyon Tarifesi'!$O$2:$O$1000,MATCH($A52,'Komisyon Tarifesi'!$B$2:$B$1000,0)),IF($D52&gt;=INDEX('Komisyon Tarifesi'!$K$2:$K$1000,MATCH($A52,'Komisyon Tarifesi'!$B$2:$B$1000,0)),INDEX('Komisyon Tarifesi'!$P$2:$P$1000,MATCH($A52,'Komisyon Tarifesi'!$B$2:$B$1000,0)),IF($D52&gt;=INDEX('Komisyon Tarifesi'!$M$2:$M$1000,MATCH($A52,'Komisyon Tarifesi'!$B$2:$B$1000,0)),INDEX('Komisyon Tarifesi'!$Q$2:$Q$1000,MATCH($A52,'Komisyon Tarifesi'!$B$2:$B$1000,0)),INDEX('Komisyon Tarifesi'!$R$2:$R$1000,MATCH($A52,'Komisyon Tarifesi'!$B$2:$B$1000,0)))))/100,IFERROR(IF(VLOOKUP($A52,Products!$A$2:$W$1000,21,0)&lt;&gt;"",$D52*VLOOKUP($A52,Products!$A$2:$W$1000,21,0)/100,""),"")))</f>
        <v>443.85</v>
      </c>
      <c r="F52" s="14">
        <f t="array" ref="F52">IF($A52="","",IFERROR(IF(INDEX('Maliyet Giris'!$G$2:$G$550,MATCH($A52,'Maliyet Giris'!$A$2:$A$550,0))="","",IF(INDEX('Maliyet Giris'!$G$2:$G$550,MATCH($A52,'Maliyet Giris'!$A$2:$A$550,0))&lt;=2,86.4,IF(INDEX('Maliyet Giris'!$G$2:$G$550,MATCH($A52,'Maliyet Giris'!$A$2:$A$550,0))&lt;=3,90,IF(INDEX('Maliyet Giris'!$G$2:$G$550,MATCH($A52,'Maliyet Giris'!$A$2:$A$550,0))&lt;=5,102,IF(INDEX('Maliyet Giris'!$G$2:$G$550,MATCH($A52,'Maliyet Giris'!$A$2:$A$550,0))&lt;=10,159.74,IF(INDEX('Maliyet Giris'!$G$2:$G$550,MATCH($A52,'Maliyet Giris'!$A$2:$A$550,0))&lt;=15,187.5,IF(INDEX('Maliyet Giris'!$G$2:$G$550,MATCH($A52,'Maliyet Giris'!$A$2:$A$550,0))&lt;=20,225,299))))))),""))</f>
        <v>159.74</v>
      </c>
      <c r="G52" s="14">
        <f t="array" ref="G52">IF($A52="","",IFERROR(INDEX('Maliyet Giris'!$F$2:$F$550,MATCH($A52,'Maliyet Giris'!$A$2:$A$550,0)),""))</f>
        <v>2043</v>
      </c>
      <c r="H52" s="14">
        <f t="shared" si="1"/>
        <v>13.19</v>
      </c>
      <c r="I52" s="14">
        <f t="shared" si="2"/>
        <v>22.41666667</v>
      </c>
      <c r="J52" s="14">
        <f t="shared" si="3"/>
        <v>5.036666667</v>
      </c>
      <c r="K52" s="14">
        <f t="shared" si="4"/>
        <v>2.766666667</v>
      </c>
      <c r="L52" s="15">
        <f t="shared" si="5"/>
        <v>0.00102850062</v>
      </c>
      <c r="M52" s="17" t="str">
        <f t="shared" si="6"/>
        <v>KÂRLI</v>
      </c>
      <c r="N52" s="17" t="str">
        <f t="shared" si="7"/>
        <v/>
      </c>
      <c r="O52" s="17">
        <f t="array" ref="O52">IF($A52="","",IFERROR(INDEX('Maliyet Giris'!$G$2:$G$550,MATCH($A52,'Maliyet Giris'!$A$2:$A$550,0)),""))</f>
        <v>7</v>
      </c>
      <c r="P52" s="17" t="str">
        <f t="shared" si="8"/>
        <v/>
      </c>
      <c r="Q52" s="17" t="str">
        <f t="shared" si="9"/>
        <v/>
      </c>
      <c r="R52" s="14">
        <f t="shared" si="10"/>
        <v>2686.644543</v>
      </c>
      <c r="S52" s="14">
        <f t="shared" si="11"/>
        <v>3.355457494</v>
      </c>
      <c r="T52" s="17" t="str">
        <f t="shared" si="12"/>
        <v>RİSKLİ</v>
      </c>
      <c r="U52" s="17" t="str">
        <f t="shared" si="13"/>
        <v>Minimum fiyat altına düşme</v>
      </c>
    </row>
    <row r="53">
      <c r="A53" s="2">
        <f>IFERROR(__xludf.DUMMYFUNCTION("""COMPUTED_VALUE"""),8.010276021823E12)</f>
        <v>8010276021823</v>
      </c>
      <c r="B53" s="17" t="str">
        <f>IFERROR(__xludf.DUMMYFUNCTION("""COMPUTED_VALUE"""),"N&amp;D")</f>
        <v>N&amp;D</v>
      </c>
      <c r="C53" s="28" t="str">
        <f>IFERROR(__xludf.DUMMYFUNCTION("""COMPUTED_VALUE"""),"Tahılsız Kuzulu&amp;Yabanmersinli Mini Irk Yetişkin Köpek Maması 7 KG")</f>
        <v>Tahılsız Kuzulu&amp;Yabanmersinli Mini Irk Yetişkin Köpek Maması 7 KG</v>
      </c>
      <c r="D53" s="14">
        <f>IFERROR(__xludf.DUMMYFUNCTION("""COMPUTED_VALUE"""),3969.0)</f>
        <v>3969</v>
      </c>
      <c r="E53" s="14">
        <f t="array" ref="E53">IF($A53="","",IFERROR($D53*IF($D53&gt;=INDEX('Komisyon Tarifesi'!$I$2:$I$1000,MATCH($A53,'Komisyon Tarifesi'!$B$2:$B$1000,0)),INDEX('Komisyon Tarifesi'!$O$2:$O$1000,MATCH($A53,'Komisyon Tarifesi'!$B$2:$B$1000,0)),IF($D53&gt;=INDEX('Komisyon Tarifesi'!$K$2:$K$1000,MATCH($A53,'Komisyon Tarifesi'!$B$2:$B$1000,0)),INDEX('Komisyon Tarifesi'!$P$2:$P$1000,MATCH($A53,'Komisyon Tarifesi'!$B$2:$B$1000,0)),IF($D53&gt;=INDEX('Komisyon Tarifesi'!$M$2:$M$1000,MATCH($A53,'Komisyon Tarifesi'!$B$2:$B$1000,0)),INDEX('Komisyon Tarifesi'!$Q$2:$Q$1000,MATCH($A53,'Komisyon Tarifesi'!$B$2:$B$1000,0)),INDEX('Komisyon Tarifesi'!$R$2:$R$1000,MATCH($A53,'Komisyon Tarifesi'!$B$2:$B$1000,0)))))/100,IFERROR(IF(VLOOKUP($A53,Products!$A$2:$W$1000,21,0)&lt;&gt;"",$D53*VLOOKUP($A53,Products!$A$2:$W$1000,21,0)/100,""),"")))</f>
        <v>654.885</v>
      </c>
      <c r="F53" s="14">
        <f t="array" ref="F53">IF($A53="","",IFERROR(IF(INDEX('Maliyet Giris'!$G$2:$G$550,MATCH($A53,'Maliyet Giris'!$A$2:$A$550,0))="","",IF(INDEX('Maliyet Giris'!$G$2:$G$550,MATCH($A53,'Maliyet Giris'!$A$2:$A$550,0))&lt;=2,86.4,IF(INDEX('Maliyet Giris'!$G$2:$G$550,MATCH($A53,'Maliyet Giris'!$A$2:$A$550,0))&lt;=3,90,IF(INDEX('Maliyet Giris'!$G$2:$G$550,MATCH($A53,'Maliyet Giris'!$A$2:$A$550,0))&lt;=5,102,IF(INDEX('Maliyet Giris'!$G$2:$G$550,MATCH($A53,'Maliyet Giris'!$A$2:$A$550,0))&lt;=10,159.74,IF(INDEX('Maliyet Giris'!$G$2:$G$550,MATCH($A53,'Maliyet Giris'!$A$2:$A$550,0))&lt;=15,187.5,IF(INDEX('Maliyet Giris'!$G$2:$G$550,MATCH($A53,'Maliyet Giris'!$A$2:$A$550,0))&lt;=20,225,299))))))),""))</f>
        <v>159.74</v>
      </c>
      <c r="G53" s="14">
        <f t="array" ref="G53">IF($A53="","",IFERROR(INDEX('Maliyet Giris'!$F$2:$F$550,MATCH($A53,'Maliyet Giris'!$A$2:$A$550,0)),""))</f>
        <v>2999</v>
      </c>
      <c r="H53" s="14">
        <f t="shared" si="1"/>
        <v>13.19</v>
      </c>
      <c r="I53" s="14">
        <f t="shared" si="2"/>
        <v>33.075</v>
      </c>
      <c r="J53" s="14">
        <f t="shared" si="3"/>
        <v>23.6975</v>
      </c>
      <c r="K53" s="14">
        <f t="shared" si="4"/>
        <v>85.4125</v>
      </c>
      <c r="L53" s="15">
        <f t="shared" si="5"/>
        <v>0.02151990426</v>
      </c>
      <c r="M53" s="17" t="str">
        <f t="shared" si="6"/>
        <v>KÂRLI</v>
      </c>
      <c r="N53" s="17" t="str">
        <f t="shared" si="7"/>
        <v/>
      </c>
      <c r="O53" s="17">
        <f t="array" ref="O53">IF($A53="","",IFERROR(INDEX('Maliyet Giris'!$G$2:$G$550,MATCH($A53,'Maliyet Giris'!$A$2:$A$550,0)),""))</f>
        <v>7</v>
      </c>
      <c r="P53" s="17" t="str">
        <f t="shared" si="8"/>
        <v/>
      </c>
      <c r="Q53" s="17" t="str">
        <f t="shared" si="9"/>
        <v/>
      </c>
      <c r="R53" s="14">
        <f t="shared" si="10"/>
        <v>3864.925183</v>
      </c>
      <c r="S53" s="14">
        <f t="shared" si="11"/>
        <v>104.0748174</v>
      </c>
      <c r="T53" s="17" t="str">
        <f t="shared" si="12"/>
        <v>RİSKLİ</v>
      </c>
      <c r="U53" s="17" t="str">
        <f t="shared" si="13"/>
        <v>Minimum fiyat altına düşme</v>
      </c>
    </row>
    <row r="54">
      <c r="A54" s="2">
        <f>IFERROR(__xludf.DUMMYFUNCTION("""COMPUTED_VALUE"""),8.010276042361E12)</f>
        <v>8010276042361</v>
      </c>
      <c r="B54" s="17" t="str">
        <f>IFERROR(__xludf.DUMMYFUNCTION("""COMPUTED_VALUE"""),"N&amp;D")</f>
        <v>N&amp;D</v>
      </c>
      <c r="C54" s="28" t="str">
        <f>IFERROR(__xludf.DUMMYFUNCTION("""COMPUTED_VALUE"""),"Tropical Selection Somonlu Mini Irk Yetişkin Köpek Maması 5kg")</f>
        <v>Tropical Selection Somonlu Mini Irk Yetişkin Köpek Maması 5kg</v>
      </c>
      <c r="D54" s="14">
        <f>IFERROR(__xludf.DUMMYFUNCTION("""COMPUTED_VALUE"""),2195.0)</f>
        <v>2195</v>
      </c>
      <c r="E54" s="14">
        <f t="array" ref="E54">IF($A54="","",IFERROR($D54*IF($D54&gt;=INDEX('Komisyon Tarifesi'!$I$2:$I$1000,MATCH($A54,'Komisyon Tarifesi'!$B$2:$B$1000,0)),INDEX('Komisyon Tarifesi'!$O$2:$O$1000,MATCH($A54,'Komisyon Tarifesi'!$B$2:$B$1000,0)),IF($D54&gt;=INDEX('Komisyon Tarifesi'!$K$2:$K$1000,MATCH($A54,'Komisyon Tarifesi'!$B$2:$B$1000,0)),INDEX('Komisyon Tarifesi'!$P$2:$P$1000,MATCH($A54,'Komisyon Tarifesi'!$B$2:$B$1000,0)),IF($D54&gt;=INDEX('Komisyon Tarifesi'!$M$2:$M$1000,MATCH($A54,'Komisyon Tarifesi'!$B$2:$B$1000,0)),INDEX('Komisyon Tarifesi'!$Q$2:$Q$1000,MATCH($A54,'Komisyon Tarifesi'!$B$2:$B$1000,0)),INDEX('Komisyon Tarifesi'!$R$2:$R$1000,MATCH($A54,'Komisyon Tarifesi'!$B$2:$B$1000,0)))))/100,IFERROR(IF(VLOOKUP($A54,Products!$A$2:$W$1000,21,0)&lt;&gt;"",$D54*VLOOKUP($A54,Products!$A$2:$W$1000,21,0)/100,""),"")))</f>
        <v>362.175</v>
      </c>
      <c r="F54" s="14">
        <f t="array" ref="F54">IF($A54="","",IFERROR(IF(INDEX('Maliyet Giris'!$G$2:$G$550,MATCH($A54,'Maliyet Giris'!$A$2:$A$550,0))="","",IF(INDEX('Maliyet Giris'!$G$2:$G$550,MATCH($A54,'Maliyet Giris'!$A$2:$A$550,0))&lt;=2,86.4,IF(INDEX('Maliyet Giris'!$G$2:$G$550,MATCH($A54,'Maliyet Giris'!$A$2:$A$550,0))&lt;=3,90,IF(INDEX('Maliyet Giris'!$G$2:$G$550,MATCH($A54,'Maliyet Giris'!$A$2:$A$550,0))&lt;=5,102,IF(INDEX('Maliyet Giris'!$G$2:$G$550,MATCH($A54,'Maliyet Giris'!$A$2:$A$550,0))&lt;=10,159.74,IF(INDEX('Maliyet Giris'!$G$2:$G$550,MATCH($A54,'Maliyet Giris'!$A$2:$A$550,0))&lt;=15,187.5,IF(INDEX('Maliyet Giris'!$G$2:$G$550,MATCH($A54,'Maliyet Giris'!$A$2:$A$550,0))&lt;=20,225,299))))))),""))</f>
        <v>102</v>
      </c>
      <c r="G54" s="14">
        <f t="array" ref="G54">IF($A54="","",IFERROR(INDEX('Maliyet Giris'!$F$2:$F$550,MATCH($A54,'Maliyet Giris'!$A$2:$A$550,0)),""))</f>
        <v>1638</v>
      </c>
      <c r="H54" s="14">
        <f t="shared" si="1"/>
        <v>13.19</v>
      </c>
      <c r="I54" s="14">
        <f t="shared" si="2"/>
        <v>18.29166667</v>
      </c>
      <c r="J54" s="14">
        <f t="shared" si="3"/>
        <v>13.2725</v>
      </c>
      <c r="K54" s="14">
        <f t="shared" si="4"/>
        <v>48.07083333</v>
      </c>
      <c r="L54" s="15">
        <f t="shared" si="5"/>
        <v>0.02190015186</v>
      </c>
      <c r="M54" s="17" t="str">
        <f t="shared" si="6"/>
        <v>KÂRLI</v>
      </c>
      <c r="N54" s="17" t="str">
        <f t="shared" si="7"/>
        <v/>
      </c>
      <c r="O54" s="17">
        <f t="array" ref="O54">IF($A54="","",IFERROR(INDEX('Maliyet Giris'!$G$2:$G$550,MATCH($A54,'Maliyet Giris'!$A$2:$A$550,0)),""))</f>
        <v>5</v>
      </c>
      <c r="P54" s="17" t="str">
        <f t="shared" si="8"/>
        <v/>
      </c>
      <c r="Q54" s="17" t="str">
        <f t="shared" si="9"/>
        <v/>
      </c>
      <c r="R54" s="14">
        <f t="shared" si="10"/>
        <v>2136.420454</v>
      </c>
      <c r="S54" s="14">
        <f t="shared" si="11"/>
        <v>58.57954626</v>
      </c>
      <c r="T54" s="17" t="str">
        <f t="shared" si="12"/>
        <v>RİSKLİ</v>
      </c>
      <c r="U54" s="17" t="str">
        <f t="shared" si="13"/>
        <v>Minimum fiyat altına düşme</v>
      </c>
    </row>
    <row r="55">
      <c r="A55" s="2">
        <f>IFERROR(__xludf.DUMMYFUNCTION("""COMPUTED_VALUE"""),8.010276039309E12)</f>
        <v>8010276039309</v>
      </c>
      <c r="B55" s="17" t="str">
        <f>IFERROR(__xludf.DUMMYFUNCTION("""COMPUTED_VALUE"""),"N&amp;D")</f>
        <v>N&amp;D</v>
      </c>
      <c r="C55" s="28" t="str">
        <f>IFERROR(__xludf.DUMMYFUNCTION("""COMPUTED_VALUE"""),"Ocean Somon ve Morina Kavunlu Mini Irk Köpek Maması 2,5 Kg")</f>
        <v>Ocean Somon ve Morina Kavunlu Mini Irk Köpek Maması 2,5 Kg</v>
      </c>
      <c r="D55" s="14">
        <f>IFERROR(__xludf.DUMMYFUNCTION("""COMPUTED_VALUE"""),1828.0)</f>
        <v>1828</v>
      </c>
      <c r="E55" s="14">
        <f t="array" ref="E55">IF($A55="","",IFERROR($D55*IF($D55&gt;=INDEX('Komisyon Tarifesi'!$I$2:$I$1000,MATCH($A55,'Komisyon Tarifesi'!$B$2:$B$1000,0)),INDEX('Komisyon Tarifesi'!$O$2:$O$1000,MATCH($A55,'Komisyon Tarifesi'!$B$2:$B$1000,0)),IF($D55&gt;=INDEX('Komisyon Tarifesi'!$K$2:$K$1000,MATCH($A55,'Komisyon Tarifesi'!$B$2:$B$1000,0)),INDEX('Komisyon Tarifesi'!$P$2:$P$1000,MATCH($A55,'Komisyon Tarifesi'!$B$2:$B$1000,0)),IF($D55&gt;=INDEX('Komisyon Tarifesi'!$M$2:$M$1000,MATCH($A55,'Komisyon Tarifesi'!$B$2:$B$1000,0)),INDEX('Komisyon Tarifesi'!$Q$2:$Q$1000,MATCH($A55,'Komisyon Tarifesi'!$B$2:$B$1000,0)),INDEX('Komisyon Tarifesi'!$R$2:$R$1000,MATCH($A55,'Komisyon Tarifesi'!$B$2:$B$1000,0)))))/100,IFERROR(IF(VLOOKUP($A55,Products!$A$2:$W$1000,21,0)&lt;&gt;"",$D55*VLOOKUP($A55,Products!$A$2:$W$1000,21,0)/100,""),"")))</f>
        <v>301.62</v>
      </c>
      <c r="F55" s="14">
        <f t="array" ref="F55">IF($A55="","",IFERROR(IF(INDEX('Maliyet Giris'!$G$2:$G$550,MATCH($A55,'Maliyet Giris'!$A$2:$A$550,0))="","",IF(INDEX('Maliyet Giris'!$G$2:$G$550,MATCH($A55,'Maliyet Giris'!$A$2:$A$550,0))&lt;=2,86.4,IF(INDEX('Maliyet Giris'!$G$2:$G$550,MATCH($A55,'Maliyet Giris'!$A$2:$A$550,0))&lt;=3,90,IF(INDEX('Maliyet Giris'!$G$2:$G$550,MATCH($A55,'Maliyet Giris'!$A$2:$A$550,0))&lt;=5,102,IF(INDEX('Maliyet Giris'!$G$2:$G$550,MATCH($A55,'Maliyet Giris'!$A$2:$A$550,0))&lt;=10,159.74,IF(INDEX('Maliyet Giris'!$G$2:$G$550,MATCH($A55,'Maliyet Giris'!$A$2:$A$550,0))&lt;=15,187.5,IF(INDEX('Maliyet Giris'!$G$2:$G$550,MATCH($A55,'Maliyet Giris'!$A$2:$A$550,0))&lt;=20,225,299))))))),""))</f>
        <v>90</v>
      </c>
      <c r="G55" s="14">
        <f t="array" ref="G55">IF($A55="","",IFERROR(INDEX('Maliyet Giris'!$F$2:$F$550,MATCH($A55,'Maliyet Giris'!$A$2:$A$550,0)),""))</f>
        <v>1363</v>
      </c>
      <c r="H55" s="14">
        <f t="shared" si="1"/>
        <v>13.19</v>
      </c>
      <c r="I55" s="14">
        <f t="shared" si="2"/>
        <v>15.23333333</v>
      </c>
      <c r="J55" s="14">
        <f t="shared" si="3"/>
        <v>10.03166667</v>
      </c>
      <c r="K55" s="14">
        <f t="shared" si="4"/>
        <v>34.925</v>
      </c>
      <c r="L55" s="15">
        <f t="shared" si="5"/>
        <v>0.01910557987</v>
      </c>
      <c r="M55" s="17" t="str">
        <f t="shared" si="6"/>
        <v>KÂRLI</v>
      </c>
      <c r="N55" s="17" t="str">
        <f t="shared" si="7"/>
        <v/>
      </c>
      <c r="O55" s="17">
        <f t="array" ref="O55">IF($A55="","",IFERROR(INDEX('Maliyet Giris'!$G$2:$G$550,MATCH($A55,'Maliyet Giris'!$A$2:$A$550,0)),""))</f>
        <v>3</v>
      </c>
      <c r="P55" s="17" t="str">
        <f t="shared" si="8"/>
        <v/>
      </c>
      <c r="Q55" s="17" t="str">
        <f t="shared" si="9"/>
        <v/>
      </c>
      <c r="R55" s="14">
        <f t="shared" si="10"/>
        <v>1785.468956</v>
      </c>
      <c r="S55" s="14">
        <f t="shared" si="11"/>
        <v>42.53104389</v>
      </c>
      <c r="T55" s="17" t="str">
        <f t="shared" si="12"/>
        <v>RİSKLİ</v>
      </c>
      <c r="U55" s="17" t="str">
        <f t="shared" si="13"/>
        <v>Minimum fiyat altına düşme</v>
      </c>
    </row>
    <row r="56">
      <c r="A56" s="2">
        <f>IFERROR(__xludf.DUMMYFUNCTION("""COMPUTED_VALUE"""),8.010276033703E12)</f>
        <v>8010276033703</v>
      </c>
      <c r="B56" s="17" t="str">
        <f>IFERROR(__xludf.DUMMYFUNCTION("""COMPUTED_VALUE"""),"N&amp;D")</f>
        <v>N&amp;D</v>
      </c>
      <c r="C56" s="28" t="str">
        <f>IFERROR(__xludf.DUMMYFUNCTION("""COMPUTED_VALUE"""),"Ancestral Grain Mini Puppy Kuzulu Yaban Mersinli Küçük Irk Düşük Tahıllı Yavru Köpek Maması 2,5")</f>
        <v>Ancestral Grain Mini Puppy Kuzulu Yaban Mersinli Küçük Irk Düşük Tahıllı Yavru Köpek Maması 2,5</v>
      </c>
      <c r="D56" s="14">
        <f>IFERROR(__xludf.DUMMYFUNCTION("""COMPUTED_VALUE"""),1493.0)</f>
        <v>1493</v>
      </c>
      <c r="E56" s="14">
        <f t="array" ref="E56">IF($A56="","",IFERROR($D56*IF($D56&gt;=INDEX('Komisyon Tarifesi'!$I$2:$I$1000,MATCH($A56,'Komisyon Tarifesi'!$B$2:$B$1000,0)),INDEX('Komisyon Tarifesi'!$O$2:$O$1000,MATCH($A56,'Komisyon Tarifesi'!$B$2:$B$1000,0)),IF($D56&gt;=INDEX('Komisyon Tarifesi'!$K$2:$K$1000,MATCH($A56,'Komisyon Tarifesi'!$B$2:$B$1000,0)),INDEX('Komisyon Tarifesi'!$P$2:$P$1000,MATCH($A56,'Komisyon Tarifesi'!$B$2:$B$1000,0)),IF($D56&gt;=INDEX('Komisyon Tarifesi'!$M$2:$M$1000,MATCH($A56,'Komisyon Tarifesi'!$B$2:$B$1000,0)),INDEX('Komisyon Tarifesi'!$Q$2:$Q$1000,MATCH($A56,'Komisyon Tarifesi'!$B$2:$B$1000,0)),INDEX('Komisyon Tarifesi'!$R$2:$R$1000,MATCH($A56,'Komisyon Tarifesi'!$B$2:$B$1000,0)))))/100,IFERROR(IF(VLOOKUP($A56,Products!$A$2:$W$1000,21,0)&lt;&gt;"",$D56*VLOOKUP($A56,Products!$A$2:$W$1000,21,0)/100,""),"")))</f>
        <v>246.345</v>
      </c>
      <c r="F56" s="14">
        <f t="array" ref="F56">IF($A56="","",IFERROR(IF(INDEX('Maliyet Giris'!$G$2:$G$550,MATCH($A56,'Maliyet Giris'!$A$2:$A$550,0))="","",IF(INDEX('Maliyet Giris'!$G$2:$G$550,MATCH($A56,'Maliyet Giris'!$A$2:$A$550,0))&lt;=2,86.4,IF(INDEX('Maliyet Giris'!$G$2:$G$550,MATCH($A56,'Maliyet Giris'!$A$2:$A$550,0))&lt;=3,90,IF(INDEX('Maliyet Giris'!$G$2:$G$550,MATCH($A56,'Maliyet Giris'!$A$2:$A$550,0))&lt;=5,102,IF(INDEX('Maliyet Giris'!$G$2:$G$550,MATCH($A56,'Maliyet Giris'!$A$2:$A$550,0))&lt;=10,159.74,IF(INDEX('Maliyet Giris'!$G$2:$G$550,MATCH($A56,'Maliyet Giris'!$A$2:$A$550,0))&lt;=15,187.5,IF(INDEX('Maliyet Giris'!$G$2:$G$550,MATCH($A56,'Maliyet Giris'!$A$2:$A$550,0))&lt;=20,225,299))))))),""))</f>
        <v>90</v>
      </c>
      <c r="G56" s="14">
        <f t="array" ref="G56">IF($A56="","",IFERROR(INDEX('Maliyet Giris'!$F$2:$F$550,MATCH($A56,'Maliyet Giris'!$A$2:$A$550,0)),""))</f>
        <v>1089</v>
      </c>
      <c r="H56" s="14">
        <f t="shared" si="1"/>
        <v>13.19</v>
      </c>
      <c r="I56" s="14">
        <f t="shared" si="2"/>
        <v>12.44166667</v>
      </c>
      <c r="J56" s="14">
        <f t="shared" si="3"/>
        <v>9.0775</v>
      </c>
      <c r="K56" s="14">
        <f t="shared" si="4"/>
        <v>32.94583333</v>
      </c>
      <c r="L56" s="15">
        <f t="shared" si="5"/>
        <v>0.0220668676</v>
      </c>
      <c r="M56" s="17" t="str">
        <f t="shared" si="6"/>
        <v>KÂRLI</v>
      </c>
      <c r="N56" s="17" t="str">
        <f t="shared" si="7"/>
        <v/>
      </c>
      <c r="O56" s="17">
        <f t="array" ref="O56">IF($A56="","",IFERROR(INDEX('Maliyet Giris'!$G$2:$G$550,MATCH($A56,'Maliyet Giris'!$A$2:$A$550,0)),""))</f>
        <v>3</v>
      </c>
      <c r="P56" s="17" t="str">
        <f t="shared" si="8"/>
        <v/>
      </c>
      <c r="Q56" s="17" t="str">
        <f t="shared" si="9"/>
        <v/>
      </c>
      <c r="R56" s="14">
        <f t="shared" si="10"/>
        <v>1452.850287</v>
      </c>
      <c r="S56" s="14">
        <f t="shared" si="11"/>
        <v>40.14971309</v>
      </c>
      <c r="T56" s="17" t="str">
        <f t="shared" si="12"/>
        <v>RİSKLİ</v>
      </c>
      <c r="U56" s="17" t="str">
        <f t="shared" si="13"/>
        <v>Minimum fiyat altına düşme</v>
      </c>
    </row>
    <row r="57">
      <c r="A57" s="2" t="str">
        <f>IFERROR(__xludf.DUMMYFUNCTION("""COMPUTED_VALUE"""),"TYBKHNY9EJARO62U67")</f>
        <v>TYBKHNY9EJARO62U67</v>
      </c>
      <c r="B57" s="17" t="str">
        <f>IFERROR(__xludf.DUMMYFUNCTION("""COMPUTED_VALUE"""),"FELIX")</f>
        <v>FELIX</v>
      </c>
      <c r="C57" s="28" t="str">
        <f>IFERROR(__xludf.DUMMYFUNCTION("""COMPUTED_VALUE"""),"Yavru Kediler Için Tavuklu Yaş Kedi Maması 26 Adet")</f>
        <v>Yavru Kediler Için Tavuklu Yaş Kedi Maması 26 Adet</v>
      </c>
      <c r="D57" s="14">
        <f>IFERROR(__xludf.DUMMYFUNCTION("""COMPUTED_VALUE"""),619.9)</f>
        <v>619.9</v>
      </c>
      <c r="E57" s="14">
        <f t="array" ref="E57">IF($A57="","",IFERROR($D57*IF($D57&gt;=INDEX('Komisyon Tarifesi'!$I$2:$I$1000,MATCH($A57,'Komisyon Tarifesi'!$B$2:$B$1000,0)),INDEX('Komisyon Tarifesi'!$O$2:$O$1000,MATCH($A57,'Komisyon Tarifesi'!$B$2:$B$1000,0)),IF($D57&gt;=INDEX('Komisyon Tarifesi'!$K$2:$K$1000,MATCH($A57,'Komisyon Tarifesi'!$B$2:$B$1000,0)),INDEX('Komisyon Tarifesi'!$P$2:$P$1000,MATCH($A57,'Komisyon Tarifesi'!$B$2:$B$1000,0)),IF($D57&gt;=INDEX('Komisyon Tarifesi'!$M$2:$M$1000,MATCH($A57,'Komisyon Tarifesi'!$B$2:$B$1000,0)),INDEX('Komisyon Tarifesi'!$Q$2:$Q$1000,MATCH($A57,'Komisyon Tarifesi'!$B$2:$B$1000,0)),INDEX('Komisyon Tarifesi'!$R$2:$R$1000,MATCH($A57,'Komisyon Tarifesi'!$B$2:$B$1000,0)))))/100,IFERROR(IF(VLOOKUP($A57,Products!$A$2:$W$1000,21,0)&lt;&gt;"",$D57*VLOOKUP($A57,Products!$A$2:$W$1000,21,0)/100,""),"")))</f>
        <v>83.6865</v>
      </c>
      <c r="F57" s="14">
        <f t="array" ref="F57">IF($A57="","",IFERROR(IF(INDEX('Maliyet Giris'!$G$2:$G$550,MATCH($A57,'Maliyet Giris'!$A$2:$A$550,0))="","",IF(INDEX('Maliyet Giris'!$G$2:$G$550,MATCH($A57,'Maliyet Giris'!$A$2:$A$550,0))&lt;=2,86.4,IF(INDEX('Maliyet Giris'!$G$2:$G$550,MATCH($A57,'Maliyet Giris'!$A$2:$A$550,0))&lt;=3,90,IF(INDEX('Maliyet Giris'!$G$2:$G$550,MATCH($A57,'Maliyet Giris'!$A$2:$A$550,0))&lt;=5,102,IF(INDEX('Maliyet Giris'!$G$2:$G$550,MATCH($A57,'Maliyet Giris'!$A$2:$A$550,0))&lt;=10,159.74,IF(INDEX('Maliyet Giris'!$G$2:$G$550,MATCH($A57,'Maliyet Giris'!$A$2:$A$550,0))&lt;=15,187.5,IF(INDEX('Maliyet Giris'!$G$2:$G$550,MATCH($A57,'Maliyet Giris'!$A$2:$A$550,0))&lt;=20,225,299))))))),""))</f>
        <v>90</v>
      </c>
      <c r="G57" s="14">
        <f t="array" ref="G57">IF($A57="","",IFERROR(INDEX('Maliyet Giris'!$F$2:$F$550,MATCH($A57,'Maliyet Giris'!$A$2:$A$550,0)),""))</f>
        <v>390</v>
      </c>
      <c r="H57" s="14">
        <f t="shared" si="1"/>
        <v>13.19</v>
      </c>
      <c r="I57" s="14">
        <f t="shared" si="2"/>
        <v>5.165833333</v>
      </c>
      <c r="J57" s="14">
        <f t="shared" si="3"/>
        <v>7.170583333</v>
      </c>
      <c r="K57" s="14">
        <f t="shared" si="4"/>
        <v>30.68708333</v>
      </c>
      <c r="L57" s="15">
        <f t="shared" si="5"/>
        <v>0.0495032801</v>
      </c>
      <c r="M57" s="17" t="str">
        <f t="shared" si="6"/>
        <v>KÂRLI</v>
      </c>
      <c r="N57" s="17" t="str">
        <f t="shared" si="7"/>
        <v/>
      </c>
      <c r="O57" s="17">
        <f t="array" ref="O57">IF($A57="","",IFERROR(INDEX('Maliyet Giris'!$G$2:$G$550,MATCH($A57,'Maliyet Giris'!$A$2:$A$550,0)),""))</f>
        <v>3</v>
      </c>
      <c r="P57" s="17" t="str">
        <f t="shared" si="8"/>
        <v/>
      </c>
      <c r="Q57" s="17" t="str">
        <f t="shared" si="9"/>
        <v/>
      </c>
      <c r="R57" s="14">
        <f t="shared" si="10"/>
        <v>583.5879639</v>
      </c>
      <c r="S57" s="14">
        <f t="shared" si="11"/>
        <v>36.31203607</v>
      </c>
      <c r="T57" s="17" t="str">
        <f t="shared" si="12"/>
        <v>DÜŞÜK KÂR</v>
      </c>
      <c r="U57" s="17" t="str">
        <f t="shared" si="13"/>
        <v>Reklam/komisyon etkisini kontrol et</v>
      </c>
    </row>
    <row r="58">
      <c r="A58" s="2" t="str">
        <f>IFERROR(__xludf.DUMMYFUNCTION("""COMPUTED_VALUE"""),"TYB1WRS9OVM51QUP63")</f>
        <v>TYB1WRS9OVM51QUP63</v>
      </c>
      <c r="B58" s="17" t="str">
        <f>IFERROR(__xludf.DUMMYFUNCTION("""COMPUTED_VALUE"""),"FELIX")</f>
        <v>FELIX</v>
      </c>
      <c r="C58" s="28" t="str">
        <f>IFERROR(__xludf.DUMMYFUNCTION("""COMPUTED_VALUE"""),"Ton Balıklı Yaş Kedi Maması 85 gr X 26 Adet")</f>
        <v>Ton Balıklı Yaş Kedi Maması 85 gr X 26 Adet</v>
      </c>
      <c r="D58" s="14">
        <f>IFERROR(__xludf.DUMMYFUNCTION("""COMPUTED_VALUE"""),585.9)</f>
        <v>585.9</v>
      </c>
      <c r="E58" s="14">
        <f t="array" ref="E58">IF($A58="","",IFERROR($D58*IF($D58&gt;=INDEX('Komisyon Tarifesi'!$I$2:$I$1000,MATCH($A58,'Komisyon Tarifesi'!$B$2:$B$1000,0)),INDEX('Komisyon Tarifesi'!$O$2:$O$1000,MATCH($A58,'Komisyon Tarifesi'!$B$2:$B$1000,0)),IF($D58&gt;=INDEX('Komisyon Tarifesi'!$K$2:$K$1000,MATCH($A58,'Komisyon Tarifesi'!$B$2:$B$1000,0)),INDEX('Komisyon Tarifesi'!$P$2:$P$1000,MATCH($A58,'Komisyon Tarifesi'!$B$2:$B$1000,0)),IF($D58&gt;=INDEX('Komisyon Tarifesi'!$M$2:$M$1000,MATCH($A58,'Komisyon Tarifesi'!$B$2:$B$1000,0)),INDEX('Komisyon Tarifesi'!$Q$2:$Q$1000,MATCH($A58,'Komisyon Tarifesi'!$B$2:$B$1000,0)),INDEX('Komisyon Tarifesi'!$R$2:$R$1000,MATCH($A58,'Komisyon Tarifesi'!$B$2:$B$1000,0)))))/100,IFERROR(IF(VLOOKUP($A58,Products!$A$2:$W$1000,21,0)&lt;&gt;"",$D58*VLOOKUP($A58,Products!$A$2:$W$1000,21,0)/100,""),"")))</f>
        <v>79.0965</v>
      </c>
      <c r="F58" s="14">
        <f t="array" ref="F58">IF($A58="","",IFERROR(IF(INDEX('Maliyet Giris'!$G$2:$G$550,MATCH($A58,'Maliyet Giris'!$A$2:$A$550,0))="","",IF(INDEX('Maliyet Giris'!$G$2:$G$550,MATCH($A58,'Maliyet Giris'!$A$2:$A$550,0))&lt;=2,86.4,IF(INDEX('Maliyet Giris'!$G$2:$G$550,MATCH($A58,'Maliyet Giris'!$A$2:$A$550,0))&lt;=3,90,IF(INDEX('Maliyet Giris'!$G$2:$G$550,MATCH($A58,'Maliyet Giris'!$A$2:$A$550,0))&lt;=5,102,IF(INDEX('Maliyet Giris'!$G$2:$G$550,MATCH($A58,'Maliyet Giris'!$A$2:$A$550,0))&lt;=10,159.74,IF(INDEX('Maliyet Giris'!$G$2:$G$550,MATCH($A58,'Maliyet Giris'!$A$2:$A$550,0))&lt;=15,187.5,IF(INDEX('Maliyet Giris'!$G$2:$G$550,MATCH($A58,'Maliyet Giris'!$A$2:$A$550,0))&lt;=20,225,299))))))),""))</f>
        <v>90</v>
      </c>
      <c r="G58" s="14">
        <f t="array" ref="G58">IF($A58="","",IFERROR(INDEX('Maliyet Giris'!$F$2:$F$550,MATCH($A58,'Maliyet Giris'!$A$2:$A$550,0)),""))</f>
        <v>312</v>
      </c>
      <c r="H58" s="14">
        <f t="shared" si="1"/>
        <v>13.19</v>
      </c>
      <c r="I58" s="14">
        <f t="shared" si="2"/>
        <v>4.8825</v>
      </c>
      <c r="J58" s="14">
        <f t="shared" si="3"/>
        <v>15.26891667</v>
      </c>
      <c r="K58" s="14">
        <f t="shared" si="4"/>
        <v>71.46208333</v>
      </c>
      <c r="L58" s="15">
        <f t="shared" si="5"/>
        <v>0.1219697616</v>
      </c>
      <c r="M58" s="17" t="str">
        <f t="shared" si="6"/>
        <v>KÂRLI</v>
      </c>
      <c r="N58" s="17" t="str">
        <f t="shared" si="7"/>
        <v/>
      </c>
      <c r="O58" s="17">
        <f t="array" ref="O58">IF($A58="","",IFERROR(INDEX('Maliyet Giris'!$G$2:$G$550,MATCH($A58,'Maliyet Giris'!$A$2:$A$550,0)),""))</f>
        <v>3</v>
      </c>
      <c r="P58" s="17" t="str">
        <f t="shared" si="8"/>
        <v/>
      </c>
      <c r="Q58" s="17" t="str">
        <f t="shared" si="9"/>
        <v/>
      </c>
      <c r="R58" s="14">
        <f t="shared" si="10"/>
        <v>499.8637255</v>
      </c>
      <c r="S58" s="14">
        <f t="shared" si="11"/>
        <v>86.03627454</v>
      </c>
      <c r="T58" s="17" t="str">
        <f t="shared" si="12"/>
        <v>SAĞLIKLI</v>
      </c>
      <c r="U58" s="17" t="str">
        <f t="shared" si="13"/>
        <v>Takip et</v>
      </c>
    </row>
    <row r="59">
      <c r="A59" s="2" t="str">
        <f>IFERROR(__xludf.DUMMYFUNCTION("""COMPUTED_VALUE"""),"TYBMPF8C5ET2JK1U31")</f>
        <v>TYBMPF8C5ET2JK1U31</v>
      </c>
      <c r="B59" s="17" t="str">
        <f>IFERROR(__xludf.DUMMYFUNCTION("""COMPUTED_VALUE"""),"FELIX")</f>
        <v>FELIX</v>
      </c>
      <c r="C59" s="28" t="str">
        <f>IFERROR(__xludf.DUMMYFUNCTION("""COMPUTED_VALUE"""),"Somonlu Yaş Kedi Maması 26 Adet X 85 Gr.")</f>
        <v>Somonlu Yaş Kedi Maması 26 Adet X 85 Gr.</v>
      </c>
      <c r="D59" s="14">
        <f>IFERROR(__xludf.DUMMYFUNCTION("""COMPUTED_VALUE"""),597.9)</f>
        <v>597.9</v>
      </c>
      <c r="E59" s="14">
        <f t="array" ref="E59">IF($A59="","",IFERROR($D59*IF($D59&gt;=INDEX('Komisyon Tarifesi'!$I$2:$I$1000,MATCH($A59,'Komisyon Tarifesi'!$B$2:$B$1000,0)),INDEX('Komisyon Tarifesi'!$O$2:$O$1000,MATCH($A59,'Komisyon Tarifesi'!$B$2:$B$1000,0)),IF($D59&gt;=INDEX('Komisyon Tarifesi'!$K$2:$K$1000,MATCH($A59,'Komisyon Tarifesi'!$B$2:$B$1000,0)),INDEX('Komisyon Tarifesi'!$P$2:$P$1000,MATCH($A59,'Komisyon Tarifesi'!$B$2:$B$1000,0)),IF($D59&gt;=INDEX('Komisyon Tarifesi'!$M$2:$M$1000,MATCH($A59,'Komisyon Tarifesi'!$B$2:$B$1000,0)),INDEX('Komisyon Tarifesi'!$Q$2:$Q$1000,MATCH($A59,'Komisyon Tarifesi'!$B$2:$B$1000,0)),INDEX('Komisyon Tarifesi'!$R$2:$R$1000,MATCH($A59,'Komisyon Tarifesi'!$B$2:$B$1000,0)))))/100,IFERROR(IF(VLOOKUP($A59,Products!$A$2:$W$1000,21,0)&lt;&gt;"",$D59*VLOOKUP($A59,Products!$A$2:$W$1000,21,0)/100,""),"")))</f>
        <v>80.7165</v>
      </c>
      <c r="F59" s="14">
        <f t="array" ref="F59">IF($A59="","",IFERROR(IF(INDEX('Maliyet Giris'!$G$2:$G$550,MATCH($A59,'Maliyet Giris'!$A$2:$A$550,0))="","",IF(INDEX('Maliyet Giris'!$G$2:$G$550,MATCH($A59,'Maliyet Giris'!$A$2:$A$550,0))&lt;=2,86.4,IF(INDEX('Maliyet Giris'!$G$2:$G$550,MATCH($A59,'Maliyet Giris'!$A$2:$A$550,0))&lt;=3,90,IF(INDEX('Maliyet Giris'!$G$2:$G$550,MATCH($A59,'Maliyet Giris'!$A$2:$A$550,0))&lt;=5,102,IF(INDEX('Maliyet Giris'!$G$2:$G$550,MATCH($A59,'Maliyet Giris'!$A$2:$A$550,0))&lt;=10,159.74,IF(INDEX('Maliyet Giris'!$G$2:$G$550,MATCH($A59,'Maliyet Giris'!$A$2:$A$550,0))&lt;=15,187.5,IF(INDEX('Maliyet Giris'!$G$2:$G$550,MATCH($A59,'Maliyet Giris'!$A$2:$A$550,0))&lt;=20,225,299))))))),""))</f>
        <v>90</v>
      </c>
      <c r="G59" s="14">
        <f t="array" ref="G59">IF($A59="","",IFERROR(INDEX('Maliyet Giris'!$F$2:$F$550,MATCH($A59,'Maliyet Giris'!$A$2:$A$550,0)),""))</f>
        <v>390</v>
      </c>
      <c r="H59" s="14">
        <f t="shared" si="1"/>
        <v>13.19</v>
      </c>
      <c r="I59" s="14">
        <f t="shared" si="2"/>
        <v>4.9825</v>
      </c>
      <c r="J59" s="14">
        <f t="shared" si="3"/>
        <v>3.998916667</v>
      </c>
      <c r="K59" s="14">
        <f t="shared" si="4"/>
        <v>15.01208333</v>
      </c>
      <c r="L59" s="15">
        <f t="shared" si="5"/>
        <v>0.02510801695</v>
      </c>
      <c r="M59" s="17" t="str">
        <f t="shared" si="6"/>
        <v>KÂRLI</v>
      </c>
      <c r="N59" s="17" t="str">
        <f t="shared" si="7"/>
        <v/>
      </c>
      <c r="O59" s="17">
        <f t="array" ref="O59">IF($A59="","",IFERROR(INDEX('Maliyet Giris'!$G$2:$G$550,MATCH($A59,'Maliyet Giris'!$A$2:$A$550,0)),""))</f>
        <v>3</v>
      </c>
      <c r="P59" s="17" t="str">
        <f t="shared" si="8"/>
        <v/>
      </c>
      <c r="Q59" s="17" t="str">
        <f t="shared" si="9"/>
        <v/>
      </c>
      <c r="R59" s="14">
        <f t="shared" si="10"/>
        <v>580.2380491</v>
      </c>
      <c r="S59" s="14">
        <f t="shared" si="11"/>
        <v>17.66195095</v>
      </c>
      <c r="T59" s="17" t="str">
        <f t="shared" si="12"/>
        <v>RİSKLİ</v>
      </c>
      <c r="U59" s="17" t="str">
        <f t="shared" si="13"/>
        <v>Minimum fiyat altına düşme</v>
      </c>
    </row>
    <row r="60">
      <c r="A60" s="2" t="str">
        <f>IFERROR(__xludf.DUMMYFUNCTION("""COMPUTED_VALUE"""),"TYB186W8UY88IBPB09")</f>
        <v>TYB186W8UY88IBPB09</v>
      </c>
      <c r="B60" s="17" t="str">
        <f>IFERROR(__xludf.DUMMYFUNCTION("""COMPUTED_VALUE"""),"FELIX")</f>
        <v>FELIX</v>
      </c>
      <c r="C60" s="28" t="str">
        <f>IFERROR(__xludf.DUMMYFUNCTION("""COMPUTED_VALUE"""),"Sığır Etli 85 Gr. X 26 Adet Yaş Kedi Maması")</f>
        <v>Sığır Etli 85 Gr. X 26 Adet Yaş Kedi Maması</v>
      </c>
      <c r="D60" s="14">
        <f>IFERROR(__xludf.DUMMYFUNCTION("""COMPUTED_VALUE"""),680.0)</f>
        <v>680</v>
      </c>
      <c r="E60" s="14">
        <f t="array" ref="E60">IF($A60="","",IFERROR($D60*IF($D60&gt;=INDEX('Komisyon Tarifesi'!$I$2:$I$1000,MATCH($A60,'Komisyon Tarifesi'!$B$2:$B$1000,0)),INDEX('Komisyon Tarifesi'!$O$2:$O$1000,MATCH($A60,'Komisyon Tarifesi'!$B$2:$B$1000,0)),IF($D60&gt;=INDEX('Komisyon Tarifesi'!$K$2:$K$1000,MATCH($A60,'Komisyon Tarifesi'!$B$2:$B$1000,0)),INDEX('Komisyon Tarifesi'!$P$2:$P$1000,MATCH($A60,'Komisyon Tarifesi'!$B$2:$B$1000,0)),IF($D60&gt;=INDEX('Komisyon Tarifesi'!$M$2:$M$1000,MATCH($A60,'Komisyon Tarifesi'!$B$2:$B$1000,0)),INDEX('Komisyon Tarifesi'!$Q$2:$Q$1000,MATCH($A60,'Komisyon Tarifesi'!$B$2:$B$1000,0)),INDEX('Komisyon Tarifesi'!$R$2:$R$1000,MATCH($A60,'Komisyon Tarifesi'!$B$2:$B$1000,0)))))/100,IFERROR(IF(VLOOKUP($A60,Products!$A$2:$W$1000,21,0)&lt;&gt;"",$D60*VLOOKUP($A60,Products!$A$2:$W$1000,21,0)/100,""),"")))</f>
        <v>91.8</v>
      </c>
      <c r="F60" s="14">
        <f t="array" ref="F60">IF($A60="","",IFERROR(IF(INDEX('Maliyet Giris'!$G$2:$G$550,MATCH($A60,'Maliyet Giris'!$A$2:$A$550,0))="","",IF(INDEX('Maliyet Giris'!$G$2:$G$550,MATCH($A60,'Maliyet Giris'!$A$2:$A$550,0))&lt;=2,86.4,IF(INDEX('Maliyet Giris'!$G$2:$G$550,MATCH($A60,'Maliyet Giris'!$A$2:$A$550,0))&lt;=3,90,IF(INDEX('Maliyet Giris'!$G$2:$G$550,MATCH($A60,'Maliyet Giris'!$A$2:$A$550,0))&lt;=5,102,IF(INDEX('Maliyet Giris'!$G$2:$G$550,MATCH($A60,'Maliyet Giris'!$A$2:$A$550,0))&lt;=10,159.74,IF(INDEX('Maliyet Giris'!$G$2:$G$550,MATCH($A60,'Maliyet Giris'!$A$2:$A$550,0))&lt;=15,187.5,IF(INDEX('Maliyet Giris'!$G$2:$G$550,MATCH($A60,'Maliyet Giris'!$A$2:$A$550,0))&lt;=20,225,299))))))),""))</f>
        <v>90</v>
      </c>
      <c r="G60" s="14">
        <f t="array" ref="G60">IF($A60="","",IFERROR(INDEX('Maliyet Giris'!$F$2:$F$550,MATCH($A60,'Maliyet Giris'!$A$2:$A$550,0)),""))</f>
        <v>390</v>
      </c>
      <c r="H60" s="14">
        <f t="shared" si="1"/>
        <v>13.19</v>
      </c>
      <c r="I60" s="14">
        <f t="shared" si="2"/>
        <v>5.666666667</v>
      </c>
      <c r="J60" s="14">
        <f t="shared" si="3"/>
        <v>15.835</v>
      </c>
      <c r="K60" s="14">
        <f t="shared" si="4"/>
        <v>73.50833333</v>
      </c>
      <c r="L60" s="15">
        <f t="shared" si="5"/>
        <v>0.1081004902</v>
      </c>
      <c r="M60" s="17" t="str">
        <f t="shared" si="6"/>
        <v>KÂRLI</v>
      </c>
      <c r="N60" s="17" t="str">
        <f t="shared" si="7"/>
        <v/>
      </c>
      <c r="O60" s="17">
        <f t="array" ref="O60">IF($A60="","",IFERROR(INDEX('Maliyet Giris'!$G$2:$G$550,MATCH($A60,'Maliyet Giris'!$A$2:$A$550,0)),""))</f>
        <v>3</v>
      </c>
      <c r="P60" s="17" t="str">
        <f t="shared" si="8"/>
        <v/>
      </c>
      <c r="Q60" s="17" t="str">
        <f t="shared" si="9"/>
        <v/>
      </c>
      <c r="R60" s="14">
        <f t="shared" si="10"/>
        <v>591.7946924</v>
      </c>
      <c r="S60" s="14">
        <f t="shared" si="11"/>
        <v>88.2053076</v>
      </c>
      <c r="T60" s="17" t="str">
        <f t="shared" si="12"/>
        <v>SAĞLIKLI</v>
      </c>
      <c r="U60" s="17" t="str">
        <f t="shared" si="13"/>
        <v>Takip et</v>
      </c>
    </row>
    <row r="61">
      <c r="A61" s="2">
        <f>IFERROR(__xludf.DUMMYFUNCTION("""COMPUTED_VALUE"""),8.606014106732E12)</f>
        <v>8606014106732</v>
      </c>
      <c r="B61" s="17" t="str">
        <f>IFERROR(__xludf.DUMMYFUNCTION("""COMPUTED_VALUE"""),"N&amp;D")</f>
        <v>N&amp;D</v>
      </c>
      <c r="C61" s="28" t="str">
        <f>IFERROR(__xludf.DUMMYFUNCTION("""COMPUTED_VALUE"""),"Fish Trio Menü Somonlu Ve Karidesli Yetişkin Kedi Konserve Yaş Maması 6 X 70 gr")</f>
        <v>Fish Trio Menü Somonlu Ve Karidesli Yetişkin Kedi Konserve Yaş Maması 6 X 70 gr</v>
      </c>
      <c r="D61" s="14">
        <f>IFERROR(__xludf.DUMMYFUNCTION("""COMPUTED_VALUE"""),470.0)</f>
        <v>470</v>
      </c>
      <c r="E61" s="14">
        <f t="array" ref="E61">IF($A61="","",IFERROR($D61*IF($D61&gt;=INDEX('Komisyon Tarifesi'!$I$2:$I$1000,MATCH($A61,'Komisyon Tarifesi'!$B$2:$B$1000,0)),INDEX('Komisyon Tarifesi'!$O$2:$O$1000,MATCH($A61,'Komisyon Tarifesi'!$B$2:$B$1000,0)),IF($D61&gt;=INDEX('Komisyon Tarifesi'!$K$2:$K$1000,MATCH($A61,'Komisyon Tarifesi'!$B$2:$B$1000,0)),INDEX('Komisyon Tarifesi'!$P$2:$P$1000,MATCH($A61,'Komisyon Tarifesi'!$B$2:$B$1000,0)),IF($D61&gt;=INDEX('Komisyon Tarifesi'!$M$2:$M$1000,MATCH($A61,'Komisyon Tarifesi'!$B$2:$B$1000,0)),INDEX('Komisyon Tarifesi'!$Q$2:$Q$1000,MATCH($A61,'Komisyon Tarifesi'!$B$2:$B$1000,0)),INDEX('Komisyon Tarifesi'!$R$2:$R$1000,MATCH($A61,'Komisyon Tarifesi'!$B$2:$B$1000,0)))))/100,IFERROR(IF(VLOOKUP($A61,Products!$A$2:$W$1000,21,0)&lt;&gt;"",$D61*VLOOKUP($A61,Products!$A$2:$W$1000,21,0)/100,""),"")))</f>
        <v>69.09</v>
      </c>
      <c r="F61" s="14">
        <f t="array" ref="F61">IF($A61="","",IFERROR(IF(INDEX('Maliyet Giris'!$G$2:$G$550,MATCH($A61,'Maliyet Giris'!$A$2:$A$550,0))="","",IF(INDEX('Maliyet Giris'!$G$2:$G$550,MATCH($A61,'Maliyet Giris'!$A$2:$A$550,0))&lt;=2,86.4,IF(INDEX('Maliyet Giris'!$G$2:$G$550,MATCH($A61,'Maliyet Giris'!$A$2:$A$550,0))&lt;=3,90,IF(INDEX('Maliyet Giris'!$G$2:$G$550,MATCH($A61,'Maliyet Giris'!$A$2:$A$550,0))&lt;=5,102,IF(INDEX('Maliyet Giris'!$G$2:$G$550,MATCH($A61,'Maliyet Giris'!$A$2:$A$550,0))&lt;=10,159.74,IF(INDEX('Maliyet Giris'!$G$2:$G$550,MATCH($A61,'Maliyet Giris'!$A$2:$A$550,0))&lt;=15,187.5,IF(INDEX('Maliyet Giris'!$G$2:$G$550,MATCH($A61,'Maliyet Giris'!$A$2:$A$550,0))&lt;=20,225,299))))))),""))</f>
        <v>90</v>
      </c>
      <c r="G61" s="14">
        <f t="array" ref="G61">IF($A61="","",IFERROR(INDEX('Maliyet Giris'!$F$2:$F$550,MATCH($A61,'Maliyet Giris'!$A$2:$A$550,0)),""))</f>
        <v>333</v>
      </c>
      <c r="H61" s="14">
        <f t="shared" si="1"/>
        <v>13.19</v>
      </c>
      <c r="I61" s="14">
        <f t="shared" si="2"/>
        <v>3.916666667</v>
      </c>
      <c r="J61" s="14">
        <f t="shared" si="3"/>
        <v>0</v>
      </c>
      <c r="K61" s="14">
        <f t="shared" si="4"/>
        <v>-39.19666667</v>
      </c>
      <c r="L61" s="15">
        <f t="shared" si="5"/>
        <v>-0.08339716312</v>
      </c>
      <c r="M61" s="17" t="str">
        <f t="shared" si="6"/>
        <v>ZARAR</v>
      </c>
      <c r="N61" s="17" t="str">
        <f t="shared" si="7"/>
        <v/>
      </c>
      <c r="O61" s="17">
        <f t="array" ref="O61">IF($A61="","",IFERROR(INDEX('Maliyet Giris'!$G$2:$G$550,MATCH($A61,'Maliyet Giris'!$A$2:$A$550,0)),""))</f>
        <v>3</v>
      </c>
      <c r="P61" s="17" t="str">
        <f t="shared" si="8"/>
        <v/>
      </c>
      <c r="Q61" s="17" t="str">
        <f t="shared" si="9"/>
        <v/>
      </c>
      <c r="R61" s="14">
        <f t="shared" si="10"/>
        <v>516.4046897</v>
      </c>
      <c r="S61" s="14">
        <f t="shared" si="11"/>
        <v>-46.40468966</v>
      </c>
      <c r="T61" s="17" t="str">
        <f t="shared" si="12"/>
        <v>ZARAR</v>
      </c>
      <c r="U61" s="17" t="str">
        <f t="shared" si="13"/>
        <v>Fiyat, maliyet veya kampanya kontrol et</v>
      </c>
    </row>
    <row r="62">
      <c r="A62" s="2">
        <f>IFERROR(__xludf.DUMMYFUNCTION("""COMPUTED_VALUE"""),7.613036505178E12)</f>
        <v>7613036505178</v>
      </c>
      <c r="B62" s="17" t="str">
        <f>IFERROR(__xludf.DUMMYFUNCTION("""COMPUTED_VALUE"""),"Pro Plan")</f>
        <v>Pro Plan</v>
      </c>
      <c r="C62" s="28" t="str">
        <f>IFERROR(__xludf.DUMMYFUNCTION("""COMPUTED_VALUE"""),"Kitten Tavuklu Yavru Kedi Maması 1.5 Kg")</f>
        <v>Kitten Tavuklu Yavru Kedi Maması 1.5 Kg</v>
      </c>
      <c r="D62" s="14">
        <f>IFERROR(__xludf.DUMMYFUNCTION("""COMPUTED_VALUE"""),665.0)</f>
        <v>665</v>
      </c>
      <c r="E62" s="14">
        <f t="array" ref="E62">IF($A62="","",IFERROR($D62*IF($D62&gt;=INDEX('Komisyon Tarifesi'!$I$2:$I$1000,MATCH($A62,'Komisyon Tarifesi'!$B$2:$B$1000,0)),INDEX('Komisyon Tarifesi'!$O$2:$O$1000,MATCH($A62,'Komisyon Tarifesi'!$B$2:$B$1000,0)),IF($D62&gt;=INDEX('Komisyon Tarifesi'!$K$2:$K$1000,MATCH($A62,'Komisyon Tarifesi'!$B$2:$B$1000,0)),INDEX('Komisyon Tarifesi'!$P$2:$P$1000,MATCH($A62,'Komisyon Tarifesi'!$B$2:$B$1000,0)),IF($D62&gt;=INDEX('Komisyon Tarifesi'!$M$2:$M$1000,MATCH($A62,'Komisyon Tarifesi'!$B$2:$B$1000,0)),INDEX('Komisyon Tarifesi'!$Q$2:$Q$1000,MATCH($A62,'Komisyon Tarifesi'!$B$2:$B$1000,0)),INDEX('Komisyon Tarifesi'!$R$2:$R$1000,MATCH($A62,'Komisyon Tarifesi'!$B$2:$B$1000,0)))))/100,IFERROR(IF(VLOOKUP($A62,Products!$A$2:$W$1000,21,0)&lt;&gt;"",$D62*VLOOKUP($A62,Products!$A$2:$W$1000,21,0)/100,""),"")))</f>
        <v>53.2</v>
      </c>
      <c r="F62" s="14">
        <f t="array" ref="F62">IF($A62="","",IFERROR(IF(INDEX('Maliyet Giris'!$G$2:$G$550,MATCH($A62,'Maliyet Giris'!$A$2:$A$550,0))="","",IF(INDEX('Maliyet Giris'!$G$2:$G$550,MATCH($A62,'Maliyet Giris'!$A$2:$A$550,0))&lt;=2,86.4,IF(INDEX('Maliyet Giris'!$G$2:$G$550,MATCH($A62,'Maliyet Giris'!$A$2:$A$550,0))&lt;=3,90,IF(INDEX('Maliyet Giris'!$G$2:$G$550,MATCH($A62,'Maliyet Giris'!$A$2:$A$550,0))&lt;=5,102,IF(INDEX('Maliyet Giris'!$G$2:$G$550,MATCH($A62,'Maliyet Giris'!$A$2:$A$550,0))&lt;=10,159.74,IF(INDEX('Maliyet Giris'!$G$2:$G$550,MATCH($A62,'Maliyet Giris'!$A$2:$A$550,0))&lt;=15,187.5,IF(INDEX('Maliyet Giris'!$G$2:$G$550,MATCH($A62,'Maliyet Giris'!$A$2:$A$550,0))&lt;=20,225,299))))))),""))</f>
        <v>90</v>
      </c>
      <c r="G62" s="14">
        <f t="array" ref="G62">IF($A62="","",IFERROR(INDEX('Maliyet Giris'!$F$2:$F$550,MATCH($A62,'Maliyet Giris'!$A$2:$A$550,0)),""))</f>
        <v>450</v>
      </c>
      <c r="H62" s="14">
        <f t="shared" si="1"/>
        <v>13.19</v>
      </c>
      <c r="I62" s="14">
        <f t="shared" si="2"/>
        <v>5.541666667</v>
      </c>
      <c r="J62" s="14">
        <f t="shared" si="3"/>
        <v>9.768333333</v>
      </c>
      <c r="K62" s="14">
        <f t="shared" si="4"/>
        <v>43.3</v>
      </c>
      <c r="L62" s="15">
        <f t="shared" si="5"/>
        <v>0.06511278195</v>
      </c>
      <c r="M62" s="17" t="str">
        <f t="shared" si="6"/>
        <v>KÂRLI</v>
      </c>
      <c r="N62" s="17" t="str">
        <f t="shared" si="7"/>
        <v/>
      </c>
      <c r="O62" s="17">
        <f t="array" ref="O62">IF($A62="","",IFERROR(INDEX('Maliyet Giris'!$G$2:$G$550,MATCH($A62,'Maliyet Giris'!$A$2:$A$550,0)),""))</f>
        <v>3</v>
      </c>
      <c r="P62" s="17" t="str">
        <f t="shared" si="8"/>
        <v/>
      </c>
      <c r="Q62" s="17" t="str">
        <f t="shared" si="9"/>
        <v/>
      </c>
      <c r="R62" s="14">
        <f t="shared" si="10"/>
        <v>616.7265391</v>
      </c>
      <c r="S62" s="14">
        <f t="shared" si="11"/>
        <v>48.27346093</v>
      </c>
      <c r="T62" s="17" t="str">
        <f t="shared" si="12"/>
        <v>DÜŞÜK KÂR</v>
      </c>
      <c r="U62" s="17" t="str">
        <f t="shared" si="13"/>
        <v>Reklam/komisyon etkisini kontrol et</v>
      </c>
    </row>
    <row r="63">
      <c r="A63" s="2" t="str">
        <f>IFERROR(__xludf.DUMMYFUNCTION("""COMPUTED_VALUE"""),"HBCV0000CCFV8V")</f>
        <v>HBCV0000CCFV8V</v>
      </c>
      <c r="B63" s="17" t="str">
        <f>IFERROR(__xludf.DUMMYFUNCTION("""COMPUTED_VALUE"""),"Pro Plan")</f>
        <v>Pro Plan</v>
      </c>
      <c r="C63" s="28" t="str">
        <f>IFERROR(__xludf.DUMMYFUNCTION("""COMPUTED_VALUE"""),"Kitten Yavru Kedi Kuru Maması 400 gr 4 Adet")</f>
        <v>Kitten Yavru Kedi Kuru Maması 400 gr 4 Adet</v>
      </c>
      <c r="D63" s="14">
        <f>IFERROR(__xludf.DUMMYFUNCTION("""COMPUTED_VALUE"""),650.0)</f>
        <v>650</v>
      </c>
      <c r="E63" s="14">
        <f t="array" ref="E63">IF($A63="","",IFERROR($D63*IF($D63&gt;=INDEX('Komisyon Tarifesi'!$I$2:$I$1000,MATCH($A63,'Komisyon Tarifesi'!$B$2:$B$1000,0)),INDEX('Komisyon Tarifesi'!$O$2:$O$1000,MATCH($A63,'Komisyon Tarifesi'!$B$2:$B$1000,0)),IF($D63&gt;=INDEX('Komisyon Tarifesi'!$K$2:$K$1000,MATCH($A63,'Komisyon Tarifesi'!$B$2:$B$1000,0)),INDEX('Komisyon Tarifesi'!$P$2:$P$1000,MATCH($A63,'Komisyon Tarifesi'!$B$2:$B$1000,0)),IF($D63&gt;=INDEX('Komisyon Tarifesi'!$M$2:$M$1000,MATCH($A63,'Komisyon Tarifesi'!$B$2:$B$1000,0)),INDEX('Komisyon Tarifesi'!$Q$2:$Q$1000,MATCH($A63,'Komisyon Tarifesi'!$B$2:$B$1000,0)),INDEX('Komisyon Tarifesi'!$R$2:$R$1000,MATCH($A63,'Komisyon Tarifesi'!$B$2:$B$1000,0)))))/100,IFERROR(IF(VLOOKUP($A63,Products!$A$2:$W$1000,21,0)&lt;&gt;"",$D63*VLOOKUP($A63,Products!$A$2:$W$1000,21,0)/100,""),"")))</f>
        <v>81.25</v>
      </c>
      <c r="F63" s="14">
        <f t="array" ref="F63">IF($A63="","",IFERROR(IF(INDEX('Maliyet Giris'!$G$2:$G$550,MATCH($A63,'Maliyet Giris'!$A$2:$A$550,0))="","",IF(INDEX('Maliyet Giris'!$G$2:$G$550,MATCH($A63,'Maliyet Giris'!$A$2:$A$550,0))&lt;=2,86.4,IF(INDEX('Maliyet Giris'!$G$2:$G$550,MATCH($A63,'Maliyet Giris'!$A$2:$A$550,0))&lt;=3,90,IF(INDEX('Maliyet Giris'!$G$2:$G$550,MATCH($A63,'Maliyet Giris'!$A$2:$A$550,0))&lt;=5,102,IF(INDEX('Maliyet Giris'!$G$2:$G$550,MATCH($A63,'Maliyet Giris'!$A$2:$A$550,0))&lt;=10,159.74,IF(INDEX('Maliyet Giris'!$G$2:$G$550,MATCH($A63,'Maliyet Giris'!$A$2:$A$550,0))&lt;=15,187.5,IF(INDEX('Maliyet Giris'!$G$2:$G$550,MATCH($A63,'Maliyet Giris'!$A$2:$A$550,0))&lt;=20,225,299))))))),""))</f>
        <v>90</v>
      </c>
      <c r="G63" s="14">
        <f t="array" ref="G63">IF($A63="","",IFERROR(INDEX('Maliyet Giris'!$F$2:$F$550,MATCH($A63,'Maliyet Giris'!$A$2:$A$550,0)),""))</f>
        <v>580</v>
      </c>
      <c r="H63" s="14">
        <f t="shared" si="1"/>
        <v>13.19</v>
      </c>
      <c r="I63" s="14">
        <f t="shared" si="2"/>
        <v>5.416666667</v>
      </c>
      <c r="J63" s="14">
        <f t="shared" si="3"/>
        <v>0</v>
      </c>
      <c r="K63" s="14">
        <f t="shared" si="4"/>
        <v>-119.8566667</v>
      </c>
      <c r="L63" s="15">
        <f t="shared" si="5"/>
        <v>-0.1843948718</v>
      </c>
      <c r="M63" s="17" t="str">
        <f t="shared" si="6"/>
        <v>ZARAR</v>
      </c>
      <c r="N63" s="17" t="str">
        <f t="shared" si="7"/>
        <v/>
      </c>
      <c r="O63" s="17">
        <f t="array" ref="O63">IF($A63="","",IFERROR(INDEX('Maliyet Giris'!$G$2:$G$550,MATCH($A63,'Maliyet Giris'!$A$2:$A$550,0)),""))</f>
        <v>3</v>
      </c>
      <c r="P63" s="17" t="str">
        <f t="shared" si="8"/>
        <v/>
      </c>
      <c r="Q63" s="17" t="str">
        <f t="shared" si="9"/>
        <v/>
      </c>
      <c r="R63" s="14">
        <f t="shared" si="10"/>
        <v>788.2958507</v>
      </c>
      <c r="S63" s="14">
        <f t="shared" si="11"/>
        <v>-138.2958507</v>
      </c>
      <c r="T63" s="17" t="str">
        <f t="shared" si="12"/>
        <v>ZARAR</v>
      </c>
      <c r="U63" s="17" t="str">
        <f t="shared" si="13"/>
        <v>Fiyat, maliyet veya kampanya kontrol et</v>
      </c>
    </row>
    <row r="64">
      <c r="A64" s="2" t="str">
        <f>IFERROR(__xludf.DUMMYFUNCTION("""COMPUTED_VALUE"""),"8445291929555-2")</f>
        <v>8445291929555-2</v>
      </c>
      <c r="B64" s="17" t="str">
        <f>IFERROR(__xludf.DUMMYFUNCTION("""COMPUTED_VALUE"""),"Gourmet")</f>
        <v>Gourmet</v>
      </c>
      <c r="C64" s="28" t="str">
        <f>IFERROR(__xludf.DUMMYFUNCTION("""COMPUTED_VALUE"""),"Purina Gold Karışık Kıyılmış Kedi Konservesi 85 gr X 16 Adet")</f>
        <v>Purina Gold Karışık Kıyılmış Kedi Konservesi 85 gr X 16 Adet</v>
      </c>
      <c r="D64" s="14">
        <f>IFERROR(__xludf.DUMMYFUNCTION("""COMPUTED_VALUE"""),699.0)</f>
        <v>699</v>
      </c>
      <c r="E64" s="14">
        <f t="array" ref="E64">IF($A64="","",IFERROR($D64*IF($D64&gt;=INDEX('Komisyon Tarifesi'!$I$2:$I$1000,MATCH($A64,'Komisyon Tarifesi'!$B$2:$B$1000,0)),INDEX('Komisyon Tarifesi'!$O$2:$O$1000,MATCH($A64,'Komisyon Tarifesi'!$B$2:$B$1000,0)),IF($D64&gt;=INDEX('Komisyon Tarifesi'!$K$2:$K$1000,MATCH($A64,'Komisyon Tarifesi'!$B$2:$B$1000,0)),INDEX('Komisyon Tarifesi'!$P$2:$P$1000,MATCH($A64,'Komisyon Tarifesi'!$B$2:$B$1000,0)),IF($D64&gt;=INDEX('Komisyon Tarifesi'!$M$2:$M$1000,MATCH($A64,'Komisyon Tarifesi'!$B$2:$B$1000,0)),INDEX('Komisyon Tarifesi'!$Q$2:$Q$1000,MATCH($A64,'Komisyon Tarifesi'!$B$2:$B$1000,0)),INDEX('Komisyon Tarifesi'!$R$2:$R$1000,MATCH($A64,'Komisyon Tarifesi'!$B$2:$B$1000,0)))))/100,IFERROR(IF(VLOOKUP($A64,Products!$A$2:$W$1000,21,0)&lt;&gt;"",$D64*VLOOKUP($A64,Products!$A$2:$W$1000,21,0)/100,""),"")))</f>
        <v>94.365</v>
      </c>
      <c r="F64" s="14">
        <f t="array" ref="F64">IF($A64="","",IFERROR(IF(INDEX('Maliyet Giris'!$G$2:$G$550,MATCH($A64,'Maliyet Giris'!$A$2:$A$550,0))="","",IF(INDEX('Maliyet Giris'!$G$2:$G$550,MATCH($A64,'Maliyet Giris'!$A$2:$A$550,0))&lt;=2,86.4,IF(INDEX('Maliyet Giris'!$G$2:$G$550,MATCH($A64,'Maliyet Giris'!$A$2:$A$550,0))&lt;=3,90,IF(INDEX('Maliyet Giris'!$G$2:$G$550,MATCH($A64,'Maliyet Giris'!$A$2:$A$550,0))&lt;=5,102,IF(INDEX('Maliyet Giris'!$G$2:$G$550,MATCH($A64,'Maliyet Giris'!$A$2:$A$550,0))&lt;=10,159.74,IF(INDEX('Maliyet Giris'!$G$2:$G$550,MATCH($A64,'Maliyet Giris'!$A$2:$A$550,0))&lt;=15,187.5,IF(INDEX('Maliyet Giris'!$G$2:$G$550,MATCH($A64,'Maliyet Giris'!$A$2:$A$550,0))&lt;=20,225,299))))))),""))</f>
        <v>90</v>
      </c>
      <c r="G64" s="14">
        <f t="array" ref="G64">IF($A64="","",IFERROR(INDEX('Maliyet Giris'!$F$2:$F$550,MATCH($A64,'Maliyet Giris'!$A$2:$A$550,0)),""))</f>
        <v>420</v>
      </c>
      <c r="H64" s="14">
        <f t="shared" si="1"/>
        <v>13.19</v>
      </c>
      <c r="I64" s="14">
        <f t="shared" si="2"/>
        <v>5.825</v>
      </c>
      <c r="J64" s="14">
        <f t="shared" si="3"/>
        <v>13.57416667</v>
      </c>
      <c r="K64" s="14">
        <f t="shared" si="4"/>
        <v>62.04583333</v>
      </c>
      <c r="L64" s="15">
        <f t="shared" si="5"/>
        <v>0.08876371006</v>
      </c>
      <c r="M64" s="17" t="str">
        <f t="shared" si="6"/>
        <v>KÂRLI</v>
      </c>
      <c r="N64" s="17" t="str">
        <f t="shared" si="7"/>
        <v/>
      </c>
      <c r="O64" s="17">
        <f t="array" ref="O64">IF($A64="","",IFERROR(INDEX('Maliyet Giris'!$G$2:$G$550,MATCH($A64,'Maliyet Giris'!$A$2:$A$550,0)),""))</f>
        <v>3</v>
      </c>
      <c r="P64" s="17" t="str">
        <f t="shared" si="8"/>
        <v/>
      </c>
      <c r="Q64" s="17" t="str">
        <f t="shared" si="9"/>
        <v/>
      </c>
      <c r="R64" s="14">
        <f t="shared" si="10"/>
        <v>624.89281</v>
      </c>
      <c r="S64" s="14">
        <f t="shared" si="11"/>
        <v>74.10719001</v>
      </c>
      <c r="T64" s="17" t="str">
        <f t="shared" si="12"/>
        <v>DÜŞÜK KÂR</v>
      </c>
      <c r="U64" s="17" t="str">
        <f t="shared" si="13"/>
        <v>Reklam/komisyon etkisini kontrol et</v>
      </c>
    </row>
    <row r="65">
      <c r="A65" s="2">
        <f>IFERROR(__xludf.DUMMYFUNCTION("""COMPUTED_VALUE"""),8.445291929555E12)</f>
        <v>8445291929555</v>
      </c>
      <c r="B65" s="17" t="str">
        <f>IFERROR(__xludf.DUMMYFUNCTION("""COMPUTED_VALUE"""),"Gourmet Gold")</f>
        <v>Gourmet Gold</v>
      </c>
      <c r="C65" s="28" t="str">
        <f>IFERROR(__xludf.DUMMYFUNCTION("""COMPUTED_VALUE"""),"Kıyılmış Seri Kedi Konservesi 8 Adet*85 Gr")</f>
        <v>Kıyılmış Seri Kedi Konservesi 8 Adet*85 Gr</v>
      </c>
      <c r="D65" s="14">
        <f>IFERROR(__xludf.DUMMYFUNCTION("""COMPUTED_VALUE"""),353.59)</f>
        <v>353.59</v>
      </c>
      <c r="E65" s="14">
        <f t="array" ref="E65">IF($A65="","",IFERROR($D65*IF($D65&gt;=INDEX('Komisyon Tarifesi'!$I$2:$I$1000,MATCH($A65,'Komisyon Tarifesi'!$B$2:$B$1000,0)),INDEX('Komisyon Tarifesi'!$O$2:$O$1000,MATCH($A65,'Komisyon Tarifesi'!$B$2:$B$1000,0)),IF($D65&gt;=INDEX('Komisyon Tarifesi'!$K$2:$K$1000,MATCH($A65,'Komisyon Tarifesi'!$B$2:$B$1000,0)),INDEX('Komisyon Tarifesi'!$P$2:$P$1000,MATCH($A65,'Komisyon Tarifesi'!$B$2:$B$1000,0)),IF($D65&gt;=INDEX('Komisyon Tarifesi'!$M$2:$M$1000,MATCH($A65,'Komisyon Tarifesi'!$B$2:$B$1000,0)),INDEX('Komisyon Tarifesi'!$Q$2:$Q$1000,MATCH($A65,'Komisyon Tarifesi'!$B$2:$B$1000,0)),INDEX('Komisyon Tarifesi'!$R$2:$R$1000,MATCH($A65,'Komisyon Tarifesi'!$B$2:$B$1000,0)))))/100,IFERROR(IF(VLOOKUP($A65,Products!$A$2:$W$1000,21,0)&lt;&gt;"",$D65*VLOOKUP($A65,Products!$A$2:$W$1000,21,0)/100,""),"")))</f>
        <v>58.34235</v>
      </c>
      <c r="F65" s="14">
        <f t="array" ref="F65">IF($A65="","",IFERROR(IF(INDEX('Maliyet Giris'!$G$2:$G$550,MATCH($A65,'Maliyet Giris'!$A$2:$A$550,0))="","",IF(INDEX('Maliyet Giris'!$G$2:$G$550,MATCH($A65,'Maliyet Giris'!$A$2:$A$550,0))&lt;=2,86.4,IF(INDEX('Maliyet Giris'!$G$2:$G$550,MATCH($A65,'Maliyet Giris'!$A$2:$A$550,0))&lt;=3,90,IF(INDEX('Maliyet Giris'!$G$2:$G$550,MATCH($A65,'Maliyet Giris'!$A$2:$A$550,0))&lt;=5,102,IF(INDEX('Maliyet Giris'!$G$2:$G$550,MATCH($A65,'Maliyet Giris'!$A$2:$A$550,0))&lt;=10,159.74,IF(INDEX('Maliyet Giris'!$G$2:$G$550,MATCH($A65,'Maliyet Giris'!$A$2:$A$550,0))&lt;=15,187.5,IF(INDEX('Maliyet Giris'!$G$2:$G$550,MATCH($A65,'Maliyet Giris'!$A$2:$A$550,0))&lt;=20,225,299))))))),""))</f>
        <v>90</v>
      </c>
      <c r="G65" s="14">
        <f t="array" ref="G65">IF($A65="","",IFERROR(INDEX('Maliyet Giris'!$F$2:$F$550,MATCH($A65,'Maliyet Giris'!$A$2:$A$550,0)),""))</f>
        <v>192</v>
      </c>
      <c r="H65" s="14">
        <f t="shared" si="1"/>
        <v>13.19</v>
      </c>
      <c r="I65" s="14">
        <f t="shared" si="2"/>
        <v>2.946583333</v>
      </c>
      <c r="J65" s="14">
        <f t="shared" si="3"/>
        <v>0.009608333333</v>
      </c>
      <c r="K65" s="14">
        <f t="shared" si="4"/>
        <v>-2.898541667</v>
      </c>
      <c r="L65" s="15">
        <f t="shared" si="5"/>
        <v>-0.008197465049</v>
      </c>
      <c r="M65" s="17" t="str">
        <f t="shared" si="6"/>
        <v>ZARAR</v>
      </c>
      <c r="N65" s="17" t="str">
        <f t="shared" si="7"/>
        <v/>
      </c>
      <c r="O65" s="17">
        <f t="array" ref="O65">IF($A65="","",IFERROR(INDEX('Maliyet Giris'!$G$2:$G$550,MATCH($A65,'Maliyet Giris'!$A$2:$A$550,0)),""))</f>
        <v>3</v>
      </c>
      <c r="P65" s="17" t="str">
        <f t="shared" si="8"/>
        <v/>
      </c>
      <c r="Q65" s="17" t="str">
        <f t="shared" si="9"/>
        <v/>
      </c>
      <c r="R65" s="14">
        <f t="shared" si="10"/>
        <v>357.0962717</v>
      </c>
      <c r="S65" s="14">
        <f t="shared" si="11"/>
        <v>-3.506271669</v>
      </c>
      <c r="T65" s="17" t="str">
        <f t="shared" si="12"/>
        <v>ZARAR</v>
      </c>
      <c r="U65" s="17" t="str">
        <f t="shared" si="13"/>
        <v>Fiyat, maliyet veya kampanya kontrol et</v>
      </c>
    </row>
    <row r="66">
      <c r="A66" s="2" t="str">
        <f>IFERROR(__xludf.DUMMYFUNCTION("""COMPUTED_VALUE"""),"HBCV000002HPAM")</f>
        <v>HBCV000002HPAM</v>
      </c>
      <c r="B66" s="17" t="str">
        <f>IFERROR(__xludf.DUMMYFUNCTION("""COMPUTED_VALUE"""),"Royal Canin")</f>
        <v>Royal Canin</v>
      </c>
      <c r="C66" s="28" t="str">
        <f>IFERROR(__xludf.DUMMYFUNCTION("""COMPUTED_VALUE"""),"Poodle Tüy Sağlığı Destekleyici Yetişkin Köpek Konservesi 85GR 12 Adet")</f>
        <v>Poodle Tüy Sağlığı Destekleyici Yetişkin Köpek Konservesi 85GR 12 Adet</v>
      </c>
      <c r="D66" s="14">
        <f>IFERROR(__xludf.DUMMYFUNCTION("""COMPUTED_VALUE"""),751.46)</f>
        <v>751.46</v>
      </c>
      <c r="E66" s="14">
        <f t="array" ref="E66">IF($A66="","",IFERROR($D66*IF($D66&gt;=INDEX('Komisyon Tarifesi'!$I$2:$I$1000,MATCH($A66,'Komisyon Tarifesi'!$B$2:$B$1000,0)),INDEX('Komisyon Tarifesi'!$O$2:$O$1000,MATCH($A66,'Komisyon Tarifesi'!$B$2:$B$1000,0)),IF($D66&gt;=INDEX('Komisyon Tarifesi'!$K$2:$K$1000,MATCH($A66,'Komisyon Tarifesi'!$B$2:$B$1000,0)),INDEX('Komisyon Tarifesi'!$P$2:$P$1000,MATCH($A66,'Komisyon Tarifesi'!$B$2:$B$1000,0)),IF($D66&gt;=INDEX('Komisyon Tarifesi'!$M$2:$M$1000,MATCH($A66,'Komisyon Tarifesi'!$B$2:$B$1000,0)),INDEX('Komisyon Tarifesi'!$Q$2:$Q$1000,MATCH($A66,'Komisyon Tarifesi'!$B$2:$B$1000,0)),INDEX('Komisyon Tarifesi'!$R$2:$R$1000,MATCH($A66,'Komisyon Tarifesi'!$B$2:$B$1000,0)))))/100,IFERROR(IF(VLOOKUP($A66,Products!$A$2:$W$1000,21,0)&lt;&gt;"",$D66*VLOOKUP($A66,Products!$A$2:$W$1000,21,0)/100,""),"")))</f>
        <v>93.9325</v>
      </c>
      <c r="F66" s="14">
        <f t="array" ref="F66">IF($A66="","",IFERROR(IF(INDEX('Maliyet Giris'!$G$2:$G$550,MATCH($A66,'Maliyet Giris'!$A$2:$A$550,0))="","",IF(INDEX('Maliyet Giris'!$G$2:$G$550,MATCH($A66,'Maliyet Giris'!$A$2:$A$550,0))&lt;=2,86.4,IF(INDEX('Maliyet Giris'!$G$2:$G$550,MATCH($A66,'Maliyet Giris'!$A$2:$A$550,0))&lt;=3,90,IF(INDEX('Maliyet Giris'!$G$2:$G$550,MATCH($A66,'Maliyet Giris'!$A$2:$A$550,0))&lt;=5,102,IF(INDEX('Maliyet Giris'!$G$2:$G$550,MATCH($A66,'Maliyet Giris'!$A$2:$A$550,0))&lt;=10,159.74,IF(INDEX('Maliyet Giris'!$G$2:$G$550,MATCH($A66,'Maliyet Giris'!$A$2:$A$550,0))&lt;=15,187.5,IF(INDEX('Maliyet Giris'!$G$2:$G$550,MATCH($A66,'Maliyet Giris'!$A$2:$A$550,0))&lt;=20,225,299))))))),""))</f>
        <v>86.4</v>
      </c>
      <c r="G66" s="14">
        <f t="array" ref="G66">IF($A66="","",IFERROR(INDEX('Maliyet Giris'!$F$2:$F$550,MATCH($A66,'Maliyet Giris'!$A$2:$A$550,0)),""))</f>
        <v>450</v>
      </c>
      <c r="H66" s="14">
        <f t="shared" si="1"/>
        <v>13.19</v>
      </c>
      <c r="I66" s="14">
        <f t="shared" si="2"/>
        <v>6.262166667</v>
      </c>
      <c r="J66" s="14">
        <f t="shared" si="3"/>
        <v>17.98958333</v>
      </c>
      <c r="K66" s="14">
        <f t="shared" si="4"/>
        <v>83.68575</v>
      </c>
      <c r="L66" s="15">
        <f t="shared" si="5"/>
        <v>0.111364211</v>
      </c>
      <c r="M66" s="17" t="str">
        <f t="shared" si="6"/>
        <v>KÂRLI</v>
      </c>
      <c r="N66" s="17" t="str">
        <f t="shared" si="7"/>
        <v/>
      </c>
      <c r="O66" s="17">
        <f t="array" ref="O66">IF($A66="","",IFERROR(INDEX('Maliyet Giris'!$G$2:$G$550,MATCH($A66,'Maliyet Giris'!$A$2:$A$550,0)),""))</f>
        <v>2</v>
      </c>
      <c r="P66" s="17" t="str">
        <f t="shared" si="8"/>
        <v/>
      </c>
      <c r="Q66" s="17" t="str">
        <f t="shared" si="9"/>
        <v/>
      </c>
      <c r="R66" s="14">
        <f t="shared" si="10"/>
        <v>652.1562495</v>
      </c>
      <c r="S66" s="14">
        <f t="shared" si="11"/>
        <v>99.30375046</v>
      </c>
      <c r="T66" s="17" t="str">
        <f t="shared" si="12"/>
        <v>SAĞLIKLI</v>
      </c>
      <c r="U66" s="17" t="str">
        <f t="shared" si="13"/>
        <v>Takip et</v>
      </c>
    </row>
    <row r="67">
      <c r="A67" s="2">
        <f>IFERROR(__xludf.DUMMYFUNCTION("""COMPUTED_VALUE"""),7.6130335646424E13)</f>
        <v>76130335646424</v>
      </c>
      <c r="B67" s="17" t="str">
        <f>IFERROR(__xludf.DUMMYFUNCTION("""COMPUTED_VALUE"""),"Pro Plan")</f>
        <v>Pro Plan</v>
      </c>
      <c r="C67" s="28" t="str">
        <f>IFERROR(__xludf.DUMMYFUNCTION("""COMPUTED_VALUE"""),"Proplan Sterilised Somon Kısır Kedi Maması 400 Gr*4 Adet")</f>
        <v>Proplan Sterilised Somon Kısır Kedi Maması 400 Gr*4 Adet</v>
      </c>
      <c r="D67" s="14">
        <f>IFERROR(__xludf.DUMMYFUNCTION("""COMPUTED_VALUE"""),802.0)</f>
        <v>802</v>
      </c>
      <c r="E67" s="14">
        <f t="array" ref="E67">IF($A67="","",IFERROR($D67*IF($D67&gt;=INDEX('Komisyon Tarifesi'!$I$2:$I$1000,MATCH($A67,'Komisyon Tarifesi'!$B$2:$B$1000,0)),INDEX('Komisyon Tarifesi'!$O$2:$O$1000,MATCH($A67,'Komisyon Tarifesi'!$B$2:$B$1000,0)),IF($D67&gt;=INDEX('Komisyon Tarifesi'!$K$2:$K$1000,MATCH($A67,'Komisyon Tarifesi'!$B$2:$B$1000,0)),INDEX('Komisyon Tarifesi'!$P$2:$P$1000,MATCH($A67,'Komisyon Tarifesi'!$B$2:$B$1000,0)),IF($D67&gt;=INDEX('Komisyon Tarifesi'!$M$2:$M$1000,MATCH($A67,'Komisyon Tarifesi'!$B$2:$B$1000,0)),INDEX('Komisyon Tarifesi'!$Q$2:$Q$1000,MATCH($A67,'Komisyon Tarifesi'!$B$2:$B$1000,0)),INDEX('Komisyon Tarifesi'!$R$2:$R$1000,MATCH($A67,'Komisyon Tarifesi'!$B$2:$B$1000,0)))))/100,IFERROR(IF(VLOOKUP($A67,Products!$A$2:$W$1000,21,0)&lt;&gt;"",$D67*VLOOKUP($A67,Products!$A$2:$W$1000,21,0)/100,""),"")))</f>
        <v>68.17</v>
      </c>
      <c r="F67" s="14">
        <f t="array" ref="F67">IF($A67="","",IFERROR(IF(INDEX('Maliyet Giris'!$G$2:$G$550,MATCH($A67,'Maliyet Giris'!$A$2:$A$550,0))="","",IF(INDEX('Maliyet Giris'!$G$2:$G$550,MATCH($A67,'Maliyet Giris'!$A$2:$A$550,0))&lt;=2,86.4,IF(INDEX('Maliyet Giris'!$G$2:$G$550,MATCH($A67,'Maliyet Giris'!$A$2:$A$550,0))&lt;=3,90,IF(INDEX('Maliyet Giris'!$G$2:$G$550,MATCH($A67,'Maliyet Giris'!$A$2:$A$550,0))&lt;=5,102,IF(INDEX('Maliyet Giris'!$G$2:$G$550,MATCH($A67,'Maliyet Giris'!$A$2:$A$550,0))&lt;=10,159.74,IF(INDEX('Maliyet Giris'!$G$2:$G$550,MATCH($A67,'Maliyet Giris'!$A$2:$A$550,0))&lt;=15,187.5,IF(INDEX('Maliyet Giris'!$G$2:$G$550,MATCH($A67,'Maliyet Giris'!$A$2:$A$550,0))&lt;=20,225,299))))))),""))</f>
        <v>90</v>
      </c>
      <c r="G67" s="14">
        <f t="array" ref="G67">IF($A67="","",IFERROR(INDEX('Maliyet Giris'!$F$2:$F$550,MATCH($A67,'Maliyet Giris'!$A$2:$A$550,0)),""))</f>
        <v>600</v>
      </c>
      <c r="H67" s="14">
        <f t="shared" si="1"/>
        <v>13.19</v>
      </c>
      <c r="I67" s="14">
        <f t="shared" si="2"/>
        <v>6.683333333</v>
      </c>
      <c r="J67" s="14">
        <f t="shared" si="3"/>
        <v>5.106666667</v>
      </c>
      <c r="K67" s="14">
        <f t="shared" si="4"/>
        <v>18.85</v>
      </c>
      <c r="L67" s="15">
        <f t="shared" si="5"/>
        <v>0.02350374065</v>
      </c>
      <c r="M67" s="17" t="str">
        <f t="shared" si="6"/>
        <v>KÂRLI</v>
      </c>
      <c r="N67" s="17" t="str">
        <f t="shared" si="7"/>
        <v/>
      </c>
      <c r="O67" s="17">
        <f t="array" ref="O67">IF($A67="","",IFERROR(INDEX('Maliyet Giris'!$G$2:$G$550,MATCH($A67,'Maliyet Giris'!$A$2:$A$550,0)),""))</f>
        <v>3</v>
      </c>
      <c r="P67" s="17" t="str">
        <f t="shared" si="8"/>
        <v/>
      </c>
      <c r="Q67" s="17" t="str">
        <f t="shared" si="9"/>
        <v/>
      </c>
      <c r="R67" s="14">
        <f t="shared" si="10"/>
        <v>781.0622281</v>
      </c>
      <c r="S67" s="14">
        <f t="shared" si="11"/>
        <v>20.93777187</v>
      </c>
      <c r="T67" s="17" t="str">
        <f t="shared" si="12"/>
        <v>RİSKLİ</v>
      </c>
      <c r="U67" s="17" t="str">
        <f t="shared" si="13"/>
        <v>Minimum fiyat altına düşme</v>
      </c>
    </row>
    <row r="68">
      <c r="A68" s="2">
        <f>IFERROR(__xludf.DUMMYFUNCTION("""COMPUTED_VALUE"""),8.68450194182E12)</f>
        <v>8684501941820</v>
      </c>
      <c r="B68" s="17" t="str">
        <f>IFERROR(__xludf.DUMMYFUNCTION("""COMPUTED_VALUE"""),"VetEnergy")</f>
        <v>VetEnergy</v>
      </c>
      <c r="C68" s="28" t="str">
        <f>IFERROR(__xludf.DUMMYFUNCTION("""COMPUTED_VALUE"""),"Yavru ve Anne Kediler İçin Multivitamin Macun - Bağışıklık, Kemik ve Tüy Desteği - 100g")</f>
        <v>Yavru ve Anne Kediler İçin Multivitamin Macun - Bağışıklık, Kemik ve Tüy Desteği - 100g</v>
      </c>
      <c r="D68" s="14">
        <f>IFERROR(__xludf.DUMMYFUNCTION("""COMPUTED_VALUE"""),349.99)</f>
        <v>349.99</v>
      </c>
      <c r="E68" s="14">
        <f t="array" ref="E68">IF($A68="","",IFERROR($D68*IF($D68&gt;=INDEX('Komisyon Tarifesi'!$I$2:$I$1000,MATCH($A68,'Komisyon Tarifesi'!$B$2:$B$1000,0)),INDEX('Komisyon Tarifesi'!$O$2:$O$1000,MATCH($A68,'Komisyon Tarifesi'!$B$2:$B$1000,0)),IF($D68&gt;=INDEX('Komisyon Tarifesi'!$K$2:$K$1000,MATCH($A68,'Komisyon Tarifesi'!$B$2:$B$1000,0)),INDEX('Komisyon Tarifesi'!$P$2:$P$1000,MATCH($A68,'Komisyon Tarifesi'!$B$2:$B$1000,0)),IF($D68&gt;=INDEX('Komisyon Tarifesi'!$M$2:$M$1000,MATCH($A68,'Komisyon Tarifesi'!$B$2:$B$1000,0)),INDEX('Komisyon Tarifesi'!$Q$2:$Q$1000,MATCH($A68,'Komisyon Tarifesi'!$B$2:$B$1000,0)),INDEX('Komisyon Tarifesi'!$R$2:$R$1000,MATCH($A68,'Komisyon Tarifesi'!$B$2:$B$1000,0)))))/100,IFERROR(IF(VLOOKUP($A68,Products!$A$2:$W$1000,21,0)&lt;&gt;"",$D68*VLOOKUP($A68,Products!$A$2:$W$1000,21,0)/100,""),"")))</f>
        <v>69.998</v>
      </c>
      <c r="F68" s="14">
        <f t="array" ref="F68">IF($A68="","",IFERROR(IF(INDEX('Maliyet Giris'!$G$2:$G$550,MATCH($A68,'Maliyet Giris'!$A$2:$A$550,0))="","",IF(INDEX('Maliyet Giris'!$G$2:$G$550,MATCH($A68,'Maliyet Giris'!$A$2:$A$550,0))&lt;=2,86.4,IF(INDEX('Maliyet Giris'!$G$2:$G$550,MATCH($A68,'Maliyet Giris'!$A$2:$A$550,0))&lt;=3,90,IF(INDEX('Maliyet Giris'!$G$2:$G$550,MATCH($A68,'Maliyet Giris'!$A$2:$A$550,0))&lt;=5,102,IF(INDEX('Maliyet Giris'!$G$2:$G$550,MATCH($A68,'Maliyet Giris'!$A$2:$A$550,0))&lt;=10,159.74,IF(INDEX('Maliyet Giris'!$G$2:$G$550,MATCH($A68,'Maliyet Giris'!$A$2:$A$550,0))&lt;=15,187.5,IF(INDEX('Maliyet Giris'!$G$2:$G$550,MATCH($A68,'Maliyet Giris'!$A$2:$A$550,0))&lt;=20,225,299))))))),""))</f>
        <v>86.4</v>
      </c>
      <c r="G68" s="14">
        <f t="array" ref="G68">IF($A68="","",IFERROR(INDEX('Maliyet Giris'!$F$2:$F$550,MATCH($A68,'Maliyet Giris'!$A$2:$A$550,0)),""))</f>
        <v>53</v>
      </c>
      <c r="H68" s="14">
        <f t="shared" si="1"/>
        <v>13.19</v>
      </c>
      <c r="I68" s="14">
        <f t="shared" si="2"/>
        <v>2.916583333</v>
      </c>
      <c r="J68" s="14">
        <f t="shared" si="3"/>
        <v>21.23366667</v>
      </c>
      <c r="K68" s="14">
        <f t="shared" si="4"/>
        <v>103.25175</v>
      </c>
      <c r="L68" s="15">
        <f t="shared" si="5"/>
        <v>0.295013429</v>
      </c>
      <c r="M68" s="17" t="str">
        <f t="shared" si="6"/>
        <v>KÂRLI</v>
      </c>
      <c r="N68" s="17" t="str">
        <f t="shared" si="7"/>
        <v/>
      </c>
      <c r="O68" s="17">
        <f t="array" ref="O68">IF($A68="","",IFERROR(INDEX('Maliyet Giris'!$G$2:$G$550,MATCH($A68,'Maliyet Giris'!$A$2:$A$550,0)),""))</f>
        <v>0.5</v>
      </c>
      <c r="P68" s="17" t="str">
        <f t="shared" si="8"/>
        <v/>
      </c>
      <c r="Q68" s="17" t="str">
        <f t="shared" si="9"/>
        <v/>
      </c>
      <c r="R68" s="14">
        <f t="shared" si="10"/>
        <v>208.7421218</v>
      </c>
      <c r="S68" s="14">
        <f t="shared" si="11"/>
        <v>141.2478782</v>
      </c>
      <c r="T68" s="17" t="str">
        <f t="shared" si="12"/>
        <v>ÇOK KÂRLI</v>
      </c>
      <c r="U68" s="17" t="str">
        <f t="shared" si="13"/>
        <v>Stok ve BuyBox takibini artır</v>
      </c>
    </row>
    <row r="69">
      <c r="A69" s="2">
        <f>IFERROR(__xludf.DUMMYFUNCTION("""COMPUTED_VALUE"""),8.684501941813E12)</f>
        <v>8684501941813</v>
      </c>
      <c r="B69" s="17" t="str">
        <f>IFERROR(__xludf.DUMMYFUNCTION("""COMPUTED_VALUE"""),"VetEnergy")</f>
        <v>VetEnergy</v>
      </c>
      <c r="C69" s="28" t="str">
        <f>IFERROR(__xludf.DUMMYFUNCTION("""COMPUTED_VALUE"""),"Malt Paste 100 g – Tüy Dökümü Önleyici, Tüy Yumağı Karşıtı, Sindirim Destekli Kedi Maltı")</f>
        <v>Malt Paste 100 g – Tüy Dökümü Önleyici, Tüy Yumağı Karşıtı, Sindirim Destekli Kedi Maltı</v>
      </c>
      <c r="D69" s="14">
        <f>IFERROR(__xludf.DUMMYFUNCTION("""COMPUTED_VALUE"""),349.99)</f>
        <v>349.99</v>
      </c>
      <c r="E69" s="14">
        <f t="array" ref="E69">IF($A69="","",IFERROR($D69*IF($D69&gt;=INDEX('Komisyon Tarifesi'!$I$2:$I$1000,MATCH($A69,'Komisyon Tarifesi'!$B$2:$B$1000,0)),INDEX('Komisyon Tarifesi'!$O$2:$O$1000,MATCH($A69,'Komisyon Tarifesi'!$B$2:$B$1000,0)),IF($D69&gt;=INDEX('Komisyon Tarifesi'!$K$2:$K$1000,MATCH($A69,'Komisyon Tarifesi'!$B$2:$B$1000,0)),INDEX('Komisyon Tarifesi'!$P$2:$P$1000,MATCH($A69,'Komisyon Tarifesi'!$B$2:$B$1000,0)),IF($D69&gt;=INDEX('Komisyon Tarifesi'!$M$2:$M$1000,MATCH($A69,'Komisyon Tarifesi'!$B$2:$B$1000,0)),INDEX('Komisyon Tarifesi'!$Q$2:$Q$1000,MATCH($A69,'Komisyon Tarifesi'!$B$2:$B$1000,0)),INDEX('Komisyon Tarifesi'!$R$2:$R$1000,MATCH($A69,'Komisyon Tarifesi'!$B$2:$B$1000,0)))))/100,IFERROR(IF(VLOOKUP($A69,Products!$A$2:$W$1000,21,0)&lt;&gt;"",$D69*VLOOKUP($A69,Products!$A$2:$W$1000,21,0)/100,""),"")))</f>
        <v>69.998</v>
      </c>
      <c r="F69" s="14">
        <f t="array" ref="F69">IF($A69="","",IFERROR(IF(INDEX('Maliyet Giris'!$G$2:$G$550,MATCH($A69,'Maliyet Giris'!$A$2:$A$550,0))="","",IF(INDEX('Maliyet Giris'!$G$2:$G$550,MATCH($A69,'Maliyet Giris'!$A$2:$A$550,0))&lt;=2,86.4,IF(INDEX('Maliyet Giris'!$G$2:$G$550,MATCH($A69,'Maliyet Giris'!$A$2:$A$550,0))&lt;=3,90,IF(INDEX('Maliyet Giris'!$G$2:$G$550,MATCH($A69,'Maliyet Giris'!$A$2:$A$550,0))&lt;=5,102,IF(INDEX('Maliyet Giris'!$G$2:$G$550,MATCH($A69,'Maliyet Giris'!$A$2:$A$550,0))&lt;=10,159.74,IF(INDEX('Maliyet Giris'!$G$2:$G$550,MATCH($A69,'Maliyet Giris'!$A$2:$A$550,0))&lt;=15,187.5,IF(INDEX('Maliyet Giris'!$G$2:$G$550,MATCH($A69,'Maliyet Giris'!$A$2:$A$550,0))&lt;=20,225,299))))))),""))</f>
        <v>86.4</v>
      </c>
      <c r="G69" s="14">
        <f t="array" ref="G69">IF($A69="","",IFERROR(INDEX('Maliyet Giris'!$F$2:$F$550,MATCH($A69,'Maliyet Giris'!$A$2:$A$550,0)),""))</f>
        <v>53</v>
      </c>
      <c r="H69" s="14">
        <f t="shared" si="1"/>
        <v>13.19</v>
      </c>
      <c r="I69" s="14">
        <f t="shared" si="2"/>
        <v>2.916583333</v>
      </c>
      <c r="J69" s="14">
        <f t="shared" si="3"/>
        <v>21.23366667</v>
      </c>
      <c r="K69" s="14">
        <f t="shared" si="4"/>
        <v>103.25175</v>
      </c>
      <c r="L69" s="15">
        <f t="shared" si="5"/>
        <v>0.295013429</v>
      </c>
      <c r="M69" s="17" t="str">
        <f t="shared" si="6"/>
        <v>KÂRLI</v>
      </c>
      <c r="N69" s="17" t="str">
        <f t="shared" si="7"/>
        <v/>
      </c>
      <c r="O69" s="17">
        <f t="array" ref="O69">IF($A69="","",IFERROR(INDEX('Maliyet Giris'!$G$2:$G$550,MATCH($A69,'Maliyet Giris'!$A$2:$A$550,0)),""))</f>
        <v>0.5</v>
      </c>
      <c r="P69" s="17" t="str">
        <f t="shared" si="8"/>
        <v/>
      </c>
      <c r="Q69" s="17" t="str">
        <f t="shared" si="9"/>
        <v/>
      </c>
      <c r="R69" s="14">
        <f t="shared" si="10"/>
        <v>208.7421218</v>
      </c>
      <c r="S69" s="14">
        <f t="shared" si="11"/>
        <v>141.2478782</v>
      </c>
      <c r="T69" s="17" t="str">
        <f t="shared" si="12"/>
        <v>ÇOK KÂRLI</v>
      </c>
      <c r="U69" s="17" t="str">
        <f t="shared" si="13"/>
        <v>Stok ve BuyBox takibini artır</v>
      </c>
    </row>
    <row r="70">
      <c r="A70" s="2">
        <f>IFERROR(__xludf.DUMMYFUNCTION("""COMPUTED_VALUE"""),8.684501941837E12)</f>
        <v>8684501941837</v>
      </c>
      <c r="B70" s="17" t="str">
        <f>IFERROR(__xludf.DUMMYFUNCTION("""COMPUTED_VALUE"""),"VetEnergy")</f>
        <v>VetEnergy</v>
      </c>
      <c r="C70" s="28" t="str">
        <f>IFERROR(__xludf.DUMMYFUNCTION("""COMPUTED_VALUE"""),"Sterilised Malt Macun 100gr (Kısırlaştırılmış Kediler için Tüy Yumağı Önleyici)")</f>
        <v>Sterilised Malt Macun 100gr (Kısırlaştırılmış Kediler için Tüy Yumağı Önleyici)</v>
      </c>
      <c r="D70" s="14">
        <f>IFERROR(__xludf.DUMMYFUNCTION("""COMPUTED_VALUE"""),349.99)</f>
        <v>349.99</v>
      </c>
      <c r="E70" s="14">
        <f t="array" ref="E70">IF($A70="","",IFERROR($D70*IF($D70&gt;=INDEX('Komisyon Tarifesi'!$I$2:$I$1000,MATCH($A70,'Komisyon Tarifesi'!$B$2:$B$1000,0)),INDEX('Komisyon Tarifesi'!$O$2:$O$1000,MATCH($A70,'Komisyon Tarifesi'!$B$2:$B$1000,0)),IF($D70&gt;=INDEX('Komisyon Tarifesi'!$K$2:$K$1000,MATCH($A70,'Komisyon Tarifesi'!$B$2:$B$1000,0)),INDEX('Komisyon Tarifesi'!$P$2:$P$1000,MATCH($A70,'Komisyon Tarifesi'!$B$2:$B$1000,0)),IF($D70&gt;=INDEX('Komisyon Tarifesi'!$M$2:$M$1000,MATCH($A70,'Komisyon Tarifesi'!$B$2:$B$1000,0)),INDEX('Komisyon Tarifesi'!$Q$2:$Q$1000,MATCH($A70,'Komisyon Tarifesi'!$B$2:$B$1000,0)),INDEX('Komisyon Tarifesi'!$R$2:$R$1000,MATCH($A70,'Komisyon Tarifesi'!$B$2:$B$1000,0)))))/100,IFERROR(IF(VLOOKUP($A70,Products!$A$2:$W$1000,21,0)&lt;&gt;"",$D70*VLOOKUP($A70,Products!$A$2:$W$1000,21,0)/100,""),"")))</f>
        <v>69.998</v>
      </c>
      <c r="F70" s="14">
        <f t="array" ref="F70">IF($A70="","",IFERROR(IF(INDEX('Maliyet Giris'!$G$2:$G$550,MATCH($A70,'Maliyet Giris'!$A$2:$A$550,0))="","",IF(INDEX('Maliyet Giris'!$G$2:$G$550,MATCH($A70,'Maliyet Giris'!$A$2:$A$550,0))&lt;=2,86.4,IF(INDEX('Maliyet Giris'!$G$2:$G$550,MATCH($A70,'Maliyet Giris'!$A$2:$A$550,0))&lt;=3,90,IF(INDEX('Maliyet Giris'!$G$2:$G$550,MATCH($A70,'Maliyet Giris'!$A$2:$A$550,0))&lt;=5,102,IF(INDEX('Maliyet Giris'!$G$2:$G$550,MATCH($A70,'Maliyet Giris'!$A$2:$A$550,0))&lt;=10,159.74,IF(INDEX('Maliyet Giris'!$G$2:$G$550,MATCH($A70,'Maliyet Giris'!$A$2:$A$550,0))&lt;=15,187.5,IF(INDEX('Maliyet Giris'!$G$2:$G$550,MATCH($A70,'Maliyet Giris'!$A$2:$A$550,0))&lt;=20,225,299))))))),""))</f>
        <v>86.4</v>
      </c>
      <c r="G70" s="14">
        <f t="array" ref="G70">IF($A70="","",IFERROR(INDEX('Maliyet Giris'!$F$2:$F$550,MATCH($A70,'Maliyet Giris'!$A$2:$A$550,0)),""))</f>
        <v>53</v>
      </c>
      <c r="H70" s="14">
        <f t="shared" si="1"/>
        <v>13.19</v>
      </c>
      <c r="I70" s="14">
        <f t="shared" si="2"/>
        <v>2.916583333</v>
      </c>
      <c r="J70" s="14">
        <f t="shared" si="3"/>
        <v>21.23366667</v>
      </c>
      <c r="K70" s="14">
        <f t="shared" si="4"/>
        <v>103.25175</v>
      </c>
      <c r="L70" s="15">
        <f t="shared" si="5"/>
        <v>0.295013429</v>
      </c>
      <c r="M70" s="17" t="str">
        <f t="shared" si="6"/>
        <v>KÂRLI</v>
      </c>
      <c r="N70" s="17" t="str">
        <f t="shared" si="7"/>
        <v/>
      </c>
      <c r="O70" s="17">
        <f t="array" ref="O70">IF($A70="","",IFERROR(INDEX('Maliyet Giris'!$G$2:$G$550,MATCH($A70,'Maliyet Giris'!$A$2:$A$550,0)),""))</f>
        <v>0.5</v>
      </c>
      <c r="P70" s="17" t="str">
        <f t="shared" si="8"/>
        <v/>
      </c>
      <c r="Q70" s="17" t="str">
        <f t="shared" si="9"/>
        <v/>
      </c>
      <c r="R70" s="14">
        <f t="shared" si="10"/>
        <v>208.7421218</v>
      </c>
      <c r="S70" s="14">
        <f t="shared" si="11"/>
        <v>141.2478782</v>
      </c>
      <c r="T70" s="17" t="str">
        <f t="shared" si="12"/>
        <v>ÇOK KÂRLI</v>
      </c>
      <c r="U70" s="17" t="str">
        <f t="shared" si="13"/>
        <v>Stok ve BuyBox takibini artır</v>
      </c>
    </row>
    <row r="71">
      <c r="A71" s="2">
        <f>IFERROR(__xludf.DUMMYFUNCTION("""COMPUTED_VALUE"""),8.684501941806E12)</f>
        <v>8684501941806</v>
      </c>
      <c r="B71" s="17" t="str">
        <f>IFERROR(__xludf.DUMMYFUNCTION("""COMPUTED_VALUE"""),"VetEnergy")</f>
        <v>VetEnergy</v>
      </c>
      <c r="C71" s="28" t="str">
        <f>IFERROR(__xludf.DUMMYFUNCTION("""COMPUTED_VALUE"""),"MultiVitamin Paste 100 g – 18’i 1 Arada Vitamin &amp; Mineral Destekli Kedi Macunu")</f>
        <v>MultiVitamin Paste 100 g – 18’i 1 Arada Vitamin &amp; Mineral Destekli Kedi Macunu</v>
      </c>
      <c r="D71" s="14">
        <f>IFERROR(__xludf.DUMMYFUNCTION("""COMPUTED_VALUE"""),349.99)</f>
        <v>349.99</v>
      </c>
      <c r="E71" s="14">
        <f t="array" ref="E71">IF($A71="","",IFERROR($D71*IF($D71&gt;=INDEX('Komisyon Tarifesi'!$I$2:$I$1000,MATCH($A71,'Komisyon Tarifesi'!$B$2:$B$1000,0)),INDEX('Komisyon Tarifesi'!$O$2:$O$1000,MATCH($A71,'Komisyon Tarifesi'!$B$2:$B$1000,0)),IF($D71&gt;=INDEX('Komisyon Tarifesi'!$K$2:$K$1000,MATCH($A71,'Komisyon Tarifesi'!$B$2:$B$1000,0)),INDEX('Komisyon Tarifesi'!$P$2:$P$1000,MATCH($A71,'Komisyon Tarifesi'!$B$2:$B$1000,0)),IF($D71&gt;=INDEX('Komisyon Tarifesi'!$M$2:$M$1000,MATCH($A71,'Komisyon Tarifesi'!$B$2:$B$1000,0)),INDEX('Komisyon Tarifesi'!$Q$2:$Q$1000,MATCH($A71,'Komisyon Tarifesi'!$B$2:$B$1000,0)),INDEX('Komisyon Tarifesi'!$R$2:$R$1000,MATCH($A71,'Komisyon Tarifesi'!$B$2:$B$1000,0)))))/100,IFERROR(IF(VLOOKUP($A71,Products!$A$2:$W$1000,21,0)&lt;&gt;"",$D71*VLOOKUP($A71,Products!$A$2:$W$1000,21,0)/100,""),"")))</f>
        <v>69.998</v>
      </c>
      <c r="F71" s="14">
        <f t="array" ref="F71">IF($A71="","",IFERROR(IF(INDEX('Maliyet Giris'!$G$2:$G$550,MATCH($A71,'Maliyet Giris'!$A$2:$A$550,0))="","",IF(INDEX('Maliyet Giris'!$G$2:$G$550,MATCH($A71,'Maliyet Giris'!$A$2:$A$550,0))&lt;=2,86.4,IF(INDEX('Maliyet Giris'!$G$2:$G$550,MATCH($A71,'Maliyet Giris'!$A$2:$A$550,0))&lt;=3,90,IF(INDEX('Maliyet Giris'!$G$2:$G$550,MATCH($A71,'Maliyet Giris'!$A$2:$A$550,0))&lt;=5,102,IF(INDEX('Maliyet Giris'!$G$2:$G$550,MATCH($A71,'Maliyet Giris'!$A$2:$A$550,0))&lt;=10,159.74,IF(INDEX('Maliyet Giris'!$G$2:$G$550,MATCH($A71,'Maliyet Giris'!$A$2:$A$550,0))&lt;=15,187.5,IF(INDEX('Maliyet Giris'!$G$2:$G$550,MATCH($A71,'Maliyet Giris'!$A$2:$A$550,0))&lt;=20,225,299))))))),""))</f>
        <v>86.4</v>
      </c>
      <c r="G71" s="14">
        <f t="array" ref="G71">IF($A71="","",IFERROR(INDEX('Maliyet Giris'!$F$2:$F$550,MATCH($A71,'Maliyet Giris'!$A$2:$A$550,0)),""))</f>
        <v>53</v>
      </c>
      <c r="H71" s="14">
        <f t="shared" si="1"/>
        <v>13.19</v>
      </c>
      <c r="I71" s="14">
        <f t="shared" si="2"/>
        <v>2.916583333</v>
      </c>
      <c r="J71" s="14">
        <f t="shared" si="3"/>
        <v>21.23366667</v>
      </c>
      <c r="K71" s="14">
        <f t="shared" si="4"/>
        <v>103.25175</v>
      </c>
      <c r="L71" s="15">
        <f t="shared" si="5"/>
        <v>0.295013429</v>
      </c>
      <c r="M71" s="17" t="str">
        <f t="shared" si="6"/>
        <v>KÂRLI</v>
      </c>
      <c r="N71" s="17" t="str">
        <f t="shared" si="7"/>
        <v/>
      </c>
      <c r="O71" s="17">
        <f t="array" ref="O71">IF($A71="","",IFERROR(INDEX('Maliyet Giris'!$G$2:$G$550,MATCH($A71,'Maliyet Giris'!$A$2:$A$550,0)),""))</f>
        <v>0.5</v>
      </c>
      <c r="P71" s="17" t="str">
        <f t="shared" si="8"/>
        <v/>
      </c>
      <c r="Q71" s="17" t="str">
        <f t="shared" si="9"/>
        <v/>
      </c>
      <c r="R71" s="14">
        <f t="shared" si="10"/>
        <v>208.7421218</v>
      </c>
      <c r="S71" s="14">
        <f t="shared" si="11"/>
        <v>141.2478782</v>
      </c>
      <c r="T71" s="17" t="str">
        <f t="shared" si="12"/>
        <v>ÇOK KÂRLI</v>
      </c>
      <c r="U71" s="17" t="str">
        <f t="shared" si="13"/>
        <v>Stok ve BuyBox takibini artır</v>
      </c>
    </row>
    <row r="72">
      <c r="A72" s="2">
        <f>IFERROR(__xludf.DUMMYFUNCTION("""COMPUTED_VALUE"""),8.681002995109E12)</f>
        <v>8681002995109</v>
      </c>
      <c r="B72" s="17" t="str">
        <f>IFERROR(__xludf.DUMMYFUNCTION("""COMPUTED_VALUE"""),"Whiskas")</f>
        <v>Whiskas</v>
      </c>
      <c r="C72" s="28" t="str">
        <f>IFERROR(__xludf.DUMMYFUNCTION("""COMPUTED_VALUE"""),"Pouch Pure Delight Tavuklu Yetişkin Kedi Mama 24 X 85 G")</f>
        <v>Pouch Pure Delight Tavuklu Yetişkin Kedi Mama 24 X 85 G</v>
      </c>
      <c r="D72" s="14">
        <f>IFERROR(__xludf.DUMMYFUNCTION("""COMPUTED_VALUE"""),579.0)</f>
        <v>579</v>
      </c>
      <c r="E72" s="14">
        <f t="array" ref="E72">IF($A72="","",IFERROR($D72*IF($D72&gt;=INDEX('Komisyon Tarifesi'!$I$2:$I$1000,MATCH($A72,'Komisyon Tarifesi'!$B$2:$B$1000,0)),INDEX('Komisyon Tarifesi'!$O$2:$O$1000,MATCH($A72,'Komisyon Tarifesi'!$B$2:$B$1000,0)),IF($D72&gt;=INDEX('Komisyon Tarifesi'!$K$2:$K$1000,MATCH($A72,'Komisyon Tarifesi'!$B$2:$B$1000,0)),INDEX('Komisyon Tarifesi'!$P$2:$P$1000,MATCH($A72,'Komisyon Tarifesi'!$B$2:$B$1000,0)),IF($D72&gt;=INDEX('Komisyon Tarifesi'!$M$2:$M$1000,MATCH($A72,'Komisyon Tarifesi'!$B$2:$B$1000,0)),INDEX('Komisyon Tarifesi'!$Q$2:$Q$1000,MATCH($A72,'Komisyon Tarifesi'!$B$2:$B$1000,0)),INDEX('Komisyon Tarifesi'!$R$2:$R$1000,MATCH($A72,'Komisyon Tarifesi'!$B$2:$B$1000,0)))))/100,IFERROR(IF(VLOOKUP($A72,Products!$A$2:$W$1000,21,0)&lt;&gt;"",$D72*VLOOKUP($A72,Products!$A$2:$W$1000,21,0)/100,""),"")))</f>
        <v>78.165</v>
      </c>
      <c r="F72" s="14">
        <f t="array" ref="F72">IF($A72="","",IFERROR(IF(INDEX('Maliyet Giris'!$G$2:$G$550,MATCH($A72,'Maliyet Giris'!$A$2:$A$550,0))="","",IF(INDEX('Maliyet Giris'!$G$2:$G$550,MATCH($A72,'Maliyet Giris'!$A$2:$A$550,0))&lt;=2,86.4,IF(INDEX('Maliyet Giris'!$G$2:$G$550,MATCH($A72,'Maliyet Giris'!$A$2:$A$550,0))&lt;=3,90,IF(INDEX('Maliyet Giris'!$G$2:$G$550,MATCH($A72,'Maliyet Giris'!$A$2:$A$550,0))&lt;=5,102,IF(INDEX('Maliyet Giris'!$G$2:$G$550,MATCH($A72,'Maliyet Giris'!$A$2:$A$550,0))&lt;=10,159.74,IF(INDEX('Maliyet Giris'!$G$2:$G$550,MATCH($A72,'Maliyet Giris'!$A$2:$A$550,0))&lt;=15,187.5,IF(INDEX('Maliyet Giris'!$G$2:$G$550,MATCH($A72,'Maliyet Giris'!$A$2:$A$550,0))&lt;=20,225,299))))))),""))</f>
        <v>90</v>
      </c>
      <c r="G72" s="14">
        <f t="array" ref="G72">IF($A72="","",IFERROR(INDEX('Maliyet Giris'!$F$2:$F$550,MATCH($A72,'Maliyet Giris'!$A$2:$A$550,0)),""))</f>
        <v>1</v>
      </c>
      <c r="H72" s="14">
        <f t="shared" si="1"/>
        <v>13.19</v>
      </c>
      <c r="I72" s="14">
        <f t="shared" si="2"/>
        <v>4.825</v>
      </c>
      <c r="J72" s="14">
        <f t="shared" si="3"/>
        <v>66.1075</v>
      </c>
      <c r="K72" s="14">
        <f t="shared" si="4"/>
        <v>325.7125</v>
      </c>
      <c r="L72" s="15">
        <f t="shared" si="5"/>
        <v>0.5625431779</v>
      </c>
      <c r="M72" s="17" t="str">
        <f t="shared" si="6"/>
        <v>KÂRLI</v>
      </c>
      <c r="N72" s="17" t="str">
        <f t="shared" si="7"/>
        <v/>
      </c>
      <c r="O72" s="17">
        <f t="array" ref="O72">IF($A72="","",IFERROR(INDEX('Maliyet Giris'!$G$2:$G$550,MATCH($A72,'Maliyet Giris'!$A$2:$A$550,0)),""))</f>
        <v>3</v>
      </c>
      <c r="P72" s="17" t="str">
        <f t="shared" si="8"/>
        <v/>
      </c>
      <c r="Q72" s="17" t="str">
        <f t="shared" si="9"/>
        <v/>
      </c>
      <c r="R72" s="14">
        <f t="shared" si="10"/>
        <v>140.3248014</v>
      </c>
      <c r="S72" s="14">
        <f t="shared" si="11"/>
        <v>438.6751986</v>
      </c>
      <c r="T72" s="17" t="str">
        <f t="shared" si="12"/>
        <v>ÇOK KÂRLI</v>
      </c>
      <c r="U72" s="17" t="str">
        <f t="shared" si="13"/>
        <v>Stok ve BuyBox takibini artır</v>
      </c>
    </row>
    <row r="73">
      <c r="A73" s="2" t="str">
        <f>IFERROR(__xludf.DUMMYFUNCTION("""COMPUTED_VALUE"""),"TYBFHZOSQJ51LV7127")</f>
        <v>TYBFHZOSQJ51LV7127</v>
      </c>
      <c r="B73" s="17" t="str">
        <f>IFERROR(__xludf.DUMMYFUNCTION("""COMPUTED_VALUE"""),"FELIX")</f>
        <v>FELIX</v>
      </c>
      <c r="C73" s="28" t="str">
        <f>IFERROR(__xludf.DUMMYFUNCTION("""COMPUTED_VALUE"""),"Felix Yavru Tavuklu Avantajlı Paket (4x85) Gr")</f>
        <v>Felix Yavru Tavuklu Avantajlı Paket (4x85) Gr</v>
      </c>
      <c r="D73" s="14">
        <f>IFERROR(__xludf.DUMMYFUNCTION("""COMPUTED_VALUE"""),588.0)</f>
        <v>588</v>
      </c>
      <c r="E73" s="14">
        <f t="array" ref="E73">IF($A73="","",IFERROR($D73*IF($D73&gt;=INDEX('Komisyon Tarifesi'!$I$2:$I$1000,MATCH($A73,'Komisyon Tarifesi'!$B$2:$B$1000,0)),INDEX('Komisyon Tarifesi'!$O$2:$O$1000,MATCH($A73,'Komisyon Tarifesi'!$B$2:$B$1000,0)),IF($D73&gt;=INDEX('Komisyon Tarifesi'!$K$2:$K$1000,MATCH($A73,'Komisyon Tarifesi'!$B$2:$B$1000,0)),INDEX('Komisyon Tarifesi'!$P$2:$P$1000,MATCH($A73,'Komisyon Tarifesi'!$B$2:$B$1000,0)),IF($D73&gt;=INDEX('Komisyon Tarifesi'!$M$2:$M$1000,MATCH($A73,'Komisyon Tarifesi'!$B$2:$B$1000,0)),INDEX('Komisyon Tarifesi'!$Q$2:$Q$1000,MATCH($A73,'Komisyon Tarifesi'!$B$2:$B$1000,0)),INDEX('Komisyon Tarifesi'!$R$2:$R$1000,MATCH($A73,'Komisyon Tarifesi'!$B$2:$B$1000,0)))))/100,IFERROR(IF(VLOOKUP($A73,Products!$A$2:$W$1000,21,0)&lt;&gt;"",$D73*VLOOKUP($A73,Products!$A$2:$W$1000,21,0)/100,""),"")))</f>
        <v>79.38</v>
      </c>
      <c r="F73" s="14">
        <f t="array" ref="F73">IF($A73="","",IFERROR(IF(INDEX('Maliyet Giris'!$G$2:$G$550,MATCH($A73,'Maliyet Giris'!$A$2:$A$550,0))="","",IF(INDEX('Maliyet Giris'!$G$2:$G$550,MATCH($A73,'Maliyet Giris'!$A$2:$A$550,0))&lt;=2,86.4,IF(INDEX('Maliyet Giris'!$G$2:$G$550,MATCH($A73,'Maliyet Giris'!$A$2:$A$550,0))&lt;=3,90,IF(INDEX('Maliyet Giris'!$G$2:$G$550,MATCH($A73,'Maliyet Giris'!$A$2:$A$550,0))&lt;=5,102,IF(INDEX('Maliyet Giris'!$G$2:$G$550,MATCH($A73,'Maliyet Giris'!$A$2:$A$550,0))&lt;=10,159.74,IF(INDEX('Maliyet Giris'!$G$2:$G$550,MATCH($A73,'Maliyet Giris'!$A$2:$A$550,0))&lt;=15,187.5,IF(INDEX('Maliyet Giris'!$G$2:$G$550,MATCH($A73,'Maliyet Giris'!$A$2:$A$550,0))&lt;=20,225,299))))))),""))</f>
        <v>90</v>
      </c>
      <c r="G73" s="14">
        <f t="array" ref="G73">IF($A73="","",IFERROR(INDEX('Maliyet Giris'!$F$2:$F$550,MATCH($A73,'Maliyet Giris'!$A$2:$A$550,0)),""))</f>
        <v>360</v>
      </c>
      <c r="H73" s="14">
        <f t="shared" si="1"/>
        <v>13.19</v>
      </c>
      <c r="I73" s="14">
        <f t="shared" si="2"/>
        <v>4.9</v>
      </c>
      <c r="J73" s="14">
        <f t="shared" si="3"/>
        <v>7.571666667</v>
      </c>
      <c r="K73" s="14">
        <f t="shared" si="4"/>
        <v>32.95833333</v>
      </c>
      <c r="L73" s="15">
        <f t="shared" si="5"/>
        <v>0.0560515873</v>
      </c>
      <c r="M73" s="17" t="str">
        <f t="shared" si="6"/>
        <v>KÂRLI</v>
      </c>
      <c r="N73" s="17" t="str">
        <f t="shared" si="7"/>
        <v/>
      </c>
      <c r="O73" s="17">
        <f t="array" ref="O73">IF($A73="","",IFERROR(INDEX('Maliyet Giris'!$G$2:$G$550,MATCH($A73,'Maliyet Giris'!$A$2:$A$550,0)),""))</f>
        <v>3</v>
      </c>
      <c r="P73" s="17" t="str">
        <f t="shared" si="8"/>
        <v/>
      </c>
      <c r="Q73" s="17" t="str">
        <f t="shared" si="9"/>
        <v/>
      </c>
      <c r="R73" s="14">
        <f t="shared" si="10"/>
        <v>548.9398918</v>
      </c>
      <c r="S73" s="14">
        <f t="shared" si="11"/>
        <v>39.06010822</v>
      </c>
      <c r="T73" s="17" t="str">
        <f t="shared" si="12"/>
        <v>DÜŞÜK KÂR</v>
      </c>
      <c r="U73" s="17" t="str">
        <f t="shared" si="13"/>
        <v>Reklam/komisyon etkisini kontrol et</v>
      </c>
    </row>
    <row r="74">
      <c r="A74" s="2">
        <f>IFERROR(__xludf.DUMMYFUNCTION("""COMPUTED_VALUE"""),7.61328747711E11)</f>
        <v>761328747711</v>
      </c>
      <c r="B74" s="17" t="str">
        <f>IFERROR(__xludf.DUMMYFUNCTION("""COMPUTED_VALUE"""),"FELIX")</f>
        <v>FELIX</v>
      </c>
      <c r="C74" s="28" t="str">
        <f>IFERROR(__xludf.DUMMYFUNCTION("""COMPUTED_VALUE"""),"Felix Kedi Maması Sığır Etli ve Tavuklu Yavru Ekonomik Paket (4x85gr) X 12 Adet")</f>
        <v>Felix Kedi Maması Sığır Etli ve Tavuklu Yavru Ekonomik Paket (4x85gr) X 12 Adet</v>
      </c>
      <c r="D74" s="14">
        <f>IFERROR(__xludf.DUMMYFUNCTION("""COMPUTED_VALUE"""),1090.95)</f>
        <v>1090.95</v>
      </c>
      <c r="E74" s="14">
        <f t="array" ref="E74">IF($A74="","",IFERROR($D74*IF($D74&gt;=INDEX('Komisyon Tarifesi'!$I$2:$I$1000,MATCH($A74,'Komisyon Tarifesi'!$B$2:$B$1000,0)),INDEX('Komisyon Tarifesi'!$O$2:$O$1000,MATCH($A74,'Komisyon Tarifesi'!$B$2:$B$1000,0)),IF($D74&gt;=INDEX('Komisyon Tarifesi'!$K$2:$K$1000,MATCH($A74,'Komisyon Tarifesi'!$B$2:$B$1000,0)),INDEX('Komisyon Tarifesi'!$P$2:$P$1000,MATCH($A74,'Komisyon Tarifesi'!$B$2:$B$1000,0)),IF($D74&gt;=INDEX('Komisyon Tarifesi'!$M$2:$M$1000,MATCH($A74,'Komisyon Tarifesi'!$B$2:$B$1000,0)),INDEX('Komisyon Tarifesi'!$Q$2:$Q$1000,MATCH($A74,'Komisyon Tarifesi'!$B$2:$B$1000,0)),INDEX('Komisyon Tarifesi'!$R$2:$R$1000,MATCH($A74,'Komisyon Tarifesi'!$B$2:$B$1000,0)))))/100,IFERROR(IF(VLOOKUP($A74,Products!$A$2:$W$1000,21,0)&lt;&gt;"",$D74*VLOOKUP($A74,Products!$A$2:$W$1000,21,0)/100,""),"")))</f>
        <v>147.27825</v>
      </c>
      <c r="F74" s="14">
        <f t="array" ref="F74">IF($A74="","",IFERROR(IF(INDEX('Maliyet Giris'!$G$2:$G$550,MATCH($A74,'Maliyet Giris'!$A$2:$A$550,0))="","",IF(INDEX('Maliyet Giris'!$G$2:$G$550,MATCH($A74,'Maliyet Giris'!$A$2:$A$550,0))&lt;=2,86.4,IF(INDEX('Maliyet Giris'!$G$2:$G$550,MATCH($A74,'Maliyet Giris'!$A$2:$A$550,0))&lt;=3,90,IF(INDEX('Maliyet Giris'!$G$2:$G$550,MATCH($A74,'Maliyet Giris'!$A$2:$A$550,0))&lt;=5,102,IF(INDEX('Maliyet Giris'!$G$2:$G$550,MATCH($A74,'Maliyet Giris'!$A$2:$A$550,0))&lt;=10,159.74,IF(INDEX('Maliyet Giris'!$G$2:$G$550,MATCH($A74,'Maliyet Giris'!$A$2:$A$550,0))&lt;=15,187.5,IF(INDEX('Maliyet Giris'!$G$2:$G$550,MATCH($A74,'Maliyet Giris'!$A$2:$A$550,0))&lt;=20,225,299))))))),""))</f>
        <v>90</v>
      </c>
      <c r="G74" s="14">
        <f t="array" ref="G74">IF($A74="","",IFERROR(INDEX('Maliyet Giris'!$F$2:$F$550,MATCH($A74,'Maliyet Giris'!$A$2:$A$550,0)),""))</f>
        <v>720</v>
      </c>
      <c r="H74" s="14">
        <f t="shared" si="1"/>
        <v>13.19</v>
      </c>
      <c r="I74" s="14">
        <f t="shared" si="2"/>
        <v>9.09125</v>
      </c>
      <c r="J74" s="14">
        <f t="shared" si="3"/>
        <v>20.08029167</v>
      </c>
      <c r="K74" s="14">
        <f t="shared" si="4"/>
        <v>91.31020833</v>
      </c>
      <c r="L74" s="15">
        <f t="shared" si="5"/>
        <v>0.08369788563</v>
      </c>
      <c r="M74" s="17" t="str">
        <f t="shared" si="6"/>
        <v>KÂRLI</v>
      </c>
      <c r="N74" s="17" t="str">
        <f t="shared" si="7"/>
        <v/>
      </c>
      <c r="O74" s="17">
        <f t="array" ref="O74">IF($A74="","",IFERROR(INDEX('Maliyet Giris'!$G$2:$G$550,MATCH($A74,'Maliyet Giris'!$A$2:$A$550,0)),""))</f>
        <v>3</v>
      </c>
      <c r="P74" s="17" t="str">
        <f t="shared" si="8"/>
        <v/>
      </c>
      <c r="Q74" s="17" t="str">
        <f t="shared" si="9"/>
        <v/>
      </c>
      <c r="R74" s="14">
        <f t="shared" si="10"/>
        <v>982.0213984</v>
      </c>
      <c r="S74" s="14">
        <f t="shared" si="11"/>
        <v>108.9286016</v>
      </c>
      <c r="T74" s="17" t="str">
        <f t="shared" si="12"/>
        <v>DÜŞÜK KÂR</v>
      </c>
      <c r="U74" s="17" t="str">
        <f t="shared" si="13"/>
        <v>Reklam/komisyon etkisini kontrol et</v>
      </c>
    </row>
    <row r="75">
      <c r="A75" s="2">
        <f>IFERROR(__xludf.DUMMYFUNCTION("""COMPUTED_VALUE"""),6.923632570004E12)</f>
        <v>6923632570004</v>
      </c>
      <c r="B75" s="17" t="str">
        <f>IFERROR(__xludf.DUMMYFUNCTION("""COMPUTED_VALUE"""),"PetFix")</f>
        <v>PetFix</v>
      </c>
      <c r="C75" s="28" t="str">
        <f>IFERROR(__xludf.DUMMYFUNCTION("""COMPUTED_VALUE"""),"Anti-Servikal 4 Ayaklı Kedi ve Köpek Mama &amp; Su Kabı")</f>
        <v>Anti-Servikal 4 Ayaklı Kedi ve Köpek Mama &amp; Su Kabı</v>
      </c>
      <c r="D75" s="14">
        <f>IFERROR(__xludf.DUMMYFUNCTION("""COMPUTED_VALUE"""),489.0)</f>
        <v>489</v>
      </c>
      <c r="E75" s="14">
        <f t="array" ref="E75">IF($A75="","",IFERROR($D75*IF($D75&gt;=INDEX('Komisyon Tarifesi'!$I$2:$I$1000,MATCH($A75,'Komisyon Tarifesi'!$B$2:$B$1000,0)),INDEX('Komisyon Tarifesi'!$O$2:$O$1000,MATCH($A75,'Komisyon Tarifesi'!$B$2:$B$1000,0)),IF($D75&gt;=INDEX('Komisyon Tarifesi'!$K$2:$K$1000,MATCH($A75,'Komisyon Tarifesi'!$B$2:$B$1000,0)),INDEX('Komisyon Tarifesi'!$P$2:$P$1000,MATCH($A75,'Komisyon Tarifesi'!$B$2:$B$1000,0)),IF($D75&gt;=INDEX('Komisyon Tarifesi'!$M$2:$M$1000,MATCH($A75,'Komisyon Tarifesi'!$B$2:$B$1000,0)),INDEX('Komisyon Tarifesi'!$Q$2:$Q$1000,MATCH($A75,'Komisyon Tarifesi'!$B$2:$B$1000,0)),INDEX('Komisyon Tarifesi'!$R$2:$R$1000,MATCH($A75,'Komisyon Tarifesi'!$B$2:$B$1000,0)))))/100,IFERROR(IF(VLOOKUP($A75,Products!$A$2:$W$1000,21,0)&lt;&gt;"",$D75*VLOOKUP($A75,Products!$A$2:$W$1000,21,0)/100,""),"")))</f>
        <v>97.8</v>
      </c>
      <c r="F75" s="14">
        <f t="array" ref="F75">IF($A75="","",IFERROR(IF(INDEX('Maliyet Giris'!$G$2:$G$550,MATCH($A75,'Maliyet Giris'!$A$2:$A$550,0))="","",IF(INDEX('Maliyet Giris'!$G$2:$G$550,MATCH($A75,'Maliyet Giris'!$A$2:$A$550,0))&lt;=2,86.4,IF(INDEX('Maliyet Giris'!$G$2:$G$550,MATCH($A75,'Maliyet Giris'!$A$2:$A$550,0))&lt;=3,90,IF(INDEX('Maliyet Giris'!$G$2:$G$550,MATCH($A75,'Maliyet Giris'!$A$2:$A$550,0))&lt;=5,102,IF(INDEX('Maliyet Giris'!$G$2:$G$550,MATCH($A75,'Maliyet Giris'!$A$2:$A$550,0))&lt;=10,159.74,IF(INDEX('Maliyet Giris'!$G$2:$G$550,MATCH($A75,'Maliyet Giris'!$A$2:$A$550,0))&lt;=15,187.5,IF(INDEX('Maliyet Giris'!$G$2:$G$550,MATCH($A75,'Maliyet Giris'!$A$2:$A$550,0))&lt;=20,225,299))))))),""))</f>
        <v>86.4</v>
      </c>
      <c r="G75" s="14">
        <f t="array" ref="G75">IF($A75="","",IFERROR(INDEX('Maliyet Giris'!$F$2:$F$550,MATCH($A75,'Maliyet Giris'!$A$2:$A$550,0)),""))</f>
        <v>130</v>
      </c>
      <c r="H75" s="14">
        <f t="shared" si="1"/>
        <v>13.19</v>
      </c>
      <c r="I75" s="14">
        <f t="shared" si="2"/>
        <v>4.075</v>
      </c>
      <c r="J75" s="14">
        <f t="shared" si="3"/>
        <v>26.935</v>
      </c>
      <c r="K75" s="14">
        <f t="shared" si="4"/>
        <v>130.6</v>
      </c>
      <c r="L75" s="15">
        <f t="shared" si="5"/>
        <v>0.2670756646</v>
      </c>
      <c r="M75" s="17" t="str">
        <f t="shared" si="6"/>
        <v>KÂRLI</v>
      </c>
      <c r="N75" s="17" t="str">
        <f t="shared" si="7"/>
        <v/>
      </c>
      <c r="O75" s="17">
        <f t="array" ref="O75">IF($A75="","",IFERROR(INDEX('Maliyet Giris'!$G$2:$G$550,MATCH($A75,'Maliyet Giris'!$A$2:$A$550,0)),""))</f>
        <v>1</v>
      </c>
      <c r="P75" s="17" t="str">
        <f t="shared" si="8"/>
        <v/>
      </c>
      <c r="Q75" s="17" t="str">
        <f t="shared" si="9"/>
        <v/>
      </c>
      <c r="R75" s="14">
        <f t="shared" si="10"/>
        <v>311.6951031</v>
      </c>
      <c r="S75" s="14">
        <f t="shared" si="11"/>
        <v>177.3048969</v>
      </c>
      <c r="T75" s="17" t="str">
        <f t="shared" si="12"/>
        <v>ÇOK KÂRLI</v>
      </c>
      <c r="U75" s="17" t="str">
        <f t="shared" si="13"/>
        <v>Stok ve BuyBox takibini artır</v>
      </c>
    </row>
    <row r="76">
      <c r="A76" s="2">
        <f>IFERROR(__xludf.DUMMYFUNCTION("""COMPUTED_VALUE"""),6.923632570005E12)</f>
        <v>6923632570005</v>
      </c>
      <c r="B76" s="17" t="str">
        <f>IFERROR(__xludf.DUMMYFUNCTION("""COMPUTED_VALUE"""),"PetFix")</f>
        <v>PetFix</v>
      </c>
      <c r="C76" s="28" t="str">
        <f>IFERROR(__xludf.DUMMYFUNCTION("""COMPUTED_VALUE"""),"Anti-Servikal 4 Ayaklı Kedi ve Köpek Mama &amp; Su Kabı")</f>
        <v>Anti-Servikal 4 Ayaklı Kedi ve Köpek Mama &amp; Su Kabı</v>
      </c>
      <c r="D76" s="14">
        <f>IFERROR(__xludf.DUMMYFUNCTION("""COMPUTED_VALUE"""),472.0)</f>
        <v>472</v>
      </c>
      <c r="E76" s="14">
        <f t="array" ref="E76">IF($A76="","",IFERROR($D76*IF($D76&gt;=INDEX('Komisyon Tarifesi'!$I$2:$I$1000,MATCH($A76,'Komisyon Tarifesi'!$B$2:$B$1000,0)),INDEX('Komisyon Tarifesi'!$O$2:$O$1000,MATCH($A76,'Komisyon Tarifesi'!$B$2:$B$1000,0)),IF($D76&gt;=INDEX('Komisyon Tarifesi'!$K$2:$K$1000,MATCH($A76,'Komisyon Tarifesi'!$B$2:$B$1000,0)),INDEX('Komisyon Tarifesi'!$P$2:$P$1000,MATCH($A76,'Komisyon Tarifesi'!$B$2:$B$1000,0)),IF($D76&gt;=INDEX('Komisyon Tarifesi'!$M$2:$M$1000,MATCH($A76,'Komisyon Tarifesi'!$B$2:$B$1000,0)),INDEX('Komisyon Tarifesi'!$Q$2:$Q$1000,MATCH($A76,'Komisyon Tarifesi'!$B$2:$B$1000,0)),INDEX('Komisyon Tarifesi'!$R$2:$R$1000,MATCH($A76,'Komisyon Tarifesi'!$B$2:$B$1000,0)))))/100,IFERROR(IF(VLOOKUP($A76,Products!$A$2:$W$1000,21,0)&lt;&gt;"",$D76*VLOOKUP($A76,Products!$A$2:$W$1000,21,0)/100,""),"")))</f>
        <v>94.4</v>
      </c>
      <c r="F76" s="14">
        <f t="array" ref="F76">IF($A76="","",IFERROR(IF(INDEX('Maliyet Giris'!$G$2:$G$550,MATCH($A76,'Maliyet Giris'!$A$2:$A$550,0))="","",IF(INDEX('Maliyet Giris'!$G$2:$G$550,MATCH($A76,'Maliyet Giris'!$A$2:$A$550,0))&lt;=2,86.4,IF(INDEX('Maliyet Giris'!$G$2:$G$550,MATCH($A76,'Maliyet Giris'!$A$2:$A$550,0))&lt;=3,90,IF(INDEX('Maliyet Giris'!$G$2:$G$550,MATCH($A76,'Maliyet Giris'!$A$2:$A$550,0))&lt;=5,102,IF(INDEX('Maliyet Giris'!$G$2:$G$550,MATCH($A76,'Maliyet Giris'!$A$2:$A$550,0))&lt;=10,159.74,IF(INDEX('Maliyet Giris'!$G$2:$G$550,MATCH($A76,'Maliyet Giris'!$A$2:$A$550,0))&lt;=15,187.5,IF(INDEX('Maliyet Giris'!$G$2:$G$550,MATCH($A76,'Maliyet Giris'!$A$2:$A$550,0))&lt;=20,225,299))))))),""))</f>
        <v>86.4</v>
      </c>
      <c r="G76" s="14">
        <f t="array" ref="G76">IF($A76="","",IFERROR(INDEX('Maliyet Giris'!$F$2:$F$550,MATCH($A76,'Maliyet Giris'!$A$2:$A$550,0)),""))</f>
        <v>130</v>
      </c>
      <c r="H76" s="14">
        <f t="shared" si="1"/>
        <v>13.19</v>
      </c>
      <c r="I76" s="14">
        <f t="shared" si="2"/>
        <v>3.933333333</v>
      </c>
      <c r="J76" s="14">
        <f t="shared" si="3"/>
        <v>24.66833333</v>
      </c>
      <c r="K76" s="14">
        <f t="shared" si="4"/>
        <v>119.4083333</v>
      </c>
      <c r="L76" s="15">
        <f t="shared" si="5"/>
        <v>0.2529837571</v>
      </c>
      <c r="M76" s="17" t="str">
        <f t="shared" si="6"/>
        <v>KÂRLI</v>
      </c>
      <c r="N76" s="17" t="str">
        <f t="shared" si="7"/>
        <v/>
      </c>
      <c r="O76" s="17">
        <f t="array" ref="O76">IF($A76="","",IFERROR(INDEX('Maliyet Giris'!$G$2:$G$550,MATCH($A76,'Maliyet Giris'!$A$2:$A$550,0)),""))</f>
        <v>1</v>
      </c>
      <c r="P76" s="17" t="str">
        <f t="shared" si="8"/>
        <v/>
      </c>
      <c r="Q76" s="17" t="str">
        <f t="shared" si="9"/>
        <v/>
      </c>
      <c r="R76" s="14">
        <f t="shared" si="10"/>
        <v>310.5070162</v>
      </c>
      <c r="S76" s="14">
        <f t="shared" si="11"/>
        <v>161.4929838</v>
      </c>
      <c r="T76" s="17" t="str">
        <f t="shared" si="12"/>
        <v>ÇOK KÂRLI</v>
      </c>
      <c r="U76" s="17" t="str">
        <f t="shared" si="13"/>
        <v>Stok ve BuyBox takibini artır</v>
      </c>
    </row>
    <row r="77">
      <c r="A77" s="2" t="str">
        <f>IFERROR(__xludf.DUMMYFUNCTION("""COMPUTED_VALUE"""),"TYBYANYA0A46XIAU46")</f>
        <v>TYBYANYA0A46XIAU46</v>
      </c>
      <c r="B77" s="17" t="str">
        <f>IFERROR(__xludf.DUMMYFUNCTION("""COMPUTED_VALUE"""),"Wanpy")</f>
        <v>Wanpy</v>
      </c>
      <c r="C77" s="28" t="str">
        <f>IFERROR(__xludf.DUMMYFUNCTION("""COMPUTED_VALUE"""),"Krema Kedi Ödül Maması 14gr (40 Adet) (Karışık Çeşitli)")</f>
        <v>Krema Kedi Ödül Maması 14gr (40 Adet) (Karışık Çeşitli)</v>
      </c>
      <c r="D77" s="14">
        <f>IFERROR(__xludf.DUMMYFUNCTION("""COMPUTED_VALUE"""),468.0)</f>
        <v>468</v>
      </c>
      <c r="E77" s="14">
        <f t="array" ref="E77">IF($A77="","",IFERROR($D77*IF($D77&gt;=INDEX('Komisyon Tarifesi'!$I$2:$I$1000,MATCH($A77,'Komisyon Tarifesi'!$B$2:$B$1000,0)),INDEX('Komisyon Tarifesi'!$O$2:$O$1000,MATCH($A77,'Komisyon Tarifesi'!$B$2:$B$1000,0)),IF($D77&gt;=INDEX('Komisyon Tarifesi'!$K$2:$K$1000,MATCH($A77,'Komisyon Tarifesi'!$B$2:$B$1000,0)),INDEX('Komisyon Tarifesi'!$P$2:$P$1000,MATCH($A77,'Komisyon Tarifesi'!$B$2:$B$1000,0)),IF($D77&gt;=INDEX('Komisyon Tarifesi'!$M$2:$M$1000,MATCH($A77,'Komisyon Tarifesi'!$B$2:$B$1000,0)),INDEX('Komisyon Tarifesi'!$Q$2:$Q$1000,MATCH($A77,'Komisyon Tarifesi'!$B$2:$B$1000,0)),INDEX('Komisyon Tarifesi'!$R$2:$R$1000,MATCH($A77,'Komisyon Tarifesi'!$B$2:$B$1000,0)))))/100,IFERROR(IF(VLOOKUP($A77,Products!$A$2:$W$1000,21,0)&lt;&gt;"",$D77*VLOOKUP($A77,Products!$A$2:$W$1000,21,0)/100,""),"")))</f>
        <v>58.5</v>
      </c>
      <c r="F77" s="14">
        <f t="array" ref="F77">IF($A77="","",IFERROR(IF(INDEX('Maliyet Giris'!$G$2:$G$550,MATCH($A77,'Maliyet Giris'!$A$2:$A$550,0))="","",IF(INDEX('Maliyet Giris'!$G$2:$G$550,MATCH($A77,'Maliyet Giris'!$A$2:$A$550,0))&lt;=2,86.4,IF(INDEX('Maliyet Giris'!$G$2:$G$550,MATCH($A77,'Maliyet Giris'!$A$2:$A$550,0))&lt;=3,90,IF(INDEX('Maliyet Giris'!$G$2:$G$550,MATCH($A77,'Maliyet Giris'!$A$2:$A$550,0))&lt;=5,102,IF(INDEX('Maliyet Giris'!$G$2:$G$550,MATCH($A77,'Maliyet Giris'!$A$2:$A$550,0))&lt;=10,159.74,IF(INDEX('Maliyet Giris'!$G$2:$G$550,MATCH($A77,'Maliyet Giris'!$A$2:$A$550,0))&lt;=15,187.5,IF(INDEX('Maliyet Giris'!$G$2:$G$550,MATCH($A77,'Maliyet Giris'!$A$2:$A$550,0))&lt;=20,225,299))))))),""))</f>
        <v>86.4</v>
      </c>
      <c r="G77" s="14">
        <f t="array" ref="G77">IF($A77="","",IFERROR(INDEX('Maliyet Giris'!$F$2:$F$550,MATCH($A77,'Maliyet Giris'!$A$2:$A$550,0)),""))</f>
        <v>1</v>
      </c>
      <c r="H77" s="14">
        <f t="shared" si="1"/>
        <v>13.19</v>
      </c>
      <c r="I77" s="14">
        <f t="shared" si="2"/>
        <v>3.9</v>
      </c>
      <c r="J77" s="14">
        <f t="shared" si="3"/>
        <v>51.485</v>
      </c>
      <c r="K77" s="14">
        <f t="shared" si="4"/>
        <v>253.525</v>
      </c>
      <c r="L77" s="15">
        <f t="shared" si="5"/>
        <v>0.5417200855</v>
      </c>
      <c r="M77" s="17" t="str">
        <f t="shared" si="6"/>
        <v>KÂRLI</v>
      </c>
      <c r="N77" s="17" t="str">
        <f t="shared" si="7"/>
        <v/>
      </c>
      <c r="O77" s="17">
        <f t="array" ref="O77">IF($A77="","",IFERROR(INDEX('Maliyet Giris'!$G$2:$G$550,MATCH($A77,'Maliyet Giris'!$A$2:$A$550,0)),""))</f>
        <v>0.5</v>
      </c>
      <c r="P77" s="17" t="str">
        <f t="shared" si="8"/>
        <v/>
      </c>
      <c r="Q77" s="17" t="str">
        <f t="shared" si="9"/>
        <v/>
      </c>
      <c r="R77" s="14">
        <f t="shared" si="10"/>
        <v>132.9401445</v>
      </c>
      <c r="S77" s="14">
        <f t="shared" si="11"/>
        <v>335.0598555</v>
      </c>
      <c r="T77" s="17" t="str">
        <f t="shared" si="12"/>
        <v>ÇOK KÂRLI</v>
      </c>
      <c r="U77" s="17" t="str">
        <f t="shared" si="13"/>
        <v>Stok ve BuyBox takibini artır</v>
      </c>
    </row>
    <row r="78">
      <c r="A78" s="2">
        <f>IFERROR(__xludf.DUMMYFUNCTION("""COMPUTED_VALUE"""),6.923632570121E12)</f>
        <v>6923632570121</v>
      </c>
      <c r="B78" s="17" t="str">
        <f>IFERROR(__xludf.DUMMYFUNCTION("""COMPUTED_VALUE"""),"PetFix")</f>
        <v>PetFix</v>
      </c>
      <c r="C78" s="28" t="str">
        <f>IFERROR(__xludf.DUMMYFUNCTION("""COMPUTED_VALUE"""),"2'li Pabuçlu , Kedi ve Köpek Mama ve Su Kabı")</f>
        <v>2'li Pabuçlu , Kedi ve Köpek Mama ve Su Kabı</v>
      </c>
      <c r="D78" s="14">
        <f>IFERROR(__xludf.DUMMYFUNCTION("""COMPUTED_VALUE"""),852.0)</f>
        <v>852</v>
      </c>
      <c r="E78" s="14">
        <f t="array" ref="E78">IF($A78="","",IFERROR($D78*IF($D78&gt;=INDEX('Komisyon Tarifesi'!$I$2:$I$1000,MATCH($A78,'Komisyon Tarifesi'!$B$2:$B$1000,0)),INDEX('Komisyon Tarifesi'!$O$2:$O$1000,MATCH($A78,'Komisyon Tarifesi'!$B$2:$B$1000,0)),IF($D78&gt;=INDEX('Komisyon Tarifesi'!$K$2:$K$1000,MATCH($A78,'Komisyon Tarifesi'!$B$2:$B$1000,0)),INDEX('Komisyon Tarifesi'!$P$2:$P$1000,MATCH($A78,'Komisyon Tarifesi'!$B$2:$B$1000,0)),IF($D78&gt;=INDEX('Komisyon Tarifesi'!$M$2:$M$1000,MATCH($A78,'Komisyon Tarifesi'!$B$2:$B$1000,0)),INDEX('Komisyon Tarifesi'!$Q$2:$Q$1000,MATCH($A78,'Komisyon Tarifesi'!$B$2:$B$1000,0)),INDEX('Komisyon Tarifesi'!$R$2:$R$1000,MATCH($A78,'Komisyon Tarifesi'!$B$2:$B$1000,0)))))/100,IFERROR(IF(VLOOKUP($A78,Products!$A$2:$W$1000,21,0)&lt;&gt;"",$D78*VLOOKUP($A78,Products!$A$2:$W$1000,21,0)/100,""),"")))</f>
        <v>161.88</v>
      </c>
      <c r="F78" s="14">
        <f t="array" ref="F78">IF($A78="","",IFERROR(IF(INDEX('Maliyet Giris'!$G$2:$G$550,MATCH($A78,'Maliyet Giris'!$A$2:$A$550,0))="","",IF(INDEX('Maliyet Giris'!$G$2:$G$550,MATCH($A78,'Maliyet Giris'!$A$2:$A$550,0))&lt;=2,86.4,IF(INDEX('Maliyet Giris'!$G$2:$G$550,MATCH($A78,'Maliyet Giris'!$A$2:$A$550,0))&lt;=3,90,IF(INDEX('Maliyet Giris'!$G$2:$G$550,MATCH($A78,'Maliyet Giris'!$A$2:$A$550,0))&lt;=5,102,IF(INDEX('Maliyet Giris'!$G$2:$G$550,MATCH($A78,'Maliyet Giris'!$A$2:$A$550,0))&lt;=10,159.74,IF(INDEX('Maliyet Giris'!$G$2:$G$550,MATCH($A78,'Maliyet Giris'!$A$2:$A$550,0))&lt;=15,187.5,IF(INDEX('Maliyet Giris'!$G$2:$G$550,MATCH($A78,'Maliyet Giris'!$A$2:$A$550,0))&lt;=20,225,299))))))),""))</f>
        <v>86.4</v>
      </c>
      <c r="G78" s="14">
        <f t="array" ref="G78">IF($A78="","",IFERROR(INDEX('Maliyet Giris'!$F$2:$F$550,MATCH($A78,'Maliyet Giris'!$A$2:$A$550,0)),""))</f>
        <v>300</v>
      </c>
      <c r="H78" s="14">
        <f t="shared" si="1"/>
        <v>13.19</v>
      </c>
      <c r="I78" s="14">
        <f t="shared" si="2"/>
        <v>7.1</v>
      </c>
      <c r="J78" s="14">
        <f t="shared" si="3"/>
        <v>48.42166667</v>
      </c>
      <c r="K78" s="14">
        <f t="shared" si="4"/>
        <v>235.0083333</v>
      </c>
      <c r="L78" s="15">
        <f t="shared" si="5"/>
        <v>0.2758313772</v>
      </c>
      <c r="M78" s="17" t="str">
        <f t="shared" si="6"/>
        <v>KÂRLI</v>
      </c>
      <c r="N78" s="17" t="str">
        <f t="shared" si="7"/>
        <v/>
      </c>
      <c r="O78" s="17">
        <f t="array" ref="O78">IF($A78="","",IFERROR(INDEX('Maliyet Giris'!$G$2:$G$550,MATCH($A78,'Maliyet Giris'!$A$2:$A$550,0)),""))</f>
        <v>1</v>
      </c>
      <c r="P78" s="17" t="str">
        <f t="shared" si="8"/>
        <v/>
      </c>
      <c r="Q78" s="17" t="str">
        <f t="shared" si="9"/>
        <v/>
      </c>
      <c r="R78" s="14">
        <f t="shared" si="10"/>
        <v>536.4819127</v>
      </c>
      <c r="S78" s="14">
        <f t="shared" si="11"/>
        <v>315.5180873</v>
      </c>
      <c r="T78" s="17" t="str">
        <f t="shared" si="12"/>
        <v>ÇOK KÂRLI</v>
      </c>
      <c r="U78" s="17" t="str">
        <f t="shared" si="13"/>
        <v>Stok ve BuyBox takibini artır</v>
      </c>
    </row>
    <row r="79">
      <c r="A79" s="2">
        <f>IFERROR(__xludf.DUMMYFUNCTION("""COMPUTED_VALUE"""),6.927749871859E12)</f>
        <v>6927749871859</v>
      </c>
      <c r="B79" s="17" t="str">
        <f>IFERROR(__xludf.DUMMYFUNCTION("""COMPUTED_VALUE"""),"Wanpy")</f>
        <v>Wanpy</v>
      </c>
      <c r="C79" s="28" t="str">
        <f>IFERROR(__xludf.DUMMYFUNCTION("""COMPUTED_VALUE"""),"4 Lezzet Karışık Krema Kedi Ödülü 50*14Gr")</f>
        <v>4 Lezzet Karışık Krema Kedi Ödülü 50*14Gr</v>
      </c>
      <c r="D79" s="14">
        <f>IFERROR(__xludf.DUMMYFUNCTION("""COMPUTED_VALUE"""),549.0)</f>
        <v>549</v>
      </c>
      <c r="E79" s="14">
        <f t="array" ref="E79">IF($A79="","",IFERROR($D79*IF($D79&gt;=INDEX('Komisyon Tarifesi'!$I$2:$I$1000,MATCH($A79,'Komisyon Tarifesi'!$B$2:$B$1000,0)),INDEX('Komisyon Tarifesi'!$O$2:$O$1000,MATCH($A79,'Komisyon Tarifesi'!$B$2:$B$1000,0)),IF($D79&gt;=INDEX('Komisyon Tarifesi'!$K$2:$K$1000,MATCH($A79,'Komisyon Tarifesi'!$B$2:$B$1000,0)),INDEX('Komisyon Tarifesi'!$P$2:$P$1000,MATCH($A79,'Komisyon Tarifesi'!$B$2:$B$1000,0)),IF($D79&gt;=INDEX('Komisyon Tarifesi'!$M$2:$M$1000,MATCH($A79,'Komisyon Tarifesi'!$B$2:$B$1000,0)),INDEX('Komisyon Tarifesi'!$Q$2:$Q$1000,MATCH($A79,'Komisyon Tarifesi'!$B$2:$B$1000,0)),INDEX('Komisyon Tarifesi'!$R$2:$R$1000,MATCH($A79,'Komisyon Tarifesi'!$B$2:$B$1000,0)))))/100,IFERROR(IF(VLOOKUP($A79,Products!$A$2:$W$1000,21,0)&lt;&gt;"",$D79*VLOOKUP($A79,Products!$A$2:$W$1000,21,0)/100,""),"")))</f>
        <v>58.743</v>
      </c>
      <c r="F79" s="14">
        <f t="array" ref="F79">IF($A79="","",IFERROR(IF(INDEX('Maliyet Giris'!$G$2:$G$550,MATCH($A79,'Maliyet Giris'!$A$2:$A$550,0))="","",IF(INDEX('Maliyet Giris'!$G$2:$G$550,MATCH($A79,'Maliyet Giris'!$A$2:$A$550,0))&lt;=2,86.4,IF(INDEX('Maliyet Giris'!$G$2:$G$550,MATCH($A79,'Maliyet Giris'!$A$2:$A$550,0))&lt;=3,90,IF(INDEX('Maliyet Giris'!$G$2:$G$550,MATCH($A79,'Maliyet Giris'!$A$2:$A$550,0))&lt;=5,102,IF(INDEX('Maliyet Giris'!$G$2:$G$550,MATCH($A79,'Maliyet Giris'!$A$2:$A$550,0))&lt;=10,159.74,IF(INDEX('Maliyet Giris'!$G$2:$G$550,MATCH($A79,'Maliyet Giris'!$A$2:$A$550,0))&lt;=15,187.5,IF(INDEX('Maliyet Giris'!$G$2:$G$550,MATCH($A79,'Maliyet Giris'!$A$2:$A$550,0))&lt;=20,225,299))))))),""))</f>
        <v>86.4</v>
      </c>
      <c r="G79" s="14">
        <f t="array" ref="G79">IF($A79="","",IFERROR(INDEX('Maliyet Giris'!$F$2:$F$550,MATCH($A79,'Maliyet Giris'!$A$2:$A$550,0)),""))</f>
        <v>393.7</v>
      </c>
      <c r="H79" s="14">
        <f t="shared" si="1"/>
        <v>13.19</v>
      </c>
      <c r="I79" s="14">
        <f t="shared" si="2"/>
        <v>4.575</v>
      </c>
      <c r="J79" s="14">
        <f t="shared" si="3"/>
        <v>0</v>
      </c>
      <c r="K79" s="14">
        <f t="shared" si="4"/>
        <v>-7.608</v>
      </c>
      <c r="L79" s="15">
        <f t="shared" si="5"/>
        <v>-0.0138579235</v>
      </c>
      <c r="M79" s="17" t="str">
        <f t="shared" si="6"/>
        <v>ZARAR</v>
      </c>
      <c r="N79" s="17" t="str">
        <f t="shared" si="7"/>
        <v/>
      </c>
      <c r="O79" s="17">
        <f t="array" ref="O79">IF($A79="","",IFERROR(INDEX('Maliyet Giris'!$G$2:$G$550,MATCH($A79,'Maliyet Giris'!$A$2:$A$550,0)),""))</f>
        <v>0.5</v>
      </c>
      <c r="P79" s="17" t="str">
        <f t="shared" si="8"/>
        <v/>
      </c>
      <c r="Q79" s="17" t="str">
        <f t="shared" si="9"/>
        <v/>
      </c>
      <c r="R79" s="14">
        <f t="shared" si="10"/>
        <v>557.5996392</v>
      </c>
      <c r="S79" s="14">
        <f t="shared" si="11"/>
        <v>-8.599639186</v>
      </c>
      <c r="T79" s="17" t="str">
        <f t="shared" si="12"/>
        <v>ZARAR</v>
      </c>
      <c r="U79" s="17" t="str">
        <f t="shared" si="13"/>
        <v>Fiyat, maliyet veya kampanya kontrol et</v>
      </c>
    </row>
    <row r="80">
      <c r="A80" s="2">
        <f>IFERROR(__xludf.DUMMYFUNCTION("""COMPUTED_VALUE"""),6.927749871187E12)</f>
        <v>6927749871187</v>
      </c>
      <c r="B80" s="17" t="str">
        <f>IFERROR(__xludf.DUMMYFUNCTION("""COMPUTED_VALUE"""),"Wanpy")</f>
        <v>Wanpy</v>
      </c>
      <c r="C80" s="28" t="str">
        <f>IFERROR(__xludf.DUMMYFUNCTION("""COMPUTED_VALUE"""),"Krema Kedi Ödül Maması 14gr (25 Adet) (Karışık Çeşitli)")</f>
        <v>Krema Kedi Ödül Maması 14gr (25 Adet) (Karışık Çeşitli)</v>
      </c>
      <c r="D80" s="14">
        <f>IFERROR(__xludf.DUMMYFUNCTION("""COMPUTED_VALUE"""),324.9)</f>
        <v>324.9</v>
      </c>
      <c r="E80" s="14">
        <f t="array" ref="E80">IF($A80="","",IFERROR($D80*IF($D80&gt;=INDEX('Komisyon Tarifesi'!$I$2:$I$1000,MATCH($A80,'Komisyon Tarifesi'!$B$2:$B$1000,0)),INDEX('Komisyon Tarifesi'!$O$2:$O$1000,MATCH($A80,'Komisyon Tarifesi'!$B$2:$B$1000,0)),IF($D80&gt;=INDEX('Komisyon Tarifesi'!$K$2:$K$1000,MATCH($A80,'Komisyon Tarifesi'!$B$2:$B$1000,0)),INDEX('Komisyon Tarifesi'!$P$2:$P$1000,MATCH($A80,'Komisyon Tarifesi'!$B$2:$B$1000,0)),IF($D80&gt;=INDEX('Komisyon Tarifesi'!$M$2:$M$1000,MATCH($A80,'Komisyon Tarifesi'!$B$2:$B$1000,0)),INDEX('Komisyon Tarifesi'!$Q$2:$Q$1000,MATCH($A80,'Komisyon Tarifesi'!$B$2:$B$1000,0)),INDEX('Komisyon Tarifesi'!$R$2:$R$1000,MATCH($A80,'Komisyon Tarifesi'!$B$2:$B$1000,0)))))/100,IFERROR(IF(VLOOKUP($A80,Products!$A$2:$W$1000,21,0)&lt;&gt;"",$D80*VLOOKUP($A80,Products!$A$2:$W$1000,21,0)/100,""),"")))</f>
        <v>26.9667</v>
      </c>
      <c r="F80" s="14">
        <f t="array" ref="F80">IF($A80="","",IFERROR(IF(INDEX('Maliyet Giris'!$G$2:$G$550,MATCH($A80,'Maliyet Giris'!$A$2:$A$550,0))="","",IF(INDEX('Maliyet Giris'!$G$2:$G$550,MATCH($A80,'Maliyet Giris'!$A$2:$A$550,0))&lt;=2,86.4,IF(INDEX('Maliyet Giris'!$G$2:$G$550,MATCH($A80,'Maliyet Giris'!$A$2:$A$550,0))&lt;=3,90,IF(INDEX('Maliyet Giris'!$G$2:$G$550,MATCH($A80,'Maliyet Giris'!$A$2:$A$550,0))&lt;=5,102,IF(INDEX('Maliyet Giris'!$G$2:$G$550,MATCH($A80,'Maliyet Giris'!$A$2:$A$550,0))&lt;=10,159.74,IF(INDEX('Maliyet Giris'!$G$2:$G$550,MATCH($A80,'Maliyet Giris'!$A$2:$A$550,0))&lt;=15,187.5,IF(INDEX('Maliyet Giris'!$G$2:$G$550,MATCH($A80,'Maliyet Giris'!$A$2:$A$550,0))&lt;=20,225,299))))))),""))</f>
        <v>86.4</v>
      </c>
      <c r="G80" s="14">
        <f t="array" ref="G80">IF($A80="","",IFERROR(INDEX('Maliyet Giris'!$F$2:$F$550,MATCH($A80,'Maliyet Giris'!$A$2:$A$550,0)),""))</f>
        <v>196.5</v>
      </c>
      <c r="H80" s="14">
        <f t="shared" si="1"/>
        <v>13.19</v>
      </c>
      <c r="I80" s="14">
        <f t="shared" si="2"/>
        <v>2.7075</v>
      </c>
      <c r="J80" s="14">
        <f t="shared" si="3"/>
        <v>0.3072166667</v>
      </c>
      <c r="K80" s="14">
        <f t="shared" si="4"/>
        <v>-1.171416667</v>
      </c>
      <c r="L80" s="15">
        <f t="shared" si="5"/>
        <v>-0.003605468349</v>
      </c>
      <c r="M80" s="17" t="str">
        <f t="shared" si="6"/>
        <v>ZARAR</v>
      </c>
      <c r="N80" s="17" t="str">
        <f t="shared" si="7"/>
        <v/>
      </c>
      <c r="O80" s="17">
        <f t="array" ref="O80">IF($A80="","",IFERROR(INDEX('Maliyet Giris'!$G$2:$G$550,MATCH($A80,'Maliyet Giris'!$A$2:$A$550,0)),""))</f>
        <v>0.5</v>
      </c>
      <c r="P80" s="17" t="str">
        <f t="shared" si="8"/>
        <v/>
      </c>
      <c r="Q80" s="17" t="str">
        <f t="shared" si="9"/>
        <v/>
      </c>
      <c r="R80" s="14">
        <f t="shared" si="10"/>
        <v>326.1903831</v>
      </c>
      <c r="S80" s="14">
        <f t="shared" si="11"/>
        <v>-1.290383075</v>
      </c>
      <c r="T80" s="17" t="str">
        <f t="shared" si="12"/>
        <v>ZARAR</v>
      </c>
      <c r="U80" s="17" t="str">
        <f t="shared" si="13"/>
        <v>Fiyat, maliyet veya kampanya kontrol et</v>
      </c>
    </row>
    <row r="81">
      <c r="A81" s="2" t="str">
        <f>IFERROR(__xludf.DUMMYFUNCTION("""COMPUTED_VALUE"""),"KLSWK")</f>
        <v>KLSWK</v>
      </c>
      <c r="B81" s="17" t="str">
        <f>IFERROR(__xludf.DUMMYFUNCTION("""COMPUTED_VALUE"""),"Wanpy")</f>
        <v>Wanpy</v>
      </c>
      <c r="C81" s="28" t="str">
        <f>IFERROR(__xludf.DUMMYFUNCTION("""COMPUTED_VALUE"""),"Krema Kedi Ödül Maması 14gr (25 Adet) (Karışık Çeşitli)")</f>
        <v>Krema Kedi Ödül Maması 14gr (25 Adet) (Karışık Çeşitli)</v>
      </c>
      <c r="D81" s="14">
        <f>IFERROR(__xludf.DUMMYFUNCTION("""COMPUTED_VALUE"""),333.85)</f>
        <v>333.85</v>
      </c>
      <c r="E81" s="14">
        <f t="array" ref="E81">IF($A81="","",IFERROR($D81*IF($D81&gt;=INDEX('Komisyon Tarifesi'!$I$2:$I$1000,MATCH($A81,'Komisyon Tarifesi'!$B$2:$B$1000,0)),INDEX('Komisyon Tarifesi'!$O$2:$O$1000,MATCH($A81,'Komisyon Tarifesi'!$B$2:$B$1000,0)),IF($D81&gt;=INDEX('Komisyon Tarifesi'!$K$2:$K$1000,MATCH($A81,'Komisyon Tarifesi'!$B$2:$B$1000,0)),INDEX('Komisyon Tarifesi'!$P$2:$P$1000,MATCH($A81,'Komisyon Tarifesi'!$B$2:$B$1000,0)),IF($D81&gt;=INDEX('Komisyon Tarifesi'!$M$2:$M$1000,MATCH($A81,'Komisyon Tarifesi'!$B$2:$B$1000,0)),INDEX('Komisyon Tarifesi'!$Q$2:$Q$1000,MATCH($A81,'Komisyon Tarifesi'!$B$2:$B$1000,0)),INDEX('Komisyon Tarifesi'!$R$2:$R$1000,MATCH($A81,'Komisyon Tarifesi'!$B$2:$B$1000,0)))))/100,IFERROR(IF(VLOOKUP($A81,Products!$A$2:$W$1000,21,0)&lt;&gt;"",$D81*VLOOKUP($A81,Products!$A$2:$W$1000,21,0)/100,""),"")))</f>
        <v>36.7235</v>
      </c>
      <c r="F81" s="14">
        <f t="array" ref="F81">IF($A81="","",IFERROR(IF(INDEX('Maliyet Giris'!$G$2:$G$550,MATCH($A81,'Maliyet Giris'!$A$2:$A$550,0))="","",IF(INDEX('Maliyet Giris'!$G$2:$G$550,MATCH($A81,'Maliyet Giris'!$A$2:$A$550,0))&lt;=2,86.4,IF(INDEX('Maliyet Giris'!$G$2:$G$550,MATCH($A81,'Maliyet Giris'!$A$2:$A$550,0))&lt;=3,90,IF(INDEX('Maliyet Giris'!$G$2:$G$550,MATCH($A81,'Maliyet Giris'!$A$2:$A$550,0))&lt;=5,102,IF(INDEX('Maliyet Giris'!$G$2:$G$550,MATCH($A81,'Maliyet Giris'!$A$2:$A$550,0))&lt;=10,159.74,IF(INDEX('Maliyet Giris'!$G$2:$G$550,MATCH($A81,'Maliyet Giris'!$A$2:$A$550,0))&lt;=15,187.5,IF(INDEX('Maliyet Giris'!$G$2:$G$550,MATCH($A81,'Maliyet Giris'!$A$2:$A$550,0))&lt;=20,225,299))))))),""))</f>
        <v>86.4</v>
      </c>
      <c r="G81" s="14">
        <f t="array" ref="G81">IF($A81="","",IFERROR(INDEX('Maliyet Giris'!$F$2:$F$550,MATCH($A81,'Maliyet Giris'!$A$2:$A$550,0)),""))</f>
        <v>196.5</v>
      </c>
      <c r="H81" s="14">
        <f t="shared" si="1"/>
        <v>13.19</v>
      </c>
      <c r="I81" s="14">
        <f t="shared" si="2"/>
        <v>2.782083333</v>
      </c>
      <c r="J81" s="14">
        <f t="shared" si="3"/>
        <v>0.17275</v>
      </c>
      <c r="K81" s="14">
        <f t="shared" si="4"/>
        <v>-1.918333333</v>
      </c>
      <c r="L81" s="15">
        <f t="shared" si="5"/>
        <v>-0.005746093555</v>
      </c>
      <c r="M81" s="17" t="str">
        <f t="shared" si="6"/>
        <v>ZARAR</v>
      </c>
      <c r="N81" s="17" t="str">
        <f t="shared" si="7"/>
        <v/>
      </c>
      <c r="O81" s="17">
        <f t="array" ref="O81">IF($A81="","",IFERROR(INDEX('Maliyet Giris'!$G$2:$G$550,MATCH($A81,'Maliyet Giris'!$A$2:$A$550,0)),""))</f>
        <v>0.5</v>
      </c>
      <c r="P81" s="17" t="str">
        <f t="shared" si="8"/>
        <v/>
      </c>
      <c r="Q81" s="17" t="str">
        <f t="shared" si="9"/>
        <v/>
      </c>
      <c r="R81" s="14">
        <f t="shared" si="10"/>
        <v>336.026954</v>
      </c>
      <c r="S81" s="14">
        <f t="shared" si="11"/>
        <v>-2.176954009</v>
      </c>
      <c r="T81" s="17" t="str">
        <f t="shared" si="12"/>
        <v>ZARAR</v>
      </c>
      <c r="U81" s="17" t="str">
        <f t="shared" si="13"/>
        <v>Fiyat, maliyet veya kampanya kontrol et</v>
      </c>
    </row>
    <row r="82">
      <c r="A82" s="2" t="str">
        <f>IFERROR(__xludf.DUMMYFUNCTION("""COMPUTED_VALUE"""),"TYB5K0NQHY75CLFI61")</f>
        <v>TYB5K0NQHY75CLFI61</v>
      </c>
      <c r="B82" s="17" t="str">
        <f>IFERROR(__xludf.DUMMYFUNCTION("""COMPUTED_VALUE"""),"Wanpy")</f>
        <v>Wanpy</v>
      </c>
      <c r="C82" s="28" t="str">
        <f>IFERROR(__xludf.DUMMYFUNCTION("""COMPUTED_VALUE"""),"Krema Kedi Ödül Maması 14gr (30 Adet) (Karışık Çeşitli)")</f>
        <v>Krema Kedi Ödül Maması 14gr (30 Adet) (Karışık Çeşitli)</v>
      </c>
      <c r="D82" s="14">
        <f>IFERROR(__xludf.DUMMYFUNCTION("""COMPUTED_VALUE"""),333.1)</f>
        <v>333.1</v>
      </c>
      <c r="E82" s="14">
        <f t="array" ref="E82">IF($A82="","",IFERROR($D82*IF($D82&gt;=INDEX('Komisyon Tarifesi'!$I$2:$I$1000,MATCH($A82,'Komisyon Tarifesi'!$B$2:$B$1000,0)),INDEX('Komisyon Tarifesi'!$O$2:$O$1000,MATCH($A82,'Komisyon Tarifesi'!$B$2:$B$1000,0)),IF($D82&gt;=INDEX('Komisyon Tarifesi'!$K$2:$K$1000,MATCH($A82,'Komisyon Tarifesi'!$B$2:$B$1000,0)),INDEX('Komisyon Tarifesi'!$P$2:$P$1000,MATCH($A82,'Komisyon Tarifesi'!$B$2:$B$1000,0)),IF($D82&gt;=INDEX('Komisyon Tarifesi'!$M$2:$M$1000,MATCH($A82,'Komisyon Tarifesi'!$B$2:$B$1000,0)),INDEX('Komisyon Tarifesi'!$Q$2:$Q$1000,MATCH($A82,'Komisyon Tarifesi'!$B$2:$B$1000,0)),INDEX('Komisyon Tarifesi'!$R$2:$R$1000,MATCH($A82,'Komisyon Tarifesi'!$B$2:$B$1000,0)))))/100,IFERROR(IF(VLOOKUP($A82,Products!$A$2:$W$1000,21,0)&lt;&gt;"",$D82*VLOOKUP($A82,Products!$A$2:$W$1000,21,0)/100,""),"")))</f>
        <v>29.3128</v>
      </c>
      <c r="F82" s="14">
        <f t="array" ref="F82">IF($A82="","",IFERROR(IF(INDEX('Maliyet Giris'!$G$2:$G$550,MATCH($A82,'Maliyet Giris'!$A$2:$A$550,0))="","",IF(INDEX('Maliyet Giris'!$G$2:$G$550,MATCH($A82,'Maliyet Giris'!$A$2:$A$550,0))&lt;=2,86.4,IF(INDEX('Maliyet Giris'!$G$2:$G$550,MATCH($A82,'Maliyet Giris'!$A$2:$A$550,0))&lt;=3,90,IF(INDEX('Maliyet Giris'!$G$2:$G$550,MATCH($A82,'Maliyet Giris'!$A$2:$A$550,0))&lt;=5,102,IF(INDEX('Maliyet Giris'!$G$2:$G$550,MATCH($A82,'Maliyet Giris'!$A$2:$A$550,0))&lt;=10,159.74,IF(INDEX('Maliyet Giris'!$G$2:$G$550,MATCH($A82,'Maliyet Giris'!$A$2:$A$550,0))&lt;=15,187.5,IF(INDEX('Maliyet Giris'!$G$2:$G$550,MATCH($A82,'Maliyet Giris'!$A$2:$A$550,0))&lt;=20,225,299))))))),""))</f>
        <v>86.4</v>
      </c>
      <c r="G82" s="14">
        <f t="array" ref="G82">IF($A82="","",IFERROR(INDEX('Maliyet Giris'!$F$2:$F$550,MATCH($A82,'Maliyet Giris'!$A$2:$A$550,0)),""))</f>
        <v>235.8</v>
      </c>
      <c r="H82" s="14">
        <f t="shared" si="1"/>
        <v>13.19</v>
      </c>
      <c r="I82" s="14">
        <f t="shared" si="2"/>
        <v>2.775833333</v>
      </c>
      <c r="J82" s="14">
        <f t="shared" si="3"/>
        <v>0</v>
      </c>
      <c r="K82" s="14">
        <f t="shared" si="4"/>
        <v>-34.37863333</v>
      </c>
      <c r="L82" s="15">
        <f t="shared" si="5"/>
        <v>-0.1032081457</v>
      </c>
      <c r="M82" s="17" t="str">
        <f t="shared" si="6"/>
        <v>ZARAR</v>
      </c>
      <c r="N82" s="17" t="str">
        <f t="shared" si="7"/>
        <v/>
      </c>
      <c r="O82" s="17">
        <f t="array" ref="O82">IF($A82="","",IFERROR(INDEX('Maliyet Giris'!$G$2:$G$550,MATCH($A82,'Maliyet Giris'!$A$2:$A$550,0)),""))</f>
        <v>0.5</v>
      </c>
      <c r="P82" s="17" t="str">
        <f t="shared" si="8"/>
        <v/>
      </c>
      <c r="Q82" s="17" t="str">
        <f t="shared" si="9"/>
        <v/>
      </c>
      <c r="R82" s="14">
        <f t="shared" si="10"/>
        <v>371.1433526</v>
      </c>
      <c r="S82" s="14">
        <f t="shared" si="11"/>
        <v>-38.04335258</v>
      </c>
      <c r="T82" s="17" t="str">
        <f t="shared" si="12"/>
        <v>ZARAR</v>
      </c>
      <c r="U82" s="17" t="str">
        <f t="shared" si="13"/>
        <v>Fiyat, maliyet veya kampanya kontrol et</v>
      </c>
    </row>
    <row r="83">
      <c r="A83" s="2">
        <f>IFERROR(__xludf.DUMMYFUNCTION("""COMPUTED_VALUE"""),1.44586800733348E15)</f>
        <v>1.44587E+15</v>
      </c>
      <c r="B83" s="17" t="str">
        <f>IFERROR(__xludf.DUMMYFUNCTION("""COMPUTED_VALUE"""),"Wanpy")</f>
        <v>Wanpy</v>
      </c>
      <c r="C83" s="28" t="str">
        <f>IFERROR(__xludf.DUMMYFUNCTION("""COMPUTED_VALUE"""),"Kedi Sıvı Ödül Karma 25 Li X 4 Lü Eko Paket")</f>
        <v>Kedi Sıvı Ödül Karma 25 Li X 4 Lü Eko Paket</v>
      </c>
      <c r="D83" s="14">
        <f>IFERROR(__xludf.DUMMYFUNCTION("""COMPUTED_VALUE"""),1032.9)</f>
        <v>1032.9</v>
      </c>
      <c r="E83" s="14">
        <f t="array" ref="E83">IF($A83="","",IFERROR($D83*IF($D83&gt;=INDEX('Komisyon Tarifesi'!$I$2:$I$1000,MATCH($A83,'Komisyon Tarifesi'!$B$2:$B$1000,0)),INDEX('Komisyon Tarifesi'!$O$2:$O$1000,MATCH($A83,'Komisyon Tarifesi'!$B$2:$B$1000,0)),IF($D83&gt;=INDEX('Komisyon Tarifesi'!$K$2:$K$1000,MATCH($A83,'Komisyon Tarifesi'!$B$2:$B$1000,0)),INDEX('Komisyon Tarifesi'!$P$2:$P$1000,MATCH($A83,'Komisyon Tarifesi'!$B$2:$B$1000,0)),IF($D83&gt;=INDEX('Komisyon Tarifesi'!$M$2:$M$1000,MATCH($A83,'Komisyon Tarifesi'!$B$2:$B$1000,0)),INDEX('Komisyon Tarifesi'!$Q$2:$Q$1000,MATCH($A83,'Komisyon Tarifesi'!$B$2:$B$1000,0)),INDEX('Komisyon Tarifesi'!$R$2:$R$1000,MATCH($A83,'Komisyon Tarifesi'!$B$2:$B$1000,0)))))/100,IFERROR(IF(VLOOKUP($A83,Products!$A$2:$W$1000,21,0)&lt;&gt;"",$D83*VLOOKUP($A83,Products!$A$2:$W$1000,21,0)/100,""),"")))</f>
        <v>120.8493</v>
      </c>
      <c r="F83" s="14">
        <f t="array" ref="F83">IF($A83="","",IFERROR(IF(INDEX('Maliyet Giris'!$G$2:$G$550,MATCH($A83,'Maliyet Giris'!$A$2:$A$550,0))="","",IF(INDEX('Maliyet Giris'!$G$2:$G$550,MATCH($A83,'Maliyet Giris'!$A$2:$A$550,0))&lt;=2,86.4,IF(INDEX('Maliyet Giris'!$G$2:$G$550,MATCH($A83,'Maliyet Giris'!$A$2:$A$550,0))&lt;=3,90,IF(INDEX('Maliyet Giris'!$G$2:$G$550,MATCH($A83,'Maliyet Giris'!$A$2:$A$550,0))&lt;=5,102,IF(INDEX('Maliyet Giris'!$G$2:$G$550,MATCH($A83,'Maliyet Giris'!$A$2:$A$550,0))&lt;=10,159.74,IF(INDEX('Maliyet Giris'!$G$2:$G$550,MATCH($A83,'Maliyet Giris'!$A$2:$A$550,0))&lt;=15,187.5,IF(INDEX('Maliyet Giris'!$G$2:$G$550,MATCH($A83,'Maliyet Giris'!$A$2:$A$550,0))&lt;=20,225,299))))))),""))</f>
        <v>86.4</v>
      </c>
      <c r="G83" s="14">
        <f t="array" ref="G83">IF($A83="","",IFERROR(INDEX('Maliyet Giris'!$F$2:$F$550,MATCH($A83,'Maliyet Giris'!$A$2:$A$550,0)),""))</f>
        <v>786</v>
      </c>
      <c r="H83" s="14">
        <f t="shared" si="1"/>
        <v>13.19</v>
      </c>
      <c r="I83" s="14">
        <f t="shared" si="2"/>
        <v>8.6075</v>
      </c>
      <c r="J83" s="14">
        <f t="shared" si="3"/>
        <v>4.410116667</v>
      </c>
      <c r="K83" s="14">
        <f t="shared" si="4"/>
        <v>13.44308333</v>
      </c>
      <c r="L83" s="15">
        <f t="shared" si="5"/>
        <v>0.01301489334</v>
      </c>
      <c r="M83" s="17" t="str">
        <f t="shared" si="6"/>
        <v>KÂRLI</v>
      </c>
      <c r="N83" s="17" t="str">
        <f t="shared" si="7"/>
        <v/>
      </c>
      <c r="O83" s="17">
        <f t="array" ref="O83">IF($A83="","",IFERROR(INDEX('Maliyet Giris'!$G$2:$G$550,MATCH($A83,'Maliyet Giris'!$A$2:$A$550,0)),""))</f>
        <v>0.5</v>
      </c>
      <c r="P83" s="17" t="str">
        <f t="shared" si="8"/>
        <v/>
      </c>
      <c r="Q83" s="17" t="str">
        <f t="shared" si="9"/>
        <v/>
      </c>
      <c r="R83" s="14">
        <f t="shared" si="10"/>
        <v>1017.454839</v>
      </c>
      <c r="S83" s="14">
        <f t="shared" si="11"/>
        <v>15.44516141</v>
      </c>
      <c r="T83" s="17" t="str">
        <f t="shared" si="12"/>
        <v>RİSKLİ</v>
      </c>
      <c r="U83" s="17" t="str">
        <f t="shared" si="13"/>
        <v>Minimum fiyat altına düşme</v>
      </c>
    </row>
    <row r="84">
      <c r="A84" s="2" t="str">
        <f>IFERROR(__xludf.DUMMYFUNCTION("""COMPUTED_VALUE"""),"TYBJUIMGWO45LKI893")</f>
        <v>TYBJUIMGWO45LKI893</v>
      </c>
      <c r="B84" s="17" t="str">
        <f>IFERROR(__xludf.DUMMYFUNCTION("""COMPUTED_VALUE"""),"Wanpy")</f>
        <v>Wanpy</v>
      </c>
      <c r="C84" s="28" t="str">
        <f>IFERROR(__xludf.DUMMYFUNCTION("""COMPUTED_VALUE"""),"Tasty Meat Paste Taze Sıvı Kedi Ödül Maması Kedi Ödül Maması 4x90gr")</f>
        <v>Tasty Meat Paste Taze Sıvı Kedi Ödül Maması Kedi Ödül Maması 4x90gr</v>
      </c>
      <c r="D84" s="14">
        <f>IFERROR(__xludf.DUMMYFUNCTION("""COMPUTED_VALUE"""),256.2)</f>
        <v>256.2</v>
      </c>
      <c r="E84" s="14">
        <f t="array" ref="E84">IF($A84="","",IFERROR($D84*IF($D84&gt;=INDEX('Komisyon Tarifesi'!$I$2:$I$1000,MATCH($A84,'Komisyon Tarifesi'!$B$2:$B$1000,0)),INDEX('Komisyon Tarifesi'!$O$2:$O$1000,MATCH($A84,'Komisyon Tarifesi'!$B$2:$B$1000,0)),IF($D84&gt;=INDEX('Komisyon Tarifesi'!$K$2:$K$1000,MATCH($A84,'Komisyon Tarifesi'!$B$2:$B$1000,0)),INDEX('Komisyon Tarifesi'!$P$2:$P$1000,MATCH($A84,'Komisyon Tarifesi'!$B$2:$B$1000,0)),IF($D84&gt;=INDEX('Komisyon Tarifesi'!$M$2:$M$1000,MATCH($A84,'Komisyon Tarifesi'!$B$2:$B$1000,0)),INDEX('Komisyon Tarifesi'!$Q$2:$Q$1000,MATCH($A84,'Komisyon Tarifesi'!$B$2:$B$1000,0)),INDEX('Komisyon Tarifesi'!$R$2:$R$1000,MATCH($A84,'Komisyon Tarifesi'!$B$2:$B$1000,0)))))/100,IFERROR(IF(VLOOKUP($A84,Products!$A$2:$W$1000,21,0)&lt;&gt;"",$D84*VLOOKUP($A84,Products!$A$2:$W$1000,21,0)/100,""),"")))</f>
        <v>32.025</v>
      </c>
      <c r="F84" s="14">
        <f t="array" ref="F84">IF($A84="","",IFERROR(IF(INDEX('Maliyet Giris'!$G$2:$G$550,MATCH($A84,'Maliyet Giris'!$A$2:$A$550,0))="","",IF(INDEX('Maliyet Giris'!$G$2:$G$550,MATCH($A84,'Maliyet Giris'!$A$2:$A$550,0))&lt;=2,86.4,IF(INDEX('Maliyet Giris'!$G$2:$G$550,MATCH($A84,'Maliyet Giris'!$A$2:$A$550,0))&lt;=3,90,IF(INDEX('Maliyet Giris'!$G$2:$G$550,MATCH($A84,'Maliyet Giris'!$A$2:$A$550,0))&lt;=5,102,IF(INDEX('Maliyet Giris'!$G$2:$G$550,MATCH($A84,'Maliyet Giris'!$A$2:$A$550,0))&lt;=10,159.74,IF(INDEX('Maliyet Giris'!$G$2:$G$550,MATCH($A84,'Maliyet Giris'!$A$2:$A$550,0))&lt;=15,187.5,IF(INDEX('Maliyet Giris'!$G$2:$G$550,MATCH($A84,'Maliyet Giris'!$A$2:$A$550,0))&lt;=20,225,299))))))),""))</f>
        <v>86.4</v>
      </c>
      <c r="G84" s="14">
        <f t="array" ref="G84">IF($A84="","",IFERROR(INDEX('Maliyet Giris'!$F$2:$F$550,MATCH($A84,'Maliyet Giris'!$A$2:$A$550,0)),""))</f>
        <v>122</v>
      </c>
      <c r="H84" s="14">
        <f t="shared" si="1"/>
        <v>13.19</v>
      </c>
      <c r="I84" s="14">
        <f t="shared" si="2"/>
        <v>2.135</v>
      </c>
      <c r="J84" s="14">
        <f t="shared" si="3"/>
        <v>0.4308333333</v>
      </c>
      <c r="K84" s="14">
        <f t="shared" si="4"/>
        <v>0.01916666667</v>
      </c>
      <c r="L84" s="15">
        <f t="shared" si="5"/>
        <v>0.0000748113453</v>
      </c>
      <c r="M84" s="17" t="str">
        <f t="shared" si="6"/>
        <v>KÂRLI</v>
      </c>
      <c r="N84" s="17" t="str">
        <f t="shared" si="7"/>
        <v/>
      </c>
      <c r="O84" s="17">
        <f t="array" ref="O84">IF($A84="","",IFERROR(INDEX('Maliyet Giris'!$G$2:$G$550,MATCH($A84,'Maliyet Giris'!$A$2:$A$550,0)),""))</f>
        <v>0.5</v>
      </c>
      <c r="P84" s="17" t="str">
        <f t="shared" si="8"/>
        <v/>
      </c>
      <c r="Q84" s="17" t="str">
        <f t="shared" si="9"/>
        <v/>
      </c>
      <c r="R84" s="14">
        <f t="shared" si="10"/>
        <v>256.1777429</v>
      </c>
      <c r="S84" s="14">
        <f t="shared" si="11"/>
        <v>0.02225710088</v>
      </c>
      <c r="T84" s="17" t="str">
        <f t="shared" si="12"/>
        <v>RİSKLİ</v>
      </c>
      <c r="U84" s="17" t="str">
        <f t="shared" si="13"/>
        <v>Minimum fiyat altına düşme</v>
      </c>
    </row>
    <row r="85">
      <c r="A85" s="2">
        <f>IFERROR(__xludf.DUMMYFUNCTION("""COMPUTED_VALUE"""),2.05482668168001E14)</f>
        <v>205482668168001</v>
      </c>
      <c r="B85" s="17" t="str">
        <f>IFERROR(__xludf.DUMMYFUNCTION("""COMPUTED_VALUE"""),"Wanpy")</f>
        <v>Wanpy</v>
      </c>
      <c r="C85" s="28" t="str">
        <f>IFERROR(__xludf.DUMMYFUNCTION("""COMPUTED_VALUE"""),"4 Çeşit Karma Kedi Et Ezmesi 90 Gr. X 12 Adet")</f>
        <v>4 Çeşit Karma Kedi Et Ezmesi 90 Gr. X 12 Adet</v>
      </c>
      <c r="D85" s="14">
        <f>IFERROR(__xludf.DUMMYFUNCTION("""COMPUTED_VALUE"""),640.0)</f>
        <v>640</v>
      </c>
      <c r="E85" s="14">
        <f t="array" ref="E85">IF($A85="","",IFERROR($D85*IF($D85&gt;=INDEX('Komisyon Tarifesi'!$I$2:$I$1000,MATCH($A85,'Komisyon Tarifesi'!$B$2:$B$1000,0)),INDEX('Komisyon Tarifesi'!$O$2:$O$1000,MATCH($A85,'Komisyon Tarifesi'!$B$2:$B$1000,0)),IF($D85&gt;=INDEX('Komisyon Tarifesi'!$K$2:$K$1000,MATCH($A85,'Komisyon Tarifesi'!$B$2:$B$1000,0)),INDEX('Komisyon Tarifesi'!$P$2:$P$1000,MATCH($A85,'Komisyon Tarifesi'!$B$2:$B$1000,0)),IF($D85&gt;=INDEX('Komisyon Tarifesi'!$M$2:$M$1000,MATCH($A85,'Komisyon Tarifesi'!$B$2:$B$1000,0)),INDEX('Komisyon Tarifesi'!$Q$2:$Q$1000,MATCH($A85,'Komisyon Tarifesi'!$B$2:$B$1000,0)),INDEX('Komisyon Tarifesi'!$R$2:$R$1000,MATCH($A85,'Komisyon Tarifesi'!$B$2:$B$1000,0)))))/100,IFERROR(IF(VLOOKUP($A85,Products!$A$2:$W$1000,21,0)&lt;&gt;"",$D85*VLOOKUP($A85,Products!$A$2:$W$1000,21,0)/100,""),"")))</f>
        <v>80</v>
      </c>
      <c r="F85" s="14">
        <f t="array" ref="F85">IF($A85="","",IFERROR(IF(INDEX('Maliyet Giris'!$G$2:$G$550,MATCH($A85,'Maliyet Giris'!$A$2:$A$550,0))="","",IF(INDEX('Maliyet Giris'!$G$2:$G$550,MATCH($A85,'Maliyet Giris'!$A$2:$A$550,0))&lt;=2,86.4,IF(INDEX('Maliyet Giris'!$G$2:$G$550,MATCH($A85,'Maliyet Giris'!$A$2:$A$550,0))&lt;=3,90,IF(INDEX('Maliyet Giris'!$G$2:$G$550,MATCH($A85,'Maliyet Giris'!$A$2:$A$550,0))&lt;=5,102,IF(INDEX('Maliyet Giris'!$G$2:$G$550,MATCH($A85,'Maliyet Giris'!$A$2:$A$550,0))&lt;=10,159.74,IF(INDEX('Maliyet Giris'!$G$2:$G$550,MATCH($A85,'Maliyet Giris'!$A$2:$A$550,0))&lt;=15,187.5,IF(INDEX('Maliyet Giris'!$G$2:$G$550,MATCH($A85,'Maliyet Giris'!$A$2:$A$550,0))&lt;=20,225,299))))))),""))</f>
        <v>86.4</v>
      </c>
      <c r="G85" s="14">
        <f t="array" ref="G85">IF($A85="","",IFERROR(INDEX('Maliyet Giris'!$F$2:$F$550,MATCH($A85,'Maliyet Giris'!$A$2:$A$550,0)),""))</f>
        <v>367</v>
      </c>
      <c r="H85" s="14">
        <f t="shared" si="1"/>
        <v>13.19</v>
      </c>
      <c r="I85" s="14">
        <f t="shared" si="2"/>
        <v>5.333333333</v>
      </c>
      <c r="J85" s="14">
        <f t="shared" si="3"/>
        <v>15.56833333</v>
      </c>
      <c r="K85" s="14">
        <f t="shared" si="4"/>
        <v>72.50833333</v>
      </c>
      <c r="L85" s="15">
        <f t="shared" si="5"/>
        <v>0.1132942708</v>
      </c>
      <c r="M85" s="17" t="str">
        <f t="shared" si="6"/>
        <v>KÂRLI</v>
      </c>
      <c r="N85" s="17" t="str">
        <f t="shared" si="7"/>
        <v/>
      </c>
      <c r="O85" s="17">
        <f t="array" ref="O85">IF($A85="","",IFERROR(INDEX('Maliyet Giris'!$G$2:$G$550,MATCH($A85,'Maliyet Giris'!$A$2:$A$550,0)),""))</f>
        <v>0.5</v>
      </c>
      <c r="P85" s="17" t="str">
        <f t="shared" si="8"/>
        <v/>
      </c>
      <c r="Q85" s="17" t="str">
        <f t="shared" si="9"/>
        <v/>
      </c>
      <c r="R85" s="14">
        <f t="shared" si="10"/>
        <v>553.9202468</v>
      </c>
      <c r="S85" s="14">
        <f t="shared" si="11"/>
        <v>86.07975324</v>
      </c>
      <c r="T85" s="17" t="str">
        <f t="shared" si="12"/>
        <v>SAĞLIKLI</v>
      </c>
      <c r="U85" s="17" t="str">
        <f t="shared" si="13"/>
        <v>Takip et</v>
      </c>
    </row>
    <row r="86">
      <c r="A86" s="2" t="str">
        <f>IFERROR(__xludf.DUMMYFUNCTION("""COMPUTED_VALUE"""),"TYBMY57X4LSPXU2735")</f>
        <v>TYBMY57X4LSPXU2735</v>
      </c>
      <c r="B86" s="17" t="str">
        <f>IFERROR(__xludf.DUMMYFUNCTION("""COMPUTED_VALUE"""),"Wanpy")</f>
        <v>Wanpy</v>
      </c>
      <c r="C86" s="28" t="str">
        <f>IFERROR(__xludf.DUMMYFUNCTION("""COMPUTED_VALUE"""),"Krema Kedi Ödül Maması 14gr (45 Adet) (Karışık Çeşitli)")</f>
        <v>Krema Kedi Ödül Maması 14gr (45 Adet) (Karışık Çeşitli)</v>
      </c>
      <c r="D86" s="14">
        <f>IFERROR(__xludf.DUMMYFUNCTION("""COMPUTED_VALUE"""),486.9)</f>
        <v>486.9</v>
      </c>
      <c r="E86" s="14">
        <f t="array" ref="E86">IF($A86="","",IFERROR($D86*IF($D86&gt;=INDEX('Komisyon Tarifesi'!$I$2:$I$1000,MATCH($A86,'Komisyon Tarifesi'!$B$2:$B$1000,0)),INDEX('Komisyon Tarifesi'!$O$2:$O$1000,MATCH($A86,'Komisyon Tarifesi'!$B$2:$B$1000,0)),IF($D86&gt;=INDEX('Komisyon Tarifesi'!$K$2:$K$1000,MATCH($A86,'Komisyon Tarifesi'!$B$2:$B$1000,0)),INDEX('Komisyon Tarifesi'!$P$2:$P$1000,MATCH($A86,'Komisyon Tarifesi'!$B$2:$B$1000,0)),IF($D86&gt;=INDEX('Komisyon Tarifesi'!$M$2:$M$1000,MATCH($A86,'Komisyon Tarifesi'!$B$2:$B$1000,0)),INDEX('Komisyon Tarifesi'!$Q$2:$Q$1000,MATCH($A86,'Komisyon Tarifesi'!$B$2:$B$1000,0)),INDEX('Komisyon Tarifesi'!$R$2:$R$1000,MATCH($A86,'Komisyon Tarifesi'!$B$2:$B$1000,0)))))/100,IFERROR(IF(VLOOKUP($A86,Products!$A$2:$W$1000,21,0)&lt;&gt;"",$D86*VLOOKUP($A86,Products!$A$2:$W$1000,21,0)/100,""),"")))</f>
        <v>52.0983</v>
      </c>
      <c r="F86" s="14">
        <f t="array" ref="F86">IF($A86="","",IFERROR(IF(INDEX('Maliyet Giris'!$G$2:$G$550,MATCH($A86,'Maliyet Giris'!$A$2:$A$550,0))="","",IF(INDEX('Maliyet Giris'!$G$2:$G$550,MATCH($A86,'Maliyet Giris'!$A$2:$A$550,0))&lt;=2,86.4,IF(INDEX('Maliyet Giris'!$G$2:$G$550,MATCH($A86,'Maliyet Giris'!$A$2:$A$550,0))&lt;=3,90,IF(INDEX('Maliyet Giris'!$G$2:$G$550,MATCH($A86,'Maliyet Giris'!$A$2:$A$550,0))&lt;=5,102,IF(INDEX('Maliyet Giris'!$G$2:$G$550,MATCH($A86,'Maliyet Giris'!$A$2:$A$550,0))&lt;=10,159.74,IF(INDEX('Maliyet Giris'!$G$2:$G$550,MATCH($A86,'Maliyet Giris'!$A$2:$A$550,0))&lt;=15,187.5,IF(INDEX('Maliyet Giris'!$G$2:$G$550,MATCH($A86,'Maliyet Giris'!$A$2:$A$550,0))&lt;=20,225,299))))))),""))</f>
        <v>86.4</v>
      </c>
      <c r="G86" s="14">
        <f t="array" ref="G86">IF($A86="","",IFERROR(INDEX('Maliyet Giris'!$F$2:$F$550,MATCH($A86,'Maliyet Giris'!$A$2:$A$550,0)),""))</f>
        <v>353.7</v>
      </c>
      <c r="H86" s="14">
        <f t="shared" si="1"/>
        <v>13.19</v>
      </c>
      <c r="I86" s="14">
        <f t="shared" si="2"/>
        <v>4.0575</v>
      </c>
      <c r="J86" s="14">
        <f t="shared" si="3"/>
        <v>0</v>
      </c>
      <c r="K86" s="14">
        <f t="shared" si="4"/>
        <v>-22.5458</v>
      </c>
      <c r="L86" s="15">
        <f t="shared" si="5"/>
        <v>-0.04630478538</v>
      </c>
      <c r="M86" s="17" t="str">
        <f t="shared" si="6"/>
        <v>ZARAR</v>
      </c>
      <c r="N86" s="17" t="str">
        <f t="shared" si="7"/>
        <v/>
      </c>
      <c r="O86" s="17">
        <f t="array" ref="O86">IF($A86="","",IFERROR(INDEX('Maliyet Giris'!$G$2:$G$550,MATCH($A86,'Maliyet Giris'!$A$2:$A$550,0)),""))</f>
        <v>0.5</v>
      </c>
      <c r="P86" s="17" t="str">
        <f t="shared" si="8"/>
        <v/>
      </c>
      <c r="Q86" s="17" t="str">
        <f t="shared" si="9"/>
        <v/>
      </c>
      <c r="R86" s="14">
        <f t="shared" si="10"/>
        <v>512.3848861</v>
      </c>
      <c r="S86" s="14">
        <f t="shared" si="11"/>
        <v>-25.48488606</v>
      </c>
      <c r="T86" s="17" t="str">
        <f t="shared" si="12"/>
        <v>ZARAR</v>
      </c>
      <c r="U86" s="17" t="str">
        <f t="shared" si="13"/>
        <v>Fiyat, maliyet veya kampanya kontrol et</v>
      </c>
    </row>
    <row r="87">
      <c r="A87" s="2" t="str">
        <f>IFERROR(__xludf.DUMMYFUNCTION("""COMPUTED_VALUE"""),"TYB2J3PXXV73UG7N88")</f>
        <v>TYB2J3PXXV73UG7N88</v>
      </c>
      <c r="B87" s="17" t="str">
        <f>IFERROR(__xludf.DUMMYFUNCTION("""COMPUTED_VALUE"""),"Wanpy")</f>
        <v>Wanpy</v>
      </c>
      <c r="C87" s="28" t="str">
        <f>IFERROR(__xludf.DUMMYFUNCTION("""COMPUTED_VALUE"""),"Creamy Cat Treat Karışık Krema Sıvı Kedi Ödül Maması 14 gr X 10 Adet")</f>
        <v>Creamy Cat Treat Karışık Krema Sıvı Kedi Ödül Maması 14 gr X 10 Adet</v>
      </c>
      <c r="D87" s="14">
        <f>IFERROR(__xludf.DUMMYFUNCTION("""COMPUTED_VALUE"""),116.08)</f>
        <v>116.08</v>
      </c>
      <c r="E87" s="14">
        <f t="array" ref="E87">IF($A87="","",IFERROR($D87*IF($D87&gt;=INDEX('Komisyon Tarifesi'!$I$2:$I$1000,MATCH($A87,'Komisyon Tarifesi'!$B$2:$B$1000,0)),INDEX('Komisyon Tarifesi'!$O$2:$O$1000,MATCH($A87,'Komisyon Tarifesi'!$B$2:$B$1000,0)),IF($D87&gt;=INDEX('Komisyon Tarifesi'!$K$2:$K$1000,MATCH($A87,'Komisyon Tarifesi'!$B$2:$B$1000,0)),INDEX('Komisyon Tarifesi'!$P$2:$P$1000,MATCH($A87,'Komisyon Tarifesi'!$B$2:$B$1000,0)),IF($D87&gt;=INDEX('Komisyon Tarifesi'!$M$2:$M$1000,MATCH($A87,'Komisyon Tarifesi'!$B$2:$B$1000,0)),INDEX('Komisyon Tarifesi'!$Q$2:$Q$1000,MATCH($A87,'Komisyon Tarifesi'!$B$2:$B$1000,0)),INDEX('Komisyon Tarifesi'!$R$2:$R$1000,MATCH($A87,'Komisyon Tarifesi'!$B$2:$B$1000,0)))))/100,IFERROR(IF(VLOOKUP($A87,Products!$A$2:$W$1000,21,0)&lt;&gt;"",$D87*VLOOKUP($A87,Products!$A$2:$W$1000,21,0)/100,""),"")))</f>
        <v>3.59848</v>
      </c>
      <c r="F87" s="14">
        <f t="array" ref="F87">IF($A87="","",IFERROR(IF(INDEX('Maliyet Giris'!$G$2:$G$550,MATCH($A87,'Maliyet Giris'!$A$2:$A$550,0))="","",IF(INDEX('Maliyet Giris'!$G$2:$G$550,MATCH($A87,'Maliyet Giris'!$A$2:$A$550,0))&lt;=2,86.4,IF(INDEX('Maliyet Giris'!$G$2:$G$550,MATCH($A87,'Maliyet Giris'!$A$2:$A$550,0))&lt;=3,90,IF(INDEX('Maliyet Giris'!$G$2:$G$550,MATCH($A87,'Maliyet Giris'!$A$2:$A$550,0))&lt;=5,102,IF(INDEX('Maliyet Giris'!$G$2:$G$550,MATCH($A87,'Maliyet Giris'!$A$2:$A$550,0))&lt;=10,159.74,IF(INDEX('Maliyet Giris'!$G$2:$G$550,MATCH($A87,'Maliyet Giris'!$A$2:$A$550,0))&lt;=15,187.5,IF(INDEX('Maliyet Giris'!$G$2:$G$550,MATCH($A87,'Maliyet Giris'!$A$2:$A$550,0))&lt;=20,225,299))))))),""))</f>
        <v>86.4</v>
      </c>
      <c r="G87" s="14">
        <f t="array" ref="G87">IF($A87="","",IFERROR(INDEX('Maliyet Giris'!$F$2:$F$550,MATCH($A87,'Maliyet Giris'!$A$2:$A$550,0)),""))</f>
        <v>78.6</v>
      </c>
      <c r="H87" s="14">
        <f t="shared" si="1"/>
        <v>13.19</v>
      </c>
      <c r="I87" s="14">
        <f t="shared" si="2"/>
        <v>0.9673333333</v>
      </c>
      <c r="J87" s="14">
        <f t="shared" si="3"/>
        <v>0</v>
      </c>
      <c r="K87" s="14">
        <f t="shared" si="4"/>
        <v>-66.67581333</v>
      </c>
      <c r="L87" s="15">
        <f t="shared" si="5"/>
        <v>-0.5743953595</v>
      </c>
      <c r="M87" s="17" t="str">
        <f t="shared" si="6"/>
        <v>ZARAR</v>
      </c>
      <c r="N87" s="17" t="str">
        <f t="shared" si="7"/>
        <v/>
      </c>
      <c r="O87" s="17">
        <f t="array" ref="O87">IF($A87="","",IFERROR(INDEX('Maliyet Giris'!$G$2:$G$550,MATCH($A87,'Maliyet Giris'!$A$2:$A$550,0)),""))</f>
        <v>0.5</v>
      </c>
      <c r="P87" s="17" t="str">
        <f t="shared" si="8"/>
        <v/>
      </c>
      <c r="Q87" s="17" t="str">
        <f t="shared" si="9"/>
        <v/>
      </c>
      <c r="R87" s="14">
        <f t="shared" si="10"/>
        <v>185.4857094</v>
      </c>
      <c r="S87" s="14">
        <f t="shared" si="11"/>
        <v>-69.40570941</v>
      </c>
      <c r="T87" s="17" t="str">
        <f t="shared" si="12"/>
        <v>ZARAR</v>
      </c>
      <c r="U87" s="17" t="str">
        <f t="shared" si="13"/>
        <v>Fiyat, maliyet veya kampanya kontrol et</v>
      </c>
    </row>
    <row r="88">
      <c r="A88" s="2">
        <f>IFERROR(__xludf.DUMMYFUNCTION("""COMPUTED_VALUE"""),5.2742025223E10)</f>
        <v>52742025223</v>
      </c>
      <c r="B88" s="17" t="str">
        <f>IFERROR(__xludf.DUMMYFUNCTION("""COMPUTED_VALUE"""),"Hills Science Plan")</f>
        <v>Hills Science Plan</v>
      </c>
      <c r="C88" s="28" t="str">
        <f>IFERROR(__xludf.DUMMYFUNCTION("""COMPUTED_VALUE"""),"Hill’s SCIENCE PLAN Adult Medium Lamb &amp; Rice Orta Irk Kuzulu Yetişkin Köpek Maması 2,5 Kg")</f>
        <v>Hill’s SCIENCE PLAN Adult Medium Lamb &amp; Rice Orta Irk Kuzulu Yetişkin Köpek Maması 2,5 Kg</v>
      </c>
      <c r="D88" s="14">
        <f>IFERROR(__xludf.DUMMYFUNCTION("""COMPUTED_VALUE"""),1474.6)</f>
        <v>1474.6</v>
      </c>
      <c r="E88" s="14">
        <f t="array" ref="E88">IF($A88="","",IFERROR($D88*IF($D88&gt;=INDEX('Komisyon Tarifesi'!$I$2:$I$1000,MATCH($A88,'Komisyon Tarifesi'!$B$2:$B$1000,0)),INDEX('Komisyon Tarifesi'!$O$2:$O$1000,MATCH($A88,'Komisyon Tarifesi'!$B$2:$B$1000,0)),IF($D88&gt;=INDEX('Komisyon Tarifesi'!$K$2:$K$1000,MATCH($A88,'Komisyon Tarifesi'!$B$2:$B$1000,0)),INDEX('Komisyon Tarifesi'!$P$2:$P$1000,MATCH($A88,'Komisyon Tarifesi'!$B$2:$B$1000,0)),IF($D88&gt;=INDEX('Komisyon Tarifesi'!$M$2:$M$1000,MATCH($A88,'Komisyon Tarifesi'!$B$2:$B$1000,0)),INDEX('Komisyon Tarifesi'!$Q$2:$Q$1000,MATCH($A88,'Komisyon Tarifesi'!$B$2:$B$1000,0)),INDEX('Komisyon Tarifesi'!$R$2:$R$1000,MATCH($A88,'Komisyon Tarifesi'!$B$2:$B$1000,0)))))/100,IFERROR(IF(VLOOKUP($A88,Products!$A$2:$W$1000,21,0)&lt;&gt;"",$D88*VLOOKUP($A88,Products!$A$2:$W$1000,21,0)/100,""),"")))</f>
        <v>243.309</v>
      </c>
      <c r="F88" s="14">
        <f t="array" ref="F88">IF($A88="","",IFERROR(IF(INDEX('Maliyet Giris'!$G$2:$G$550,MATCH($A88,'Maliyet Giris'!$A$2:$A$550,0))="","",IF(INDEX('Maliyet Giris'!$G$2:$G$550,MATCH($A88,'Maliyet Giris'!$A$2:$A$550,0))&lt;=2,86.4,IF(INDEX('Maliyet Giris'!$G$2:$G$550,MATCH($A88,'Maliyet Giris'!$A$2:$A$550,0))&lt;=3,90,IF(INDEX('Maliyet Giris'!$G$2:$G$550,MATCH($A88,'Maliyet Giris'!$A$2:$A$550,0))&lt;=5,102,IF(INDEX('Maliyet Giris'!$G$2:$G$550,MATCH($A88,'Maliyet Giris'!$A$2:$A$550,0))&lt;=10,159.74,IF(INDEX('Maliyet Giris'!$G$2:$G$550,MATCH($A88,'Maliyet Giris'!$A$2:$A$550,0))&lt;=15,187.5,IF(INDEX('Maliyet Giris'!$G$2:$G$550,MATCH($A88,'Maliyet Giris'!$A$2:$A$550,0))&lt;=20,225,299))))))),""))</f>
        <v>90</v>
      </c>
      <c r="G88" s="14">
        <f t="array" ref="G88">IF($A88="","",IFERROR(INDEX('Maliyet Giris'!$F$2:$F$550,MATCH($A88,'Maliyet Giris'!$A$2:$A$550,0)),""))</f>
        <v>1127</v>
      </c>
      <c r="H88" s="14">
        <f t="shared" si="1"/>
        <v>13.19</v>
      </c>
      <c r="I88" s="14">
        <f t="shared" si="2"/>
        <v>12.28833333</v>
      </c>
      <c r="J88" s="14">
        <f t="shared" si="3"/>
        <v>0.1835</v>
      </c>
      <c r="K88" s="14">
        <f t="shared" si="4"/>
        <v>-11.37083333</v>
      </c>
      <c r="L88" s="15">
        <f t="shared" si="5"/>
        <v>-0.007711130702</v>
      </c>
      <c r="M88" s="17" t="str">
        <f t="shared" si="6"/>
        <v>ZARAR</v>
      </c>
      <c r="N88" s="17" t="str">
        <f t="shared" si="7"/>
        <v/>
      </c>
      <c r="O88" s="17">
        <f t="array" ref="O88">IF($A88="","",IFERROR(INDEX('Maliyet Giris'!$G$2:$G$550,MATCH($A88,'Maliyet Giris'!$A$2:$A$550,0)),""))</f>
        <v>3</v>
      </c>
      <c r="P88" s="17" t="str">
        <f t="shared" si="8"/>
        <v/>
      </c>
      <c r="Q88" s="17" t="str">
        <f t="shared" si="9"/>
        <v/>
      </c>
      <c r="R88" s="14">
        <f t="shared" si="10"/>
        <v>1488.356511</v>
      </c>
      <c r="S88" s="14">
        <f t="shared" si="11"/>
        <v>-13.75651099</v>
      </c>
      <c r="T88" s="17" t="str">
        <f t="shared" si="12"/>
        <v>ZARAR</v>
      </c>
      <c r="U88" s="17" t="str">
        <f t="shared" si="13"/>
        <v>Fiyat, maliyet veya kampanya kontrol et</v>
      </c>
    </row>
    <row r="89">
      <c r="A89" s="2" t="str">
        <f>IFERROR(__xludf.DUMMYFUNCTION("""COMPUTED_VALUE"""),"TYBUPYD47K660EFG52")</f>
        <v>TYBUPYD47K660EFG52</v>
      </c>
      <c r="B89" s="17" t="str">
        <f>IFERROR(__xludf.DUMMYFUNCTION("""COMPUTED_VALUE"""),"Hill's")</f>
        <v>Hill's</v>
      </c>
      <c r="C89" s="28" t="str">
        <f>IFERROR(__xludf.DUMMYFUNCTION("""COMPUTED_VALUE"""),"Hills Sterilised Somon Kısır Kedi Maması 10 Kg")</f>
        <v>Hills Sterilised Somon Kısır Kedi Maması 10 Kg</v>
      </c>
      <c r="D89" s="14">
        <f>IFERROR(__xludf.DUMMYFUNCTION("""COMPUTED_VALUE"""),4399.72)</f>
        <v>4399.72</v>
      </c>
      <c r="E89" s="14">
        <f t="array" ref="E89">IF($A89="","",IFERROR($D89*IF($D89&gt;=INDEX('Komisyon Tarifesi'!$I$2:$I$1000,MATCH($A89,'Komisyon Tarifesi'!$B$2:$B$1000,0)),INDEX('Komisyon Tarifesi'!$O$2:$O$1000,MATCH($A89,'Komisyon Tarifesi'!$B$2:$B$1000,0)),IF($D89&gt;=INDEX('Komisyon Tarifesi'!$K$2:$K$1000,MATCH($A89,'Komisyon Tarifesi'!$B$2:$B$1000,0)),INDEX('Komisyon Tarifesi'!$P$2:$P$1000,MATCH($A89,'Komisyon Tarifesi'!$B$2:$B$1000,0)),IF($D89&gt;=INDEX('Komisyon Tarifesi'!$M$2:$M$1000,MATCH($A89,'Komisyon Tarifesi'!$B$2:$B$1000,0)),INDEX('Komisyon Tarifesi'!$Q$2:$Q$1000,MATCH($A89,'Komisyon Tarifesi'!$B$2:$B$1000,0)),INDEX('Komisyon Tarifesi'!$R$2:$R$1000,MATCH($A89,'Komisyon Tarifesi'!$B$2:$B$1000,0)))))/100,IFERROR(IF(VLOOKUP($A89,Products!$A$2:$W$1000,21,0)&lt;&gt;"",$D89*VLOOKUP($A89,Products!$A$2:$W$1000,21,0)/100,""),"")))</f>
        <v>549.965</v>
      </c>
      <c r="F89" s="14">
        <f t="array" ref="F89">IF($A89="","",IFERROR(IF(INDEX('Maliyet Giris'!$G$2:$G$550,MATCH($A89,'Maliyet Giris'!$A$2:$A$550,0))="","",IF(INDEX('Maliyet Giris'!$G$2:$G$550,MATCH($A89,'Maliyet Giris'!$A$2:$A$550,0))&lt;=2,86.4,IF(INDEX('Maliyet Giris'!$G$2:$G$550,MATCH($A89,'Maliyet Giris'!$A$2:$A$550,0))&lt;=3,90,IF(INDEX('Maliyet Giris'!$G$2:$G$550,MATCH($A89,'Maliyet Giris'!$A$2:$A$550,0))&lt;=5,102,IF(INDEX('Maliyet Giris'!$G$2:$G$550,MATCH($A89,'Maliyet Giris'!$A$2:$A$550,0))&lt;=10,159.74,IF(INDEX('Maliyet Giris'!$G$2:$G$550,MATCH($A89,'Maliyet Giris'!$A$2:$A$550,0))&lt;=15,187.5,IF(INDEX('Maliyet Giris'!$G$2:$G$550,MATCH($A89,'Maliyet Giris'!$A$2:$A$550,0))&lt;=20,225,299))))))),""))</f>
        <v>90</v>
      </c>
      <c r="G89" s="14">
        <f t="array" ref="G89">IF($A89="","",IFERROR(INDEX('Maliyet Giris'!$F$2:$F$550,MATCH($A89,'Maliyet Giris'!$A$2:$A$550,0)),""))</f>
        <v>3900</v>
      </c>
      <c r="H89" s="14">
        <f t="shared" si="1"/>
        <v>13.19</v>
      </c>
      <c r="I89" s="14">
        <f t="shared" si="2"/>
        <v>36.66433333</v>
      </c>
      <c r="J89" s="14">
        <f t="shared" si="3"/>
        <v>0</v>
      </c>
      <c r="K89" s="14">
        <f t="shared" si="4"/>
        <v>-190.0993333</v>
      </c>
      <c r="L89" s="15">
        <f t="shared" si="5"/>
        <v>-0.04320714348</v>
      </c>
      <c r="M89" s="17" t="str">
        <f t="shared" si="6"/>
        <v>ZARAR</v>
      </c>
      <c r="N89" s="17" t="str">
        <f t="shared" si="7"/>
        <v/>
      </c>
      <c r="O89" s="17">
        <f t="array" ref="O89">IF($A89="","",IFERROR(INDEX('Maliyet Giris'!$G$2:$G$550,MATCH($A89,'Maliyet Giris'!$A$2:$A$550,0)),""))</f>
        <v>3</v>
      </c>
      <c r="P89" s="17" t="str">
        <f t="shared" si="8"/>
        <v/>
      </c>
      <c r="Q89" s="17" t="str">
        <f t="shared" si="9"/>
        <v/>
      </c>
      <c r="R89" s="14">
        <f t="shared" si="10"/>
        <v>4619.063608</v>
      </c>
      <c r="S89" s="14">
        <f t="shared" si="11"/>
        <v>-219.3436081</v>
      </c>
      <c r="T89" s="17" t="str">
        <f t="shared" si="12"/>
        <v>ZARAR</v>
      </c>
      <c r="U89" s="17" t="str">
        <f t="shared" si="13"/>
        <v>Fiyat, maliyet veya kampanya kontrol et</v>
      </c>
    </row>
    <row r="90">
      <c r="A90" s="2">
        <f>IFERROR(__xludf.DUMMYFUNCTION("""COMPUTED_VALUE"""),5.2742071381E10)</f>
        <v>52742071381</v>
      </c>
      <c r="B90" s="17" t="str">
        <f>IFERROR(__xludf.DUMMYFUNCTION("""COMPUTED_VALUE"""),"Hill's")</f>
        <v>Hill's</v>
      </c>
      <c r="C90" s="28" t="str">
        <f>IFERROR(__xludf.DUMMYFUNCTION("""COMPUTED_VALUE"""),"Scıence Plan Somonlu Kısırlaştırılmış Yetişkin Kedi Maması 3 Kg")</f>
        <v>Scıence Plan Somonlu Kısırlaştırılmış Yetişkin Kedi Maması 3 Kg</v>
      </c>
      <c r="D90" s="14">
        <f>IFERROR(__xludf.DUMMYFUNCTION("""COMPUTED_VALUE"""),1557.06)</f>
        <v>1557.06</v>
      </c>
      <c r="E90" s="14">
        <f t="array" ref="E90">IF($A90="","",IFERROR($D90*IF($D90&gt;=INDEX('Komisyon Tarifesi'!$I$2:$I$1000,MATCH($A90,'Komisyon Tarifesi'!$B$2:$B$1000,0)),INDEX('Komisyon Tarifesi'!$O$2:$O$1000,MATCH($A90,'Komisyon Tarifesi'!$B$2:$B$1000,0)),IF($D90&gt;=INDEX('Komisyon Tarifesi'!$K$2:$K$1000,MATCH($A90,'Komisyon Tarifesi'!$B$2:$B$1000,0)),INDEX('Komisyon Tarifesi'!$P$2:$P$1000,MATCH($A90,'Komisyon Tarifesi'!$B$2:$B$1000,0)),IF($D90&gt;=INDEX('Komisyon Tarifesi'!$M$2:$M$1000,MATCH($A90,'Komisyon Tarifesi'!$B$2:$B$1000,0)),INDEX('Komisyon Tarifesi'!$Q$2:$Q$1000,MATCH($A90,'Komisyon Tarifesi'!$B$2:$B$1000,0)),INDEX('Komisyon Tarifesi'!$R$2:$R$1000,MATCH($A90,'Komisyon Tarifesi'!$B$2:$B$1000,0)))))/100,IFERROR(IF(VLOOKUP($A90,Products!$A$2:$W$1000,21,0)&lt;&gt;"",$D90*VLOOKUP($A90,Products!$A$2:$W$1000,21,0)/100,""),"")))</f>
        <v>194.6325</v>
      </c>
      <c r="F90" s="14">
        <f t="array" ref="F90">IF($A90="","",IFERROR(IF(INDEX('Maliyet Giris'!$G$2:$G$550,MATCH($A90,'Maliyet Giris'!$A$2:$A$550,0))="","",IF(INDEX('Maliyet Giris'!$G$2:$G$550,MATCH($A90,'Maliyet Giris'!$A$2:$A$550,0))&lt;=2,86.4,IF(INDEX('Maliyet Giris'!$G$2:$G$550,MATCH($A90,'Maliyet Giris'!$A$2:$A$550,0))&lt;=3,90,IF(INDEX('Maliyet Giris'!$G$2:$G$550,MATCH($A90,'Maliyet Giris'!$A$2:$A$550,0))&lt;=5,102,IF(INDEX('Maliyet Giris'!$G$2:$G$550,MATCH($A90,'Maliyet Giris'!$A$2:$A$550,0))&lt;=10,159.74,IF(INDEX('Maliyet Giris'!$G$2:$G$550,MATCH($A90,'Maliyet Giris'!$A$2:$A$550,0))&lt;=15,187.5,IF(INDEX('Maliyet Giris'!$G$2:$G$550,MATCH($A90,'Maliyet Giris'!$A$2:$A$550,0))&lt;=20,225,299))))))),""))</f>
        <v>90</v>
      </c>
      <c r="G90" s="14">
        <f t="array" ref="G90">IF($A90="","",IFERROR(INDEX('Maliyet Giris'!$F$2:$F$550,MATCH($A90,'Maliyet Giris'!$A$2:$A$550,0)),""))</f>
        <v>1247</v>
      </c>
      <c r="H90" s="14">
        <f t="shared" si="1"/>
        <v>13.19</v>
      </c>
      <c r="I90" s="14">
        <f t="shared" si="2"/>
        <v>12.9755</v>
      </c>
      <c r="J90" s="14">
        <f t="shared" si="3"/>
        <v>2.039583333</v>
      </c>
      <c r="K90" s="14">
        <f t="shared" si="4"/>
        <v>-2.777583333</v>
      </c>
      <c r="L90" s="15">
        <f t="shared" si="5"/>
        <v>-0.001783864034</v>
      </c>
      <c r="M90" s="17" t="str">
        <f t="shared" si="6"/>
        <v>ZARAR</v>
      </c>
      <c r="N90" s="17" t="str">
        <f t="shared" si="7"/>
        <v/>
      </c>
      <c r="O90" s="17">
        <f t="array" ref="O90">IF($A90="","",IFERROR(INDEX('Maliyet Giris'!$G$2:$G$550,MATCH($A90,'Maliyet Giris'!$A$2:$A$550,0)),""))</f>
        <v>3</v>
      </c>
      <c r="P90" s="17" t="str">
        <f t="shared" si="8"/>
        <v/>
      </c>
      <c r="Q90" s="17" t="str">
        <f t="shared" si="9"/>
        <v/>
      </c>
      <c r="R90" s="14">
        <f t="shared" si="10"/>
        <v>1560.269154</v>
      </c>
      <c r="S90" s="14">
        <f t="shared" si="11"/>
        <v>-3.209154109</v>
      </c>
      <c r="T90" s="17" t="str">
        <f t="shared" si="12"/>
        <v>ZARAR</v>
      </c>
      <c r="U90" s="17" t="str">
        <f t="shared" si="13"/>
        <v>Fiyat, maliyet veya kampanya kontrol et</v>
      </c>
    </row>
    <row r="91">
      <c r="A91" s="2">
        <f>IFERROR(__xludf.DUMMYFUNCTION("""COMPUTED_VALUE"""),5.2742059655E10)</f>
        <v>52742059655</v>
      </c>
      <c r="B91" s="17" t="str">
        <f>IFERROR(__xludf.DUMMYFUNCTION("""COMPUTED_VALUE"""),"Hill's")</f>
        <v>Hill's</v>
      </c>
      <c r="C91" s="28" t="str">
        <f>IFERROR(__xludf.DUMMYFUNCTION("""COMPUTED_VALUE"""),"Kitten Ton Balıklı Yavru Kedi Maması 1.5 Kg")</f>
        <v>Kitten Ton Balıklı Yavru Kedi Maması 1.5 Kg</v>
      </c>
      <c r="D91" s="14">
        <f>IFERROR(__xludf.DUMMYFUNCTION("""COMPUTED_VALUE"""),846.55)</f>
        <v>846.55</v>
      </c>
      <c r="E91" s="14">
        <f t="array" ref="E91">IF($A91="","",IFERROR($D91*IF($D91&gt;=INDEX('Komisyon Tarifesi'!$I$2:$I$1000,MATCH($A91,'Komisyon Tarifesi'!$B$2:$B$1000,0)),INDEX('Komisyon Tarifesi'!$O$2:$O$1000,MATCH($A91,'Komisyon Tarifesi'!$B$2:$B$1000,0)),IF($D91&gt;=INDEX('Komisyon Tarifesi'!$K$2:$K$1000,MATCH($A91,'Komisyon Tarifesi'!$B$2:$B$1000,0)),INDEX('Komisyon Tarifesi'!$P$2:$P$1000,MATCH($A91,'Komisyon Tarifesi'!$B$2:$B$1000,0)),IF($D91&gt;=INDEX('Komisyon Tarifesi'!$M$2:$M$1000,MATCH($A91,'Komisyon Tarifesi'!$B$2:$B$1000,0)),INDEX('Komisyon Tarifesi'!$Q$2:$Q$1000,MATCH($A91,'Komisyon Tarifesi'!$B$2:$B$1000,0)),INDEX('Komisyon Tarifesi'!$R$2:$R$1000,MATCH($A91,'Komisyon Tarifesi'!$B$2:$B$1000,0)))))/100,IFERROR(IF(VLOOKUP($A91,Products!$A$2:$W$1000,21,0)&lt;&gt;"",$D91*VLOOKUP($A91,Products!$A$2:$W$1000,21,0)/100,""),"")))</f>
        <v>105.81875</v>
      </c>
      <c r="F91" s="14">
        <f t="array" ref="F91">IF($A91="","",IFERROR(IF(INDEX('Maliyet Giris'!$G$2:$G$550,MATCH($A91,'Maliyet Giris'!$A$2:$A$550,0))="","",IF(INDEX('Maliyet Giris'!$G$2:$G$550,MATCH($A91,'Maliyet Giris'!$A$2:$A$550,0))&lt;=2,86.4,IF(INDEX('Maliyet Giris'!$G$2:$G$550,MATCH($A91,'Maliyet Giris'!$A$2:$A$550,0))&lt;=3,90,IF(INDEX('Maliyet Giris'!$G$2:$G$550,MATCH($A91,'Maliyet Giris'!$A$2:$A$550,0))&lt;=5,102,IF(INDEX('Maliyet Giris'!$G$2:$G$550,MATCH($A91,'Maliyet Giris'!$A$2:$A$550,0))&lt;=10,159.74,IF(INDEX('Maliyet Giris'!$G$2:$G$550,MATCH($A91,'Maliyet Giris'!$A$2:$A$550,0))&lt;=15,187.5,IF(INDEX('Maliyet Giris'!$G$2:$G$550,MATCH($A91,'Maliyet Giris'!$A$2:$A$550,0))&lt;=20,225,299))))))),""))</f>
        <v>90</v>
      </c>
      <c r="G91" s="14">
        <f t="array" ref="G91">IF($A91="","",IFERROR(INDEX('Maliyet Giris'!$F$2:$F$550,MATCH($A91,'Maliyet Giris'!$A$2:$A$550,0)),""))</f>
        <v>661</v>
      </c>
      <c r="H91" s="14">
        <f t="shared" si="1"/>
        <v>13.19</v>
      </c>
      <c r="I91" s="14">
        <f t="shared" si="2"/>
        <v>7.054583333</v>
      </c>
      <c r="J91" s="14">
        <f t="shared" si="3"/>
        <v>0</v>
      </c>
      <c r="K91" s="14">
        <f t="shared" si="4"/>
        <v>-30.51333333</v>
      </c>
      <c r="L91" s="15">
        <f t="shared" si="5"/>
        <v>-0.03604433682</v>
      </c>
      <c r="M91" s="17" t="str">
        <f t="shared" si="6"/>
        <v>ZARAR</v>
      </c>
      <c r="N91" s="17" t="str">
        <f t="shared" si="7"/>
        <v/>
      </c>
      <c r="O91" s="17">
        <f t="array" ref="O91">IF($A91="","",IFERROR(INDEX('Maliyet Giris'!$G$2:$G$550,MATCH($A91,'Maliyet Giris'!$A$2:$A$550,0)),""))</f>
        <v>3</v>
      </c>
      <c r="P91" s="17" t="str">
        <f t="shared" si="8"/>
        <v/>
      </c>
      <c r="Q91" s="17" t="str">
        <f t="shared" si="9"/>
        <v/>
      </c>
      <c r="R91" s="14">
        <f t="shared" si="10"/>
        <v>881.7573532</v>
      </c>
      <c r="S91" s="14">
        <f t="shared" si="11"/>
        <v>-35.20735317</v>
      </c>
      <c r="T91" s="17" t="str">
        <f t="shared" si="12"/>
        <v>ZARAR</v>
      </c>
      <c r="U91" s="17" t="str">
        <f t="shared" si="13"/>
        <v>Fiyat, maliyet veya kampanya kontrol et</v>
      </c>
    </row>
    <row r="92">
      <c r="A92" s="2">
        <f>IFERROR(__xludf.DUMMYFUNCTION("""COMPUTED_VALUE"""),5.2742059617E10)</f>
        <v>52742059617</v>
      </c>
      <c r="B92" s="17" t="str">
        <f>IFERROR(__xludf.DUMMYFUNCTION("""COMPUTED_VALUE"""),"Hill's")</f>
        <v>Hill's</v>
      </c>
      <c r="C92" s="28" t="str">
        <f>IFERROR(__xludf.DUMMYFUNCTION("""COMPUTED_VALUE"""),"Hills Adult Optimal Care Tavuklu Yetişkin Kedi Maması 1.5 Kg")</f>
        <v>Hills Adult Optimal Care Tavuklu Yetişkin Kedi Maması 1.5 Kg</v>
      </c>
      <c r="D92" s="14">
        <f>IFERROR(__xludf.DUMMYFUNCTION("""COMPUTED_VALUE"""),1059.0)</f>
        <v>1059</v>
      </c>
      <c r="E92" s="14">
        <f t="array" ref="E92">IF($A92="","",IFERROR($D92*IF($D92&gt;=INDEX('Komisyon Tarifesi'!$I$2:$I$1000,MATCH($A92,'Komisyon Tarifesi'!$B$2:$B$1000,0)),INDEX('Komisyon Tarifesi'!$O$2:$O$1000,MATCH($A92,'Komisyon Tarifesi'!$B$2:$B$1000,0)),IF($D92&gt;=INDEX('Komisyon Tarifesi'!$K$2:$K$1000,MATCH($A92,'Komisyon Tarifesi'!$B$2:$B$1000,0)),INDEX('Komisyon Tarifesi'!$P$2:$P$1000,MATCH($A92,'Komisyon Tarifesi'!$B$2:$B$1000,0)),IF($D92&gt;=INDEX('Komisyon Tarifesi'!$M$2:$M$1000,MATCH($A92,'Komisyon Tarifesi'!$B$2:$B$1000,0)),INDEX('Komisyon Tarifesi'!$Q$2:$Q$1000,MATCH($A92,'Komisyon Tarifesi'!$B$2:$B$1000,0)),INDEX('Komisyon Tarifesi'!$R$2:$R$1000,MATCH($A92,'Komisyon Tarifesi'!$B$2:$B$1000,0)))))/100,IFERROR(IF(VLOOKUP($A92,Products!$A$2:$W$1000,21,0)&lt;&gt;"",$D92*VLOOKUP($A92,Products!$A$2:$W$1000,21,0)/100,""),"")))</f>
        <v>132.375</v>
      </c>
      <c r="F92" s="14">
        <f t="array" ref="F92">IF($A92="","",IFERROR(IF(INDEX('Maliyet Giris'!$G$2:$G$550,MATCH($A92,'Maliyet Giris'!$A$2:$A$550,0))="","",IF(INDEX('Maliyet Giris'!$G$2:$G$550,MATCH($A92,'Maliyet Giris'!$A$2:$A$550,0))&lt;=2,86.4,IF(INDEX('Maliyet Giris'!$G$2:$G$550,MATCH($A92,'Maliyet Giris'!$A$2:$A$550,0))&lt;=3,90,IF(INDEX('Maliyet Giris'!$G$2:$G$550,MATCH($A92,'Maliyet Giris'!$A$2:$A$550,0))&lt;=5,102,IF(INDEX('Maliyet Giris'!$G$2:$G$550,MATCH($A92,'Maliyet Giris'!$A$2:$A$550,0))&lt;=10,159.74,IF(INDEX('Maliyet Giris'!$G$2:$G$550,MATCH($A92,'Maliyet Giris'!$A$2:$A$550,0))&lt;=15,187.5,IF(INDEX('Maliyet Giris'!$G$2:$G$550,MATCH($A92,'Maliyet Giris'!$A$2:$A$550,0))&lt;=20,225,299))))))),""))</f>
        <v>90</v>
      </c>
      <c r="G92" s="14">
        <f t="array" ref="G92">IF($A92="","",IFERROR(INDEX('Maliyet Giris'!$F$2:$F$550,MATCH($A92,'Maliyet Giris'!$A$2:$A$550,0)),""))</f>
        <v>805</v>
      </c>
      <c r="H92" s="14">
        <f t="shared" si="1"/>
        <v>13.19</v>
      </c>
      <c r="I92" s="14">
        <f t="shared" si="2"/>
        <v>8.825</v>
      </c>
      <c r="J92" s="14">
        <f t="shared" si="3"/>
        <v>3.0725</v>
      </c>
      <c r="K92" s="14">
        <f t="shared" si="4"/>
        <v>6.5375</v>
      </c>
      <c r="L92" s="15">
        <f t="shared" si="5"/>
        <v>0.006173276676</v>
      </c>
      <c r="M92" s="17" t="str">
        <f t="shared" si="6"/>
        <v>KÂRLI</v>
      </c>
      <c r="N92" s="17" t="str">
        <f t="shared" si="7"/>
        <v/>
      </c>
      <c r="O92" s="17">
        <f t="array" ref="O92">IF($A92="","",IFERROR(INDEX('Maliyet Giris'!$G$2:$G$550,MATCH($A92,'Maliyet Giris'!$A$2:$A$550,0)),""))</f>
        <v>3</v>
      </c>
      <c r="P92" s="17" t="str">
        <f t="shared" si="8"/>
        <v/>
      </c>
      <c r="Q92" s="17" t="str">
        <f t="shared" si="9"/>
        <v/>
      </c>
      <c r="R92" s="14">
        <f t="shared" si="10"/>
        <v>1051.430988</v>
      </c>
      <c r="S92" s="14">
        <f t="shared" si="11"/>
        <v>7.569012252</v>
      </c>
      <c r="T92" s="17" t="str">
        <f t="shared" si="12"/>
        <v>RİSKLİ</v>
      </c>
      <c r="U92" s="17" t="str">
        <f t="shared" si="13"/>
        <v>Minimum fiyat altına düşme</v>
      </c>
    </row>
    <row r="93">
      <c r="A93" s="2">
        <f>IFERROR(__xludf.DUMMYFUNCTION("""COMPUTED_VALUE"""),5.274203597E10)</f>
        <v>52742035970</v>
      </c>
      <c r="B93" s="17" t="str">
        <f>IFERROR(__xludf.DUMMYFUNCTION("""COMPUTED_VALUE"""),"Hill's")</f>
        <v>Hill's</v>
      </c>
      <c r="C93" s="28" t="str">
        <f>IFERROR(__xludf.DUMMYFUNCTION("""COMPUTED_VALUE"""),"Hill’s SCIENCE PLAN Sterilised Ördekli Kısırlaştırılmış Kedi Maması 1,5 Kg")</f>
        <v>Hill’s SCIENCE PLAN Sterilised Ördekli Kısırlaştırılmış Kedi Maması 1,5 Kg</v>
      </c>
      <c r="D93" s="14">
        <f>IFERROR(__xludf.DUMMYFUNCTION("""COMPUTED_VALUE"""),1070.0)</f>
        <v>1070</v>
      </c>
      <c r="E93" s="14">
        <f t="array" ref="E93">IF($A93="","",IFERROR($D93*IF($D93&gt;=INDEX('Komisyon Tarifesi'!$I$2:$I$1000,MATCH($A93,'Komisyon Tarifesi'!$B$2:$B$1000,0)),INDEX('Komisyon Tarifesi'!$O$2:$O$1000,MATCH($A93,'Komisyon Tarifesi'!$B$2:$B$1000,0)),IF($D93&gt;=INDEX('Komisyon Tarifesi'!$K$2:$K$1000,MATCH($A93,'Komisyon Tarifesi'!$B$2:$B$1000,0)),INDEX('Komisyon Tarifesi'!$P$2:$P$1000,MATCH($A93,'Komisyon Tarifesi'!$B$2:$B$1000,0)),IF($D93&gt;=INDEX('Komisyon Tarifesi'!$M$2:$M$1000,MATCH($A93,'Komisyon Tarifesi'!$B$2:$B$1000,0)),INDEX('Komisyon Tarifesi'!$Q$2:$Q$1000,MATCH($A93,'Komisyon Tarifesi'!$B$2:$B$1000,0)),INDEX('Komisyon Tarifesi'!$R$2:$R$1000,MATCH($A93,'Komisyon Tarifesi'!$B$2:$B$1000,0)))))/100,IFERROR(IF(VLOOKUP($A93,Products!$A$2:$W$1000,21,0)&lt;&gt;"",$D93*VLOOKUP($A93,Products!$A$2:$W$1000,21,0)/100,""),"")))</f>
        <v>99.51</v>
      </c>
      <c r="F93" s="14">
        <f t="array" ref="F93">IF($A93="","",IFERROR(IF(INDEX('Maliyet Giris'!$G$2:$G$550,MATCH($A93,'Maliyet Giris'!$A$2:$A$550,0))="","",IF(INDEX('Maliyet Giris'!$G$2:$G$550,MATCH($A93,'Maliyet Giris'!$A$2:$A$550,0))&lt;=2,86.4,IF(INDEX('Maliyet Giris'!$G$2:$G$550,MATCH($A93,'Maliyet Giris'!$A$2:$A$550,0))&lt;=3,90,IF(INDEX('Maliyet Giris'!$G$2:$G$550,MATCH($A93,'Maliyet Giris'!$A$2:$A$550,0))&lt;=5,102,IF(INDEX('Maliyet Giris'!$G$2:$G$550,MATCH($A93,'Maliyet Giris'!$A$2:$A$550,0))&lt;=10,159.74,IF(INDEX('Maliyet Giris'!$G$2:$G$550,MATCH($A93,'Maliyet Giris'!$A$2:$A$550,0))&lt;=15,187.5,IF(INDEX('Maliyet Giris'!$G$2:$G$550,MATCH($A93,'Maliyet Giris'!$A$2:$A$550,0))&lt;=20,225,299))))))),""))</f>
        <v>90</v>
      </c>
      <c r="G93" s="14">
        <f t="array" ref="G93">IF($A93="","",IFERROR(INDEX('Maliyet Giris'!$F$2:$F$550,MATCH($A93,'Maliyet Giris'!$A$2:$A$550,0)),""))</f>
        <v>948</v>
      </c>
      <c r="H93" s="14">
        <f t="shared" si="1"/>
        <v>13.19</v>
      </c>
      <c r="I93" s="14">
        <f t="shared" si="2"/>
        <v>8.916666667</v>
      </c>
      <c r="J93" s="14">
        <f t="shared" si="3"/>
        <v>0</v>
      </c>
      <c r="K93" s="14">
        <f t="shared" si="4"/>
        <v>-89.61666667</v>
      </c>
      <c r="L93" s="15">
        <f t="shared" si="5"/>
        <v>-0.08375389408</v>
      </c>
      <c r="M93" s="17" t="str">
        <f t="shared" si="6"/>
        <v>ZARAR</v>
      </c>
      <c r="N93" s="17" t="str">
        <f t="shared" si="7"/>
        <v/>
      </c>
      <c r="O93" s="17">
        <f t="array" ref="O93">IF($A93="","",IFERROR(INDEX('Maliyet Giris'!$G$2:$G$550,MATCH($A93,'Maliyet Giris'!$A$2:$A$550,0)),""))</f>
        <v>3</v>
      </c>
      <c r="P93" s="17" t="str">
        <f t="shared" si="8"/>
        <v/>
      </c>
      <c r="Q93" s="17" t="str">
        <f t="shared" si="9"/>
        <v/>
      </c>
      <c r="R93" s="14">
        <f t="shared" si="10"/>
        <v>1169.721376</v>
      </c>
      <c r="S93" s="14">
        <f t="shared" si="11"/>
        <v>-99.72137622</v>
      </c>
      <c r="T93" s="17" t="str">
        <f t="shared" si="12"/>
        <v>ZARAR</v>
      </c>
      <c r="U93" s="17" t="str">
        <f t="shared" si="13"/>
        <v>Fiyat, maliyet veya kampanya kontrol et</v>
      </c>
    </row>
    <row r="94">
      <c r="A94" s="2">
        <f>IFERROR(__xludf.DUMMYFUNCTION("""COMPUTED_VALUE"""),5.2742023724E10)</f>
        <v>52742023724</v>
      </c>
      <c r="B94" s="17" t="str">
        <f>IFERROR(__xludf.DUMMYFUNCTION("""COMPUTED_VALUE"""),"Hill's")</f>
        <v>Hill's</v>
      </c>
      <c r="C94" s="28" t="str">
        <f>IFERROR(__xludf.DUMMYFUNCTION("""COMPUTED_VALUE"""),"SCIENCE PLAN Ton Balıklı Yetişkin Kedi Maması 1,5 Kg")</f>
        <v>SCIENCE PLAN Ton Balıklı Yetişkin Kedi Maması 1,5 Kg</v>
      </c>
      <c r="D94" s="14">
        <f>IFERROR(__xludf.DUMMYFUNCTION("""COMPUTED_VALUE"""),1068.75)</f>
        <v>1068.75</v>
      </c>
      <c r="E94" s="14">
        <f t="array" ref="E94">IF($A94="","",IFERROR($D94*IF($D94&gt;=INDEX('Komisyon Tarifesi'!$I$2:$I$1000,MATCH($A94,'Komisyon Tarifesi'!$B$2:$B$1000,0)),INDEX('Komisyon Tarifesi'!$O$2:$O$1000,MATCH($A94,'Komisyon Tarifesi'!$B$2:$B$1000,0)),IF($D94&gt;=INDEX('Komisyon Tarifesi'!$K$2:$K$1000,MATCH($A94,'Komisyon Tarifesi'!$B$2:$B$1000,0)),INDEX('Komisyon Tarifesi'!$P$2:$P$1000,MATCH($A94,'Komisyon Tarifesi'!$B$2:$B$1000,0)),IF($D94&gt;=INDEX('Komisyon Tarifesi'!$M$2:$M$1000,MATCH($A94,'Komisyon Tarifesi'!$B$2:$B$1000,0)),INDEX('Komisyon Tarifesi'!$Q$2:$Q$1000,MATCH($A94,'Komisyon Tarifesi'!$B$2:$B$1000,0)),INDEX('Komisyon Tarifesi'!$R$2:$R$1000,MATCH($A94,'Komisyon Tarifesi'!$B$2:$B$1000,0)))))/100,IFERROR(IF(VLOOKUP($A94,Products!$A$2:$W$1000,21,0)&lt;&gt;"",$D94*VLOOKUP($A94,Products!$A$2:$W$1000,21,0)/100,""),"")))</f>
        <v>133.59375</v>
      </c>
      <c r="F94" s="14">
        <f t="array" ref="F94">IF($A94="","",IFERROR(IF(INDEX('Maliyet Giris'!$G$2:$G$550,MATCH($A94,'Maliyet Giris'!$A$2:$A$550,0))="","",IF(INDEX('Maliyet Giris'!$G$2:$G$550,MATCH($A94,'Maliyet Giris'!$A$2:$A$550,0))&lt;=2,86.4,IF(INDEX('Maliyet Giris'!$G$2:$G$550,MATCH($A94,'Maliyet Giris'!$A$2:$A$550,0))&lt;=3,90,IF(INDEX('Maliyet Giris'!$G$2:$G$550,MATCH($A94,'Maliyet Giris'!$A$2:$A$550,0))&lt;=5,102,IF(INDEX('Maliyet Giris'!$G$2:$G$550,MATCH($A94,'Maliyet Giris'!$A$2:$A$550,0))&lt;=10,159.74,IF(INDEX('Maliyet Giris'!$G$2:$G$550,MATCH($A94,'Maliyet Giris'!$A$2:$A$550,0))&lt;=15,187.5,IF(INDEX('Maliyet Giris'!$G$2:$G$550,MATCH($A94,'Maliyet Giris'!$A$2:$A$550,0))&lt;=20,225,299))))))),""))</f>
        <v>90</v>
      </c>
      <c r="G94" s="14">
        <f t="array" ref="G94">IF($A94="","",IFERROR(INDEX('Maliyet Giris'!$F$2:$F$550,MATCH($A94,'Maliyet Giris'!$A$2:$A$550,0)),""))</f>
        <v>790</v>
      </c>
      <c r="H94" s="14">
        <f t="shared" si="1"/>
        <v>13.19</v>
      </c>
      <c r="I94" s="14">
        <f t="shared" si="2"/>
        <v>8.90625</v>
      </c>
      <c r="J94" s="14">
        <f t="shared" si="3"/>
        <v>6.994375</v>
      </c>
      <c r="K94" s="14">
        <f t="shared" si="4"/>
        <v>26.065625</v>
      </c>
      <c r="L94" s="15">
        <f t="shared" si="5"/>
        <v>0.02438888889</v>
      </c>
      <c r="M94" s="17" t="str">
        <f t="shared" si="6"/>
        <v>KÂRLI</v>
      </c>
      <c r="N94" s="17" t="str">
        <f t="shared" si="7"/>
        <v/>
      </c>
      <c r="O94" s="17">
        <f t="array" ref="O94">IF($A94="","",IFERROR(INDEX('Maliyet Giris'!$G$2:$G$550,MATCH($A94,'Maliyet Giris'!$A$2:$A$550,0)),""))</f>
        <v>3</v>
      </c>
      <c r="P94" s="17" t="str">
        <f t="shared" si="8"/>
        <v/>
      </c>
      <c r="Q94" s="17" t="str">
        <f t="shared" si="9"/>
        <v/>
      </c>
      <c r="R94" s="14">
        <f t="shared" si="10"/>
        <v>1038.445038</v>
      </c>
      <c r="S94" s="14">
        <f t="shared" si="11"/>
        <v>30.30496187</v>
      </c>
      <c r="T94" s="17" t="str">
        <f t="shared" si="12"/>
        <v>RİSKLİ</v>
      </c>
      <c r="U94" s="17" t="str">
        <f t="shared" si="13"/>
        <v>Minimum fiyat altına düşme</v>
      </c>
    </row>
    <row r="95">
      <c r="A95" s="2">
        <f>IFERROR(__xludf.DUMMYFUNCTION("""COMPUTED_VALUE"""),5.2742022949E10)</f>
        <v>52742022949</v>
      </c>
      <c r="B95" s="17" t="str">
        <f>IFERROR(__xludf.DUMMYFUNCTION("""COMPUTED_VALUE"""),"Hill's")</f>
        <v>Hill's</v>
      </c>
      <c r="C95" s="28" t="str">
        <f>IFERROR(__xludf.DUMMYFUNCTION("""COMPUTED_VALUE"""),"Hill’s SCIENCE PLAN Adult Lamb Kuzulu Yetişkin Kedi Maması 1,5 Kg")</f>
        <v>Hill’s SCIENCE PLAN Adult Lamb Kuzulu Yetişkin Kedi Maması 1,5 Kg</v>
      </c>
      <c r="D95" s="14">
        <f>IFERROR(__xludf.DUMMYFUNCTION("""COMPUTED_VALUE"""),1008.64)</f>
        <v>1008.64</v>
      </c>
      <c r="E95" s="14">
        <f t="array" ref="E95">IF($A95="","",IFERROR($D95*IF($D95&gt;=INDEX('Komisyon Tarifesi'!$I$2:$I$1000,MATCH($A95,'Komisyon Tarifesi'!$B$2:$B$1000,0)),INDEX('Komisyon Tarifesi'!$O$2:$O$1000,MATCH($A95,'Komisyon Tarifesi'!$B$2:$B$1000,0)),IF($D95&gt;=INDEX('Komisyon Tarifesi'!$K$2:$K$1000,MATCH($A95,'Komisyon Tarifesi'!$B$2:$B$1000,0)),INDEX('Komisyon Tarifesi'!$P$2:$P$1000,MATCH($A95,'Komisyon Tarifesi'!$B$2:$B$1000,0)),IF($D95&gt;=INDEX('Komisyon Tarifesi'!$M$2:$M$1000,MATCH($A95,'Komisyon Tarifesi'!$B$2:$B$1000,0)),INDEX('Komisyon Tarifesi'!$Q$2:$Q$1000,MATCH($A95,'Komisyon Tarifesi'!$B$2:$B$1000,0)),INDEX('Komisyon Tarifesi'!$R$2:$R$1000,MATCH($A95,'Komisyon Tarifesi'!$B$2:$B$1000,0)))))/100,IFERROR(IF(VLOOKUP($A95,Products!$A$2:$W$1000,21,0)&lt;&gt;"",$D95*VLOOKUP($A95,Products!$A$2:$W$1000,21,0)/100,""),"")))</f>
        <v>126.08</v>
      </c>
      <c r="F95" s="14">
        <f t="array" ref="F95">IF($A95="","",IFERROR(IF(INDEX('Maliyet Giris'!$G$2:$G$550,MATCH($A95,'Maliyet Giris'!$A$2:$A$550,0))="","",IF(INDEX('Maliyet Giris'!$G$2:$G$550,MATCH($A95,'Maliyet Giris'!$A$2:$A$550,0))&lt;=2,86.4,IF(INDEX('Maliyet Giris'!$G$2:$G$550,MATCH($A95,'Maliyet Giris'!$A$2:$A$550,0))&lt;=3,90,IF(INDEX('Maliyet Giris'!$G$2:$G$550,MATCH($A95,'Maliyet Giris'!$A$2:$A$550,0))&lt;=5,102,IF(INDEX('Maliyet Giris'!$G$2:$G$550,MATCH($A95,'Maliyet Giris'!$A$2:$A$550,0))&lt;=10,159.74,IF(INDEX('Maliyet Giris'!$G$2:$G$550,MATCH($A95,'Maliyet Giris'!$A$2:$A$550,0))&lt;=15,187.5,IF(INDEX('Maliyet Giris'!$G$2:$G$550,MATCH($A95,'Maliyet Giris'!$A$2:$A$550,0))&lt;=20,225,299))))))),""))</f>
        <v>90</v>
      </c>
      <c r="G95" s="14">
        <f t="array" ref="G95">IF($A95="","",IFERROR(INDEX('Maliyet Giris'!$F$2:$F$550,MATCH($A95,'Maliyet Giris'!$A$2:$A$550,0)),""))</f>
        <v>796</v>
      </c>
      <c r="H95" s="14">
        <f t="shared" si="1"/>
        <v>13.19</v>
      </c>
      <c r="I95" s="14">
        <f t="shared" si="2"/>
        <v>8.405333333</v>
      </c>
      <c r="J95" s="14">
        <f t="shared" si="3"/>
        <v>0</v>
      </c>
      <c r="K95" s="14">
        <f t="shared" si="4"/>
        <v>-25.03533333</v>
      </c>
      <c r="L95" s="15">
        <f t="shared" si="5"/>
        <v>-0.02482088092</v>
      </c>
      <c r="M95" s="17" t="str">
        <f t="shared" si="6"/>
        <v>ZARAR</v>
      </c>
      <c r="N95" s="17" t="str">
        <f t="shared" si="7"/>
        <v/>
      </c>
      <c r="O95" s="17">
        <f t="array" ref="O95">IF($A95="","",IFERROR(INDEX('Maliyet Giris'!$G$2:$G$550,MATCH($A95,'Maliyet Giris'!$A$2:$A$550,0)),""))</f>
        <v>3</v>
      </c>
      <c r="P95" s="17" t="str">
        <f t="shared" si="8"/>
        <v/>
      </c>
      <c r="Q95" s="17" t="str">
        <f t="shared" si="9"/>
        <v/>
      </c>
      <c r="R95" s="14">
        <f t="shared" si="10"/>
        <v>1037.526524</v>
      </c>
      <c r="S95" s="14">
        <f t="shared" si="11"/>
        <v>-28.88652403</v>
      </c>
      <c r="T95" s="17" t="str">
        <f t="shared" si="12"/>
        <v>ZARAR</v>
      </c>
      <c r="U95" s="17" t="str">
        <f t="shared" si="13"/>
        <v>Fiyat, maliyet veya kampanya kontrol et</v>
      </c>
    </row>
    <row r="96">
      <c r="A96" s="2" t="str">
        <f>IFERROR(__xludf.DUMMYFUNCTION("""COMPUTED_VALUE"""),"TYBJBM8LYFYNJK3R08")</f>
        <v>TYBJBM8LYFYNJK3R08</v>
      </c>
      <c r="B96" s="17" t="str">
        <f>IFERROR(__xludf.DUMMYFUNCTION("""COMPUTED_VALUE"""),"Gourmet")</f>
        <v>Gourmet</v>
      </c>
      <c r="C96" s="28" t="str">
        <f>IFERROR(__xludf.DUMMYFUNCTION("""COMPUTED_VALUE"""),"Gold Kıyılmış Hindi Etli Konserve Yetişkin Kedi Maması 12 x 85 G")</f>
        <v>Gold Kıyılmış Hindi Etli Konserve Yetişkin Kedi Maması 12 x 85 G</v>
      </c>
      <c r="D96" s="14">
        <f>IFERROR(__xludf.DUMMYFUNCTION("""COMPUTED_VALUE"""),539.9)</f>
        <v>539.9</v>
      </c>
      <c r="E96" s="14">
        <f t="array" ref="E96">IF($A96="","",IFERROR($D96*IF($D96&gt;=INDEX('Komisyon Tarifesi'!$I$2:$I$1000,MATCH($A96,'Komisyon Tarifesi'!$B$2:$B$1000,0)),INDEX('Komisyon Tarifesi'!$O$2:$O$1000,MATCH($A96,'Komisyon Tarifesi'!$B$2:$B$1000,0)),IF($D96&gt;=INDEX('Komisyon Tarifesi'!$K$2:$K$1000,MATCH($A96,'Komisyon Tarifesi'!$B$2:$B$1000,0)),INDEX('Komisyon Tarifesi'!$P$2:$P$1000,MATCH($A96,'Komisyon Tarifesi'!$B$2:$B$1000,0)),IF($D96&gt;=INDEX('Komisyon Tarifesi'!$M$2:$M$1000,MATCH($A96,'Komisyon Tarifesi'!$B$2:$B$1000,0)),INDEX('Komisyon Tarifesi'!$Q$2:$Q$1000,MATCH($A96,'Komisyon Tarifesi'!$B$2:$B$1000,0)),INDEX('Komisyon Tarifesi'!$R$2:$R$1000,MATCH($A96,'Komisyon Tarifesi'!$B$2:$B$1000,0)))))/100,IFERROR(IF(VLOOKUP($A96,Products!$A$2:$W$1000,21,0)&lt;&gt;"",$D96*VLOOKUP($A96,Products!$A$2:$W$1000,21,0)/100,""),"")))</f>
        <v>72.8865</v>
      </c>
      <c r="F96" s="14">
        <f t="array" ref="F96">IF($A96="","",IFERROR(IF(INDEX('Maliyet Giris'!$G$2:$G$550,MATCH($A96,'Maliyet Giris'!$A$2:$A$550,0))="","",IF(INDEX('Maliyet Giris'!$G$2:$G$550,MATCH($A96,'Maliyet Giris'!$A$2:$A$550,0))&lt;=2,86.4,IF(INDEX('Maliyet Giris'!$G$2:$G$550,MATCH($A96,'Maliyet Giris'!$A$2:$A$550,0))&lt;=3,90,IF(INDEX('Maliyet Giris'!$G$2:$G$550,MATCH($A96,'Maliyet Giris'!$A$2:$A$550,0))&lt;=5,102,IF(INDEX('Maliyet Giris'!$G$2:$G$550,MATCH($A96,'Maliyet Giris'!$A$2:$A$550,0))&lt;=10,159.74,IF(INDEX('Maliyet Giris'!$G$2:$G$550,MATCH($A96,'Maliyet Giris'!$A$2:$A$550,0))&lt;=15,187.5,IF(INDEX('Maliyet Giris'!$G$2:$G$550,MATCH($A96,'Maliyet Giris'!$A$2:$A$550,0))&lt;=20,225,299))))))),""))</f>
        <v>86.4</v>
      </c>
      <c r="G96" s="14">
        <f t="array" ref="G96">IF($A96="","",IFERROR(INDEX('Maliyet Giris'!$F$2:$F$550,MATCH($A96,'Maliyet Giris'!$A$2:$A$550,0)),""))</f>
        <v>290</v>
      </c>
      <c r="H96" s="14">
        <f t="shared" si="1"/>
        <v>13.19</v>
      </c>
      <c r="I96" s="14">
        <f t="shared" si="2"/>
        <v>4.499166667</v>
      </c>
      <c r="J96" s="14">
        <f t="shared" si="3"/>
        <v>12.90391667</v>
      </c>
      <c r="K96" s="14">
        <f t="shared" si="4"/>
        <v>60.02041667</v>
      </c>
      <c r="L96" s="15">
        <f t="shared" si="5"/>
        <v>0.1111695067</v>
      </c>
      <c r="M96" s="17" t="str">
        <f t="shared" si="6"/>
        <v>KÂRLI</v>
      </c>
      <c r="N96" s="17" t="str">
        <f t="shared" si="7"/>
        <v/>
      </c>
      <c r="O96" s="17">
        <f t="array" ref="O96">IF($A96="","",IFERROR(INDEX('Maliyet Giris'!$G$2:$G$550,MATCH($A96,'Maliyet Giris'!$A$2:$A$550,0)),""))</f>
        <v>1</v>
      </c>
      <c r="P96" s="17" t="str">
        <f t="shared" si="8"/>
        <v/>
      </c>
      <c r="Q96" s="17" t="str">
        <f t="shared" si="9"/>
        <v/>
      </c>
      <c r="R96" s="14">
        <f t="shared" si="10"/>
        <v>467.8262536</v>
      </c>
      <c r="S96" s="14">
        <f t="shared" si="11"/>
        <v>72.0737464</v>
      </c>
      <c r="T96" s="17" t="str">
        <f t="shared" si="12"/>
        <v>SAĞLIKLI</v>
      </c>
      <c r="U96" s="17" t="str">
        <f t="shared" si="13"/>
        <v>Takip et</v>
      </c>
    </row>
    <row r="97">
      <c r="A97" s="2" t="str">
        <f>IFERROR(__xludf.DUMMYFUNCTION("""COMPUTED_VALUE"""),"TYB10WDHHTYP18N968")</f>
        <v>TYB10WDHHTYP18N968</v>
      </c>
      <c r="B97" s="17" t="str">
        <f>IFERROR(__xludf.DUMMYFUNCTION("""COMPUTED_VALUE"""),"Gourmet")</f>
        <v>Gourmet</v>
      </c>
      <c r="C97" s="28" t="str">
        <f>IFERROR(__xludf.DUMMYFUNCTION("""COMPUTED_VALUE"""),"Purina Gold Kıyılmış Hindi Etli Konserve Yetişkin Kedi Maması 24 x 85 G")</f>
        <v>Purina Gold Kıyılmış Hindi Etli Konserve Yetişkin Kedi Maması 24 x 85 G</v>
      </c>
      <c r="D97" s="14">
        <f>IFERROR(__xludf.DUMMYFUNCTION("""COMPUTED_VALUE"""),786.49)</f>
        <v>786.49</v>
      </c>
      <c r="E97" s="14">
        <f t="array" ref="E97">IF($A97="","",IFERROR($D97*IF($D97&gt;=INDEX('Komisyon Tarifesi'!$I$2:$I$1000,MATCH($A97,'Komisyon Tarifesi'!$B$2:$B$1000,0)),INDEX('Komisyon Tarifesi'!$O$2:$O$1000,MATCH($A97,'Komisyon Tarifesi'!$B$2:$B$1000,0)),IF($D97&gt;=INDEX('Komisyon Tarifesi'!$K$2:$K$1000,MATCH($A97,'Komisyon Tarifesi'!$B$2:$B$1000,0)),INDEX('Komisyon Tarifesi'!$P$2:$P$1000,MATCH($A97,'Komisyon Tarifesi'!$B$2:$B$1000,0)),IF($D97&gt;=INDEX('Komisyon Tarifesi'!$M$2:$M$1000,MATCH($A97,'Komisyon Tarifesi'!$B$2:$B$1000,0)),INDEX('Komisyon Tarifesi'!$Q$2:$Q$1000,MATCH($A97,'Komisyon Tarifesi'!$B$2:$B$1000,0)),INDEX('Komisyon Tarifesi'!$R$2:$R$1000,MATCH($A97,'Komisyon Tarifesi'!$B$2:$B$1000,0)))))/100,IFERROR(IF(VLOOKUP($A97,Products!$A$2:$W$1000,21,0)&lt;&gt;"",$D97*VLOOKUP($A97,Products!$A$2:$W$1000,21,0)/100,""),"")))</f>
        <v>72.35708</v>
      </c>
      <c r="F97" s="14">
        <f t="array" ref="F97">IF($A97="","",IFERROR(IF(INDEX('Maliyet Giris'!$G$2:$G$550,MATCH($A97,'Maliyet Giris'!$A$2:$A$550,0))="","",IF(INDEX('Maliyet Giris'!$G$2:$G$550,MATCH($A97,'Maliyet Giris'!$A$2:$A$550,0))&lt;=2,86.4,IF(INDEX('Maliyet Giris'!$G$2:$G$550,MATCH($A97,'Maliyet Giris'!$A$2:$A$550,0))&lt;=3,90,IF(INDEX('Maliyet Giris'!$G$2:$G$550,MATCH($A97,'Maliyet Giris'!$A$2:$A$550,0))&lt;=5,102,IF(INDEX('Maliyet Giris'!$G$2:$G$550,MATCH($A97,'Maliyet Giris'!$A$2:$A$550,0))&lt;=10,159.74,IF(INDEX('Maliyet Giris'!$G$2:$G$550,MATCH($A97,'Maliyet Giris'!$A$2:$A$550,0))&lt;=15,187.5,IF(INDEX('Maliyet Giris'!$G$2:$G$550,MATCH($A97,'Maliyet Giris'!$A$2:$A$550,0))&lt;=20,225,299))))))),""))</f>
        <v>86.4</v>
      </c>
      <c r="G97" s="14">
        <f t="array" ref="G97">IF($A97="","",IFERROR(INDEX('Maliyet Giris'!$F$2:$F$550,MATCH($A97,'Maliyet Giris'!$A$2:$A$550,0)),""))</f>
        <v>580</v>
      </c>
      <c r="H97" s="14">
        <f t="shared" si="1"/>
        <v>13.19</v>
      </c>
      <c r="I97" s="14">
        <f t="shared" si="2"/>
        <v>6.554083333</v>
      </c>
      <c r="J97" s="14">
        <f t="shared" si="3"/>
        <v>5.757153333</v>
      </c>
      <c r="K97" s="14">
        <f t="shared" si="4"/>
        <v>22.23168333</v>
      </c>
      <c r="L97" s="15">
        <f t="shared" si="5"/>
        <v>0.0282669625</v>
      </c>
      <c r="M97" s="17" t="str">
        <f t="shared" si="6"/>
        <v>KÂRLI</v>
      </c>
      <c r="N97" s="17" t="str">
        <f t="shared" si="7"/>
        <v/>
      </c>
      <c r="O97" s="17">
        <f t="array" ref="O97">IF($A97="","",IFERROR(INDEX('Maliyet Giris'!$G$2:$G$550,MATCH($A97,'Maliyet Giris'!$A$2:$A$550,0)),""))</f>
        <v>1</v>
      </c>
      <c r="P97" s="17" t="str">
        <f t="shared" si="8"/>
        <v/>
      </c>
      <c r="Q97" s="17" t="str">
        <f t="shared" si="9"/>
        <v/>
      </c>
      <c r="R97" s="14">
        <f t="shared" si="10"/>
        <v>761.5759845</v>
      </c>
      <c r="S97" s="14">
        <f t="shared" si="11"/>
        <v>24.91401548</v>
      </c>
      <c r="T97" s="17" t="str">
        <f t="shared" si="12"/>
        <v>RİSKLİ</v>
      </c>
      <c r="U97" s="17" t="str">
        <f t="shared" si="13"/>
        <v>Minimum fiyat altına düşme</v>
      </c>
    </row>
    <row r="98">
      <c r="A98" s="2">
        <f>IFERROR(__xludf.DUMMYFUNCTION("""COMPUTED_VALUE"""),7.613031580992E12)</f>
        <v>7613031580992</v>
      </c>
      <c r="B98" s="17" t="str">
        <f>IFERROR(__xludf.DUMMYFUNCTION("""COMPUTED_VALUE"""),"Gourmet")</f>
        <v>Gourmet</v>
      </c>
      <c r="C98" s="28" t="str">
        <f>IFERROR(__xludf.DUMMYFUNCTION("""COMPUTED_VALUE"""),"Gold Kıyılmış Hindi Etli Konserve Yetişkin Kedi Maması 12 X 85 G")</f>
        <v>Gold Kıyılmış Hindi Etli Konserve Yetişkin Kedi Maması 12 X 85 G</v>
      </c>
      <c r="D98" s="14">
        <f>IFERROR(__xludf.DUMMYFUNCTION("""COMPUTED_VALUE"""),419.0)</f>
        <v>419</v>
      </c>
      <c r="E98" s="14">
        <f t="array" ref="E98">IF($A98="","",IFERROR($D98*IF($D98&gt;=INDEX('Komisyon Tarifesi'!$I$2:$I$1000,MATCH($A98,'Komisyon Tarifesi'!$B$2:$B$1000,0)),INDEX('Komisyon Tarifesi'!$O$2:$O$1000,MATCH($A98,'Komisyon Tarifesi'!$B$2:$B$1000,0)),IF($D98&gt;=INDEX('Komisyon Tarifesi'!$K$2:$K$1000,MATCH($A98,'Komisyon Tarifesi'!$B$2:$B$1000,0)),INDEX('Komisyon Tarifesi'!$P$2:$P$1000,MATCH($A98,'Komisyon Tarifesi'!$B$2:$B$1000,0)),IF($D98&gt;=INDEX('Komisyon Tarifesi'!$M$2:$M$1000,MATCH($A98,'Komisyon Tarifesi'!$B$2:$B$1000,0)),INDEX('Komisyon Tarifesi'!$Q$2:$Q$1000,MATCH($A98,'Komisyon Tarifesi'!$B$2:$B$1000,0)),INDEX('Komisyon Tarifesi'!$R$2:$R$1000,MATCH($A98,'Komisyon Tarifesi'!$B$2:$B$1000,0)))))/100,IFERROR(IF(VLOOKUP($A98,Products!$A$2:$W$1000,21,0)&lt;&gt;"",$D98*VLOOKUP($A98,Products!$A$2:$W$1000,21,0)/100,""),"")))</f>
        <v>56.565</v>
      </c>
      <c r="F98" s="14">
        <f t="array" ref="F98">IF($A98="","",IFERROR(IF(INDEX('Maliyet Giris'!$G$2:$G$550,MATCH($A98,'Maliyet Giris'!$A$2:$A$550,0))="","",IF(INDEX('Maliyet Giris'!$G$2:$G$550,MATCH($A98,'Maliyet Giris'!$A$2:$A$550,0))&lt;=2,86.4,IF(INDEX('Maliyet Giris'!$G$2:$G$550,MATCH($A98,'Maliyet Giris'!$A$2:$A$550,0))&lt;=3,90,IF(INDEX('Maliyet Giris'!$G$2:$G$550,MATCH($A98,'Maliyet Giris'!$A$2:$A$550,0))&lt;=5,102,IF(INDEX('Maliyet Giris'!$G$2:$G$550,MATCH($A98,'Maliyet Giris'!$A$2:$A$550,0))&lt;=10,159.74,IF(INDEX('Maliyet Giris'!$G$2:$G$550,MATCH($A98,'Maliyet Giris'!$A$2:$A$550,0))&lt;=15,187.5,IF(INDEX('Maliyet Giris'!$G$2:$G$550,MATCH($A98,'Maliyet Giris'!$A$2:$A$550,0))&lt;=20,225,299))))))),""))</f>
        <v>86.4</v>
      </c>
      <c r="G98" s="14">
        <f t="array" ref="G98">IF($A98="","",IFERROR(INDEX('Maliyet Giris'!$F$2:$F$550,MATCH($A98,'Maliyet Giris'!$A$2:$A$550,0)),""))</f>
        <v>290</v>
      </c>
      <c r="H98" s="14">
        <f t="shared" si="1"/>
        <v>13.19</v>
      </c>
      <c r="I98" s="14">
        <f t="shared" si="2"/>
        <v>3.491666667</v>
      </c>
      <c r="J98" s="14">
        <f t="shared" si="3"/>
        <v>0</v>
      </c>
      <c r="K98" s="14">
        <f t="shared" si="4"/>
        <v>-30.64666667</v>
      </c>
      <c r="L98" s="15">
        <f t="shared" si="5"/>
        <v>-0.07314240255</v>
      </c>
      <c r="M98" s="17" t="str">
        <f t="shared" si="6"/>
        <v>ZARAR</v>
      </c>
      <c r="N98" s="17" t="str">
        <f t="shared" si="7"/>
        <v/>
      </c>
      <c r="O98" s="17">
        <f t="array" ref="O98">IF($A98="","",IFERROR(INDEX('Maliyet Giris'!$G$2:$G$550,MATCH($A98,'Maliyet Giris'!$A$2:$A$550,0)),""))</f>
        <v>1</v>
      </c>
      <c r="P98" s="17" t="str">
        <f t="shared" si="8"/>
        <v/>
      </c>
      <c r="Q98" s="17" t="str">
        <f t="shared" si="9"/>
        <v/>
      </c>
      <c r="R98" s="14">
        <f t="shared" si="10"/>
        <v>454.7741421</v>
      </c>
      <c r="S98" s="14">
        <f t="shared" si="11"/>
        <v>-35.77414211</v>
      </c>
      <c r="T98" s="17" t="str">
        <f t="shared" si="12"/>
        <v>ZARAR</v>
      </c>
      <c r="U98" s="17" t="str">
        <f t="shared" si="13"/>
        <v>Fiyat, maliyet veya kampanya kontrol et</v>
      </c>
    </row>
    <row r="99">
      <c r="A99" s="2">
        <f>IFERROR(__xludf.DUMMYFUNCTION("""COMPUTED_VALUE"""),1.28022022E8)</f>
        <v>128022022</v>
      </c>
      <c r="B99" s="17" t="str">
        <f>IFERROR(__xludf.DUMMYFUNCTION("""COMPUTED_VALUE"""),"Royal Canin")</f>
        <v>Royal Canin</v>
      </c>
      <c r="C99" s="28" t="str">
        <f>IFERROR(__xludf.DUMMYFUNCTION("""COMPUTED_VALUE"""),"Poodle Adult 3 kg")</f>
        <v>Poodle Adult 3 kg</v>
      </c>
      <c r="D99" s="14">
        <f>IFERROR(__xludf.DUMMYFUNCTION("""COMPUTED_VALUE"""),1602.0)</f>
        <v>1602</v>
      </c>
      <c r="E99" s="14">
        <f t="array" ref="E99">IF($A99="","",IFERROR($D99*IF($D99&gt;=INDEX('Komisyon Tarifesi'!$I$2:$I$1000,MATCH($A99,'Komisyon Tarifesi'!$B$2:$B$1000,0)),INDEX('Komisyon Tarifesi'!$O$2:$O$1000,MATCH($A99,'Komisyon Tarifesi'!$B$2:$B$1000,0)),IF($D99&gt;=INDEX('Komisyon Tarifesi'!$K$2:$K$1000,MATCH($A99,'Komisyon Tarifesi'!$B$2:$B$1000,0)),INDEX('Komisyon Tarifesi'!$P$2:$P$1000,MATCH($A99,'Komisyon Tarifesi'!$B$2:$B$1000,0)),IF($D99&gt;=INDEX('Komisyon Tarifesi'!$M$2:$M$1000,MATCH($A99,'Komisyon Tarifesi'!$B$2:$B$1000,0)),INDEX('Komisyon Tarifesi'!$Q$2:$Q$1000,MATCH($A99,'Komisyon Tarifesi'!$B$2:$B$1000,0)),INDEX('Komisyon Tarifesi'!$R$2:$R$1000,MATCH($A99,'Komisyon Tarifesi'!$B$2:$B$1000,0)))))/100,IFERROR(IF(VLOOKUP($A99,Products!$A$2:$W$1000,21,0)&lt;&gt;"",$D99*VLOOKUP($A99,Products!$A$2:$W$1000,21,0)/100,""),"")))</f>
        <v>200.25</v>
      </c>
      <c r="F99" s="14">
        <f t="array" ref="F99">IF($A99="","",IFERROR(IF(INDEX('Maliyet Giris'!$G$2:$G$550,MATCH($A99,'Maliyet Giris'!$A$2:$A$550,0))="","",IF(INDEX('Maliyet Giris'!$G$2:$G$550,MATCH($A99,'Maliyet Giris'!$A$2:$A$550,0))&lt;=2,86.4,IF(INDEX('Maliyet Giris'!$G$2:$G$550,MATCH($A99,'Maliyet Giris'!$A$2:$A$550,0))&lt;=3,90,IF(INDEX('Maliyet Giris'!$G$2:$G$550,MATCH($A99,'Maliyet Giris'!$A$2:$A$550,0))&lt;=5,102,IF(INDEX('Maliyet Giris'!$G$2:$G$550,MATCH($A99,'Maliyet Giris'!$A$2:$A$550,0))&lt;=10,159.74,IF(INDEX('Maliyet Giris'!$G$2:$G$550,MATCH($A99,'Maliyet Giris'!$A$2:$A$550,0))&lt;=15,187.5,IF(INDEX('Maliyet Giris'!$G$2:$G$550,MATCH($A99,'Maliyet Giris'!$A$2:$A$550,0))&lt;=20,225,299))))))),""))</f>
        <v>90</v>
      </c>
      <c r="G99" s="14">
        <f t="array" ref="G99">IF($A99="","",IFERROR(INDEX('Maliyet Giris'!$F$2:$F$550,MATCH($A99,'Maliyet Giris'!$A$2:$A$550,0)),""))</f>
        <v>1137.36</v>
      </c>
      <c r="H99" s="14">
        <f t="shared" si="1"/>
        <v>13.19</v>
      </c>
      <c r="I99" s="14">
        <f t="shared" si="2"/>
        <v>13.35</v>
      </c>
      <c r="J99" s="14">
        <f t="shared" si="3"/>
        <v>26.86666667</v>
      </c>
      <c r="K99" s="14">
        <f t="shared" si="4"/>
        <v>120.9833333</v>
      </c>
      <c r="L99" s="15">
        <f t="shared" si="5"/>
        <v>0.0755201831</v>
      </c>
      <c r="M99" s="17" t="str">
        <f t="shared" si="6"/>
        <v>KÂRLI</v>
      </c>
      <c r="N99" s="17" t="str">
        <f t="shared" si="7"/>
        <v/>
      </c>
      <c r="O99" s="17">
        <f t="array" ref="O99">IF($A99="","",IFERROR(INDEX('Maliyet Giris'!$G$2:$G$550,MATCH($A99,'Maliyet Giris'!$A$2:$A$550,0)),""))</f>
        <v>3</v>
      </c>
      <c r="P99" s="17" t="str">
        <f t="shared" si="8"/>
        <v/>
      </c>
      <c r="Q99" s="17" t="str">
        <f t="shared" si="9"/>
        <v/>
      </c>
      <c r="R99" s="14">
        <f t="shared" si="10"/>
        <v>1459.648671</v>
      </c>
      <c r="S99" s="14">
        <f t="shared" si="11"/>
        <v>142.351329</v>
      </c>
      <c r="T99" s="17" t="str">
        <f t="shared" si="12"/>
        <v>DÜŞÜK KÂR</v>
      </c>
      <c r="U99" s="17" t="str">
        <f t="shared" si="13"/>
        <v>Reklam/komisyon etkisini kontrol et</v>
      </c>
    </row>
    <row r="100">
      <c r="A100" s="2">
        <f>IFERROR(__xludf.DUMMYFUNCTION("""COMPUTED_VALUE"""),7.613036505277E12)</f>
        <v>7613036505277</v>
      </c>
      <c r="B100" s="17" t="str">
        <f>IFERROR(__xludf.DUMMYFUNCTION("""COMPUTED_VALUE"""),"Pro Plan")</f>
        <v>Pro Plan</v>
      </c>
      <c r="C100" s="28" t="str">
        <f>IFERROR(__xludf.DUMMYFUNCTION("""COMPUTED_VALUE"""),"Purina Kitten Tavuklu Yavru Kedi Maması 3 KG")</f>
        <v>Purina Kitten Tavuklu Yavru Kedi Maması 3 KG</v>
      </c>
      <c r="D100" s="14">
        <f>IFERROR(__xludf.DUMMYFUNCTION("""COMPUTED_VALUE"""),1243.0)</f>
        <v>1243</v>
      </c>
      <c r="E100" s="14">
        <f t="array" ref="E100">IF($A100="","",IFERROR($D100*IF($D100&gt;=INDEX('Komisyon Tarifesi'!$I$2:$I$1000,MATCH($A100,'Komisyon Tarifesi'!$B$2:$B$1000,0)),INDEX('Komisyon Tarifesi'!$O$2:$O$1000,MATCH($A100,'Komisyon Tarifesi'!$B$2:$B$1000,0)),IF($D100&gt;=INDEX('Komisyon Tarifesi'!$K$2:$K$1000,MATCH($A100,'Komisyon Tarifesi'!$B$2:$B$1000,0)),INDEX('Komisyon Tarifesi'!$P$2:$P$1000,MATCH($A100,'Komisyon Tarifesi'!$B$2:$B$1000,0)),IF($D100&gt;=INDEX('Komisyon Tarifesi'!$M$2:$M$1000,MATCH($A100,'Komisyon Tarifesi'!$B$2:$B$1000,0)),INDEX('Komisyon Tarifesi'!$Q$2:$Q$1000,MATCH($A100,'Komisyon Tarifesi'!$B$2:$B$1000,0)),INDEX('Komisyon Tarifesi'!$R$2:$R$1000,MATCH($A100,'Komisyon Tarifesi'!$B$2:$B$1000,0)))))/100,IFERROR(IF(VLOOKUP($A100,Products!$A$2:$W$1000,21,0)&lt;&gt;"",$D100*VLOOKUP($A100,Products!$A$2:$W$1000,21,0)/100,""),"")))</f>
        <v>155.375</v>
      </c>
      <c r="F100" s="14">
        <f t="array" ref="F100">IF($A100="","",IFERROR(IF(INDEX('Maliyet Giris'!$G$2:$G$550,MATCH($A100,'Maliyet Giris'!$A$2:$A$550,0))="","",IF(INDEX('Maliyet Giris'!$G$2:$G$550,MATCH($A100,'Maliyet Giris'!$A$2:$A$550,0))&lt;=2,86.4,IF(INDEX('Maliyet Giris'!$G$2:$G$550,MATCH($A100,'Maliyet Giris'!$A$2:$A$550,0))&lt;=3,90,IF(INDEX('Maliyet Giris'!$G$2:$G$550,MATCH($A100,'Maliyet Giris'!$A$2:$A$550,0))&lt;=5,102,IF(INDEX('Maliyet Giris'!$G$2:$G$550,MATCH($A100,'Maliyet Giris'!$A$2:$A$550,0))&lt;=10,159.74,IF(INDEX('Maliyet Giris'!$G$2:$G$550,MATCH($A100,'Maliyet Giris'!$A$2:$A$550,0))&lt;=15,187.5,IF(INDEX('Maliyet Giris'!$G$2:$G$550,MATCH($A100,'Maliyet Giris'!$A$2:$A$550,0))&lt;=20,225,299))))))),""))</f>
        <v>90</v>
      </c>
      <c r="G100" s="14">
        <f t="array" ref="G100">IF($A100="","",IFERROR(INDEX('Maliyet Giris'!$F$2:$F$550,MATCH($A100,'Maliyet Giris'!$A$2:$A$550,0)),""))</f>
        <v>900</v>
      </c>
      <c r="H100" s="14">
        <f t="shared" si="1"/>
        <v>13.19</v>
      </c>
      <c r="I100" s="14">
        <f t="shared" si="2"/>
        <v>10.35833333</v>
      </c>
      <c r="J100" s="14">
        <f t="shared" si="3"/>
        <v>14.0725</v>
      </c>
      <c r="K100" s="14">
        <f t="shared" si="4"/>
        <v>60.00416667</v>
      </c>
      <c r="L100" s="15">
        <f t="shared" si="5"/>
        <v>0.04827366586</v>
      </c>
      <c r="M100" s="17" t="str">
        <f t="shared" si="6"/>
        <v>KÂRLI</v>
      </c>
      <c r="N100" s="17" t="str">
        <f t="shared" si="7"/>
        <v/>
      </c>
      <c r="O100" s="17">
        <f t="array" ref="O100">IF($A100="","",IFERROR(INDEX('Maliyet Giris'!$G$2:$G$550,MATCH($A100,'Maliyet Giris'!$A$2:$A$550,0)),""))</f>
        <v>3</v>
      </c>
      <c r="P100" s="17" t="str">
        <f t="shared" si="8"/>
        <v/>
      </c>
      <c r="Q100" s="17" t="str">
        <f t="shared" si="9"/>
        <v/>
      </c>
      <c r="R100" s="14">
        <f t="shared" si="10"/>
        <v>1172.84756</v>
      </c>
      <c r="S100" s="14">
        <f t="shared" si="11"/>
        <v>70.15244012</v>
      </c>
      <c r="T100" s="17" t="str">
        <f t="shared" si="12"/>
        <v>DÜŞÜK KÂR</v>
      </c>
      <c r="U100" s="17" t="str">
        <f t="shared" si="13"/>
        <v>Reklam/komisyon etkisini kontrol et</v>
      </c>
    </row>
    <row r="101">
      <c r="A101" s="2" t="str">
        <f>IFERROR(__xludf.DUMMYFUNCTION("""COMPUTED_VALUE"""),"TYB9771GESJQWCAB60")</f>
        <v>TYB9771GESJQWCAB60</v>
      </c>
      <c r="B101" s="17" t="str">
        <f>IFERROR(__xludf.DUMMYFUNCTION("""COMPUTED_VALUE"""),"Gourmet")</f>
        <v>Gourmet</v>
      </c>
      <c r="C101" s="28" t="str">
        <f>IFERROR(__xludf.DUMMYFUNCTION("""COMPUTED_VALUE"""),"Karışık Kıyılmış Konserve Yetişkin Kedi Yaş Maması 24 X 85 gr")</f>
        <v>Karışık Kıyılmış Konserve Yetişkin Kedi Yaş Maması 24 X 85 gr</v>
      </c>
      <c r="D101" s="14">
        <f>IFERROR(__xludf.DUMMYFUNCTION("""COMPUTED_VALUE"""),736.0)</f>
        <v>736</v>
      </c>
      <c r="E101" s="14">
        <f t="array" ref="E101">IF($A101="","",IFERROR($D101*IF($D101&gt;=INDEX('Komisyon Tarifesi'!$I$2:$I$1000,MATCH($A101,'Komisyon Tarifesi'!$B$2:$B$1000,0)),INDEX('Komisyon Tarifesi'!$O$2:$O$1000,MATCH($A101,'Komisyon Tarifesi'!$B$2:$B$1000,0)),IF($D101&gt;=INDEX('Komisyon Tarifesi'!$K$2:$K$1000,MATCH($A101,'Komisyon Tarifesi'!$B$2:$B$1000,0)),INDEX('Komisyon Tarifesi'!$P$2:$P$1000,MATCH($A101,'Komisyon Tarifesi'!$B$2:$B$1000,0)),IF($D101&gt;=INDEX('Komisyon Tarifesi'!$M$2:$M$1000,MATCH($A101,'Komisyon Tarifesi'!$B$2:$B$1000,0)),INDEX('Komisyon Tarifesi'!$Q$2:$Q$1000,MATCH($A101,'Komisyon Tarifesi'!$B$2:$B$1000,0)),INDEX('Komisyon Tarifesi'!$R$2:$R$1000,MATCH($A101,'Komisyon Tarifesi'!$B$2:$B$1000,0)))))/100,IFERROR(IF(VLOOKUP($A101,Products!$A$2:$W$1000,21,0)&lt;&gt;"",$D101*VLOOKUP($A101,Products!$A$2:$W$1000,21,0)/100,""),"")))</f>
        <v>48.576</v>
      </c>
      <c r="F101" s="14">
        <f t="array" ref="F101">IF($A101="","",IFERROR(IF(INDEX('Maliyet Giris'!$G$2:$G$550,MATCH($A101,'Maliyet Giris'!$A$2:$A$550,0))="","",IF(INDEX('Maliyet Giris'!$G$2:$G$550,MATCH($A101,'Maliyet Giris'!$A$2:$A$550,0))&lt;=2,86.4,IF(INDEX('Maliyet Giris'!$G$2:$G$550,MATCH($A101,'Maliyet Giris'!$A$2:$A$550,0))&lt;=3,90,IF(INDEX('Maliyet Giris'!$G$2:$G$550,MATCH($A101,'Maliyet Giris'!$A$2:$A$550,0))&lt;=5,102,IF(INDEX('Maliyet Giris'!$G$2:$G$550,MATCH($A101,'Maliyet Giris'!$A$2:$A$550,0))&lt;=10,159.74,IF(INDEX('Maliyet Giris'!$G$2:$G$550,MATCH($A101,'Maliyet Giris'!$A$2:$A$550,0))&lt;=15,187.5,IF(INDEX('Maliyet Giris'!$G$2:$G$550,MATCH($A101,'Maliyet Giris'!$A$2:$A$550,0))&lt;=20,225,299))))))),""))</f>
        <v>86.4</v>
      </c>
      <c r="G101" s="14">
        <f t="array" ref="G101">IF($A101="","",IFERROR(INDEX('Maliyet Giris'!$F$2:$F$550,MATCH($A101,'Maliyet Giris'!$A$2:$A$550,0)),""))</f>
        <v>580</v>
      </c>
      <c r="H101" s="14">
        <f t="shared" si="1"/>
        <v>13.19</v>
      </c>
      <c r="I101" s="14">
        <f t="shared" si="2"/>
        <v>6.133333333</v>
      </c>
      <c r="J101" s="14">
        <f t="shared" si="3"/>
        <v>1.305666667</v>
      </c>
      <c r="K101" s="14">
        <f t="shared" si="4"/>
        <v>0.395</v>
      </c>
      <c r="L101" s="15">
        <f t="shared" si="5"/>
        <v>0.0005366847826</v>
      </c>
      <c r="M101" s="17" t="str">
        <f t="shared" si="6"/>
        <v>KÂRLI</v>
      </c>
      <c r="N101" s="17" t="str">
        <f t="shared" si="7"/>
        <v/>
      </c>
      <c r="O101" s="17">
        <f t="array" ref="O101">IF($A101="","",IFERROR(INDEX('Maliyet Giris'!$G$2:$G$550,MATCH($A101,'Maliyet Giris'!$A$2:$A$550,0)),""))</f>
        <v>2</v>
      </c>
      <c r="P101" s="17" t="str">
        <f t="shared" si="8"/>
        <v/>
      </c>
      <c r="Q101" s="17" t="str">
        <f t="shared" si="9"/>
        <v/>
      </c>
      <c r="R101" s="14">
        <f t="shared" si="10"/>
        <v>735.5721958</v>
      </c>
      <c r="S101" s="14">
        <f t="shared" si="11"/>
        <v>0.4278042315</v>
      </c>
      <c r="T101" s="17" t="str">
        <f t="shared" si="12"/>
        <v>RİSKLİ</v>
      </c>
      <c r="U101" s="17" t="str">
        <f t="shared" si="13"/>
        <v>Minimum fiyat altına düşme</v>
      </c>
    </row>
    <row r="102">
      <c r="A102" s="2" t="str">
        <f>IFERROR(__xludf.DUMMYFUNCTION("""COMPUTED_VALUE"""),"TYB48E6K7S39UBYY86")</f>
        <v>TYB48E6K7S39UBYY86</v>
      </c>
      <c r="B102" s="17" t="str">
        <f>IFERROR(__xludf.DUMMYFUNCTION("""COMPUTED_VALUE"""),"Purina Felix")</f>
        <v>Purina Felix</v>
      </c>
      <c r="C102" s="28" t="str">
        <f>IFERROR(__xludf.DUMMYFUNCTION("""COMPUTED_VALUE"""),"Felix Kedi Maması Somonlu &amp; Ton Balıklı Ekonomik Paket (4x85gr) X 12 Adet")</f>
        <v>Felix Kedi Maması Somonlu &amp; Ton Balıklı Ekonomik Paket (4x85gr) X 12 Adet</v>
      </c>
      <c r="D102" s="14">
        <f>IFERROR(__xludf.DUMMYFUNCTION("""COMPUTED_VALUE"""),1059.85)</f>
        <v>1059.85</v>
      </c>
      <c r="E102" s="14">
        <f t="array" ref="E102">IF($A102="","",IFERROR($D102*IF($D102&gt;=INDEX('Komisyon Tarifesi'!$I$2:$I$1000,MATCH($A102,'Komisyon Tarifesi'!$B$2:$B$1000,0)),INDEX('Komisyon Tarifesi'!$O$2:$O$1000,MATCH($A102,'Komisyon Tarifesi'!$B$2:$B$1000,0)),IF($D102&gt;=INDEX('Komisyon Tarifesi'!$K$2:$K$1000,MATCH($A102,'Komisyon Tarifesi'!$B$2:$B$1000,0)),INDEX('Komisyon Tarifesi'!$P$2:$P$1000,MATCH($A102,'Komisyon Tarifesi'!$B$2:$B$1000,0)),IF($D102&gt;=INDEX('Komisyon Tarifesi'!$M$2:$M$1000,MATCH($A102,'Komisyon Tarifesi'!$B$2:$B$1000,0)),INDEX('Komisyon Tarifesi'!$Q$2:$Q$1000,MATCH($A102,'Komisyon Tarifesi'!$B$2:$B$1000,0)),INDEX('Komisyon Tarifesi'!$R$2:$R$1000,MATCH($A102,'Komisyon Tarifesi'!$B$2:$B$1000,0)))))/100,IFERROR(IF(VLOOKUP($A102,Products!$A$2:$W$1000,21,0)&lt;&gt;"",$D102*VLOOKUP($A102,Products!$A$2:$W$1000,21,0)/100,""),"")))</f>
        <v>174.87525</v>
      </c>
      <c r="F102" s="14">
        <f t="array" ref="F102">IF($A102="","",IFERROR(IF(INDEX('Maliyet Giris'!$G$2:$G$550,MATCH($A102,'Maliyet Giris'!$A$2:$A$550,0))="","",IF(INDEX('Maliyet Giris'!$G$2:$G$550,MATCH($A102,'Maliyet Giris'!$A$2:$A$550,0))&lt;=2,86.4,IF(INDEX('Maliyet Giris'!$G$2:$G$550,MATCH($A102,'Maliyet Giris'!$A$2:$A$550,0))&lt;=3,90,IF(INDEX('Maliyet Giris'!$G$2:$G$550,MATCH($A102,'Maliyet Giris'!$A$2:$A$550,0))&lt;=5,102,IF(INDEX('Maliyet Giris'!$G$2:$G$550,MATCH($A102,'Maliyet Giris'!$A$2:$A$550,0))&lt;=10,159.74,IF(INDEX('Maliyet Giris'!$G$2:$G$550,MATCH($A102,'Maliyet Giris'!$A$2:$A$550,0))&lt;=15,187.5,IF(INDEX('Maliyet Giris'!$G$2:$G$550,MATCH($A102,'Maliyet Giris'!$A$2:$A$550,0))&lt;=20,225,299))))))),""))</f>
        <v>90</v>
      </c>
      <c r="G102" s="14">
        <f t="array" ref="G102">IF($A102="","",IFERROR(INDEX('Maliyet Giris'!$F$2:$F$550,MATCH($A102,'Maliyet Giris'!$A$2:$A$550,0)),""))</f>
        <v>720</v>
      </c>
      <c r="H102" s="14">
        <f t="shared" si="1"/>
        <v>13.19</v>
      </c>
      <c r="I102" s="14">
        <f t="shared" si="2"/>
        <v>8.832083333</v>
      </c>
      <c r="J102" s="14">
        <f t="shared" si="3"/>
        <v>10.29745833</v>
      </c>
      <c r="K102" s="14">
        <f t="shared" si="4"/>
        <v>42.65520833</v>
      </c>
      <c r="L102" s="15">
        <f t="shared" si="5"/>
        <v>0.04024645783</v>
      </c>
      <c r="M102" s="17" t="str">
        <f t="shared" si="6"/>
        <v>KÂRLI</v>
      </c>
      <c r="N102" s="17" t="str">
        <f t="shared" si="7"/>
        <v/>
      </c>
      <c r="O102" s="17">
        <f t="array" ref="O102">IF($A102="","",IFERROR(INDEX('Maliyet Giris'!$G$2:$G$550,MATCH($A102,'Maliyet Giris'!$A$2:$A$550,0)),""))</f>
        <v>3</v>
      </c>
      <c r="P102" s="17" t="str">
        <f t="shared" si="8"/>
        <v/>
      </c>
      <c r="Q102" s="17" t="str">
        <f t="shared" si="9"/>
        <v/>
      </c>
      <c r="R102" s="14">
        <f t="shared" si="10"/>
        <v>1007.636881</v>
      </c>
      <c r="S102" s="14">
        <f t="shared" si="11"/>
        <v>52.21311858</v>
      </c>
      <c r="T102" s="17" t="str">
        <f t="shared" si="12"/>
        <v>DÜŞÜK KÂR</v>
      </c>
      <c r="U102" s="17" t="str">
        <f t="shared" si="13"/>
        <v>Reklam/komisyon etkisini kontrol et</v>
      </c>
    </row>
    <row r="103">
      <c r="A103" s="2">
        <f>IFERROR(__xludf.DUMMYFUNCTION("""COMPUTED_VALUE"""),7.41245638741E11)</f>
        <v>741245638741</v>
      </c>
      <c r="B103" s="17" t="str">
        <f>IFERROR(__xludf.DUMMYFUNCTION("""COMPUTED_VALUE"""),"Gourmet")</f>
        <v>Gourmet</v>
      </c>
      <c r="C103" s="28" t="str">
        <f>IFERROR(__xludf.DUMMYFUNCTION("""COMPUTED_VALUE"""),"Purina Gold Kıyılmış Sığır Etli Kedi Yaş Maması 85 Gr 12 Adet")</f>
        <v>Purina Gold Kıyılmış Sığır Etli Kedi Yaş Maması 85 Gr 12 Adet</v>
      </c>
      <c r="D103" s="14">
        <f>IFERROR(__xludf.DUMMYFUNCTION("""COMPUTED_VALUE"""),426.25)</f>
        <v>426.25</v>
      </c>
      <c r="E103" s="14">
        <f t="array" ref="E103">IF($A103="","",IFERROR($D103*IF($D103&gt;=INDEX('Komisyon Tarifesi'!$I$2:$I$1000,MATCH($A103,'Komisyon Tarifesi'!$B$2:$B$1000,0)),INDEX('Komisyon Tarifesi'!$O$2:$O$1000,MATCH($A103,'Komisyon Tarifesi'!$B$2:$B$1000,0)),IF($D103&gt;=INDEX('Komisyon Tarifesi'!$K$2:$K$1000,MATCH($A103,'Komisyon Tarifesi'!$B$2:$B$1000,0)),INDEX('Komisyon Tarifesi'!$P$2:$P$1000,MATCH($A103,'Komisyon Tarifesi'!$B$2:$B$1000,0)),IF($D103&gt;=INDEX('Komisyon Tarifesi'!$M$2:$M$1000,MATCH($A103,'Komisyon Tarifesi'!$B$2:$B$1000,0)),INDEX('Komisyon Tarifesi'!$Q$2:$Q$1000,MATCH($A103,'Komisyon Tarifesi'!$B$2:$B$1000,0)),INDEX('Komisyon Tarifesi'!$R$2:$R$1000,MATCH($A103,'Komisyon Tarifesi'!$B$2:$B$1000,0)))))/100,IFERROR(IF(VLOOKUP($A103,Products!$A$2:$W$1000,21,0)&lt;&gt;"",$D103*VLOOKUP($A103,Products!$A$2:$W$1000,21,0)/100,""),"")))</f>
        <v>21.73875</v>
      </c>
      <c r="F103" s="14">
        <f t="array" ref="F103">IF($A103="","",IFERROR(IF(INDEX('Maliyet Giris'!$G$2:$G$550,MATCH($A103,'Maliyet Giris'!$A$2:$A$550,0))="","",IF(INDEX('Maliyet Giris'!$G$2:$G$550,MATCH($A103,'Maliyet Giris'!$A$2:$A$550,0))&lt;=2,86.4,IF(INDEX('Maliyet Giris'!$G$2:$G$550,MATCH($A103,'Maliyet Giris'!$A$2:$A$550,0))&lt;=3,90,IF(INDEX('Maliyet Giris'!$G$2:$G$550,MATCH($A103,'Maliyet Giris'!$A$2:$A$550,0))&lt;=5,102,IF(INDEX('Maliyet Giris'!$G$2:$G$550,MATCH($A103,'Maliyet Giris'!$A$2:$A$550,0))&lt;=10,159.74,IF(INDEX('Maliyet Giris'!$G$2:$G$550,MATCH($A103,'Maliyet Giris'!$A$2:$A$550,0))&lt;=15,187.5,IF(INDEX('Maliyet Giris'!$G$2:$G$550,MATCH($A103,'Maliyet Giris'!$A$2:$A$550,0))&lt;=20,225,299))))))),""))</f>
        <v>86.4</v>
      </c>
      <c r="G103" s="14">
        <f t="array" ref="G103">IF($A103="","",IFERROR(INDEX('Maliyet Giris'!$F$2:$F$550,MATCH($A103,'Maliyet Giris'!$A$2:$A$550,0)),""))</f>
        <v>290</v>
      </c>
      <c r="H103" s="14">
        <f t="shared" si="1"/>
        <v>13.19</v>
      </c>
      <c r="I103" s="14">
        <f t="shared" si="2"/>
        <v>3.552083333</v>
      </c>
      <c r="J103" s="14">
        <f t="shared" si="3"/>
        <v>2.486875</v>
      </c>
      <c r="K103" s="14">
        <f t="shared" si="4"/>
        <v>8.882291667</v>
      </c>
      <c r="L103" s="15">
        <f t="shared" si="5"/>
        <v>0.02083822092</v>
      </c>
      <c r="M103" s="17" t="str">
        <f t="shared" si="6"/>
        <v>KÂRLI</v>
      </c>
      <c r="N103" s="17" t="str">
        <f t="shared" si="7"/>
        <v/>
      </c>
      <c r="O103" s="17">
        <f t="array" ref="O103">IF($A103="","",IFERROR(INDEX('Maliyet Giris'!$G$2:$G$550,MATCH($A103,'Maliyet Giris'!$A$2:$A$550,0)),""))</f>
        <v>2</v>
      </c>
      <c r="P103" s="17" t="str">
        <f t="shared" si="8"/>
        <v/>
      </c>
      <c r="Q103" s="17" t="str">
        <f t="shared" si="9"/>
        <v/>
      </c>
      <c r="R103" s="14">
        <f t="shared" si="10"/>
        <v>416.7483706</v>
      </c>
      <c r="S103" s="14">
        <f t="shared" si="11"/>
        <v>9.501629386</v>
      </c>
      <c r="T103" s="17" t="str">
        <f t="shared" si="12"/>
        <v>RİSKLİ</v>
      </c>
      <c r="U103" s="17" t="str">
        <f t="shared" si="13"/>
        <v>Minimum fiyat altına düşme</v>
      </c>
    </row>
    <row r="104">
      <c r="A104" s="2">
        <f>IFERROR(__xludf.DUMMYFUNCTION("""COMPUTED_VALUE"""),9.00000046014E12)</f>
        <v>9000000460140</v>
      </c>
      <c r="B104" s="17" t="str">
        <f>IFERROR(__xludf.DUMMYFUNCTION("""COMPUTED_VALUE"""),"Royal Canin")</f>
        <v>Royal Canin</v>
      </c>
      <c r="C104" s="28" t="str">
        <f>IFERROR(__xludf.DUMMYFUNCTION("""COMPUTED_VALUE"""),"Ccn Dermacomfort Loaf Pate Pouch Küçük Irk Yetişkin Köpek Konservesi 12 Adet 85 Gr")</f>
        <v>Ccn Dermacomfort Loaf Pate Pouch Küçük Irk Yetişkin Köpek Konservesi 12 Adet 85 Gr</v>
      </c>
      <c r="D104" s="14">
        <f>IFERROR(__xludf.DUMMYFUNCTION("""COMPUTED_VALUE"""),618.0)</f>
        <v>618</v>
      </c>
      <c r="E104" s="14">
        <f t="array" ref="E104">IF($A104="","",IFERROR($D104*IF($D104&gt;=INDEX('Komisyon Tarifesi'!$I$2:$I$1000,MATCH($A104,'Komisyon Tarifesi'!$B$2:$B$1000,0)),INDEX('Komisyon Tarifesi'!$O$2:$O$1000,MATCH($A104,'Komisyon Tarifesi'!$B$2:$B$1000,0)),IF($D104&gt;=INDEX('Komisyon Tarifesi'!$K$2:$K$1000,MATCH($A104,'Komisyon Tarifesi'!$B$2:$B$1000,0)),INDEX('Komisyon Tarifesi'!$P$2:$P$1000,MATCH($A104,'Komisyon Tarifesi'!$B$2:$B$1000,0)),IF($D104&gt;=INDEX('Komisyon Tarifesi'!$M$2:$M$1000,MATCH($A104,'Komisyon Tarifesi'!$B$2:$B$1000,0)),INDEX('Komisyon Tarifesi'!$Q$2:$Q$1000,MATCH($A104,'Komisyon Tarifesi'!$B$2:$B$1000,0)),INDEX('Komisyon Tarifesi'!$R$2:$R$1000,MATCH($A104,'Komisyon Tarifesi'!$B$2:$B$1000,0)))))/100,IFERROR(IF(VLOOKUP($A104,Products!$A$2:$W$1000,21,0)&lt;&gt;"",$D104*VLOOKUP($A104,Products!$A$2:$W$1000,21,0)/100,""),"")))</f>
        <v>77.25</v>
      </c>
      <c r="F104" s="14">
        <f t="array" ref="F104">IF($A104="","",IFERROR(IF(INDEX('Maliyet Giris'!$G$2:$G$550,MATCH($A104,'Maliyet Giris'!$A$2:$A$550,0))="","",IF(INDEX('Maliyet Giris'!$G$2:$G$550,MATCH($A104,'Maliyet Giris'!$A$2:$A$550,0))&lt;=2,86.4,IF(INDEX('Maliyet Giris'!$G$2:$G$550,MATCH($A104,'Maliyet Giris'!$A$2:$A$550,0))&lt;=3,90,IF(INDEX('Maliyet Giris'!$G$2:$G$550,MATCH($A104,'Maliyet Giris'!$A$2:$A$550,0))&lt;=5,102,IF(INDEX('Maliyet Giris'!$G$2:$G$550,MATCH($A104,'Maliyet Giris'!$A$2:$A$550,0))&lt;=10,159.74,IF(INDEX('Maliyet Giris'!$G$2:$G$550,MATCH($A104,'Maliyet Giris'!$A$2:$A$550,0))&lt;=15,187.5,IF(INDEX('Maliyet Giris'!$G$2:$G$550,MATCH($A104,'Maliyet Giris'!$A$2:$A$550,0))&lt;=20,225,299))))))),""))</f>
        <v>86.4</v>
      </c>
      <c r="G104" s="14">
        <f t="array" ref="G104">IF($A104="","",IFERROR(INDEX('Maliyet Giris'!$F$2:$F$550,MATCH($A104,'Maliyet Giris'!$A$2:$A$550,0)),""))</f>
        <v>504</v>
      </c>
      <c r="H104" s="14">
        <f t="shared" si="1"/>
        <v>13.19</v>
      </c>
      <c r="I104" s="14">
        <f t="shared" si="2"/>
        <v>5.15</v>
      </c>
      <c r="J104" s="14">
        <f t="shared" si="3"/>
        <v>0</v>
      </c>
      <c r="K104" s="14">
        <f t="shared" si="4"/>
        <v>-67.99</v>
      </c>
      <c r="L104" s="15">
        <f t="shared" si="5"/>
        <v>-0.1100161812</v>
      </c>
      <c r="M104" s="17" t="str">
        <f t="shared" si="6"/>
        <v>ZARAR</v>
      </c>
      <c r="N104" s="17" t="str">
        <f t="shared" si="7"/>
        <v/>
      </c>
      <c r="O104" s="17">
        <f t="array" ref="O104">IF($A104="","",IFERROR(INDEX('Maliyet Giris'!$G$2:$G$550,MATCH($A104,'Maliyet Giris'!$A$2:$A$550,0)),""))</f>
        <v>2</v>
      </c>
      <c r="P104" s="17" t="str">
        <f t="shared" si="8"/>
        <v/>
      </c>
      <c r="Q104" s="17" t="str">
        <f t="shared" si="9"/>
        <v/>
      </c>
      <c r="R104" s="14">
        <f t="shared" si="10"/>
        <v>696.4497321</v>
      </c>
      <c r="S104" s="14">
        <f t="shared" si="11"/>
        <v>-78.44973213</v>
      </c>
      <c r="T104" s="17" t="str">
        <f t="shared" si="12"/>
        <v>ZARAR</v>
      </c>
      <c r="U104" s="17" t="str">
        <f t="shared" si="13"/>
        <v>Fiyat, maliyet veya kampanya kontrol et</v>
      </c>
    </row>
    <row r="105">
      <c r="A105" s="2">
        <f>IFERROR(__xludf.DUMMYFUNCTION("""COMPUTED_VALUE"""),3.182550728102E12)</f>
        <v>3182550728102</v>
      </c>
      <c r="B105" s="17" t="str">
        <f>IFERROR(__xludf.DUMMYFUNCTION("""COMPUTED_VALUE"""),"Royal Canin")</f>
        <v>Royal Canin</v>
      </c>
      <c r="C105" s="28" t="str">
        <f>IFERROR(__xludf.DUMMYFUNCTION("""COMPUTED_VALUE"""),"Chihuahua Kuru Köpek Maması 1.5kg")</f>
        <v>Chihuahua Kuru Köpek Maması 1.5kg</v>
      </c>
      <c r="D105" s="14">
        <f>IFERROR(__xludf.DUMMYFUNCTION("""COMPUTED_VALUE"""),914.0)</f>
        <v>914</v>
      </c>
      <c r="E105" s="14">
        <f t="array" ref="E105">IF($A105="","",IFERROR($D105*IF($D105&gt;=INDEX('Komisyon Tarifesi'!$I$2:$I$1000,MATCH($A105,'Komisyon Tarifesi'!$B$2:$B$1000,0)),INDEX('Komisyon Tarifesi'!$O$2:$O$1000,MATCH($A105,'Komisyon Tarifesi'!$B$2:$B$1000,0)),IF($D105&gt;=INDEX('Komisyon Tarifesi'!$K$2:$K$1000,MATCH($A105,'Komisyon Tarifesi'!$B$2:$B$1000,0)),INDEX('Komisyon Tarifesi'!$P$2:$P$1000,MATCH($A105,'Komisyon Tarifesi'!$B$2:$B$1000,0)),IF($D105&gt;=INDEX('Komisyon Tarifesi'!$M$2:$M$1000,MATCH($A105,'Komisyon Tarifesi'!$B$2:$B$1000,0)),INDEX('Komisyon Tarifesi'!$Q$2:$Q$1000,MATCH($A105,'Komisyon Tarifesi'!$B$2:$B$1000,0)),INDEX('Komisyon Tarifesi'!$R$2:$R$1000,MATCH($A105,'Komisyon Tarifesi'!$B$2:$B$1000,0)))))/100,IFERROR(IF(VLOOKUP($A105,Products!$A$2:$W$1000,21,0)&lt;&gt;"",$D105*VLOOKUP($A105,Products!$A$2:$W$1000,21,0)/100,""),"")))</f>
        <v>114.25</v>
      </c>
      <c r="F105" s="14">
        <f t="array" ref="F105">IF($A105="","",IFERROR(IF(INDEX('Maliyet Giris'!$G$2:$G$550,MATCH($A105,'Maliyet Giris'!$A$2:$A$550,0))="","",IF(INDEX('Maliyet Giris'!$G$2:$G$550,MATCH($A105,'Maliyet Giris'!$A$2:$A$550,0))&lt;=2,86.4,IF(INDEX('Maliyet Giris'!$G$2:$G$550,MATCH($A105,'Maliyet Giris'!$A$2:$A$550,0))&lt;=3,90,IF(INDEX('Maliyet Giris'!$G$2:$G$550,MATCH($A105,'Maliyet Giris'!$A$2:$A$550,0))&lt;=5,102,IF(INDEX('Maliyet Giris'!$G$2:$G$550,MATCH($A105,'Maliyet Giris'!$A$2:$A$550,0))&lt;=10,159.74,IF(INDEX('Maliyet Giris'!$G$2:$G$550,MATCH($A105,'Maliyet Giris'!$A$2:$A$550,0))&lt;=15,187.5,IF(INDEX('Maliyet Giris'!$G$2:$G$550,MATCH($A105,'Maliyet Giris'!$A$2:$A$550,0))&lt;=20,225,299))))))),""))</f>
        <v>86.4</v>
      </c>
      <c r="G105" s="14">
        <f t="array" ref="G105">IF($A105="","",IFERROR(INDEX('Maliyet Giris'!$F$2:$F$550,MATCH($A105,'Maliyet Giris'!$A$2:$A$550,0)),""))</f>
        <v>621.6</v>
      </c>
      <c r="H105" s="14">
        <f t="shared" si="1"/>
        <v>13.19</v>
      </c>
      <c r="I105" s="14">
        <f t="shared" si="2"/>
        <v>7.616666667</v>
      </c>
      <c r="J105" s="14">
        <f t="shared" si="3"/>
        <v>13.09333333</v>
      </c>
      <c r="K105" s="14">
        <f t="shared" si="4"/>
        <v>57.85</v>
      </c>
      <c r="L105" s="15">
        <f t="shared" si="5"/>
        <v>0.06329321663</v>
      </c>
      <c r="M105" s="17" t="str">
        <f t="shared" si="6"/>
        <v>KÂRLI</v>
      </c>
      <c r="N105" s="17" t="str">
        <f t="shared" si="7"/>
        <v/>
      </c>
      <c r="O105" s="17">
        <f t="array" ref="O105">IF($A105="","",IFERROR(INDEX('Maliyet Giris'!$G$2:$G$550,MATCH($A105,'Maliyet Giris'!$A$2:$A$550,0)),""))</f>
        <v>2</v>
      </c>
      <c r="P105" s="17" t="str">
        <f t="shared" si="8"/>
        <v/>
      </c>
      <c r="Q105" s="17" t="str">
        <f t="shared" si="9"/>
        <v/>
      </c>
      <c r="R105" s="14">
        <f t="shared" si="10"/>
        <v>846.1278012</v>
      </c>
      <c r="S105" s="14">
        <f t="shared" si="11"/>
        <v>67.87219884</v>
      </c>
      <c r="T105" s="17" t="str">
        <f t="shared" si="12"/>
        <v>DÜŞÜK KÂR</v>
      </c>
      <c r="U105" s="17" t="str">
        <f t="shared" si="13"/>
        <v>Reklam/komisyon etkisini kontrol et</v>
      </c>
    </row>
    <row r="106">
      <c r="A106" s="2">
        <f>IFERROR(__xludf.DUMMYFUNCTION("""COMPUTED_VALUE"""),9.003579308738E12)</f>
        <v>9003579308738</v>
      </c>
      <c r="B106" s="17" t="str">
        <f>IFERROR(__xludf.DUMMYFUNCTION("""COMPUTED_VALUE"""),"Royal Canin")</f>
        <v>Royal Canin</v>
      </c>
      <c r="C106" s="28" t="str">
        <f>IFERROR(__xludf.DUMMYFUNCTION("""COMPUTED_VALUE"""),"Instinctive Yaş Kedi Maması 12 x 85g")</f>
        <v>Instinctive Yaş Kedi Maması 12 x 85g</v>
      </c>
      <c r="D106" s="14">
        <f>IFERROR(__xludf.DUMMYFUNCTION("""COMPUTED_VALUE"""),527.09)</f>
        <v>527.09</v>
      </c>
      <c r="E106" s="14">
        <f t="array" ref="E106">IF($A106="","",IFERROR($D106*IF($D106&gt;=INDEX('Komisyon Tarifesi'!$I$2:$I$1000,MATCH($A106,'Komisyon Tarifesi'!$B$2:$B$1000,0)),INDEX('Komisyon Tarifesi'!$O$2:$O$1000,MATCH($A106,'Komisyon Tarifesi'!$B$2:$B$1000,0)),IF($D106&gt;=INDEX('Komisyon Tarifesi'!$K$2:$K$1000,MATCH($A106,'Komisyon Tarifesi'!$B$2:$B$1000,0)),INDEX('Komisyon Tarifesi'!$P$2:$P$1000,MATCH($A106,'Komisyon Tarifesi'!$B$2:$B$1000,0)),IF($D106&gt;=INDEX('Komisyon Tarifesi'!$M$2:$M$1000,MATCH($A106,'Komisyon Tarifesi'!$B$2:$B$1000,0)),INDEX('Komisyon Tarifesi'!$Q$2:$Q$1000,MATCH($A106,'Komisyon Tarifesi'!$B$2:$B$1000,0)),INDEX('Komisyon Tarifesi'!$R$2:$R$1000,MATCH($A106,'Komisyon Tarifesi'!$B$2:$B$1000,0)))))/100,IFERROR(IF(VLOOKUP($A106,Products!$A$2:$W$1000,21,0)&lt;&gt;"",$D106*VLOOKUP($A106,Products!$A$2:$W$1000,21,0)/100,""),"")))</f>
        <v>42.1672</v>
      </c>
      <c r="F106" s="14">
        <f t="array" ref="F106">IF($A106="","",IFERROR(IF(INDEX('Maliyet Giris'!$G$2:$G$550,MATCH($A106,'Maliyet Giris'!$A$2:$A$550,0))="","",IF(INDEX('Maliyet Giris'!$G$2:$G$550,MATCH($A106,'Maliyet Giris'!$A$2:$A$550,0))&lt;=2,86.4,IF(INDEX('Maliyet Giris'!$G$2:$G$550,MATCH($A106,'Maliyet Giris'!$A$2:$A$550,0))&lt;=3,90,IF(INDEX('Maliyet Giris'!$G$2:$G$550,MATCH($A106,'Maliyet Giris'!$A$2:$A$550,0))&lt;=5,102,IF(INDEX('Maliyet Giris'!$G$2:$G$550,MATCH($A106,'Maliyet Giris'!$A$2:$A$550,0))&lt;=10,159.74,IF(INDEX('Maliyet Giris'!$G$2:$G$550,MATCH($A106,'Maliyet Giris'!$A$2:$A$550,0))&lt;=15,187.5,IF(INDEX('Maliyet Giris'!$G$2:$G$550,MATCH($A106,'Maliyet Giris'!$A$2:$A$550,0))&lt;=20,225,299))))))),""))</f>
        <v>86.4</v>
      </c>
      <c r="G106" s="14">
        <f t="array" ref="G106">IF($A106="","",IFERROR(INDEX('Maliyet Giris'!$F$2:$F$550,MATCH($A106,'Maliyet Giris'!$A$2:$A$550,0)),""))</f>
        <v>504</v>
      </c>
      <c r="H106" s="14">
        <f t="shared" si="1"/>
        <v>13.19</v>
      </c>
      <c r="I106" s="14">
        <f t="shared" si="2"/>
        <v>4.392416667</v>
      </c>
      <c r="J106" s="14">
        <f t="shared" si="3"/>
        <v>0</v>
      </c>
      <c r="K106" s="14">
        <f t="shared" si="4"/>
        <v>-123.0596167</v>
      </c>
      <c r="L106" s="15">
        <f t="shared" si="5"/>
        <v>-0.2334698375</v>
      </c>
      <c r="M106" s="17" t="str">
        <f t="shared" si="6"/>
        <v>ZARAR</v>
      </c>
      <c r="N106" s="17" t="str">
        <f t="shared" si="7"/>
        <v/>
      </c>
      <c r="O106" s="17">
        <f t="array" ref="O106">IF($A106="","",IFERROR(INDEX('Maliyet Giris'!$G$2:$G$550,MATCH($A106,'Maliyet Giris'!$A$2:$A$550,0)),""))</f>
        <v>2</v>
      </c>
      <c r="P106" s="17" t="str">
        <f t="shared" si="8"/>
        <v/>
      </c>
      <c r="Q106" s="17" t="str">
        <f t="shared" si="9"/>
        <v/>
      </c>
      <c r="R106" s="14">
        <f t="shared" si="10"/>
        <v>662.0728841</v>
      </c>
      <c r="S106" s="14">
        <f t="shared" si="11"/>
        <v>-134.9828841</v>
      </c>
      <c r="T106" s="17" t="str">
        <f t="shared" si="12"/>
        <v>ZARAR</v>
      </c>
      <c r="U106" s="17" t="str">
        <f t="shared" si="13"/>
        <v>Fiyat, maliyet veya kampanya kontrol et</v>
      </c>
    </row>
    <row r="107">
      <c r="A107" s="2">
        <f>IFERROR(__xludf.DUMMYFUNCTION("""COMPUTED_VALUE"""),9.003579013748E12)</f>
        <v>9003579013748</v>
      </c>
      <c r="B107" s="17" t="str">
        <f>IFERROR(__xludf.DUMMYFUNCTION("""COMPUTED_VALUE"""),"Royal Canin")</f>
        <v>Royal Canin</v>
      </c>
      <c r="C107" s="28" t="str">
        <f>IFERROR(__xludf.DUMMYFUNCTION("""COMPUTED_VALUE"""),"Köpek Mama Pomeranian Köpek Konserve 12X85GR")</f>
        <v>Köpek Mama Pomeranian Köpek Konserve 12X85GR</v>
      </c>
      <c r="D107" s="14">
        <f>IFERROR(__xludf.DUMMYFUNCTION("""COMPUTED_VALUE"""),540.0)</f>
        <v>540</v>
      </c>
      <c r="E107" s="14">
        <f t="array" ref="E107">IF($A107="","",IFERROR($D107*IF($D107&gt;=INDEX('Komisyon Tarifesi'!$I$2:$I$1000,MATCH($A107,'Komisyon Tarifesi'!$B$2:$B$1000,0)),INDEX('Komisyon Tarifesi'!$O$2:$O$1000,MATCH($A107,'Komisyon Tarifesi'!$B$2:$B$1000,0)),IF($D107&gt;=INDEX('Komisyon Tarifesi'!$K$2:$K$1000,MATCH($A107,'Komisyon Tarifesi'!$B$2:$B$1000,0)),INDEX('Komisyon Tarifesi'!$P$2:$P$1000,MATCH($A107,'Komisyon Tarifesi'!$B$2:$B$1000,0)),IF($D107&gt;=INDEX('Komisyon Tarifesi'!$M$2:$M$1000,MATCH($A107,'Komisyon Tarifesi'!$B$2:$B$1000,0)),INDEX('Komisyon Tarifesi'!$Q$2:$Q$1000,MATCH($A107,'Komisyon Tarifesi'!$B$2:$B$1000,0)),INDEX('Komisyon Tarifesi'!$R$2:$R$1000,MATCH($A107,'Komisyon Tarifesi'!$B$2:$B$1000,0)))))/100,IFERROR(IF(VLOOKUP($A107,Products!$A$2:$W$1000,21,0)&lt;&gt;"",$D107*VLOOKUP($A107,Products!$A$2:$W$1000,21,0)/100,""),"")))</f>
        <v>67.5</v>
      </c>
      <c r="F107" s="14">
        <f t="array" ref="F107">IF($A107="","",IFERROR(IF(INDEX('Maliyet Giris'!$G$2:$G$550,MATCH($A107,'Maliyet Giris'!$A$2:$A$550,0))="","",IF(INDEX('Maliyet Giris'!$G$2:$G$550,MATCH($A107,'Maliyet Giris'!$A$2:$A$550,0))&lt;=2,86.4,IF(INDEX('Maliyet Giris'!$G$2:$G$550,MATCH($A107,'Maliyet Giris'!$A$2:$A$550,0))&lt;=3,90,IF(INDEX('Maliyet Giris'!$G$2:$G$550,MATCH($A107,'Maliyet Giris'!$A$2:$A$550,0))&lt;=5,102,IF(INDEX('Maliyet Giris'!$G$2:$G$550,MATCH($A107,'Maliyet Giris'!$A$2:$A$550,0))&lt;=10,159.74,IF(INDEX('Maliyet Giris'!$G$2:$G$550,MATCH($A107,'Maliyet Giris'!$A$2:$A$550,0))&lt;=15,187.5,IF(INDEX('Maliyet Giris'!$G$2:$G$550,MATCH($A107,'Maliyet Giris'!$A$2:$A$550,0))&lt;=20,225,299))))))),""))</f>
        <v>86.4</v>
      </c>
      <c r="G107" s="14">
        <f t="array" ref="G107">IF($A107="","",IFERROR(INDEX('Maliyet Giris'!$F$2:$F$550,MATCH($A107,'Maliyet Giris'!$A$2:$A$550,0)),""))</f>
        <v>487.2</v>
      </c>
      <c r="H107" s="14">
        <f t="shared" si="1"/>
        <v>13.19</v>
      </c>
      <c r="I107" s="14">
        <f t="shared" si="2"/>
        <v>4.5</v>
      </c>
      <c r="J107" s="14">
        <f t="shared" si="3"/>
        <v>0</v>
      </c>
      <c r="K107" s="14">
        <f t="shared" si="4"/>
        <v>-118.79</v>
      </c>
      <c r="L107" s="15">
        <f t="shared" si="5"/>
        <v>-0.2199814815</v>
      </c>
      <c r="M107" s="17" t="str">
        <f t="shared" si="6"/>
        <v>ZARAR</v>
      </c>
      <c r="N107" s="17" t="str">
        <f t="shared" si="7"/>
        <v/>
      </c>
      <c r="O107" s="17">
        <f t="array" ref="O107">IF($A107="","",IFERROR(INDEX('Maliyet Giris'!$G$2:$G$550,MATCH($A107,'Maliyet Giris'!$A$2:$A$550,0)),""))</f>
        <v>2</v>
      </c>
      <c r="P107" s="17" t="str">
        <f t="shared" si="8"/>
        <v/>
      </c>
      <c r="Q107" s="17" t="str">
        <f t="shared" si="9"/>
        <v/>
      </c>
      <c r="R107" s="14">
        <f t="shared" si="10"/>
        <v>677.0651242</v>
      </c>
      <c r="S107" s="14">
        <f t="shared" si="11"/>
        <v>-137.0651242</v>
      </c>
      <c r="T107" s="17" t="str">
        <f t="shared" si="12"/>
        <v>ZARAR</v>
      </c>
      <c r="U107" s="17" t="str">
        <f t="shared" si="13"/>
        <v>Fiyat, maliyet veya kampanya kontrol et</v>
      </c>
    </row>
    <row r="108">
      <c r="A108" s="2">
        <f>IFERROR(__xludf.DUMMYFUNCTION("""COMPUTED_VALUE"""),9.003579311844E12)</f>
        <v>9003579311844</v>
      </c>
      <c r="B108" s="17" t="str">
        <f>IFERROR(__xludf.DUMMYFUNCTION("""COMPUTED_VALUE"""),"Royal Canin")</f>
        <v>Royal Canin</v>
      </c>
      <c r="C108" s="28" t="str">
        <f>IFERROR(__xludf.DUMMYFUNCTION("""COMPUTED_VALUE"""),"Sterilised Jelly Kısırlaştırılmış Yetişkin Kedi Yaş Maması 85 Gr x 12")</f>
        <v>Sterilised Jelly Kısırlaştırılmış Yetişkin Kedi Yaş Maması 85 Gr x 12</v>
      </c>
      <c r="D108" s="14">
        <f>IFERROR(__xludf.DUMMYFUNCTION("""COMPUTED_VALUE"""),613.0)</f>
        <v>613</v>
      </c>
      <c r="E108" s="14">
        <f t="array" ref="E108">IF($A108="","",IFERROR($D108*IF($D108&gt;=INDEX('Komisyon Tarifesi'!$I$2:$I$1000,MATCH($A108,'Komisyon Tarifesi'!$B$2:$B$1000,0)),INDEX('Komisyon Tarifesi'!$O$2:$O$1000,MATCH($A108,'Komisyon Tarifesi'!$B$2:$B$1000,0)),IF($D108&gt;=INDEX('Komisyon Tarifesi'!$K$2:$K$1000,MATCH($A108,'Komisyon Tarifesi'!$B$2:$B$1000,0)),INDEX('Komisyon Tarifesi'!$P$2:$P$1000,MATCH($A108,'Komisyon Tarifesi'!$B$2:$B$1000,0)),IF($D108&gt;=INDEX('Komisyon Tarifesi'!$M$2:$M$1000,MATCH($A108,'Komisyon Tarifesi'!$B$2:$B$1000,0)),INDEX('Komisyon Tarifesi'!$Q$2:$Q$1000,MATCH($A108,'Komisyon Tarifesi'!$B$2:$B$1000,0)),INDEX('Komisyon Tarifesi'!$R$2:$R$1000,MATCH($A108,'Komisyon Tarifesi'!$B$2:$B$1000,0)))))/100,IFERROR(IF(VLOOKUP($A108,Products!$A$2:$W$1000,21,0)&lt;&gt;"",$D108*VLOOKUP($A108,Products!$A$2:$W$1000,21,0)/100,""),"")))</f>
        <v>76.625</v>
      </c>
      <c r="F108" s="14">
        <f t="array" ref="F108">IF($A108="","",IFERROR(IF(INDEX('Maliyet Giris'!$G$2:$G$550,MATCH($A108,'Maliyet Giris'!$A$2:$A$550,0))="","",IF(INDEX('Maliyet Giris'!$G$2:$G$550,MATCH($A108,'Maliyet Giris'!$A$2:$A$550,0))&lt;=2,86.4,IF(INDEX('Maliyet Giris'!$G$2:$G$550,MATCH($A108,'Maliyet Giris'!$A$2:$A$550,0))&lt;=3,90,IF(INDEX('Maliyet Giris'!$G$2:$G$550,MATCH($A108,'Maliyet Giris'!$A$2:$A$550,0))&lt;=5,102,IF(INDEX('Maliyet Giris'!$G$2:$G$550,MATCH($A108,'Maliyet Giris'!$A$2:$A$550,0))&lt;=10,159.74,IF(INDEX('Maliyet Giris'!$G$2:$G$550,MATCH($A108,'Maliyet Giris'!$A$2:$A$550,0))&lt;=15,187.5,IF(INDEX('Maliyet Giris'!$G$2:$G$550,MATCH($A108,'Maliyet Giris'!$A$2:$A$550,0))&lt;=20,225,299))))))),""))</f>
        <v>86.4</v>
      </c>
      <c r="G108" s="14">
        <f t="array" ref="G108">IF($A108="","",IFERROR(INDEX('Maliyet Giris'!$F$2:$F$550,MATCH($A108,'Maliyet Giris'!$A$2:$A$550,0)),""))</f>
        <v>504</v>
      </c>
      <c r="H108" s="14">
        <f t="shared" si="1"/>
        <v>13.19</v>
      </c>
      <c r="I108" s="14">
        <f t="shared" si="2"/>
        <v>5.108333333</v>
      </c>
      <c r="J108" s="14">
        <f t="shared" si="3"/>
        <v>0</v>
      </c>
      <c r="K108" s="14">
        <f t="shared" si="4"/>
        <v>-72.32333333</v>
      </c>
      <c r="L108" s="15">
        <f t="shared" si="5"/>
        <v>-0.1179825992</v>
      </c>
      <c r="M108" s="17" t="str">
        <f t="shared" si="6"/>
        <v>ZARAR</v>
      </c>
      <c r="N108" s="17" t="str">
        <f t="shared" si="7"/>
        <v/>
      </c>
      <c r="O108" s="17">
        <f t="array" ref="O108">IF($A108="","",IFERROR(INDEX('Maliyet Giris'!$G$2:$G$550,MATCH($A108,'Maliyet Giris'!$A$2:$A$550,0)),""))</f>
        <v>1</v>
      </c>
      <c r="P108" s="17" t="str">
        <f t="shared" si="8"/>
        <v/>
      </c>
      <c r="Q108" s="17" t="str">
        <f t="shared" si="9"/>
        <v/>
      </c>
      <c r="R108" s="14">
        <f t="shared" si="10"/>
        <v>696.4497321</v>
      </c>
      <c r="S108" s="14">
        <f t="shared" si="11"/>
        <v>-83.44973213</v>
      </c>
      <c r="T108" s="17" t="str">
        <f t="shared" si="12"/>
        <v>ZARAR</v>
      </c>
      <c r="U108" s="17" t="str">
        <f t="shared" si="13"/>
        <v>Fiyat, maliyet veya kampanya kontrol et</v>
      </c>
    </row>
    <row r="109">
      <c r="A109" s="2">
        <f>IFERROR(__xludf.DUMMYFUNCTION("""COMPUTED_VALUE"""),3.182550908443E12)</f>
        <v>3182550908443</v>
      </c>
      <c r="B109" s="17" t="str">
        <f>IFERROR(__xludf.DUMMYFUNCTION("""COMPUTED_VALUE"""),"Royal Canin")</f>
        <v>Royal Canin</v>
      </c>
      <c r="C109" s="28" t="str">
        <f>IFERROR(__xludf.DUMMYFUNCTION("""COMPUTED_VALUE"""),"Pomeranian Yetişkin Köpek Maması 1,5 kg Idili")</f>
        <v>Pomeranian Yetişkin Köpek Maması 1,5 kg Idili</v>
      </c>
      <c r="D109" s="14">
        <f>IFERROR(__xludf.DUMMYFUNCTION("""COMPUTED_VALUE"""),769.99)</f>
        <v>769.99</v>
      </c>
      <c r="E109" s="14">
        <f t="array" ref="E109">IF($A109="","",IFERROR($D109*IF($D109&gt;=INDEX('Komisyon Tarifesi'!$I$2:$I$1000,MATCH($A109,'Komisyon Tarifesi'!$B$2:$B$1000,0)),INDEX('Komisyon Tarifesi'!$O$2:$O$1000,MATCH($A109,'Komisyon Tarifesi'!$B$2:$B$1000,0)),IF($D109&gt;=INDEX('Komisyon Tarifesi'!$K$2:$K$1000,MATCH($A109,'Komisyon Tarifesi'!$B$2:$B$1000,0)),INDEX('Komisyon Tarifesi'!$P$2:$P$1000,MATCH($A109,'Komisyon Tarifesi'!$B$2:$B$1000,0)),IF($D109&gt;=INDEX('Komisyon Tarifesi'!$M$2:$M$1000,MATCH($A109,'Komisyon Tarifesi'!$B$2:$B$1000,0)),INDEX('Komisyon Tarifesi'!$Q$2:$Q$1000,MATCH($A109,'Komisyon Tarifesi'!$B$2:$B$1000,0)),INDEX('Komisyon Tarifesi'!$R$2:$R$1000,MATCH($A109,'Komisyon Tarifesi'!$B$2:$B$1000,0)))))/100,IFERROR(IF(VLOOKUP($A109,Products!$A$2:$W$1000,21,0)&lt;&gt;"",$D109*VLOOKUP($A109,Products!$A$2:$W$1000,21,0)/100,""),"")))</f>
        <v>96.24875</v>
      </c>
      <c r="F109" s="14">
        <f t="array" ref="F109">IF($A109="","",IFERROR(IF(INDEX('Maliyet Giris'!$G$2:$G$550,MATCH($A109,'Maliyet Giris'!$A$2:$A$550,0))="","",IF(INDEX('Maliyet Giris'!$G$2:$G$550,MATCH($A109,'Maliyet Giris'!$A$2:$A$550,0))&lt;=2,86.4,IF(INDEX('Maliyet Giris'!$G$2:$G$550,MATCH($A109,'Maliyet Giris'!$A$2:$A$550,0))&lt;=3,90,IF(INDEX('Maliyet Giris'!$G$2:$G$550,MATCH($A109,'Maliyet Giris'!$A$2:$A$550,0))&lt;=5,102,IF(INDEX('Maliyet Giris'!$G$2:$G$550,MATCH($A109,'Maliyet Giris'!$A$2:$A$550,0))&lt;=10,159.74,IF(INDEX('Maliyet Giris'!$G$2:$G$550,MATCH($A109,'Maliyet Giris'!$A$2:$A$550,0))&lt;=15,187.5,IF(INDEX('Maliyet Giris'!$G$2:$G$550,MATCH($A109,'Maliyet Giris'!$A$2:$A$550,0))&lt;=20,225,299))))))),""))</f>
        <v>86.4</v>
      </c>
      <c r="G109" s="14">
        <f t="array" ref="G109">IF($A109="","",IFERROR(INDEX('Maliyet Giris'!$F$2:$F$550,MATCH($A109,'Maliyet Giris'!$A$2:$A$550,0)),""))</f>
        <v>594</v>
      </c>
      <c r="H109" s="14">
        <f t="shared" si="1"/>
        <v>13.19</v>
      </c>
      <c r="I109" s="14">
        <f t="shared" si="2"/>
        <v>6.416583333</v>
      </c>
      <c r="J109" s="14">
        <f t="shared" si="3"/>
        <v>0</v>
      </c>
      <c r="K109" s="14">
        <f t="shared" si="4"/>
        <v>-26.26533333</v>
      </c>
      <c r="L109" s="15">
        <f t="shared" si="5"/>
        <v>-0.03411126551</v>
      </c>
      <c r="M109" s="17" t="str">
        <f t="shared" si="6"/>
        <v>ZARAR</v>
      </c>
      <c r="N109" s="17" t="str">
        <f t="shared" si="7"/>
        <v/>
      </c>
      <c r="O109" s="17">
        <f t="array" ref="O109">IF($A109="","",IFERROR(INDEX('Maliyet Giris'!$G$2:$G$550,MATCH($A109,'Maliyet Giris'!$A$2:$A$550,0)),""))</f>
        <v>2</v>
      </c>
      <c r="P109" s="17" t="str">
        <f t="shared" si="8"/>
        <v/>
      </c>
      <c r="Q109" s="17" t="str">
        <f t="shared" si="9"/>
        <v/>
      </c>
      <c r="R109" s="14">
        <f t="shared" si="10"/>
        <v>800.295846</v>
      </c>
      <c r="S109" s="14">
        <f t="shared" si="11"/>
        <v>-30.30584604</v>
      </c>
      <c r="T109" s="17" t="str">
        <f t="shared" si="12"/>
        <v>ZARAR</v>
      </c>
      <c r="U109" s="17" t="str">
        <f t="shared" si="13"/>
        <v>Fiyat, maliyet veya kampanya kontrol et</v>
      </c>
    </row>
    <row r="110">
      <c r="A110" s="2">
        <f>IFERROR(__xludf.DUMMYFUNCTION("""COMPUTED_VALUE"""),3.182550716857E12)</f>
        <v>3182550716857</v>
      </c>
      <c r="B110" s="17" t="str">
        <f>IFERROR(__xludf.DUMMYFUNCTION("""COMPUTED_VALUE"""),"Royal Canin")</f>
        <v>Royal Canin</v>
      </c>
      <c r="C110" s="28" t="str">
        <f>IFERROR(__xludf.DUMMYFUNCTION("""COMPUTED_VALUE"""),"Yorkshire Terrier Yetişkin ve Yaşlılar Için Kuru Köpek Maması 1,5 kg")</f>
        <v>Yorkshire Terrier Yetişkin ve Yaşlılar Için Kuru Köpek Maması 1,5 kg</v>
      </c>
      <c r="D110" s="14">
        <f>IFERROR(__xludf.DUMMYFUNCTION("""COMPUTED_VALUE"""),949.0)</f>
        <v>949</v>
      </c>
      <c r="E110" s="14">
        <f t="array" ref="E110">IF($A110="","",IFERROR($D110*IF($D110&gt;=INDEX('Komisyon Tarifesi'!$I$2:$I$1000,MATCH($A110,'Komisyon Tarifesi'!$B$2:$B$1000,0)),INDEX('Komisyon Tarifesi'!$O$2:$O$1000,MATCH($A110,'Komisyon Tarifesi'!$B$2:$B$1000,0)),IF($D110&gt;=INDEX('Komisyon Tarifesi'!$K$2:$K$1000,MATCH($A110,'Komisyon Tarifesi'!$B$2:$B$1000,0)),INDEX('Komisyon Tarifesi'!$P$2:$P$1000,MATCH($A110,'Komisyon Tarifesi'!$B$2:$B$1000,0)),IF($D110&gt;=INDEX('Komisyon Tarifesi'!$M$2:$M$1000,MATCH($A110,'Komisyon Tarifesi'!$B$2:$B$1000,0)),INDEX('Komisyon Tarifesi'!$Q$2:$Q$1000,MATCH($A110,'Komisyon Tarifesi'!$B$2:$B$1000,0)),INDEX('Komisyon Tarifesi'!$R$2:$R$1000,MATCH($A110,'Komisyon Tarifesi'!$B$2:$B$1000,0)))))/100,IFERROR(IF(VLOOKUP($A110,Products!$A$2:$W$1000,21,0)&lt;&gt;"",$D110*VLOOKUP($A110,Products!$A$2:$W$1000,21,0)/100,""),"")))</f>
        <v>118.625</v>
      </c>
      <c r="F110" s="14">
        <f t="array" ref="F110">IF($A110="","",IFERROR(IF(INDEX('Maliyet Giris'!$G$2:$G$550,MATCH($A110,'Maliyet Giris'!$A$2:$A$550,0))="","",IF(INDEX('Maliyet Giris'!$G$2:$G$550,MATCH($A110,'Maliyet Giris'!$A$2:$A$550,0))&lt;=2,86.4,IF(INDEX('Maliyet Giris'!$G$2:$G$550,MATCH($A110,'Maliyet Giris'!$A$2:$A$550,0))&lt;=3,90,IF(INDEX('Maliyet Giris'!$G$2:$G$550,MATCH($A110,'Maliyet Giris'!$A$2:$A$550,0))&lt;=5,102,IF(INDEX('Maliyet Giris'!$G$2:$G$550,MATCH($A110,'Maliyet Giris'!$A$2:$A$550,0))&lt;=10,159.74,IF(INDEX('Maliyet Giris'!$G$2:$G$550,MATCH($A110,'Maliyet Giris'!$A$2:$A$550,0))&lt;=15,187.5,IF(INDEX('Maliyet Giris'!$G$2:$G$550,MATCH($A110,'Maliyet Giris'!$A$2:$A$550,0))&lt;=20,225,299))))))),""))</f>
        <v>86.4</v>
      </c>
      <c r="G110" s="14">
        <f t="array" ref="G110">IF($A110="","",IFERROR(INDEX('Maliyet Giris'!$F$2:$F$550,MATCH($A110,'Maliyet Giris'!$A$2:$A$550,0)),""))</f>
        <v>621.6</v>
      </c>
      <c r="H110" s="14">
        <f t="shared" si="1"/>
        <v>13.19</v>
      </c>
      <c r="I110" s="14">
        <f t="shared" si="2"/>
        <v>7.908333333</v>
      </c>
      <c r="J110" s="14">
        <f t="shared" si="3"/>
        <v>18.1975</v>
      </c>
      <c r="K110" s="14">
        <f t="shared" si="4"/>
        <v>83.07916667</v>
      </c>
      <c r="L110" s="15">
        <f t="shared" si="5"/>
        <v>0.08754390587</v>
      </c>
      <c r="M110" s="17" t="str">
        <f t="shared" si="6"/>
        <v>KÂRLI</v>
      </c>
      <c r="N110" s="17" t="str">
        <f t="shared" si="7"/>
        <v/>
      </c>
      <c r="O110" s="17">
        <f t="array" ref="O110">IF($A110="","",IFERROR(INDEX('Maliyet Giris'!$G$2:$G$550,MATCH($A110,'Maliyet Giris'!$A$2:$A$550,0)),""))</f>
        <v>2</v>
      </c>
      <c r="P110" s="17" t="str">
        <f t="shared" si="8"/>
        <v/>
      </c>
      <c r="Q110" s="17" t="str">
        <f t="shared" si="9"/>
        <v/>
      </c>
      <c r="R110" s="14">
        <f t="shared" si="10"/>
        <v>850.9701343</v>
      </c>
      <c r="S110" s="14">
        <f t="shared" si="11"/>
        <v>98.02986565</v>
      </c>
      <c r="T110" s="17" t="str">
        <f t="shared" si="12"/>
        <v>DÜŞÜK KÂR</v>
      </c>
      <c r="U110" s="17" t="str">
        <f t="shared" si="13"/>
        <v>Reklam/komisyon etkisini kontrol et</v>
      </c>
    </row>
    <row r="111">
      <c r="A111" s="2">
        <f>IFERROR(__xludf.DUMMYFUNCTION("""COMPUTED_VALUE"""),9.003579308745E12)</f>
        <v>9003579308745</v>
      </c>
      <c r="B111" s="17" t="str">
        <f>IFERROR(__xludf.DUMMYFUNCTION("""COMPUTED_VALUE"""),"Royal Canin")</f>
        <v>Royal Canin</v>
      </c>
      <c r="C111" s="28" t="str">
        <f>IFERROR(__xludf.DUMMYFUNCTION("""COMPUTED_VALUE"""),"Gravy Yavru Kedi Konservesi 85 gr 12 Adet")</f>
        <v>Gravy Yavru Kedi Konservesi 85 gr 12 Adet</v>
      </c>
      <c r="D111" s="14">
        <f>IFERROR(__xludf.DUMMYFUNCTION("""COMPUTED_VALUE"""),559.0)</f>
        <v>559</v>
      </c>
      <c r="E111" s="14">
        <f t="array" ref="E111">IF($A111="","",IFERROR($D111*IF($D111&gt;=INDEX('Komisyon Tarifesi'!$I$2:$I$1000,MATCH($A111,'Komisyon Tarifesi'!$B$2:$B$1000,0)),INDEX('Komisyon Tarifesi'!$O$2:$O$1000,MATCH($A111,'Komisyon Tarifesi'!$B$2:$B$1000,0)),IF($D111&gt;=INDEX('Komisyon Tarifesi'!$K$2:$K$1000,MATCH($A111,'Komisyon Tarifesi'!$B$2:$B$1000,0)),INDEX('Komisyon Tarifesi'!$P$2:$P$1000,MATCH($A111,'Komisyon Tarifesi'!$B$2:$B$1000,0)),IF($D111&gt;=INDEX('Komisyon Tarifesi'!$M$2:$M$1000,MATCH($A111,'Komisyon Tarifesi'!$B$2:$B$1000,0)),INDEX('Komisyon Tarifesi'!$Q$2:$Q$1000,MATCH($A111,'Komisyon Tarifesi'!$B$2:$B$1000,0)),INDEX('Komisyon Tarifesi'!$R$2:$R$1000,MATCH($A111,'Komisyon Tarifesi'!$B$2:$B$1000,0)))))/100,IFERROR(IF(VLOOKUP($A111,Products!$A$2:$W$1000,21,0)&lt;&gt;"",$D111*VLOOKUP($A111,Products!$A$2:$W$1000,21,0)/100,""),"")))</f>
        <v>42.484</v>
      </c>
      <c r="F111" s="14">
        <f t="array" ref="F111">IF($A111="","",IFERROR(IF(INDEX('Maliyet Giris'!$G$2:$G$550,MATCH($A111,'Maliyet Giris'!$A$2:$A$550,0))="","",IF(INDEX('Maliyet Giris'!$G$2:$G$550,MATCH($A111,'Maliyet Giris'!$A$2:$A$550,0))&lt;=2,86.4,IF(INDEX('Maliyet Giris'!$G$2:$G$550,MATCH($A111,'Maliyet Giris'!$A$2:$A$550,0))&lt;=3,90,IF(INDEX('Maliyet Giris'!$G$2:$G$550,MATCH($A111,'Maliyet Giris'!$A$2:$A$550,0))&lt;=5,102,IF(INDEX('Maliyet Giris'!$G$2:$G$550,MATCH($A111,'Maliyet Giris'!$A$2:$A$550,0))&lt;=10,159.74,IF(INDEX('Maliyet Giris'!$G$2:$G$550,MATCH($A111,'Maliyet Giris'!$A$2:$A$550,0))&lt;=15,187.5,IF(INDEX('Maliyet Giris'!$G$2:$G$550,MATCH($A111,'Maliyet Giris'!$A$2:$A$550,0))&lt;=20,225,299))))))),""))</f>
        <v>86.4</v>
      </c>
      <c r="G111" s="14">
        <f t="array" ref="G111">IF($A111="","",IFERROR(INDEX('Maliyet Giris'!$F$2:$F$550,MATCH($A111,'Maliyet Giris'!$A$2:$A$550,0)),""))</f>
        <v>557.76</v>
      </c>
      <c r="H111" s="14">
        <f t="shared" si="1"/>
        <v>13.19</v>
      </c>
      <c r="I111" s="14">
        <f t="shared" si="2"/>
        <v>4.658333333</v>
      </c>
      <c r="J111" s="14">
        <f t="shared" si="3"/>
        <v>0</v>
      </c>
      <c r="K111" s="14">
        <f t="shared" si="4"/>
        <v>-145.4923333</v>
      </c>
      <c r="L111" s="15">
        <f t="shared" si="5"/>
        <v>-0.2602725104</v>
      </c>
      <c r="M111" s="17" t="str">
        <f t="shared" si="6"/>
        <v>ZARAR</v>
      </c>
      <c r="N111" s="17" t="str">
        <f t="shared" si="7"/>
        <v/>
      </c>
      <c r="O111" s="17">
        <f t="array" ref="O111">IF($A111="","",IFERROR(INDEX('Maliyet Giris'!$G$2:$G$550,MATCH($A111,'Maliyet Giris'!$A$2:$A$550,0)),""))</f>
        <v>2</v>
      </c>
      <c r="P111" s="17" t="str">
        <f t="shared" si="8"/>
        <v/>
      </c>
      <c r="Q111" s="17" t="str">
        <f t="shared" si="9"/>
        <v/>
      </c>
      <c r="R111" s="14">
        <f t="shared" si="10"/>
        <v>717.8919847</v>
      </c>
      <c r="S111" s="14">
        <f t="shared" si="11"/>
        <v>-158.8919847</v>
      </c>
      <c r="T111" s="17" t="str">
        <f t="shared" si="12"/>
        <v>ZARAR</v>
      </c>
      <c r="U111" s="17" t="str">
        <f t="shared" si="13"/>
        <v>Fiyat, maliyet veya kampanya kontrol et</v>
      </c>
    </row>
    <row r="112">
      <c r="A112" s="2">
        <f>IFERROR(__xludf.DUMMYFUNCTION("""COMPUTED_VALUE"""),9.003579008249E12)</f>
        <v>9003579008249</v>
      </c>
      <c r="B112" s="17" t="str">
        <f>IFERROR(__xludf.DUMMYFUNCTION("""COMPUTED_VALUE"""),"Royal Canin")</f>
        <v>Royal Canin</v>
      </c>
      <c r="C112" s="28" t="str">
        <f>IFERROR(__xludf.DUMMYFUNCTION("""COMPUTED_VALUE"""),"Küçük Irklar için Yetişkin Yaş Köpek Maması 12 x 85g")</f>
        <v>Küçük Irklar için Yetişkin Yaş Köpek Maması 12 x 85g</v>
      </c>
      <c r="D112" s="14">
        <f>IFERROR(__xludf.DUMMYFUNCTION("""COMPUTED_VALUE"""),505.0)</f>
        <v>505</v>
      </c>
      <c r="E112" s="14">
        <f t="array" ref="E112">IF($A112="","",IFERROR($D112*IF($D112&gt;=INDEX('Komisyon Tarifesi'!$I$2:$I$1000,MATCH($A112,'Komisyon Tarifesi'!$B$2:$B$1000,0)),INDEX('Komisyon Tarifesi'!$O$2:$O$1000,MATCH($A112,'Komisyon Tarifesi'!$B$2:$B$1000,0)),IF($D112&gt;=INDEX('Komisyon Tarifesi'!$K$2:$K$1000,MATCH($A112,'Komisyon Tarifesi'!$B$2:$B$1000,0)),INDEX('Komisyon Tarifesi'!$P$2:$P$1000,MATCH($A112,'Komisyon Tarifesi'!$B$2:$B$1000,0)),IF($D112&gt;=INDEX('Komisyon Tarifesi'!$M$2:$M$1000,MATCH($A112,'Komisyon Tarifesi'!$B$2:$B$1000,0)),INDEX('Komisyon Tarifesi'!$Q$2:$Q$1000,MATCH($A112,'Komisyon Tarifesi'!$B$2:$B$1000,0)),INDEX('Komisyon Tarifesi'!$R$2:$R$1000,MATCH($A112,'Komisyon Tarifesi'!$B$2:$B$1000,0)))))/100,IFERROR(IF(VLOOKUP($A112,Products!$A$2:$W$1000,21,0)&lt;&gt;"",$D112*VLOOKUP($A112,Products!$A$2:$W$1000,21,0)/100,""),"")))</f>
        <v>55.045</v>
      </c>
      <c r="F112" s="14">
        <f t="array" ref="F112">IF($A112="","",IFERROR(IF(INDEX('Maliyet Giris'!$G$2:$G$550,MATCH($A112,'Maliyet Giris'!$A$2:$A$550,0))="","",IF(INDEX('Maliyet Giris'!$G$2:$G$550,MATCH($A112,'Maliyet Giris'!$A$2:$A$550,0))&lt;=2,86.4,IF(INDEX('Maliyet Giris'!$G$2:$G$550,MATCH($A112,'Maliyet Giris'!$A$2:$A$550,0))&lt;=3,90,IF(INDEX('Maliyet Giris'!$G$2:$G$550,MATCH($A112,'Maliyet Giris'!$A$2:$A$550,0))&lt;=5,102,IF(INDEX('Maliyet Giris'!$G$2:$G$550,MATCH($A112,'Maliyet Giris'!$A$2:$A$550,0))&lt;=10,159.74,IF(INDEX('Maliyet Giris'!$G$2:$G$550,MATCH($A112,'Maliyet Giris'!$A$2:$A$550,0))&lt;=15,187.5,IF(INDEX('Maliyet Giris'!$G$2:$G$550,MATCH($A112,'Maliyet Giris'!$A$2:$A$550,0))&lt;=20,225,299))))))),""))</f>
        <v>86.4</v>
      </c>
      <c r="G112" s="14">
        <f t="array" ref="G112">IF($A112="","",IFERROR(INDEX('Maliyet Giris'!$F$2:$F$550,MATCH($A112,'Maliyet Giris'!$A$2:$A$550,0)),""))</f>
        <v>434.28</v>
      </c>
      <c r="H112" s="14">
        <f t="shared" si="1"/>
        <v>13.19</v>
      </c>
      <c r="I112" s="14">
        <f t="shared" si="2"/>
        <v>4.208333333</v>
      </c>
      <c r="J112" s="14">
        <f t="shared" si="3"/>
        <v>0</v>
      </c>
      <c r="K112" s="14">
        <f t="shared" si="4"/>
        <v>-88.12333333</v>
      </c>
      <c r="L112" s="15">
        <f t="shared" si="5"/>
        <v>-0.1745016502</v>
      </c>
      <c r="M112" s="17" t="str">
        <f t="shared" si="6"/>
        <v>ZARAR</v>
      </c>
      <c r="N112" s="17" t="str">
        <f t="shared" si="7"/>
        <v/>
      </c>
      <c r="O112" s="17">
        <f t="array" ref="O112">IF($A112="","",IFERROR(INDEX('Maliyet Giris'!$G$2:$G$550,MATCH($A112,'Maliyet Giris'!$A$2:$A$550,0)),""))</f>
        <v>2</v>
      </c>
      <c r="P112" s="17" t="str">
        <f t="shared" si="8"/>
        <v/>
      </c>
      <c r="Q112" s="17" t="str">
        <f t="shared" si="9"/>
        <v/>
      </c>
      <c r="R112" s="14">
        <f t="shared" si="10"/>
        <v>604.8373849</v>
      </c>
      <c r="S112" s="14">
        <f t="shared" si="11"/>
        <v>-99.83738488</v>
      </c>
      <c r="T112" s="17" t="str">
        <f t="shared" si="12"/>
        <v>ZARAR</v>
      </c>
      <c r="U112" s="17" t="str">
        <f t="shared" si="13"/>
        <v>Fiyat, maliyet veya kampanya kontrol et</v>
      </c>
    </row>
    <row r="113">
      <c r="A113" s="2">
        <f>IFERROR(__xludf.DUMMYFUNCTION("""COMPUTED_VALUE"""),9.003579029763E12)</f>
        <v>9003579029763</v>
      </c>
      <c r="B113" s="17" t="str">
        <f>IFERROR(__xludf.DUMMYFUNCTION("""COMPUTED_VALUE"""),"Royal Canin")</f>
        <v>Royal Canin</v>
      </c>
      <c r="C113" s="28" t="str">
        <f>IFERROR(__xludf.DUMMYFUNCTION("""COMPUTED_VALUE"""),"Orta Irklar Için Yaş Konserve Köpek Maması 410g")</f>
        <v>Orta Irklar Için Yaş Konserve Köpek Maması 410g</v>
      </c>
      <c r="D113" s="14">
        <f>IFERROR(__xludf.DUMMYFUNCTION("""COMPUTED_VALUE"""),189.0)</f>
        <v>189</v>
      </c>
      <c r="E113" s="14">
        <f t="array" ref="E113">IF($A113="","",IFERROR($D113*IF($D113&gt;=INDEX('Komisyon Tarifesi'!$I$2:$I$1000,MATCH($A113,'Komisyon Tarifesi'!$B$2:$B$1000,0)),INDEX('Komisyon Tarifesi'!$O$2:$O$1000,MATCH($A113,'Komisyon Tarifesi'!$B$2:$B$1000,0)),IF($D113&gt;=INDEX('Komisyon Tarifesi'!$K$2:$K$1000,MATCH($A113,'Komisyon Tarifesi'!$B$2:$B$1000,0)),INDEX('Komisyon Tarifesi'!$P$2:$P$1000,MATCH($A113,'Komisyon Tarifesi'!$B$2:$B$1000,0)),IF($D113&gt;=INDEX('Komisyon Tarifesi'!$M$2:$M$1000,MATCH($A113,'Komisyon Tarifesi'!$B$2:$B$1000,0)),INDEX('Komisyon Tarifesi'!$Q$2:$Q$1000,MATCH($A113,'Komisyon Tarifesi'!$B$2:$B$1000,0)),INDEX('Komisyon Tarifesi'!$R$2:$R$1000,MATCH($A113,'Komisyon Tarifesi'!$B$2:$B$1000,0)))))/100,IFERROR(IF(VLOOKUP($A113,Products!$A$2:$W$1000,21,0)&lt;&gt;"",$D113*VLOOKUP($A113,Products!$A$2:$W$1000,21,0)/100,""),"")))</f>
        <v>23.625</v>
      </c>
      <c r="F113" s="14">
        <f t="array" ref="F113">IF($A113="","",IFERROR(IF(INDEX('Maliyet Giris'!$G$2:$G$550,MATCH($A113,'Maliyet Giris'!$A$2:$A$550,0))="","",IF(INDEX('Maliyet Giris'!$G$2:$G$550,MATCH($A113,'Maliyet Giris'!$A$2:$A$550,0))&lt;=2,86.4,IF(INDEX('Maliyet Giris'!$G$2:$G$550,MATCH($A113,'Maliyet Giris'!$A$2:$A$550,0))&lt;=3,90,IF(INDEX('Maliyet Giris'!$G$2:$G$550,MATCH($A113,'Maliyet Giris'!$A$2:$A$550,0))&lt;=5,102,IF(INDEX('Maliyet Giris'!$G$2:$G$550,MATCH($A113,'Maliyet Giris'!$A$2:$A$550,0))&lt;=10,159.74,IF(INDEX('Maliyet Giris'!$G$2:$G$550,MATCH($A113,'Maliyet Giris'!$A$2:$A$550,0))&lt;=15,187.5,IF(INDEX('Maliyet Giris'!$G$2:$G$550,MATCH($A113,'Maliyet Giris'!$A$2:$A$550,0))&lt;=20,225,299))))))),""))</f>
        <v>86.4</v>
      </c>
      <c r="G113" s="14">
        <f t="array" ref="G113">IF($A113="","",IFERROR(INDEX('Maliyet Giris'!$F$2:$F$550,MATCH($A113,'Maliyet Giris'!$A$2:$A$550,0)),""))</f>
        <v>1</v>
      </c>
      <c r="H113" s="14">
        <f t="shared" si="1"/>
        <v>13.19</v>
      </c>
      <c r="I113" s="14">
        <f t="shared" si="2"/>
        <v>1.575</v>
      </c>
      <c r="J113" s="14">
        <f t="shared" si="3"/>
        <v>10.7975</v>
      </c>
      <c r="K113" s="14">
        <f t="shared" si="4"/>
        <v>52.4125</v>
      </c>
      <c r="L113" s="15">
        <f t="shared" si="5"/>
        <v>0.2773148148</v>
      </c>
      <c r="M113" s="17" t="str">
        <f t="shared" si="6"/>
        <v>KÂRLI</v>
      </c>
      <c r="N113" s="17" t="str">
        <f t="shared" si="7"/>
        <v/>
      </c>
      <c r="O113" s="17">
        <f t="array" ref="O113">IF($A113="","",IFERROR(INDEX('Maliyet Giris'!$G$2:$G$550,MATCH($A113,'Maliyet Giris'!$A$2:$A$550,0)),""))</f>
        <v>2</v>
      </c>
      <c r="P113" s="17" t="str">
        <f t="shared" si="8"/>
        <v/>
      </c>
      <c r="Q113" s="17" t="str">
        <f t="shared" si="9"/>
        <v/>
      </c>
      <c r="R113" s="14">
        <f t="shared" si="10"/>
        <v>124.2561538</v>
      </c>
      <c r="S113" s="14">
        <f t="shared" si="11"/>
        <v>64.7438462</v>
      </c>
      <c r="T113" s="17" t="str">
        <f t="shared" si="12"/>
        <v>ÇOK KÂRLI</v>
      </c>
      <c r="U113" s="17" t="str">
        <f t="shared" si="13"/>
        <v>Stok ve BuyBox takibini artır</v>
      </c>
    </row>
    <row r="114">
      <c r="A114" s="2" t="str">
        <f>IFERROR(__xludf.DUMMYFUNCTION("""COMPUTED_VALUE"""),"TYBT0G6C7YR9R8WA07")</f>
        <v>TYBT0G6C7YR9R8WA07</v>
      </c>
      <c r="B114" s="17" t="str">
        <f>IFERROR(__xludf.DUMMYFUNCTION("""COMPUTED_VALUE"""),"Royal Canin")</f>
        <v>Royal Canin</v>
      </c>
      <c r="C114" s="28" t="str">
        <f>IFERROR(__xludf.DUMMYFUNCTION("""COMPUTED_VALUE"""),"Orta Irklar için Yavru Yaş Köpek Maması 10 x 140g")</f>
        <v>Orta Irklar için Yavru Yaş Köpek Maması 10 x 140g</v>
      </c>
      <c r="D114" s="14">
        <f>IFERROR(__xludf.DUMMYFUNCTION("""COMPUTED_VALUE"""),999.0)</f>
        <v>999</v>
      </c>
      <c r="E114" s="14">
        <f t="array" ref="E114">IF($A114="","",IFERROR($D114*IF($D114&gt;=INDEX('Komisyon Tarifesi'!$I$2:$I$1000,MATCH($A114,'Komisyon Tarifesi'!$B$2:$B$1000,0)),INDEX('Komisyon Tarifesi'!$O$2:$O$1000,MATCH($A114,'Komisyon Tarifesi'!$B$2:$B$1000,0)),IF($D114&gt;=INDEX('Komisyon Tarifesi'!$K$2:$K$1000,MATCH($A114,'Komisyon Tarifesi'!$B$2:$B$1000,0)),INDEX('Komisyon Tarifesi'!$P$2:$P$1000,MATCH($A114,'Komisyon Tarifesi'!$B$2:$B$1000,0)),IF($D114&gt;=INDEX('Komisyon Tarifesi'!$M$2:$M$1000,MATCH($A114,'Komisyon Tarifesi'!$B$2:$B$1000,0)),INDEX('Komisyon Tarifesi'!$Q$2:$Q$1000,MATCH($A114,'Komisyon Tarifesi'!$B$2:$B$1000,0)),INDEX('Komisyon Tarifesi'!$R$2:$R$1000,MATCH($A114,'Komisyon Tarifesi'!$B$2:$B$1000,0)))))/100,IFERROR(IF(VLOOKUP($A114,Products!$A$2:$W$1000,21,0)&lt;&gt;"",$D114*VLOOKUP($A114,Products!$A$2:$W$1000,21,0)/100,""),"")))</f>
        <v>124.875</v>
      </c>
      <c r="F114" s="14">
        <f t="array" ref="F114">IF($A114="","",IFERROR(IF(INDEX('Maliyet Giris'!$G$2:$G$550,MATCH($A114,'Maliyet Giris'!$A$2:$A$550,0))="","",IF(INDEX('Maliyet Giris'!$G$2:$G$550,MATCH($A114,'Maliyet Giris'!$A$2:$A$550,0))&lt;=2,86.4,IF(INDEX('Maliyet Giris'!$G$2:$G$550,MATCH($A114,'Maliyet Giris'!$A$2:$A$550,0))&lt;=3,90,IF(INDEX('Maliyet Giris'!$G$2:$G$550,MATCH($A114,'Maliyet Giris'!$A$2:$A$550,0))&lt;=5,102,IF(INDEX('Maliyet Giris'!$G$2:$G$550,MATCH($A114,'Maliyet Giris'!$A$2:$A$550,0))&lt;=10,159.74,IF(INDEX('Maliyet Giris'!$G$2:$G$550,MATCH($A114,'Maliyet Giris'!$A$2:$A$550,0))&lt;=15,187.5,IF(INDEX('Maliyet Giris'!$G$2:$G$550,MATCH($A114,'Maliyet Giris'!$A$2:$A$550,0))&lt;=20,225,299))))))),""))</f>
        <v>90</v>
      </c>
      <c r="G114" s="14">
        <f t="array" ref="G114">IF($A114="","",IFERROR(INDEX('Maliyet Giris'!$F$2:$F$550,MATCH($A114,'Maliyet Giris'!$A$2:$A$550,0)),""))</f>
        <v>1</v>
      </c>
      <c r="H114" s="14">
        <f t="shared" si="1"/>
        <v>13.19</v>
      </c>
      <c r="I114" s="14">
        <f t="shared" si="2"/>
        <v>8.325</v>
      </c>
      <c r="J114" s="14">
        <f t="shared" si="3"/>
        <v>128.3225</v>
      </c>
      <c r="K114" s="14">
        <f t="shared" si="4"/>
        <v>633.2875</v>
      </c>
      <c r="L114" s="15">
        <f t="shared" si="5"/>
        <v>0.6339214214</v>
      </c>
      <c r="M114" s="17" t="str">
        <f t="shared" si="6"/>
        <v>KÂRLI</v>
      </c>
      <c r="N114" s="17" t="str">
        <f t="shared" si="7"/>
        <v/>
      </c>
      <c r="O114" s="17">
        <f t="array" ref="O114">IF($A114="","",IFERROR(INDEX('Maliyet Giris'!$G$2:$G$550,MATCH($A114,'Maliyet Giris'!$A$2:$A$550,0)),""))</f>
        <v>3</v>
      </c>
      <c r="P114" s="17" t="str">
        <f t="shared" si="8"/>
        <v/>
      </c>
      <c r="Q114" s="17" t="str">
        <f t="shared" si="9"/>
        <v/>
      </c>
      <c r="R114" s="14">
        <f t="shared" si="10"/>
        <v>141.1375439</v>
      </c>
      <c r="S114" s="14">
        <f t="shared" si="11"/>
        <v>857.8624561</v>
      </c>
      <c r="T114" s="17" t="str">
        <f t="shared" si="12"/>
        <v>ÇOK KÂRLI</v>
      </c>
      <c r="U114" s="17" t="str">
        <f t="shared" si="13"/>
        <v>Stok ve BuyBox takibini artır</v>
      </c>
    </row>
    <row r="115">
      <c r="A115" s="2">
        <f>IFERROR(__xludf.DUMMYFUNCTION("""COMPUTED_VALUE"""),9.003579008485E12)</f>
        <v>9003579008485</v>
      </c>
      <c r="B115" s="17" t="str">
        <f>IFERROR(__xludf.DUMMYFUNCTION("""COMPUTED_VALUE"""),"Royal Canin")</f>
        <v>Royal Canin</v>
      </c>
      <c r="C115" s="28" t="str">
        <f>IFERROR(__xludf.DUMMYFUNCTION("""COMPUTED_VALUE"""),"Maxi Adult Gravy Yetişkin Köpek Konservesi 10 Adet 140 Gr")</f>
        <v>Maxi Adult Gravy Yetişkin Köpek Konservesi 10 Adet 140 Gr</v>
      </c>
      <c r="D115" s="14">
        <f>IFERROR(__xludf.DUMMYFUNCTION("""COMPUTED_VALUE"""),465.0)</f>
        <v>465</v>
      </c>
      <c r="E115" s="14">
        <f t="array" ref="E115">IF($A115="","",IFERROR($D115*IF($D115&gt;=INDEX('Komisyon Tarifesi'!$I$2:$I$1000,MATCH($A115,'Komisyon Tarifesi'!$B$2:$B$1000,0)),INDEX('Komisyon Tarifesi'!$O$2:$O$1000,MATCH($A115,'Komisyon Tarifesi'!$B$2:$B$1000,0)),IF($D115&gt;=INDEX('Komisyon Tarifesi'!$K$2:$K$1000,MATCH($A115,'Komisyon Tarifesi'!$B$2:$B$1000,0)),INDEX('Komisyon Tarifesi'!$P$2:$P$1000,MATCH($A115,'Komisyon Tarifesi'!$B$2:$B$1000,0)),IF($D115&gt;=INDEX('Komisyon Tarifesi'!$M$2:$M$1000,MATCH($A115,'Komisyon Tarifesi'!$B$2:$B$1000,0)),INDEX('Komisyon Tarifesi'!$Q$2:$Q$1000,MATCH($A115,'Komisyon Tarifesi'!$B$2:$B$1000,0)),INDEX('Komisyon Tarifesi'!$R$2:$R$1000,MATCH($A115,'Komisyon Tarifesi'!$B$2:$B$1000,0)))))/100,IFERROR(IF(VLOOKUP($A115,Products!$A$2:$W$1000,21,0)&lt;&gt;"",$D115*VLOOKUP($A115,Products!$A$2:$W$1000,21,0)/100,""),"")))</f>
        <v>58.125</v>
      </c>
      <c r="F115" s="14">
        <f t="array" ref="F115">IF($A115="","",IFERROR(IF(INDEX('Maliyet Giris'!$G$2:$G$550,MATCH($A115,'Maliyet Giris'!$A$2:$A$550,0))="","",IF(INDEX('Maliyet Giris'!$G$2:$G$550,MATCH($A115,'Maliyet Giris'!$A$2:$A$550,0))&lt;=2,86.4,IF(INDEX('Maliyet Giris'!$G$2:$G$550,MATCH($A115,'Maliyet Giris'!$A$2:$A$550,0))&lt;=3,90,IF(INDEX('Maliyet Giris'!$G$2:$G$550,MATCH($A115,'Maliyet Giris'!$A$2:$A$550,0))&lt;=5,102,IF(INDEX('Maliyet Giris'!$G$2:$G$550,MATCH($A115,'Maliyet Giris'!$A$2:$A$550,0))&lt;=10,159.74,IF(INDEX('Maliyet Giris'!$G$2:$G$550,MATCH($A115,'Maliyet Giris'!$A$2:$A$550,0))&lt;=15,187.5,IF(INDEX('Maliyet Giris'!$G$2:$G$550,MATCH($A115,'Maliyet Giris'!$A$2:$A$550,0))&lt;=20,225,299))))))),""))</f>
        <v>86.4</v>
      </c>
      <c r="G115" s="14">
        <f t="array" ref="G115">IF($A115="","",IFERROR(INDEX('Maliyet Giris'!$F$2:$F$550,MATCH($A115,'Maliyet Giris'!$A$2:$A$550,0)),""))</f>
        <v>536.76</v>
      </c>
      <c r="H115" s="14">
        <f t="shared" si="1"/>
        <v>13.19</v>
      </c>
      <c r="I115" s="14">
        <f t="shared" si="2"/>
        <v>3.875</v>
      </c>
      <c r="J115" s="14">
        <f t="shared" si="3"/>
        <v>0</v>
      </c>
      <c r="K115" s="14">
        <f t="shared" si="4"/>
        <v>-233.35</v>
      </c>
      <c r="L115" s="15">
        <f t="shared" si="5"/>
        <v>-0.501827957</v>
      </c>
      <c r="M115" s="17" t="str">
        <f t="shared" si="6"/>
        <v>ZARAR</v>
      </c>
      <c r="N115" s="17" t="str">
        <f t="shared" si="7"/>
        <v/>
      </c>
      <c r="O115" s="17">
        <f t="array" ref="O115">IF($A115="","",IFERROR(INDEX('Maliyet Giris'!$G$2:$G$550,MATCH($A115,'Maliyet Giris'!$A$2:$A$550,0)),""))</f>
        <v>2</v>
      </c>
      <c r="P115" s="17" t="str">
        <f t="shared" si="8"/>
        <v/>
      </c>
      <c r="Q115" s="17" t="str">
        <f t="shared" si="9"/>
        <v/>
      </c>
      <c r="R115" s="14">
        <f t="shared" si="10"/>
        <v>734.2497176</v>
      </c>
      <c r="S115" s="14">
        <f t="shared" si="11"/>
        <v>-269.2497176</v>
      </c>
      <c r="T115" s="17" t="str">
        <f t="shared" si="12"/>
        <v>ZARAR</v>
      </c>
      <c r="U115" s="17" t="str">
        <f t="shared" si="13"/>
        <v>Fiyat, maliyet veya kampanya kontrol et</v>
      </c>
    </row>
    <row r="116">
      <c r="A116" s="2">
        <f>IFERROR(__xludf.DUMMYFUNCTION("""COMPUTED_VALUE"""),9.003579008331E12)</f>
        <v>9003579008331</v>
      </c>
      <c r="B116" s="17" t="str">
        <f>IFERROR(__xludf.DUMMYFUNCTION("""COMPUTED_VALUE"""),"Royal Canin")</f>
        <v>Royal Canin</v>
      </c>
      <c r="C116" s="28" t="str">
        <f>IFERROR(__xludf.DUMMYFUNCTION("""COMPUTED_VALUE"""),"Medium Puppy Gravy Yavru Konserve Köpek Maması 140 Gr - 109801400 - Petshopundan")</f>
        <v>Medium Puppy Gravy Yavru Konserve Köpek Maması 140 Gr - 109801400 - Petshopundan</v>
      </c>
      <c r="D116" s="14">
        <f>IFERROR(__xludf.DUMMYFUNCTION("""COMPUTED_VALUE"""),105.0)</f>
        <v>105</v>
      </c>
      <c r="E116" s="14">
        <f t="array" ref="E116">IF($A116="","",IFERROR($D116*IF($D116&gt;=INDEX('Komisyon Tarifesi'!$I$2:$I$1000,MATCH($A116,'Komisyon Tarifesi'!$B$2:$B$1000,0)),INDEX('Komisyon Tarifesi'!$O$2:$O$1000,MATCH($A116,'Komisyon Tarifesi'!$B$2:$B$1000,0)),IF($D116&gt;=INDEX('Komisyon Tarifesi'!$K$2:$K$1000,MATCH($A116,'Komisyon Tarifesi'!$B$2:$B$1000,0)),INDEX('Komisyon Tarifesi'!$P$2:$P$1000,MATCH($A116,'Komisyon Tarifesi'!$B$2:$B$1000,0)),IF($D116&gt;=INDEX('Komisyon Tarifesi'!$M$2:$M$1000,MATCH($A116,'Komisyon Tarifesi'!$B$2:$B$1000,0)),INDEX('Komisyon Tarifesi'!$Q$2:$Q$1000,MATCH($A116,'Komisyon Tarifesi'!$B$2:$B$1000,0)),INDEX('Komisyon Tarifesi'!$R$2:$R$1000,MATCH($A116,'Komisyon Tarifesi'!$B$2:$B$1000,0)))))/100,IFERROR(IF(VLOOKUP($A116,Products!$A$2:$W$1000,21,0)&lt;&gt;"",$D116*VLOOKUP($A116,Products!$A$2:$W$1000,21,0)/100,""),"")))</f>
        <v>13.125</v>
      </c>
      <c r="F116" s="14">
        <f t="array" ref="F116">IF($A116="","",IFERROR(IF(INDEX('Maliyet Giris'!$G$2:$G$550,MATCH($A116,'Maliyet Giris'!$A$2:$A$550,0))="","",IF(INDEX('Maliyet Giris'!$G$2:$G$550,MATCH($A116,'Maliyet Giris'!$A$2:$A$550,0))&lt;=2,86.4,IF(INDEX('Maliyet Giris'!$G$2:$G$550,MATCH($A116,'Maliyet Giris'!$A$2:$A$550,0))&lt;=3,90,IF(INDEX('Maliyet Giris'!$G$2:$G$550,MATCH($A116,'Maliyet Giris'!$A$2:$A$550,0))&lt;=5,102,IF(INDEX('Maliyet Giris'!$G$2:$G$550,MATCH($A116,'Maliyet Giris'!$A$2:$A$550,0))&lt;=10,159.74,IF(INDEX('Maliyet Giris'!$G$2:$G$550,MATCH($A116,'Maliyet Giris'!$A$2:$A$550,0))&lt;=15,187.5,IF(INDEX('Maliyet Giris'!$G$2:$G$550,MATCH($A116,'Maliyet Giris'!$A$2:$A$550,0))&lt;=20,225,299))))))),""))</f>
        <v>86.4</v>
      </c>
      <c r="G116" s="14">
        <f t="array" ref="G116">IF($A116="","",IFERROR(INDEX('Maliyet Giris'!$F$2:$F$550,MATCH($A116,'Maliyet Giris'!$A$2:$A$550,0)),""))</f>
        <v>1</v>
      </c>
      <c r="H116" s="14">
        <f t="shared" si="1"/>
        <v>13.19</v>
      </c>
      <c r="I116" s="14">
        <f t="shared" si="2"/>
        <v>0.875</v>
      </c>
      <c r="J116" s="14">
        <f t="shared" si="3"/>
        <v>0</v>
      </c>
      <c r="K116" s="14">
        <f t="shared" si="4"/>
        <v>-9.59</v>
      </c>
      <c r="L116" s="15">
        <f t="shared" si="5"/>
        <v>-0.09133333333</v>
      </c>
      <c r="M116" s="17" t="str">
        <f t="shared" si="6"/>
        <v>ZARAR</v>
      </c>
      <c r="N116" s="17" t="str">
        <f t="shared" si="7"/>
        <v/>
      </c>
      <c r="O116" s="17">
        <f t="array" ref="O116">IF($A116="","",IFERROR(INDEX('Maliyet Giris'!$G$2:$G$550,MATCH($A116,'Maliyet Giris'!$A$2:$A$550,0)),""))</f>
        <v>2</v>
      </c>
      <c r="P116" s="17" t="str">
        <f t="shared" si="8"/>
        <v/>
      </c>
      <c r="Q116" s="17" t="str">
        <f t="shared" si="9"/>
        <v/>
      </c>
      <c r="R116" s="14">
        <f t="shared" si="10"/>
        <v>116.06534</v>
      </c>
      <c r="S116" s="14">
        <f t="shared" si="11"/>
        <v>-11.06533997</v>
      </c>
      <c r="T116" s="17" t="str">
        <f t="shared" si="12"/>
        <v>ZARAR</v>
      </c>
      <c r="U116" s="17" t="str">
        <f t="shared" si="13"/>
        <v>Fiyat, maliyet veya kampanya kontrol et</v>
      </c>
    </row>
    <row r="117">
      <c r="A117" s="2" t="str">
        <f>IFERROR(__xludf.DUMMYFUNCTION("""COMPUTED_VALUE"""),"TYB4UMVNPMYZ5M4L47")</f>
        <v>TYB4UMVNPMYZ5M4L47</v>
      </c>
      <c r="B117" s="17" t="str">
        <f>IFERROR(__xludf.DUMMYFUNCTION("""COMPUTED_VALUE"""),"FELIX")</f>
        <v>FELIX</v>
      </c>
      <c r="C117" s="28" t="str">
        <f>IFERROR(__xludf.DUMMYFUNCTION("""COMPUTED_VALUE"""),"Karışık Yetişkin Yaş Kedi Maması 85 Gr X 26 Adet")</f>
        <v>Karışık Yetişkin Yaş Kedi Maması 85 Gr X 26 Adet</v>
      </c>
      <c r="D117" s="14">
        <f>IFERROR(__xludf.DUMMYFUNCTION("""COMPUTED_VALUE"""),649.9)</f>
        <v>649.9</v>
      </c>
      <c r="E117" s="14">
        <f t="array" ref="E117">IF($A117="","",IFERROR($D117*IF($D117&gt;=INDEX('Komisyon Tarifesi'!$I$2:$I$1000,MATCH($A117,'Komisyon Tarifesi'!$B$2:$B$1000,0)),INDEX('Komisyon Tarifesi'!$O$2:$O$1000,MATCH($A117,'Komisyon Tarifesi'!$B$2:$B$1000,0)),IF($D117&gt;=INDEX('Komisyon Tarifesi'!$K$2:$K$1000,MATCH($A117,'Komisyon Tarifesi'!$B$2:$B$1000,0)),INDEX('Komisyon Tarifesi'!$P$2:$P$1000,MATCH($A117,'Komisyon Tarifesi'!$B$2:$B$1000,0)),IF($D117&gt;=INDEX('Komisyon Tarifesi'!$M$2:$M$1000,MATCH($A117,'Komisyon Tarifesi'!$B$2:$B$1000,0)),INDEX('Komisyon Tarifesi'!$Q$2:$Q$1000,MATCH($A117,'Komisyon Tarifesi'!$B$2:$B$1000,0)),INDEX('Komisyon Tarifesi'!$R$2:$R$1000,MATCH($A117,'Komisyon Tarifesi'!$B$2:$B$1000,0)))))/100,IFERROR(IF(VLOOKUP($A117,Products!$A$2:$W$1000,21,0)&lt;&gt;"",$D117*VLOOKUP($A117,Products!$A$2:$W$1000,21,0)/100,""),"")))</f>
        <v>87.7365</v>
      </c>
      <c r="F117" s="14">
        <f t="array" ref="F117">IF($A117="","",IFERROR(IF(INDEX('Maliyet Giris'!$G$2:$G$550,MATCH($A117,'Maliyet Giris'!$A$2:$A$550,0))="","",IF(INDEX('Maliyet Giris'!$G$2:$G$550,MATCH($A117,'Maliyet Giris'!$A$2:$A$550,0))&lt;=2,86.4,IF(INDEX('Maliyet Giris'!$G$2:$G$550,MATCH($A117,'Maliyet Giris'!$A$2:$A$550,0))&lt;=3,90,IF(INDEX('Maliyet Giris'!$G$2:$G$550,MATCH($A117,'Maliyet Giris'!$A$2:$A$550,0))&lt;=5,102,IF(INDEX('Maliyet Giris'!$G$2:$G$550,MATCH($A117,'Maliyet Giris'!$A$2:$A$550,0))&lt;=10,159.74,IF(INDEX('Maliyet Giris'!$G$2:$G$550,MATCH($A117,'Maliyet Giris'!$A$2:$A$550,0))&lt;=15,187.5,IF(INDEX('Maliyet Giris'!$G$2:$G$550,MATCH($A117,'Maliyet Giris'!$A$2:$A$550,0))&lt;=20,225,299))))))),""))</f>
        <v>86.4</v>
      </c>
      <c r="G117" s="14">
        <f t="array" ref="G117">IF($A117="","",IFERROR(INDEX('Maliyet Giris'!$F$2:$F$550,MATCH($A117,'Maliyet Giris'!$A$2:$A$550,0)),""))</f>
        <v>390</v>
      </c>
      <c r="H117" s="14">
        <f t="shared" si="1"/>
        <v>13.19</v>
      </c>
      <c r="I117" s="14">
        <f t="shared" si="2"/>
        <v>5.415833333</v>
      </c>
      <c r="J117" s="14">
        <f t="shared" si="3"/>
        <v>12.09558333</v>
      </c>
      <c r="K117" s="14">
        <f t="shared" si="4"/>
        <v>55.06208333</v>
      </c>
      <c r="L117" s="15">
        <f t="shared" si="5"/>
        <v>0.08472393189</v>
      </c>
      <c r="M117" s="17" t="str">
        <f t="shared" si="6"/>
        <v>KÂRLI</v>
      </c>
      <c r="N117" s="17" t="str">
        <f t="shared" si="7"/>
        <v/>
      </c>
      <c r="O117" s="17">
        <f t="array" ref="O117">IF($A117="","",IFERROR(INDEX('Maliyet Giris'!$G$2:$G$550,MATCH($A117,'Maliyet Giris'!$A$2:$A$550,0)),""))</f>
        <v>2</v>
      </c>
      <c r="P117" s="17" t="str">
        <f t="shared" si="8"/>
        <v/>
      </c>
      <c r="Q117" s="17" t="str">
        <f t="shared" si="9"/>
        <v/>
      </c>
      <c r="R117" s="14">
        <f t="shared" si="10"/>
        <v>584.1975532</v>
      </c>
      <c r="S117" s="14">
        <f t="shared" si="11"/>
        <v>65.70244677</v>
      </c>
      <c r="T117" s="17" t="str">
        <f t="shared" si="12"/>
        <v>DÜŞÜK KÂR</v>
      </c>
      <c r="U117" s="17" t="str">
        <f t="shared" si="13"/>
        <v>Reklam/komisyon etkisini kontrol et</v>
      </c>
    </row>
    <row r="118">
      <c r="A118" s="2">
        <f>IFERROR(__xludf.DUMMYFUNCTION("""COMPUTED_VALUE"""),8.694867251321E12)</f>
        <v>8694867251321</v>
      </c>
      <c r="B118" s="17" t="str">
        <f>IFERROR(__xludf.DUMMYFUNCTION("""COMPUTED_VALUE"""),"FELIX")</f>
        <v>FELIX</v>
      </c>
      <c r="C118" s="28" t="str">
        <f>IFERROR(__xludf.DUMMYFUNCTION("""COMPUTED_VALUE"""),"20 Adet Karışık Kedi Yaş Maması")</f>
        <v>20 Adet Karışık Kedi Yaş Maması</v>
      </c>
      <c r="D118" s="14">
        <f>IFERROR(__xludf.DUMMYFUNCTION("""COMPUTED_VALUE"""),658.0)</f>
        <v>658</v>
      </c>
      <c r="E118" s="14">
        <f t="array" ref="E118">IF($A118="","",IFERROR($D118*IF($D118&gt;=INDEX('Komisyon Tarifesi'!$I$2:$I$1000,MATCH($A118,'Komisyon Tarifesi'!$B$2:$B$1000,0)),INDEX('Komisyon Tarifesi'!$O$2:$O$1000,MATCH($A118,'Komisyon Tarifesi'!$B$2:$B$1000,0)),IF($D118&gt;=INDEX('Komisyon Tarifesi'!$K$2:$K$1000,MATCH($A118,'Komisyon Tarifesi'!$B$2:$B$1000,0)),INDEX('Komisyon Tarifesi'!$P$2:$P$1000,MATCH($A118,'Komisyon Tarifesi'!$B$2:$B$1000,0)),IF($D118&gt;=INDEX('Komisyon Tarifesi'!$M$2:$M$1000,MATCH($A118,'Komisyon Tarifesi'!$B$2:$B$1000,0)),INDEX('Komisyon Tarifesi'!$Q$2:$Q$1000,MATCH($A118,'Komisyon Tarifesi'!$B$2:$B$1000,0)),INDEX('Komisyon Tarifesi'!$R$2:$R$1000,MATCH($A118,'Komisyon Tarifesi'!$B$2:$B$1000,0)))))/100,IFERROR(IF(VLOOKUP($A118,Products!$A$2:$W$1000,21,0)&lt;&gt;"",$D118*VLOOKUP($A118,Products!$A$2:$W$1000,21,0)/100,""),"")))</f>
        <v>88.83</v>
      </c>
      <c r="F118" s="14">
        <f t="array" ref="F118">IF($A118="","",IFERROR(IF(INDEX('Maliyet Giris'!$G$2:$G$550,MATCH($A118,'Maliyet Giris'!$A$2:$A$550,0))="","",IF(INDEX('Maliyet Giris'!$G$2:$G$550,MATCH($A118,'Maliyet Giris'!$A$2:$A$550,0))&lt;=2,86.4,IF(INDEX('Maliyet Giris'!$G$2:$G$550,MATCH($A118,'Maliyet Giris'!$A$2:$A$550,0))&lt;=3,90,IF(INDEX('Maliyet Giris'!$G$2:$G$550,MATCH($A118,'Maliyet Giris'!$A$2:$A$550,0))&lt;=5,102,IF(INDEX('Maliyet Giris'!$G$2:$G$550,MATCH($A118,'Maliyet Giris'!$A$2:$A$550,0))&lt;=10,159.74,IF(INDEX('Maliyet Giris'!$G$2:$G$550,MATCH($A118,'Maliyet Giris'!$A$2:$A$550,0))&lt;=15,187.5,IF(INDEX('Maliyet Giris'!$G$2:$G$550,MATCH($A118,'Maliyet Giris'!$A$2:$A$550,0))&lt;=20,225,299))))))),""))</f>
        <v>86.4</v>
      </c>
      <c r="G118" s="14">
        <f t="array" ref="G118">IF($A118="","",IFERROR(INDEX('Maliyet Giris'!$F$2:$F$550,MATCH($A118,'Maliyet Giris'!$A$2:$A$550,0)),""))</f>
        <v>300</v>
      </c>
      <c r="H118" s="14">
        <f t="shared" si="1"/>
        <v>13.19</v>
      </c>
      <c r="I118" s="14">
        <f t="shared" si="2"/>
        <v>5.483333333</v>
      </c>
      <c r="J118" s="14">
        <f t="shared" si="3"/>
        <v>28.26333333</v>
      </c>
      <c r="K118" s="14">
        <f t="shared" si="4"/>
        <v>135.8333333</v>
      </c>
      <c r="L118" s="15">
        <f t="shared" si="5"/>
        <v>0.2064336373</v>
      </c>
      <c r="M118" s="17" t="str">
        <f t="shared" si="6"/>
        <v>KÂRLI</v>
      </c>
      <c r="N118" s="17" t="str">
        <f t="shared" si="7"/>
        <v/>
      </c>
      <c r="O118" s="17">
        <f t="array" ref="O118">IF($A118="","",IFERROR(INDEX('Maliyet Giris'!$G$2:$G$550,MATCH($A118,'Maliyet Giris'!$A$2:$A$550,0)),""))</f>
        <v>1</v>
      </c>
      <c r="P118" s="17" t="str">
        <f t="shared" si="8"/>
        <v/>
      </c>
      <c r="Q118" s="17" t="str">
        <f t="shared" si="9"/>
        <v/>
      </c>
      <c r="R118" s="14">
        <f t="shared" si="10"/>
        <v>491.0695816</v>
      </c>
      <c r="S118" s="14">
        <f t="shared" si="11"/>
        <v>166.9304184</v>
      </c>
      <c r="T118" s="17" t="str">
        <f t="shared" si="12"/>
        <v>SAĞLIKLI</v>
      </c>
      <c r="U118" s="17" t="str">
        <f t="shared" si="13"/>
        <v>Takip et</v>
      </c>
    </row>
    <row r="119">
      <c r="A119" s="2">
        <f>IFERROR(__xludf.DUMMYFUNCTION("""COMPUTED_VALUE"""),2.06441287E9)</f>
        <v>2064412870</v>
      </c>
      <c r="B119" s="17" t="str">
        <f>IFERROR(__xludf.DUMMYFUNCTION("""COMPUTED_VALUE"""),"FELIX")</f>
        <v>FELIX</v>
      </c>
      <c r="C119" s="28" t="str">
        <f>IFERROR(__xludf.DUMMYFUNCTION("""COMPUTED_VALUE"""),"Purina Karışık Kedi Yaş Maması 100 Adet")</f>
        <v>Purina Karışık Kedi Yaş Maması 100 Adet</v>
      </c>
      <c r="D119" s="14">
        <f>IFERROR(__xludf.DUMMYFUNCTION("""COMPUTED_VALUE"""),2245.0)</f>
        <v>2245</v>
      </c>
      <c r="E119" s="14">
        <f t="array" ref="E119">IF($A119="","",IFERROR($D119*IF($D119&gt;=INDEX('Komisyon Tarifesi'!$I$2:$I$1000,MATCH($A119,'Komisyon Tarifesi'!$B$2:$B$1000,0)),INDEX('Komisyon Tarifesi'!$O$2:$O$1000,MATCH($A119,'Komisyon Tarifesi'!$B$2:$B$1000,0)),IF($D119&gt;=INDEX('Komisyon Tarifesi'!$K$2:$K$1000,MATCH($A119,'Komisyon Tarifesi'!$B$2:$B$1000,0)),INDEX('Komisyon Tarifesi'!$P$2:$P$1000,MATCH($A119,'Komisyon Tarifesi'!$B$2:$B$1000,0)),IF($D119&gt;=INDEX('Komisyon Tarifesi'!$M$2:$M$1000,MATCH($A119,'Komisyon Tarifesi'!$B$2:$B$1000,0)),INDEX('Komisyon Tarifesi'!$Q$2:$Q$1000,MATCH($A119,'Komisyon Tarifesi'!$B$2:$B$1000,0)),INDEX('Komisyon Tarifesi'!$R$2:$R$1000,MATCH($A119,'Komisyon Tarifesi'!$B$2:$B$1000,0)))))/100,IFERROR(IF(VLOOKUP($A119,Products!$A$2:$W$1000,21,0)&lt;&gt;"",$D119*VLOOKUP($A119,Products!$A$2:$W$1000,21,0)/100,""),"")))</f>
        <v>370.425</v>
      </c>
      <c r="F119" s="14">
        <f t="array" ref="F119">IF($A119="","",IFERROR(IF(INDEX('Maliyet Giris'!$G$2:$G$550,MATCH($A119,'Maliyet Giris'!$A$2:$A$550,0))="","",IF(INDEX('Maliyet Giris'!$G$2:$G$550,MATCH($A119,'Maliyet Giris'!$A$2:$A$550,0))&lt;=2,86.4,IF(INDEX('Maliyet Giris'!$G$2:$G$550,MATCH($A119,'Maliyet Giris'!$A$2:$A$550,0))&lt;=3,90,IF(INDEX('Maliyet Giris'!$G$2:$G$550,MATCH($A119,'Maliyet Giris'!$A$2:$A$550,0))&lt;=5,102,IF(INDEX('Maliyet Giris'!$G$2:$G$550,MATCH($A119,'Maliyet Giris'!$A$2:$A$550,0))&lt;=10,159.74,IF(INDEX('Maliyet Giris'!$G$2:$G$550,MATCH($A119,'Maliyet Giris'!$A$2:$A$550,0))&lt;=15,187.5,IF(INDEX('Maliyet Giris'!$G$2:$G$550,MATCH($A119,'Maliyet Giris'!$A$2:$A$550,0))&lt;=20,225,299))))))),""))</f>
        <v>159.74</v>
      </c>
      <c r="G119" s="14">
        <f t="array" ref="G119">IF($A119="","",IFERROR(INDEX('Maliyet Giris'!$F$2:$F$550,MATCH($A119,'Maliyet Giris'!$A$2:$A$550,0)),""))</f>
        <v>1500</v>
      </c>
      <c r="H119" s="14">
        <f t="shared" si="1"/>
        <v>13.19</v>
      </c>
      <c r="I119" s="14">
        <f t="shared" si="2"/>
        <v>18.70833333</v>
      </c>
      <c r="J119" s="14">
        <f t="shared" si="3"/>
        <v>33.6075</v>
      </c>
      <c r="K119" s="14">
        <f t="shared" si="4"/>
        <v>149.3291667</v>
      </c>
      <c r="L119" s="15">
        <f t="shared" si="5"/>
        <v>0.06651633259</v>
      </c>
      <c r="M119" s="17" t="str">
        <f t="shared" si="6"/>
        <v>KÂRLI</v>
      </c>
      <c r="N119" s="17" t="str">
        <f t="shared" si="7"/>
        <v/>
      </c>
      <c r="O119" s="17">
        <f t="array" ref="O119">IF($A119="","",IFERROR(INDEX('Maliyet Giris'!$G$2:$G$550,MATCH($A119,'Maliyet Giris'!$A$2:$A$550,0)),""))</f>
        <v>8</v>
      </c>
      <c r="P119" s="17" t="str">
        <f t="shared" si="8"/>
        <v/>
      </c>
      <c r="Q119" s="17" t="str">
        <f t="shared" si="9"/>
        <v/>
      </c>
      <c r="R119" s="14">
        <f t="shared" si="10"/>
        <v>2061.027529</v>
      </c>
      <c r="S119" s="14">
        <f t="shared" si="11"/>
        <v>183.9724709</v>
      </c>
      <c r="T119" s="17" t="str">
        <f t="shared" si="12"/>
        <v>DÜŞÜK KÂR</v>
      </c>
      <c r="U119" s="17" t="str">
        <f t="shared" si="13"/>
        <v>Reklam/komisyon etkisini kontrol et</v>
      </c>
    </row>
    <row r="120">
      <c r="A120" s="2">
        <f>IFERROR(__xludf.DUMMYFUNCTION("""COMPUTED_VALUE"""),8.46799273637E11)</f>
        <v>846799273637</v>
      </c>
      <c r="B120" s="17" t="str">
        <f>IFERROR(__xludf.DUMMYFUNCTION("""COMPUTED_VALUE"""),"FELIX")</f>
        <v>FELIX</v>
      </c>
      <c r="C120" s="28" t="str">
        <f>IFERROR(__xludf.DUMMYFUNCTION("""COMPUTED_VALUE"""),"Karışık Kedi Yaş Mama 28 Paket")</f>
        <v>Karışık Kedi Yaş Mama 28 Paket</v>
      </c>
      <c r="D120" s="14">
        <f>IFERROR(__xludf.DUMMYFUNCTION("""COMPUTED_VALUE"""),645.0)</f>
        <v>645</v>
      </c>
      <c r="E120" s="14">
        <f t="array" ref="E120">IF($A120="","",IFERROR($D120*IF($D120&gt;=INDEX('Komisyon Tarifesi'!$I$2:$I$1000,MATCH($A120,'Komisyon Tarifesi'!$B$2:$B$1000,0)),INDEX('Komisyon Tarifesi'!$O$2:$O$1000,MATCH($A120,'Komisyon Tarifesi'!$B$2:$B$1000,0)),IF($D120&gt;=INDEX('Komisyon Tarifesi'!$K$2:$K$1000,MATCH($A120,'Komisyon Tarifesi'!$B$2:$B$1000,0)),INDEX('Komisyon Tarifesi'!$P$2:$P$1000,MATCH($A120,'Komisyon Tarifesi'!$B$2:$B$1000,0)),IF($D120&gt;=INDEX('Komisyon Tarifesi'!$M$2:$M$1000,MATCH($A120,'Komisyon Tarifesi'!$B$2:$B$1000,0)),INDEX('Komisyon Tarifesi'!$Q$2:$Q$1000,MATCH($A120,'Komisyon Tarifesi'!$B$2:$B$1000,0)),INDEX('Komisyon Tarifesi'!$R$2:$R$1000,MATCH($A120,'Komisyon Tarifesi'!$B$2:$B$1000,0)))))/100,IFERROR(IF(VLOOKUP($A120,Products!$A$2:$W$1000,21,0)&lt;&gt;"",$D120*VLOOKUP($A120,Products!$A$2:$W$1000,21,0)/100,""),"")))</f>
        <v>106.425</v>
      </c>
      <c r="F120" s="14">
        <f t="array" ref="F120">IF($A120="","",IFERROR(IF(INDEX('Maliyet Giris'!$G$2:$G$550,MATCH($A120,'Maliyet Giris'!$A$2:$A$550,0))="","",IF(INDEX('Maliyet Giris'!$G$2:$G$550,MATCH($A120,'Maliyet Giris'!$A$2:$A$550,0))&lt;=2,86.4,IF(INDEX('Maliyet Giris'!$G$2:$G$550,MATCH($A120,'Maliyet Giris'!$A$2:$A$550,0))&lt;=3,90,IF(INDEX('Maliyet Giris'!$G$2:$G$550,MATCH($A120,'Maliyet Giris'!$A$2:$A$550,0))&lt;=5,102,IF(INDEX('Maliyet Giris'!$G$2:$G$550,MATCH($A120,'Maliyet Giris'!$A$2:$A$550,0))&lt;=10,159.74,IF(INDEX('Maliyet Giris'!$G$2:$G$550,MATCH($A120,'Maliyet Giris'!$A$2:$A$550,0))&lt;=15,187.5,IF(INDEX('Maliyet Giris'!$G$2:$G$550,MATCH($A120,'Maliyet Giris'!$A$2:$A$550,0))&lt;=20,225,299))))))),""))</f>
        <v>86.4</v>
      </c>
      <c r="G120" s="14">
        <f t="array" ref="G120">IF($A120="","",IFERROR(INDEX('Maliyet Giris'!$F$2:$F$550,MATCH($A120,'Maliyet Giris'!$A$2:$A$550,0)),""))</f>
        <v>420</v>
      </c>
      <c r="H120" s="14">
        <f t="shared" si="1"/>
        <v>13.19</v>
      </c>
      <c r="I120" s="14">
        <f t="shared" si="2"/>
        <v>5.375</v>
      </c>
      <c r="J120" s="14">
        <f t="shared" si="3"/>
        <v>3.164166667</v>
      </c>
      <c r="K120" s="14">
        <f t="shared" si="4"/>
        <v>10.44583333</v>
      </c>
      <c r="L120" s="15">
        <f t="shared" si="5"/>
        <v>0.01619509044</v>
      </c>
      <c r="M120" s="17" t="str">
        <f t="shared" si="6"/>
        <v>KÂRLI</v>
      </c>
      <c r="N120" s="17" t="str">
        <f t="shared" si="7"/>
        <v/>
      </c>
      <c r="O120" s="17">
        <f t="array" ref="O120">IF($A120="","",IFERROR(INDEX('Maliyet Giris'!$G$2:$G$550,MATCH($A120,'Maliyet Giris'!$A$2:$A$550,0)),""))</f>
        <v>1</v>
      </c>
      <c r="P120" s="17" t="str">
        <f t="shared" si="8"/>
        <v/>
      </c>
      <c r="Q120" s="17" t="str">
        <f t="shared" si="9"/>
        <v/>
      </c>
      <c r="R120" s="14">
        <f t="shared" si="10"/>
        <v>632.2882209</v>
      </c>
      <c r="S120" s="14">
        <f t="shared" si="11"/>
        <v>12.71177913</v>
      </c>
      <c r="T120" s="17" t="str">
        <f t="shared" si="12"/>
        <v>RİSKLİ</v>
      </c>
      <c r="U120" s="17" t="str">
        <f t="shared" si="13"/>
        <v>Minimum fiyat altına düşme</v>
      </c>
    </row>
    <row r="121">
      <c r="A121" s="2" t="str">
        <f>IFERROR(__xludf.DUMMYFUNCTION("""COMPUTED_VALUE"""),"TYBJ6BLX4VD87YGF30")</f>
        <v>TYBJ6BLX4VD87YGF30</v>
      </c>
      <c r="B121" s="17" t="str">
        <f>IFERROR(__xludf.DUMMYFUNCTION("""COMPUTED_VALUE"""),"FELIX")</f>
        <v>FELIX</v>
      </c>
      <c r="C121" s="28" t="str">
        <f>IFERROR(__xludf.DUMMYFUNCTION("""COMPUTED_VALUE"""),"Felix Sığır Etli Kedi Avantajlı Paket (4x85) Gr")</f>
        <v>Felix Sığır Etli Kedi Avantajlı Paket (4x85) Gr</v>
      </c>
      <c r="D121" s="14">
        <f>IFERROR(__xludf.DUMMYFUNCTION("""COMPUTED_VALUE"""),550.0)</f>
        <v>550</v>
      </c>
      <c r="E121" s="14">
        <f t="array" ref="E121">IF($A121="","",IFERROR($D121*IF($D121&gt;=INDEX('Komisyon Tarifesi'!$I$2:$I$1000,MATCH($A121,'Komisyon Tarifesi'!$B$2:$B$1000,0)),INDEX('Komisyon Tarifesi'!$O$2:$O$1000,MATCH($A121,'Komisyon Tarifesi'!$B$2:$B$1000,0)),IF($D121&gt;=INDEX('Komisyon Tarifesi'!$K$2:$K$1000,MATCH($A121,'Komisyon Tarifesi'!$B$2:$B$1000,0)),INDEX('Komisyon Tarifesi'!$P$2:$P$1000,MATCH($A121,'Komisyon Tarifesi'!$B$2:$B$1000,0)),IF($D121&gt;=INDEX('Komisyon Tarifesi'!$M$2:$M$1000,MATCH($A121,'Komisyon Tarifesi'!$B$2:$B$1000,0)),INDEX('Komisyon Tarifesi'!$Q$2:$Q$1000,MATCH($A121,'Komisyon Tarifesi'!$B$2:$B$1000,0)),INDEX('Komisyon Tarifesi'!$R$2:$R$1000,MATCH($A121,'Komisyon Tarifesi'!$B$2:$B$1000,0)))))/100,IFERROR(IF(VLOOKUP($A121,Products!$A$2:$W$1000,21,0)&lt;&gt;"",$D121*VLOOKUP($A121,Products!$A$2:$W$1000,21,0)/100,""),"")))</f>
        <v>74.25</v>
      </c>
      <c r="F121" s="14">
        <f t="array" ref="F121">IF($A121="","",IFERROR(IF(INDEX('Maliyet Giris'!$G$2:$G$550,MATCH($A121,'Maliyet Giris'!$A$2:$A$550,0))="","",IF(INDEX('Maliyet Giris'!$G$2:$G$550,MATCH($A121,'Maliyet Giris'!$A$2:$A$550,0))&lt;=2,86.4,IF(INDEX('Maliyet Giris'!$G$2:$G$550,MATCH($A121,'Maliyet Giris'!$A$2:$A$550,0))&lt;=3,90,IF(INDEX('Maliyet Giris'!$G$2:$G$550,MATCH($A121,'Maliyet Giris'!$A$2:$A$550,0))&lt;=5,102,IF(INDEX('Maliyet Giris'!$G$2:$G$550,MATCH($A121,'Maliyet Giris'!$A$2:$A$550,0))&lt;=10,159.74,IF(INDEX('Maliyet Giris'!$G$2:$G$550,MATCH($A121,'Maliyet Giris'!$A$2:$A$550,0))&lt;=15,187.5,IF(INDEX('Maliyet Giris'!$G$2:$G$550,MATCH($A121,'Maliyet Giris'!$A$2:$A$550,0))&lt;=20,225,299))))))),""))</f>
        <v>86.4</v>
      </c>
      <c r="G121" s="14">
        <f t="array" ref="G121">IF($A121="","",IFERROR(INDEX('Maliyet Giris'!$F$2:$F$550,MATCH($A121,'Maliyet Giris'!$A$2:$A$550,0)),""))</f>
        <v>360</v>
      </c>
      <c r="H121" s="14">
        <f t="shared" si="1"/>
        <v>13.19</v>
      </c>
      <c r="I121" s="14">
        <f t="shared" si="2"/>
        <v>4.583333333</v>
      </c>
      <c r="J121" s="14">
        <f t="shared" si="3"/>
        <v>2.693333333</v>
      </c>
      <c r="K121" s="14">
        <f t="shared" si="4"/>
        <v>8.883333333</v>
      </c>
      <c r="L121" s="15">
        <f t="shared" si="5"/>
        <v>0.01615151515</v>
      </c>
      <c r="M121" s="17" t="str">
        <f t="shared" si="6"/>
        <v>KÂRLI</v>
      </c>
      <c r="N121" s="17" t="str">
        <f t="shared" si="7"/>
        <v/>
      </c>
      <c r="O121" s="17">
        <f t="array" ref="O121">IF($A121="","",IFERROR(INDEX('Maliyet Giris'!$G$2:$G$550,MATCH($A121,'Maliyet Giris'!$A$2:$A$550,0)),""))</f>
        <v>2</v>
      </c>
      <c r="P121" s="17" t="str">
        <f t="shared" si="8"/>
        <v/>
      </c>
      <c r="Q121" s="17" t="str">
        <f t="shared" si="9"/>
        <v/>
      </c>
      <c r="R121" s="14">
        <f t="shared" si="10"/>
        <v>539.5705221</v>
      </c>
      <c r="S121" s="14">
        <f t="shared" si="11"/>
        <v>10.42947785</v>
      </c>
      <c r="T121" s="17" t="str">
        <f t="shared" si="12"/>
        <v>RİSKLİ</v>
      </c>
      <c r="U121" s="17" t="str">
        <f t="shared" si="13"/>
        <v>Minimum fiyat altına düşme</v>
      </c>
    </row>
    <row r="122">
      <c r="A122" s="2">
        <f>IFERROR(__xludf.DUMMYFUNCTION("""COMPUTED_VALUE"""),7.613287487728E12)</f>
        <v>7613287487728</v>
      </c>
      <c r="B122" s="17" t="str">
        <f>IFERROR(__xludf.DUMMYFUNCTION("""COMPUTED_VALUE"""),"FELIX")</f>
        <v>FELIX</v>
      </c>
      <c r="C122" s="28" t="str">
        <f>IFERROR(__xludf.DUMMYFUNCTION("""COMPUTED_VALUE"""),"Junior Tavuklu Ve Sığır Etli Yaş Kedi Maması 12 Adet")</f>
        <v>Junior Tavuklu Ve Sığır Etli Yaş Kedi Maması 12 Adet</v>
      </c>
      <c r="D122" s="14">
        <f>IFERROR(__xludf.DUMMYFUNCTION("""COMPUTED_VALUE"""),1029.9)</f>
        <v>1029.9</v>
      </c>
      <c r="E122" s="14">
        <f t="array" ref="E122">IF($A122="","",IFERROR($D122*IF($D122&gt;=INDEX('Komisyon Tarifesi'!$I$2:$I$1000,MATCH($A122,'Komisyon Tarifesi'!$B$2:$B$1000,0)),INDEX('Komisyon Tarifesi'!$O$2:$O$1000,MATCH($A122,'Komisyon Tarifesi'!$B$2:$B$1000,0)),IF($D122&gt;=INDEX('Komisyon Tarifesi'!$K$2:$K$1000,MATCH($A122,'Komisyon Tarifesi'!$B$2:$B$1000,0)),INDEX('Komisyon Tarifesi'!$P$2:$P$1000,MATCH($A122,'Komisyon Tarifesi'!$B$2:$B$1000,0)),IF($D122&gt;=INDEX('Komisyon Tarifesi'!$M$2:$M$1000,MATCH($A122,'Komisyon Tarifesi'!$B$2:$B$1000,0)),INDEX('Komisyon Tarifesi'!$Q$2:$Q$1000,MATCH($A122,'Komisyon Tarifesi'!$B$2:$B$1000,0)),INDEX('Komisyon Tarifesi'!$R$2:$R$1000,MATCH($A122,'Komisyon Tarifesi'!$B$2:$B$1000,0)))))/100,IFERROR(IF(VLOOKUP($A122,Products!$A$2:$W$1000,21,0)&lt;&gt;"",$D122*VLOOKUP($A122,Products!$A$2:$W$1000,21,0)/100,""),"")))</f>
        <v>139.0365</v>
      </c>
      <c r="F122" s="14">
        <f t="array" ref="F122">IF($A122="","",IFERROR(IF(INDEX('Maliyet Giris'!$G$2:$G$550,MATCH($A122,'Maliyet Giris'!$A$2:$A$550,0))="","",IF(INDEX('Maliyet Giris'!$G$2:$G$550,MATCH($A122,'Maliyet Giris'!$A$2:$A$550,0))&lt;=2,86.4,IF(INDEX('Maliyet Giris'!$G$2:$G$550,MATCH($A122,'Maliyet Giris'!$A$2:$A$550,0))&lt;=3,90,IF(INDEX('Maliyet Giris'!$G$2:$G$550,MATCH($A122,'Maliyet Giris'!$A$2:$A$550,0))&lt;=5,102,IF(INDEX('Maliyet Giris'!$G$2:$G$550,MATCH($A122,'Maliyet Giris'!$A$2:$A$550,0))&lt;=10,159.74,IF(INDEX('Maliyet Giris'!$G$2:$G$550,MATCH($A122,'Maliyet Giris'!$A$2:$A$550,0))&lt;=15,187.5,IF(INDEX('Maliyet Giris'!$G$2:$G$550,MATCH($A122,'Maliyet Giris'!$A$2:$A$550,0))&lt;=20,225,299))))))),""))</f>
        <v>90</v>
      </c>
      <c r="G122" s="14">
        <f t="array" ref="G122">IF($A122="","",IFERROR(INDEX('Maliyet Giris'!$F$2:$F$550,MATCH($A122,'Maliyet Giris'!$A$2:$A$550,0)),""))</f>
        <v>720</v>
      </c>
      <c r="H122" s="14">
        <f t="shared" si="1"/>
        <v>13.19</v>
      </c>
      <c r="I122" s="14">
        <f t="shared" si="2"/>
        <v>8.5825</v>
      </c>
      <c r="J122" s="14">
        <f t="shared" si="3"/>
        <v>11.27891667</v>
      </c>
      <c r="K122" s="14">
        <f t="shared" si="4"/>
        <v>47.81208333</v>
      </c>
      <c r="L122" s="15">
        <f t="shared" si="5"/>
        <v>0.04642400557</v>
      </c>
      <c r="M122" s="17" t="str">
        <f t="shared" si="6"/>
        <v>KÂRLI</v>
      </c>
      <c r="N122" s="17" t="str">
        <f t="shared" si="7"/>
        <v/>
      </c>
      <c r="O122" s="17">
        <f t="array" ref="O122">IF($A122="","",IFERROR(INDEX('Maliyet Giris'!$G$2:$G$550,MATCH($A122,'Maliyet Giris'!$A$2:$A$550,0)),""))</f>
        <v>3</v>
      </c>
      <c r="P122" s="17" t="str">
        <f t="shared" si="8"/>
        <v/>
      </c>
      <c r="Q122" s="17" t="str">
        <f t="shared" si="9"/>
        <v/>
      </c>
      <c r="R122" s="14">
        <f t="shared" si="10"/>
        <v>973.3651194</v>
      </c>
      <c r="S122" s="14">
        <f t="shared" si="11"/>
        <v>56.5348806</v>
      </c>
      <c r="T122" s="17" t="str">
        <f t="shared" si="12"/>
        <v>DÜŞÜK KÂR</v>
      </c>
      <c r="U122" s="17" t="str">
        <f t="shared" si="13"/>
        <v>Reklam/komisyon etkisini kontrol et</v>
      </c>
    </row>
    <row r="123">
      <c r="A123" s="2">
        <f>IFERROR(__xludf.DUMMYFUNCTION("""COMPUTED_VALUE"""),4.0004872260361E15)</f>
        <v>4.00049E+15</v>
      </c>
      <c r="B123" s="17" t="str">
        <f>IFERROR(__xludf.DUMMYFUNCTION("""COMPUTED_VALUE"""),"FELIX")</f>
        <v>FELIX</v>
      </c>
      <c r="C123" s="28" t="str">
        <f>IFERROR(__xludf.DUMMYFUNCTION("""COMPUTED_VALUE"""),"Kedi Konservesi Karışık (poşet) X 100 Adet X 85 Gr")</f>
        <v>Kedi Konservesi Karışık (poşet) X 100 Adet X 85 Gr</v>
      </c>
      <c r="D123" s="14">
        <f>IFERROR(__xludf.DUMMYFUNCTION("""COMPUTED_VALUE"""),2249.0)</f>
        <v>2249</v>
      </c>
      <c r="E123" s="14">
        <f t="array" ref="E123">IF($A123="","",IFERROR($D123*IF($D123&gt;=INDEX('Komisyon Tarifesi'!$I$2:$I$1000,MATCH($A123,'Komisyon Tarifesi'!$B$2:$B$1000,0)),INDEX('Komisyon Tarifesi'!$O$2:$O$1000,MATCH($A123,'Komisyon Tarifesi'!$B$2:$B$1000,0)),IF($D123&gt;=INDEX('Komisyon Tarifesi'!$K$2:$K$1000,MATCH($A123,'Komisyon Tarifesi'!$B$2:$B$1000,0)),INDEX('Komisyon Tarifesi'!$P$2:$P$1000,MATCH($A123,'Komisyon Tarifesi'!$B$2:$B$1000,0)),IF($D123&gt;=INDEX('Komisyon Tarifesi'!$M$2:$M$1000,MATCH($A123,'Komisyon Tarifesi'!$B$2:$B$1000,0)),INDEX('Komisyon Tarifesi'!$Q$2:$Q$1000,MATCH($A123,'Komisyon Tarifesi'!$B$2:$B$1000,0)),INDEX('Komisyon Tarifesi'!$R$2:$R$1000,MATCH($A123,'Komisyon Tarifesi'!$B$2:$B$1000,0)))))/100,IFERROR(IF(VLOOKUP($A123,Products!$A$2:$W$1000,21,0)&lt;&gt;"",$D123*VLOOKUP($A123,Products!$A$2:$W$1000,21,0)/100,""),"")))</f>
        <v>371.085</v>
      </c>
      <c r="F123" s="14">
        <f t="array" ref="F123">IF($A123="","",IFERROR(IF(INDEX('Maliyet Giris'!$G$2:$G$550,MATCH($A123,'Maliyet Giris'!$A$2:$A$550,0))="","",IF(INDEX('Maliyet Giris'!$G$2:$G$550,MATCH($A123,'Maliyet Giris'!$A$2:$A$550,0))&lt;=2,86.4,IF(INDEX('Maliyet Giris'!$G$2:$G$550,MATCH($A123,'Maliyet Giris'!$A$2:$A$550,0))&lt;=3,90,IF(INDEX('Maliyet Giris'!$G$2:$G$550,MATCH($A123,'Maliyet Giris'!$A$2:$A$550,0))&lt;=5,102,IF(INDEX('Maliyet Giris'!$G$2:$G$550,MATCH($A123,'Maliyet Giris'!$A$2:$A$550,0))&lt;=10,159.74,IF(INDEX('Maliyet Giris'!$G$2:$G$550,MATCH($A123,'Maliyet Giris'!$A$2:$A$550,0))&lt;=15,187.5,IF(INDEX('Maliyet Giris'!$G$2:$G$550,MATCH($A123,'Maliyet Giris'!$A$2:$A$550,0))&lt;=20,225,299))))))),""))</f>
        <v>159.74</v>
      </c>
      <c r="G123" s="14">
        <f t="array" ref="G123">IF($A123="","",IFERROR(INDEX('Maliyet Giris'!$F$2:$F$550,MATCH($A123,'Maliyet Giris'!$A$2:$A$550,0)),""))</f>
        <v>1500</v>
      </c>
      <c r="H123" s="14">
        <f t="shared" si="1"/>
        <v>13.19</v>
      </c>
      <c r="I123" s="14">
        <f t="shared" si="2"/>
        <v>18.74166667</v>
      </c>
      <c r="J123" s="14">
        <f t="shared" si="3"/>
        <v>34.16416667</v>
      </c>
      <c r="K123" s="14">
        <f t="shared" si="4"/>
        <v>152.0791667</v>
      </c>
      <c r="L123" s="15">
        <f t="shared" si="5"/>
        <v>0.06762079443</v>
      </c>
      <c r="M123" s="17" t="str">
        <f t="shared" si="6"/>
        <v>KÂRLI</v>
      </c>
      <c r="N123" s="17" t="str">
        <f t="shared" si="7"/>
        <v/>
      </c>
      <c r="O123" s="17">
        <f t="array" ref="O123">IF($A123="","",IFERROR(INDEX('Maliyet Giris'!$G$2:$G$550,MATCH($A123,'Maliyet Giris'!$A$2:$A$550,0)),""))</f>
        <v>6</v>
      </c>
      <c r="P123" s="17" t="str">
        <f t="shared" si="8"/>
        <v/>
      </c>
      <c r="Q123" s="17" t="str">
        <f t="shared" si="9"/>
        <v/>
      </c>
      <c r="R123" s="14">
        <f t="shared" si="10"/>
        <v>2061.588563</v>
      </c>
      <c r="S123" s="14">
        <f t="shared" si="11"/>
        <v>187.4114375</v>
      </c>
      <c r="T123" s="17" t="str">
        <f t="shared" si="12"/>
        <v>DÜŞÜK KÂR</v>
      </c>
      <c r="U123" s="17" t="str">
        <f t="shared" si="13"/>
        <v>Reklam/komisyon etkisini kontrol et</v>
      </c>
    </row>
    <row r="124">
      <c r="A124" s="2" t="str">
        <f>IFERROR(__xludf.DUMMYFUNCTION("""COMPUTED_VALUE"""),"TYB6FA70RSFMWDH330")</f>
        <v>TYB6FA70RSFMWDH330</v>
      </c>
      <c r="B124" s="17" t="str">
        <f>IFERROR(__xludf.DUMMYFUNCTION("""COMPUTED_VALUE"""),"FELIX")</f>
        <v>FELIX</v>
      </c>
      <c r="C124" s="28" t="str">
        <f>IFERROR(__xludf.DUMMYFUNCTION("""COMPUTED_VALUE"""),"Karışık Yaş Kedi Maması 85 gr X 52 Adet")</f>
        <v>Karışık Yaş Kedi Maması 85 gr X 52 Adet</v>
      </c>
      <c r="D124" s="14">
        <f>IFERROR(__xludf.DUMMYFUNCTION("""COMPUTED_VALUE"""),1187.0)</f>
        <v>1187</v>
      </c>
      <c r="E124" s="14">
        <f t="array" ref="E124">IF($A124="","",IFERROR($D124*IF($D124&gt;=INDEX('Komisyon Tarifesi'!$I$2:$I$1000,MATCH($A124,'Komisyon Tarifesi'!$B$2:$B$1000,0)),INDEX('Komisyon Tarifesi'!$O$2:$O$1000,MATCH($A124,'Komisyon Tarifesi'!$B$2:$B$1000,0)),IF($D124&gt;=INDEX('Komisyon Tarifesi'!$K$2:$K$1000,MATCH($A124,'Komisyon Tarifesi'!$B$2:$B$1000,0)),INDEX('Komisyon Tarifesi'!$P$2:$P$1000,MATCH($A124,'Komisyon Tarifesi'!$B$2:$B$1000,0)),IF($D124&gt;=INDEX('Komisyon Tarifesi'!$M$2:$M$1000,MATCH($A124,'Komisyon Tarifesi'!$B$2:$B$1000,0)),INDEX('Komisyon Tarifesi'!$Q$2:$Q$1000,MATCH($A124,'Komisyon Tarifesi'!$B$2:$B$1000,0)),INDEX('Komisyon Tarifesi'!$R$2:$R$1000,MATCH($A124,'Komisyon Tarifesi'!$B$2:$B$1000,0)))))/100,IFERROR(IF(VLOOKUP($A124,Products!$A$2:$W$1000,21,0)&lt;&gt;"",$D124*VLOOKUP($A124,Products!$A$2:$W$1000,21,0)/100,""),"")))</f>
        <v>160.245</v>
      </c>
      <c r="F124" s="14">
        <f t="array" ref="F124">IF($A124="","",IFERROR(IF(INDEX('Maliyet Giris'!$G$2:$G$550,MATCH($A124,'Maliyet Giris'!$A$2:$A$550,0))="","",IF(INDEX('Maliyet Giris'!$G$2:$G$550,MATCH($A124,'Maliyet Giris'!$A$2:$A$550,0))&lt;=2,86.4,IF(INDEX('Maliyet Giris'!$G$2:$G$550,MATCH($A124,'Maliyet Giris'!$A$2:$A$550,0))&lt;=3,90,IF(INDEX('Maliyet Giris'!$G$2:$G$550,MATCH($A124,'Maliyet Giris'!$A$2:$A$550,0))&lt;=5,102,IF(INDEX('Maliyet Giris'!$G$2:$G$550,MATCH($A124,'Maliyet Giris'!$A$2:$A$550,0))&lt;=10,159.74,IF(INDEX('Maliyet Giris'!$G$2:$G$550,MATCH($A124,'Maliyet Giris'!$A$2:$A$550,0))&lt;=15,187.5,IF(INDEX('Maliyet Giris'!$G$2:$G$550,MATCH($A124,'Maliyet Giris'!$A$2:$A$550,0))&lt;=20,225,299))))))),""))</f>
        <v>102</v>
      </c>
      <c r="G124" s="14">
        <f t="array" ref="G124">IF($A124="","",IFERROR(INDEX('Maliyet Giris'!$F$2:$F$550,MATCH($A124,'Maliyet Giris'!$A$2:$A$550,0)),""))</f>
        <v>780</v>
      </c>
      <c r="H124" s="14">
        <f t="shared" si="1"/>
        <v>13.19</v>
      </c>
      <c r="I124" s="14">
        <f t="shared" si="2"/>
        <v>9.891666667</v>
      </c>
      <c r="J124" s="14">
        <f t="shared" si="3"/>
        <v>21.9275</v>
      </c>
      <c r="K124" s="14">
        <f t="shared" si="4"/>
        <v>99.74583333</v>
      </c>
      <c r="L124" s="15">
        <f t="shared" si="5"/>
        <v>0.08403187307</v>
      </c>
      <c r="M124" s="17" t="str">
        <f t="shared" si="6"/>
        <v>KÂRLI</v>
      </c>
      <c r="N124" s="17" t="str">
        <f t="shared" si="7"/>
        <v/>
      </c>
      <c r="O124" s="17">
        <f t="array" ref="O124">IF($A124="","",IFERROR(INDEX('Maliyet Giris'!$G$2:$G$550,MATCH($A124,'Maliyet Giris'!$A$2:$A$550,0)),""))</f>
        <v>4</v>
      </c>
      <c r="P124" s="17" t="str">
        <f t="shared" si="8"/>
        <v/>
      </c>
      <c r="Q124" s="17" t="str">
        <f t="shared" si="9"/>
        <v/>
      </c>
      <c r="R124" s="14">
        <f t="shared" si="10"/>
        <v>1067.99863</v>
      </c>
      <c r="S124" s="14">
        <f t="shared" si="11"/>
        <v>119.0013695</v>
      </c>
      <c r="T124" s="17" t="str">
        <f t="shared" si="12"/>
        <v>DÜŞÜK KÂR</v>
      </c>
      <c r="U124" s="17" t="str">
        <f t="shared" si="13"/>
        <v>Reklam/komisyon etkisini kontrol et</v>
      </c>
    </row>
    <row r="125">
      <c r="A125" s="2" t="str">
        <f>IFERROR(__xludf.DUMMYFUNCTION("""COMPUTED_VALUE"""),"TYB63LE63X4TX1PQ37")</f>
        <v>TYB63LE63X4TX1PQ37</v>
      </c>
      <c r="B125" s="17" t="str">
        <f>IFERROR(__xludf.DUMMYFUNCTION("""COMPUTED_VALUE"""),"Gourmet")</f>
        <v>Gourmet</v>
      </c>
      <c r="C125" s="28" t="str">
        <f>IFERROR(__xludf.DUMMYFUNCTION("""COMPUTED_VALUE"""),"Hindili Kıyılmış 85 G X 24 Adet")</f>
        <v>Hindili Kıyılmış 85 G X 24 Adet</v>
      </c>
      <c r="D125" s="14">
        <f>IFERROR(__xludf.DUMMYFUNCTION("""COMPUTED_VALUE"""),742.85)</f>
        <v>742.85</v>
      </c>
      <c r="E125" s="14">
        <f t="array" ref="E125">IF($A125="","",IFERROR($D125*IF($D125&gt;=INDEX('Komisyon Tarifesi'!$I$2:$I$1000,MATCH($A125,'Komisyon Tarifesi'!$B$2:$B$1000,0)),INDEX('Komisyon Tarifesi'!$O$2:$O$1000,MATCH($A125,'Komisyon Tarifesi'!$B$2:$B$1000,0)),IF($D125&gt;=INDEX('Komisyon Tarifesi'!$K$2:$K$1000,MATCH($A125,'Komisyon Tarifesi'!$B$2:$B$1000,0)),INDEX('Komisyon Tarifesi'!$P$2:$P$1000,MATCH($A125,'Komisyon Tarifesi'!$B$2:$B$1000,0)),IF($D125&gt;=INDEX('Komisyon Tarifesi'!$M$2:$M$1000,MATCH($A125,'Komisyon Tarifesi'!$B$2:$B$1000,0)),INDEX('Komisyon Tarifesi'!$Q$2:$Q$1000,MATCH($A125,'Komisyon Tarifesi'!$B$2:$B$1000,0)),INDEX('Komisyon Tarifesi'!$R$2:$R$1000,MATCH($A125,'Komisyon Tarifesi'!$B$2:$B$1000,0)))))/100,IFERROR(IF(VLOOKUP($A125,Products!$A$2:$W$1000,21,0)&lt;&gt;"",$D125*VLOOKUP($A125,Products!$A$2:$W$1000,21,0)/100,""),"")))</f>
        <v>34.1711</v>
      </c>
      <c r="F125" s="14">
        <f t="array" ref="F125">IF($A125="","",IFERROR(IF(INDEX('Maliyet Giris'!$G$2:$G$550,MATCH($A125,'Maliyet Giris'!$A$2:$A$550,0))="","",IF(INDEX('Maliyet Giris'!$G$2:$G$550,MATCH($A125,'Maliyet Giris'!$A$2:$A$550,0))&lt;=2,86.4,IF(INDEX('Maliyet Giris'!$G$2:$G$550,MATCH($A125,'Maliyet Giris'!$A$2:$A$550,0))&lt;=3,90,IF(INDEX('Maliyet Giris'!$G$2:$G$550,MATCH($A125,'Maliyet Giris'!$A$2:$A$550,0))&lt;=5,102,IF(INDEX('Maliyet Giris'!$G$2:$G$550,MATCH($A125,'Maliyet Giris'!$A$2:$A$550,0))&lt;=10,159.74,IF(INDEX('Maliyet Giris'!$G$2:$G$550,MATCH($A125,'Maliyet Giris'!$A$2:$A$550,0))&lt;=15,187.5,IF(INDEX('Maliyet Giris'!$G$2:$G$550,MATCH($A125,'Maliyet Giris'!$A$2:$A$550,0))&lt;=20,225,299))))))),""))</f>
        <v>86.4</v>
      </c>
      <c r="G125" s="14">
        <f t="array" ref="G125">IF($A125="","",IFERROR(INDEX('Maliyet Giris'!$F$2:$F$550,MATCH($A125,'Maliyet Giris'!$A$2:$A$550,0)),""))</f>
        <v>580</v>
      </c>
      <c r="H125" s="14">
        <f t="shared" si="1"/>
        <v>13.19</v>
      </c>
      <c r="I125" s="14">
        <f t="shared" si="2"/>
        <v>6.190416667</v>
      </c>
      <c r="J125" s="14">
        <f t="shared" si="3"/>
        <v>4.84815</v>
      </c>
      <c r="K125" s="14">
        <f t="shared" si="4"/>
        <v>18.05033333</v>
      </c>
      <c r="L125" s="15">
        <f t="shared" si="5"/>
        <v>0.02429875928</v>
      </c>
      <c r="M125" s="17" t="str">
        <f t="shared" si="6"/>
        <v>KÂRLI</v>
      </c>
      <c r="N125" s="17" t="str">
        <f t="shared" si="7"/>
        <v/>
      </c>
      <c r="O125" s="17">
        <f t="array" ref="O125">IF($A125="","",IFERROR(INDEX('Maliyet Giris'!$G$2:$G$550,MATCH($A125,'Maliyet Giris'!$A$2:$A$550,0)),""))</f>
        <v>2</v>
      </c>
      <c r="P125" s="17" t="str">
        <f t="shared" si="8"/>
        <v/>
      </c>
      <c r="Q125" s="17" t="str">
        <f t="shared" si="9"/>
        <v/>
      </c>
      <c r="R125" s="14">
        <f t="shared" si="10"/>
        <v>723.6296817</v>
      </c>
      <c r="S125" s="14">
        <f t="shared" si="11"/>
        <v>19.22031835</v>
      </c>
      <c r="T125" s="17" t="str">
        <f t="shared" si="12"/>
        <v>RİSKLİ</v>
      </c>
      <c r="U125" s="17" t="str">
        <f t="shared" si="13"/>
        <v>Minimum fiyat altına düşme</v>
      </c>
    </row>
    <row r="126">
      <c r="A126" s="2" t="str">
        <f>IFERROR(__xludf.DUMMYFUNCTION("""COMPUTED_VALUE"""),"TYB1Q7CNXWNPS6MI83")</f>
        <v>TYB1Q7CNXWNPS6MI83</v>
      </c>
      <c r="B126" s="17" t="str">
        <f>IFERROR(__xludf.DUMMYFUNCTION("""COMPUTED_VALUE"""),"FELIX")</f>
        <v>FELIX</v>
      </c>
      <c r="C126" s="28" t="str">
        <f>IFERROR(__xludf.DUMMYFUNCTION("""COMPUTED_VALUE"""),"Karışık Yetişkin Yaş Kedi Maması 104 X 85 gr")</f>
        <v>Karışık Yetişkin Yaş Kedi Maması 104 X 85 gr</v>
      </c>
      <c r="D126" s="14">
        <f>IFERROR(__xludf.DUMMYFUNCTION("""COMPUTED_VALUE"""),2179.0)</f>
        <v>2179</v>
      </c>
      <c r="E126" s="14">
        <f t="array" ref="E126">IF($A126="","",IFERROR($D126*IF($D126&gt;=INDEX('Komisyon Tarifesi'!$I$2:$I$1000,MATCH($A126,'Komisyon Tarifesi'!$B$2:$B$1000,0)),INDEX('Komisyon Tarifesi'!$O$2:$O$1000,MATCH($A126,'Komisyon Tarifesi'!$B$2:$B$1000,0)),IF($D126&gt;=INDEX('Komisyon Tarifesi'!$K$2:$K$1000,MATCH($A126,'Komisyon Tarifesi'!$B$2:$B$1000,0)),INDEX('Komisyon Tarifesi'!$P$2:$P$1000,MATCH($A126,'Komisyon Tarifesi'!$B$2:$B$1000,0)),IF($D126&gt;=INDEX('Komisyon Tarifesi'!$M$2:$M$1000,MATCH($A126,'Komisyon Tarifesi'!$B$2:$B$1000,0)),INDEX('Komisyon Tarifesi'!$Q$2:$Q$1000,MATCH($A126,'Komisyon Tarifesi'!$B$2:$B$1000,0)),INDEX('Komisyon Tarifesi'!$R$2:$R$1000,MATCH($A126,'Komisyon Tarifesi'!$B$2:$B$1000,0)))))/100,IFERROR(IF(VLOOKUP($A126,Products!$A$2:$W$1000,21,0)&lt;&gt;"",$D126*VLOOKUP($A126,Products!$A$2:$W$1000,21,0)/100,""),"")))</f>
        <v>294.165</v>
      </c>
      <c r="F126" s="14">
        <f t="array" ref="F126">IF($A126="","",IFERROR(IF(INDEX('Maliyet Giris'!$G$2:$G$550,MATCH($A126,'Maliyet Giris'!$A$2:$A$550,0))="","",IF(INDEX('Maliyet Giris'!$G$2:$G$550,MATCH($A126,'Maliyet Giris'!$A$2:$A$550,0))&lt;=2,86.4,IF(INDEX('Maliyet Giris'!$G$2:$G$550,MATCH($A126,'Maliyet Giris'!$A$2:$A$550,0))&lt;=3,90,IF(INDEX('Maliyet Giris'!$G$2:$G$550,MATCH($A126,'Maliyet Giris'!$A$2:$A$550,0))&lt;=5,102,IF(INDEX('Maliyet Giris'!$G$2:$G$550,MATCH($A126,'Maliyet Giris'!$A$2:$A$550,0))&lt;=10,159.74,IF(INDEX('Maliyet Giris'!$G$2:$G$550,MATCH($A126,'Maliyet Giris'!$A$2:$A$550,0))&lt;=15,187.5,IF(INDEX('Maliyet Giris'!$G$2:$G$550,MATCH($A126,'Maliyet Giris'!$A$2:$A$550,0))&lt;=20,225,299))))))),""))</f>
        <v>159.74</v>
      </c>
      <c r="G126" s="14">
        <f t="array" ref="G126">IF($A126="","",IFERROR(INDEX('Maliyet Giris'!$F$2:$F$550,MATCH($A126,'Maliyet Giris'!$A$2:$A$550,0)),""))</f>
        <v>1560</v>
      </c>
      <c r="H126" s="14">
        <f t="shared" si="1"/>
        <v>13.19</v>
      </c>
      <c r="I126" s="14">
        <f t="shared" si="2"/>
        <v>18.15833333</v>
      </c>
      <c r="J126" s="14">
        <f t="shared" si="3"/>
        <v>25.3175</v>
      </c>
      <c r="K126" s="14">
        <f t="shared" si="4"/>
        <v>108.4291667</v>
      </c>
      <c r="L126" s="15">
        <f t="shared" si="5"/>
        <v>0.04976097598</v>
      </c>
      <c r="M126" s="17" t="str">
        <f t="shared" si="6"/>
        <v>KÂRLI</v>
      </c>
      <c r="N126" s="17" t="str">
        <f t="shared" si="7"/>
        <v/>
      </c>
      <c r="O126" s="17">
        <f t="array" ref="O126">IF($A126="","",IFERROR(INDEX('Maliyet Giris'!$G$2:$G$550,MATCH($A126,'Maliyet Giris'!$A$2:$A$550,0)),""))</f>
        <v>7</v>
      </c>
      <c r="P126" s="17" t="str">
        <f t="shared" si="8"/>
        <v/>
      </c>
      <c r="Q126" s="17" t="str">
        <f t="shared" si="9"/>
        <v/>
      </c>
      <c r="R126" s="14">
        <f t="shared" si="10"/>
        <v>2050.68791</v>
      </c>
      <c r="S126" s="14">
        <f t="shared" si="11"/>
        <v>128.3120903</v>
      </c>
      <c r="T126" s="17" t="str">
        <f t="shared" si="12"/>
        <v>DÜŞÜK KÂR</v>
      </c>
      <c r="U126" s="17" t="str">
        <f t="shared" si="13"/>
        <v>Reklam/komisyon etkisini kontrol et</v>
      </c>
    </row>
    <row r="127">
      <c r="A127" s="2" t="str">
        <f>IFERROR(__xludf.DUMMYFUNCTION("""COMPUTED_VALUE"""),"SHOPSBURG0109")</f>
        <v>SHOPSBURG0109</v>
      </c>
      <c r="B127" s="17" t="str">
        <f>IFERROR(__xludf.DUMMYFUNCTION("""COMPUTED_VALUE"""),"FELIX")</f>
        <v>FELIX</v>
      </c>
      <c r="C127" s="28" t="str">
        <f>IFERROR(__xludf.DUMMYFUNCTION("""COMPUTED_VALUE"""),"Karışık Yavru Kedi Yaş Maması 12 x 85 gr (6 Adet Tavuklu ve 6 Adet Sığır Etli)")</f>
        <v>Karışık Yavru Kedi Yaş Maması 12 x 85 gr (6 Adet Tavuklu ve 6 Adet Sığır Etli)</v>
      </c>
      <c r="D127" s="14">
        <f>IFERROR(__xludf.DUMMYFUNCTION("""COMPUTED_VALUE"""),310.9)</f>
        <v>310.9</v>
      </c>
      <c r="E127" s="14">
        <f t="array" ref="E127">IF($A127="","",IFERROR($D127*IF($D127&gt;=INDEX('Komisyon Tarifesi'!$I$2:$I$1000,MATCH($A127,'Komisyon Tarifesi'!$B$2:$B$1000,0)),INDEX('Komisyon Tarifesi'!$O$2:$O$1000,MATCH($A127,'Komisyon Tarifesi'!$B$2:$B$1000,0)),IF($D127&gt;=INDEX('Komisyon Tarifesi'!$K$2:$K$1000,MATCH($A127,'Komisyon Tarifesi'!$B$2:$B$1000,0)),INDEX('Komisyon Tarifesi'!$P$2:$P$1000,MATCH($A127,'Komisyon Tarifesi'!$B$2:$B$1000,0)),IF($D127&gt;=INDEX('Komisyon Tarifesi'!$M$2:$M$1000,MATCH($A127,'Komisyon Tarifesi'!$B$2:$B$1000,0)),INDEX('Komisyon Tarifesi'!$Q$2:$Q$1000,MATCH($A127,'Komisyon Tarifesi'!$B$2:$B$1000,0)),INDEX('Komisyon Tarifesi'!$R$2:$R$1000,MATCH($A127,'Komisyon Tarifesi'!$B$2:$B$1000,0)))))/100,IFERROR(IF(VLOOKUP($A127,Products!$A$2:$W$1000,21,0)&lt;&gt;"",$D127*VLOOKUP($A127,Products!$A$2:$W$1000,21,0)/100,""),"")))</f>
        <v>41.9715</v>
      </c>
      <c r="F127" s="14">
        <f t="array" ref="F127">IF($A127="","",IFERROR(IF(INDEX('Maliyet Giris'!$G$2:$G$550,MATCH($A127,'Maliyet Giris'!$A$2:$A$550,0))="","",IF(INDEX('Maliyet Giris'!$G$2:$G$550,MATCH($A127,'Maliyet Giris'!$A$2:$A$550,0))&lt;=2,86.4,IF(INDEX('Maliyet Giris'!$G$2:$G$550,MATCH($A127,'Maliyet Giris'!$A$2:$A$550,0))&lt;=3,90,IF(INDEX('Maliyet Giris'!$G$2:$G$550,MATCH($A127,'Maliyet Giris'!$A$2:$A$550,0))&lt;=5,102,IF(INDEX('Maliyet Giris'!$G$2:$G$550,MATCH($A127,'Maliyet Giris'!$A$2:$A$550,0))&lt;=10,159.74,IF(INDEX('Maliyet Giris'!$G$2:$G$550,MATCH($A127,'Maliyet Giris'!$A$2:$A$550,0))&lt;=15,187.5,IF(INDEX('Maliyet Giris'!$G$2:$G$550,MATCH($A127,'Maliyet Giris'!$A$2:$A$550,0))&lt;=20,225,299))))))),""))</f>
        <v>90</v>
      </c>
      <c r="G127" s="14">
        <f t="array" ref="G127">IF($A127="","",IFERROR(INDEX('Maliyet Giris'!$F$2:$F$550,MATCH($A127,'Maliyet Giris'!$A$2:$A$550,0)),""))</f>
        <v>180</v>
      </c>
      <c r="H127" s="14">
        <f t="shared" si="1"/>
        <v>13.19</v>
      </c>
      <c r="I127" s="14">
        <f t="shared" si="2"/>
        <v>2.590833333</v>
      </c>
      <c r="J127" s="14">
        <f t="shared" si="3"/>
        <v>0</v>
      </c>
      <c r="K127" s="14">
        <f t="shared" si="4"/>
        <v>-16.85233333</v>
      </c>
      <c r="L127" s="15">
        <f t="shared" si="5"/>
        <v>-0.05420499625</v>
      </c>
      <c r="M127" s="17" t="str">
        <f t="shared" si="6"/>
        <v>ZARAR</v>
      </c>
      <c r="N127" s="17" t="str">
        <f t="shared" si="7"/>
        <v/>
      </c>
      <c r="O127" s="17">
        <f t="array" ref="O127">IF($A127="","",IFERROR(INDEX('Maliyet Giris'!$G$2:$G$550,MATCH($A127,'Maliyet Giris'!$A$2:$A$550,0)),""))</f>
        <v>3</v>
      </c>
      <c r="P127" s="17" t="str">
        <f t="shared" si="8"/>
        <v/>
      </c>
      <c r="Q127" s="17" t="str">
        <f t="shared" si="9"/>
        <v/>
      </c>
      <c r="R127" s="14">
        <f t="shared" si="10"/>
        <v>330.5718558</v>
      </c>
      <c r="S127" s="14">
        <f t="shared" si="11"/>
        <v>-19.67185581</v>
      </c>
      <c r="T127" s="17" t="str">
        <f t="shared" si="12"/>
        <v>ZARAR</v>
      </c>
      <c r="U127" s="17" t="str">
        <f t="shared" si="13"/>
        <v>Fiyat, maliyet veya kampanya kontrol et</v>
      </c>
    </row>
    <row r="128">
      <c r="A128" s="2">
        <f>IFERROR(__xludf.DUMMYFUNCTION("""COMPUTED_VALUE"""),4.54654654354534E14)</f>
        <v>454654654354534</v>
      </c>
      <c r="B128" s="17" t="str">
        <f>IFERROR(__xludf.DUMMYFUNCTION("""COMPUTED_VALUE"""),"FELIX")</f>
        <v>FELIX</v>
      </c>
      <c r="C128" s="28" t="str">
        <f>IFERROR(__xludf.DUMMYFUNCTION("""COMPUTED_VALUE"""),"Karışık Paket Pouch Kedi Konservesi 26 x 85 gr")</f>
        <v>Karışık Paket Pouch Kedi Konservesi 26 x 85 gr</v>
      </c>
      <c r="D128" s="14">
        <f>IFERROR(__xludf.DUMMYFUNCTION("""COMPUTED_VALUE"""),634.9)</f>
        <v>634.9</v>
      </c>
      <c r="E128" s="14">
        <f t="array" ref="E128">IF($A128="","",IFERROR($D128*IF($D128&gt;=INDEX('Komisyon Tarifesi'!$I$2:$I$1000,MATCH($A128,'Komisyon Tarifesi'!$B$2:$B$1000,0)),INDEX('Komisyon Tarifesi'!$O$2:$O$1000,MATCH($A128,'Komisyon Tarifesi'!$B$2:$B$1000,0)),IF($D128&gt;=INDEX('Komisyon Tarifesi'!$K$2:$K$1000,MATCH($A128,'Komisyon Tarifesi'!$B$2:$B$1000,0)),INDEX('Komisyon Tarifesi'!$P$2:$P$1000,MATCH($A128,'Komisyon Tarifesi'!$B$2:$B$1000,0)),IF($D128&gt;=INDEX('Komisyon Tarifesi'!$M$2:$M$1000,MATCH($A128,'Komisyon Tarifesi'!$B$2:$B$1000,0)),INDEX('Komisyon Tarifesi'!$Q$2:$Q$1000,MATCH($A128,'Komisyon Tarifesi'!$B$2:$B$1000,0)),INDEX('Komisyon Tarifesi'!$R$2:$R$1000,MATCH($A128,'Komisyon Tarifesi'!$B$2:$B$1000,0)))))/100,IFERROR(IF(VLOOKUP($A128,Products!$A$2:$W$1000,21,0)&lt;&gt;"",$D128*VLOOKUP($A128,Products!$A$2:$W$1000,21,0)/100,""),"")))</f>
        <v>85.7115</v>
      </c>
      <c r="F128" s="14">
        <f t="array" ref="F128">IF($A128="","",IFERROR(IF(INDEX('Maliyet Giris'!$G$2:$G$550,MATCH($A128,'Maliyet Giris'!$A$2:$A$550,0))="","",IF(INDEX('Maliyet Giris'!$G$2:$G$550,MATCH($A128,'Maliyet Giris'!$A$2:$A$550,0))&lt;=2,86.4,IF(INDEX('Maliyet Giris'!$G$2:$G$550,MATCH($A128,'Maliyet Giris'!$A$2:$A$550,0))&lt;=3,90,IF(INDEX('Maliyet Giris'!$G$2:$G$550,MATCH($A128,'Maliyet Giris'!$A$2:$A$550,0))&lt;=5,102,IF(INDEX('Maliyet Giris'!$G$2:$G$550,MATCH($A128,'Maliyet Giris'!$A$2:$A$550,0))&lt;=10,159.74,IF(INDEX('Maliyet Giris'!$G$2:$G$550,MATCH($A128,'Maliyet Giris'!$A$2:$A$550,0))&lt;=15,187.5,IF(INDEX('Maliyet Giris'!$G$2:$G$550,MATCH($A128,'Maliyet Giris'!$A$2:$A$550,0))&lt;=20,225,299))))))),""))</f>
        <v>86.4</v>
      </c>
      <c r="G128" s="14">
        <f t="array" ref="G128">IF($A128="","",IFERROR(INDEX('Maliyet Giris'!$F$2:$F$550,MATCH($A128,'Maliyet Giris'!$A$2:$A$550,0)),""))</f>
        <v>390</v>
      </c>
      <c r="H128" s="14">
        <f t="shared" si="1"/>
        <v>13.19</v>
      </c>
      <c r="I128" s="14">
        <f t="shared" si="2"/>
        <v>5.290833333</v>
      </c>
      <c r="J128" s="14">
        <f t="shared" si="3"/>
        <v>9.933083333</v>
      </c>
      <c r="K128" s="14">
        <f t="shared" si="4"/>
        <v>44.37458333</v>
      </c>
      <c r="L128" s="15">
        <f t="shared" si="5"/>
        <v>0.06989224025</v>
      </c>
      <c r="M128" s="17" t="str">
        <f t="shared" si="6"/>
        <v>KÂRLI</v>
      </c>
      <c r="N128" s="17" t="str">
        <f t="shared" si="7"/>
        <v/>
      </c>
      <c r="O128" s="17">
        <f t="array" ref="O128">IF($A128="","",IFERROR(INDEX('Maliyet Giris'!$G$2:$G$550,MATCH($A128,'Maliyet Giris'!$A$2:$A$550,0)),""))</f>
        <v>1</v>
      </c>
      <c r="P128" s="17" t="str">
        <f t="shared" si="8"/>
        <v/>
      </c>
      <c r="Q128" s="17" t="str">
        <f t="shared" si="9"/>
        <v/>
      </c>
      <c r="R128" s="14">
        <f t="shared" si="10"/>
        <v>582.1370509</v>
      </c>
      <c r="S128" s="14">
        <f t="shared" si="11"/>
        <v>52.76294915</v>
      </c>
      <c r="T128" s="17" t="str">
        <f t="shared" si="12"/>
        <v>DÜŞÜK KÂR</v>
      </c>
      <c r="U128" s="17" t="str">
        <f t="shared" si="13"/>
        <v>Reklam/komisyon etkisini kontrol et</v>
      </c>
    </row>
    <row r="129">
      <c r="A129" s="2" t="str">
        <f>IFERROR(__xludf.DUMMYFUNCTION("""COMPUTED_VALUE"""),"TYBVYCTB5P95JXTS98")</f>
        <v>TYBVYCTB5P95JXTS98</v>
      </c>
      <c r="B129" s="17" t="str">
        <f>IFERROR(__xludf.DUMMYFUNCTION("""COMPUTED_VALUE"""),"FELIX")</f>
        <v>FELIX</v>
      </c>
      <c r="C129" s="28" t="str">
        <f>IFERROR(__xludf.DUMMYFUNCTION("""COMPUTED_VALUE"""),"Yavru Sığıretli Yaş Kedi Maması 26 Adet X 85 Gr. ( Yeni Paket)")</f>
        <v>Yavru Sığıretli Yaş Kedi Maması 26 Adet X 85 Gr. ( Yeni Paket)</v>
      </c>
      <c r="D129" s="14">
        <f>IFERROR(__xludf.DUMMYFUNCTION("""COMPUTED_VALUE"""),578.99)</f>
        <v>578.99</v>
      </c>
      <c r="E129" s="14">
        <f t="array" ref="E129">IF($A129="","",IFERROR($D129*IF($D129&gt;=INDEX('Komisyon Tarifesi'!$I$2:$I$1000,MATCH($A129,'Komisyon Tarifesi'!$B$2:$B$1000,0)),INDEX('Komisyon Tarifesi'!$O$2:$O$1000,MATCH($A129,'Komisyon Tarifesi'!$B$2:$B$1000,0)),IF($D129&gt;=INDEX('Komisyon Tarifesi'!$K$2:$K$1000,MATCH($A129,'Komisyon Tarifesi'!$B$2:$B$1000,0)),INDEX('Komisyon Tarifesi'!$P$2:$P$1000,MATCH($A129,'Komisyon Tarifesi'!$B$2:$B$1000,0)),IF($D129&gt;=INDEX('Komisyon Tarifesi'!$M$2:$M$1000,MATCH($A129,'Komisyon Tarifesi'!$B$2:$B$1000,0)),INDEX('Komisyon Tarifesi'!$Q$2:$Q$1000,MATCH($A129,'Komisyon Tarifesi'!$B$2:$B$1000,0)),INDEX('Komisyon Tarifesi'!$R$2:$R$1000,MATCH($A129,'Komisyon Tarifesi'!$B$2:$B$1000,0)))))/100,IFERROR(IF(VLOOKUP($A129,Products!$A$2:$W$1000,21,0)&lt;&gt;"",$D129*VLOOKUP($A129,Products!$A$2:$W$1000,21,0)/100,""),"")))</f>
        <v>78.16365</v>
      </c>
      <c r="F129" s="14">
        <f t="array" ref="F129">IF($A129="","",IFERROR(IF(INDEX('Maliyet Giris'!$G$2:$G$550,MATCH($A129,'Maliyet Giris'!$A$2:$A$550,0))="","",IF(INDEX('Maliyet Giris'!$G$2:$G$550,MATCH($A129,'Maliyet Giris'!$A$2:$A$550,0))&lt;=2,86.4,IF(INDEX('Maliyet Giris'!$G$2:$G$550,MATCH($A129,'Maliyet Giris'!$A$2:$A$550,0))&lt;=3,90,IF(INDEX('Maliyet Giris'!$G$2:$G$550,MATCH($A129,'Maliyet Giris'!$A$2:$A$550,0))&lt;=5,102,IF(INDEX('Maliyet Giris'!$G$2:$G$550,MATCH($A129,'Maliyet Giris'!$A$2:$A$550,0))&lt;=10,159.74,IF(INDEX('Maliyet Giris'!$G$2:$G$550,MATCH($A129,'Maliyet Giris'!$A$2:$A$550,0))&lt;=15,187.5,IF(INDEX('Maliyet Giris'!$G$2:$G$550,MATCH($A129,'Maliyet Giris'!$A$2:$A$550,0))&lt;=20,225,299))))))),""))</f>
        <v>90</v>
      </c>
      <c r="G129" s="14">
        <f t="array" ref="G129">IF($A129="","",IFERROR(INDEX('Maliyet Giris'!$F$2:$F$550,MATCH($A129,'Maliyet Giris'!$A$2:$A$550,0)),""))</f>
        <v>390</v>
      </c>
      <c r="H129" s="14">
        <f t="shared" si="1"/>
        <v>13.19</v>
      </c>
      <c r="I129" s="14">
        <f t="shared" si="2"/>
        <v>4.824916667</v>
      </c>
      <c r="J129" s="14">
        <f t="shared" si="3"/>
        <v>1.272725</v>
      </c>
      <c r="K129" s="14">
        <f t="shared" si="4"/>
        <v>1.538708333</v>
      </c>
      <c r="L129" s="15">
        <f t="shared" si="5"/>
        <v>0.002657573245</v>
      </c>
      <c r="M129" s="17" t="str">
        <f t="shared" si="6"/>
        <v>KÂRLI</v>
      </c>
      <c r="N129" s="17" t="str">
        <f t="shared" si="7"/>
        <v/>
      </c>
      <c r="O129" s="17">
        <f t="array" ref="O129">IF($A129="","",IFERROR(INDEX('Maliyet Giris'!$G$2:$G$550,MATCH($A129,'Maliyet Giris'!$A$2:$A$550,0)),""))</f>
        <v>3</v>
      </c>
      <c r="P129" s="17" t="str">
        <f t="shared" si="8"/>
        <v/>
      </c>
      <c r="Q129" s="17" t="str">
        <f t="shared" si="9"/>
        <v/>
      </c>
      <c r="R129" s="14">
        <f t="shared" si="10"/>
        <v>577.1889965</v>
      </c>
      <c r="S129" s="14">
        <f t="shared" si="11"/>
        <v>1.801003496</v>
      </c>
      <c r="T129" s="17" t="str">
        <f t="shared" si="12"/>
        <v>RİSKLİ</v>
      </c>
      <c r="U129" s="17" t="str">
        <f t="shared" si="13"/>
        <v>Minimum fiyat altına düşme</v>
      </c>
    </row>
    <row r="130">
      <c r="A130" s="2" t="str">
        <f>IFERROR(__xludf.DUMMYFUNCTION("""COMPUTED_VALUE"""),"TYB7N6DXGDPRZMR507")</f>
        <v>TYB7N6DXGDPRZMR507</v>
      </c>
      <c r="B130" s="17" t="str">
        <f>IFERROR(__xludf.DUMMYFUNCTION("""COMPUTED_VALUE"""),"FELIX")</f>
        <v>FELIX</v>
      </c>
      <c r="C130" s="28" t="str">
        <f>IFERROR(__xludf.DUMMYFUNCTION("""COMPUTED_VALUE"""),"Tavuklu Yetişkin Yaş Kedi Maması 85 gr X 26 Adet")</f>
        <v>Tavuklu Yetişkin Yaş Kedi Maması 85 gr X 26 Adet</v>
      </c>
      <c r="D130" s="14">
        <f>IFERROR(__xludf.DUMMYFUNCTION("""COMPUTED_VALUE"""),507.27)</f>
        <v>507.27</v>
      </c>
      <c r="E130" s="14">
        <f t="array" ref="E130">IF($A130="","",IFERROR($D130*IF($D130&gt;=INDEX('Komisyon Tarifesi'!$I$2:$I$1000,MATCH($A130,'Komisyon Tarifesi'!$B$2:$B$1000,0)),INDEX('Komisyon Tarifesi'!$O$2:$O$1000,MATCH($A130,'Komisyon Tarifesi'!$B$2:$B$1000,0)),IF($D130&gt;=INDEX('Komisyon Tarifesi'!$K$2:$K$1000,MATCH($A130,'Komisyon Tarifesi'!$B$2:$B$1000,0)),INDEX('Komisyon Tarifesi'!$P$2:$P$1000,MATCH($A130,'Komisyon Tarifesi'!$B$2:$B$1000,0)),IF($D130&gt;=INDEX('Komisyon Tarifesi'!$M$2:$M$1000,MATCH($A130,'Komisyon Tarifesi'!$B$2:$B$1000,0)),INDEX('Komisyon Tarifesi'!$Q$2:$Q$1000,MATCH($A130,'Komisyon Tarifesi'!$B$2:$B$1000,0)),INDEX('Komisyon Tarifesi'!$R$2:$R$1000,MATCH($A130,'Komisyon Tarifesi'!$B$2:$B$1000,0)))))/100,IFERROR(IF(VLOOKUP($A130,Products!$A$2:$W$1000,21,0)&lt;&gt;"",$D130*VLOOKUP($A130,Products!$A$2:$W$1000,21,0)/100,""),"")))</f>
        <v>26.37804</v>
      </c>
      <c r="F130" s="14">
        <f t="array" ref="F130">IF($A130="","",IFERROR(IF(INDEX('Maliyet Giris'!$G$2:$G$550,MATCH($A130,'Maliyet Giris'!$A$2:$A$550,0))="","",IF(INDEX('Maliyet Giris'!$G$2:$G$550,MATCH($A130,'Maliyet Giris'!$A$2:$A$550,0))&lt;=2,86.4,IF(INDEX('Maliyet Giris'!$G$2:$G$550,MATCH($A130,'Maliyet Giris'!$A$2:$A$550,0))&lt;=3,90,IF(INDEX('Maliyet Giris'!$G$2:$G$550,MATCH($A130,'Maliyet Giris'!$A$2:$A$550,0))&lt;=5,102,IF(INDEX('Maliyet Giris'!$G$2:$G$550,MATCH($A130,'Maliyet Giris'!$A$2:$A$550,0))&lt;=10,159.74,IF(INDEX('Maliyet Giris'!$G$2:$G$550,MATCH($A130,'Maliyet Giris'!$A$2:$A$550,0))&lt;=15,187.5,IF(INDEX('Maliyet Giris'!$G$2:$G$550,MATCH($A130,'Maliyet Giris'!$A$2:$A$550,0))&lt;=20,225,299))))))),""))</f>
        <v>90</v>
      </c>
      <c r="G130" s="14">
        <f t="array" ref="G130">IF($A130="","",IFERROR(INDEX('Maliyet Giris'!$F$2:$F$550,MATCH($A130,'Maliyet Giris'!$A$2:$A$550,0)),""))</f>
        <v>390</v>
      </c>
      <c r="H130" s="14">
        <f t="shared" si="1"/>
        <v>13.19</v>
      </c>
      <c r="I130" s="14">
        <f t="shared" si="2"/>
        <v>4.22725</v>
      </c>
      <c r="J130" s="14">
        <f t="shared" si="3"/>
        <v>0</v>
      </c>
      <c r="K130" s="14">
        <f t="shared" si="4"/>
        <v>-16.52529</v>
      </c>
      <c r="L130" s="15">
        <f t="shared" si="5"/>
        <v>-0.0325769117</v>
      </c>
      <c r="M130" s="17" t="str">
        <f t="shared" si="6"/>
        <v>ZARAR</v>
      </c>
      <c r="N130" s="17" t="str">
        <f t="shared" si="7"/>
        <v/>
      </c>
      <c r="O130" s="17">
        <f t="array" ref="O130">IF($A130="","",IFERROR(INDEX('Maliyet Giris'!$G$2:$G$550,MATCH($A130,'Maliyet Giris'!$A$2:$A$550,0)),""))</f>
        <v>3</v>
      </c>
      <c r="P130" s="17" t="str">
        <f t="shared" si="8"/>
        <v/>
      </c>
      <c r="Q130" s="17" t="str">
        <f t="shared" si="9"/>
        <v/>
      </c>
      <c r="R130" s="14">
        <f t="shared" si="10"/>
        <v>524.8561458</v>
      </c>
      <c r="S130" s="14">
        <f t="shared" si="11"/>
        <v>-17.58614585</v>
      </c>
      <c r="T130" s="17" t="str">
        <f t="shared" si="12"/>
        <v>ZARAR</v>
      </c>
      <c r="U130" s="17" t="str">
        <f t="shared" si="13"/>
        <v>Fiyat, maliyet veya kampanya kontrol et</v>
      </c>
    </row>
    <row r="131">
      <c r="A131" s="2">
        <f>IFERROR(__xludf.DUMMYFUNCTION("""COMPUTED_VALUE"""),6.38929373773889E14)</f>
        <v>638929373773889</v>
      </c>
      <c r="B131" s="17" t="str">
        <f>IFERROR(__xludf.DUMMYFUNCTION("""COMPUTED_VALUE"""),"FELIX")</f>
        <v>FELIX</v>
      </c>
      <c r="C131" s="28" t="str">
        <f>IFERROR(__xludf.DUMMYFUNCTION("""COMPUTED_VALUE"""),"Yenilenmiş Paketi Ile 32 Adet Karışık Yaş Kedi Maması")</f>
        <v>Yenilenmiş Paketi Ile 32 Adet Karışık Yaş Kedi Maması</v>
      </c>
      <c r="D131" s="14">
        <f>IFERROR(__xludf.DUMMYFUNCTION("""COMPUTED_VALUE"""),759.0)</f>
        <v>759</v>
      </c>
      <c r="E131" s="14">
        <f t="array" ref="E131">IF($A131="","",IFERROR($D131*IF($D131&gt;=INDEX('Komisyon Tarifesi'!$I$2:$I$1000,MATCH($A131,'Komisyon Tarifesi'!$B$2:$B$1000,0)),INDEX('Komisyon Tarifesi'!$O$2:$O$1000,MATCH($A131,'Komisyon Tarifesi'!$B$2:$B$1000,0)),IF($D131&gt;=INDEX('Komisyon Tarifesi'!$K$2:$K$1000,MATCH($A131,'Komisyon Tarifesi'!$B$2:$B$1000,0)),INDEX('Komisyon Tarifesi'!$P$2:$P$1000,MATCH($A131,'Komisyon Tarifesi'!$B$2:$B$1000,0)),IF($D131&gt;=INDEX('Komisyon Tarifesi'!$M$2:$M$1000,MATCH($A131,'Komisyon Tarifesi'!$B$2:$B$1000,0)),INDEX('Komisyon Tarifesi'!$Q$2:$Q$1000,MATCH($A131,'Komisyon Tarifesi'!$B$2:$B$1000,0)),INDEX('Komisyon Tarifesi'!$R$2:$R$1000,MATCH($A131,'Komisyon Tarifesi'!$B$2:$B$1000,0)))))/100,IFERROR(IF(VLOOKUP($A131,Products!$A$2:$W$1000,21,0)&lt;&gt;"",$D131*VLOOKUP($A131,Products!$A$2:$W$1000,21,0)/100,""),"")))</f>
        <v>102.465</v>
      </c>
      <c r="F131" s="14">
        <f t="array" ref="F131">IF($A131="","",IFERROR(IF(INDEX('Maliyet Giris'!$G$2:$G$550,MATCH($A131,'Maliyet Giris'!$A$2:$A$550,0))="","",IF(INDEX('Maliyet Giris'!$G$2:$G$550,MATCH($A131,'Maliyet Giris'!$A$2:$A$550,0))&lt;=2,86.4,IF(INDEX('Maliyet Giris'!$G$2:$G$550,MATCH($A131,'Maliyet Giris'!$A$2:$A$550,0))&lt;=3,90,IF(INDEX('Maliyet Giris'!$G$2:$G$550,MATCH($A131,'Maliyet Giris'!$A$2:$A$550,0))&lt;=5,102,IF(INDEX('Maliyet Giris'!$G$2:$G$550,MATCH($A131,'Maliyet Giris'!$A$2:$A$550,0))&lt;=10,159.74,IF(INDEX('Maliyet Giris'!$G$2:$G$550,MATCH($A131,'Maliyet Giris'!$A$2:$A$550,0))&lt;=15,187.5,IF(INDEX('Maliyet Giris'!$G$2:$G$550,MATCH($A131,'Maliyet Giris'!$A$2:$A$550,0))&lt;=20,225,299))))))),""))</f>
        <v>86.4</v>
      </c>
      <c r="G131" s="14">
        <f t="array" ref="G131">IF($A131="","",IFERROR(INDEX('Maliyet Giris'!$F$2:$F$550,MATCH($A131,'Maliyet Giris'!$A$2:$A$550,0)),""))</f>
        <v>480</v>
      </c>
      <c r="H131" s="14">
        <f t="shared" si="1"/>
        <v>13.19</v>
      </c>
      <c r="I131" s="14">
        <f t="shared" si="2"/>
        <v>6.325</v>
      </c>
      <c r="J131" s="14">
        <f t="shared" si="3"/>
        <v>12.82416667</v>
      </c>
      <c r="K131" s="14">
        <f t="shared" si="4"/>
        <v>57.79583333</v>
      </c>
      <c r="L131" s="15">
        <f t="shared" si="5"/>
        <v>0.076147343</v>
      </c>
      <c r="M131" s="17" t="str">
        <f t="shared" si="6"/>
        <v>KÂRLI</v>
      </c>
      <c r="N131" s="17" t="str">
        <f t="shared" si="7"/>
        <v/>
      </c>
      <c r="O131" s="17">
        <f t="array" ref="O131">IF($A131="","",IFERROR(INDEX('Maliyet Giris'!$G$2:$G$550,MATCH($A131,'Maliyet Giris'!$A$2:$A$550,0)),""))</f>
        <v>1</v>
      </c>
      <c r="P131" s="17" t="str">
        <f t="shared" si="8"/>
        <v/>
      </c>
      <c r="Q131" s="17" t="str">
        <f t="shared" si="9"/>
        <v/>
      </c>
      <c r="R131" s="14">
        <f t="shared" si="10"/>
        <v>690.1763616</v>
      </c>
      <c r="S131" s="14">
        <f t="shared" si="11"/>
        <v>68.8236384</v>
      </c>
      <c r="T131" s="17" t="str">
        <f t="shared" si="12"/>
        <v>DÜŞÜK KÂR</v>
      </c>
      <c r="U131" s="17" t="str">
        <f t="shared" si="13"/>
        <v>Reklam/komisyon etkisini kontrol et</v>
      </c>
    </row>
    <row r="132">
      <c r="A132" s="2">
        <f>IFERROR(__xludf.DUMMYFUNCTION("""COMPUTED_VALUE"""),7.613031680992E12)</f>
        <v>7613031680992</v>
      </c>
      <c r="B132" s="17" t="str">
        <f>IFERROR(__xludf.DUMMYFUNCTION("""COMPUTED_VALUE"""),"Gourmet")</f>
        <v>Gourmet</v>
      </c>
      <c r="C132" s="28" t="str">
        <f>IFERROR(__xludf.DUMMYFUNCTION("""COMPUTED_VALUE"""),"Purina Gold Kıyılmış Hindi Etli Konserve Yetişkin Kedi Maması 24 x 85 G")</f>
        <v>Purina Gold Kıyılmış Hindi Etli Konserve Yetişkin Kedi Maması 24 x 85 G</v>
      </c>
      <c r="D132" s="14">
        <f>IFERROR(__xludf.DUMMYFUNCTION("""COMPUTED_VALUE"""),806.44)</f>
        <v>806.44</v>
      </c>
      <c r="E132" s="14">
        <f t="array" ref="E132">IF($A132="","",IFERROR($D132*IF($D132&gt;=INDEX('Komisyon Tarifesi'!$I$2:$I$1000,MATCH($A132,'Komisyon Tarifesi'!$B$2:$B$1000,0)),INDEX('Komisyon Tarifesi'!$O$2:$O$1000,MATCH($A132,'Komisyon Tarifesi'!$B$2:$B$1000,0)),IF($D132&gt;=INDEX('Komisyon Tarifesi'!$K$2:$K$1000,MATCH($A132,'Komisyon Tarifesi'!$B$2:$B$1000,0)),INDEX('Komisyon Tarifesi'!$P$2:$P$1000,MATCH($A132,'Komisyon Tarifesi'!$B$2:$B$1000,0)),IF($D132&gt;=INDEX('Komisyon Tarifesi'!$M$2:$M$1000,MATCH($A132,'Komisyon Tarifesi'!$B$2:$B$1000,0)),INDEX('Komisyon Tarifesi'!$Q$2:$Q$1000,MATCH($A132,'Komisyon Tarifesi'!$B$2:$B$1000,0)),INDEX('Komisyon Tarifesi'!$R$2:$R$1000,MATCH($A132,'Komisyon Tarifesi'!$B$2:$B$1000,0)))))/100,IFERROR(IF(VLOOKUP($A132,Products!$A$2:$W$1000,21,0)&lt;&gt;"",$D132*VLOOKUP($A132,Products!$A$2:$W$1000,21,0)/100,""),"")))</f>
        <v>56.4508</v>
      </c>
      <c r="F132" s="14">
        <f t="array" ref="F132">IF($A132="","",IFERROR(IF(INDEX('Maliyet Giris'!$G$2:$G$550,MATCH($A132,'Maliyet Giris'!$A$2:$A$550,0))="","",IF(INDEX('Maliyet Giris'!$G$2:$G$550,MATCH($A132,'Maliyet Giris'!$A$2:$A$550,0))&lt;=2,86.4,IF(INDEX('Maliyet Giris'!$G$2:$G$550,MATCH($A132,'Maliyet Giris'!$A$2:$A$550,0))&lt;=3,90,IF(INDEX('Maliyet Giris'!$G$2:$G$550,MATCH($A132,'Maliyet Giris'!$A$2:$A$550,0))&lt;=5,102,IF(INDEX('Maliyet Giris'!$G$2:$G$550,MATCH($A132,'Maliyet Giris'!$A$2:$A$550,0))&lt;=10,159.74,IF(INDEX('Maliyet Giris'!$G$2:$G$550,MATCH($A132,'Maliyet Giris'!$A$2:$A$550,0))&lt;=15,187.5,IF(INDEX('Maliyet Giris'!$G$2:$G$550,MATCH($A132,'Maliyet Giris'!$A$2:$A$550,0))&lt;=20,225,299))))))),""))</f>
        <v>86.4</v>
      </c>
      <c r="G132" s="14">
        <f t="array" ref="G132">IF($A132="","",IFERROR(INDEX('Maliyet Giris'!$F$2:$F$550,MATCH($A132,'Maliyet Giris'!$A$2:$A$550,0)),""))</f>
        <v>580</v>
      </c>
      <c r="H132" s="14">
        <f t="shared" si="1"/>
        <v>13.19</v>
      </c>
      <c r="I132" s="14">
        <f t="shared" si="2"/>
        <v>6.720333333</v>
      </c>
      <c r="J132" s="14">
        <f t="shared" si="3"/>
        <v>11.7332</v>
      </c>
      <c r="K132" s="14">
        <f t="shared" si="4"/>
        <v>51.94566667</v>
      </c>
      <c r="L132" s="15">
        <f t="shared" si="5"/>
        <v>0.06441355422</v>
      </c>
      <c r="M132" s="17" t="str">
        <f t="shared" si="6"/>
        <v>KÂRLI</v>
      </c>
      <c r="N132" s="17" t="str">
        <f t="shared" si="7"/>
        <v/>
      </c>
      <c r="O132" s="17">
        <f t="array" ref="O132">IF($A132="","",IFERROR(INDEX('Maliyet Giris'!$G$2:$G$550,MATCH($A132,'Maliyet Giris'!$A$2:$A$550,0)),""))</f>
        <v>1</v>
      </c>
      <c r="P132" s="17" t="str">
        <f t="shared" si="8"/>
        <v/>
      </c>
      <c r="Q132" s="17" t="str">
        <f t="shared" si="9"/>
        <v/>
      </c>
      <c r="R132" s="14">
        <f t="shared" si="10"/>
        <v>749.1751711</v>
      </c>
      <c r="S132" s="14">
        <f t="shared" si="11"/>
        <v>57.26482894</v>
      </c>
      <c r="T132" s="17" t="str">
        <f t="shared" si="12"/>
        <v>DÜŞÜK KÂR</v>
      </c>
      <c r="U132" s="17" t="str">
        <f t="shared" si="13"/>
        <v>Reklam/komisyon etkisini kontrol et</v>
      </c>
    </row>
    <row r="133">
      <c r="A133" s="2">
        <f>IFERROR(__xludf.DUMMYFUNCTION("""COMPUTED_VALUE"""),7.613031384494E12)</f>
        <v>7613031384494</v>
      </c>
      <c r="B133" s="17" t="str">
        <f>IFERROR(__xludf.DUMMYFUNCTION("""COMPUTED_VALUE"""),"Gourmet")</f>
        <v>Gourmet</v>
      </c>
      <c r="C133" s="28" t="str">
        <f>IFERROR(__xludf.DUMMYFUNCTION("""COMPUTED_VALUE"""),"Gold Kıyılmış Tavuklu Kedi Konservesi 85 gr X 24 Adet")</f>
        <v>Gold Kıyılmış Tavuklu Kedi Konservesi 85 gr X 24 Adet</v>
      </c>
      <c r="D133" s="14">
        <f>IFERROR(__xludf.DUMMYFUNCTION("""COMPUTED_VALUE"""),799.0)</f>
        <v>799</v>
      </c>
      <c r="E133" s="14">
        <f t="array" ref="E133">IF($A133="","",IFERROR($D133*IF($D133&gt;=INDEX('Komisyon Tarifesi'!$I$2:$I$1000,MATCH($A133,'Komisyon Tarifesi'!$B$2:$B$1000,0)),INDEX('Komisyon Tarifesi'!$O$2:$O$1000,MATCH($A133,'Komisyon Tarifesi'!$B$2:$B$1000,0)),IF($D133&gt;=INDEX('Komisyon Tarifesi'!$K$2:$K$1000,MATCH($A133,'Komisyon Tarifesi'!$B$2:$B$1000,0)),INDEX('Komisyon Tarifesi'!$P$2:$P$1000,MATCH($A133,'Komisyon Tarifesi'!$B$2:$B$1000,0)),IF($D133&gt;=INDEX('Komisyon Tarifesi'!$M$2:$M$1000,MATCH($A133,'Komisyon Tarifesi'!$B$2:$B$1000,0)),INDEX('Komisyon Tarifesi'!$Q$2:$Q$1000,MATCH($A133,'Komisyon Tarifesi'!$B$2:$B$1000,0)),INDEX('Komisyon Tarifesi'!$R$2:$R$1000,MATCH($A133,'Komisyon Tarifesi'!$B$2:$B$1000,0)))))/100,IFERROR(IF(VLOOKUP($A133,Products!$A$2:$W$1000,21,0)&lt;&gt;"",$D133*VLOOKUP($A133,Products!$A$2:$W$1000,21,0)/100,""),"")))</f>
        <v>45.543</v>
      </c>
      <c r="F133" s="14">
        <f t="array" ref="F133">IF($A133="","",IFERROR(IF(INDEX('Maliyet Giris'!$G$2:$G$550,MATCH($A133,'Maliyet Giris'!$A$2:$A$550,0))="","",IF(INDEX('Maliyet Giris'!$G$2:$G$550,MATCH($A133,'Maliyet Giris'!$A$2:$A$550,0))&lt;=2,86.4,IF(INDEX('Maliyet Giris'!$G$2:$G$550,MATCH($A133,'Maliyet Giris'!$A$2:$A$550,0))&lt;=3,90,IF(INDEX('Maliyet Giris'!$G$2:$G$550,MATCH($A133,'Maliyet Giris'!$A$2:$A$550,0))&lt;=5,102,IF(INDEX('Maliyet Giris'!$G$2:$G$550,MATCH($A133,'Maliyet Giris'!$A$2:$A$550,0))&lt;=10,159.74,IF(INDEX('Maliyet Giris'!$G$2:$G$550,MATCH($A133,'Maliyet Giris'!$A$2:$A$550,0))&lt;=15,187.5,IF(INDEX('Maliyet Giris'!$G$2:$G$550,MATCH($A133,'Maliyet Giris'!$A$2:$A$550,0))&lt;=20,225,299))))))),""))</f>
        <v>90</v>
      </c>
      <c r="G133" s="14">
        <f t="array" ref="G133">IF($A133="","",IFERROR(INDEX('Maliyet Giris'!$F$2:$F$550,MATCH($A133,'Maliyet Giris'!$A$2:$A$550,0)),""))</f>
        <v>580</v>
      </c>
      <c r="H133" s="14">
        <f t="shared" si="1"/>
        <v>13.19</v>
      </c>
      <c r="I133" s="14">
        <f t="shared" si="2"/>
        <v>6.658333333</v>
      </c>
      <c r="J133" s="14">
        <f t="shared" si="3"/>
        <v>11.71116667</v>
      </c>
      <c r="K133" s="14">
        <f t="shared" si="4"/>
        <v>51.8975</v>
      </c>
      <c r="L133" s="15">
        <f t="shared" si="5"/>
        <v>0.06495306633</v>
      </c>
      <c r="M133" s="17" t="str">
        <f t="shared" si="6"/>
        <v>KÂRLI</v>
      </c>
      <c r="N133" s="17" t="str">
        <f t="shared" si="7"/>
        <v/>
      </c>
      <c r="O133" s="17">
        <f t="array" ref="O133">IF($A133="","",IFERROR(INDEX('Maliyet Giris'!$G$2:$G$550,MATCH($A133,'Maliyet Giris'!$A$2:$A$550,0)),""))</f>
        <v>3</v>
      </c>
      <c r="P133" s="17" t="str">
        <f t="shared" si="8"/>
        <v/>
      </c>
      <c r="Q133" s="17" t="str">
        <f t="shared" si="9"/>
        <v/>
      </c>
      <c r="R133" s="14">
        <f t="shared" si="10"/>
        <v>742.5899804</v>
      </c>
      <c r="S133" s="14">
        <f t="shared" si="11"/>
        <v>56.41001959</v>
      </c>
      <c r="T133" s="17" t="str">
        <f t="shared" si="12"/>
        <v>DÜŞÜK KÂR</v>
      </c>
      <c r="U133" s="17" t="str">
        <f t="shared" si="13"/>
        <v>Reklam/komisyon etkisini kontrol et</v>
      </c>
    </row>
    <row r="134">
      <c r="A134" s="2" t="str">
        <f>IFERROR(__xludf.DUMMYFUNCTION("""COMPUTED_VALUE"""),"TYBBL117UNTJIWDS99")</f>
        <v>TYBBL117UNTJIWDS99</v>
      </c>
      <c r="B134" s="17" t="str">
        <f>IFERROR(__xludf.DUMMYFUNCTION("""COMPUTED_VALUE"""),"Pro Plan")</f>
        <v>Pro Plan</v>
      </c>
      <c r="C134" s="28" t="str">
        <f>IFERROR(__xludf.DUMMYFUNCTION("""COMPUTED_VALUE"""),"Proplan kısır somonlu 4 kg (400gr x10 ).")</f>
        <v>Proplan kısır somonlu 4 kg (400gr x10 ).</v>
      </c>
      <c r="D134" s="14">
        <f>IFERROR(__xludf.DUMMYFUNCTION("""COMPUTED_VALUE"""),1750.0)</f>
        <v>1750</v>
      </c>
      <c r="E134" s="14">
        <f t="array" ref="E134">IF($A134="","",IFERROR($D134*IF($D134&gt;=INDEX('Komisyon Tarifesi'!$I$2:$I$1000,MATCH($A134,'Komisyon Tarifesi'!$B$2:$B$1000,0)),INDEX('Komisyon Tarifesi'!$O$2:$O$1000,MATCH($A134,'Komisyon Tarifesi'!$B$2:$B$1000,0)),IF($D134&gt;=INDEX('Komisyon Tarifesi'!$K$2:$K$1000,MATCH($A134,'Komisyon Tarifesi'!$B$2:$B$1000,0)),INDEX('Komisyon Tarifesi'!$P$2:$P$1000,MATCH($A134,'Komisyon Tarifesi'!$B$2:$B$1000,0)),IF($D134&gt;=INDEX('Komisyon Tarifesi'!$M$2:$M$1000,MATCH($A134,'Komisyon Tarifesi'!$B$2:$B$1000,0)),INDEX('Komisyon Tarifesi'!$Q$2:$Q$1000,MATCH($A134,'Komisyon Tarifesi'!$B$2:$B$1000,0)),INDEX('Komisyon Tarifesi'!$R$2:$R$1000,MATCH($A134,'Komisyon Tarifesi'!$B$2:$B$1000,0)))))/100,IFERROR(IF(VLOOKUP($A134,Products!$A$2:$W$1000,21,0)&lt;&gt;"",$D134*VLOOKUP($A134,Products!$A$2:$W$1000,21,0)/100,""),"")))</f>
        <v>115.5</v>
      </c>
      <c r="F134" s="14">
        <f t="array" ref="F134">IF($A134="","",IFERROR(IF(INDEX('Maliyet Giris'!$G$2:$G$550,MATCH($A134,'Maliyet Giris'!$A$2:$A$550,0))="","",IF(INDEX('Maliyet Giris'!$G$2:$G$550,MATCH($A134,'Maliyet Giris'!$A$2:$A$550,0))&lt;=2,86.4,IF(INDEX('Maliyet Giris'!$G$2:$G$550,MATCH($A134,'Maliyet Giris'!$A$2:$A$550,0))&lt;=3,90,IF(INDEX('Maliyet Giris'!$G$2:$G$550,MATCH($A134,'Maliyet Giris'!$A$2:$A$550,0))&lt;=5,102,IF(INDEX('Maliyet Giris'!$G$2:$G$550,MATCH($A134,'Maliyet Giris'!$A$2:$A$550,0))&lt;=10,159.74,IF(INDEX('Maliyet Giris'!$G$2:$G$550,MATCH($A134,'Maliyet Giris'!$A$2:$A$550,0))&lt;=15,187.5,IF(INDEX('Maliyet Giris'!$G$2:$G$550,MATCH($A134,'Maliyet Giris'!$A$2:$A$550,0))&lt;=20,225,299))))))),""))</f>
        <v>90</v>
      </c>
      <c r="G134" s="14">
        <f t="array" ref="G134">IF($A134="","",IFERROR(INDEX('Maliyet Giris'!$F$2:$F$550,MATCH($A134,'Maliyet Giris'!$A$2:$A$550,0)),""))</f>
        <v>1500</v>
      </c>
      <c r="H134" s="14">
        <f t="shared" si="1"/>
        <v>13.19</v>
      </c>
      <c r="I134" s="14">
        <f t="shared" si="2"/>
        <v>14.58333333</v>
      </c>
      <c r="J134" s="14">
        <f t="shared" si="3"/>
        <v>5.218333333</v>
      </c>
      <c r="K134" s="14">
        <f t="shared" si="4"/>
        <v>11.50833333</v>
      </c>
      <c r="L134" s="15">
        <f t="shared" si="5"/>
        <v>0.006576190476</v>
      </c>
      <c r="M134" s="17" t="str">
        <f t="shared" si="6"/>
        <v>KÂRLI</v>
      </c>
      <c r="N134" s="17" t="str">
        <f t="shared" si="7"/>
        <v/>
      </c>
      <c r="O134" s="17">
        <f t="array" ref="O134">IF($A134="","",IFERROR(INDEX('Maliyet Giris'!$G$2:$G$550,MATCH($A134,'Maliyet Giris'!$A$2:$A$550,0)),""))</f>
        <v>3</v>
      </c>
      <c r="P134" s="17" t="str">
        <f t="shared" si="8"/>
        <v/>
      </c>
      <c r="Q134" s="17" t="str">
        <f t="shared" si="9"/>
        <v/>
      </c>
      <c r="R134" s="14">
        <f t="shared" si="10"/>
        <v>1737.526712</v>
      </c>
      <c r="S134" s="14">
        <f t="shared" si="11"/>
        <v>12.47328772</v>
      </c>
      <c r="T134" s="17" t="str">
        <f t="shared" si="12"/>
        <v>RİSKLİ</v>
      </c>
      <c r="U134" s="17" t="str">
        <f t="shared" si="13"/>
        <v>Minimum fiyat altına düşme</v>
      </c>
    </row>
    <row r="135">
      <c r="A135" s="2" t="str">
        <f>IFERROR(__xludf.DUMMYFUNCTION("""COMPUTED_VALUE"""),"TYBM7WNP05FYPO2N47")</f>
        <v>TYBM7WNP05FYPO2N47</v>
      </c>
      <c r="B135" s="17" t="str">
        <f>IFERROR(__xludf.DUMMYFUNCTION("""COMPUTED_VALUE"""),"Pro Plan")</f>
        <v>Pro Plan</v>
      </c>
      <c r="C135" s="28" t="str">
        <f>IFERROR(__xludf.DUMMYFUNCTION("""COMPUTED_VALUE"""),"Proplan sterilised kısırlaştırılmış somonlu kedi maması 2 kg (5 adet 400 gr )")</f>
        <v>Proplan sterilised kısırlaştırılmış somonlu kedi maması 2 kg (5 adet 400 gr )</v>
      </c>
      <c r="D135" s="14">
        <f>IFERROR(__xludf.DUMMYFUNCTION("""COMPUTED_VALUE"""),899.0)</f>
        <v>899</v>
      </c>
      <c r="E135" s="14">
        <f t="array" ref="E135">IF($A135="","",IFERROR($D135*IF($D135&gt;=INDEX('Komisyon Tarifesi'!$I$2:$I$1000,MATCH($A135,'Komisyon Tarifesi'!$B$2:$B$1000,0)),INDEX('Komisyon Tarifesi'!$O$2:$O$1000,MATCH($A135,'Komisyon Tarifesi'!$B$2:$B$1000,0)),IF($D135&gt;=INDEX('Komisyon Tarifesi'!$K$2:$K$1000,MATCH($A135,'Komisyon Tarifesi'!$B$2:$B$1000,0)),INDEX('Komisyon Tarifesi'!$P$2:$P$1000,MATCH($A135,'Komisyon Tarifesi'!$B$2:$B$1000,0)),IF($D135&gt;=INDEX('Komisyon Tarifesi'!$M$2:$M$1000,MATCH($A135,'Komisyon Tarifesi'!$B$2:$B$1000,0)),INDEX('Komisyon Tarifesi'!$Q$2:$Q$1000,MATCH($A135,'Komisyon Tarifesi'!$B$2:$B$1000,0)),INDEX('Komisyon Tarifesi'!$R$2:$R$1000,MATCH($A135,'Komisyon Tarifesi'!$B$2:$B$1000,0)))))/100,IFERROR(IF(VLOOKUP($A135,Products!$A$2:$W$1000,21,0)&lt;&gt;"",$D135*VLOOKUP($A135,Products!$A$2:$W$1000,21,0)/100,""),"")))</f>
        <v>72.819</v>
      </c>
      <c r="F135" s="14">
        <f t="array" ref="F135">IF($A135="","",IFERROR(IF(INDEX('Maliyet Giris'!$G$2:$G$550,MATCH($A135,'Maliyet Giris'!$A$2:$A$550,0))="","",IF(INDEX('Maliyet Giris'!$G$2:$G$550,MATCH($A135,'Maliyet Giris'!$A$2:$A$550,0))&lt;=2,86.4,IF(INDEX('Maliyet Giris'!$G$2:$G$550,MATCH($A135,'Maliyet Giris'!$A$2:$A$550,0))&lt;=3,90,IF(INDEX('Maliyet Giris'!$G$2:$G$550,MATCH($A135,'Maliyet Giris'!$A$2:$A$550,0))&lt;=5,102,IF(INDEX('Maliyet Giris'!$G$2:$G$550,MATCH($A135,'Maliyet Giris'!$A$2:$A$550,0))&lt;=10,159.74,IF(INDEX('Maliyet Giris'!$G$2:$G$550,MATCH($A135,'Maliyet Giris'!$A$2:$A$550,0))&lt;=15,187.5,IF(INDEX('Maliyet Giris'!$G$2:$G$550,MATCH($A135,'Maliyet Giris'!$A$2:$A$550,0))&lt;=20,225,299))))))),""))</f>
        <v>90</v>
      </c>
      <c r="G135" s="14">
        <f t="array" ref="G135">IF($A135="","",IFERROR(INDEX('Maliyet Giris'!$F$2:$F$550,MATCH($A135,'Maliyet Giris'!$A$2:$A$550,0)),""))</f>
        <v>750</v>
      </c>
      <c r="H135" s="14">
        <f t="shared" si="1"/>
        <v>13.19</v>
      </c>
      <c r="I135" s="14">
        <f t="shared" si="2"/>
        <v>7.491666667</v>
      </c>
      <c r="J135" s="14">
        <f t="shared" si="3"/>
        <v>0</v>
      </c>
      <c r="K135" s="14">
        <f t="shared" si="4"/>
        <v>-34.50066667</v>
      </c>
      <c r="L135" s="15">
        <f t="shared" si="5"/>
        <v>-0.03837671487</v>
      </c>
      <c r="M135" s="17" t="str">
        <f t="shared" si="6"/>
        <v>ZARAR</v>
      </c>
      <c r="N135" s="17" t="str">
        <f t="shared" si="7"/>
        <v/>
      </c>
      <c r="O135" s="17">
        <f t="array" ref="O135">IF($A135="","",IFERROR(INDEX('Maliyet Giris'!$G$2:$G$550,MATCH($A135,'Maliyet Giris'!$A$2:$A$550,0)),""))</f>
        <v>3</v>
      </c>
      <c r="P135" s="17" t="str">
        <f t="shared" si="8"/>
        <v/>
      </c>
      <c r="Q135" s="17" t="str">
        <f t="shared" si="9"/>
        <v/>
      </c>
      <c r="R135" s="14">
        <f t="shared" si="10"/>
        <v>936.884723</v>
      </c>
      <c r="S135" s="14">
        <f t="shared" si="11"/>
        <v>-37.88472296</v>
      </c>
      <c r="T135" s="17" t="str">
        <f t="shared" si="12"/>
        <v>ZARAR</v>
      </c>
      <c r="U135" s="17" t="str">
        <f t="shared" si="13"/>
        <v>Fiyat, maliyet veya kampanya kontrol et</v>
      </c>
    </row>
    <row r="136">
      <c r="A136" s="2">
        <f>IFERROR(__xludf.DUMMYFUNCTION("""COMPUTED_VALUE"""),7.613035846708E12)</f>
        <v>7613035846708</v>
      </c>
      <c r="B136" s="17" t="str">
        <f>IFERROR(__xludf.DUMMYFUNCTION("""COMPUTED_VALUE"""),"Pro Plan")</f>
        <v>Pro Plan</v>
      </c>
      <c r="C136" s="28" t="str">
        <f>IFERROR(__xludf.DUMMYFUNCTION("""COMPUTED_VALUE"""),"Pro Plan Delicate Kuzu Etli Kedi Maması 3 Kg")</f>
        <v>Pro Plan Delicate Kuzu Etli Kedi Maması 3 Kg</v>
      </c>
      <c r="D136" s="14">
        <f>IFERROR(__xludf.DUMMYFUNCTION("""COMPUTED_VALUE"""),1388.0)</f>
        <v>1388</v>
      </c>
      <c r="E136" s="14">
        <f t="array" ref="E136">IF($A136="","",IFERROR($D136*IF($D136&gt;=INDEX('Komisyon Tarifesi'!$I$2:$I$1000,MATCH($A136,'Komisyon Tarifesi'!$B$2:$B$1000,0)),INDEX('Komisyon Tarifesi'!$O$2:$O$1000,MATCH($A136,'Komisyon Tarifesi'!$B$2:$B$1000,0)),IF($D136&gt;=INDEX('Komisyon Tarifesi'!$K$2:$K$1000,MATCH($A136,'Komisyon Tarifesi'!$B$2:$B$1000,0)),INDEX('Komisyon Tarifesi'!$P$2:$P$1000,MATCH($A136,'Komisyon Tarifesi'!$B$2:$B$1000,0)),IF($D136&gt;=INDEX('Komisyon Tarifesi'!$M$2:$M$1000,MATCH($A136,'Komisyon Tarifesi'!$B$2:$B$1000,0)),INDEX('Komisyon Tarifesi'!$Q$2:$Q$1000,MATCH($A136,'Komisyon Tarifesi'!$B$2:$B$1000,0)),INDEX('Komisyon Tarifesi'!$R$2:$R$1000,MATCH($A136,'Komisyon Tarifesi'!$B$2:$B$1000,0)))))/100,IFERROR(IF(VLOOKUP($A136,Products!$A$2:$W$1000,21,0)&lt;&gt;"",$D136*VLOOKUP($A136,Products!$A$2:$W$1000,21,0)/100,""),"")))</f>
        <v>173.5</v>
      </c>
      <c r="F136" s="14">
        <f t="array" ref="F136">IF($A136="","",IFERROR(IF(INDEX('Maliyet Giris'!$G$2:$G$550,MATCH($A136,'Maliyet Giris'!$A$2:$A$550,0))="","",IF(INDEX('Maliyet Giris'!$G$2:$G$550,MATCH($A136,'Maliyet Giris'!$A$2:$A$550,0))&lt;=2,86.4,IF(INDEX('Maliyet Giris'!$G$2:$G$550,MATCH($A136,'Maliyet Giris'!$A$2:$A$550,0))&lt;=3,90,IF(INDEX('Maliyet Giris'!$G$2:$G$550,MATCH($A136,'Maliyet Giris'!$A$2:$A$550,0))&lt;=5,102,IF(INDEX('Maliyet Giris'!$G$2:$G$550,MATCH($A136,'Maliyet Giris'!$A$2:$A$550,0))&lt;=10,159.74,IF(INDEX('Maliyet Giris'!$G$2:$G$550,MATCH($A136,'Maliyet Giris'!$A$2:$A$550,0))&lt;=15,187.5,IF(INDEX('Maliyet Giris'!$G$2:$G$550,MATCH($A136,'Maliyet Giris'!$A$2:$A$550,0))&lt;=20,225,299))))))),""))</f>
        <v>90</v>
      </c>
      <c r="G136" s="14">
        <f t="array" ref="G136">IF($A136="","",IFERROR(INDEX('Maliyet Giris'!$F$2:$F$550,MATCH($A136,'Maliyet Giris'!$A$2:$A$550,0)),""))</f>
        <v>1160</v>
      </c>
      <c r="H136" s="14">
        <f t="shared" si="1"/>
        <v>13.19</v>
      </c>
      <c r="I136" s="14">
        <f t="shared" si="2"/>
        <v>11.56666667</v>
      </c>
      <c r="J136" s="14">
        <f t="shared" si="3"/>
        <v>0</v>
      </c>
      <c r="K136" s="14">
        <f t="shared" si="4"/>
        <v>-60.25666667</v>
      </c>
      <c r="L136" s="15">
        <f t="shared" si="5"/>
        <v>-0.04341258405</v>
      </c>
      <c r="M136" s="17" t="str">
        <f t="shared" si="6"/>
        <v>ZARAR</v>
      </c>
      <c r="N136" s="17" t="str">
        <f t="shared" si="7"/>
        <v/>
      </c>
      <c r="O136" s="17">
        <f t="array" ref="O136">IF($A136="","",IFERROR(INDEX('Maliyet Giris'!$G$2:$G$550,MATCH($A136,'Maliyet Giris'!$A$2:$A$550,0)),""))</f>
        <v>3</v>
      </c>
      <c r="P136" s="17" t="str">
        <f t="shared" si="8"/>
        <v/>
      </c>
      <c r="Q136" s="17" t="str">
        <f t="shared" si="9"/>
        <v/>
      </c>
      <c r="R136" s="14">
        <f t="shared" si="10"/>
        <v>1457.526362</v>
      </c>
      <c r="S136" s="14">
        <f t="shared" si="11"/>
        <v>-69.52636249</v>
      </c>
      <c r="T136" s="17" t="str">
        <f t="shared" si="12"/>
        <v>ZARAR</v>
      </c>
      <c r="U136" s="17" t="str">
        <f t="shared" si="13"/>
        <v>Fiyat, maliyet veya kampanya kontrol et</v>
      </c>
    </row>
    <row r="137">
      <c r="A137" s="2">
        <f>IFERROR(__xludf.DUMMYFUNCTION("""COMPUTED_VALUE"""),2.584503166745E12)</f>
        <v>2584503166745</v>
      </c>
      <c r="B137" s="17" t="str">
        <f>IFERROR(__xludf.DUMMYFUNCTION("""COMPUTED_VALUE"""),"Pro Plan")</f>
        <v>Pro Plan</v>
      </c>
      <c r="C137" s="28" t="str">
        <f>IFERROR(__xludf.DUMMYFUNCTION("""COMPUTED_VALUE"""),"Proplan Somonlu Kısırlaştırılmış Kedi Maması 10 Kg")</f>
        <v>Proplan Somonlu Kısırlaştırılmış Kedi Maması 10 Kg</v>
      </c>
      <c r="D137" s="14">
        <f>IFERROR(__xludf.DUMMYFUNCTION("""COMPUTED_VALUE"""),4080.0)</f>
        <v>4080</v>
      </c>
      <c r="E137" s="14">
        <f t="array" ref="E137">IF($A137="","",IFERROR($D137*IF($D137&gt;=INDEX('Komisyon Tarifesi'!$I$2:$I$1000,MATCH($A137,'Komisyon Tarifesi'!$B$2:$B$1000,0)),INDEX('Komisyon Tarifesi'!$O$2:$O$1000,MATCH($A137,'Komisyon Tarifesi'!$B$2:$B$1000,0)),IF($D137&gt;=INDEX('Komisyon Tarifesi'!$K$2:$K$1000,MATCH($A137,'Komisyon Tarifesi'!$B$2:$B$1000,0)),INDEX('Komisyon Tarifesi'!$P$2:$P$1000,MATCH($A137,'Komisyon Tarifesi'!$B$2:$B$1000,0)),IF($D137&gt;=INDEX('Komisyon Tarifesi'!$M$2:$M$1000,MATCH($A137,'Komisyon Tarifesi'!$B$2:$B$1000,0)),INDEX('Komisyon Tarifesi'!$Q$2:$Q$1000,MATCH($A137,'Komisyon Tarifesi'!$B$2:$B$1000,0)),INDEX('Komisyon Tarifesi'!$R$2:$R$1000,MATCH($A137,'Komisyon Tarifesi'!$B$2:$B$1000,0)))))/100,IFERROR(IF(VLOOKUP($A137,Products!$A$2:$W$1000,21,0)&lt;&gt;"",$D137*VLOOKUP($A137,Products!$A$2:$W$1000,21,0)/100,""),"")))</f>
        <v>510</v>
      </c>
      <c r="F137" s="14">
        <f t="array" ref="F137">IF($A137="","",IFERROR(IF(INDEX('Maliyet Giris'!$G$2:$G$550,MATCH($A137,'Maliyet Giris'!$A$2:$A$550,0))="","",IF(INDEX('Maliyet Giris'!$G$2:$G$550,MATCH($A137,'Maliyet Giris'!$A$2:$A$550,0))&lt;=2,86.4,IF(INDEX('Maliyet Giris'!$G$2:$G$550,MATCH($A137,'Maliyet Giris'!$A$2:$A$550,0))&lt;=3,90,IF(INDEX('Maliyet Giris'!$G$2:$G$550,MATCH($A137,'Maliyet Giris'!$A$2:$A$550,0))&lt;=5,102,IF(INDEX('Maliyet Giris'!$G$2:$G$550,MATCH($A137,'Maliyet Giris'!$A$2:$A$550,0))&lt;=10,159.74,IF(INDEX('Maliyet Giris'!$G$2:$G$550,MATCH($A137,'Maliyet Giris'!$A$2:$A$550,0))&lt;=15,187.5,IF(INDEX('Maliyet Giris'!$G$2:$G$550,MATCH($A137,'Maliyet Giris'!$A$2:$A$550,0))&lt;=20,225,299))))))),""))</f>
        <v>90</v>
      </c>
      <c r="G137" s="14">
        <f t="array" ref="G137">IF($A137="","",IFERROR(INDEX('Maliyet Giris'!$F$2:$F$550,MATCH($A137,'Maliyet Giris'!$A$2:$A$550,0)),""))</f>
        <v>3475</v>
      </c>
      <c r="H137" s="14">
        <f t="shared" si="1"/>
        <v>13.19</v>
      </c>
      <c r="I137" s="14">
        <f t="shared" si="2"/>
        <v>34</v>
      </c>
      <c r="J137" s="14">
        <f t="shared" si="3"/>
        <v>0</v>
      </c>
      <c r="K137" s="14">
        <f t="shared" si="4"/>
        <v>-42.19</v>
      </c>
      <c r="L137" s="15">
        <f t="shared" si="5"/>
        <v>-0.01034068627</v>
      </c>
      <c r="M137" s="17" t="str">
        <f t="shared" si="6"/>
        <v>ZARAR</v>
      </c>
      <c r="N137" s="17" t="str">
        <f t="shared" si="7"/>
        <v/>
      </c>
      <c r="O137" s="17">
        <f t="array" ref="O137">IF($A137="","",IFERROR(INDEX('Maliyet Giris'!$G$2:$G$550,MATCH($A137,'Maliyet Giris'!$A$2:$A$550,0)),""))</f>
        <v>3</v>
      </c>
      <c r="P137" s="17" t="str">
        <f t="shared" si="8"/>
        <v/>
      </c>
      <c r="Q137" s="17" t="str">
        <f t="shared" si="9"/>
        <v/>
      </c>
      <c r="R137" s="14">
        <f t="shared" si="10"/>
        <v>4128.679181</v>
      </c>
      <c r="S137" s="14">
        <f t="shared" si="11"/>
        <v>-48.67918128</v>
      </c>
      <c r="T137" s="17" t="str">
        <f t="shared" si="12"/>
        <v>ZARAR</v>
      </c>
      <c r="U137" s="17" t="str">
        <f t="shared" si="13"/>
        <v>Fiyat, maliyet veya kampanya kontrol et</v>
      </c>
    </row>
    <row r="138">
      <c r="A138" s="2" t="str">
        <f>IFERROR(__xludf.DUMMYFUNCTION("""COMPUTED_VALUE"""),"TYBN0I2N7ZYCJ6AA73")</f>
        <v>TYBN0I2N7ZYCJ6AA73</v>
      </c>
      <c r="B138" s="17" t="str">
        <f>IFERROR(__xludf.DUMMYFUNCTION("""COMPUTED_VALUE"""),"FELIX")</f>
        <v>FELIX</v>
      </c>
      <c r="C138" s="28" t="str">
        <f>IFERROR(__xludf.DUMMYFUNCTION("""COMPUTED_VALUE"""),"Karışık Yaş Kedi Maması 52 x 85 G")</f>
        <v>Karışık Yaş Kedi Maması 52 x 85 G</v>
      </c>
      <c r="D138" s="14">
        <f>IFERROR(__xludf.DUMMYFUNCTION("""COMPUTED_VALUE"""),929.36)</f>
        <v>929.36</v>
      </c>
      <c r="E138" s="14">
        <f t="array" ref="E138">IF($A138="","",IFERROR($D138*IF($D138&gt;=INDEX('Komisyon Tarifesi'!$I$2:$I$1000,MATCH($A138,'Komisyon Tarifesi'!$B$2:$B$1000,0)),INDEX('Komisyon Tarifesi'!$O$2:$O$1000,MATCH($A138,'Komisyon Tarifesi'!$B$2:$B$1000,0)),IF($D138&gt;=INDEX('Komisyon Tarifesi'!$K$2:$K$1000,MATCH($A138,'Komisyon Tarifesi'!$B$2:$B$1000,0)),INDEX('Komisyon Tarifesi'!$P$2:$P$1000,MATCH($A138,'Komisyon Tarifesi'!$B$2:$B$1000,0)),IF($D138&gt;=INDEX('Komisyon Tarifesi'!$M$2:$M$1000,MATCH($A138,'Komisyon Tarifesi'!$B$2:$B$1000,0)),INDEX('Komisyon Tarifesi'!$Q$2:$Q$1000,MATCH($A138,'Komisyon Tarifesi'!$B$2:$B$1000,0)),INDEX('Komisyon Tarifesi'!$R$2:$R$1000,MATCH($A138,'Komisyon Tarifesi'!$B$2:$B$1000,0)))))/100,IFERROR(IF(VLOOKUP($A138,Products!$A$2:$W$1000,21,0)&lt;&gt;"",$D138*VLOOKUP($A138,Products!$A$2:$W$1000,21,0)/100,""),"")))</f>
        <v>52.04416</v>
      </c>
      <c r="F138" s="14">
        <f t="array" ref="F138">IF($A138="","",IFERROR(IF(INDEX('Maliyet Giris'!$G$2:$G$550,MATCH($A138,'Maliyet Giris'!$A$2:$A$550,0))="","",IF(INDEX('Maliyet Giris'!$G$2:$G$550,MATCH($A138,'Maliyet Giris'!$A$2:$A$550,0))&lt;=2,86.4,IF(INDEX('Maliyet Giris'!$G$2:$G$550,MATCH($A138,'Maliyet Giris'!$A$2:$A$550,0))&lt;=3,90,IF(INDEX('Maliyet Giris'!$G$2:$G$550,MATCH($A138,'Maliyet Giris'!$A$2:$A$550,0))&lt;=5,102,IF(INDEX('Maliyet Giris'!$G$2:$G$550,MATCH($A138,'Maliyet Giris'!$A$2:$A$550,0))&lt;=10,159.74,IF(INDEX('Maliyet Giris'!$G$2:$G$550,MATCH($A138,'Maliyet Giris'!$A$2:$A$550,0))&lt;=15,187.5,IF(INDEX('Maliyet Giris'!$G$2:$G$550,MATCH($A138,'Maliyet Giris'!$A$2:$A$550,0))&lt;=20,225,299))))))),""))</f>
        <v>102</v>
      </c>
      <c r="G138" s="14">
        <f t="array" ref="G138">IF($A138="","",IFERROR(INDEX('Maliyet Giris'!$F$2:$F$550,MATCH($A138,'Maliyet Giris'!$A$2:$A$550,0)),""))</f>
        <v>780</v>
      </c>
      <c r="H138" s="14">
        <f t="shared" si="1"/>
        <v>13.19</v>
      </c>
      <c r="I138" s="14">
        <f t="shared" si="2"/>
        <v>7.744666667</v>
      </c>
      <c r="J138" s="14">
        <f t="shared" si="3"/>
        <v>0</v>
      </c>
      <c r="K138" s="14">
        <f t="shared" si="4"/>
        <v>-25.61882667</v>
      </c>
      <c r="L138" s="15">
        <f t="shared" si="5"/>
        <v>-0.02756609566</v>
      </c>
      <c r="M138" s="17" t="str">
        <f t="shared" si="6"/>
        <v>ZARAR</v>
      </c>
      <c r="N138" s="17" t="str">
        <f t="shared" si="7"/>
        <v/>
      </c>
      <c r="O138" s="17">
        <f t="array" ref="O138">IF($A138="","",IFERROR(INDEX('Maliyet Giris'!$G$2:$G$550,MATCH($A138,'Maliyet Giris'!$A$2:$A$550,0)),""))</f>
        <v>4</v>
      </c>
      <c r="P138" s="17" t="str">
        <f t="shared" si="8"/>
        <v/>
      </c>
      <c r="Q138" s="17" t="str">
        <f t="shared" si="9"/>
        <v/>
      </c>
      <c r="R138" s="14">
        <f t="shared" si="10"/>
        <v>956.7399513</v>
      </c>
      <c r="S138" s="14">
        <f t="shared" si="11"/>
        <v>-27.37995129</v>
      </c>
      <c r="T138" s="17" t="str">
        <f t="shared" si="12"/>
        <v>ZARAR</v>
      </c>
      <c r="U138" s="17" t="str">
        <f t="shared" si="13"/>
        <v>Fiyat, maliyet veya kampanya kontrol et</v>
      </c>
    </row>
    <row r="139">
      <c r="A139" s="2">
        <f>IFERROR(__xludf.DUMMYFUNCTION("""COMPUTED_VALUE"""),6.13033566523E11)</f>
        <v>613033566523</v>
      </c>
      <c r="B139" s="17" t="str">
        <f>IFERROR(__xludf.DUMMYFUNCTION("""COMPUTED_VALUE"""),"Pro Plan")</f>
        <v>Pro Plan</v>
      </c>
      <c r="C139" s="28" t="str">
        <f>IFERROR(__xludf.DUMMYFUNCTION("""COMPUTED_VALUE"""),"Kısırlaştırılmış Somonlu Kedi Maması 10 Kg")</f>
        <v>Kısırlaştırılmış Somonlu Kedi Maması 10 Kg</v>
      </c>
      <c r="D139" s="14">
        <f>IFERROR(__xludf.DUMMYFUNCTION("""COMPUTED_VALUE"""),3998.0)</f>
        <v>3998</v>
      </c>
      <c r="E139" s="14">
        <f t="array" ref="E139">IF($A139="","",IFERROR($D139*IF($D139&gt;=INDEX('Komisyon Tarifesi'!$I$2:$I$1000,MATCH($A139,'Komisyon Tarifesi'!$B$2:$B$1000,0)),INDEX('Komisyon Tarifesi'!$O$2:$O$1000,MATCH($A139,'Komisyon Tarifesi'!$B$2:$B$1000,0)),IF($D139&gt;=INDEX('Komisyon Tarifesi'!$K$2:$K$1000,MATCH($A139,'Komisyon Tarifesi'!$B$2:$B$1000,0)),INDEX('Komisyon Tarifesi'!$P$2:$P$1000,MATCH($A139,'Komisyon Tarifesi'!$B$2:$B$1000,0)),IF($D139&gt;=INDEX('Komisyon Tarifesi'!$M$2:$M$1000,MATCH($A139,'Komisyon Tarifesi'!$B$2:$B$1000,0)),INDEX('Komisyon Tarifesi'!$Q$2:$Q$1000,MATCH($A139,'Komisyon Tarifesi'!$B$2:$B$1000,0)),INDEX('Komisyon Tarifesi'!$R$2:$R$1000,MATCH($A139,'Komisyon Tarifesi'!$B$2:$B$1000,0)))))/100,IFERROR(IF(VLOOKUP($A139,Products!$A$2:$W$1000,21,0)&lt;&gt;"",$D139*VLOOKUP($A139,Products!$A$2:$W$1000,21,0)/100,""),"")))</f>
        <v>499.75</v>
      </c>
      <c r="F139" s="14">
        <f t="array" ref="F139">IF($A139="","",IFERROR(IF(INDEX('Maliyet Giris'!$G$2:$G$550,MATCH($A139,'Maliyet Giris'!$A$2:$A$550,0))="","",IF(INDEX('Maliyet Giris'!$G$2:$G$550,MATCH($A139,'Maliyet Giris'!$A$2:$A$550,0))&lt;=2,86.4,IF(INDEX('Maliyet Giris'!$G$2:$G$550,MATCH($A139,'Maliyet Giris'!$A$2:$A$550,0))&lt;=3,90,IF(INDEX('Maliyet Giris'!$G$2:$G$550,MATCH($A139,'Maliyet Giris'!$A$2:$A$550,0))&lt;=5,102,IF(INDEX('Maliyet Giris'!$G$2:$G$550,MATCH($A139,'Maliyet Giris'!$A$2:$A$550,0))&lt;=10,159.74,IF(INDEX('Maliyet Giris'!$G$2:$G$550,MATCH($A139,'Maliyet Giris'!$A$2:$A$550,0))&lt;=15,187.5,IF(INDEX('Maliyet Giris'!$G$2:$G$550,MATCH($A139,'Maliyet Giris'!$A$2:$A$550,0))&lt;=20,225,299))))))),""))</f>
        <v>159.74</v>
      </c>
      <c r="G139" s="14">
        <f t="array" ref="G139">IF($A139="","",IFERROR(INDEX('Maliyet Giris'!$F$2:$F$550,MATCH($A139,'Maliyet Giris'!$A$2:$A$550,0)),""))</f>
        <v>3475</v>
      </c>
      <c r="H139" s="14">
        <f t="shared" si="1"/>
        <v>13.19</v>
      </c>
      <c r="I139" s="14">
        <f t="shared" si="2"/>
        <v>33.31666667</v>
      </c>
      <c r="J139" s="14">
        <f t="shared" si="3"/>
        <v>0</v>
      </c>
      <c r="K139" s="14">
        <f t="shared" si="4"/>
        <v>-182.9966667</v>
      </c>
      <c r="L139" s="15">
        <f t="shared" si="5"/>
        <v>-0.04577205269</v>
      </c>
      <c r="M139" s="17" t="str">
        <f t="shared" si="6"/>
        <v>ZARAR</v>
      </c>
      <c r="N139" s="17" t="str">
        <f t="shared" si="7"/>
        <v/>
      </c>
      <c r="O139" s="17">
        <f t="array" ref="O139">IF($A139="","",IFERROR(INDEX('Maliyet Giris'!$G$2:$G$550,MATCH($A139,'Maliyet Giris'!$A$2:$A$550,0)),""))</f>
        <v>10</v>
      </c>
      <c r="P139" s="17" t="str">
        <f t="shared" si="8"/>
        <v/>
      </c>
      <c r="Q139" s="17" t="str">
        <f t="shared" si="9"/>
        <v/>
      </c>
      <c r="R139" s="14">
        <f t="shared" si="10"/>
        <v>4209.148381</v>
      </c>
      <c r="S139" s="14">
        <f t="shared" si="11"/>
        <v>-211.1483811</v>
      </c>
      <c r="T139" s="17" t="str">
        <f t="shared" si="12"/>
        <v>ZARAR</v>
      </c>
      <c r="U139" s="17" t="str">
        <f t="shared" si="13"/>
        <v>Fiyat, maliyet veya kampanya kontrol et</v>
      </c>
    </row>
    <row r="140">
      <c r="A140" s="2">
        <f>IFERROR(__xludf.DUMMYFUNCTION("""COMPUTED_VALUE"""),8.652147545641E12)</f>
        <v>8652147545641</v>
      </c>
      <c r="B140" s="17" t="str">
        <f>IFERROR(__xludf.DUMMYFUNCTION("""COMPUTED_VALUE"""),"PetFix")</f>
        <v>PetFix</v>
      </c>
      <c r="C140" s="28" t="str">
        <f>IFERROR(__xludf.DUMMYFUNCTION("""COMPUTED_VALUE"""),"Catnip'li &amp; Zilli Yeşil Kaplumbağa Kedi Oyuncağı")</f>
        <v>Catnip'li &amp; Zilli Yeşil Kaplumbağa Kedi Oyuncağı</v>
      </c>
      <c r="D140" s="14">
        <f>IFERROR(__xludf.DUMMYFUNCTION("""COMPUTED_VALUE"""),249.99)</f>
        <v>249.99</v>
      </c>
      <c r="E140" s="14">
        <f t="array" ref="E140">IF($A140="","",IFERROR($D140*IF($D140&gt;=INDEX('Komisyon Tarifesi'!$I$2:$I$1000,MATCH($A140,'Komisyon Tarifesi'!$B$2:$B$1000,0)),INDEX('Komisyon Tarifesi'!$O$2:$O$1000,MATCH($A140,'Komisyon Tarifesi'!$B$2:$B$1000,0)),IF($D140&gt;=INDEX('Komisyon Tarifesi'!$K$2:$K$1000,MATCH($A140,'Komisyon Tarifesi'!$B$2:$B$1000,0)),INDEX('Komisyon Tarifesi'!$P$2:$P$1000,MATCH($A140,'Komisyon Tarifesi'!$B$2:$B$1000,0)),IF($D140&gt;=INDEX('Komisyon Tarifesi'!$M$2:$M$1000,MATCH($A140,'Komisyon Tarifesi'!$B$2:$B$1000,0)),INDEX('Komisyon Tarifesi'!$Q$2:$Q$1000,MATCH($A140,'Komisyon Tarifesi'!$B$2:$B$1000,0)),INDEX('Komisyon Tarifesi'!$R$2:$R$1000,MATCH($A140,'Komisyon Tarifesi'!$B$2:$B$1000,0)))))/100,IFERROR(IF(VLOOKUP($A140,Products!$A$2:$W$1000,21,0)&lt;&gt;"",$D140*VLOOKUP($A140,Products!$A$2:$W$1000,21,0)/100,""),"")))</f>
        <v>49.998</v>
      </c>
      <c r="F140" s="14">
        <f t="array" ref="F140">IF($A140="","",IFERROR(IF(INDEX('Maliyet Giris'!$G$2:$G$550,MATCH($A140,'Maliyet Giris'!$A$2:$A$550,0))="","",IF(INDEX('Maliyet Giris'!$G$2:$G$550,MATCH($A140,'Maliyet Giris'!$A$2:$A$550,0))&lt;=2,86.4,IF(INDEX('Maliyet Giris'!$G$2:$G$550,MATCH($A140,'Maliyet Giris'!$A$2:$A$550,0))&lt;=3,90,IF(INDEX('Maliyet Giris'!$G$2:$G$550,MATCH($A140,'Maliyet Giris'!$A$2:$A$550,0))&lt;=5,102,IF(INDEX('Maliyet Giris'!$G$2:$G$550,MATCH($A140,'Maliyet Giris'!$A$2:$A$550,0))&lt;=10,159.74,IF(INDEX('Maliyet Giris'!$G$2:$G$550,MATCH($A140,'Maliyet Giris'!$A$2:$A$550,0))&lt;=15,187.5,IF(INDEX('Maliyet Giris'!$G$2:$G$550,MATCH($A140,'Maliyet Giris'!$A$2:$A$550,0))&lt;=20,225,299))))))),""))</f>
        <v>86.4</v>
      </c>
      <c r="G140" s="14">
        <f t="array" ref="G140">IF($A140="","",IFERROR(INDEX('Maliyet Giris'!$F$2:$F$550,MATCH($A140,'Maliyet Giris'!$A$2:$A$550,0)),""))</f>
        <v>50</v>
      </c>
      <c r="H140" s="14">
        <f t="shared" si="1"/>
        <v>13.19</v>
      </c>
      <c r="I140" s="14">
        <f t="shared" si="2"/>
        <v>2.08325</v>
      </c>
      <c r="J140" s="14">
        <f t="shared" si="3"/>
        <v>8.400333333</v>
      </c>
      <c r="K140" s="14">
        <f t="shared" si="4"/>
        <v>39.91841667</v>
      </c>
      <c r="L140" s="15">
        <f t="shared" si="5"/>
        <v>0.1596800539</v>
      </c>
      <c r="M140" s="17" t="str">
        <f t="shared" si="6"/>
        <v>KÂRLI</v>
      </c>
      <c r="N140" s="17" t="str">
        <f t="shared" si="7"/>
        <v/>
      </c>
      <c r="O140" s="17">
        <f t="array" ref="O140">IF($A140="","",IFERROR(INDEX('Maliyet Giris'!$G$2:$G$550,MATCH($A140,'Maliyet Giris'!$A$2:$A$550,0)),""))</f>
        <v>1</v>
      </c>
      <c r="P140" s="17" t="str">
        <f t="shared" si="8"/>
        <v/>
      </c>
      <c r="Q140" s="17" t="str">
        <f t="shared" si="9"/>
        <v/>
      </c>
      <c r="R140" s="14">
        <f t="shared" si="10"/>
        <v>197.3315397</v>
      </c>
      <c r="S140" s="14">
        <f t="shared" si="11"/>
        <v>52.65846025</v>
      </c>
      <c r="T140" s="17" t="str">
        <f t="shared" si="12"/>
        <v>SAĞLIKLI</v>
      </c>
      <c r="U140" s="17" t="str">
        <f t="shared" si="13"/>
        <v>Takip et</v>
      </c>
    </row>
    <row r="141">
      <c r="A141" s="2" t="str">
        <f>IFERROR(__xludf.DUMMYFUNCTION("""COMPUTED_VALUE"""),"TYBK5EN736FAN2SC21")</f>
        <v>TYBK5EN736FAN2SC21</v>
      </c>
      <c r="B141" s="17" t="str">
        <f>IFERROR(__xludf.DUMMYFUNCTION("""COMPUTED_VALUE"""),"HPM")</f>
        <v>HPM</v>
      </c>
      <c r="C141" s="28" t="str">
        <f>IFERROR(__xludf.DUMMYFUNCTION("""COMPUTED_VALUE"""),"Virbac Gastro (Digestive &amp; Support) Kedi Maması 3 KG")</f>
        <v>Virbac Gastro (Digestive &amp; Support) Kedi Maması 3 KG</v>
      </c>
      <c r="D141" s="14">
        <f>IFERROR(__xludf.DUMMYFUNCTION("""COMPUTED_VALUE"""),2740.0)</f>
        <v>2740</v>
      </c>
      <c r="E141" s="14">
        <f t="array" ref="E141">IF($A141="","",IFERROR($D141*IF($D141&gt;=INDEX('Komisyon Tarifesi'!$I$2:$I$1000,MATCH($A141,'Komisyon Tarifesi'!$B$2:$B$1000,0)),INDEX('Komisyon Tarifesi'!$O$2:$O$1000,MATCH($A141,'Komisyon Tarifesi'!$B$2:$B$1000,0)),IF($D141&gt;=INDEX('Komisyon Tarifesi'!$K$2:$K$1000,MATCH($A141,'Komisyon Tarifesi'!$B$2:$B$1000,0)),INDEX('Komisyon Tarifesi'!$P$2:$P$1000,MATCH($A141,'Komisyon Tarifesi'!$B$2:$B$1000,0)),IF($D141&gt;=INDEX('Komisyon Tarifesi'!$M$2:$M$1000,MATCH($A141,'Komisyon Tarifesi'!$B$2:$B$1000,0)),INDEX('Komisyon Tarifesi'!$Q$2:$Q$1000,MATCH($A141,'Komisyon Tarifesi'!$B$2:$B$1000,0)),INDEX('Komisyon Tarifesi'!$R$2:$R$1000,MATCH($A141,'Komisyon Tarifesi'!$B$2:$B$1000,0)))))/100,IFERROR(IF(VLOOKUP($A141,Products!$A$2:$W$1000,21,0)&lt;&gt;"",$D141*VLOOKUP($A141,Products!$A$2:$W$1000,21,0)/100,""),"")))</f>
        <v>452.1</v>
      </c>
      <c r="F141" s="14">
        <f t="array" ref="F141">IF($A141="","",IFERROR(IF(INDEX('Maliyet Giris'!$G$2:$G$550,MATCH($A141,'Maliyet Giris'!$A$2:$A$550,0))="","",IF(INDEX('Maliyet Giris'!$G$2:$G$550,MATCH($A141,'Maliyet Giris'!$A$2:$A$550,0))&lt;=2,86.4,IF(INDEX('Maliyet Giris'!$G$2:$G$550,MATCH($A141,'Maliyet Giris'!$A$2:$A$550,0))&lt;=3,90,IF(INDEX('Maliyet Giris'!$G$2:$G$550,MATCH($A141,'Maliyet Giris'!$A$2:$A$550,0))&lt;=5,102,IF(INDEX('Maliyet Giris'!$G$2:$G$550,MATCH($A141,'Maliyet Giris'!$A$2:$A$550,0))&lt;=10,159.74,IF(INDEX('Maliyet Giris'!$G$2:$G$550,MATCH($A141,'Maliyet Giris'!$A$2:$A$550,0))&lt;=15,187.5,IF(INDEX('Maliyet Giris'!$G$2:$G$550,MATCH($A141,'Maliyet Giris'!$A$2:$A$550,0))&lt;=20,225,299))))))),""))</f>
        <v>90</v>
      </c>
      <c r="G141" s="14">
        <f t="array" ref="G141">IF($A141="","",IFERROR(INDEX('Maliyet Giris'!$F$2:$F$550,MATCH($A141,'Maliyet Giris'!$A$2:$A$550,0)),""))</f>
        <v>1500</v>
      </c>
      <c r="H141" s="14">
        <f t="shared" si="1"/>
        <v>13.19</v>
      </c>
      <c r="I141" s="14">
        <f t="shared" si="2"/>
        <v>22.83333333</v>
      </c>
      <c r="J141" s="14">
        <f t="shared" si="3"/>
        <v>114.1183333</v>
      </c>
      <c r="K141" s="14">
        <f t="shared" si="4"/>
        <v>547.7583333</v>
      </c>
      <c r="L141" s="15">
        <f t="shared" si="5"/>
        <v>0.1999118005</v>
      </c>
      <c r="M141" s="17" t="str">
        <f t="shared" si="6"/>
        <v>KÂRLI</v>
      </c>
      <c r="N141" s="17" t="str">
        <f t="shared" si="7"/>
        <v/>
      </c>
      <c r="O141" s="17">
        <f t="array" ref="O141">IF($A141="","",IFERROR(INDEX('Maliyet Giris'!$G$2:$G$550,MATCH($A141,'Maliyet Giris'!$A$2:$A$550,0)),""))</f>
        <v>3</v>
      </c>
      <c r="P141" s="17" t="str">
        <f t="shared" si="8"/>
        <v/>
      </c>
      <c r="Q141" s="17" t="str">
        <f t="shared" si="9"/>
        <v/>
      </c>
      <c r="R141" s="14">
        <f t="shared" si="10"/>
        <v>2042.233496</v>
      </c>
      <c r="S141" s="14">
        <f t="shared" si="11"/>
        <v>697.7665039</v>
      </c>
      <c r="T141" s="17" t="str">
        <f t="shared" si="12"/>
        <v>SAĞLIKLI</v>
      </c>
      <c r="U141" s="17" t="str">
        <f t="shared" si="13"/>
        <v>Takip et</v>
      </c>
    </row>
    <row r="142">
      <c r="A142" s="2" t="str">
        <f>IFERROR(__xludf.DUMMYFUNCTION("""COMPUTED_VALUE"""),"8564256985143-2")</f>
        <v>8564256985143-2</v>
      </c>
      <c r="B142" s="17" t="str">
        <f>IFERROR(__xludf.DUMMYFUNCTION("""COMPUTED_VALUE"""),"PetFix")</f>
        <v>PetFix</v>
      </c>
      <c r="C142" s="28" t="str">
        <f>IFERROR(__xludf.DUMMYFUNCTION("""COMPUTED_VALUE"""),"Zilli Peluş Kedi Oyun Eldiveni - Kedi Oyuncağı")</f>
        <v>Zilli Peluş Kedi Oyun Eldiveni - Kedi Oyuncağı</v>
      </c>
      <c r="D142" s="14">
        <f>IFERROR(__xludf.DUMMYFUNCTION("""COMPUTED_VALUE"""),249.99)</f>
        <v>249.99</v>
      </c>
      <c r="E142" s="14">
        <f t="array" ref="E142">IF($A142="","",IFERROR($D142*IF($D142&gt;=INDEX('Komisyon Tarifesi'!$I$2:$I$1000,MATCH($A142,'Komisyon Tarifesi'!$B$2:$B$1000,0)),INDEX('Komisyon Tarifesi'!$O$2:$O$1000,MATCH($A142,'Komisyon Tarifesi'!$B$2:$B$1000,0)),IF($D142&gt;=INDEX('Komisyon Tarifesi'!$K$2:$K$1000,MATCH($A142,'Komisyon Tarifesi'!$B$2:$B$1000,0)),INDEX('Komisyon Tarifesi'!$P$2:$P$1000,MATCH($A142,'Komisyon Tarifesi'!$B$2:$B$1000,0)),IF($D142&gt;=INDEX('Komisyon Tarifesi'!$M$2:$M$1000,MATCH($A142,'Komisyon Tarifesi'!$B$2:$B$1000,0)),INDEX('Komisyon Tarifesi'!$Q$2:$Q$1000,MATCH($A142,'Komisyon Tarifesi'!$B$2:$B$1000,0)),INDEX('Komisyon Tarifesi'!$R$2:$R$1000,MATCH($A142,'Komisyon Tarifesi'!$B$2:$B$1000,0)))))/100,IFERROR(IF(VLOOKUP($A142,Products!$A$2:$W$1000,21,0)&lt;&gt;"",$D142*VLOOKUP($A142,Products!$A$2:$W$1000,21,0)/100,""),"")))</f>
        <v>49.998</v>
      </c>
      <c r="F142" s="14">
        <f t="array" ref="F142">IF($A142="","",IFERROR(IF(INDEX('Maliyet Giris'!$G$2:$G$550,MATCH($A142,'Maliyet Giris'!$A$2:$A$550,0))="","",IF(INDEX('Maliyet Giris'!$G$2:$G$550,MATCH($A142,'Maliyet Giris'!$A$2:$A$550,0))&lt;=2,86.4,IF(INDEX('Maliyet Giris'!$G$2:$G$550,MATCH($A142,'Maliyet Giris'!$A$2:$A$550,0))&lt;=3,90,IF(INDEX('Maliyet Giris'!$G$2:$G$550,MATCH($A142,'Maliyet Giris'!$A$2:$A$550,0))&lt;=5,102,IF(INDEX('Maliyet Giris'!$G$2:$G$550,MATCH($A142,'Maliyet Giris'!$A$2:$A$550,0))&lt;=10,159.74,IF(INDEX('Maliyet Giris'!$G$2:$G$550,MATCH($A142,'Maliyet Giris'!$A$2:$A$550,0))&lt;=15,187.5,IF(INDEX('Maliyet Giris'!$G$2:$G$550,MATCH($A142,'Maliyet Giris'!$A$2:$A$550,0))&lt;=20,225,299))))))),""))</f>
        <v>86.4</v>
      </c>
      <c r="G142" s="14">
        <f t="array" ref="G142">IF($A142="","",IFERROR(INDEX('Maliyet Giris'!$F$2:$F$550,MATCH($A142,'Maliyet Giris'!$A$2:$A$550,0)),""))</f>
        <v>60</v>
      </c>
      <c r="H142" s="14">
        <f t="shared" si="1"/>
        <v>13.19</v>
      </c>
      <c r="I142" s="14">
        <f t="shared" si="2"/>
        <v>2.08325</v>
      </c>
      <c r="J142" s="14">
        <f t="shared" si="3"/>
        <v>6.733666667</v>
      </c>
      <c r="K142" s="14">
        <f t="shared" si="4"/>
        <v>31.58508333</v>
      </c>
      <c r="L142" s="15">
        <f t="shared" si="5"/>
        <v>0.1263453871</v>
      </c>
      <c r="M142" s="17" t="str">
        <f t="shared" si="6"/>
        <v>KÂRLI</v>
      </c>
      <c r="N142" s="17" t="str">
        <f t="shared" si="7"/>
        <v/>
      </c>
      <c r="O142" s="17">
        <f t="array" ref="O142">IF($A142="","",IFERROR(INDEX('Maliyet Giris'!$G$2:$G$550,MATCH($A142,'Maliyet Giris'!$A$2:$A$550,0)),""))</f>
        <v>1</v>
      </c>
      <c r="P142" s="17" t="str">
        <f t="shared" si="8"/>
        <v/>
      </c>
      <c r="Q142" s="17" t="str">
        <f t="shared" si="9"/>
        <v/>
      </c>
      <c r="R142" s="14">
        <f t="shared" si="10"/>
        <v>208.687691</v>
      </c>
      <c r="S142" s="14">
        <f t="shared" si="11"/>
        <v>41.30230904</v>
      </c>
      <c r="T142" s="17" t="str">
        <f t="shared" si="12"/>
        <v>SAĞLIKLI</v>
      </c>
      <c r="U142" s="17" t="str">
        <f t="shared" si="13"/>
        <v>Takip et</v>
      </c>
    </row>
    <row r="143">
      <c r="A143" s="2" t="str">
        <f>IFERROR(__xludf.DUMMYFUNCTION("""COMPUTED_VALUE"""),"TYBDGW8SUMC70X2C14")</f>
        <v>TYBDGW8SUMC70X2C14</v>
      </c>
      <c r="B143" s="17" t="str">
        <f>IFERROR(__xludf.DUMMYFUNCTION("""COMPUTED_VALUE"""),"Gourmet Gold")</f>
        <v>Gourmet Gold</v>
      </c>
      <c r="C143" s="28" t="str">
        <f>IFERROR(__xludf.DUMMYFUNCTION("""COMPUTED_VALUE"""),"Kıyılmış Ton Balıklı Kedi Konservesi 24x85gr")</f>
        <v>Kıyılmış Ton Balıklı Kedi Konservesi 24x85gr</v>
      </c>
      <c r="D143" s="14">
        <f>IFERROR(__xludf.DUMMYFUNCTION("""COMPUTED_VALUE"""),1025.95)</f>
        <v>1025.95</v>
      </c>
      <c r="E143" s="14">
        <f t="array" ref="E143">IF($A143="","",IFERROR($D143*IF($D143&gt;=INDEX('Komisyon Tarifesi'!$I$2:$I$1000,MATCH($A143,'Komisyon Tarifesi'!$B$2:$B$1000,0)),INDEX('Komisyon Tarifesi'!$O$2:$O$1000,MATCH($A143,'Komisyon Tarifesi'!$B$2:$B$1000,0)),IF($D143&gt;=INDEX('Komisyon Tarifesi'!$K$2:$K$1000,MATCH($A143,'Komisyon Tarifesi'!$B$2:$B$1000,0)),INDEX('Komisyon Tarifesi'!$P$2:$P$1000,MATCH($A143,'Komisyon Tarifesi'!$B$2:$B$1000,0)),IF($D143&gt;=INDEX('Komisyon Tarifesi'!$M$2:$M$1000,MATCH($A143,'Komisyon Tarifesi'!$B$2:$B$1000,0)),INDEX('Komisyon Tarifesi'!$Q$2:$Q$1000,MATCH($A143,'Komisyon Tarifesi'!$B$2:$B$1000,0)),INDEX('Komisyon Tarifesi'!$R$2:$R$1000,MATCH($A143,'Komisyon Tarifesi'!$B$2:$B$1000,0)))))/100,IFERROR(IF(VLOOKUP($A143,Products!$A$2:$W$1000,21,0)&lt;&gt;"",$D143*VLOOKUP($A143,Products!$A$2:$W$1000,21,0)/100,""),"")))</f>
        <v>169.28175</v>
      </c>
      <c r="F143" s="14">
        <f t="array" ref="F143">IF($A143="","",IFERROR(IF(INDEX('Maliyet Giris'!$G$2:$G$550,MATCH($A143,'Maliyet Giris'!$A$2:$A$550,0))="","",IF(INDEX('Maliyet Giris'!$G$2:$G$550,MATCH($A143,'Maliyet Giris'!$A$2:$A$550,0))&lt;=2,86.4,IF(INDEX('Maliyet Giris'!$G$2:$G$550,MATCH($A143,'Maliyet Giris'!$A$2:$A$550,0))&lt;=3,90,IF(INDEX('Maliyet Giris'!$G$2:$G$550,MATCH($A143,'Maliyet Giris'!$A$2:$A$550,0))&lt;=5,102,IF(INDEX('Maliyet Giris'!$G$2:$G$550,MATCH($A143,'Maliyet Giris'!$A$2:$A$550,0))&lt;=10,159.74,IF(INDEX('Maliyet Giris'!$G$2:$G$550,MATCH($A143,'Maliyet Giris'!$A$2:$A$550,0))&lt;=15,187.5,IF(INDEX('Maliyet Giris'!$G$2:$G$550,MATCH($A143,'Maliyet Giris'!$A$2:$A$550,0))&lt;=20,225,299))))))),""))</f>
        <v>90</v>
      </c>
      <c r="G143" s="14">
        <f t="array" ref="G143">IF($A143="","",IFERROR(INDEX('Maliyet Giris'!$F$2:$F$550,MATCH($A143,'Maliyet Giris'!$A$2:$A$550,0)),""))</f>
        <v>580</v>
      </c>
      <c r="H143" s="14">
        <f t="shared" si="1"/>
        <v>13.19</v>
      </c>
      <c r="I143" s="14">
        <f t="shared" si="2"/>
        <v>8.549583333</v>
      </c>
      <c r="J143" s="14">
        <f t="shared" si="3"/>
        <v>28.91304167</v>
      </c>
      <c r="K143" s="14">
        <f t="shared" si="4"/>
        <v>136.015625</v>
      </c>
      <c r="L143" s="15">
        <f t="shared" si="5"/>
        <v>0.1325752961</v>
      </c>
      <c r="M143" s="17" t="str">
        <f t="shared" si="6"/>
        <v>KÂRLI</v>
      </c>
      <c r="N143" s="17" t="str">
        <f t="shared" si="7"/>
        <v/>
      </c>
      <c r="O143" s="17">
        <f t="array" ref="O143">IF($A143="","",IFERROR(INDEX('Maliyet Giris'!$G$2:$G$550,MATCH($A143,'Maliyet Giris'!$A$2:$A$550,0)),""))</f>
        <v>3</v>
      </c>
      <c r="P143" s="17" t="str">
        <f t="shared" si="8"/>
        <v/>
      </c>
      <c r="Q143" s="17" t="str">
        <f t="shared" si="9"/>
        <v/>
      </c>
      <c r="R143" s="14">
        <f t="shared" si="10"/>
        <v>855.6075136</v>
      </c>
      <c r="S143" s="14">
        <f t="shared" si="11"/>
        <v>170.3424864</v>
      </c>
      <c r="T143" s="17" t="str">
        <f t="shared" si="12"/>
        <v>SAĞLIKLI</v>
      </c>
      <c r="U143" s="17" t="str">
        <f t="shared" si="13"/>
        <v>Takip et</v>
      </c>
    </row>
    <row r="144">
      <c r="A144" s="2">
        <f>IFERROR(__xludf.DUMMYFUNCTION("""COMPUTED_VALUE"""),4.53481343543E11)</f>
        <v>453481343543</v>
      </c>
      <c r="B144" s="17" t="str">
        <f>IFERROR(__xludf.DUMMYFUNCTION("""COMPUTED_VALUE"""),"Mito")</f>
        <v>Mito</v>
      </c>
      <c r="C144" s="28" t="str">
        <f>IFERROR(__xludf.DUMMYFUNCTION("""COMPUTED_VALUE"""),"La Adult Cat Tavuklu Yetişkin Kedi Maması 15 Kg")</f>
        <v>La Adult Cat Tavuklu Yetişkin Kedi Maması 15 Kg</v>
      </c>
      <c r="D144" s="14">
        <f>IFERROR(__xludf.DUMMYFUNCTION("""COMPUTED_VALUE"""),1700.0)</f>
        <v>1700</v>
      </c>
      <c r="E144" s="14">
        <f t="array" ref="E144">IF($A144="","",IFERROR($D144*IF($D144&gt;=INDEX('Komisyon Tarifesi'!$I$2:$I$1000,MATCH($A144,'Komisyon Tarifesi'!$B$2:$B$1000,0)),INDEX('Komisyon Tarifesi'!$O$2:$O$1000,MATCH($A144,'Komisyon Tarifesi'!$B$2:$B$1000,0)),IF($D144&gt;=INDEX('Komisyon Tarifesi'!$K$2:$K$1000,MATCH($A144,'Komisyon Tarifesi'!$B$2:$B$1000,0)),INDEX('Komisyon Tarifesi'!$P$2:$P$1000,MATCH($A144,'Komisyon Tarifesi'!$B$2:$B$1000,0)),IF($D144&gt;=INDEX('Komisyon Tarifesi'!$M$2:$M$1000,MATCH($A144,'Komisyon Tarifesi'!$B$2:$B$1000,0)),INDEX('Komisyon Tarifesi'!$Q$2:$Q$1000,MATCH($A144,'Komisyon Tarifesi'!$B$2:$B$1000,0)),INDEX('Komisyon Tarifesi'!$R$2:$R$1000,MATCH($A144,'Komisyon Tarifesi'!$B$2:$B$1000,0)))))/100,IFERROR(IF(VLOOKUP($A144,Products!$A$2:$W$1000,21,0)&lt;&gt;"",$D144*VLOOKUP($A144,Products!$A$2:$W$1000,21,0)/100,""),"")))</f>
        <v>280.5</v>
      </c>
      <c r="F144" s="14" t="str">
        <f t="array" ref="F144">IF($A144="","",IFERROR(IF(INDEX('Maliyet Giris'!$G$2:$G$550,MATCH($A144,'Maliyet Giris'!$A$2:$A$550,0))="","",IF(INDEX('Maliyet Giris'!$G$2:$G$550,MATCH($A144,'Maliyet Giris'!$A$2:$A$550,0))&lt;=2,86.4,IF(INDEX('Maliyet Giris'!$G$2:$G$550,MATCH($A144,'Maliyet Giris'!$A$2:$A$550,0))&lt;=3,90,IF(INDEX('Maliyet Giris'!$G$2:$G$550,MATCH($A144,'Maliyet Giris'!$A$2:$A$550,0))&lt;=5,102,IF(INDEX('Maliyet Giris'!$G$2:$G$550,MATCH($A144,'Maliyet Giris'!$A$2:$A$550,0))&lt;=10,159.74,IF(INDEX('Maliyet Giris'!$G$2:$G$550,MATCH($A144,'Maliyet Giris'!$A$2:$A$550,0))&lt;=15,187.5,IF(INDEX('Maliyet Giris'!$G$2:$G$550,MATCH($A144,'Maliyet Giris'!$A$2:$A$550,0))&lt;=20,225,299))))))),""))</f>
        <v/>
      </c>
      <c r="G144" s="14" t="str">
        <f t="array" ref="G144">IF($A144="","",IFERROR(INDEX('Maliyet Giris'!$F$2:$F$550,MATCH($A144,'Maliyet Giris'!$A$2:$A$550,0)),""))</f>
        <v/>
      </c>
      <c r="H144" s="14">
        <f t="shared" si="1"/>
        <v>13.19</v>
      </c>
      <c r="I144" s="14">
        <f t="shared" si="2"/>
        <v>14.16666667</v>
      </c>
      <c r="J144" s="14" t="str">
        <f t="shared" si="3"/>
        <v/>
      </c>
      <c r="K144" s="14" t="str">
        <f t="shared" si="4"/>
        <v/>
      </c>
      <c r="L144" s="15" t="str">
        <f t="shared" si="5"/>
        <v/>
      </c>
      <c r="M144" s="17" t="str">
        <f t="shared" si="6"/>
        <v>EKSİK VERİ</v>
      </c>
      <c r="N144" s="17" t="str">
        <f t="shared" si="7"/>
        <v/>
      </c>
      <c r="O144" s="17" t="str">
        <f t="array" ref="O144">IF($A144="","",IFERROR(INDEX('Maliyet Giris'!$G$2:$G$550,MATCH($A144,'Maliyet Giris'!$A$2:$A$550,0)),""))</f>
        <v/>
      </c>
      <c r="P144" s="17" t="str">
        <f t="shared" si="8"/>
        <v>Maliyet eksik</v>
      </c>
      <c r="Q144" s="17" t="str">
        <f t="shared" si="9"/>
        <v>Desi eksik</v>
      </c>
      <c r="R144" s="14" t="str">
        <f t="shared" si="10"/>
        <v/>
      </c>
      <c r="S144" s="14" t="str">
        <f t="shared" si="11"/>
        <v/>
      </c>
      <c r="T144" s="17" t="str">
        <f t="shared" si="12"/>
        <v>EKSİK VERİ</v>
      </c>
      <c r="U144" s="17" t="str">
        <f t="shared" si="13"/>
        <v>Maliyet/desi/komisyon tamamla</v>
      </c>
    </row>
    <row r="145">
      <c r="A145" s="2">
        <f>IFERROR(__xludf.DUMMYFUNCTION("""COMPUTED_VALUE"""),8.010276042163E12)</f>
        <v>8010276042163</v>
      </c>
      <c r="B145" s="17" t="str">
        <f>IFERROR(__xludf.DUMMYFUNCTION("""COMPUTED_VALUE"""),"N&amp;D")</f>
        <v>N&amp;D</v>
      </c>
      <c r="C145" s="28" t="str">
        <f>IFERROR(__xludf.DUMMYFUNCTION("""COMPUTED_VALUE"""),"Tropical Tavuklu Yetişkin Kedi Maması 1.5 kg")</f>
        <v>Tropical Tavuklu Yetişkin Kedi Maması 1.5 kg</v>
      </c>
      <c r="D145" s="14">
        <f>IFERROR(__xludf.DUMMYFUNCTION("""COMPUTED_VALUE"""),1037.0)</f>
        <v>1037</v>
      </c>
      <c r="E145" s="14">
        <f t="array" ref="E145">IF($A145="","",IFERROR($D145*IF($D145&gt;=INDEX('Komisyon Tarifesi'!$I$2:$I$1000,MATCH($A145,'Komisyon Tarifesi'!$B$2:$B$1000,0)),INDEX('Komisyon Tarifesi'!$O$2:$O$1000,MATCH($A145,'Komisyon Tarifesi'!$B$2:$B$1000,0)),IF($D145&gt;=INDEX('Komisyon Tarifesi'!$K$2:$K$1000,MATCH($A145,'Komisyon Tarifesi'!$B$2:$B$1000,0)),INDEX('Komisyon Tarifesi'!$P$2:$P$1000,MATCH($A145,'Komisyon Tarifesi'!$B$2:$B$1000,0)),IF($D145&gt;=INDEX('Komisyon Tarifesi'!$M$2:$M$1000,MATCH($A145,'Komisyon Tarifesi'!$B$2:$B$1000,0)),INDEX('Komisyon Tarifesi'!$Q$2:$Q$1000,MATCH($A145,'Komisyon Tarifesi'!$B$2:$B$1000,0)),INDEX('Komisyon Tarifesi'!$R$2:$R$1000,MATCH($A145,'Komisyon Tarifesi'!$B$2:$B$1000,0)))))/100,IFERROR(IF(VLOOKUP($A145,Products!$A$2:$W$1000,21,0)&lt;&gt;"",$D145*VLOOKUP($A145,Products!$A$2:$W$1000,21,0)/100,""),"")))</f>
        <v>171.105</v>
      </c>
      <c r="F145" s="14">
        <f t="array" ref="F145">IF($A145="","",IFERROR(IF(INDEX('Maliyet Giris'!$G$2:$G$550,MATCH($A145,'Maliyet Giris'!$A$2:$A$550,0))="","",IF(INDEX('Maliyet Giris'!$G$2:$G$550,MATCH($A145,'Maliyet Giris'!$A$2:$A$550,0))&lt;=2,86.4,IF(INDEX('Maliyet Giris'!$G$2:$G$550,MATCH($A145,'Maliyet Giris'!$A$2:$A$550,0))&lt;=3,90,IF(INDEX('Maliyet Giris'!$G$2:$G$550,MATCH($A145,'Maliyet Giris'!$A$2:$A$550,0))&lt;=5,102,IF(INDEX('Maliyet Giris'!$G$2:$G$550,MATCH($A145,'Maliyet Giris'!$A$2:$A$550,0))&lt;=10,159.74,IF(INDEX('Maliyet Giris'!$G$2:$G$550,MATCH($A145,'Maliyet Giris'!$A$2:$A$550,0))&lt;=15,187.5,IF(INDEX('Maliyet Giris'!$G$2:$G$550,MATCH($A145,'Maliyet Giris'!$A$2:$A$550,0))&lt;=20,225,299))))))),""))</f>
        <v>90</v>
      </c>
      <c r="G145" s="14">
        <f t="array" ref="G145">IF($A145="","",IFERROR(INDEX('Maliyet Giris'!$F$2:$F$550,MATCH($A145,'Maliyet Giris'!$A$2:$A$550,0)),""))</f>
        <v>713</v>
      </c>
      <c r="H145" s="14">
        <f t="shared" si="1"/>
        <v>13.19</v>
      </c>
      <c r="I145" s="14">
        <f t="shared" si="2"/>
        <v>8.641666667</v>
      </c>
      <c r="J145" s="14">
        <f t="shared" si="3"/>
        <v>8.284166667</v>
      </c>
      <c r="K145" s="14">
        <f t="shared" si="4"/>
        <v>32.77916667</v>
      </c>
      <c r="L145" s="15">
        <f t="shared" si="5"/>
        <v>0.03160961106</v>
      </c>
      <c r="M145" s="17" t="str">
        <f t="shared" si="6"/>
        <v>KÂRLI</v>
      </c>
      <c r="N145" s="17" t="str">
        <f t="shared" si="7"/>
        <v/>
      </c>
      <c r="O145" s="17">
        <f t="array" ref="O145">IF($A145="","",IFERROR(INDEX('Maliyet Giris'!$G$2:$G$550,MATCH($A145,'Maliyet Giris'!$A$2:$A$550,0)),""))</f>
        <v>3</v>
      </c>
      <c r="P145" s="17" t="str">
        <f t="shared" si="8"/>
        <v/>
      </c>
      <c r="Q145" s="17" t="str">
        <f t="shared" si="9"/>
        <v/>
      </c>
      <c r="R145" s="14">
        <f t="shared" si="10"/>
        <v>996.9604535</v>
      </c>
      <c r="S145" s="14">
        <f t="shared" si="11"/>
        <v>40.03954653</v>
      </c>
      <c r="T145" s="17" t="str">
        <f t="shared" si="12"/>
        <v>DÜŞÜK KÂR</v>
      </c>
      <c r="U145" s="17" t="str">
        <f t="shared" si="13"/>
        <v>Reklam/komisyon etkisini kontrol et</v>
      </c>
    </row>
    <row r="146">
      <c r="A146" s="2">
        <f>IFERROR(__xludf.DUMMYFUNCTION("""COMPUTED_VALUE"""),8.0102760422E12)</f>
        <v>8010276042200</v>
      </c>
      <c r="B146" s="17" t="str">
        <f>IFERROR(__xludf.DUMMYFUNCTION("""COMPUTED_VALUE"""),"N&amp;D")</f>
        <v>N&amp;D</v>
      </c>
      <c r="C146" s="28" t="str">
        <f>IFERROR(__xludf.DUMMYFUNCTION("""COMPUTED_VALUE"""),"Tropikal Selection Tavuklu Kısırlaştırılmış Yetişkin Kedi Maması 1,5 Kg")</f>
        <v>Tropikal Selection Tavuklu Kısırlaştırılmış Yetişkin Kedi Maması 1,5 Kg</v>
      </c>
      <c r="D146" s="14">
        <f>IFERROR(__xludf.DUMMYFUNCTION("""COMPUTED_VALUE"""),1085.0)</f>
        <v>1085</v>
      </c>
      <c r="E146" s="14">
        <f t="array" ref="E146">IF($A146="","",IFERROR($D146*IF($D146&gt;=INDEX('Komisyon Tarifesi'!$I$2:$I$1000,MATCH($A146,'Komisyon Tarifesi'!$B$2:$B$1000,0)),INDEX('Komisyon Tarifesi'!$O$2:$O$1000,MATCH($A146,'Komisyon Tarifesi'!$B$2:$B$1000,0)),IF($D146&gt;=INDEX('Komisyon Tarifesi'!$K$2:$K$1000,MATCH($A146,'Komisyon Tarifesi'!$B$2:$B$1000,0)),INDEX('Komisyon Tarifesi'!$P$2:$P$1000,MATCH($A146,'Komisyon Tarifesi'!$B$2:$B$1000,0)),IF($D146&gt;=INDEX('Komisyon Tarifesi'!$M$2:$M$1000,MATCH($A146,'Komisyon Tarifesi'!$B$2:$B$1000,0)),INDEX('Komisyon Tarifesi'!$Q$2:$Q$1000,MATCH($A146,'Komisyon Tarifesi'!$B$2:$B$1000,0)),INDEX('Komisyon Tarifesi'!$R$2:$R$1000,MATCH($A146,'Komisyon Tarifesi'!$B$2:$B$1000,0)))))/100,IFERROR(IF(VLOOKUP($A146,Products!$A$2:$W$1000,21,0)&lt;&gt;"",$D146*VLOOKUP($A146,Products!$A$2:$W$1000,21,0)/100,""),"")))</f>
        <v>179.025</v>
      </c>
      <c r="F146" s="14">
        <f t="array" ref="F146">IF($A146="","",IFERROR(IF(INDEX('Maliyet Giris'!$G$2:$G$550,MATCH($A146,'Maliyet Giris'!$A$2:$A$550,0))="","",IF(INDEX('Maliyet Giris'!$G$2:$G$550,MATCH($A146,'Maliyet Giris'!$A$2:$A$550,0))&lt;=2,86.4,IF(INDEX('Maliyet Giris'!$G$2:$G$550,MATCH($A146,'Maliyet Giris'!$A$2:$A$550,0))&lt;=3,90,IF(INDEX('Maliyet Giris'!$G$2:$G$550,MATCH($A146,'Maliyet Giris'!$A$2:$A$550,0))&lt;=5,102,IF(INDEX('Maliyet Giris'!$G$2:$G$550,MATCH($A146,'Maliyet Giris'!$A$2:$A$550,0))&lt;=10,159.74,IF(INDEX('Maliyet Giris'!$G$2:$G$550,MATCH($A146,'Maliyet Giris'!$A$2:$A$550,0))&lt;=15,187.5,IF(INDEX('Maliyet Giris'!$G$2:$G$550,MATCH($A146,'Maliyet Giris'!$A$2:$A$550,0))&lt;=20,225,299))))))),""))</f>
        <v>90</v>
      </c>
      <c r="G146" s="14">
        <f t="array" ref="G146">IF($A146="","",IFERROR(INDEX('Maliyet Giris'!$F$2:$F$550,MATCH($A146,'Maliyet Giris'!$A$2:$A$550,0)),""))</f>
        <v>713</v>
      </c>
      <c r="H146" s="14">
        <f t="shared" si="1"/>
        <v>13.19</v>
      </c>
      <c r="I146" s="14">
        <f t="shared" si="2"/>
        <v>9.041666667</v>
      </c>
      <c r="J146" s="14">
        <f t="shared" si="3"/>
        <v>14.96416667</v>
      </c>
      <c r="K146" s="14">
        <f t="shared" si="4"/>
        <v>65.77916667</v>
      </c>
      <c r="L146" s="15">
        <f t="shared" si="5"/>
        <v>0.06062596006</v>
      </c>
      <c r="M146" s="17" t="str">
        <f t="shared" si="6"/>
        <v>KÂRLI</v>
      </c>
      <c r="N146" s="17" t="str">
        <f t="shared" si="7"/>
        <v/>
      </c>
      <c r="O146" s="17">
        <f t="array" ref="O146">IF($A146="","",IFERROR(INDEX('Maliyet Giris'!$G$2:$G$550,MATCH($A146,'Maliyet Giris'!$A$2:$A$550,0)),""))</f>
        <v>3</v>
      </c>
      <c r="P146" s="17" t="str">
        <f t="shared" si="8"/>
        <v/>
      </c>
      <c r="Q146" s="17" t="str">
        <f t="shared" si="9"/>
        <v/>
      </c>
      <c r="R146" s="14">
        <f t="shared" si="10"/>
        <v>1004.077943</v>
      </c>
      <c r="S146" s="14">
        <f t="shared" si="11"/>
        <v>80.92205677</v>
      </c>
      <c r="T146" s="17" t="str">
        <f t="shared" si="12"/>
        <v>DÜŞÜK KÂR</v>
      </c>
      <c r="U146" s="17" t="str">
        <f t="shared" si="13"/>
        <v>Reklam/komisyon etkisini kontrol et</v>
      </c>
    </row>
    <row r="147">
      <c r="A147" s="2">
        <f>IFERROR(__xludf.DUMMYFUNCTION("""COMPUTED_VALUE"""),8.010276042125E12)</f>
        <v>8010276042125</v>
      </c>
      <c r="B147" s="17" t="str">
        <f>IFERROR(__xludf.DUMMYFUNCTION("""COMPUTED_VALUE"""),"N&amp;D")</f>
        <v>N&amp;D</v>
      </c>
      <c r="C147" s="28" t="str">
        <f>IFERROR(__xludf.DUMMYFUNCTION("""COMPUTED_VALUE"""),"Tropical Kuzulu Kısır Kedi Maması 1.5 Kg")</f>
        <v>Tropical Kuzulu Kısır Kedi Maması 1.5 Kg</v>
      </c>
      <c r="D147" s="14">
        <f>IFERROR(__xludf.DUMMYFUNCTION("""COMPUTED_VALUE"""),1041.0)</f>
        <v>1041</v>
      </c>
      <c r="E147" s="14">
        <f t="array" ref="E147">IF($A147="","",IFERROR($D147*IF($D147&gt;=INDEX('Komisyon Tarifesi'!$I$2:$I$1000,MATCH($A147,'Komisyon Tarifesi'!$B$2:$B$1000,0)),INDEX('Komisyon Tarifesi'!$O$2:$O$1000,MATCH($A147,'Komisyon Tarifesi'!$B$2:$B$1000,0)),IF($D147&gt;=INDEX('Komisyon Tarifesi'!$K$2:$K$1000,MATCH($A147,'Komisyon Tarifesi'!$B$2:$B$1000,0)),INDEX('Komisyon Tarifesi'!$P$2:$P$1000,MATCH($A147,'Komisyon Tarifesi'!$B$2:$B$1000,0)),IF($D147&gt;=INDEX('Komisyon Tarifesi'!$M$2:$M$1000,MATCH($A147,'Komisyon Tarifesi'!$B$2:$B$1000,0)),INDEX('Komisyon Tarifesi'!$Q$2:$Q$1000,MATCH($A147,'Komisyon Tarifesi'!$B$2:$B$1000,0)),INDEX('Komisyon Tarifesi'!$R$2:$R$1000,MATCH($A147,'Komisyon Tarifesi'!$B$2:$B$1000,0)))))/100,IFERROR(IF(VLOOKUP($A147,Products!$A$2:$W$1000,21,0)&lt;&gt;"",$D147*VLOOKUP($A147,Products!$A$2:$W$1000,21,0)/100,""),"")))</f>
        <v>171.765</v>
      </c>
      <c r="F147" s="14">
        <f t="array" ref="F147">IF($A147="","",IFERROR(IF(INDEX('Maliyet Giris'!$G$2:$G$550,MATCH($A147,'Maliyet Giris'!$A$2:$A$550,0))="","",IF(INDEX('Maliyet Giris'!$G$2:$G$550,MATCH($A147,'Maliyet Giris'!$A$2:$A$550,0))&lt;=2,86.4,IF(INDEX('Maliyet Giris'!$G$2:$G$550,MATCH($A147,'Maliyet Giris'!$A$2:$A$550,0))&lt;=3,90,IF(INDEX('Maliyet Giris'!$G$2:$G$550,MATCH($A147,'Maliyet Giris'!$A$2:$A$550,0))&lt;=5,102,IF(INDEX('Maliyet Giris'!$G$2:$G$550,MATCH($A147,'Maliyet Giris'!$A$2:$A$550,0))&lt;=10,159.74,IF(INDEX('Maliyet Giris'!$G$2:$G$550,MATCH($A147,'Maliyet Giris'!$A$2:$A$550,0))&lt;=15,187.5,IF(INDEX('Maliyet Giris'!$G$2:$G$550,MATCH($A147,'Maliyet Giris'!$A$2:$A$550,0))&lt;=20,225,299))))))),""))</f>
        <v>90</v>
      </c>
      <c r="G147" s="14">
        <f t="array" ref="G147">IF($A147="","",IFERROR(INDEX('Maliyet Giris'!$F$2:$F$550,MATCH($A147,'Maliyet Giris'!$A$2:$A$550,0)),""))</f>
        <v>713</v>
      </c>
      <c r="H147" s="14">
        <f t="shared" si="1"/>
        <v>13.19</v>
      </c>
      <c r="I147" s="14">
        <f t="shared" si="2"/>
        <v>8.675</v>
      </c>
      <c r="J147" s="14">
        <f t="shared" si="3"/>
        <v>8.840833333</v>
      </c>
      <c r="K147" s="14">
        <f t="shared" si="4"/>
        <v>35.52916667</v>
      </c>
      <c r="L147" s="15">
        <f t="shared" si="5"/>
        <v>0.0341298431</v>
      </c>
      <c r="M147" s="17" t="str">
        <f t="shared" si="6"/>
        <v>KÂRLI</v>
      </c>
      <c r="N147" s="17" t="str">
        <f t="shared" si="7"/>
        <v/>
      </c>
      <c r="O147" s="17">
        <f t="array" ref="O147">IF($A147="","",IFERROR(INDEX('Maliyet Giris'!$G$2:$G$550,MATCH($A147,'Maliyet Giris'!$A$2:$A$550,0)),""))</f>
        <v>3</v>
      </c>
      <c r="P147" s="17" t="str">
        <f t="shared" si="8"/>
        <v/>
      </c>
      <c r="Q147" s="17" t="str">
        <f t="shared" si="9"/>
        <v/>
      </c>
      <c r="R147" s="14">
        <f t="shared" si="10"/>
        <v>997.5746433</v>
      </c>
      <c r="S147" s="14">
        <f t="shared" si="11"/>
        <v>43.42535674</v>
      </c>
      <c r="T147" s="17" t="str">
        <f t="shared" si="12"/>
        <v>DÜŞÜK KÂR</v>
      </c>
      <c r="U147" s="17" t="str">
        <f t="shared" si="13"/>
        <v>Reklam/komisyon etkisini kontrol et</v>
      </c>
    </row>
    <row r="148">
      <c r="A148" s="2">
        <f>IFERROR(__xludf.DUMMYFUNCTION("""COMPUTED_VALUE"""),8.010276040046E12)</f>
        <v>8010276040046</v>
      </c>
      <c r="B148" s="17" t="str">
        <f>IFERROR(__xludf.DUMMYFUNCTION("""COMPUTED_VALUE"""),"N&amp;D")</f>
        <v>N&amp;D</v>
      </c>
      <c r="C148" s="28" t="str">
        <f>IFERROR(__xludf.DUMMYFUNCTION("""COMPUTED_VALUE"""),"Düşük Tahıllı Somonlu Kısırlaştırılmış Kedi Maması 10 kg")</f>
        <v>Düşük Tahıllı Somonlu Kısırlaştırılmış Kedi Maması 10 kg</v>
      </c>
      <c r="D148" s="14">
        <f>IFERROR(__xludf.DUMMYFUNCTION("""COMPUTED_VALUE"""),4841.0)</f>
        <v>4841</v>
      </c>
      <c r="E148" s="14">
        <f t="array" ref="E148">IF($A148="","",IFERROR($D148*IF($D148&gt;=INDEX('Komisyon Tarifesi'!$I$2:$I$1000,MATCH($A148,'Komisyon Tarifesi'!$B$2:$B$1000,0)),INDEX('Komisyon Tarifesi'!$O$2:$O$1000,MATCH($A148,'Komisyon Tarifesi'!$B$2:$B$1000,0)),IF($D148&gt;=INDEX('Komisyon Tarifesi'!$K$2:$K$1000,MATCH($A148,'Komisyon Tarifesi'!$B$2:$B$1000,0)),INDEX('Komisyon Tarifesi'!$P$2:$P$1000,MATCH($A148,'Komisyon Tarifesi'!$B$2:$B$1000,0)),IF($D148&gt;=INDEX('Komisyon Tarifesi'!$M$2:$M$1000,MATCH($A148,'Komisyon Tarifesi'!$B$2:$B$1000,0)),INDEX('Komisyon Tarifesi'!$Q$2:$Q$1000,MATCH($A148,'Komisyon Tarifesi'!$B$2:$B$1000,0)),INDEX('Komisyon Tarifesi'!$R$2:$R$1000,MATCH($A148,'Komisyon Tarifesi'!$B$2:$B$1000,0)))))/100,IFERROR(IF(VLOOKUP($A148,Products!$A$2:$W$1000,21,0)&lt;&gt;"",$D148*VLOOKUP($A148,Products!$A$2:$W$1000,21,0)/100,""),"")))</f>
        <v>798.765</v>
      </c>
      <c r="F148" s="14">
        <f t="array" ref="F148">IF($A148="","",IFERROR(IF(INDEX('Maliyet Giris'!$G$2:$G$550,MATCH($A148,'Maliyet Giris'!$A$2:$A$550,0))="","",IF(INDEX('Maliyet Giris'!$G$2:$G$550,MATCH($A148,'Maliyet Giris'!$A$2:$A$550,0))&lt;=2,86.4,IF(INDEX('Maliyet Giris'!$G$2:$G$550,MATCH($A148,'Maliyet Giris'!$A$2:$A$550,0))&lt;=3,90,IF(INDEX('Maliyet Giris'!$G$2:$G$550,MATCH($A148,'Maliyet Giris'!$A$2:$A$550,0))&lt;=5,102,IF(INDEX('Maliyet Giris'!$G$2:$G$550,MATCH($A148,'Maliyet Giris'!$A$2:$A$550,0))&lt;=10,159.74,IF(INDEX('Maliyet Giris'!$G$2:$G$550,MATCH($A148,'Maliyet Giris'!$A$2:$A$550,0))&lt;=15,187.5,IF(INDEX('Maliyet Giris'!$G$2:$G$550,MATCH($A148,'Maliyet Giris'!$A$2:$A$550,0))&lt;=20,225,299))))))),""))</f>
        <v>159.74</v>
      </c>
      <c r="G148" s="14">
        <f t="array" ref="G148">IF($A148="","",IFERROR(INDEX('Maliyet Giris'!$F$2:$F$550,MATCH($A148,'Maliyet Giris'!$A$2:$A$550,0)),""))</f>
        <v>3663</v>
      </c>
      <c r="H148" s="14">
        <f t="shared" si="1"/>
        <v>13.19</v>
      </c>
      <c r="I148" s="14">
        <f t="shared" si="2"/>
        <v>40.34166667</v>
      </c>
      <c r="J148" s="14">
        <f t="shared" si="3"/>
        <v>34.38416667</v>
      </c>
      <c r="K148" s="14">
        <f t="shared" si="4"/>
        <v>131.5791667</v>
      </c>
      <c r="L148" s="15">
        <f t="shared" si="5"/>
        <v>0.0271801625</v>
      </c>
      <c r="M148" s="17" t="str">
        <f t="shared" si="6"/>
        <v>KÂRLI</v>
      </c>
      <c r="N148" s="17" t="str">
        <f t="shared" si="7"/>
        <v/>
      </c>
      <c r="O148" s="17">
        <f t="array" ref="O148">IF($A148="","",IFERROR(INDEX('Maliyet Giris'!$G$2:$G$550,MATCH($A148,'Maliyet Giris'!$A$2:$A$550,0)),""))</f>
        <v>10</v>
      </c>
      <c r="P148" s="17" t="str">
        <f t="shared" si="8"/>
        <v/>
      </c>
      <c r="Q148" s="17" t="str">
        <f t="shared" si="9"/>
        <v/>
      </c>
      <c r="R148" s="14">
        <f t="shared" si="10"/>
        <v>4680.450327</v>
      </c>
      <c r="S148" s="14">
        <f t="shared" si="11"/>
        <v>160.5496728</v>
      </c>
      <c r="T148" s="17" t="str">
        <f t="shared" si="12"/>
        <v>RİSKLİ</v>
      </c>
      <c r="U148" s="17" t="str">
        <f t="shared" si="13"/>
        <v>Minimum fiyat altına düşme</v>
      </c>
    </row>
    <row r="149">
      <c r="A149" s="2">
        <f>IFERROR(__xludf.DUMMYFUNCTION("""COMPUTED_VALUE"""),3.5585356389E10)</f>
        <v>35585356389</v>
      </c>
      <c r="B149" s="17" t="str">
        <f>IFERROR(__xludf.DUMMYFUNCTION("""COMPUTED_VALUE"""),"Kong")</f>
        <v>Kong</v>
      </c>
      <c r="C149" s="28" t="str">
        <f>IFERROR(__xludf.DUMMYFUNCTION("""COMPUTED_VALUE"""),"EXTREMEÇOKLU TOPŞEKLİNDE KÖPEKOYUNCAĞI ULTRASERT L")</f>
        <v>EXTREMEÇOKLU TOPŞEKLİNDE KÖPEKOYUNCAĞI ULTRASERT L</v>
      </c>
      <c r="D149" s="14">
        <f>IFERROR(__xludf.DUMMYFUNCTION("""COMPUTED_VALUE"""),2340.0)</f>
        <v>2340</v>
      </c>
      <c r="E149" s="14">
        <f t="array" ref="E149">IF($A149="","",IFERROR($D149*IF($D149&gt;=INDEX('Komisyon Tarifesi'!$I$2:$I$1000,MATCH($A149,'Komisyon Tarifesi'!$B$2:$B$1000,0)),INDEX('Komisyon Tarifesi'!$O$2:$O$1000,MATCH($A149,'Komisyon Tarifesi'!$B$2:$B$1000,0)),IF($D149&gt;=INDEX('Komisyon Tarifesi'!$K$2:$K$1000,MATCH($A149,'Komisyon Tarifesi'!$B$2:$B$1000,0)),INDEX('Komisyon Tarifesi'!$P$2:$P$1000,MATCH($A149,'Komisyon Tarifesi'!$B$2:$B$1000,0)),IF($D149&gt;=INDEX('Komisyon Tarifesi'!$M$2:$M$1000,MATCH($A149,'Komisyon Tarifesi'!$B$2:$B$1000,0)),INDEX('Komisyon Tarifesi'!$Q$2:$Q$1000,MATCH($A149,'Komisyon Tarifesi'!$B$2:$B$1000,0)),INDEX('Komisyon Tarifesi'!$R$2:$R$1000,MATCH($A149,'Komisyon Tarifesi'!$B$2:$B$1000,0)))))/100,IFERROR(IF(VLOOKUP($A149,Products!$A$2:$W$1000,21,0)&lt;&gt;"",$D149*VLOOKUP($A149,Products!$A$2:$W$1000,21,0)/100,""),"")))</f>
        <v>468</v>
      </c>
      <c r="F149" s="14">
        <f t="array" ref="F149">IF($A149="","",IFERROR(IF(INDEX('Maliyet Giris'!$G$2:$G$550,MATCH($A149,'Maliyet Giris'!$A$2:$A$550,0))="","",IF(INDEX('Maliyet Giris'!$G$2:$G$550,MATCH($A149,'Maliyet Giris'!$A$2:$A$550,0))&lt;=2,86.4,IF(INDEX('Maliyet Giris'!$G$2:$G$550,MATCH($A149,'Maliyet Giris'!$A$2:$A$550,0))&lt;=3,90,IF(INDEX('Maliyet Giris'!$G$2:$G$550,MATCH($A149,'Maliyet Giris'!$A$2:$A$550,0))&lt;=5,102,IF(INDEX('Maliyet Giris'!$G$2:$G$550,MATCH($A149,'Maliyet Giris'!$A$2:$A$550,0))&lt;=10,159.74,IF(INDEX('Maliyet Giris'!$G$2:$G$550,MATCH($A149,'Maliyet Giris'!$A$2:$A$550,0))&lt;=15,187.5,IF(INDEX('Maliyet Giris'!$G$2:$G$550,MATCH($A149,'Maliyet Giris'!$A$2:$A$550,0))&lt;=20,225,299))))))),""))</f>
        <v>86.4</v>
      </c>
      <c r="G149" s="14">
        <f t="array" ref="G149">IF($A149="","",IFERROR(INDEX('Maliyet Giris'!$F$2:$F$550,MATCH($A149,'Maliyet Giris'!$A$2:$A$550,0)),""))</f>
        <v>925.2</v>
      </c>
      <c r="H149" s="14">
        <f t="shared" si="1"/>
        <v>13.19</v>
      </c>
      <c r="I149" s="14">
        <f t="shared" si="2"/>
        <v>19.5</v>
      </c>
      <c r="J149" s="14">
        <f t="shared" si="3"/>
        <v>141.2016667</v>
      </c>
      <c r="K149" s="14">
        <f t="shared" si="4"/>
        <v>686.5083333</v>
      </c>
      <c r="L149" s="15">
        <f t="shared" si="5"/>
        <v>0.2933796296</v>
      </c>
      <c r="M149" s="17" t="str">
        <f t="shared" si="6"/>
        <v>KÂRLI</v>
      </c>
      <c r="N149" s="17" t="str">
        <f t="shared" si="7"/>
        <v/>
      </c>
      <c r="O149" s="17">
        <f t="array" ref="O149">IF($A149="","",IFERROR(INDEX('Maliyet Giris'!$G$2:$G$550,MATCH($A149,'Maliyet Giris'!$A$2:$A$550,0)),""))</f>
        <v>1</v>
      </c>
      <c r="P149" s="17" t="str">
        <f t="shared" si="8"/>
        <v/>
      </c>
      <c r="Q149" s="17" t="str">
        <f t="shared" si="9"/>
        <v/>
      </c>
      <c r="R149" s="14">
        <f t="shared" si="10"/>
        <v>1401.279637</v>
      </c>
      <c r="S149" s="14">
        <f t="shared" si="11"/>
        <v>938.7203632</v>
      </c>
      <c r="T149" s="17" t="str">
        <f t="shared" si="12"/>
        <v>ÇOK KÂRLI</v>
      </c>
      <c r="U149" s="17" t="str">
        <f t="shared" si="13"/>
        <v>Stok ve BuyBox takibini artır</v>
      </c>
    </row>
    <row r="150">
      <c r="A150" s="2">
        <f>IFERROR(__xludf.DUMMYFUNCTION("""COMPUTED_VALUE"""),3.5585181226E10)</f>
        <v>35585181226</v>
      </c>
      <c r="B150" s="17" t="str">
        <f>IFERROR(__xludf.DUMMYFUNCTION("""COMPUTED_VALUE"""),"Kong")</f>
        <v>Kong</v>
      </c>
      <c r="C150" s="28" t="str">
        <f>IFERROR(__xludf.DUMMYFUNCTION("""COMPUTED_VALUE"""),"DELİKLİTOP ŞEKLİNDEÇOK AMAÇLIKÖPEKOYUNCAĞI S")</f>
        <v>DELİKLİTOP ŞEKLİNDEÇOK AMAÇLIKÖPEKOYUNCAĞI S</v>
      </c>
      <c r="D150" s="14">
        <f>IFERROR(__xludf.DUMMYFUNCTION("""COMPUTED_VALUE"""),820.0)</f>
        <v>820</v>
      </c>
      <c r="E150" s="14">
        <f t="array" ref="E150">IF($A150="","",IFERROR($D150*IF($D150&gt;=INDEX('Komisyon Tarifesi'!$I$2:$I$1000,MATCH($A150,'Komisyon Tarifesi'!$B$2:$B$1000,0)),INDEX('Komisyon Tarifesi'!$O$2:$O$1000,MATCH($A150,'Komisyon Tarifesi'!$B$2:$B$1000,0)),IF($D150&gt;=INDEX('Komisyon Tarifesi'!$K$2:$K$1000,MATCH($A150,'Komisyon Tarifesi'!$B$2:$B$1000,0)),INDEX('Komisyon Tarifesi'!$P$2:$P$1000,MATCH($A150,'Komisyon Tarifesi'!$B$2:$B$1000,0)),IF($D150&gt;=INDEX('Komisyon Tarifesi'!$M$2:$M$1000,MATCH($A150,'Komisyon Tarifesi'!$B$2:$B$1000,0)),INDEX('Komisyon Tarifesi'!$Q$2:$Q$1000,MATCH($A150,'Komisyon Tarifesi'!$B$2:$B$1000,0)),INDEX('Komisyon Tarifesi'!$R$2:$R$1000,MATCH($A150,'Komisyon Tarifesi'!$B$2:$B$1000,0)))))/100,IFERROR(IF(VLOOKUP($A150,Products!$A$2:$W$1000,21,0)&lt;&gt;"",$D150*VLOOKUP($A150,Products!$A$2:$W$1000,21,0)/100,""),"")))</f>
        <v>164</v>
      </c>
      <c r="F150" s="14">
        <f t="array" ref="F150">IF($A150="","",IFERROR(IF(INDEX('Maliyet Giris'!$G$2:$G$550,MATCH($A150,'Maliyet Giris'!$A$2:$A$550,0))="","",IF(INDEX('Maliyet Giris'!$G$2:$G$550,MATCH($A150,'Maliyet Giris'!$A$2:$A$550,0))&lt;=2,86.4,IF(INDEX('Maliyet Giris'!$G$2:$G$550,MATCH($A150,'Maliyet Giris'!$A$2:$A$550,0))&lt;=3,90,IF(INDEX('Maliyet Giris'!$G$2:$G$550,MATCH($A150,'Maliyet Giris'!$A$2:$A$550,0))&lt;=5,102,IF(INDEX('Maliyet Giris'!$G$2:$G$550,MATCH($A150,'Maliyet Giris'!$A$2:$A$550,0))&lt;=10,159.74,IF(INDEX('Maliyet Giris'!$G$2:$G$550,MATCH($A150,'Maliyet Giris'!$A$2:$A$550,0))&lt;=15,187.5,IF(INDEX('Maliyet Giris'!$G$2:$G$550,MATCH($A150,'Maliyet Giris'!$A$2:$A$550,0))&lt;=20,225,299))))))),""))</f>
        <v>86.4</v>
      </c>
      <c r="G150" s="14">
        <f t="array" ref="G150">IF($A150="","",IFERROR(INDEX('Maliyet Giris'!$F$2:$F$550,MATCH($A150,'Maliyet Giris'!$A$2:$A$550,0)),""))</f>
        <v>332.64</v>
      </c>
      <c r="H150" s="14">
        <f t="shared" si="1"/>
        <v>13.19</v>
      </c>
      <c r="I150" s="14">
        <f t="shared" si="2"/>
        <v>6.833333333</v>
      </c>
      <c r="J150" s="14">
        <f t="shared" si="3"/>
        <v>37.295</v>
      </c>
      <c r="K150" s="14">
        <f t="shared" si="4"/>
        <v>179.6416667</v>
      </c>
      <c r="L150" s="15">
        <f t="shared" si="5"/>
        <v>0.2190752033</v>
      </c>
      <c r="M150" s="17" t="str">
        <f t="shared" si="6"/>
        <v>KÂRLI</v>
      </c>
      <c r="N150" s="17" t="str">
        <f t="shared" si="7"/>
        <v/>
      </c>
      <c r="O150" s="17">
        <f t="array" ref="O150">IF($A150="","",IFERROR(INDEX('Maliyet Giris'!$G$2:$G$550,MATCH($A150,'Maliyet Giris'!$A$2:$A$550,0)),""))</f>
        <v>1</v>
      </c>
      <c r="P150" s="17" t="str">
        <f t="shared" si="8"/>
        <v/>
      </c>
      <c r="Q150" s="17" t="str">
        <f t="shared" si="9"/>
        <v/>
      </c>
      <c r="R150" s="14">
        <f t="shared" si="10"/>
        <v>579.2529071</v>
      </c>
      <c r="S150" s="14">
        <f t="shared" si="11"/>
        <v>240.7470929</v>
      </c>
      <c r="T150" s="17" t="str">
        <f t="shared" si="12"/>
        <v>SAĞLIKLI</v>
      </c>
      <c r="U150" s="17" t="str">
        <f t="shared" si="13"/>
        <v>Takip et</v>
      </c>
    </row>
    <row r="151">
      <c r="A151" s="2">
        <f>IFERROR(__xludf.DUMMYFUNCTION("""COMPUTED_VALUE"""),3.5585495347E10)</f>
        <v>35585495347</v>
      </c>
      <c r="B151" s="17" t="str">
        <f>IFERROR(__xludf.DUMMYFUNCTION("""COMPUTED_VALUE"""),"Kong")</f>
        <v>Kong</v>
      </c>
      <c r="C151" s="28" t="str">
        <f>IFERROR(__xludf.DUMMYFUNCTION("""COMPUTED_VALUE"""),"JAXXBRİGHTS SANDVİÇŞEKLİNDE KÖPEKOYUNCAĞI M")</f>
        <v>JAXXBRİGHTS SANDVİÇŞEKLİNDE KÖPEKOYUNCAĞI M</v>
      </c>
      <c r="D151" s="14">
        <f>IFERROR(__xludf.DUMMYFUNCTION("""COMPUTED_VALUE"""),725.0)</f>
        <v>725</v>
      </c>
      <c r="E151" s="14">
        <f t="array" ref="E151">IF($A151="","",IFERROR($D151*IF($D151&gt;=INDEX('Komisyon Tarifesi'!$I$2:$I$1000,MATCH($A151,'Komisyon Tarifesi'!$B$2:$B$1000,0)),INDEX('Komisyon Tarifesi'!$O$2:$O$1000,MATCH($A151,'Komisyon Tarifesi'!$B$2:$B$1000,0)),IF($D151&gt;=INDEX('Komisyon Tarifesi'!$K$2:$K$1000,MATCH($A151,'Komisyon Tarifesi'!$B$2:$B$1000,0)),INDEX('Komisyon Tarifesi'!$P$2:$P$1000,MATCH($A151,'Komisyon Tarifesi'!$B$2:$B$1000,0)),IF($D151&gt;=INDEX('Komisyon Tarifesi'!$M$2:$M$1000,MATCH($A151,'Komisyon Tarifesi'!$B$2:$B$1000,0)),INDEX('Komisyon Tarifesi'!$Q$2:$Q$1000,MATCH($A151,'Komisyon Tarifesi'!$B$2:$B$1000,0)),INDEX('Komisyon Tarifesi'!$R$2:$R$1000,MATCH($A151,'Komisyon Tarifesi'!$B$2:$B$1000,0)))))/100,IFERROR(IF(VLOOKUP($A151,Products!$A$2:$W$1000,21,0)&lt;&gt;"",$D151*VLOOKUP($A151,Products!$A$2:$W$1000,21,0)/100,""),"")))</f>
        <v>145</v>
      </c>
      <c r="F151" s="14">
        <f t="array" ref="F151">IF($A151="","",IFERROR(IF(INDEX('Maliyet Giris'!$G$2:$G$550,MATCH($A151,'Maliyet Giris'!$A$2:$A$550,0))="","",IF(INDEX('Maliyet Giris'!$G$2:$G$550,MATCH($A151,'Maliyet Giris'!$A$2:$A$550,0))&lt;=2,86.4,IF(INDEX('Maliyet Giris'!$G$2:$G$550,MATCH($A151,'Maliyet Giris'!$A$2:$A$550,0))&lt;=3,90,IF(INDEX('Maliyet Giris'!$G$2:$G$550,MATCH($A151,'Maliyet Giris'!$A$2:$A$550,0))&lt;=5,102,IF(INDEX('Maliyet Giris'!$G$2:$G$550,MATCH($A151,'Maliyet Giris'!$A$2:$A$550,0))&lt;=10,159.74,IF(INDEX('Maliyet Giris'!$G$2:$G$550,MATCH($A151,'Maliyet Giris'!$A$2:$A$550,0))&lt;=15,187.5,IF(INDEX('Maliyet Giris'!$G$2:$G$550,MATCH($A151,'Maliyet Giris'!$A$2:$A$550,0))&lt;=20,225,299))))))),""))</f>
        <v>86.4</v>
      </c>
      <c r="G151" s="14">
        <f t="array" ref="G151">IF($A151="","",IFERROR(INDEX('Maliyet Giris'!$F$2:$F$550,MATCH($A151,'Maliyet Giris'!$A$2:$A$550,0)),""))</f>
        <v>285.84</v>
      </c>
      <c r="H151" s="14">
        <f t="shared" si="1"/>
        <v>13.19</v>
      </c>
      <c r="I151" s="14">
        <f t="shared" si="2"/>
        <v>6.041666667</v>
      </c>
      <c r="J151" s="14">
        <f t="shared" si="3"/>
        <v>32.42833333</v>
      </c>
      <c r="K151" s="14">
        <f t="shared" si="4"/>
        <v>156.1</v>
      </c>
      <c r="L151" s="15">
        <f t="shared" si="5"/>
        <v>0.2153103448</v>
      </c>
      <c r="M151" s="17" t="str">
        <f t="shared" si="6"/>
        <v>KÂRLI</v>
      </c>
      <c r="N151" s="17" t="str">
        <f t="shared" si="7"/>
        <v/>
      </c>
      <c r="O151" s="17">
        <f t="array" ref="O151">IF($A151="","",IFERROR(INDEX('Maliyet Giris'!$G$2:$G$550,MATCH($A151,'Maliyet Giris'!$A$2:$A$550,0)),""))</f>
        <v>1</v>
      </c>
      <c r="P151" s="17" t="str">
        <f t="shared" si="8"/>
        <v/>
      </c>
      <c r="Q151" s="17" t="str">
        <f t="shared" si="9"/>
        <v/>
      </c>
      <c r="R151" s="14">
        <f t="shared" si="10"/>
        <v>516.0131946</v>
      </c>
      <c r="S151" s="14">
        <f t="shared" si="11"/>
        <v>208.9868054</v>
      </c>
      <c r="T151" s="17" t="str">
        <f t="shared" si="12"/>
        <v>SAĞLIKLI</v>
      </c>
      <c r="U151" s="17" t="str">
        <f t="shared" si="13"/>
        <v>Takip et</v>
      </c>
    </row>
    <row r="152">
      <c r="A152" s="2">
        <f>IFERROR(__xludf.DUMMYFUNCTION("""COMPUTED_VALUE"""),3.5585502205E10)</f>
        <v>35585502205</v>
      </c>
      <c r="B152" s="17" t="str">
        <f>IFERROR(__xludf.DUMMYFUNCTION("""COMPUTED_VALUE"""),"Kong")</f>
        <v>Kong</v>
      </c>
      <c r="C152" s="28" t="str">
        <f>IFERROR(__xludf.DUMMYFUNCTION("""COMPUTED_VALUE"""),"AİRDOGYUVARLAKŞEKİLDE SESLİKÖPEKOYUNCAĞI M/L")</f>
        <v>AİRDOGYUVARLAKŞEKİLDE SESLİKÖPEKOYUNCAĞI M/L</v>
      </c>
      <c r="D152" s="14">
        <f>IFERROR(__xludf.DUMMYFUNCTION("""COMPUTED_VALUE"""),1130.0)</f>
        <v>1130</v>
      </c>
      <c r="E152" s="14">
        <f t="array" ref="E152">IF($A152="","",IFERROR($D152*IF($D152&gt;=INDEX('Komisyon Tarifesi'!$I$2:$I$1000,MATCH($A152,'Komisyon Tarifesi'!$B$2:$B$1000,0)),INDEX('Komisyon Tarifesi'!$O$2:$O$1000,MATCH($A152,'Komisyon Tarifesi'!$B$2:$B$1000,0)),IF($D152&gt;=INDEX('Komisyon Tarifesi'!$K$2:$K$1000,MATCH($A152,'Komisyon Tarifesi'!$B$2:$B$1000,0)),INDEX('Komisyon Tarifesi'!$P$2:$P$1000,MATCH($A152,'Komisyon Tarifesi'!$B$2:$B$1000,0)),IF($D152&gt;=INDEX('Komisyon Tarifesi'!$M$2:$M$1000,MATCH($A152,'Komisyon Tarifesi'!$B$2:$B$1000,0)),INDEX('Komisyon Tarifesi'!$Q$2:$Q$1000,MATCH($A152,'Komisyon Tarifesi'!$B$2:$B$1000,0)),INDEX('Komisyon Tarifesi'!$R$2:$R$1000,MATCH($A152,'Komisyon Tarifesi'!$B$2:$B$1000,0)))))/100,IFERROR(IF(VLOOKUP($A152,Products!$A$2:$W$1000,21,0)&lt;&gt;"",$D152*VLOOKUP($A152,Products!$A$2:$W$1000,21,0)/100,""),"")))</f>
        <v>226</v>
      </c>
      <c r="F152" s="14">
        <f t="array" ref="F152">IF($A152="","",IFERROR(IF(INDEX('Maliyet Giris'!$G$2:$G$550,MATCH($A152,'Maliyet Giris'!$A$2:$A$550,0))="","",IF(INDEX('Maliyet Giris'!$G$2:$G$550,MATCH($A152,'Maliyet Giris'!$A$2:$A$550,0))&lt;=2,86.4,IF(INDEX('Maliyet Giris'!$G$2:$G$550,MATCH($A152,'Maliyet Giris'!$A$2:$A$550,0))&lt;=3,90,IF(INDEX('Maliyet Giris'!$G$2:$G$550,MATCH($A152,'Maliyet Giris'!$A$2:$A$550,0))&lt;=5,102,IF(INDEX('Maliyet Giris'!$G$2:$G$550,MATCH($A152,'Maliyet Giris'!$A$2:$A$550,0))&lt;=10,159.74,IF(INDEX('Maliyet Giris'!$G$2:$G$550,MATCH($A152,'Maliyet Giris'!$A$2:$A$550,0))&lt;=15,187.5,IF(INDEX('Maliyet Giris'!$G$2:$G$550,MATCH($A152,'Maliyet Giris'!$A$2:$A$550,0))&lt;=20,225,299))))))),""))</f>
        <v>86.4</v>
      </c>
      <c r="G152" s="14">
        <f t="array" ref="G152">IF($A152="","",IFERROR(INDEX('Maliyet Giris'!$F$2:$F$550,MATCH($A152,'Maliyet Giris'!$A$2:$A$550,0)),""))</f>
        <v>453.6</v>
      </c>
      <c r="H152" s="14">
        <f t="shared" si="1"/>
        <v>13.19</v>
      </c>
      <c r="I152" s="14">
        <f t="shared" si="2"/>
        <v>9.416666667</v>
      </c>
      <c r="J152" s="14">
        <f t="shared" si="3"/>
        <v>58.46833333</v>
      </c>
      <c r="K152" s="14">
        <f t="shared" si="4"/>
        <v>282.925</v>
      </c>
      <c r="L152" s="15">
        <f t="shared" si="5"/>
        <v>0.2503761062</v>
      </c>
      <c r="M152" s="17" t="str">
        <f t="shared" si="6"/>
        <v>KÂRLI</v>
      </c>
      <c r="N152" s="17" t="str">
        <f t="shared" si="7"/>
        <v/>
      </c>
      <c r="O152" s="17">
        <f t="array" ref="O152">IF($A152="","",IFERROR(INDEX('Maliyet Giris'!$G$2:$G$550,MATCH($A152,'Maliyet Giris'!$A$2:$A$550,0)),""))</f>
        <v>1</v>
      </c>
      <c r="P152" s="17" t="str">
        <f t="shared" si="8"/>
        <v/>
      </c>
      <c r="Q152" s="17" t="str">
        <f t="shared" si="9"/>
        <v/>
      </c>
      <c r="R152" s="14">
        <f t="shared" si="10"/>
        <v>747.6297141</v>
      </c>
      <c r="S152" s="14">
        <f t="shared" si="11"/>
        <v>382.3702859</v>
      </c>
      <c r="T152" s="17" t="str">
        <f t="shared" si="12"/>
        <v>ÇOK KÂRLI</v>
      </c>
      <c r="U152" s="17" t="str">
        <f t="shared" si="13"/>
        <v>Stok ve BuyBox takibini artır</v>
      </c>
    </row>
    <row r="153">
      <c r="A153" s="2">
        <f>IFERROR(__xludf.DUMMYFUNCTION("""COMPUTED_VALUE"""),3.5585356266E10)</f>
        <v>35585356266</v>
      </c>
      <c r="B153" s="17" t="str">
        <f>IFERROR(__xludf.DUMMYFUNCTION("""COMPUTED_VALUE"""),"Kong")</f>
        <v>Kong</v>
      </c>
      <c r="C153" s="28" t="str">
        <f>IFERROR(__xludf.DUMMYFUNCTION("""COMPUTED_VALUE"""),"GOODİERİBBON ÇOKLUTOP ŞEKLİNDEKÖPEKOYUNCAĞI S")</f>
        <v>GOODİERİBBON ÇOKLUTOP ŞEKLİNDEKÖPEKOYUNCAĞI S</v>
      </c>
      <c r="D153" s="14">
        <f>IFERROR(__xludf.DUMMYFUNCTION("""COMPUTED_VALUE"""),949.0)</f>
        <v>949</v>
      </c>
      <c r="E153" s="14">
        <f t="array" ref="E153">IF($A153="","",IFERROR($D153*IF($D153&gt;=INDEX('Komisyon Tarifesi'!$I$2:$I$1000,MATCH($A153,'Komisyon Tarifesi'!$B$2:$B$1000,0)),INDEX('Komisyon Tarifesi'!$O$2:$O$1000,MATCH($A153,'Komisyon Tarifesi'!$B$2:$B$1000,0)),IF($D153&gt;=INDEX('Komisyon Tarifesi'!$K$2:$K$1000,MATCH($A153,'Komisyon Tarifesi'!$B$2:$B$1000,0)),INDEX('Komisyon Tarifesi'!$P$2:$P$1000,MATCH($A153,'Komisyon Tarifesi'!$B$2:$B$1000,0)),IF($D153&gt;=INDEX('Komisyon Tarifesi'!$M$2:$M$1000,MATCH($A153,'Komisyon Tarifesi'!$B$2:$B$1000,0)),INDEX('Komisyon Tarifesi'!$Q$2:$Q$1000,MATCH($A153,'Komisyon Tarifesi'!$B$2:$B$1000,0)),INDEX('Komisyon Tarifesi'!$R$2:$R$1000,MATCH($A153,'Komisyon Tarifesi'!$B$2:$B$1000,0)))))/100,IFERROR(IF(VLOOKUP($A153,Products!$A$2:$W$1000,21,0)&lt;&gt;"",$D153*VLOOKUP($A153,Products!$A$2:$W$1000,21,0)/100,""),"")))</f>
        <v>189.8</v>
      </c>
      <c r="F153" s="14">
        <f t="array" ref="F153">IF($A153="","",IFERROR(IF(INDEX('Maliyet Giris'!$G$2:$G$550,MATCH($A153,'Maliyet Giris'!$A$2:$A$550,0))="","",IF(INDEX('Maliyet Giris'!$G$2:$G$550,MATCH($A153,'Maliyet Giris'!$A$2:$A$550,0))&lt;=2,86.4,IF(INDEX('Maliyet Giris'!$G$2:$G$550,MATCH($A153,'Maliyet Giris'!$A$2:$A$550,0))&lt;=3,90,IF(INDEX('Maliyet Giris'!$G$2:$G$550,MATCH($A153,'Maliyet Giris'!$A$2:$A$550,0))&lt;=5,102,IF(INDEX('Maliyet Giris'!$G$2:$G$550,MATCH($A153,'Maliyet Giris'!$A$2:$A$550,0))&lt;=10,159.74,IF(INDEX('Maliyet Giris'!$G$2:$G$550,MATCH($A153,'Maliyet Giris'!$A$2:$A$550,0))&lt;=15,187.5,IF(INDEX('Maliyet Giris'!$G$2:$G$550,MATCH($A153,'Maliyet Giris'!$A$2:$A$550,0))&lt;=20,225,299))))))),""))</f>
        <v>86.4</v>
      </c>
      <c r="G153" s="14">
        <f t="array" ref="G153">IF($A153="","",IFERROR(INDEX('Maliyet Giris'!$F$2:$F$550,MATCH($A153,'Maliyet Giris'!$A$2:$A$550,0)),""))</f>
        <v>375.12</v>
      </c>
      <c r="H153" s="14">
        <f t="shared" si="1"/>
        <v>13.19</v>
      </c>
      <c r="I153" s="14">
        <f t="shared" si="2"/>
        <v>7.908333333</v>
      </c>
      <c r="J153" s="14">
        <f t="shared" si="3"/>
        <v>47.415</v>
      </c>
      <c r="K153" s="14">
        <f t="shared" si="4"/>
        <v>229.1666667</v>
      </c>
      <c r="L153" s="15">
        <f t="shared" si="5"/>
        <v>0.241482262</v>
      </c>
      <c r="M153" s="17" t="str">
        <f t="shared" si="6"/>
        <v>KÂRLI</v>
      </c>
      <c r="N153" s="17" t="str">
        <f t="shared" si="7"/>
        <v/>
      </c>
      <c r="O153" s="17">
        <f t="array" ref="O153">IF($A153="","",IFERROR(INDEX('Maliyet Giris'!$G$2:$G$550,MATCH($A153,'Maliyet Giris'!$A$2:$A$550,0)),""))</f>
        <v>1</v>
      </c>
      <c r="P153" s="17" t="str">
        <f t="shared" si="8"/>
        <v/>
      </c>
      <c r="Q153" s="17" t="str">
        <f t="shared" si="9"/>
        <v/>
      </c>
      <c r="R153" s="14">
        <f t="shared" si="10"/>
        <v>640.0263127</v>
      </c>
      <c r="S153" s="14">
        <f t="shared" si="11"/>
        <v>308.9736873</v>
      </c>
      <c r="T153" s="17" t="str">
        <f t="shared" si="12"/>
        <v>SAĞLIKLI</v>
      </c>
      <c r="U153" s="17" t="str">
        <f t="shared" si="13"/>
        <v>Takip et</v>
      </c>
    </row>
    <row r="154">
      <c r="A154" s="2">
        <f>IFERROR(__xludf.DUMMYFUNCTION("""COMPUTED_VALUE"""),3.5585780009E10)</f>
        <v>35585780009</v>
      </c>
      <c r="B154" s="17" t="str">
        <f>IFERROR(__xludf.DUMMYFUNCTION("""COMPUTED_VALUE"""),"Kong")</f>
        <v>Kong</v>
      </c>
      <c r="C154" s="28" t="str">
        <f>IFERROR(__xludf.DUMMYFUNCTION("""COMPUTED_VALUE"""),"GOODİEBONE KEMİKŞEKLİNDE ÇOKAMAÇLI İPSALLANTILI KÖPEKOYUNCAĞI M")</f>
        <v>GOODİEBONE KEMİKŞEKLİNDE ÇOKAMAÇLI İPSALLANTILI KÖPEKOYUNCAĞI M</v>
      </c>
      <c r="D154" s="14">
        <f>IFERROR(__xludf.DUMMYFUNCTION("""COMPUTED_VALUE"""),1242.0)</f>
        <v>1242</v>
      </c>
      <c r="E154" s="14">
        <f t="array" ref="E154">IF($A154="","",IFERROR($D154*IF($D154&gt;=INDEX('Komisyon Tarifesi'!$I$2:$I$1000,MATCH($A154,'Komisyon Tarifesi'!$B$2:$B$1000,0)),INDEX('Komisyon Tarifesi'!$O$2:$O$1000,MATCH($A154,'Komisyon Tarifesi'!$B$2:$B$1000,0)),IF($D154&gt;=INDEX('Komisyon Tarifesi'!$K$2:$K$1000,MATCH($A154,'Komisyon Tarifesi'!$B$2:$B$1000,0)),INDEX('Komisyon Tarifesi'!$P$2:$P$1000,MATCH($A154,'Komisyon Tarifesi'!$B$2:$B$1000,0)),IF($D154&gt;=INDEX('Komisyon Tarifesi'!$M$2:$M$1000,MATCH($A154,'Komisyon Tarifesi'!$B$2:$B$1000,0)),INDEX('Komisyon Tarifesi'!$Q$2:$Q$1000,MATCH($A154,'Komisyon Tarifesi'!$B$2:$B$1000,0)),INDEX('Komisyon Tarifesi'!$R$2:$R$1000,MATCH($A154,'Komisyon Tarifesi'!$B$2:$B$1000,0)))))/100,IFERROR(IF(VLOOKUP($A154,Products!$A$2:$W$1000,21,0)&lt;&gt;"",$D154*VLOOKUP($A154,Products!$A$2:$W$1000,21,0)/100,""),"")))</f>
        <v>248.4</v>
      </c>
      <c r="F154" s="14">
        <f t="array" ref="F154">IF($A154="","",IFERROR(IF(INDEX('Maliyet Giris'!$G$2:$G$550,MATCH($A154,'Maliyet Giris'!$A$2:$A$550,0))="","",IF(INDEX('Maliyet Giris'!$G$2:$G$550,MATCH($A154,'Maliyet Giris'!$A$2:$A$550,0))&lt;=2,86.4,IF(INDEX('Maliyet Giris'!$G$2:$G$550,MATCH($A154,'Maliyet Giris'!$A$2:$A$550,0))&lt;=3,90,IF(INDEX('Maliyet Giris'!$G$2:$G$550,MATCH($A154,'Maliyet Giris'!$A$2:$A$550,0))&lt;=5,102,IF(INDEX('Maliyet Giris'!$G$2:$G$550,MATCH($A154,'Maliyet Giris'!$A$2:$A$550,0))&lt;=10,159.74,IF(INDEX('Maliyet Giris'!$G$2:$G$550,MATCH($A154,'Maliyet Giris'!$A$2:$A$550,0))&lt;=15,187.5,IF(INDEX('Maliyet Giris'!$G$2:$G$550,MATCH($A154,'Maliyet Giris'!$A$2:$A$550,0))&lt;=20,225,299))))))),""))</f>
        <v>86.4</v>
      </c>
      <c r="G154" s="14">
        <f t="array" ref="G154">IF($A154="","",IFERROR(INDEX('Maliyet Giris'!$F$2:$F$550,MATCH($A154,'Maliyet Giris'!$A$2:$A$550,0)),""))</f>
        <v>490.32</v>
      </c>
      <c r="H154" s="14">
        <f t="shared" si="1"/>
        <v>13.19</v>
      </c>
      <c r="I154" s="14">
        <f t="shared" si="2"/>
        <v>10.35</v>
      </c>
      <c r="J154" s="14">
        <f t="shared" si="3"/>
        <v>67.28166667</v>
      </c>
      <c r="K154" s="14">
        <f t="shared" si="4"/>
        <v>326.0583333</v>
      </c>
      <c r="L154" s="15">
        <f t="shared" si="5"/>
        <v>0.2625268384</v>
      </c>
      <c r="M154" s="17" t="str">
        <f t="shared" si="6"/>
        <v>KÂRLI</v>
      </c>
      <c r="N154" s="17" t="str">
        <f t="shared" si="7"/>
        <v/>
      </c>
      <c r="O154" s="17">
        <f t="array" ref="O154">IF($A154="","",IFERROR(INDEX('Maliyet Giris'!$G$2:$G$550,MATCH($A154,'Maliyet Giris'!$A$2:$A$550,0)),""))</f>
        <v>1</v>
      </c>
      <c r="P154" s="17" t="str">
        <f t="shared" si="8"/>
        <v/>
      </c>
      <c r="Q154" s="17" t="str">
        <f t="shared" si="9"/>
        <v/>
      </c>
      <c r="R154" s="14">
        <f t="shared" si="10"/>
        <v>799.8834263</v>
      </c>
      <c r="S154" s="14">
        <f t="shared" si="11"/>
        <v>442.1165737</v>
      </c>
      <c r="T154" s="17" t="str">
        <f t="shared" si="12"/>
        <v>ÇOK KÂRLI</v>
      </c>
      <c r="U154" s="17" t="str">
        <f t="shared" si="13"/>
        <v>Stok ve BuyBox takibini artır</v>
      </c>
    </row>
    <row r="155">
      <c r="A155" s="2">
        <f>IFERROR(__xludf.DUMMYFUNCTION("""COMPUTED_VALUE"""),3.5585509006E10)</f>
        <v>35585509006</v>
      </c>
      <c r="B155" s="17" t="str">
        <f>IFERROR(__xludf.DUMMYFUNCTION("""COMPUTED_VALUE"""),"Kong")</f>
        <v>Kong</v>
      </c>
      <c r="C155" s="28" t="str">
        <f>IFERROR(__xludf.DUMMYFUNCTION("""COMPUTED_VALUE"""),"REWARDSTİNKER KÖPEKLERİÇİN ÖDÜLMAMASIDAĞITMAOYUNCAĞI M/L")</f>
        <v>REWARDSTİNKER KÖPEKLERİÇİN ÖDÜLMAMASIDAĞITMAOYUNCAĞI M/L</v>
      </c>
      <c r="D155" s="14">
        <f>IFERROR(__xludf.DUMMYFUNCTION("""COMPUTED_VALUE"""),2197.0)</f>
        <v>2197</v>
      </c>
      <c r="E155" s="14">
        <f t="array" ref="E155">IF($A155="","",IFERROR($D155*IF($D155&gt;=INDEX('Komisyon Tarifesi'!$I$2:$I$1000,MATCH($A155,'Komisyon Tarifesi'!$B$2:$B$1000,0)),INDEX('Komisyon Tarifesi'!$O$2:$O$1000,MATCH($A155,'Komisyon Tarifesi'!$B$2:$B$1000,0)),IF($D155&gt;=INDEX('Komisyon Tarifesi'!$K$2:$K$1000,MATCH($A155,'Komisyon Tarifesi'!$B$2:$B$1000,0)),INDEX('Komisyon Tarifesi'!$P$2:$P$1000,MATCH($A155,'Komisyon Tarifesi'!$B$2:$B$1000,0)),IF($D155&gt;=INDEX('Komisyon Tarifesi'!$M$2:$M$1000,MATCH($A155,'Komisyon Tarifesi'!$B$2:$B$1000,0)),INDEX('Komisyon Tarifesi'!$Q$2:$Q$1000,MATCH($A155,'Komisyon Tarifesi'!$B$2:$B$1000,0)),INDEX('Komisyon Tarifesi'!$R$2:$R$1000,MATCH($A155,'Komisyon Tarifesi'!$B$2:$B$1000,0)))))/100,IFERROR(IF(VLOOKUP($A155,Products!$A$2:$W$1000,21,0)&lt;&gt;"",$D155*VLOOKUP($A155,Products!$A$2:$W$1000,21,0)/100,""),"")))</f>
        <v>439.4</v>
      </c>
      <c r="F155" s="14">
        <f t="array" ref="F155">IF($A155="","",IFERROR(IF(INDEX('Maliyet Giris'!$G$2:$G$550,MATCH($A155,'Maliyet Giris'!$A$2:$A$550,0))="","",IF(INDEX('Maliyet Giris'!$G$2:$G$550,MATCH($A155,'Maliyet Giris'!$A$2:$A$550,0))&lt;=2,86.4,IF(INDEX('Maliyet Giris'!$G$2:$G$550,MATCH($A155,'Maliyet Giris'!$A$2:$A$550,0))&lt;=3,90,IF(INDEX('Maliyet Giris'!$G$2:$G$550,MATCH($A155,'Maliyet Giris'!$A$2:$A$550,0))&lt;=5,102,IF(INDEX('Maliyet Giris'!$G$2:$G$550,MATCH($A155,'Maliyet Giris'!$A$2:$A$550,0))&lt;=10,159.74,IF(INDEX('Maliyet Giris'!$G$2:$G$550,MATCH($A155,'Maliyet Giris'!$A$2:$A$550,0))&lt;=15,187.5,IF(INDEX('Maliyet Giris'!$G$2:$G$550,MATCH($A155,'Maliyet Giris'!$A$2:$A$550,0))&lt;=20,225,299))))))),""))</f>
        <v>86.4</v>
      </c>
      <c r="G155" s="14">
        <f t="array" ref="G155">IF($A155="","",IFERROR(INDEX('Maliyet Giris'!$F$2:$F$550,MATCH($A155,'Maliyet Giris'!$A$2:$A$550,0)),""))</f>
        <v>868.32</v>
      </c>
      <c r="H155" s="14">
        <f t="shared" si="1"/>
        <v>13.19</v>
      </c>
      <c r="I155" s="14">
        <f t="shared" si="2"/>
        <v>18.30833333</v>
      </c>
      <c r="J155" s="14">
        <f t="shared" si="3"/>
        <v>131.615</v>
      </c>
      <c r="K155" s="14">
        <f t="shared" si="4"/>
        <v>639.7666667</v>
      </c>
      <c r="L155" s="15">
        <f t="shared" si="5"/>
        <v>0.2912001214</v>
      </c>
      <c r="M155" s="17" t="str">
        <f t="shared" si="6"/>
        <v>KÂRLI</v>
      </c>
      <c r="N155" s="17" t="str">
        <f t="shared" si="7"/>
        <v/>
      </c>
      <c r="O155" s="17">
        <f t="array" ref="O155">IF($A155="","",IFERROR(INDEX('Maliyet Giris'!$G$2:$G$550,MATCH($A155,'Maliyet Giris'!$A$2:$A$550,0)),""))</f>
        <v>1</v>
      </c>
      <c r="P155" s="17" t="str">
        <f t="shared" si="8"/>
        <v/>
      </c>
      <c r="Q155" s="17" t="str">
        <f t="shared" si="9"/>
        <v/>
      </c>
      <c r="R155" s="14">
        <f t="shared" si="10"/>
        <v>1322.714539</v>
      </c>
      <c r="S155" s="14">
        <f t="shared" si="11"/>
        <v>874.2854608</v>
      </c>
      <c r="T155" s="17" t="str">
        <f t="shared" si="12"/>
        <v>ÇOK KÂRLI</v>
      </c>
      <c r="U155" s="17" t="str">
        <f t="shared" si="13"/>
        <v>Stok ve BuyBox takibini artır</v>
      </c>
    </row>
    <row r="156">
      <c r="A156" s="2">
        <f>IFERROR(__xludf.DUMMYFUNCTION("""COMPUTED_VALUE"""),3.5585363172E10)</f>
        <v>35585363172</v>
      </c>
      <c r="B156" s="17" t="str">
        <f>IFERROR(__xludf.DUMMYFUNCTION("""COMPUTED_VALUE"""),"Kong")</f>
        <v>Kong</v>
      </c>
      <c r="C156" s="28" t="str">
        <f>IFERROR(__xludf.DUMMYFUNCTION("""COMPUTED_VALUE"""),"KONGDURAMAX TOPŞEKLİNDE SESLİKÖPEKOYUNCAĞI M")</f>
        <v>KONGDURAMAX TOPŞEKLİNDE SESLİKÖPEKOYUNCAĞI M</v>
      </c>
      <c r="D156" s="14">
        <f>IFERROR(__xludf.DUMMYFUNCTION("""COMPUTED_VALUE"""),656.0)</f>
        <v>656</v>
      </c>
      <c r="E156" s="14">
        <f t="array" ref="E156">IF($A156="","",IFERROR($D156*IF($D156&gt;=INDEX('Komisyon Tarifesi'!$I$2:$I$1000,MATCH($A156,'Komisyon Tarifesi'!$B$2:$B$1000,0)),INDEX('Komisyon Tarifesi'!$O$2:$O$1000,MATCH($A156,'Komisyon Tarifesi'!$B$2:$B$1000,0)),IF($D156&gt;=INDEX('Komisyon Tarifesi'!$K$2:$K$1000,MATCH($A156,'Komisyon Tarifesi'!$B$2:$B$1000,0)),INDEX('Komisyon Tarifesi'!$P$2:$P$1000,MATCH($A156,'Komisyon Tarifesi'!$B$2:$B$1000,0)),IF($D156&gt;=INDEX('Komisyon Tarifesi'!$M$2:$M$1000,MATCH($A156,'Komisyon Tarifesi'!$B$2:$B$1000,0)),INDEX('Komisyon Tarifesi'!$Q$2:$Q$1000,MATCH($A156,'Komisyon Tarifesi'!$B$2:$B$1000,0)),INDEX('Komisyon Tarifesi'!$R$2:$R$1000,MATCH($A156,'Komisyon Tarifesi'!$B$2:$B$1000,0)))))/100,IFERROR(IF(VLOOKUP($A156,Products!$A$2:$W$1000,21,0)&lt;&gt;"",$D156*VLOOKUP($A156,Products!$A$2:$W$1000,21,0)/100,""),"")))</f>
        <v>131.2</v>
      </c>
      <c r="F156" s="14">
        <f t="array" ref="F156">IF($A156="","",IFERROR(IF(INDEX('Maliyet Giris'!$G$2:$G$550,MATCH($A156,'Maliyet Giris'!$A$2:$A$550,0))="","",IF(INDEX('Maliyet Giris'!$G$2:$G$550,MATCH($A156,'Maliyet Giris'!$A$2:$A$550,0))&lt;=2,86.4,IF(INDEX('Maliyet Giris'!$G$2:$G$550,MATCH($A156,'Maliyet Giris'!$A$2:$A$550,0))&lt;=3,90,IF(INDEX('Maliyet Giris'!$G$2:$G$550,MATCH($A156,'Maliyet Giris'!$A$2:$A$550,0))&lt;=5,102,IF(INDEX('Maliyet Giris'!$G$2:$G$550,MATCH($A156,'Maliyet Giris'!$A$2:$A$550,0))&lt;=10,159.74,IF(INDEX('Maliyet Giris'!$G$2:$G$550,MATCH($A156,'Maliyet Giris'!$A$2:$A$550,0))&lt;=15,187.5,IF(INDEX('Maliyet Giris'!$G$2:$G$550,MATCH($A156,'Maliyet Giris'!$A$2:$A$550,0))&lt;=20,225,299))))))),""))</f>
        <v>86.4</v>
      </c>
      <c r="G156" s="14">
        <f t="array" ref="G156">IF($A156="","",IFERROR(INDEX('Maliyet Giris'!$F$2:$F$550,MATCH($A156,'Maliyet Giris'!$A$2:$A$550,0)),""))</f>
        <v>257.76</v>
      </c>
      <c r="H156" s="14">
        <f t="shared" si="1"/>
        <v>13.19</v>
      </c>
      <c r="I156" s="14">
        <f t="shared" si="2"/>
        <v>5.466666667</v>
      </c>
      <c r="J156" s="14">
        <f t="shared" si="3"/>
        <v>27.90833333</v>
      </c>
      <c r="K156" s="14">
        <f t="shared" si="4"/>
        <v>134.075</v>
      </c>
      <c r="L156" s="15">
        <f t="shared" si="5"/>
        <v>0.204382622</v>
      </c>
      <c r="M156" s="17" t="str">
        <f t="shared" si="6"/>
        <v>KÂRLI</v>
      </c>
      <c r="N156" s="17" t="str">
        <f t="shared" si="7"/>
        <v/>
      </c>
      <c r="O156" s="17">
        <f t="array" ref="O156">IF($A156="","",IFERROR(INDEX('Maliyet Giris'!$G$2:$G$550,MATCH($A156,'Maliyet Giris'!$A$2:$A$550,0)),""))</f>
        <v>1</v>
      </c>
      <c r="P156" s="17" t="str">
        <f t="shared" si="8"/>
        <v/>
      </c>
      <c r="Q156" s="17" t="str">
        <f t="shared" si="9"/>
        <v/>
      </c>
      <c r="R156" s="14">
        <f t="shared" si="10"/>
        <v>477.0239522</v>
      </c>
      <c r="S156" s="14">
        <f t="shared" si="11"/>
        <v>178.9760478</v>
      </c>
      <c r="T156" s="17" t="str">
        <f t="shared" si="12"/>
        <v>SAĞLIKLI</v>
      </c>
      <c r="U156" s="17" t="str">
        <f t="shared" si="13"/>
        <v>Takip et</v>
      </c>
    </row>
    <row r="157">
      <c r="A157" s="2">
        <f>IFERROR(__xludf.DUMMYFUNCTION("""COMPUTED_VALUE"""),3.5585356259E10)</f>
        <v>35585356259</v>
      </c>
      <c r="B157" s="17" t="str">
        <f>IFERROR(__xludf.DUMMYFUNCTION("""COMPUTED_VALUE"""),"Kong")</f>
        <v>Kong</v>
      </c>
      <c r="C157" s="28" t="str">
        <f>IFERROR(__xludf.DUMMYFUNCTION("""COMPUTED_VALUE"""),"GOODİERİBBON ÇOKLUTOP ŞEKLİNDEKÖPEKOYUNCAĞI M")</f>
        <v>GOODİERİBBON ÇOKLUTOP ŞEKLİNDEKÖPEKOYUNCAĞI M</v>
      </c>
      <c r="D157" s="14">
        <f>IFERROR(__xludf.DUMMYFUNCTION("""COMPUTED_VALUE"""),1300.0)</f>
        <v>1300</v>
      </c>
      <c r="E157" s="14">
        <f t="array" ref="E157">IF($A157="","",IFERROR($D157*IF($D157&gt;=INDEX('Komisyon Tarifesi'!$I$2:$I$1000,MATCH($A157,'Komisyon Tarifesi'!$B$2:$B$1000,0)),INDEX('Komisyon Tarifesi'!$O$2:$O$1000,MATCH($A157,'Komisyon Tarifesi'!$B$2:$B$1000,0)),IF($D157&gt;=INDEX('Komisyon Tarifesi'!$K$2:$K$1000,MATCH($A157,'Komisyon Tarifesi'!$B$2:$B$1000,0)),INDEX('Komisyon Tarifesi'!$P$2:$P$1000,MATCH($A157,'Komisyon Tarifesi'!$B$2:$B$1000,0)),IF($D157&gt;=INDEX('Komisyon Tarifesi'!$M$2:$M$1000,MATCH($A157,'Komisyon Tarifesi'!$B$2:$B$1000,0)),INDEX('Komisyon Tarifesi'!$Q$2:$Q$1000,MATCH($A157,'Komisyon Tarifesi'!$B$2:$B$1000,0)),INDEX('Komisyon Tarifesi'!$R$2:$R$1000,MATCH($A157,'Komisyon Tarifesi'!$B$2:$B$1000,0)))))/100,IFERROR(IF(VLOOKUP($A157,Products!$A$2:$W$1000,21,0)&lt;&gt;"",$D157*VLOOKUP($A157,Products!$A$2:$W$1000,21,0)/100,""),"")))</f>
        <v>260</v>
      </c>
      <c r="F157" s="14">
        <f t="array" ref="F157">IF($A157="","",IFERROR(IF(INDEX('Maliyet Giris'!$G$2:$G$550,MATCH($A157,'Maliyet Giris'!$A$2:$A$550,0))="","",IF(INDEX('Maliyet Giris'!$G$2:$G$550,MATCH($A157,'Maliyet Giris'!$A$2:$A$550,0))&lt;=2,86.4,IF(INDEX('Maliyet Giris'!$G$2:$G$550,MATCH($A157,'Maliyet Giris'!$A$2:$A$550,0))&lt;=3,90,IF(INDEX('Maliyet Giris'!$G$2:$G$550,MATCH($A157,'Maliyet Giris'!$A$2:$A$550,0))&lt;=5,102,IF(INDEX('Maliyet Giris'!$G$2:$G$550,MATCH($A157,'Maliyet Giris'!$A$2:$A$550,0))&lt;=10,159.74,IF(INDEX('Maliyet Giris'!$G$2:$G$550,MATCH($A157,'Maliyet Giris'!$A$2:$A$550,0))&lt;=15,187.5,IF(INDEX('Maliyet Giris'!$G$2:$G$550,MATCH($A157,'Maliyet Giris'!$A$2:$A$550,0))&lt;=20,225,299))))))),""))</f>
        <v>86.4</v>
      </c>
      <c r="G157" s="14">
        <f t="array" ref="G157">IF($A157="","",IFERROR(INDEX('Maliyet Giris'!$F$2:$F$550,MATCH($A157,'Maliyet Giris'!$A$2:$A$550,0)),""))</f>
        <v>513.36</v>
      </c>
      <c r="H157" s="14">
        <f t="shared" si="1"/>
        <v>13.19</v>
      </c>
      <c r="I157" s="14">
        <f t="shared" si="2"/>
        <v>10.83333333</v>
      </c>
      <c r="J157" s="14">
        <f t="shared" si="3"/>
        <v>71.175</v>
      </c>
      <c r="K157" s="14">
        <f t="shared" si="4"/>
        <v>345.0416667</v>
      </c>
      <c r="L157" s="15">
        <f t="shared" si="5"/>
        <v>0.2654166667</v>
      </c>
      <c r="M157" s="17" t="str">
        <f t="shared" si="6"/>
        <v>KÂRLI</v>
      </c>
      <c r="N157" s="17" t="str">
        <f t="shared" si="7"/>
        <v/>
      </c>
      <c r="O157" s="17">
        <f t="array" ref="O157">IF($A157="","",IFERROR(INDEX('Maliyet Giris'!$G$2:$G$550,MATCH($A157,'Maliyet Giris'!$A$2:$A$550,0)),""))</f>
        <v>1</v>
      </c>
      <c r="P157" s="17" t="str">
        <f t="shared" si="8"/>
        <v/>
      </c>
      <c r="Q157" s="17" t="str">
        <f t="shared" si="9"/>
        <v/>
      </c>
      <c r="R157" s="14">
        <f t="shared" si="10"/>
        <v>831.7761702</v>
      </c>
      <c r="S157" s="14">
        <f t="shared" si="11"/>
        <v>468.2238298</v>
      </c>
      <c r="T157" s="17" t="str">
        <f t="shared" si="12"/>
        <v>ÇOK KÂRLI</v>
      </c>
      <c r="U157" s="17" t="str">
        <f t="shared" si="13"/>
        <v>Stok ve BuyBox takibini artır</v>
      </c>
    </row>
    <row r="158">
      <c r="A158" s="2">
        <f>IFERROR(__xludf.DUMMYFUNCTION("""COMPUTED_VALUE"""),3.5585356242E10)</f>
        <v>35585356242</v>
      </c>
      <c r="B158" s="17" t="str">
        <f>IFERROR(__xludf.DUMMYFUNCTION("""COMPUTED_VALUE"""),"Kong")</f>
        <v>Kong</v>
      </c>
      <c r="C158" s="28" t="str">
        <f>IFERROR(__xludf.DUMMYFUNCTION("""COMPUTED_VALUE"""),"GOODİERİBBON ÇOKLUTOP ŞEKLİNDEKÖPEKOYUNCAĞI L")</f>
        <v>GOODİERİBBON ÇOKLUTOP ŞEKLİNDEKÖPEKOYUNCAĞI L</v>
      </c>
      <c r="D158" s="14">
        <f>IFERROR(__xludf.DUMMYFUNCTION("""COMPUTED_VALUE"""),2329.0)</f>
        <v>2329</v>
      </c>
      <c r="E158" s="14">
        <f t="array" ref="E158">IF($A158="","",IFERROR($D158*IF($D158&gt;=INDEX('Komisyon Tarifesi'!$I$2:$I$1000,MATCH($A158,'Komisyon Tarifesi'!$B$2:$B$1000,0)),INDEX('Komisyon Tarifesi'!$O$2:$O$1000,MATCH($A158,'Komisyon Tarifesi'!$B$2:$B$1000,0)),IF($D158&gt;=INDEX('Komisyon Tarifesi'!$K$2:$K$1000,MATCH($A158,'Komisyon Tarifesi'!$B$2:$B$1000,0)),INDEX('Komisyon Tarifesi'!$P$2:$P$1000,MATCH($A158,'Komisyon Tarifesi'!$B$2:$B$1000,0)),IF($D158&gt;=INDEX('Komisyon Tarifesi'!$M$2:$M$1000,MATCH($A158,'Komisyon Tarifesi'!$B$2:$B$1000,0)),INDEX('Komisyon Tarifesi'!$Q$2:$Q$1000,MATCH($A158,'Komisyon Tarifesi'!$B$2:$B$1000,0)),INDEX('Komisyon Tarifesi'!$R$2:$R$1000,MATCH($A158,'Komisyon Tarifesi'!$B$2:$B$1000,0)))))/100,IFERROR(IF(VLOOKUP($A158,Products!$A$2:$W$1000,21,0)&lt;&gt;"",$D158*VLOOKUP($A158,Products!$A$2:$W$1000,21,0)/100,""),"")))</f>
        <v>465.8</v>
      </c>
      <c r="F158" s="14">
        <f t="array" ref="F158">IF($A158="","",IFERROR(IF(INDEX('Maliyet Giris'!$G$2:$G$550,MATCH($A158,'Maliyet Giris'!$A$2:$A$550,0))="","",IF(INDEX('Maliyet Giris'!$G$2:$G$550,MATCH($A158,'Maliyet Giris'!$A$2:$A$550,0))&lt;=2,86.4,IF(INDEX('Maliyet Giris'!$G$2:$G$550,MATCH($A158,'Maliyet Giris'!$A$2:$A$550,0))&lt;=3,90,IF(INDEX('Maliyet Giris'!$G$2:$G$550,MATCH($A158,'Maliyet Giris'!$A$2:$A$550,0))&lt;=5,102,IF(INDEX('Maliyet Giris'!$G$2:$G$550,MATCH($A158,'Maliyet Giris'!$A$2:$A$550,0))&lt;=10,159.74,IF(INDEX('Maliyet Giris'!$G$2:$G$550,MATCH($A158,'Maliyet Giris'!$A$2:$A$550,0))&lt;=15,187.5,IF(INDEX('Maliyet Giris'!$G$2:$G$550,MATCH($A158,'Maliyet Giris'!$A$2:$A$550,0))&lt;=20,225,299))))))),""))</f>
        <v>86.4</v>
      </c>
      <c r="G158" s="14">
        <f t="array" ref="G158">IF($A158="","",IFERROR(INDEX('Maliyet Giris'!$F$2:$F$550,MATCH($A158,'Maliyet Giris'!$A$2:$A$550,0)),""))</f>
        <v>919.44</v>
      </c>
      <c r="H158" s="14">
        <f t="shared" si="1"/>
        <v>13.19</v>
      </c>
      <c r="I158" s="14">
        <f t="shared" si="2"/>
        <v>19.40833333</v>
      </c>
      <c r="J158" s="14">
        <f t="shared" si="3"/>
        <v>140.695</v>
      </c>
      <c r="K158" s="14">
        <f t="shared" si="4"/>
        <v>684.0666667</v>
      </c>
      <c r="L158" s="15">
        <f t="shared" si="5"/>
        <v>0.2937169028</v>
      </c>
      <c r="M158" s="17" t="str">
        <f t="shared" si="6"/>
        <v>KÂRLI</v>
      </c>
      <c r="N158" s="17" t="str">
        <f t="shared" si="7"/>
        <v/>
      </c>
      <c r="O158" s="17">
        <f t="array" ref="O158">IF($A158="","",IFERROR(INDEX('Maliyet Giris'!$G$2:$G$550,MATCH($A158,'Maliyet Giris'!$A$2:$A$550,0)),""))</f>
        <v>1</v>
      </c>
      <c r="P158" s="17" t="str">
        <f t="shared" si="8"/>
        <v/>
      </c>
      <c r="Q158" s="17" t="str">
        <f t="shared" si="9"/>
        <v/>
      </c>
      <c r="R158" s="14">
        <f t="shared" si="10"/>
        <v>1393.532049</v>
      </c>
      <c r="S158" s="14">
        <f t="shared" si="11"/>
        <v>935.4679506</v>
      </c>
      <c r="T158" s="17" t="str">
        <f t="shared" si="12"/>
        <v>ÇOK KÂRLI</v>
      </c>
      <c r="U158" s="17" t="str">
        <f t="shared" si="13"/>
        <v>Stok ve BuyBox takibini artır</v>
      </c>
    </row>
    <row r="159">
      <c r="A159" s="2">
        <f>IFERROR(__xludf.DUMMYFUNCTION("""COMPUTED_VALUE"""),3.5585509112E10)</f>
        <v>35585509112</v>
      </c>
      <c r="B159" s="17" t="str">
        <f>IFERROR(__xludf.DUMMYFUNCTION("""COMPUTED_VALUE"""),"Kong")</f>
        <v>Kong</v>
      </c>
      <c r="C159" s="28" t="str">
        <f>IFERROR(__xludf.DUMMYFUNCTION("""COMPUTED_VALUE"""),"COMFORTJUMBO BİRDFLAMİNGOŞEKLİNDE PELUŞKÖPEKOYUNCAĞI XL")</f>
        <v>COMFORTJUMBO BİRDFLAMİNGOŞEKLİNDE PELUŞKÖPEKOYUNCAĞI XL</v>
      </c>
      <c r="D159" s="14">
        <f>IFERROR(__xludf.DUMMYFUNCTION("""COMPUTED_VALUE"""),1207.8)</f>
        <v>1207.8</v>
      </c>
      <c r="E159" s="14">
        <f t="array" ref="E159">IF($A159="","",IFERROR($D159*IF($D159&gt;=INDEX('Komisyon Tarifesi'!$I$2:$I$1000,MATCH($A159,'Komisyon Tarifesi'!$B$2:$B$1000,0)),INDEX('Komisyon Tarifesi'!$O$2:$O$1000,MATCH($A159,'Komisyon Tarifesi'!$B$2:$B$1000,0)),IF($D159&gt;=INDEX('Komisyon Tarifesi'!$K$2:$K$1000,MATCH($A159,'Komisyon Tarifesi'!$B$2:$B$1000,0)),INDEX('Komisyon Tarifesi'!$P$2:$P$1000,MATCH($A159,'Komisyon Tarifesi'!$B$2:$B$1000,0)),IF($D159&gt;=INDEX('Komisyon Tarifesi'!$M$2:$M$1000,MATCH($A159,'Komisyon Tarifesi'!$B$2:$B$1000,0)),INDEX('Komisyon Tarifesi'!$Q$2:$Q$1000,MATCH($A159,'Komisyon Tarifesi'!$B$2:$B$1000,0)),INDEX('Komisyon Tarifesi'!$R$2:$R$1000,MATCH($A159,'Komisyon Tarifesi'!$B$2:$B$1000,0)))))/100,IFERROR(IF(VLOOKUP($A159,Products!$A$2:$W$1000,21,0)&lt;&gt;"",$D159*VLOOKUP($A159,Products!$A$2:$W$1000,21,0)/100,""),"")))</f>
        <v>241.56</v>
      </c>
      <c r="F159" s="14">
        <f t="array" ref="F159">IF($A159="","",IFERROR(IF(INDEX('Maliyet Giris'!$G$2:$G$550,MATCH($A159,'Maliyet Giris'!$A$2:$A$550,0))="","",IF(INDEX('Maliyet Giris'!$G$2:$G$550,MATCH($A159,'Maliyet Giris'!$A$2:$A$550,0))&lt;=2,86.4,IF(INDEX('Maliyet Giris'!$G$2:$G$550,MATCH($A159,'Maliyet Giris'!$A$2:$A$550,0))&lt;=3,90,IF(INDEX('Maliyet Giris'!$G$2:$G$550,MATCH($A159,'Maliyet Giris'!$A$2:$A$550,0))&lt;=5,102,IF(INDEX('Maliyet Giris'!$G$2:$G$550,MATCH($A159,'Maliyet Giris'!$A$2:$A$550,0))&lt;=10,159.74,IF(INDEX('Maliyet Giris'!$G$2:$G$550,MATCH($A159,'Maliyet Giris'!$A$2:$A$550,0))&lt;=15,187.5,IF(INDEX('Maliyet Giris'!$G$2:$G$550,MATCH($A159,'Maliyet Giris'!$A$2:$A$550,0))&lt;=20,225,299))))))),""))</f>
        <v>86.4</v>
      </c>
      <c r="G159" s="14">
        <f t="array" ref="G159">IF($A159="","",IFERROR(INDEX('Maliyet Giris'!$F$2:$F$550,MATCH($A159,'Maliyet Giris'!$A$2:$A$550,0)),""))</f>
        <v>622.08</v>
      </c>
      <c r="H159" s="14">
        <f t="shared" si="1"/>
        <v>13.19</v>
      </c>
      <c r="I159" s="14">
        <f t="shared" si="2"/>
        <v>10.065</v>
      </c>
      <c r="J159" s="14">
        <f t="shared" si="3"/>
        <v>40.76166667</v>
      </c>
      <c r="K159" s="14">
        <f t="shared" si="4"/>
        <v>193.7433333</v>
      </c>
      <c r="L159" s="15">
        <f t="shared" si="5"/>
        <v>0.160410112</v>
      </c>
      <c r="M159" s="17" t="str">
        <f t="shared" si="6"/>
        <v>KÂRLI</v>
      </c>
      <c r="N159" s="17" t="str">
        <f t="shared" si="7"/>
        <v/>
      </c>
      <c r="O159" s="17">
        <f t="array" ref="O159">IF($A159="","",IFERROR(INDEX('Maliyet Giris'!$G$2:$G$550,MATCH($A159,'Maliyet Giris'!$A$2:$A$550,0)),""))</f>
        <v>1</v>
      </c>
      <c r="P159" s="17" t="str">
        <f t="shared" si="8"/>
        <v/>
      </c>
      <c r="Q159" s="17" t="str">
        <f t="shared" si="9"/>
        <v/>
      </c>
      <c r="R159" s="14">
        <f t="shared" si="10"/>
        <v>952.1738551</v>
      </c>
      <c r="S159" s="14">
        <f t="shared" si="11"/>
        <v>255.6261449</v>
      </c>
      <c r="T159" s="17" t="str">
        <f t="shared" si="12"/>
        <v>SAĞLIKLI</v>
      </c>
      <c r="U159" s="17" t="str">
        <f t="shared" si="13"/>
        <v>Takip et</v>
      </c>
    </row>
    <row r="160">
      <c r="A160" s="2">
        <f>IFERROR(__xludf.DUMMYFUNCTION("""COMPUTED_VALUE"""),3.5585277066E10)</f>
        <v>35585277066</v>
      </c>
      <c r="B160" s="17" t="str">
        <f>IFERROR(__xludf.DUMMYFUNCTION("""COMPUTED_VALUE"""),"Kong")</f>
        <v>Kong</v>
      </c>
      <c r="C160" s="28" t="str">
        <f>IFERROR(__xludf.DUMMYFUNCTION("""COMPUTED_VALUE"""),"QUESTSTAR ÇİÇEKŞEKLİNDE KÖPEKOYUNCAĞI S")</f>
        <v>QUESTSTAR ÇİÇEKŞEKLİNDE KÖPEKOYUNCAĞI S</v>
      </c>
      <c r="D160" s="14">
        <f>IFERROR(__xludf.DUMMYFUNCTION("""COMPUTED_VALUE"""),600.0)</f>
        <v>600</v>
      </c>
      <c r="E160" s="14">
        <f t="array" ref="E160">IF($A160="","",IFERROR($D160*IF($D160&gt;=INDEX('Komisyon Tarifesi'!$I$2:$I$1000,MATCH($A160,'Komisyon Tarifesi'!$B$2:$B$1000,0)),INDEX('Komisyon Tarifesi'!$O$2:$O$1000,MATCH($A160,'Komisyon Tarifesi'!$B$2:$B$1000,0)),IF($D160&gt;=INDEX('Komisyon Tarifesi'!$K$2:$K$1000,MATCH($A160,'Komisyon Tarifesi'!$B$2:$B$1000,0)),INDEX('Komisyon Tarifesi'!$P$2:$P$1000,MATCH($A160,'Komisyon Tarifesi'!$B$2:$B$1000,0)),IF($D160&gt;=INDEX('Komisyon Tarifesi'!$M$2:$M$1000,MATCH($A160,'Komisyon Tarifesi'!$B$2:$B$1000,0)),INDEX('Komisyon Tarifesi'!$Q$2:$Q$1000,MATCH($A160,'Komisyon Tarifesi'!$B$2:$B$1000,0)),INDEX('Komisyon Tarifesi'!$R$2:$R$1000,MATCH($A160,'Komisyon Tarifesi'!$B$2:$B$1000,0)))))/100,IFERROR(IF(VLOOKUP($A160,Products!$A$2:$W$1000,21,0)&lt;&gt;"",$D160*VLOOKUP($A160,Products!$A$2:$W$1000,21,0)/100,""),"")))</f>
        <v>120</v>
      </c>
      <c r="F160" s="14">
        <f t="array" ref="F160">IF($A160="","",IFERROR(IF(INDEX('Maliyet Giris'!$G$2:$G$550,MATCH($A160,'Maliyet Giris'!$A$2:$A$550,0))="","",IF(INDEX('Maliyet Giris'!$G$2:$G$550,MATCH($A160,'Maliyet Giris'!$A$2:$A$550,0))&lt;=2,86.4,IF(INDEX('Maliyet Giris'!$G$2:$G$550,MATCH($A160,'Maliyet Giris'!$A$2:$A$550,0))&lt;=3,90,IF(INDEX('Maliyet Giris'!$G$2:$G$550,MATCH($A160,'Maliyet Giris'!$A$2:$A$550,0))&lt;=5,102,IF(INDEX('Maliyet Giris'!$G$2:$G$550,MATCH($A160,'Maliyet Giris'!$A$2:$A$550,0))&lt;=10,159.74,IF(INDEX('Maliyet Giris'!$G$2:$G$550,MATCH($A160,'Maliyet Giris'!$A$2:$A$550,0))&lt;=15,187.5,IF(INDEX('Maliyet Giris'!$G$2:$G$550,MATCH($A160,'Maliyet Giris'!$A$2:$A$550,0))&lt;=20,225,299))))))),""))</f>
        <v>86.4</v>
      </c>
      <c r="G160" s="14">
        <f t="array" ref="G160">IF($A160="","",IFERROR(INDEX('Maliyet Giris'!$F$2:$F$550,MATCH($A160,'Maliyet Giris'!$A$2:$A$550,0)),""))</f>
        <v>241.92</v>
      </c>
      <c r="H160" s="14">
        <f t="shared" si="1"/>
        <v>13.19</v>
      </c>
      <c r="I160" s="14">
        <f t="shared" si="2"/>
        <v>5</v>
      </c>
      <c r="J160" s="14">
        <f t="shared" si="3"/>
        <v>23.08166667</v>
      </c>
      <c r="K160" s="14">
        <f t="shared" si="4"/>
        <v>110.4083333</v>
      </c>
      <c r="L160" s="15">
        <f t="shared" si="5"/>
        <v>0.1840138889</v>
      </c>
      <c r="M160" s="17" t="str">
        <f t="shared" si="6"/>
        <v>KÂRLI</v>
      </c>
      <c r="N160" s="17" t="str">
        <f t="shared" si="7"/>
        <v/>
      </c>
      <c r="O160" s="17">
        <f t="array" ref="O160">IF($A160="","",IFERROR(INDEX('Maliyet Giris'!$G$2:$G$550,MATCH($A160,'Maliyet Giris'!$A$2:$A$550,0)),""))</f>
        <v>1</v>
      </c>
      <c r="P160" s="17" t="str">
        <f t="shared" si="8"/>
        <v/>
      </c>
      <c r="Q160" s="17" t="str">
        <f t="shared" si="9"/>
        <v/>
      </c>
      <c r="R160" s="14">
        <f t="shared" si="10"/>
        <v>453.4135799</v>
      </c>
      <c r="S160" s="14">
        <f t="shared" si="11"/>
        <v>146.5864201</v>
      </c>
      <c r="T160" s="17" t="str">
        <f t="shared" si="12"/>
        <v>SAĞLIKLI</v>
      </c>
      <c r="U160" s="17" t="str">
        <f t="shared" si="13"/>
        <v>Takip et</v>
      </c>
    </row>
    <row r="161">
      <c r="A161" s="2">
        <f>IFERROR(__xludf.DUMMYFUNCTION("""COMPUTED_VALUE"""),3.5585356419E10)</f>
        <v>35585356419</v>
      </c>
      <c r="B161" s="17" t="str">
        <f>IFERROR(__xludf.DUMMYFUNCTION("""COMPUTED_VALUE"""),"Kong")</f>
        <v>Kong</v>
      </c>
      <c r="C161" s="28" t="str">
        <f>IFERROR(__xludf.DUMMYFUNCTION("""COMPUTED_VALUE"""),"EXTREMEDENTAL DİŞTEMİZLİĞİSAĞLAYAN İPSALLANTILI KÖPEKOYUNCAĞI ULTRASERT M")</f>
        <v>EXTREMEDENTAL DİŞTEMİZLİĞİSAĞLAYAN İPSALLANTILI KÖPEKOYUNCAĞI ULTRASERT M</v>
      </c>
      <c r="D161" s="14">
        <f>IFERROR(__xludf.DUMMYFUNCTION("""COMPUTED_VALUE"""),1900.0)</f>
        <v>1900</v>
      </c>
      <c r="E161" s="14">
        <f t="array" ref="E161">IF($A161="","",IFERROR($D161*IF($D161&gt;=INDEX('Komisyon Tarifesi'!$I$2:$I$1000,MATCH($A161,'Komisyon Tarifesi'!$B$2:$B$1000,0)),INDEX('Komisyon Tarifesi'!$O$2:$O$1000,MATCH($A161,'Komisyon Tarifesi'!$B$2:$B$1000,0)),IF($D161&gt;=INDEX('Komisyon Tarifesi'!$K$2:$K$1000,MATCH($A161,'Komisyon Tarifesi'!$B$2:$B$1000,0)),INDEX('Komisyon Tarifesi'!$P$2:$P$1000,MATCH($A161,'Komisyon Tarifesi'!$B$2:$B$1000,0)),IF($D161&gt;=INDEX('Komisyon Tarifesi'!$M$2:$M$1000,MATCH($A161,'Komisyon Tarifesi'!$B$2:$B$1000,0)),INDEX('Komisyon Tarifesi'!$Q$2:$Q$1000,MATCH($A161,'Komisyon Tarifesi'!$B$2:$B$1000,0)),INDEX('Komisyon Tarifesi'!$R$2:$R$1000,MATCH($A161,'Komisyon Tarifesi'!$B$2:$B$1000,0)))))/100,IFERROR(IF(VLOOKUP($A161,Products!$A$2:$W$1000,21,0)&lt;&gt;"",$D161*VLOOKUP($A161,Products!$A$2:$W$1000,21,0)/100,""),"")))</f>
        <v>380</v>
      </c>
      <c r="F161" s="14">
        <f t="array" ref="F161">IF($A161="","",IFERROR(IF(INDEX('Maliyet Giris'!$G$2:$G$550,MATCH($A161,'Maliyet Giris'!$A$2:$A$550,0))="","",IF(INDEX('Maliyet Giris'!$G$2:$G$550,MATCH($A161,'Maliyet Giris'!$A$2:$A$550,0))&lt;=2,86.4,IF(INDEX('Maliyet Giris'!$G$2:$G$550,MATCH($A161,'Maliyet Giris'!$A$2:$A$550,0))&lt;=3,90,IF(INDEX('Maliyet Giris'!$G$2:$G$550,MATCH($A161,'Maliyet Giris'!$A$2:$A$550,0))&lt;=5,102,IF(INDEX('Maliyet Giris'!$G$2:$G$550,MATCH($A161,'Maliyet Giris'!$A$2:$A$550,0))&lt;=10,159.74,IF(INDEX('Maliyet Giris'!$G$2:$G$550,MATCH($A161,'Maliyet Giris'!$A$2:$A$550,0))&lt;=15,187.5,IF(INDEX('Maliyet Giris'!$G$2:$G$550,MATCH($A161,'Maliyet Giris'!$A$2:$A$550,0))&lt;=20,225,299))))))),""))</f>
        <v>86.4</v>
      </c>
      <c r="G161" s="14">
        <f t="array" ref="G161">IF($A161="","",IFERROR(INDEX('Maliyet Giris'!$F$2:$F$550,MATCH($A161,'Maliyet Giris'!$A$2:$A$550,0)),""))</f>
        <v>762.48</v>
      </c>
      <c r="H161" s="14">
        <f t="shared" si="1"/>
        <v>13.19</v>
      </c>
      <c r="I161" s="14">
        <f t="shared" si="2"/>
        <v>15.83333333</v>
      </c>
      <c r="J161" s="14">
        <f t="shared" si="3"/>
        <v>109.655</v>
      </c>
      <c r="K161" s="14">
        <f t="shared" si="4"/>
        <v>532.4416667</v>
      </c>
      <c r="L161" s="15">
        <f t="shared" si="5"/>
        <v>0.2802324561</v>
      </c>
      <c r="M161" s="17" t="str">
        <f t="shared" si="6"/>
        <v>KÂRLI</v>
      </c>
      <c r="N161" s="17" t="str">
        <f t="shared" si="7"/>
        <v/>
      </c>
      <c r="O161" s="17">
        <f t="array" ref="O161">IF($A161="","",IFERROR(INDEX('Maliyet Giris'!$G$2:$G$550,MATCH($A161,'Maliyet Giris'!$A$2:$A$550,0)),""))</f>
        <v>1</v>
      </c>
      <c r="P161" s="17" t="str">
        <f t="shared" si="8"/>
        <v/>
      </c>
      <c r="Q161" s="17" t="str">
        <f t="shared" si="9"/>
        <v/>
      </c>
      <c r="R161" s="14">
        <f t="shared" si="10"/>
        <v>1174.556151</v>
      </c>
      <c r="S161" s="14">
        <f t="shared" si="11"/>
        <v>725.4438487</v>
      </c>
      <c r="T161" s="17" t="str">
        <f t="shared" si="12"/>
        <v>ÇOK KÂRLI</v>
      </c>
      <c r="U161" s="17" t="str">
        <f t="shared" si="13"/>
        <v>Stok ve BuyBox takibini artır</v>
      </c>
    </row>
    <row r="162">
      <c r="A162" s="2">
        <f>IFERROR(__xludf.DUMMYFUNCTION("""COMPUTED_VALUE"""),3.5585495354E10)</f>
        <v>35585495354</v>
      </c>
      <c r="B162" s="17" t="str">
        <f>IFERROR(__xludf.DUMMYFUNCTION("""COMPUTED_VALUE"""),"Kong")</f>
        <v>Kong</v>
      </c>
      <c r="C162" s="28" t="str">
        <f>IFERROR(__xludf.DUMMYFUNCTION("""COMPUTED_VALUE"""),"JAXXBRİGHTS SANDVİÇŞEKLİNDE İPUZANTILI KÖPEKOYUNCAĞI M")</f>
        <v>JAXXBRİGHTS SANDVİÇŞEKLİNDE İPUZANTILI KÖPEKOYUNCAĞI M</v>
      </c>
      <c r="D162" s="14">
        <f>IFERROR(__xludf.DUMMYFUNCTION("""COMPUTED_VALUE"""),886.0)</f>
        <v>886</v>
      </c>
      <c r="E162" s="14">
        <f t="array" ref="E162">IF($A162="","",IFERROR($D162*IF($D162&gt;=INDEX('Komisyon Tarifesi'!$I$2:$I$1000,MATCH($A162,'Komisyon Tarifesi'!$B$2:$B$1000,0)),INDEX('Komisyon Tarifesi'!$O$2:$O$1000,MATCH($A162,'Komisyon Tarifesi'!$B$2:$B$1000,0)),IF($D162&gt;=INDEX('Komisyon Tarifesi'!$K$2:$K$1000,MATCH($A162,'Komisyon Tarifesi'!$B$2:$B$1000,0)),INDEX('Komisyon Tarifesi'!$P$2:$P$1000,MATCH($A162,'Komisyon Tarifesi'!$B$2:$B$1000,0)),IF($D162&gt;=INDEX('Komisyon Tarifesi'!$M$2:$M$1000,MATCH($A162,'Komisyon Tarifesi'!$B$2:$B$1000,0)),INDEX('Komisyon Tarifesi'!$Q$2:$Q$1000,MATCH($A162,'Komisyon Tarifesi'!$B$2:$B$1000,0)),INDEX('Komisyon Tarifesi'!$R$2:$R$1000,MATCH($A162,'Komisyon Tarifesi'!$B$2:$B$1000,0)))))/100,IFERROR(IF(VLOOKUP($A162,Products!$A$2:$W$1000,21,0)&lt;&gt;"",$D162*VLOOKUP($A162,Products!$A$2:$W$1000,21,0)/100,""),"")))</f>
        <v>177.2</v>
      </c>
      <c r="F162" s="14">
        <f t="array" ref="F162">IF($A162="","",IFERROR(IF(INDEX('Maliyet Giris'!$G$2:$G$550,MATCH($A162,'Maliyet Giris'!$A$2:$A$550,0))="","",IF(INDEX('Maliyet Giris'!$G$2:$G$550,MATCH($A162,'Maliyet Giris'!$A$2:$A$550,0))&lt;=2,86.4,IF(INDEX('Maliyet Giris'!$G$2:$G$550,MATCH($A162,'Maliyet Giris'!$A$2:$A$550,0))&lt;=3,90,IF(INDEX('Maliyet Giris'!$G$2:$G$550,MATCH($A162,'Maliyet Giris'!$A$2:$A$550,0))&lt;=5,102,IF(INDEX('Maliyet Giris'!$G$2:$G$550,MATCH($A162,'Maliyet Giris'!$A$2:$A$550,0))&lt;=10,159.74,IF(INDEX('Maliyet Giris'!$G$2:$G$550,MATCH($A162,'Maliyet Giris'!$A$2:$A$550,0))&lt;=15,187.5,IF(INDEX('Maliyet Giris'!$G$2:$G$550,MATCH($A162,'Maliyet Giris'!$A$2:$A$550,0))&lt;=20,225,299))))))),""))</f>
        <v>86.4</v>
      </c>
      <c r="G162" s="14">
        <f t="array" ref="G162">IF($A162="","",IFERROR(INDEX('Maliyet Giris'!$F$2:$F$550,MATCH($A162,'Maliyet Giris'!$A$2:$A$550,0)),""))</f>
        <v>350.64</v>
      </c>
      <c r="H162" s="14">
        <f t="shared" si="1"/>
        <v>13.19</v>
      </c>
      <c r="I162" s="14">
        <f t="shared" si="2"/>
        <v>7.383333333</v>
      </c>
      <c r="J162" s="14">
        <f t="shared" si="3"/>
        <v>43.095</v>
      </c>
      <c r="K162" s="14">
        <f t="shared" si="4"/>
        <v>208.0916667</v>
      </c>
      <c r="L162" s="15">
        <f t="shared" si="5"/>
        <v>0.2348664409</v>
      </c>
      <c r="M162" s="17" t="str">
        <f t="shared" si="6"/>
        <v>KÂRLI</v>
      </c>
      <c r="N162" s="17" t="str">
        <f t="shared" si="7"/>
        <v/>
      </c>
      <c r="O162" s="17">
        <f t="array" ref="O162">IF($A162="","",IFERROR(INDEX('Maliyet Giris'!$G$2:$G$550,MATCH($A162,'Maliyet Giris'!$A$2:$A$550,0)),""))</f>
        <v>1</v>
      </c>
      <c r="P162" s="17" t="str">
        <f t="shared" si="8"/>
        <v/>
      </c>
      <c r="Q162" s="17" t="str">
        <f t="shared" si="9"/>
        <v/>
      </c>
      <c r="R162" s="14">
        <f t="shared" si="10"/>
        <v>605.9402588</v>
      </c>
      <c r="S162" s="14">
        <f t="shared" si="11"/>
        <v>280.0597412</v>
      </c>
      <c r="T162" s="17" t="str">
        <f t="shared" si="12"/>
        <v>SAĞLIKLI</v>
      </c>
      <c r="U162" s="17" t="str">
        <f t="shared" si="13"/>
        <v>Takip et</v>
      </c>
    </row>
    <row r="163">
      <c r="A163" s="2">
        <f>IFERROR(__xludf.DUMMYFUNCTION("""COMPUTED_VALUE"""),3.5585356426E10)</f>
        <v>35585356426</v>
      </c>
      <c r="B163" s="17" t="str">
        <f>IFERROR(__xludf.DUMMYFUNCTION("""COMPUTED_VALUE"""),"Kong")</f>
        <v>Kong</v>
      </c>
      <c r="C163" s="28" t="str">
        <f>IFERROR(__xludf.DUMMYFUNCTION("""COMPUTED_VALUE"""),"EXTREMETOP ŞEKLİNDESESLİ VE İPSALLANTILI KÖPEKOYUNCAĞI ULTRASERT L")</f>
        <v>EXTREMETOP ŞEKLİNDESESLİ VE İPSALLANTILI KÖPEKOYUNCAĞI ULTRASERT L</v>
      </c>
      <c r="D163" s="14">
        <f>IFERROR(__xludf.DUMMYFUNCTION("""COMPUTED_VALUE"""),2179.0)</f>
        <v>2179</v>
      </c>
      <c r="E163" s="14">
        <f t="array" ref="E163">IF($A163="","",IFERROR($D163*IF($D163&gt;=INDEX('Komisyon Tarifesi'!$I$2:$I$1000,MATCH($A163,'Komisyon Tarifesi'!$B$2:$B$1000,0)),INDEX('Komisyon Tarifesi'!$O$2:$O$1000,MATCH($A163,'Komisyon Tarifesi'!$B$2:$B$1000,0)),IF($D163&gt;=INDEX('Komisyon Tarifesi'!$K$2:$K$1000,MATCH($A163,'Komisyon Tarifesi'!$B$2:$B$1000,0)),INDEX('Komisyon Tarifesi'!$P$2:$P$1000,MATCH($A163,'Komisyon Tarifesi'!$B$2:$B$1000,0)),IF($D163&gt;=INDEX('Komisyon Tarifesi'!$M$2:$M$1000,MATCH($A163,'Komisyon Tarifesi'!$B$2:$B$1000,0)),INDEX('Komisyon Tarifesi'!$Q$2:$Q$1000,MATCH($A163,'Komisyon Tarifesi'!$B$2:$B$1000,0)),INDEX('Komisyon Tarifesi'!$R$2:$R$1000,MATCH($A163,'Komisyon Tarifesi'!$B$2:$B$1000,0)))))/100,IFERROR(IF(VLOOKUP($A163,Products!$A$2:$W$1000,21,0)&lt;&gt;"",$D163*VLOOKUP($A163,Products!$A$2:$W$1000,21,0)/100,""),"")))</f>
        <v>435.8</v>
      </c>
      <c r="F163" s="14">
        <f t="array" ref="F163">IF($A163="","",IFERROR(IF(INDEX('Maliyet Giris'!$G$2:$G$550,MATCH($A163,'Maliyet Giris'!$A$2:$A$550,0))="","",IF(INDEX('Maliyet Giris'!$G$2:$G$550,MATCH($A163,'Maliyet Giris'!$A$2:$A$550,0))&lt;=2,86.4,IF(INDEX('Maliyet Giris'!$G$2:$G$550,MATCH($A163,'Maliyet Giris'!$A$2:$A$550,0))&lt;=3,90,IF(INDEX('Maliyet Giris'!$G$2:$G$550,MATCH($A163,'Maliyet Giris'!$A$2:$A$550,0))&lt;=5,102,IF(INDEX('Maliyet Giris'!$G$2:$G$550,MATCH($A163,'Maliyet Giris'!$A$2:$A$550,0))&lt;=10,159.74,IF(INDEX('Maliyet Giris'!$G$2:$G$550,MATCH($A163,'Maliyet Giris'!$A$2:$A$550,0))&lt;=15,187.5,IF(INDEX('Maliyet Giris'!$G$2:$G$550,MATCH($A163,'Maliyet Giris'!$A$2:$A$550,0))&lt;=20,225,299))))))),""))</f>
        <v>86.4</v>
      </c>
      <c r="G163" s="14">
        <f t="array" ref="G163">IF($A163="","",IFERROR(INDEX('Maliyet Giris'!$F$2:$F$550,MATCH($A163,'Maliyet Giris'!$A$2:$A$550,0)),""))</f>
        <v>347.76</v>
      </c>
      <c r="H163" s="14">
        <f t="shared" si="1"/>
        <v>13.19</v>
      </c>
      <c r="I163" s="14">
        <f t="shared" si="2"/>
        <v>18.15833333</v>
      </c>
      <c r="J163" s="14">
        <f t="shared" si="3"/>
        <v>215.975</v>
      </c>
      <c r="K163" s="14">
        <f t="shared" si="4"/>
        <v>1061.716667</v>
      </c>
      <c r="L163" s="15">
        <f t="shared" si="5"/>
        <v>0.4872495028</v>
      </c>
      <c r="M163" s="17" t="str">
        <f t="shared" si="6"/>
        <v>KÂRLI</v>
      </c>
      <c r="N163" s="17" t="str">
        <f t="shared" si="7"/>
        <v/>
      </c>
      <c r="O163" s="17">
        <f t="array" ref="O163">IF($A163="","",IFERROR(INDEX('Maliyet Giris'!$G$2:$G$550,MATCH($A163,'Maliyet Giris'!$A$2:$A$550,0)),""))</f>
        <v>1</v>
      </c>
      <c r="P163" s="17" t="str">
        <f t="shared" si="8"/>
        <v/>
      </c>
      <c r="Q163" s="17" t="str">
        <f t="shared" si="9"/>
        <v/>
      </c>
      <c r="R163" s="14">
        <f t="shared" si="10"/>
        <v>645.9457374</v>
      </c>
      <c r="S163" s="14">
        <f t="shared" si="11"/>
        <v>1533.054263</v>
      </c>
      <c r="T163" s="17" t="str">
        <f t="shared" si="12"/>
        <v>ÇOK KÂRLI</v>
      </c>
      <c r="U163" s="17" t="str">
        <f t="shared" si="13"/>
        <v>Stok ve BuyBox takibini artır</v>
      </c>
    </row>
    <row r="164">
      <c r="A164" s="2">
        <f>IFERROR(__xludf.DUMMYFUNCTION("""COMPUTED_VALUE"""),3.5585494029E10)</f>
        <v>35585494029</v>
      </c>
      <c r="B164" s="17" t="str">
        <f>IFERROR(__xludf.DUMMYFUNCTION("""COMPUTED_VALUE"""),"Kong")</f>
        <v>Kong</v>
      </c>
      <c r="C164" s="28" t="str">
        <f>IFERROR(__xludf.DUMMYFUNCTION("""COMPUTED_VALUE"""),"KONGSİGNATURE STİCKÇUBUK ŞEKLİNDEKÖPEKOYUNCAĞI M")</f>
        <v>KONGSİGNATURE STİCKÇUBUK ŞEKLİNDEKÖPEKOYUNCAĞI M</v>
      </c>
      <c r="D164" s="14">
        <f>IFERROR(__xludf.DUMMYFUNCTION("""COMPUTED_VALUE"""),880.0)</f>
        <v>880</v>
      </c>
      <c r="E164" s="14">
        <f t="array" ref="E164">IF($A164="","",IFERROR($D164*IF($D164&gt;=INDEX('Komisyon Tarifesi'!$I$2:$I$1000,MATCH($A164,'Komisyon Tarifesi'!$B$2:$B$1000,0)),INDEX('Komisyon Tarifesi'!$O$2:$O$1000,MATCH($A164,'Komisyon Tarifesi'!$B$2:$B$1000,0)),IF($D164&gt;=INDEX('Komisyon Tarifesi'!$K$2:$K$1000,MATCH($A164,'Komisyon Tarifesi'!$B$2:$B$1000,0)),INDEX('Komisyon Tarifesi'!$P$2:$P$1000,MATCH($A164,'Komisyon Tarifesi'!$B$2:$B$1000,0)),IF($D164&gt;=INDEX('Komisyon Tarifesi'!$M$2:$M$1000,MATCH($A164,'Komisyon Tarifesi'!$B$2:$B$1000,0)),INDEX('Komisyon Tarifesi'!$Q$2:$Q$1000,MATCH($A164,'Komisyon Tarifesi'!$B$2:$B$1000,0)),INDEX('Komisyon Tarifesi'!$R$2:$R$1000,MATCH($A164,'Komisyon Tarifesi'!$B$2:$B$1000,0)))))/100,IFERROR(IF(VLOOKUP($A164,Products!$A$2:$W$1000,21,0)&lt;&gt;"",$D164*VLOOKUP($A164,Products!$A$2:$W$1000,21,0)/100,""),"")))</f>
        <v>176</v>
      </c>
      <c r="F164" s="14">
        <f t="array" ref="F164">IF($A164="","",IFERROR(IF(INDEX('Maliyet Giris'!$G$2:$G$550,MATCH($A164,'Maliyet Giris'!$A$2:$A$550,0))="","",IF(INDEX('Maliyet Giris'!$G$2:$G$550,MATCH($A164,'Maliyet Giris'!$A$2:$A$550,0))&lt;=2,86.4,IF(INDEX('Maliyet Giris'!$G$2:$G$550,MATCH($A164,'Maliyet Giris'!$A$2:$A$550,0))&lt;=3,90,IF(INDEX('Maliyet Giris'!$G$2:$G$550,MATCH($A164,'Maliyet Giris'!$A$2:$A$550,0))&lt;=5,102,IF(INDEX('Maliyet Giris'!$G$2:$G$550,MATCH($A164,'Maliyet Giris'!$A$2:$A$550,0))&lt;=10,159.74,IF(INDEX('Maliyet Giris'!$G$2:$G$550,MATCH($A164,'Maliyet Giris'!$A$2:$A$550,0))&lt;=15,187.5,IF(INDEX('Maliyet Giris'!$G$2:$G$550,MATCH($A164,'Maliyet Giris'!$A$2:$A$550,0))&lt;=20,225,299))))))),""))</f>
        <v>86.4</v>
      </c>
      <c r="G164" s="14">
        <f t="array" ref="G164">IF($A164="","",IFERROR(INDEX('Maliyet Giris'!$F$2:$F$550,MATCH($A164,'Maliyet Giris'!$A$2:$A$550,0)),""))</f>
        <v>860.4</v>
      </c>
      <c r="H164" s="14">
        <f t="shared" si="1"/>
        <v>13.19</v>
      </c>
      <c r="I164" s="14">
        <f t="shared" si="2"/>
        <v>7.333333333</v>
      </c>
      <c r="J164" s="14">
        <f t="shared" si="3"/>
        <v>0</v>
      </c>
      <c r="K164" s="14">
        <f t="shared" si="4"/>
        <v>-263.3233333</v>
      </c>
      <c r="L164" s="15">
        <f t="shared" si="5"/>
        <v>-0.2992310606</v>
      </c>
      <c r="M164" s="17" t="str">
        <f t="shared" si="6"/>
        <v>ZARAR</v>
      </c>
      <c r="N164" s="17" t="str">
        <f t="shared" si="7"/>
        <v/>
      </c>
      <c r="O164" s="17">
        <f t="array" ref="O164">IF($A164="","",IFERROR(INDEX('Maliyet Giris'!$G$2:$G$550,MATCH($A164,'Maliyet Giris'!$A$2:$A$550,0)),""))</f>
        <v>1</v>
      </c>
      <c r="P164" s="17" t="str">
        <f t="shared" si="8"/>
        <v/>
      </c>
      <c r="Q164" s="17" t="str">
        <f t="shared" si="9"/>
        <v/>
      </c>
      <c r="R164" s="14">
        <f t="shared" si="10"/>
        <v>1212.618437</v>
      </c>
      <c r="S164" s="14">
        <f t="shared" si="11"/>
        <v>-332.6184368</v>
      </c>
      <c r="T164" s="17" t="str">
        <f t="shared" si="12"/>
        <v>ZARAR</v>
      </c>
      <c r="U164" s="17" t="str">
        <f t="shared" si="13"/>
        <v>Fiyat, maliyet veya kampanya kontrol et</v>
      </c>
    </row>
    <row r="165">
      <c r="A165" s="2">
        <f>IFERROR(__xludf.DUMMYFUNCTION("""COMPUTED_VALUE"""),3.5585401058E10)</f>
        <v>35585401058</v>
      </c>
      <c r="B165" s="17" t="str">
        <f>IFERROR(__xludf.DUMMYFUNCTION("""COMPUTED_VALUE"""),"Kong")</f>
        <v>Kong</v>
      </c>
      <c r="C165" s="28" t="str">
        <f>IFERROR(__xludf.DUMMYFUNCTION("""COMPUTED_VALUE"""),"DOTZTRİANGLE ÜÇGENŞEKLİNDE KÖPEKOYUNCAĞI L")</f>
        <v>DOTZTRİANGLE ÜÇGENŞEKLİNDE KÖPEKOYUNCAĞI L</v>
      </c>
      <c r="D165" s="14">
        <f>IFERROR(__xludf.DUMMYFUNCTION("""COMPUTED_VALUE"""),1300.0)</f>
        <v>1300</v>
      </c>
      <c r="E165" s="14">
        <f t="array" ref="E165">IF($A165="","",IFERROR($D165*IF($D165&gt;=INDEX('Komisyon Tarifesi'!$I$2:$I$1000,MATCH($A165,'Komisyon Tarifesi'!$B$2:$B$1000,0)),INDEX('Komisyon Tarifesi'!$O$2:$O$1000,MATCH($A165,'Komisyon Tarifesi'!$B$2:$B$1000,0)),IF($D165&gt;=INDEX('Komisyon Tarifesi'!$K$2:$K$1000,MATCH($A165,'Komisyon Tarifesi'!$B$2:$B$1000,0)),INDEX('Komisyon Tarifesi'!$P$2:$P$1000,MATCH($A165,'Komisyon Tarifesi'!$B$2:$B$1000,0)),IF($D165&gt;=INDEX('Komisyon Tarifesi'!$M$2:$M$1000,MATCH($A165,'Komisyon Tarifesi'!$B$2:$B$1000,0)),INDEX('Komisyon Tarifesi'!$Q$2:$Q$1000,MATCH($A165,'Komisyon Tarifesi'!$B$2:$B$1000,0)),INDEX('Komisyon Tarifesi'!$R$2:$R$1000,MATCH($A165,'Komisyon Tarifesi'!$B$2:$B$1000,0)))))/100,IFERROR(IF(VLOOKUP($A165,Products!$A$2:$W$1000,21,0)&lt;&gt;"",$D165*VLOOKUP($A165,Products!$A$2:$W$1000,21,0)/100,""),"")))</f>
        <v>260</v>
      </c>
      <c r="F165" s="14">
        <f t="array" ref="F165">IF($A165="","",IFERROR(IF(INDEX('Maliyet Giris'!$G$2:$G$550,MATCH($A165,'Maliyet Giris'!$A$2:$A$550,0))="","",IF(INDEX('Maliyet Giris'!$G$2:$G$550,MATCH($A165,'Maliyet Giris'!$A$2:$A$550,0))&lt;=2,86.4,IF(INDEX('Maliyet Giris'!$G$2:$G$550,MATCH($A165,'Maliyet Giris'!$A$2:$A$550,0))&lt;=3,90,IF(INDEX('Maliyet Giris'!$G$2:$G$550,MATCH($A165,'Maliyet Giris'!$A$2:$A$550,0))&lt;=5,102,IF(INDEX('Maliyet Giris'!$G$2:$G$550,MATCH($A165,'Maliyet Giris'!$A$2:$A$550,0))&lt;=10,159.74,IF(INDEX('Maliyet Giris'!$G$2:$G$550,MATCH($A165,'Maliyet Giris'!$A$2:$A$550,0))&lt;=15,187.5,IF(INDEX('Maliyet Giris'!$G$2:$G$550,MATCH($A165,'Maliyet Giris'!$A$2:$A$550,0))&lt;=20,225,299))))))),""))</f>
        <v>86.4</v>
      </c>
      <c r="G165" s="14">
        <f t="array" ref="G165">IF($A165="","",IFERROR(INDEX('Maliyet Giris'!$F$2:$F$550,MATCH($A165,'Maliyet Giris'!$A$2:$A$550,0)),""))</f>
        <v>511.92</v>
      </c>
      <c r="H165" s="14">
        <f t="shared" si="1"/>
        <v>13.19</v>
      </c>
      <c r="I165" s="14">
        <f t="shared" si="2"/>
        <v>10.83333333</v>
      </c>
      <c r="J165" s="14">
        <f t="shared" si="3"/>
        <v>71.415</v>
      </c>
      <c r="K165" s="14">
        <f t="shared" si="4"/>
        <v>346.2416667</v>
      </c>
      <c r="L165" s="15">
        <f t="shared" si="5"/>
        <v>0.2663397436</v>
      </c>
      <c r="M165" s="17" t="str">
        <f t="shared" si="6"/>
        <v>KÂRLI</v>
      </c>
      <c r="N165" s="17" t="str">
        <f t="shared" si="7"/>
        <v/>
      </c>
      <c r="O165" s="17">
        <f t="array" ref="O165">IF($A165="","",IFERROR(INDEX('Maliyet Giris'!$G$2:$G$550,MATCH($A165,'Maliyet Giris'!$A$2:$A$550,0)),""))</f>
        <v>1</v>
      </c>
      <c r="P165" s="17" t="str">
        <f t="shared" si="8"/>
        <v/>
      </c>
      <c r="Q165" s="17" t="str">
        <f t="shared" si="9"/>
        <v/>
      </c>
      <c r="R165" s="14">
        <f t="shared" si="10"/>
        <v>830.0300255</v>
      </c>
      <c r="S165" s="14">
        <f t="shared" si="11"/>
        <v>469.9699745</v>
      </c>
      <c r="T165" s="17" t="str">
        <f t="shared" si="12"/>
        <v>ÇOK KÂRLI</v>
      </c>
      <c r="U165" s="17" t="str">
        <f t="shared" si="13"/>
        <v>Stok ve BuyBox takibini artır</v>
      </c>
    </row>
    <row r="166">
      <c r="A166" s="2">
        <f>IFERROR(__xludf.DUMMYFUNCTION("""COMPUTED_VALUE"""),3.5585356433E10)</f>
        <v>35585356433</v>
      </c>
      <c r="B166" s="17" t="str">
        <f>IFERROR(__xludf.DUMMYFUNCTION("""COMPUTED_VALUE"""),"Kong")</f>
        <v>Kong</v>
      </c>
      <c r="C166" s="28" t="str">
        <f>IFERROR(__xludf.DUMMYFUNCTION("""COMPUTED_VALUE"""),"EXTREMEDENTAL DİŞTEMİZLİĞİSAĞLAYANKÖPEKOYUNCAĞI ULTRASERT L")</f>
        <v>EXTREMEDENTAL DİŞTEMİZLİĞİSAĞLAYANKÖPEKOYUNCAĞI ULTRASERT L</v>
      </c>
      <c r="D166" s="14">
        <f>IFERROR(__xludf.DUMMYFUNCTION("""COMPUTED_VALUE"""),2179.0)</f>
        <v>2179</v>
      </c>
      <c r="E166" s="14">
        <f t="array" ref="E166">IF($A166="","",IFERROR($D166*IF($D166&gt;=INDEX('Komisyon Tarifesi'!$I$2:$I$1000,MATCH($A166,'Komisyon Tarifesi'!$B$2:$B$1000,0)),INDEX('Komisyon Tarifesi'!$O$2:$O$1000,MATCH($A166,'Komisyon Tarifesi'!$B$2:$B$1000,0)),IF($D166&gt;=INDEX('Komisyon Tarifesi'!$K$2:$K$1000,MATCH($A166,'Komisyon Tarifesi'!$B$2:$B$1000,0)),INDEX('Komisyon Tarifesi'!$P$2:$P$1000,MATCH($A166,'Komisyon Tarifesi'!$B$2:$B$1000,0)),IF($D166&gt;=INDEX('Komisyon Tarifesi'!$M$2:$M$1000,MATCH($A166,'Komisyon Tarifesi'!$B$2:$B$1000,0)),INDEX('Komisyon Tarifesi'!$Q$2:$Q$1000,MATCH($A166,'Komisyon Tarifesi'!$B$2:$B$1000,0)),INDEX('Komisyon Tarifesi'!$R$2:$R$1000,MATCH($A166,'Komisyon Tarifesi'!$B$2:$B$1000,0)))))/100,IFERROR(IF(VLOOKUP($A166,Products!$A$2:$W$1000,21,0)&lt;&gt;"",$D166*VLOOKUP($A166,Products!$A$2:$W$1000,21,0)/100,""),"")))</f>
        <v>435.8</v>
      </c>
      <c r="F166" s="14">
        <f t="array" ref="F166">IF($A166="","",IFERROR(IF(INDEX('Maliyet Giris'!$G$2:$G$550,MATCH($A166,'Maliyet Giris'!$A$2:$A$550,0))="","",IF(INDEX('Maliyet Giris'!$G$2:$G$550,MATCH($A166,'Maliyet Giris'!$A$2:$A$550,0))&lt;=2,86.4,IF(INDEX('Maliyet Giris'!$G$2:$G$550,MATCH($A166,'Maliyet Giris'!$A$2:$A$550,0))&lt;=3,90,IF(INDEX('Maliyet Giris'!$G$2:$G$550,MATCH($A166,'Maliyet Giris'!$A$2:$A$550,0))&lt;=5,102,IF(INDEX('Maliyet Giris'!$G$2:$G$550,MATCH($A166,'Maliyet Giris'!$A$2:$A$550,0))&lt;=10,159.74,IF(INDEX('Maliyet Giris'!$G$2:$G$550,MATCH($A166,'Maliyet Giris'!$A$2:$A$550,0))&lt;=15,187.5,IF(INDEX('Maliyet Giris'!$G$2:$G$550,MATCH($A166,'Maliyet Giris'!$A$2:$A$550,0))&lt;=20,225,299))))))),""))</f>
        <v>86.4</v>
      </c>
      <c r="G166" s="14">
        <f t="array" ref="G166">IF($A166="","",IFERROR(INDEX('Maliyet Giris'!$F$2:$F$550,MATCH($A166,'Maliyet Giris'!$A$2:$A$550,0)),""))</f>
        <v>860.4</v>
      </c>
      <c r="H166" s="14">
        <f t="shared" si="1"/>
        <v>13.19</v>
      </c>
      <c r="I166" s="14">
        <f t="shared" si="2"/>
        <v>18.15833333</v>
      </c>
      <c r="J166" s="14">
        <f t="shared" si="3"/>
        <v>130.535</v>
      </c>
      <c r="K166" s="14">
        <f t="shared" si="4"/>
        <v>634.5166667</v>
      </c>
      <c r="L166" s="15">
        <f t="shared" si="5"/>
        <v>0.2911962674</v>
      </c>
      <c r="M166" s="17" t="str">
        <f t="shared" si="6"/>
        <v>KÂRLI</v>
      </c>
      <c r="N166" s="17" t="str">
        <f t="shared" si="7"/>
        <v/>
      </c>
      <c r="O166" s="17">
        <f t="array" ref="O166">IF($A166="","",IFERROR(INDEX('Maliyet Giris'!$G$2:$G$550,MATCH($A166,'Maliyet Giris'!$A$2:$A$550,0)),""))</f>
        <v>1</v>
      </c>
      <c r="P166" s="17" t="str">
        <f t="shared" si="8"/>
        <v/>
      </c>
      <c r="Q166" s="17" t="str">
        <f t="shared" si="9"/>
        <v/>
      </c>
      <c r="R166" s="14">
        <f t="shared" si="10"/>
        <v>1311.889941</v>
      </c>
      <c r="S166" s="14">
        <f t="shared" si="11"/>
        <v>867.1100588</v>
      </c>
      <c r="T166" s="17" t="str">
        <f t="shared" si="12"/>
        <v>ÇOK KÂRLI</v>
      </c>
      <c r="U166" s="17" t="str">
        <f t="shared" si="13"/>
        <v>Stok ve BuyBox takibini artır</v>
      </c>
    </row>
    <row r="167">
      <c r="A167" s="2">
        <f>IFERROR(__xludf.DUMMYFUNCTION("""COMPUTED_VALUE"""),3.5585181202E10)</f>
        <v>35585181202</v>
      </c>
      <c r="B167" s="17" t="str">
        <f>IFERROR(__xludf.DUMMYFUNCTION("""COMPUTED_VALUE"""),"Kong")</f>
        <v>Kong</v>
      </c>
      <c r="C167" s="28" t="str">
        <f>IFERROR(__xludf.DUMMYFUNCTION("""COMPUTED_VALUE"""),"Köpek İpli Oyun Topu S 6,5Cm")</f>
        <v>Köpek İpli Oyun Topu S 6,5Cm</v>
      </c>
      <c r="D167" s="14">
        <f>IFERROR(__xludf.DUMMYFUNCTION("""COMPUTED_VALUE"""),992.0)</f>
        <v>992</v>
      </c>
      <c r="E167" s="14">
        <f t="array" ref="E167">IF($A167="","",IFERROR($D167*IF($D167&gt;=INDEX('Komisyon Tarifesi'!$I$2:$I$1000,MATCH($A167,'Komisyon Tarifesi'!$B$2:$B$1000,0)),INDEX('Komisyon Tarifesi'!$O$2:$O$1000,MATCH($A167,'Komisyon Tarifesi'!$B$2:$B$1000,0)),IF($D167&gt;=INDEX('Komisyon Tarifesi'!$K$2:$K$1000,MATCH($A167,'Komisyon Tarifesi'!$B$2:$B$1000,0)),INDEX('Komisyon Tarifesi'!$P$2:$P$1000,MATCH($A167,'Komisyon Tarifesi'!$B$2:$B$1000,0)),IF($D167&gt;=INDEX('Komisyon Tarifesi'!$M$2:$M$1000,MATCH($A167,'Komisyon Tarifesi'!$B$2:$B$1000,0)),INDEX('Komisyon Tarifesi'!$Q$2:$Q$1000,MATCH($A167,'Komisyon Tarifesi'!$B$2:$B$1000,0)),INDEX('Komisyon Tarifesi'!$R$2:$R$1000,MATCH($A167,'Komisyon Tarifesi'!$B$2:$B$1000,0)))))/100,IFERROR(IF(VLOOKUP($A167,Products!$A$2:$W$1000,21,0)&lt;&gt;"",$D167*VLOOKUP($A167,Products!$A$2:$W$1000,21,0)/100,""),"")))</f>
        <v>198.4</v>
      </c>
      <c r="F167" s="14">
        <f t="array" ref="F167">IF($A167="","",IFERROR(IF(INDEX('Maliyet Giris'!$G$2:$G$550,MATCH($A167,'Maliyet Giris'!$A$2:$A$550,0))="","",IF(INDEX('Maliyet Giris'!$G$2:$G$550,MATCH($A167,'Maliyet Giris'!$A$2:$A$550,0))&lt;=2,86.4,IF(INDEX('Maliyet Giris'!$G$2:$G$550,MATCH($A167,'Maliyet Giris'!$A$2:$A$550,0))&lt;=3,90,IF(INDEX('Maliyet Giris'!$G$2:$G$550,MATCH($A167,'Maliyet Giris'!$A$2:$A$550,0))&lt;=5,102,IF(INDEX('Maliyet Giris'!$G$2:$G$550,MATCH($A167,'Maliyet Giris'!$A$2:$A$550,0))&lt;=10,159.74,IF(INDEX('Maliyet Giris'!$G$2:$G$550,MATCH($A167,'Maliyet Giris'!$A$2:$A$550,0))&lt;=15,187.5,IF(INDEX('Maliyet Giris'!$G$2:$G$550,MATCH($A167,'Maliyet Giris'!$A$2:$A$550,0))&lt;=20,225,299))))))),""))</f>
        <v>86.4</v>
      </c>
      <c r="G167" s="14">
        <f t="array" ref="G167">IF($A167="","",IFERROR(INDEX('Maliyet Giris'!$F$2:$F$550,MATCH($A167,'Maliyet Giris'!$A$2:$A$550,0)),""))</f>
        <v>511.2</v>
      </c>
      <c r="H167" s="14">
        <f t="shared" si="1"/>
        <v>13.19</v>
      </c>
      <c r="I167" s="14">
        <f t="shared" si="2"/>
        <v>8.266666667</v>
      </c>
      <c r="J167" s="14">
        <f t="shared" si="3"/>
        <v>30.46833333</v>
      </c>
      <c r="K167" s="14">
        <f t="shared" si="4"/>
        <v>144.075</v>
      </c>
      <c r="L167" s="15">
        <f t="shared" si="5"/>
        <v>0.1452368952</v>
      </c>
      <c r="M167" s="17" t="str">
        <f t="shared" si="6"/>
        <v>KÂRLI</v>
      </c>
      <c r="N167" s="17" t="str">
        <f t="shared" si="7"/>
        <v/>
      </c>
      <c r="O167" s="17">
        <f t="array" ref="O167">IF($A167="","",IFERROR(INDEX('Maliyet Giris'!$G$2:$G$550,MATCH($A167,'Maliyet Giris'!$A$2:$A$550,0)),""))</f>
        <v>0.5</v>
      </c>
      <c r="P167" s="17" t="str">
        <f t="shared" si="8"/>
        <v/>
      </c>
      <c r="Q167" s="17" t="str">
        <f t="shared" si="9"/>
        <v/>
      </c>
      <c r="R167" s="14">
        <f t="shared" si="10"/>
        <v>802.6646017</v>
      </c>
      <c r="S167" s="14">
        <f t="shared" si="11"/>
        <v>189.3353983</v>
      </c>
      <c r="T167" s="17" t="str">
        <f t="shared" si="12"/>
        <v>SAĞLIKLI</v>
      </c>
      <c r="U167" s="17" t="str">
        <f t="shared" si="13"/>
        <v>Takip et</v>
      </c>
    </row>
    <row r="168">
      <c r="A168" s="2" t="str">
        <f>IFERROR(__xludf.DUMMYFUNCTION("""COMPUTED_VALUE"""),"TYBBAP7AE4W8EI0838")</f>
        <v>TYBBAP7AE4W8EI0838</v>
      </c>
      <c r="B168" s="17" t="str">
        <f>IFERROR(__xludf.DUMMYFUNCTION("""COMPUTED_VALUE"""),"HPM")</f>
        <v>HPM</v>
      </c>
      <c r="C168" s="28" t="str">
        <f>IFERROR(__xludf.DUMMYFUNCTION("""COMPUTED_VALUE"""),"Virbac Adult Neutered&amp;Entire Salmon Somonlu Kısır Kedi Maması 3 kg")</f>
        <v>Virbac Adult Neutered&amp;Entire Salmon Somonlu Kısır Kedi Maması 3 kg</v>
      </c>
      <c r="D168" s="14">
        <f>IFERROR(__xludf.DUMMYFUNCTION("""COMPUTED_VALUE"""),2619.0)</f>
        <v>2619</v>
      </c>
      <c r="E168" s="14">
        <f t="array" ref="E168">IF($A168="","",IFERROR($D168*IF($D168&gt;=INDEX('Komisyon Tarifesi'!$I$2:$I$1000,MATCH($A168,'Komisyon Tarifesi'!$B$2:$B$1000,0)),INDEX('Komisyon Tarifesi'!$O$2:$O$1000,MATCH($A168,'Komisyon Tarifesi'!$B$2:$B$1000,0)),IF($D168&gt;=INDEX('Komisyon Tarifesi'!$K$2:$K$1000,MATCH($A168,'Komisyon Tarifesi'!$B$2:$B$1000,0)),INDEX('Komisyon Tarifesi'!$P$2:$P$1000,MATCH($A168,'Komisyon Tarifesi'!$B$2:$B$1000,0)),IF($D168&gt;=INDEX('Komisyon Tarifesi'!$M$2:$M$1000,MATCH($A168,'Komisyon Tarifesi'!$B$2:$B$1000,0)),INDEX('Komisyon Tarifesi'!$Q$2:$Q$1000,MATCH($A168,'Komisyon Tarifesi'!$B$2:$B$1000,0)),INDEX('Komisyon Tarifesi'!$R$2:$R$1000,MATCH($A168,'Komisyon Tarifesi'!$B$2:$B$1000,0)))))/100,IFERROR(IF(VLOOKUP($A168,Products!$A$2:$W$1000,21,0)&lt;&gt;"",$D168*VLOOKUP($A168,Products!$A$2:$W$1000,21,0)/100,""),"")))</f>
        <v>382.374</v>
      </c>
      <c r="F168" s="14">
        <f t="array" ref="F168">IF($A168="","",IFERROR(IF(INDEX('Maliyet Giris'!$G$2:$G$550,MATCH($A168,'Maliyet Giris'!$A$2:$A$550,0))="","",IF(INDEX('Maliyet Giris'!$G$2:$G$550,MATCH($A168,'Maliyet Giris'!$A$2:$A$550,0))&lt;=2,86.4,IF(INDEX('Maliyet Giris'!$G$2:$G$550,MATCH($A168,'Maliyet Giris'!$A$2:$A$550,0))&lt;=3,90,IF(INDEX('Maliyet Giris'!$G$2:$G$550,MATCH($A168,'Maliyet Giris'!$A$2:$A$550,0))&lt;=5,102,IF(INDEX('Maliyet Giris'!$G$2:$G$550,MATCH($A168,'Maliyet Giris'!$A$2:$A$550,0))&lt;=10,159.74,IF(INDEX('Maliyet Giris'!$G$2:$G$550,MATCH($A168,'Maliyet Giris'!$A$2:$A$550,0))&lt;=15,187.5,IF(INDEX('Maliyet Giris'!$G$2:$G$550,MATCH($A168,'Maliyet Giris'!$A$2:$A$550,0))&lt;=20,225,299))))))),""))</f>
        <v>90</v>
      </c>
      <c r="G168" s="14">
        <f t="array" ref="G168">IF($A168="","",IFERROR(INDEX('Maliyet Giris'!$F$2:$F$550,MATCH($A168,'Maliyet Giris'!$A$2:$A$550,0)),""))</f>
        <v>1350</v>
      </c>
      <c r="H168" s="14">
        <f t="shared" si="1"/>
        <v>13.19</v>
      </c>
      <c r="I168" s="14">
        <f t="shared" si="2"/>
        <v>21.825</v>
      </c>
      <c r="J168" s="14">
        <f t="shared" si="3"/>
        <v>130.5726667</v>
      </c>
      <c r="K168" s="14">
        <f t="shared" si="4"/>
        <v>631.0383333</v>
      </c>
      <c r="L168" s="15">
        <f t="shared" si="5"/>
        <v>0.2409462899</v>
      </c>
      <c r="M168" s="17" t="str">
        <f t="shared" si="6"/>
        <v>KÂRLI</v>
      </c>
      <c r="N168" s="17" t="str">
        <f t="shared" si="7"/>
        <v/>
      </c>
      <c r="O168" s="17">
        <f t="array" ref="O168">IF($A168="","",IFERROR(INDEX('Maliyet Giris'!$G$2:$G$550,MATCH($A168,'Maliyet Giris'!$A$2:$A$550,0)),""))</f>
        <v>3</v>
      </c>
      <c r="P168" s="17" t="str">
        <f t="shared" si="8"/>
        <v/>
      </c>
      <c r="Q168" s="17" t="str">
        <f t="shared" si="9"/>
        <v/>
      </c>
      <c r="R168" s="14">
        <f t="shared" si="10"/>
        <v>1826.048977</v>
      </c>
      <c r="S168" s="14">
        <f t="shared" si="11"/>
        <v>792.951023</v>
      </c>
      <c r="T168" s="17" t="str">
        <f t="shared" si="12"/>
        <v>SAĞLIKLI</v>
      </c>
      <c r="U168" s="17" t="str">
        <f t="shared" si="13"/>
        <v>Takip et</v>
      </c>
    </row>
    <row r="169">
      <c r="A169" s="2" t="str">
        <f>IFERROR(__xludf.DUMMYFUNCTION("""COMPUTED_VALUE"""),"H22HBCV000075VENA")</f>
        <v>H22HBCV000075VENA</v>
      </c>
      <c r="B169" s="17" t="str">
        <f>IFERROR(__xludf.DUMMYFUNCTION("""COMPUTED_VALUE"""),"Orqinel")</f>
        <v>Orqinel</v>
      </c>
      <c r="C169" s="28" t="str">
        <f>IFERROR(__xludf.DUMMYFUNCTION("""COMPUTED_VALUE"""),"Virbac Adult Cat Salmon Neutered &amp; Entire 7 kg")</f>
        <v>Virbac Adult Cat Salmon Neutered &amp; Entire 7 kg</v>
      </c>
      <c r="D169" s="14">
        <f>IFERROR(__xludf.DUMMYFUNCTION("""COMPUTED_VALUE"""),4620.0)</f>
        <v>4620</v>
      </c>
      <c r="E169" s="14">
        <f t="array" ref="E169">IF($A169="","",IFERROR($D169*IF($D169&gt;=INDEX('Komisyon Tarifesi'!$I$2:$I$1000,MATCH($A169,'Komisyon Tarifesi'!$B$2:$B$1000,0)),INDEX('Komisyon Tarifesi'!$O$2:$O$1000,MATCH($A169,'Komisyon Tarifesi'!$B$2:$B$1000,0)),IF($D169&gt;=INDEX('Komisyon Tarifesi'!$K$2:$K$1000,MATCH($A169,'Komisyon Tarifesi'!$B$2:$B$1000,0)),INDEX('Komisyon Tarifesi'!$P$2:$P$1000,MATCH($A169,'Komisyon Tarifesi'!$B$2:$B$1000,0)),IF($D169&gt;=INDEX('Komisyon Tarifesi'!$M$2:$M$1000,MATCH($A169,'Komisyon Tarifesi'!$B$2:$B$1000,0)),INDEX('Komisyon Tarifesi'!$Q$2:$Q$1000,MATCH($A169,'Komisyon Tarifesi'!$B$2:$B$1000,0)),INDEX('Komisyon Tarifesi'!$R$2:$R$1000,MATCH($A169,'Komisyon Tarifesi'!$B$2:$B$1000,0)))))/100,IFERROR(IF(VLOOKUP($A169,Products!$A$2:$W$1000,21,0)&lt;&gt;"",$D169*VLOOKUP($A169,Products!$A$2:$W$1000,21,0)/100,""),"")))</f>
        <v>762.3</v>
      </c>
      <c r="F169" s="14">
        <f t="array" ref="F169">IF($A169="","",IFERROR(IF(INDEX('Maliyet Giris'!$G$2:$G$550,MATCH($A169,'Maliyet Giris'!$A$2:$A$550,0))="","",IF(INDEX('Maliyet Giris'!$G$2:$G$550,MATCH($A169,'Maliyet Giris'!$A$2:$A$550,0))&lt;=2,86.4,IF(INDEX('Maliyet Giris'!$G$2:$G$550,MATCH($A169,'Maliyet Giris'!$A$2:$A$550,0))&lt;=3,90,IF(INDEX('Maliyet Giris'!$G$2:$G$550,MATCH($A169,'Maliyet Giris'!$A$2:$A$550,0))&lt;=5,102,IF(INDEX('Maliyet Giris'!$G$2:$G$550,MATCH($A169,'Maliyet Giris'!$A$2:$A$550,0))&lt;=10,159.74,IF(INDEX('Maliyet Giris'!$G$2:$G$550,MATCH($A169,'Maliyet Giris'!$A$2:$A$550,0))&lt;=15,187.5,IF(INDEX('Maliyet Giris'!$G$2:$G$550,MATCH($A169,'Maliyet Giris'!$A$2:$A$550,0))&lt;=20,225,299))))))),""))</f>
        <v>90</v>
      </c>
      <c r="G169" s="14">
        <f t="array" ref="G169">IF($A169="","",IFERROR(INDEX('Maliyet Giris'!$F$2:$F$550,MATCH($A169,'Maliyet Giris'!$A$2:$A$550,0)),""))</f>
        <v>10</v>
      </c>
      <c r="H169" s="14">
        <f t="shared" si="1"/>
        <v>13.19</v>
      </c>
      <c r="I169" s="14">
        <f t="shared" si="2"/>
        <v>38.5</v>
      </c>
      <c r="J169" s="14">
        <f t="shared" si="3"/>
        <v>624.085</v>
      </c>
      <c r="K169" s="14">
        <f t="shared" si="4"/>
        <v>3081.925</v>
      </c>
      <c r="L169" s="15">
        <f t="shared" si="5"/>
        <v>0.6670833333</v>
      </c>
      <c r="M169" s="17" t="str">
        <f t="shared" si="6"/>
        <v>KÂRLI</v>
      </c>
      <c r="N169" s="17" t="str">
        <f t="shared" si="7"/>
        <v/>
      </c>
      <c r="O169" s="17">
        <f t="array" ref="O169">IF($A169="","",IFERROR(INDEX('Maliyet Giris'!$G$2:$G$550,MATCH($A169,'Maliyet Giris'!$A$2:$A$550,0)),""))</f>
        <v>3</v>
      </c>
      <c r="P169" s="17" t="str">
        <f t="shared" si="8"/>
        <v/>
      </c>
      <c r="Q169" s="17" t="str">
        <f t="shared" si="9"/>
        <v/>
      </c>
      <c r="R169" s="14">
        <f t="shared" si="10"/>
        <v>163.6678329</v>
      </c>
      <c r="S169" s="14">
        <f t="shared" si="11"/>
        <v>4456.332167</v>
      </c>
      <c r="T169" s="17" t="str">
        <f t="shared" si="12"/>
        <v>ÇOK KÂRLI</v>
      </c>
      <c r="U169" s="17" t="str">
        <f t="shared" si="13"/>
        <v>Stok ve BuyBox takibini artır</v>
      </c>
    </row>
    <row r="170">
      <c r="A170" s="2" t="str">
        <f>IFERROR(__xludf.DUMMYFUNCTION("""COMPUTED_VALUE"""),"TYB40O96UICAMJJL93")</f>
        <v>TYB40O96UICAMJJL93</v>
      </c>
      <c r="B170" s="17" t="str">
        <f>IFERROR(__xludf.DUMMYFUNCTION("""COMPUTED_VALUE"""),"Pro Plan")</f>
        <v>Pro Plan</v>
      </c>
      <c r="C170" s="28" t="str">
        <f>IFERROR(__xludf.DUMMYFUNCTION("""COMPUTED_VALUE"""),"Planpro Plan Sterilesed Kısır Kediler Için Tavuklu Ve Hindili Kedi Maması 3 Kg")</f>
        <v>Planpro Plan Sterilesed Kısır Kediler Için Tavuklu Ve Hindili Kedi Maması 3 Kg</v>
      </c>
      <c r="D170" s="14">
        <f>IFERROR(__xludf.DUMMYFUNCTION("""COMPUTED_VALUE"""),1581.0)</f>
        <v>1581</v>
      </c>
      <c r="E170" s="14">
        <f t="array" ref="E170">IF($A170="","",IFERROR($D170*IF($D170&gt;=INDEX('Komisyon Tarifesi'!$I$2:$I$1000,MATCH($A170,'Komisyon Tarifesi'!$B$2:$B$1000,0)),INDEX('Komisyon Tarifesi'!$O$2:$O$1000,MATCH($A170,'Komisyon Tarifesi'!$B$2:$B$1000,0)),IF($D170&gt;=INDEX('Komisyon Tarifesi'!$K$2:$K$1000,MATCH($A170,'Komisyon Tarifesi'!$B$2:$B$1000,0)),INDEX('Komisyon Tarifesi'!$P$2:$P$1000,MATCH($A170,'Komisyon Tarifesi'!$B$2:$B$1000,0)),IF($D170&gt;=INDEX('Komisyon Tarifesi'!$M$2:$M$1000,MATCH($A170,'Komisyon Tarifesi'!$B$2:$B$1000,0)),INDEX('Komisyon Tarifesi'!$Q$2:$Q$1000,MATCH($A170,'Komisyon Tarifesi'!$B$2:$B$1000,0)),INDEX('Komisyon Tarifesi'!$R$2:$R$1000,MATCH($A170,'Komisyon Tarifesi'!$B$2:$B$1000,0)))))/100,IFERROR(IF(VLOOKUP($A170,Products!$A$2:$W$1000,21,0)&lt;&gt;"",$D170*VLOOKUP($A170,Products!$A$2:$W$1000,21,0)/100,""),"")))</f>
        <v>197.625</v>
      </c>
      <c r="F170" s="14">
        <f t="array" ref="F170">IF($A170="","",IFERROR(IF(INDEX('Maliyet Giris'!$G$2:$G$550,MATCH($A170,'Maliyet Giris'!$A$2:$A$550,0))="","",IF(INDEX('Maliyet Giris'!$G$2:$G$550,MATCH($A170,'Maliyet Giris'!$A$2:$A$550,0))&lt;=2,86.4,IF(INDEX('Maliyet Giris'!$G$2:$G$550,MATCH($A170,'Maliyet Giris'!$A$2:$A$550,0))&lt;=3,90,IF(INDEX('Maliyet Giris'!$G$2:$G$550,MATCH($A170,'Maliyet Giris'!$A$2:$A$550,0))&lt;=5,102,IF(INDEX('Maliyet Giris'!$G$2:$G$550,MATCH($A170,'Maliyet Giris'!$A$2:$A$550,0))&lt;=10,159.74,IF(INDEX('Maliyet Giris'!$G$2:$G$550,MATCH($A170,'Maliyet Giris'!$A$2:$A$550,0))&lt;=15,187.5,IF(INDEX('Maliyet Giris'!$G$2:$G$550,MATCH($A170,'Maliyet Giris'!$A$2:$A$550,0))&lt;=20,225,299))))))),""))</f>
        <v>90</v>
      </c>
      <c r="G170" s="14">
        <f t="array" ref="G170">IF($A170="","",IFERROR(INDEX('Maliyet Giris'!$F$2:$F$550,MATCH($A170,'Maliyet Giris'!$A$2:$A$550,0)),""))</f>
        <v>1185</v>
      </c>
      <c r="H170" s="14">
        <f t="shared" si="1"/>
        <v>13.19</v>
      </c>
      <c r="I170" s="14">
        <f t="shared" si="2"/>
        <v>13.175</v>
      </c>
      <c r="J170" s="14">
        <f t="shared" si="3"/>
        <v>15.86416667</v>
      </c>
      <c r="K170" s="14">
        <f t="shared" si="4"/>
        <v>66.14583333</v>
      </c>
      <c r="L170" s="15">
        <f t="shared" si="5"/>
        <v>0.04183797175</v>
      </c>
      <c r="M170" s="17" t="str">
        <f t="shared" si="6"/>
        <v>KÂRLI</v>
      </c>
      <c r="N170" s="17" t="str">
        <f t="shared" si="7"/>
        <v/>
      </c>
      <c r="O170" s="17">
        <f t="array" ref="O170">IF($A170="","",IFERROR(INDEX('Maliyet Giris'!$G$2:$G$550,MATCH($A170,'Maliyet Giris'!$A$2:$A$550,0)),""))</f>
        <v>3</v>
      </c>
      <c r="P170" s="17" t="str">
        <f t="shared" si="8"/>
        <v/>
      </c>
      <c r="Q170" s="17" t="str">
        <f t="shared" si="9"/>
        <v/>
      </c>
      <c r="R170" s="14">
        <f t="shared" si="10"/>
        <v>1503.783292</v>
      </c>
      <c r="S170" s="14">
        <f t="shared" si="11"/>
        <v>77.21670831</v>
      </c>
      <c r="T170" s="17" t="str">
        <f t="shared" si="12"/>
        <v>DÜŞÜK KÂR</v>
      </c>
      <c r="U170" s="17" t="str">
        <f t="shared" si="13"/>
        <v>Reklam/komisyon etkisini kontrol et</v>
      </c>
    </row>
    <row r="171">
      <c r="A171" s="2">
        <f>IFERROR(__xludf.DUMMYFUNCTION("""COMPUTED_VALUE"""),2.524015E8)</f>
        <v>252401500</v>
      </c>
      <c r="B171" s="17" t="str">
        <f>IFERROR(__xludf.DUMMYFUNCTION("""COMPUTED_VALUE"""),"Royal Canin")</f>
        <v>Royal Canin</v>
      </c>
      <c r="C171" s="28" t="str">
        <f>IFERROR(__xludf.DUMMYFUNCTION("""COMPUTED_VALUE"""),"Light Weight Care Diyet Kedi Maması 1,5 Kg")</f>
        <v>Light Weight Care Diyet Kedi Maması 1,5 Kg</v>
      </c>
      <c r="D171" s="14">
        <f>IFERROR(__xludf.DUMMYFUNCTION("""COMPUTED_VALUE"""),1345.0)</f>
        <v>1345</v>
      </c>
      <c r="E171" s="14">
        <f t="array" ref="E171">IF($A171="","",IFERROR($D171*IF($D171&gt;=INDEX('Komisyon Tarifesi'!$I$2:$I$1000,MATCH($A171,'Komisyon Tarifesi'!$B$2:$B$1000,0)),INDEX('Komisyon Tarifesi'!$O$2:$O$1000,MATCH($A171,'Komisyon Tarifesi'!$B$2:$B$1000,0)),IF($D171&gt;=INDEX('Komisyon Tarifesi'!$K$2:$K$1000,MATCH($A171,'Komisyon Tarifesi'!$B$2:$B$1000,0)),INDEX('Komisyon Tarifesi'!$P$2:$P$1000,MATCH($A171,'Komisyon Tarifesi'!$B$2:$B$1000,0)),IF($D171&gt;=INDEX('Komisyon Tarifesi'!$M$2:$M$1000,MATCH($A171,'Komisyon Tarifesi'!$B$2:$B$1000,0)),INDEX('Komisyon Tarifesi'!$Q$2:$Q$1000,MATCH($A171,'Komisyon Tarifesi'!$B$2:$B$1000,0)),INDEX('Komisyon Tarifesi'!$R$2:$R$1000,MATCH($A171,'Komisyon Tarifesi'!$B$2:$B$1000,0)))))/100,IFERROR(IF(VLOOKUP($A171,Products!$A$2:$W$1000,21,0)&lt;&gt;"",$D171*VLOOKUP($A171,Products!$A$2:$W$1000,21,0)/100,""),"")))</f>
        <v>168.125</v>
      </c>
      <c r="F171" s="14">
        <f t="array" ref="F171">IF($A171="","",IFERROR(IF(INDEX('Maliyet Giris'!$G$2:$G$550,MATCH($A171,'Maliyet Giris'!$A$2:$A$550,0))="","",IF(INDEX('Maliyet Giris'!$G$2:$G$550,MATCH($A171,'Maliyet Giris'!$A$2:$A$550,0))&lt;=2,86.4,IF(INDEX('Maliyet Giris'!$G$2:$G$550,MATCH($A171,'Maliyet Giris'!$A$2:$A$550,0))&lt;=3,90,IF(INDEX('Maliyet Giris'!$G$2:$G$550,MATCH($A171,'Maliyet Giris'!$A$2:$A$550,0))&lt;=5,102,IF(INDEX('Maliyet Giris'!$G$2:$G$550,MATCH($A171,'Maliyet Giris'!$A$2:$A$550,0))&lt;=10,159.74,IF(INDEX('Maliyet Giris'!$G$2:$G$550,MATCH($A171,'Maliyet Giris'!$A$2:$A$550,0))&lt;=15,187.5,IF(INDEX('Maliyet Giris'!$G$2:$G$550,MATCH($A171,'Maliyet Giris'!$A$2:$A$550,0))&lt;=20,225,299))))))),""))</f>
        <v>86.4</v>
      </c>
      <c r="G171" s="14">
        <f t="array" ref="G171">IF($A171="","",IFERROR(INDEX('Maliyet Giris'!$F$2:$F$550,MATCH($A171,'Maliyet Giris'!$A$2:$A$550,0)),""))</f>
        <v>924</v>
      </c>
      <c r="H171" s="14">
        <f t="shared" si="1"/>
        <v>13.19</v>
      </c>
      <c r="I171" s="14">
        <f t="shared" si="2"/>
        <v>11.20833333</v>
      </c>
      <c r="J171" s="14">
        <f t="shared" si="3"/>
        <v>25.5475</v>
      </c>
      <c r="K171" s="14">
        <f t="shared" si="4"/>
        <v>116.5291667</v>
      </c>
      <c r="L171" s="15">
        <f t="shared" si="5"/>
        <v>0.08663878563</v>
      </c>
      <c r="M171" s="17" t="str">
        <f t="shared" si="6"/>
        <v>KÂRLI</v>
      </c>
      <c r="N171" s="17" t="str">
        <f t="shared" si="7"/>
        <v/>
      </c>
      <c r="O171" s="17">
        <f t="array" ref="O171">IF($A171="","",IFERROR(INDEX('Maliyet Giris'!$G$2:$G$550,MATCH($A171,'Maliyet Giris'!$A$2:$A$550,0)),""))</f>
        <v>2</v>
      </c>
      <c r="P171" s="17" t="str">
        <f t="shared" si="8"/>
        <v/>
      </c>
      <c r="Q171" s="17" t="str">
        <f t="shared" si="9"/>
        <v/>
      </c>
      <c r="R171" s="14">
        <f t="shared" si="10"/>
        <v>1207.529922</v>
      </c>
      <c r="S171" s="14">
        <f t="shared" si="11"/>
        <v>137.4700778</v>
      </c>
      <c r="T171" s="17" t="str">
        <f t="shared" si="12"/>
        <v>DÜŞÜK KÂR</v>
      </c>
      <c r="U171" s="17" t="str">
        <f t="shared" si="13"/>
        <v>Reklam/komisyon etkisini kontrol et</v>
      </c>
    </row>
    <row r="172">
      <c r="A172" s="2">
        <f>IFERROR(__xludf.DUMMYFUNCTION("""COMPUTED_VALUE"""),9.00357931015112E14)</f>
        <v>900357931015112</v>
      </c>
      <c r="B172" s="17" t="str">
        <f>IFERROR(__xludf.DUMMYFUNCTION("""COMPUTED_VALUE"""),"Royal Canin")</f>
        <v>Royal Canin</v>
      </c>
      <c r="C172" s="28" t="str">
        <f>IFERROR(__xludf.DUMMYFUNCTION("""COMPUTED_VALUE"""),"Ageing +12 Gravy Yaşlı Kedi 85 Gr X 12 Adet")</f>
        <v>Ageing +12 Gravy Yaşlı Kedi 85 Gr X 12 Adet</v>
      </c>
      <c r="D172" s="14">
        <f>IFERROR(__xludf.DUMMYFUNCTION("""COMPUTED_VALUE"""),958.0)</f>
        <v>958</v>
      </c>
      <c r="E172" s="14">
        <f t="array" ref="E172">IF($A172="","",IFERROR($D172*IF($D172&gt;=INDEX('Komisyon Tarifesi'!$I$2:$I$1000,MATCH($A172,'Komisyon Tarifesi'!$B$2:$B$1000,0)),INDEX('Komisyon Tarifesi'!$O$2:$O$1000,MATCH($A172,'Komisyon Tarifesi'!$B$2:$B$1000,0)),IF($D172&gt;=INDEX('Komisyon Tarifesi'!$K$2:$K$1000,MATCH($A172,'Komisyon Tarifesi'!$B$2:$B$1000,0)),INDEX('Komisyon Tarifesi'!$P$2:$P$1000,MATCH($A172,'Komisyon Tarifesi'!$B$2:$B$1000,0)),IF($D172&gt;=INDEX('Komisyon Tarifesi'!$M$2:$M$1000,MATCH($A172,'Komisyon Tarifesi'!$B$2:$B$1000,0)),INDEX('Komisyon Tarifesi'!$Q$2:$Q$1000,MATCH($A172,'Komisyon Tarifesi'!$B$2:$B$1000,0)),INDEX('Komisyon Tarifesi'!$R$2:$R$1000,MATCH($A172,'Komisyon Tarifesi'!$B$2:$B$1000,0)))))/100,IFERROR(IF(VLOOKUP($A172,Products!$A$2:$W$1000,21,0)&lt;&gt;"",$D172*VLOOKUP($A172,Products!$A$2:$W$1000,21,0)/100,""),"")))</f>
        <v>119.75</v>
      </c>
      <c r="F172" s="14">
        <f t="array" ref="F172">IF($A172="","",IFERROR(IF(INDEX('Maliyet Giris'!$G$2:$G$550,MATCH($A172,'Maliyet Giris'!$A$2:$A$550,0))="","",IF(INDEX('Maliyet Giris'!$G$2:$G$550,MATCH($A172,'Maliyet Giris'!$A$2:$A$550,0))&lt;=2,86.4,IF(INDEX('Maliyet Giris'!$G$2:$G$550,MATCH($A172,'Maliyet Giris'!$A$2:$A$550,0))&lt;=3,90,IF(INDEX('Maliyet Giris'!$G$2:$G$550,MATCH($A172,'Maliyet Giris'!$A$2:$A$550,0))&lt;=5,102,IF(INDEX('Maliyet Giris'!$G$2:$G$550,MATCH($A172,'Maliyet Giris'!$A$2:$A$550,0))&lt;=10,159.74,IF(INDEX('Maliyet Giris'!$G$2:$G$550,MATCH($A172,'Maliyet Giris'!$A$2:$A$550,0))&lt;=15,187.5,IF(INDEX('Maliyet Giris'!$G$2:$G$550,MATCH($A172,'Maliyet Giris'!$A$2:$A$550,0))&lt;=20,225,299))))))),""))</f>
        <v>90</v>
      </c>
      <c r="G172" s="14">
        <f t="array" ref="G172">IF($A172="","",IFERROR(INDEX('Maliyet Giris'!$F$2:$F$550,MATCH($A172,'Maliyet Giris'!$A$2:$A$550,0)),""))</f>
        <v>1</v>
      </c>
      <c r="H172" s="14">
        <f t="shared" si="1"/>
        <v>13.19</v>
      </c>
      <c r="I172" s="14">
        <f t="shared" si="2"/>
        <v>7.983333333</v>
      </c>
      <c r="J172" s="14">
        <f t="shared" si="3"/>
        <v>122.3433333</v>
      </c>
      <c r="K172" s="14">
        <f t="shared" si="4"/>
        <v>603.7333333</v>
      </c>
      <c r="L172" s="15">
        <f t="shared" si="5"/>
        <v>0.6302018093</v>
      </c>
      <c r="M172" s="17" t="str">
        <f t="shared" si="6"/>
        <v>KÂRLI</v>
      </c>
      <c r="N172" s="17" t="str">
        <f t="shared" si="7"/>
        <v/>
      </c>
      <c r="O172" s="17">
        <f t="array" ref="O172">IF($A172="","",IFERROR(INDEX('Maliyet Giris'!$G$2:$G$550,MATCH($A172,'Maliyet Giris'!$A$2:$A$550,0)),""))</f>
        <v>3</v>
      </c>
      <c r="P172" s="17" t="str">
        <f t="shared" si="8"/>
        <v/>
      </c>
      <c r="Q172" s="17" t="str">
        <f t="shared" si="9"/>
        <v/>
      </c>
      <c r="R172" s="14">
        <f t="shared" si="10"/>
        <v>140.9954585</v>
      </c>
      <c r="S172" s="14">
        <f t="shared" si="11"/>
        <v>817.0045415</v>
      </c>
      <c r="T172" s="17" t="str">
        <f t="shared" si="12"/>
        <v>ÇOK KÂRLI</v>
      </c>
      <c r="U172" s="17" t="str">
        <f t="shared" si="13"/>
        <v>Stok ve BuyBox takibini artır</v>
      </c>
    </row>
    <row r="173">
      <c r="A173" s="2">
        <f>IFERROR(__xludf.DUMMYFUNCTION("""COMPUTED_VALUE"""),4.49531020003577E14)</f>
        <v>449531020003577</v>
      </c>
      <c r="B173" s="17" t="str">
        <f>IFERROR(__xludf.DUMMYFUNCTION("""COMPUTED_VALUE"""),"Royal Canin")</f>
        <v>Royal Canin</v>
      </c>
      <c r="C173" s="28" t="str">
        <f>IFERROR(__xludf.DUMMYFUNCTION("""COMPUTED_VALUE"""),"Gravy Ageing +12 Kedi Yaş Mama 85 Gr. X 24 Adet")</f>
        <v>Gravy Ageing +12 Kedi Yaş Mama 85 Gr. X 24 Adet</v>
      </c>
      <c r="D173" s="14">
        <f>IFERROR(__xludf.DUMMYFUNCTION("""COMPUTED_VALUE"""),1799.0)</f>
        <v>1799</v>
      </c>
      <c r="E173" s="14">
        <f t="array" ref="E173">IF($A173="","",IFERROR($D173*IF($D173&gt;=INDEX('Komisyon Tarifesi'!$I$2:$I$1000,MATCH($A173,'Komisyon Tarifesi'!$B$2:$B$1000,0)),INDEX('Komisyon Tarifesi'!$O$2:$O$1000,MATCH($A173,'Komisyon Tarifesi'!$B$2:$B$1000,0)),IF($D173&gt;=INDEX('Komisyon Tarifesi'!$K$2:$K$1000,MATCH($A173,'Komisyon Tarifesi'!$B$2:$B$1000,0)),INDEX('Komisyon Tarifesi'!$P$2:$P$1000,MATCH($A173,'Komisyon Tarifesi'!$B$2:$B$1000,0)),IF($D173&gt;=INDEX('Komisyon Tarifesi'!$M$2:$M$1000,MATCH($A173,'Komisyon Tarifesi'!$B$2:$B$1000,0)),INDEX('Komisyon Tarifesi'!$Q$2:$Q$1000,MATCH($A173,'Komisyon Tarifesi'!$B$2:$B$1000,0)),INDEX('Komisyon Tarifesi'!$R$2:$R$1000,MATCH($A173,'Komisyon Tarifesi'!$B$2:$B$1000,0)))))/100,IFERROR(IF(VLOOKUP($A173,Products!$A$2:$W$1000,21,0)&lt;&gt;"",$D173*VLOOKUP($A173,Products!$A$2:$W$1000,21,0)/100,""),"")))</f>
        <v>224.875</v>
      </c>
      <c r="F173" s="14">
        <f t="array" ref="F173">IF($A173="","",IFERROR(IF(INDEX('Maliyet Giris'!$G$2:$G$550,MATCH($A173,'Maliyet Giris'!$A$2:$A$550,0))="","",IF(INDEX('Maliyet Giris'!$G$2:$G$550,MATCH($A173,'Maliyet Giris'!$A$2:$A$550,0))&lt;=2,86.4,IF(INDEX('Maliyet Giris'!$G$2:$G$550,MATCH($A173,'Maliyet Giris'!$A$2:$A$550,0))&lt;=3,90,IF(INDEX('Maliyet Giris'!$G$2:$G$550,MATCH($A173,'Maliyet Giris'!$A$2:$A$550,0))&lt;=5,102,IF(INDEX('Maliyet Giris'!$G$2:$G$550,MATCH($A173,'Maliyet Giris'!$A$2:$A$550,0))&lt;=10,159.74,IF(INDEX('Maliyet Giris'!$G$2:$G$550,MATCH($A173,'Maliyet Giris'!$A$2:$A$550,0))&lt;=15,187.5,IF(INDEX('Maliyet Giris'!$G$2:$G$550,MATCH($A173,'Maliyet Giris'!$A$2:$A$550,0))&lt;=20,225,299))))))),""))</f>
        <v>90</v>
      </c>
      <c r="G173" s="14">
        <f t="array" ref="G173">IF($A173="","",IFERROR(INDEX('Maliyet Giris'!$F$2:$F$550,MATCH($A173,'Maliyet Giris'!$A$2:$A$550,0)),""))</f>
        <v>465</v>
      </c>
      <c r="H173" s="14">
        <f t="shared" si="1"/>
        <v>13.19</v>
      </c>
      <c r="I173" s="14">
        <f t="shared" si="2"/>
        <v>14.99166667</v>
      </c>
      <c r="J173" s="14">
        <f t="shared" si="3"/>
        <v>167.6558333</v>
      </c>
      <c r="K173" s="14">
        <f t="shared" si="4"/>
        <v>823.2875</v>
      </c>
      <c r="L173" s="15">
        <f t="shared" si="5"/>
        <v>0.4576361868</v>
      </c>
      <c r="M173" s="17" t="str">
        <f t="shared" si="6"/>
        <v>KÂRLI</v>
      </c>
      <c r="N173" s="17" t="str">
        <f t="shared" si="7"/>
        <v/>
      </c>
      <c r="O173" s="17">
        <f t="array" ref="O173">IF($A173="","",IFERROR(INDEX('Maliyet Giris'!$G$2:$G$550,MATCH($A173,'Maliyet Giris'!$A$2:$A$550,0)),""))</f>
        <v>3</v>
      </c>
      <c r="P173" s="17" t="str">
        <f t="shared" si="8"/>
        <v/>
      </c>
      <c r="Q173" s="17" t="str">
        <f t="shared" si="9"/>
        <v/>
      </c>
      <c r="R173" s="14">
        <f t="shared" si="10"/>
        <v>734.5956866</v>
      </c>
      <c r="S173" s="14">
        <f t="shared" si="11"/>
        <v>1064.404313</v>
      </c>
      <c r="T173" s="17" t="str">
        <f t="shared" si="12"/>
        <v>ÇOK KÂRLI</v>
      </c>
      <c r="U173" s="17" t="str">
        <f t="shared" si="13"/>
        <v>Stok ve BuyBox takibini artır</v>
      </c>
    </row>
    <row r="174">
      <c r="A174" s="2">
        <f>IFERROR(__xludf.DUMMYFUNCTION("""COMPUTED_VALUE"""),3.569702998444E12)</f>
        <v>3569702998444</v>
      </c>
      <c r="B174" s="17" t="str">
        <f>IFERROR(__xludf.DUMMYFUNCTION("""COMPUTED_VALUE"""),"Royal Canin")</f>
        <v>Royal Canin</v>
      </c>
      <c r="C174" s="28" t="str">
        <f>IFERROR(__xludf.DUMMYFUNCTION("""COMPUTED_VALUE"""),"Sterilised Soslu Yaş Kedi Maması 85 Gr X 6 Adet")</f>
        <v>Sterilised Soslu Yaş Kedi Maması 85 Gr X 6 Adet</v>
      </c>
      <c r="D174" s="14">
        <f>IFERROR(__xludf.DUMMYFUNCTION("""COMPUTED_VALUE"""),349.0)</f>
        <v>349</v>
      </c>
      <c r="E174" s="14">
        <f t="array" ref="E174">IF($A174="","",IFERROR($D174*IF($D174&gt;=INDEX('Komisyon Tarifesi'!$I$2:$I$1000,MATCH($A174,'Komisyon Tarifesi'!$B$2:$B$1000,0)),INDEX('Komisyon Tarifesi'!$O$2:$O$1000,MATCH($A174,'Komisyon Tarifesi'!$B$2:$B$1000,0)),IF($D174&gt;=INDEX('Komisyon Tarifesi'!$K$2:$K$1000,MATCH($A174,'Komisyon Tarifesi'!$B$2:$B$1000,0)),INDEX('Komisyon Tarifesi'!$P$2:$P$1000,MATCH($A174,'Komisyon Tarifesi'!$B$2:$B$1000,0)),IF($D174&gt;=INDEX('Komisyon Tarifesi'!$M$2:$M$1000,MATCH($A174,'Komisyon Tarifesi'!$B$2:$B$1000,0)),INDEX('Komisyon Tarifesi'!$Q$2:$Q$1000,MATCH($A174,'Komisyon Tarifesi'!$B$2:$B$1000,0)),INDEX('Komisyon Tarifesi'!$R$2:$R$1000,MATCH($A174,'Komisyon Tarifesi'!$B$2:$B$1000,0)))))/100,IFERROR(IF(VLOOKUP($A174,Products!$A$2:$W$1000,21,0)&lt;&gt;"",$D174*VLOOKUP($A174,Products!$A$2:$W$1000,21,0)/100,""),"")))</f>
        <v>25.477</v>
      </c>
      <c r="F174" s="14">
        <f t="array" ref="F174">IF($A174="","",IFERROR(IF(INDEX('Maliyet Giris'!$G$2:$G$550,MATCH($A174,'Maliyet Giris'!$A$2:$A$550,0))="","",IF(INDEX('Maliyet Giris'!$G$2:$G$550,MATCH($A174,'Maliyet Giris'!$A$2:$A$550,0))&lt;=2,86.4,IF(INDEX('Maliyet Giris'!$G$2:$G$550,MATCH($A174,'Maliyet Giris'!$A$2:$A$550,0))&lt;=3,90,IF(INDEX('Maliyet Giris'!$G$2:$G$550,MATCH($A174,'Maliyet Giris'!$A$2:$A$550,0))&lt;=5,102,IF(INDEX('Maliyet Giris'!$G$2:$G$550,MATCH($A174,'Maliyet Giris'!$A$2:$A$550,0))&lt;=10,159.74,IF(INDEX('Maliyet Giris'!$G$2:$G$550,MATCH($A174,'Maliyet Giris'!$A$2:$A$550,0))&lt;=15,187.5,IF(INDEX('Maliyet Giris'!$G$2:$G$550,MATCH($A174,'Maliyet Giris'!$A$2:$A$550,0))&lt;=20,225,299))))))),""))</f>
        <v>90</v>
      </c>
      <c r="G174" s="14">
        <f t="array" ref="G174">IF($A174="","",IFERROR(INDEX('Maliyet Giris'!$F$2:$F$550,MATCH($A174,'Maliyet Giris'!$A$2:$A$550,0)),""))</f>
        <v>1</v>
      </c>
      <c r="H174" s="14">
        <f t="shared" si="1"/>
        <v>13.19</v>
      </c>
      <c r="I174" s="14">
        <f t="shared" si="2"/>
        <v>2.908333333</v>
      </c>
      <c r="J174" s="14">
        <f t="shared" si="3"/>
        <v>36.5555</v>
      </c>
      <c r="K174" s="14">
        <f t="shared" si="4"/>
        <v>179.8691667</v>
      </c>
      <c r="L174" s="15">
        <f t="shared" si="5"/>
        <v>0.5153844317</v>
      </c>
      <c r="M174" s="17" t="str">
        <f t="shared" si="6"/>
        <v>KÂRLI</v>
      </c>
      <c r="N174" s="17" t="str">
        <f t="shared" si="7"/>
        <v/>
      </c>
      <c r="O174" s="17">
        <f t="array" ref="O174">IF($A174="","",IFERROR(INDEX('Maliyet Giris'!$G$2:$G$550,MATCH($A174,'Maliyet Giris'!$A$2:$A$550,0)),""))</f>
        <v>3</v>
      </c>
      <c r="P174" s="17" t="str">
        <f t="shared" si="8"/>
        <v/>
      </c>
      <c r="Q174" s="17" t="str">
        <f t="shared" si="9"/>
        <v/>
      </c>
      <c r="R174" s="14">
        <f t="shared" si="10"/>
        <v>128.0095817</v>
      </c>
      <c r="S174" s="14">
        <f t="shared" si="11"/>
        <v>220.9904183</v>
      </c>
      <c r="T174" s="17" t="str">
        <f t="shared" si="12"/>
        <v>ÇOK KÂRLI</v>
      </c>
      <c r="U174" s="17" t="str">
        <f t="shared" si="13"/>
        <v>Stok ve BuyBox takibini artır</v>
      </c>
    </row>
    <row r="175">
      <c r="A175" s="2">
        <f>IFERROR(__xludf.DUMMYFUNCTION("""COMPUTED_VALUE"""),8.684207638772E12)</f>
        <v>8684207638772</v>
      </c>
      <c r="B175" s="17" t="str">
        <f>IFERROR(__xludf.DUMMYFUNCTION("""COMPUTED_VALUE"""),"Supreme Cat")</f>
        <v>Supreme Cat</v>
      </c>
      <c r="C175" s="28" t="str">
        <f>IFERROR(__xludf.DUMMYFUNCTION("""COMPUTED_VALUE"""),"Ördek &amp; Somon Kıyılmış Konserve Kedi Yaş Maması 85 gr")</f>
        <v>Ördek &amp; Somon Kıyılmış Konserve Kedi Yaş Maması 85 gr</v>
      </c>
      <c r="D175" s="14">
        <f>IFERROR(__xludf.DUMMYFUNCTION("""COMPUTED_VALUE"""),594.0)</f>
        <v>594</v>
      </c>
      <c r="E175" s="14">
        <f t="array" ref="E175">IF($A175="","",IFERROR($D175*IF($D175&gt;=INDEX('Komisyon Tarifesi'!$I$2:$I$1000,MATCH($A175,'Komisyon Tarifesi'!$B$2:$B$1000,0)),INDEX('Komisyon Tarifesi'!$O$2:$O$1000,MATCH($A175,'Komisyon Tarifesi'!$B$2:$B$1000,0)),IF($D175&gt;=INDEX('Komisyon Tarifesi'!$K$2:$K$1000,MATCH($A175,'Komisyon Tarifesi'!$B$2:$B$1000,0)),INDEX('Komisyon Tarifesi'!$P$2:$P$1000,MATCH($A175,'Komisyon Tarifesi'!$B$2:$B$1000,0)),IF($D175&gt;=INDEX('Komisyon Tarifesi'!$M$2:$M$1000,MATCH($A175,'Komisyon Tarifesi'!$B$2:$B$1000,0)),INDEX('Komisyon Tarifesi'!$Q$2:$Q$1000,MATCH($A175,'Komisyon Tarifesi'!$B$2:$B$1000,0)),INDEX('Komisyon Tarifesi'!$R$2:$R$1000,MATCH($A175,'Komisyon Tarifesi'!$B$2:$B$1000,0)))))/100,IFERROR(IF(VLOOKUP($A175,Products!$A$2:$W$1000,21,0)&lt;&gt;"",$D175*VLOOKUP($A175,Products!$A$2:$W$1000,21,0)/100,""),"")))</f>
        <v>98.01</v>
      </c>
      <c r="F175" s="14">
        <f t="array" ref="F175">IF($A175="","",IFERROR(IF(INDEX('Maliyet Giris'!$G$2:$G$550,MATCH($A175,'Maliyet Giris'!$A$2:$A$550,0))="","",IF(INDEX('Maliyet Giris'!$G$2:$G$550,MATCH($A175,'Maliyet Giris'!$A$2:$A$550,0))&lt;=2,86.4,IF(INDEX('Maliyet Giris'!$G$2:$G$550,MATCH($A175,'Maliyet Giris'!$A$2:$A$550,0))&lt;=3,90,IF(INDEX('Maliyet Giris'!$G$2:$G$550,MATCH($A175,'Maliyet Giris'!$A$2:$A$550,0))&lt;=5,102,IF(INDEX('Maliyet Giris'!$G$2:$G$550,MATCH($A175,'Maliyet Giris'!$A$2:$A$550,0))&lt;=10,159.74,IF(INDEX('Maliyet Giris'!$G$2:$G$550,MATCH($A175,'Maliyet Giris'!$A$2:$A$550,0))&lt;=15,187.5,IF(INDEX('Maliyet Giris'!$G$2:$G$550,MATCH($A175,'Maliyet Giris'!$A$2:$A$550,0))&lt;=20,225,299))))))),""))</f>
        <v>90</v>
      </c>
      <c r="G175" s="14">
        <f t="array" ref="G175">IF($A175="","",IFERROR(INDEX('Maliyet Giris'!$F$2:$F$550,MATCH($A175,'Maliyet Giris'!$A$2:$A$550,0)),""))</f>
        <v>500</v>
      </c>
      <c r="H175" s="14">
        <f t="shared" si="1"/>
        <v>13.19</v>
      </c>
      <c r="I175" s="14">
        <f t="shared" si="2"/>
        <v>4.95</v>
      </c>
      <c r="J175" s="14">
        <f t="shared" si="3"/>
        <v>0</v>
      </c>
      <c r="K175" s="14">
        <f t="shared" si="4"/>
        <v>-112.15</v>
      </c>
      <c r="L175" s="15">
        <f t="shared" si="5"/>
        <v>-0.1888047138</v>
      </c>
      <c r="M175" s="17" t="str">
        <f t="shared" si="6"/>
        <v>ZARAR</v>
      </c>
      <c r="N175" s="17" t="str">
        <f t="shared" si="7"/>
        <v/>
      </c>
      <c r="O175" s="17">
        <f t="array" ref="O175">IF($A175="","",IFERROR(INDEX('Maliyet Giris'!$G$2:$G$550,MATCH($A175,'Maliyet Giris'!$A$2:$A$550,0)),""))</f>
        <v>3</v>
      </c>
      <c r="P175" s="17" t="str">
        <f t="shared" si="8"/>
        <v/>
      </c>
      <c r="Q175" s="17" t="str">
        <f t="shared" si="9"/>
        <v/>
      </c>
      <c r="R175" s="14">
        <f t="shared" si="10"/>
        <v>729.6650284</v>
      </c>
      <c r="S175" s="14">
        <f t="shared" si="11"/>
        <v>-135.6650284</v>
      </c>
      <c r="T175" s="17" t="str">
        <f t="shared" si="12"/>
        <v>ZARAR</v>
      </c>
      <c r="U175" s="17" t="str">
        <f t="shared" si="13"/>
        <v>Fiyat, maliyet veya kampanya kontrol et</v>
      </c>
    </row>
    <row r="176">
      <c r="A176" s="2" t="str">
        <f>IFERROR(__xludf.DUMMYFUNCTION("""COMPUTED_VALUE"""),"TYBR84FW8PZN0VMT75")</f>
        <v>TYBR84FW8PZN0VMT75</v>
      </c>
      <c r="B176" s="17" t="str">
        <f>IFERROR(__xludf.DUMMYFUNCTION("""COMPUTED_VALUE"""),"Supreme Cat")</f>
        <v>Supreme Cat</v>
      </c>
      <c r="C176" s="28" t="str">
        <f>IFERROR(__xludf.DUMMYFUNCTION("""COMPUTED_VALUE"""),"Ton Balığı Parça Etli Konserve Kedi Yaş Maması 85 gr")</f>
        <v>Ton Balığı Parça Etli Konserve Kedi Yaş Maması 85 gr</v>
      </c>
      <c r="D176" s="14">
        <f>IFERROR(__xludf.DUMMYFUNCTION("""COMPUTED_VALUE"""),657.0)</f>
        <v>657</v>
      </c>
      <c r="E176" s="14">
        <f t="array" ref="E176">IF($A176="","",IFERROR($D176*IF($D176&gt;=INDEX('Komisyon Tarifesi'!$I$2:$I$1000,MATCH($A176,'Komisyon Tarifesi'!$B$2:$B$1000,0)),INDEX('Komisyon Tarifesi'!$O$2:$O$1000,MATCH($A176,'Komisyon Tarifesi'!$B$2:$B$1000,0)),IF($D176&gt;=INDEX('Komisyon Tarifesi'!$K$2:$K$1000,MATCH($A176,'Komisyon Tarifesi'!$B$2:$B$1000,0)),INDEX('Komisyon Tarifesi'!$P$2:$P$1000,MATCH($A176,'Komisyon Tarifesi'!$B$2:$B$1000,0)),IF($D176&gt;=INDEX('Komisyon Tarifesi'!$M$2:$M$1000,MATCH($A176,'Komisyon Tarifesi'!$B$2:$B$1000,0)),INDEX('Komisyon Tarifesi'!$Q$2:$Q$1000,MATCH($A176,'Komisyon Tarifesi'!$B$2:$B$1000,0)),INDEX('Komisyon Tarifesi'!$R$2:$R$1000,MATCH($A176,'Komisyon Tarifesi'!$B$2:$B$1000,0)))))/100,IFERROR(IF(VLOOKUP($A176,Products!$A$2:$W$1000,21,0)&lt;&gt;"",$D176*VLOOKUP($A176,Products!$A$2:$W$1000,21,0)/100,""),"")))</f>
        <v>108.405</v>
      </c>
      <c r="F176" s="14">
        <f t="array" ref="F176">IF($A176="","",IFERROR(IF(INDEX('Maliyet Giris'!$G$2:$G$550,MATCH($A176,'Maliyet Giris'!$A$2:$A$550,0))="","",IF(INDEX('Maliyet Giris'!$G$2:$G$550,MATCH($A176,'Maliyet Giris'!$A$2:$A$550,0))&lt;=2,86.4,IF(INDEX('Maliyet Giris'!$G$2:$G$550,MATCH($A176,'Maliyet Giris'!$A$2:$A$550,0))&lt;=3,90,IF(INDEX('Maliyet Giris'!$G$2:$G$550,MATCH($A176,'Maliyet Giris'!$A$2:$A$550,0))&lt;=5,102,IF(INDEX('Maliyet Giris'!$G$2:$G$550,MATCH($A176,'Maliyet Giris'!$A$2:$A$550,0))&lt;=10,159.74,IF(INDEX('Maliyet Giris'!$G$2:$G$550,MATCH($A176,'Maliyet Giris'!$A$2:$A$550,0))&lt;=15,187.5,IF(INDEX('Maliyet Giris'!$G$2:$G$550,MATCH($A176,'Maliyet Giris'!$A$2:$A$550,0))&lt;=20,225,299))))))),""))</f>
        <v>90</v>
      </c>
      <c r="G176" s="14">
        <f t="array" ref="G176">IF($A176="","",IFERROR(INDEX('Maliyet Giris'!$F$2:$F$550,MATCH($A176,'Maliyet Giris'!$A$2:$A$550,0)),""))</f>
        <v>1</v>
      </c>
      <c r="H176" s="14">
        <f t="shared" si="1"/>
        <v>13.19</v>
      </c>
      <c r="I176" s="14">
        <f t="shared" si="2"/>
        <v>5.475</v>
      </c>
      <c r="J176" s="14">
        <f t="shared" si="3"/>
        <v>74.0675</v>
      </c>
      <c r="K176" s="14">
        <f t="shared" si="4"/>
        <v>364.8625</v>
      </c>
      <c r="L176" s="15">
        <f t="shared" si="5"/>
        <v>0.5553462709</v>
      </c>
      <c r="M176" s="17" t="str">
        <f t="shared" si="6"/>
        <v>KÂRLI</v>
      </c>
      <c r="N176" s="17" t="str">
        <f t="shared" si="7"/>
        <v/>
      </c>
      <c r="O176" s="17">
        <f t="array" ref="O176">IF($A176="","",IFERROR(INDEX('Maliyet Giris'!$G$2:$G$550,MATCH($A176,'Maliyet Giris'!$A$2:$A$550,0)),""))</f>
        <v>3</v>
      </c>
      <c r="P176" s="17" t="str">
        <f t="shared" si="8"/>
        <v/>
      </c>
      <c r="Q176" s="17" t="str">
        <f t="shared" si="9"/>
        <v/>
      </c>
      <c r="R176" s="14">
        <f t="shared" si="10"/>
        <v>145.9384569</v>
      </c>
      <c r="S176" s="14">
        <f t="shared" si="11"/>
        <v>511.0615431</v>
      </c>
      <c r="T176" s="17" t="str">
        <f t="shared" si="12"/>
        <v>ÇOK KÂRLI</v>
      </c>
      <c r="U176" s="17" t="str">
        <f t="shared" si="13"/>
        <v>Stok ve BuyBox takibini artır</v>
      </c>
    </row>
    <row r="177">
      <c r="A177" s="2">
        <f>IFERROR(__xludf.DUMMYFUNCTION("""COMPUTED_VALUE"""),8.684207631578E12)</f>
        <v>8684207631578</v>
      </c>
      <c r="B177" s="17" t="str">
        <f>IFERROR(__xludf.DUMMYFUNCTION("""COMPUTED_VALUE"""),"Supreme Cat")</f>
        <v>Supreme Cat</v>
      </c>
      <c r="C177" s="28" t="str">
        <f>IFERROR(__xludf.DUMMYFUNCTION("""COMPUTED_VALUE"""),"Karışık Parça Etli Konserve Kedi Yaş Maması 85 gr")</f>
        <v>Karışık Parça Etli Konserve Kedi Yaş Maması 85 gr</v>
      </c>
      <c r="D177" s="14">
        <f>IFERROR(__xludf.DUMMYFUNCTION("""COMPUTED_VALUE"""),746.1)</f>
        <v>746.1</v>
      </c>
      <c r="E177" s="14">
        <f t="array" ref="E177">IF($A177="","",IFERROR($D177*IF($D177&gt;=INDEX('Komisyon Tarifesi'!$I$2:$I$1000,MATCH($A177,'Komisyon Tarifesi'!$B$2:$B$1000,0)),INDEX('Komisyon Tarifesi'!$O$2:$O$1000,MATCH($A177,'Komisyon Tarifesi'!$B$2:$B$1000,0)),IF($D177&gt;=INDEX('Komisyon Tarifesi'!$K$2:$K$1000,MATCH($A177,'Komisyon Tarifesi'!$B$2:$B$1000,0)),INDEX('Komisyon Tarifesi'!$P$2:$P$1000,MATCH($A177,'Komisyon Tarifesi'!$B$2:$B$1000,0)),IF($D177&gt;=INDEX('Komisyon Tarifesi'!$M$2:$M$1000,MATCH($A177,'Komisyon Tarifesi'!$B$2:$B$1000,0)),INDEX('Komisyon Tarifesi'!$Q$2:$Q$1000,MATCH($A177,'Komisyon Tarifesi'!$B$2:$B$1000,0)),INDEX('Komisyon Tarifesi'!$R$2:$R$1000,MATCH($A177,'Komisyon Tarifesi'!$B$2:$B$1000,0)))))/100,IFERROR(IF(VLOOKUP($A177,Products!$A$2:$W$1000,21,0)&lt;&gt;"",$D177*VLOOKUP($A177,Products!$A$2:$W$1000,21,0)/100,""),"")))</f>
        <v>123.1065</v>
      </c>
      <c r="F177" s="14">
        <f t="array" ref="F177">IF($A177="","",IFERROR(IF(INDEX('Maliyet Giris'!$G$2:$G$550,MATCH($A177,'Maliyet Giris'!$A$2:$A$550,0))="","",IF(INDEX('Maliyet Giris'!$G$2:$G$550,MATCH($A177,'Maliyet Giris'!$A$2:$A$550,0))&lt;=2,86.4,IF(INDEX('Maliyet Giris'!$G$2:$G$550,MATCH($A177,'Maliyet Giris'!$A$2:$A$550,0))&lt;=3,90,IF(INDEX('Maliyet Giris'!$G$2:$G$550,MATCH($A177,'Maliyet Giris'!$A$2:$A$550,0))&lt;=5,102,IF(INDEX('Maliyet Giris'!$G$2:$G$550,MATCH($A177,'Maliyet Giris'!$A$2:$A$550,0))&lt;=10,159.74,IF(INDEX('Maliyet Giris'!$G$2:$G$550,MATCH($A177,'Maliyet Giris'!$A$2:$A$550,0))&lt;=15,187.5,IF(INDEX('Maliyet Giris'!$G$2:$G$550,MATCH($A177,'Maliyet Giris'!$A$2:$A$550,0))&lt;=20,225,299))))))),""))</f>
        <v>90</v>
      </c>
      <c r="G177" s="14">
        <f t="array" ref="G177">IF($A177="","",IFERROR(INDEX('Maliyet Giris'!$F$2:$F$550,MATCH($A177,'Maliyet Giris'!$A$2:$A$550,0)),""))</f>
        <v>1</v>
      </c>
      <c r="H177" s="14">
        <f t="shared" si="1"/>
        <v>13.19</v>
      </c>
      <c r="I177" s="14">
        <f t="shared" si="2"/>
        <v>6.2175</v>
      </c>
      <c r="J177" s="14">
        <f t="shared" si="3"/>
        <v>86.46725</v>
      </c>
      <c r="K177" s="14">
        <f t="shared" si="4"/>
        <v>426.11875</v>
      </c>
      <c r="L177" s="15">
        <f t="shared" si="5"/>
        <v>0.5711282</v>
      </c>
      <c r="M177" s="17" t="str">
        <f t="shared" si="6"/>
        <v>KÂRLI</v>
      </c>
      <c r="N177" s="17" t="str">
        <f t="shared" si="7"/>
        <v/>
      </c>
      <c r="O177" s="17">
        <f t="array" ref="O177">IF($A177="","",IFERROR(INDEX('Maliyet Giris'!$G$2:$G$550,MATCH($A177,'Maliyet Giris'!$A$2:$A$550,0)),""))</f>
        <v>3</v>
      </c>
      <c r="P177" s="17" t="str">
        <f t="shared" si="8"/>
        <v/>
      </c>
      <c r="Q177" s="17" t="str">
        <f t="shared" si="9"/>
        <v/>
      </c>
      <c r="R177" s="14">
        <f t="shared" si="10"/>
        <v>146.5865358</v>
      </c>
      <c r="S177" s="14">
        <f t="shared" si="11"/>
        <v>599.5134642</v>
      </c>
      <c r="T177" s="17" t="str">
        <f t="shared" si="12"/>
        <v>ÇOK KÂRLI</v>
      </c>
      <c r="U177" s="17" t="str">
        <f t="shared" si="13"/>
        <v>Stok ve BuyBox takibini artır</v>
      </c>
    </row>
    <row r="178">
      <c r="A178" s="2" t="str">
        <f>IFERROR(__xludf.DUMMYFUNCTION("""COMPUTED_VALUE"""),"TYB0E7Z1V7YN95FX85")</f>
        <v>TYB0E7Z1V7YN95FX85</v>
      </c>
      <c r="B178" s="17" t="str">
        <f>IFERROR(__xludf.DUMMYFUNCTION("""COMPUTED_VALUE"""),"Supreme Cat")</f>
        <v>Supreme Cat</v>
      </c>
      <c r="C178" s="28" t="str">
        <f>IFERROR(__xludf.DUMMYFUNCTION("""COMPUTED_VALUE"""),"Ton Balığı &amp; Karides Parça Etli Konserve Kedi Yaş Maması 85 gr")</f>
        <v>Ton Balığı &amp; Karides Parça Etli Konserve Kedi Yaş Maması 85 gr</v>
      </c>
      <c r="D178" s="14">
        <f>IFERROR(__xludf.DUMMYFUNCTION("""COMPUTED_VALUE"""),490.5)</f>
        <v>490.5</v>
      </c>
      <c r="E178" s="14">
        <f t="array" ref="E178">IF($A178="","",IFERROR($D178*IF($D178&gt;=INDEX('Komisyon Tarifesi'!$I$2:$I$1000,MATCH($A178,'Komisyon Tarifesi'!$B$2:$B$1000,0)),INDEX('Komisyon Tarifesi'!$O$2:$O$1000,MATCH($A178,'Komisyon Tarifesi'!$B$2:$B$1000,0)),IF($D178&gt;=INDEX('Komisyon Tarifesi'!$K$2:$K$1000,MATCH($A178,'Komisyon Tarifesi'!$B$2:$B$1000,0)),INDEX('Komisyon Tarifesi'!$P$2:$P$1000,MATCH($A178,'Komisyon Tarifesi'!$B$2:$B$1000,0)),IF($D178&gt;=INDEX('Komisyon Tarifesi'!$M$2:$M$1000,MATCH($A178,'Komisyon Tarifesi'!$B$2:$B$1000,0)),INDEX('Komisyon Tarifesi'!$Q$2:$Q$1000,MATCH($A178,'Komisyon Tarifesi'!$B$2:$B$1000,0)),INDEX('Komisyon Tarifesi'!$R$2:$R$1000,MATCH($A178,'Komisyon Tarifesi'!$B$2:$B$1000,0)))))/100,IFERROR(IF(VLOOKUP($A178,Products!$A$2:$W$1000,21,0)&lt;&gt;"",$D178*VLOOKUP($A178,Products!$A$2:$W$1000,21,0)/100,""),"")))</f>
        <v>80.9325</v>
      </c>
      <c r="F178" s="14">
        <f t="array" ref="F178">IF($A178="","",IFERROR(IF(INDEX('Maliyet Giris'!$G$2:$G$550,MATCH($A178,'Maliyet Giris'!$A$2:$A$550,0))="","",IF(INDEX('Maliyet Giris'!$G$2:$G$550,MATCH($A178,'Maliyet Giris'!$A$2:$A$550,0))&lt;=2,86.4,IF(INDEX('Maliyet Giris'!$G$2:$G$550,MATCH($A178,'Maliyet Giris'!$A$2:$A$550,0))&lt;=3,90,IF(INDEX('Maliyet Giris'!$G$2:$G$550,MATCH($A178,'Maliyet Giris'!$A$2:$A$550,0))&lt;=5,102,IF(INDEX('Maliyet Giris'!$G$2:$G$550,MATCH($A178,'Maliyet Giris'!$A$2:$A$550,0))&lt;=10,159.74,IF(INDEX('Maliyet Giris'!$G$2:$G$550,MATCH($A178,'Maliyet Giris'!$A$2:$A$550,0))&lt;=15,187.5,IF(INDEX('Maliyet Giris'!$G$2:$G$550,MATCH($A178,'Maliyet Giris'!$A$2:$A$550,0))&lt;=20,225,299))))))),""))</f>
        <v>90</v>
      </c>
      <c r="G178" s="14">
        <f t="array" ref="G178">IF($A178="","",IFERROR(INDEX('Maliyet Giris'!$F$2:$F$550,MATCH($A178,'Maliyet Giris'!$A$2:$A$550,0)),""))</f>
        <v>1</v>
      </c>
      <c r="H178" s="14">
        <f t="shared" si="1"/>
        <v>13.19</v>
      </c>
      <c r="I178" s="14">
        <f t="shared" si="2"/>
        <v>4.0875</v>
      </c>
      <c r="J178" s="14">
        <f t="shared" si="3"/>
        <v>50.89625</v>
      </c>
      <c r="K178" s="14">
        <f t="shared" si="4"/>
        <v>250.39375</v>
      </c>
      <c r="L178" s="15">
        <f t="shared" si="5"/>
        <v>0.5104867482</v>
      </c>
      <c r="M178" s="17" t="str">
        <f t="shared" si="6"/>
        <v>KÂRLI</v>
      </c>
      <c r="N178" s="17" t="str">
        <f t="shared" si="7"/>
        <v/>
      </c>
      <c r="O178" s="17">
        <f t="array" ref="O178">IF($A178="","",IFERROR(INDEX('Maliyet Giris'!$G$2:$G$550,MATCH($A178,'Maliyet Giris'!$A$2:$A$550,0)),""))</f>
        <v>3</v>
      </c>
      <c r="P178" s="17" t="str">
        <f t="shared" si="8"/>
        <v/>
      </c>
      <c r="Q178" s="17" t="str">
        <f t="shared" si="9"/>
        <v/>
      </c>
      <c r="R178" s="14">
        <f t="shared" si="10"/>
        <v>144.1272236</v>
      </c>
      <c r="S178" s="14">
        <f t="shared" si="11"/>
        <v>346.3727764</v>
      </c>
      <c r="T178" s="17" t="str">
        <f t="shared" si="12"/>
        <v>ÇOK KÂRLI</v>
      </c>
      <c r="U178" s="17" t="str">
        <f t="shared" si="13"/>
        <v>Stok ve BuyBox takibini artır</v>
      </c>
    </row>
    <row r="179">
      <c r="A179" s="2">
        <f>IFERROR(__xludf.DUMMYFUNCTION("""COMPUTED_VALUE"""),8.684207638288E12)</f>
        <v>8684207638288</v>
      </c>
      <c r="B179" s="17" t="str">
        <f>IFERROR(__xludf.DUMMYFUNCTION("""COMPUTED_VALUE"""),"Supreme Cat")</f>
        <v>Supreme Cat</v>
      </c>
      <c r="C179" s="28" t="str">
        <f>IFERROR(__xludf.DUMMYFUNCTION("""COMPUTED_VALUE"""),"Karışık Kıyılmış Konserve Kedi Yaş Maması 85gr")</f>
        <v>Karışık Kıyılmış Konserve Kedi Yaş Maması 85gr</v>
      </c>
      <c r="D179" s="14">
        <f>IFERROR(__xludf.DUMMYFUNCTION("""COMPUTED_VALUE"""),585.0)</f>
        <v>585</v>
      </c>
      <c r="E179" s="14">
        <f t="array" ref="E179">IF($A179="","",IFERROR($D179*IF($D179&gt;=INDEX('Komisyon Tarifesi'!$I$2:$I$1000,MATCH($A179,'Komisyon Tarifesi'!$B$2:$B$1000,0)),INDEX('Komisyon Tarifesi'!$O$2:$O$1000,MATCH($A179,'Komisyon Tarifesi'!$B$2:$B$1000,0)),IF($D179&gt;=INDEX('Komisyon Tarifesi'!$K$2:$K$1000,MATCH($A179,'Komisyon Tarifesi'!$B$2:$B$1000,0)),INDEX('Komisyon Tarifesi'!$P$2:$P$1000,MATCH($A179,'Komisyon Tarifesi'!$B$2:$B$1000,0)),IF($D179&gt;=INDEX('Komisyon Tarifesi'!$M$2:$M$1000,MATCH($A179,'Komisyon Tarifesi'!$B$2:$B$1000,0)),INDEX('Komisyon Tarifesi'!$Q$2:$Q$1000,MATCH($A179,'Komisyon Tarifesi'!$B$2:$B$1000,0)),INDEX('Komisyon Tarifesi'!$R$2:$R$1000,MATCH($A179,'Komisyon Tarifesi'!$B$2:$B$1000,0)))))/100,IFERROR(IF(VLOOKUP($A179,Products!$A$2:$W$1000,21,0)&lt;&gt;"",$D179*VLOOKUP($A179,Products!$A$2:$W$1000,21,0)/100,""),"")))</f>
        <v>96.525</v>
      </c>
      <c r="F179" s="14">
        <f t="array" ref="F179">IF($A179="","",IFERROR(IF(INDEX('Maliyet Giris'!$G$2:$G$550,MATCH($A179,'Maliyet Giris'!$A$2:$A$550,0))="","",IF(INDEX('Maliyet Giris'!$G$2:$G$550,MATCH($A179,'Maliyet Giris'!$A$2:$A$550,0))&lt;=2,86.4,IF(INDEX('Maliyet Giris'!$G$2:$G$550,MATCH($A179,'Maliyet Giris'!$A$2:$A$550,0))&lt;=3,90,IF(INDEX('Maliyet Giris'!$G$2:$G$550,MATCH($A179,'Maliyet Giris'!$A$2:$A$550,0))&lt;=5,102,IF(INDEX('Maliyet Giris'!$G$2:$G$550,MATCH($A179,'Maliyet Giris'!$A$2:$A$550,0))&lt;=10,159.74,IF(INDEX('Maliyet Giris'!$G$2:$G$550,MATCH($A179,'Maliyet Giris'!$A$2:$A$550,0))&lt;=15,187.5,IF(INDEX('Maliyet Giris'!$G$2:$G$550,MATCH($A179,'Maliyet Giris'!$A$2:$A$550,0))&lt;=20,225,299))))))),""))</f>
        <v>90</v>
      </c>
      <c r="G179" s="14">
        <f t="array" ref="G179">IF($A179="","",IFERROR(INDEX('Maliyet Giris'!$F$2:$F$550,MATCH($A179,'Maliyet Giris'!$A$2:$A$550,0)),""))</f>
        <v>1</v>
      </c>
      <c r="H179" s="14">
        <f t="shared" si="1"/>
        <v>13.19</v>
      </c>
      <c r="I179" s="14">
        <f t="shared" si="2"/>
        <v>4.875</v>
      </c>
      <c r="J179" s="14">
        <f t="shared" si="3"/>
        <v>64.0475</v>
      </c>
      <c r="K179" s="14">
        <f t="shared" si="4"/>
        <v>315.3625</v>
      </c>
      <c r="L179" s="15">
        <f t="shared" si="5"/>
        <v>0.5390811966</v>
      </c>
      <c r="M179" s="17" t="str">
        <f t="shared" si="6"/>
        <v>KÂRLI</v>
      </c>
      <c r="N179" s="17" t="str">
        <f t="shared" si="7"/>
        <v/>
      </c>
      <c r="O179" s="17">
        <f t="array" ref="O179">IF($A179="","",IFERROR(INDEX('Maliyet Giris'!$G$2:$G$550,MATCH($A179,'Maliyet Giris'!$A$2:$A$550,0)),""))</f>
        <v>3</v>
      </c>
      <c r="P179" s="17" t="str">
        <f t="shared" si="8"/>
        <v/>
      </c>
      <c r="Q179" s="17" t="str">
        <f t="shared" si="9"/>
        <v/>
      </c>
      <c r="R179" s="14">
        <f t="shared" si="10"/>
        <v>145.2765069</v>
      </c>
      <c r="S179" s="14">
        <f t="shared" si="11"/>
        <v>439.7234931</v>
      </c>
      <c r="T179" s="17" t="str">
        <f t="shared" si="12"/>
        <v>ÇOK KÂRLI</v>
      </c>
      <c r="U179" s="17" t="str">
        <f t="shared" si="13"/>
        <v>Stok ve BuyBox takibini artır</v>
      </c>
    </row>
    <row r="180">
      <c r="A180" s="2">
        <f>IFERROR(__xludf.DUMMYFUNCTION("""COMPUTED_VALUE"""),6.923632570003E12)</f>
        <v>6923632570003</v>
      </c>
      <c r="B180" s="17" t="str">
        <f>IFERROR(__xludf.DUMMYFUNCTION("""COMPUTED_VALUE"""),"PetFix")</f>
        <v>PetFix</v>
      </c>
      <c r="C180" s="28" t="str">
        <f>IFERROR(__xludf.DUMMYFUNCTION("""COMPUTED_VALUE"""),"Anti-Servikal 4 Ayaklı Kedi ve Köpek Mama &amp; Su Kabı")</f>
        <v>Anti-Servikal 4 Ayaklı Kedi ve Köpek Mama &amp; Su Kabı</v>
      </c>
      <c r="D180" s="14">
        <f>IFERROR(__xludf.DUMMYFUNCTION("""COMPUTED_VALUE"""),489.0)</f>
        <v>489</v>
      </c>
      <c r="E180" s="14">
        <f t="array" ref="E180">IF($A180="","",IFERROR($D180*IF($D180&gt;=INDEX('Komisyon Tarifesi'!$I$2:$I$1000,MATCH($A180,'Komisyon Tarifesi'!$B$2:$B$1000,0)),INDEX('Komisyon Tarifesi'!$O$2:$O$1000,MATCH($A180,'Komisyon Tarifesi'!$B$2:$B$1000,0)),IF($D180&gt;=INDEX('Komisyon Tarifesi'!$K$2:$K$1000,MATCH($A180,'Komisyon Tarifesi'!$B$2:$B$1000,0)),INDEX('Komisyon Tarifesi'!$P$2:$P$1000,MATCH($A180,'Komisyon Tarifesi'!$B$2:$B$1000,0)),IF($D180&gt;=INDEX('Komisyon Tarifesi'!$M$2:$M$1000,MATCH($A180,'Komisyon Tarifesi'!$B$2:$B$1000,0)),INDEX('Komisyon Tarifesi'!$Q$2:$Q$1000,MATCH($A180,'Komisyon Tarifesi'!$B$2:$B$1000,0)),INDEX('Komisyon Tarifesi'!$R$2:$R$1000,MATCH($A180,'Komisyon Tarifesi'!$B$2:$B$1000,0)))))/100,IFERROR(IF(VLOOKUP($A180,Products!$A$2:$W$1000,21,0)&lt;&gt;"",$D180*VLOOKUP($A180,Products!$A$2:$W$1000,21,0)/100,""),"")))</f>
        <v>97.8</v>
      </c>
      <c r="F180" s="14">
        <f t="array" ref="F180">IF($A180="","",IFERROR(IF(INDEX('Maliyet Giris'!$G$2:$G$550,MATCH($A180,'Maliyet Giris'!$A$2:$A$550,0))="","",IF(INDEX('Maliyet Giris'!$G$2:$G$550,MATCH($A180,'Maliyet Giris'!$A$2:$A$550,0))&lt;=2,86.4,IF(INDEX('Maliyet Giris'!$G$2:$G$550,MATCH($A180,'Maliyet Giris'!$A$2:$A$550,0))&lt;=3,90,IF(INDEX('Maliyet Giris'!$G$2:$G$550,MATCH($A180,'Maliyet Giris'!$A$2:$A$550,0))&lt;=5,102,IF(INDEX('Maliyet Giris'!$G$2:$G$550,MATCH($A180,'Maliyet Giris'!$A$2:$A$550,0))&lt;=10,159.74,IF(INDEX('Maliyet Giris'!$G$2:$G$550,MATCH($A180,'Maliyet Giris'!$A$2:$A$550,0))&lt;=15,187.5,IF(INDEX('Maliyet Giris'!$G$2:$G$550,MATCH($A180,'Maliyet Giris'!$A$2:$A$550,0))&lt;=20,225,299))))))),""))</f>
        <v>86.4</v>
      </c>
      <c r="G180" s="14">
        <f t="array" ref="G180">IF($A180="","",IFERROR(INDEX('Maliyet Giris'!$F$2:$F$550,MATCH($A180,'Maliyet Giris'!$A$2:$A$550,0)),""))</f>
        <v>130</v>
      </c>
      <c r="H180" s="14">
        <f t="shared" si="1"/>
        <v>13.19</v>
      </c>
      <c r="I180" s="14">
        <f t="shared" si="2"/>
        <v>4.075</v>
      </c>
      <c r="J180" s="14">
        <f t="shared" si="3"/>
        <v>26.935</v>
      </c>
      <c r="K180" s="14">
        <f t="shared" si="4"/>
        <v>130.6</v>
      </c>
      <c r="L180" s="15">
        <f t="shared" si="5"/>
        <v>0.2670756646</v>
      </c>
      <c r="M180" s="17" t="str">
        <f t="shared" si="6"/>
        <v>KÂRLI</v>
      </c>
      <c r="N180" s="17" t="str">
        <f t="shared" si="7"/>
        <v/>
      </c>
      <c r="O180" s="17">
        <f t="array" ref="O180">IF($A180="","",IFERROR(INDEX('Maliyet Giris'!$G$2:$G$550,MATCH($A180,'Maliyet Giris'!$A$2:$A$550,0)),""))</f>
        <v>1</v>
      </c>
      <c r="P180" s="17" t="str">
        <f t="shared" si="8"/>
        <v/>
      </c>
      <c r="Q180" s="17" t="str">
        <f t="shared" si="9"/>
        <v/>
      </c>
      <c r="R180" s="14">
        <f t="shared" si="10"/>
        <v>311.6951031</v>
      </c>
      <c r="S180" s="14">
        <f t="shared" si="11"/>
        <v>177.3048969</v>
      </c>
      <c r="T180" s="17" t="str">
        <f t="shared" si="12"/>
        <v>ÇOK KÂRLI</v>
      </c>
      <c r="U180" s="17" t="str">
        <f t="shared" si="13"/>
        <v>Stok ve BuyBox takibini artır</v>
      </c>
    </row>
    <row r="181">
      <c r="A181" s="2">
        <f>IFERROR(__xludf.DUMMYFUNCTION("""COMPUTED_VALUE"""),6.923632570001E12)</f>
        <v>6923632570001</v>
      </c>
      <c r="B181" s="17" t="str">
        <f>IFERROR(__xludf.DUMMYFUNCTION("""COMPUTED_VALUE"""),"PetFix")</f>
        <v>PetFix</v>
      </c>
      <c r="C181" s="28" t="str">
        <f>IFERROR(__xludf.DUMMYFUNCTION("""COMPUTED_VALUE"""),"Anti-Servikal 4 Ayaklı Kedi ve Köpek Mama &amp; Su Kabı")</f>
        <v>Anti-Servikal 4 Ayaklı Kedi ve Köpek Mama &amp; Su Kabı</v>
      </c>
      <c r="D181" s="14">
        <f>IFERROR(__xludf.DUMMYFUNCTION("""COMPUTED_VALUE"""),474.47)</f>
        <v>474.47</v>
      </c>
      <c r="E181" s="14">
        <f t="array" ref="E181">IF($A181="","",IFERROR($D181*IF($D181&gt;=INDEX('Komisyon Tarifesi'!$I$2:$I$1000,MATCH($A181,'Komisyon Tarifesi'!$B$2:$B$1000,0)),INDEX('Komisyon Tarifesi'!$O$2:$O$1000,MATCH($A181,'Komisyon Tarifesi'!$B$2:$B$1000,0)),IF($D181&gt;=INDEX('Komisyon Tarifesi'!$K$2:$K$1000,MATCH($A181,'Komisyon Tarifesi'!$B$2:$B$1000,0)),INDEX('Komisyon Tarifesi'!$P$2:$P$1000,MATCH($A181,'Komisyon Tarifesi'!$B$2:$B$1000,0)),IF($D181&gt;=INDEX('Komisyon Tarifesi'!$M$2:$M$1000,MATCH($A181,'Komisyon Tarifesi'!$B$2:$B$1000,0)),INDEX('Komisyon Tarifesi'!$Q$2:$Q$1000,MATCH($A181,'Komisyon Tarifesi'!$B$2:$B$1000,0)),INDEX('Komisyon Tarifesi'!$R$2:$R$1000,MATCH($A181,'Komisyon Tarifesi'!$B$2:$B$1000,0)))))/100,IFERROR(IF(VLOOKUP($A181,Products!$A$2:$W$1000,21,0)&lt;&gt;"",$D181*VLOOKUP($A181,Products!$A$2:$W$1000,21,0)/100,""),"")))</f>
        <v>94.894</v>
      </c>
      <c r="F181" s="14">
        <f t="array" ref="F181">IF($A181="","",IFERROR(IF(INDEX('Maliyet Giris'!$G$2:$G$550,MATCH($A181,'Maliyet Giris'!$A$2:$A$550,0))="","",IF(INDEX('Maliyet Giris'!$G$2:$G$550,MATCH($A181,'Maliyet Giris'!$A$2:$A$550,0))&lt;=2,86.4,IF(INDEX('Maliyet Giris'!$G$2:$G$550,MATCH($A181,'Maliyet Giris'!$A$2:$A$550,0))&lt;=3,90,IF(INDEX('Maliyet Giris'!$G$2:$G$550,MATCH($A181,'Maliyet Giris'!$A$2:$A$550,0))&lt;=5,102,IF(INDEX('Maliyet Giris'!$G$2:$G$550,MATCH($A181,'Maliyet Giris'!$A$2:$A$550,0))&lt;=10,159.74,IF(INDEX('Maliyet Giris'!$G$2:$G$550,MATCH($A181,'Maliyet Giris'!$A$2:$A$550,0))&lt;=15,187.5,IF(INDEX('Maliyet Giris'!$G$2:$G$550,MATCH($A181,'Maliyet Giris'!$A$2:$A$550,0))&lt;=20,225,299))))))),""))</f>
        <v>86.4</v>
      </c>
      <c r="G181" s="14">
        <f t="array" ref="G181">IF($A181="","",IFERROR(INDEX('Maliyet Giris'!$F$2:$F$550,MATCH($A181,'Maliyet Giris'!$A$2:$A$550,0)),""))</f>
        <v>130</v>
      </c>
      <c r="H181" s="14">
        <f t="shared" si="1"/>
        <v>13.19</v>
      </c>
      <c r="I181" s="14">
        <f t="shared" si="2"/>
        <v>3.953916667</v>
      </c>
      <c r="J181" s="14">
        <f t="shared" si="3"/>
        <v>24.99766667</v>
      </c>
      <c r="K181" s="14">
        <f t="shared" si="4"/>
        <v>121.0344167</v>
      </c>
      <c r="L181" s="15">
        <f t="shared" si="5"/>
        <v>0.2550939294</v>
      </c>
      <c r="M181" s="17" t="str">
        <f t="shared" si="6"/>
        <v>KÂRLI</v>
      </c>
      <c r="N181" s="17" t="str">
        <f t="shared" si="7"/>
        <v/>
      </c>
      <c r="O181" s="17">
        <f t="array" ref="O181">IF($A181="","",IFERROR(INDEX('Maliyet Giris'!$G$2:$G$550,MATCH($A181,'Maliyet Giris'!$A$2:$A$550,0)),""))</f>
        <v>1</v>
      </c>
      <c r="P181" s="17" t="str">
        <f t="shared" si="8"/>
        <v/>
      </c>
      <c r="Q181" s="17" t="str">
        <f t="shared" si="9"/>
        <v/>
      </c>
      <c r="R181" s="14">
        <f t="shared" si="10"/>
        <v>310.6843477</v>
      </c>
      <c r="S181" s="14">
        <f t="shared" si="11"/>
        <v>163.7856523</v>
      </c>
      <c r="T181" s="17" t="str">
        <f t="shared" si="12"/>
        <v>ÇOK KÂRLI</v>
      </c>
      <c r="U181" s="17" t="str">
        <f t="shared" si="13"/>
        <v>Stok ve BuyBox takibini artır</v>
      </c>
    </row>
    <row r="182">
      <c r="A182" s="2" t="str">
        <f>IFERROR(__xludf.DUMMYFUNCTION("""COMPUTED_VALUE"""),"SHZI001")</f>
        <v>SHZI001</v>
      </c>
      <c r="B182" s="17" t="str">
        <f>IFERROR(__xludf.DUMMYFUNCTION("""COMPUTED_VALUE"""),"Shzi")</f>
        <v>Shzi</v>
      </c>
      <c r="C182" s="28" t="str">
        <f>IFERROR(__xludf.DUMMYFUNCTION("""COMPUTED_VALUE"""),"Krema Kedi Ödül Maması 16gr (45 Adet) (3 Lezzetli)")</f>
        <v>Krema Kedi Ödül Maması 16gr (45 Adet) (3 Lezzetli)</v>
      </c>
      <c r="D182" s="14">
        <f>IFERROR(__xludf.DUMMYFUNCTION("""COMPUTED_VALUE"""),575.0)</f>
        <v>575</v>
      </c>
      <c r="E182" s="14">
        <f t="array" ref="E182">IF($A182="","",IFERROR($D182*IF($D182&gt;=INDEX('Komisyon Tarifesi'!$I$2:$I$1000,MATCH($A182,'Komisyon Tarifesi'!$B$2:$B$1000,0)),INDEX('Komisyon Tarifesi'!$O$2:$O$1000,MATCH($A182,'Komisyon Tarifesi'!$B$2:$B$1000,0)),IF($D182&gt;=INDEX('Komisyon Tarifesi'!$K$2:$K$1000,MATCH($A182,'Komisyon Tarifesi'!$B$2:$B$1000,0)),INDEX('Komisyon Tarifesi'!$P$2:$P$1000,MATCH($A182,'Komisyon Tarifesi'!$B$2:$B$1000,0)),IF($D182&gt;=INDEX('Komisyon Tarifesi'!$M$2:$M$1000,MATCH($A182,'Komisyon Tarifesi'!$B$2:$B$1000,0)),INDEX('Komisyon Tarifesi'!$Q$2:$Q$1000,MATCH($A182,'Komisyon Tarifesi'!$B$2:$B$1000,0)),INDEX('Komisyon Tarifesi'!$R$2:$R$1000,MATCH($A182,'Komisyon Tarifesi'!$B$2:$B$1000,0)))))/100,IFERROR(IF(VLOOKUP($A182,Products!$A$2:$W$1000,21,0)&lt;&gt;"",$D182*VLOOKUP($A182,Products!$A$2:$W$1000,21,0)/100,""),"")))</f>
        <v>115</v>
      </c>
      <c r="F182" s="14">
        <f t="array" ref="F182">IF($A182="","",IFERROR(IF(INDEX('Maliyet Giris'!$G$2:$G$550,MATCH($A182,'Maliyet Giris'!$A$2:$A$550,0))="","",IF(INDEX('Maliyet Giris'!$G$2:$G$550,MATCH($A182,'Maliyet Giris'!$A$2:$A$550,0))&lt;=2,86.4,IF(INDEX('Maliyet Giris'!$G$2:$G$550,MATCH($A182,'Maliyet Giris'!$A$2:$A$550,0))&lt;=3,90,IF(INDEX('Maliyet Giris'!$G$2:$G$550,MATCH($A182,'Maliyet Giris'!$A$2:$A$550,0))&lt;=5,102,IF(INDEX('Maliyet Giris'!$G$2:$G$550,MATCH($A182,'Maliyet Giris'!$A$2:$A$550,0))&lt;=10,159.74,IF(INDEX('Maliyet Giris'!$G$2:$G$550,MATCH($A182,'Maliyet Giris'!$A$2:$A$550,0))&lt;=15,187.5,IF(INDEX('Maliyet Giris'!$G$2:$G$550,MATCH($A182,'Maliyet Giris'!$A$2:$A$550,0))&lt;=20,225,299))))))),""))</f>
        <v>86.4</v>
      </c>
      <c r="G182" s="14">
        <f t="array" ref="G182">IF($A182="","",IFERROR(INDEX('Maliyet Giris'!$F$2:$F$550,MATCH($A182,'Maliyet Giris'!$A$2:$A$550,0)),""))</f>
        <v>240</v>
      </c>
      <c r="H182" s="14">
        <f t="shared" si="1"/>
        <v>13.19</v>
      </c>
      <c r="I182" s="14">
        <f t="shared" si="2"/>
        <v>4.791666667</v>
      </c>
      <c r="J182" s="14">
        <f t="shared" si="3"/>
        <v>20.06833333</v>
      </c>
      <c r="K182" s="14">
        <f t="shared" si="4"/>
        <v>95.55</v>
      </c>
      <c r="L182" s="15">
        <f t="shared" si="5"/>
        <v>0.166173913</v>
      </c>
      <c r="M182" s="17" t="str">
        <f t="shared" si="6"/>
        <v>KÂRLI</v>
      </c>
      <c r="N182" s="17" t="str">
        <f t="shared" si="7"/>
        <v/>
      </c>
      <c r="O182" s="17">
        <f t="array" ref="O182">IF($A182="","",IFERROR(INDEX('Maliyet Giris'!$G$2:$G$550,MATCH($A182,'Maliyet Giris'!$A$2:$A$550,0)),""))</f>
        <v>0.5</v>
      </c>
      <c r="P182" s="17" t="str">
        <f t="shared" si="8"/>
        <v/>
      </c>
      <c r="Q182" s="17" t="str">
        <f t="shared" si="9"/>
        <v/>
      </c>
      <c r="R182" s="14">
        <f t="shared" si="10"/>
        <v>448.738714</v>
      </c>
      <c r="S182" s="14">
        <f t="shared" si="11"/>
        <v>126.261286</v>
      </c>
      <c r="T182" s="17" t="str">
        <f t="shared" si="12"/>
        <v>SAĞLIKLI</v>
      </c>
      <c r="U182" s="17" t="str">
        <f t="shared" si="13"/>
        <v>Takip et</v>
      </c>
    </row>
    <row r="183">
      <c r="A183" s="2">
        <f>IFERROR(__xludf.DUMMYFUNCTION("""COMPUTED_VALUE"""),5.5822100929714E13)</f>
        <v>55822100929714</v>
      </c>
      <c r="B183" s="17" t="str">
        <f>IFERROR(__xludf.DUMMYFUNCTION("""COMPUTED_VALUE"""),"Miamor")</f>
        <v>Miamor</v>
      </c>
      <c r="C183" s="28" t="str">
        <f>IFERROR(__xludf.DUMMYFUNCTION("""COMPUTED_VALUE"""),"Cream 4 Çeşit Kedi Kreaması 6 x 15 Gr. 4 Lü Paket")</f>
        <v>Cream 4 Çeşit Kedi Kreaması 6 x 15 Gr. 4 Lü Paket</v>
      </c>
      <c r="D183" s="14">
        <f>IFERROR(__xludf.DUMMYFUNCTION("""COMPUTED_VALUE"""),965.0)</f>
        <v>965</v>
      </c>
      <c r="E183" s="14">
        <f t="array" ref="E183">IF($A183="","",IFERROR($D183*IF($D183&gt;=INDEX('Komisyon Tarifesi'!$I$2:$I$1000,MATCH($A183,'Komisyon Tarifesi'!$B$2:$B$1000,0)),INDEX('Komisyon Tarifesi'!$O$2:$O$1000,MATCH($A183,'Komisyon Tarifesi'!$B$2:$B$1000,0)),IF($D183&gt;=INDEX('Komisyon Tarifesi'!$K$2:$K$1000,MATCH($A183,'Komisyon Tarifesi'!$B$2:$B$1000,0)),INDEX('Komisyon Tarifesi'!$P$2:$P$1000,MATCH($A183,'Komisyon Tarifesi'!$B$2:$B$1000,0)),IF($D183&gt;=INDEX('Komisyon Tarifesi'!$M$2:$M$1000,MATCH($A183,'Komisyon Tarifesi'!$B$2:$B$1000,0)),INDEX('Komisyon Tarifesi'!$Q$2:$Q$1000,MATCH($A183,'Komisyon Tarifesi'!$B$2:$B$1000,0)),INDEX('Komisyon Tarifesi'!$R$2:$R$1000,MATCH($A183,'Komisyon Tarifesi'!$B$2:$B$1000,0)))))/100,IFERROR(IF(VLOOKUP($A183,Products!$A$2:$W$1000,21,0)&lt;&gt;"",$D183*VLOOKUP($A183,Products!$A$2:$W$1000,21,0)/100,""),"")))</f>
        <v>193</v>
      </c>
      <c r="F183" s="14">
        <f t="array" ref="F183">IF($A183="","",IFERROR(IF(INDEX('Maliyet Giris'!$G$2:$G$550,MATCH($A183,'Maliyet Giris'!$A$2:$A$550,0))="","",IF(INDEX('Maliyet Giris'!$G$2:$G$550,MATCH($A183,'Maliyet Giris'!$A$2:$A$550,0))&lt;=2,86.4,IF(INDEX('Maliyet Giris'!$G$2:$G$550,MATCH($A183,'Maliyet Giris'!$A$2:$A$550,0))&lt;=3,90,IF(INDEX('Maliyet Giris'!$G$2:$G$550,MATCH($A183,'Maliyet Giris'!$A$2:$A$550,0))&lt;=5,102,IF(INDEX('Maliyet Giris'!$G$2:$G$550,MATCH($A183,'Maliyet Giris'!$A$2:$A$550,0))&lt;=10,159.74,IF(INDEX('Maliyet Giris'!$G$2:$G$550,MATCH($A183,'Maliyet Giris'!$A$2:$A$550,0))&lt;=15,187.5,IF(INDEX('Maliyet Giris'!$G$2:$G$550,MATCH($A183,'Maliyet Giris'!$A$2:$A$550,0))&lt;=20,225,299))))))),""))</f>
        <v>86.4</v>
      </c>
      <c r="G183" s="14">
        <f t="array" ref="G183">IF($A183="","",IFERROR(INDEX('Maliyet Giris'!$F$2:$F$550,MATCH($A183,'Maliyet Giris'!$A$2:$A$550,0)),""))</f>
        <v>696</v>
      </c>
      <c r="H183" s="14">
        <f t="shared" si="1"/>
        <v>13.19</v>
      </c>
      <c r="I183" s="14">
        <f t="shared" si="2"/>
        <v>8.041666667</v>
      </c>
      <c r="J183" s="14">
        <f t="shared" si="3"/>
        <v>0</v>
      </c>
      <c r="K183" s="14">
        <f t="shared" si="4"/>
        <v>-31.63166667</v>
      </c>
      <c r="L183" s="15">
        <f t="shared" si="5"/>
        <v>-0.03277892919</v>
      </c>
      <c r="M183" s="17" t="str">
        <f t="shared" si="6"/>
        <v>ZARAR</v>
      </c>
      <c r="N183" s="17" t="str">
        <f t="shared" si="7"/>
        <v/>
      </c>
      <c r="O183" s="17">
        <f t="array" ref="O183">IF($A183="","",IFERROR(INDEX('Maliyet Giris'!$G$2:$G$550,MATCH($A183,'Maliyet Giris'!$A$2:$A$550,0)),""))</f>
        <v>0.5</v>
      </c>
      <c r="P183" s="17" t="str">
        <f t="shared" si="8"/>
        <v/>
      </c>
      <c r="Q183" s="17" t="str">
        <f t="shared" si="9"/>
        <v/>
      </c>
      <c r="R183" s="14">
        <f t="shared" si="10"/>
        <v>1004.955366</v>
      </c>
      <c r="S183" s="14">
        <f t="shared" si="11"/>
        <v>-39.95536633</v>
      </c>
      <c r="T183" s="17" t="str">
        <f t="shared" si="12"/>
        <v>ZARAR</v>
      </c>
      <c r="U183" s="17" t="str">
        <f t="shared" si="13"/>
        <v>Fiyat, maliyet veya kampanya kontrol et</v>
      </c>
    </row>
    <row r="184">
      <c r="A184" s="2" t="str">
        <f>IFERROR(__xludf.DUMMYFUNCTION("""COMPUTED_VALUE"""),"TYB2K1SGFGO301J268")</f>
        <v>TYB2K1SGFGO301J268</v>
      </c>
      <c r="B184" s="17" t="str">
        <f>IFERROR(__xludf.DUMMYFUNCTION("""COMPUTED_VALUE"""),"Pro Plan")</f>
        <v>Pro Plan</v>
      </c>
      <c r="C184" s="28" t="str">
        <f>IFERROR(__xludf.DUMMYFUNCTION("""COMPUTED_VALUE"""),"Junior Tavuklu Yavru Kedi Konservesi 85gr X 24adet")</f>
        <v>Junior Tavuklu Yavru Kedi Konservesi 85gr X 24adet</v>
      </c>
      <c r="D184" s="14">
        <f>IFERROR(__xludf.DUMMYFUNCTION("""COMPUTED_VALUE"""),795.0)</f>
        <v>795</v>
      </c>
      <c r="E184" s="14">
        <f t="array" ref="E184">IF($A184="","",IFERROR($D184*IF($D184&gt;=INDEX('Komisyon Tarifesi'!$I$2:$I$1000,MATCH($A184,'Komisyon Tarifesi'!$B$2:$B$1000,0)),INDEX('Komisyon Tarifesi'!$O$2:$O$1000,MATCH($A184,'Komisyon Tarifesi'!$B$2:$B$1000,0)),IF($D184&gt;=INDEX('Komisyon Tarifesi'!$K$2:$K$1000,MATCH($A184,'Komisyon Tarifesi'!$B$2:$B$1000,0)),INDEX('Komisyon Tarifesi'!$P$2:$P$1000,MATCH($A184,'Komisyon Tarifesi'!$B$2:$B$1000,0)),IF($D184&gt;=INDEX('Komisyon Tarifesi'!$M$2:$M$1000,MATCH($A184,'Komisyon Tarifesi'!$B$2:$B$1000,0)),INDEX('Komisyon Tarifesi'!$Q$2:$Q$1000,MATCH($A184,'Komisyon Tarifesi'!$B$2:$B$1000,0)),INDEX('Komisyon Tarifesi'!$R$2:$R$1000,MATCH($A184,'Komisyon Tarifesi'!$B$2:$B$1000,0)))))/100,IFERROR(IF(VLOOKUP($A184,Products!$A$2:$W$1000,21,0)&lt;&gt;"",$D184*VLOOKUP($A184,Products!$A$2:$W$1000,21,0)/100,""),"")))</f>
        <v>66.78</v>
      </c>
      <c r="F184" s="14">
        <f t="array" ref="F184">IF($A184="","",IFERROR(IF(INDEX('Maliyet Giris'!$G$2:$G$550,MATCH($A184,'Maliyet Giris'!$A$2:$A$550,0))="","",IF(INDEX('Maliyet Giris'!$G$2:$G$550,MATCH($A184,'Maliyet Giris'!$A$2:$A$550,0))&lt;=2,86.4,IF(INDEX('Maliyet Giris'!$G$2:$G$550,MATCH($A184,'Maliyet Giris'!$A$2:$A$550,0))&lt;=3,90,IF(INDEX('Maliyet Giris'!$G$2:$G$550,MATCH($A184,'Maliyet Giris'!$A$2:$A$550,0))&lt;=5,102,IF(INDEX('Maliyet Giris'!$G$2:$G$550,MATCH($A184,'Maliyet Giris'!$A$2:$A$550,0))&lt;=10,159.74,IF(INDEX('Maliyet Giris'!$G$2:$G$550,MATCH($A184,'Maliyet Giris'!$A$2:$A$550,0))&lt;=15,187.5,IF(INDEX('Maliyet Giris'!$G$2:$G$550,MATCH($A184,'Maliyet Giris'!$A$2:$A$550,0))&lt;=20,225,299))))))),""))</f>
        <v>90</v>
      </c>
      <c r="G184" s="14">
        <f t="array" ref="G184">IF($A184="","",IFERROR(INDEX('Maliyet Giris'!$F$2:$F$550,MATCH($A184,'Maliyet Giris'!$A$2:$A$550,0)),""))</f>
        <v>570</v>
      </c>
      <c r="H184" s="14">
        <f t="shared" si="1"/>
        <v>13.19</v>
      </c>
      <c r="I184" s="14">
        <f t="shared" si="2"/>
        <v>6.625</v>
      </c>
      <c r="J184" s="14">
        <f t="shared" si="3"/>
        <v>9.171666667</v>
      </c>
      <c r="K184" s="14">
        <f t="shared" si="4"/>
        <v>39.23333333</v>
      </c>
      <c r="L184" s="15">
        <f t="shared" si="5"/>
        <v>0.04935010482</v>
      </c>
      <c r="M184" s="17" t="str">
        <f t="shared" si="6"/>
        <v>KÂRLI</v>
      </c>
      <c r="N184" s="17" t="str">
        <f t="shared" si="7"/>
        <v/>
      </c>
      <c r="O184" s="17">
        <f t="array" ref="O184">IF($A184="","",IFERROR(INDEX('Maliyet Giris'!$G$2:$G$550,MATCH($A184,'Maliyet Giris'!$A$2:$A$550,0)),""))</f>
        <v>3</v>
      </c>
      <c r="P184" s="17" t="str">
        <f t="shared" si="8"/>
        <v/>
      </c>
      <c r="Q184" s="17" t="str">
        <f t="shared" si="9"/>
        <v/>
      </c>
      <c r="R184" s="14">
        <f t="shared" si="10"/>
        <v>751.2188693</v>
      </c>
      <c r="S184" s="14">
        <f t="shared" si="11"/>
        <v>43.7811307</v>
      </c>
      <c r="T184" s="17" t="str">
        <f t="shared" si="12"/>
        <v>DÜŞÜK KÂR</v>
      </c>
      <c r="U184" s="17" t="str">
        <f t="shared" si="13"/>
        <v>Reklam/komisyon etkisini kontrol et</v>
      </c>
    </row>
    <row r="185">
      <c r="A185" s="2">
        <f>IFERROR(__xludf.DUMMYFUNCTION("""COMPUTED_VALUE"""),985474.0)</f>
        <v>985474</v>
      </c>
      <c r="B185" s="17" t="str">
        <f>IFERROR(__xludf.DUMMYFUNCTION("""COMPUTED_VALUE"""),"Pro Plan")</f>
        <v>Pro Plan</v>
      </c>
      <c r="C185" s="28" t="str">
        <f>IFERROR(__xludf.DUMMYFUNCTION("""COMPUTED_VALUE"""),"Proplan Sterilised Somon Kısır Kedi Konservesi 85 Gr X 12 Adet Yaş Mama")</f>
        <v>Proplan Sterilised Somon Kısır Kedi Konservesi 85 Gr X 12 Adet Yaş Mama</v>
      </c>
      <c r="D185" s="14">
        <f>IFERROR(__xludf.DUMMYFUNCTION("""COMPUTED_VALUE"""),520.0)</f>
        <v>520</v>
      </c>
      <c r="E185" s="14">
        <f t="array" ref="E185">IF($A185="","",IFERROR($D185*IF($D185&gt;=INDEX('Komisyon Tarifesi'!$I$2:$I$1000,MATCH($A185,'Komisyon Tarifesi'!$B$2:$B$1000,0)),INDEX('Komisyon Tarifesi'!$O$2:$O$1000,MATCH($A185,'Komisyon Tarifesi'!$B$2:$B$1000,0)),IF($D185&gt;=INDEX('Komisyon Tarifesi'!$K$2:$K$1000,MATCH($A185,'Komisyon Tarifesi'!$B$2:$B$1000,0)),INDEX('Komisyon Tarifesi'!$P$2:$P$1000,MATCH($A185,'Komisyon Tarifesi'!$B$2:$B$1000,0)),IF($D185&gt;=INDEX('Komisyon Tarifesi'!$M$2:$M$1000,MATCH($A185,'Komisyon Tarifesi'!$B$2:$B$1000,0)),INDEX('Komisyon Tarifesi'!$Q$2:$Q$1000,MATCH($A185,'Komisyon Tarifesi'!$B$2:$B$1000,0)),INDEX('Komisyon Tarifesi'!$R$2:$R$1000,MATCH($A185,'Komisyon Tarifesi'!$B$2:$B$1000,0)))))/100,IFERROR(IF(VLOOKUP($A185,Products!$A$2:$W$1000,21,0)&lt;&gt;"",$D185*VLOOKUP($A185,Products!$A$2:$W$1000,21,0)/100,""),"")))</f>
        <v>48.36</v>
      </c>
      <c r="F185" s="14">
        <f t="array" ref="F185">IF($A185="","",IFERROR(IF(INDEX('Maliyet Giris'!$G$2:$G$550,MATCH($A185,'Maliyet Giris'!$A$2:$A$550,0))="","",IF(INDEX('Maliyet Giris'!$G$2:$G$550,MATCH($A185,'Maliyet Giris'!$A$2:$A$550,0))&lt;=2,86.4,IF(INDEX('Maliyet Giris'!$G$2:$G$550,MATCH($A185,'Maliyet Giris'!$A$2:$A$550,0))&lt;=3,90,IF(INDEX('Maliyet Giris'!$G$2:$G$550,MATCH($A185,'Maliyet Giris'!$A$2:$A$550,0))&lt;=5,102,IF(INDEX('Maliyet Giris'!$G$2:$G$550,MATCH($A185,'Maliyet Giris'!$A$2:$A$550,0))&lt;=10,159.74,IF(INDEX('Maliyet Giris'!$G$2:$G$550,MATCH($A185,'Maliyet Giris'!$A$2:$A$550,0))&lt;=15,187.5,IF(INDEX('Maliyet Giris'!$G$2:$G$550,MATCH($A185,'Maliyet Giris'!$A$2:$A$550,0))&lt;=20,225,299))))))),""))</f>
        <v>90</v>
      </c>
      <c r="G185" s="14">
        <f t="array" ref="G185">IF($A185="","",IFERROR(INDEX('Maliyet Giris'!$F$2:$F$550,MATCH($A185,'Maliyet Giris'!$A$2:$A$550,0)),""))</f>
        <v>350</v>
      </c>
      <c r="H185" s="14">
        <f t="shared" si="1"/>
        <v>13.19</v>
      </c>
      <c r="I185" s="14">
        <f t="shared" si="2"/>
        <v>4.333333333</v>
      </c>
      <c r="J185" s="14">
        <f t="shared" si="3"/>
        <v>3.075</v>
      </c>
      <c r="K185" s="14">
        <f t="shared" si="4"/>
        <v>11.04166667</v>
      </c>
      <c r="L185" s="15">
        <f t="shared" si="5"/>
        <v>0.02123397436</v>
      </c>
      <c r="M185" s="17" t="str">
        <f t="shared" si="6"/>
        <v>KÂRLI</v>
      </c>
      <c r="N185" s="17" t="str">
        <f t="shared" si="7"/>
        <v/>
      </c>
      <c r="O185" s="17">
        <f t="array" ref="O185">IF($A185="","",IFERROR(INDEX('Maliyet Giris'!$G$2:$G$550,MATCH($A185,'Maliyet Giris'!$A$2:$A$550,0)),""))</f>
        <v>3</v>
      </c>
      <c r="P185" s="17" t="str">
        <f t="shared" si="8"/>
        <v/>
      </c>
      <c r="Q185" s="17" t="str">
        <f t="shared" si="9"/>
        <v/>
      </c>
      <c r="R185" s="14">
        <f t="shared" si="10"/>
        <v>507.631704</v>
      </c>
      <c r="S185" s="14">
        <f t="shared" si="11"/>
        <v>12.36829598</v>
      </c>
      <c r="T185" s="17" t="str">
        <f t="shared" si="12"/>
        <v>RİSKLİ</v>
      </c>
      <c r="U185" s="17" t="str">
        <f t="shared" si="13"/>
        <v>Minimum fiyat altına düşme</v>
      </c>
    </row>
    <row r="186">
      <c r="A186" s="2">
        <f>IFERROR(__xludf.DUMMYFUNCTION("""COMPUTED_VALUE"""),8.6974221000021E13)</f>
        <v>86974221000021</v>
      </c>
      <c r="B186" s="17" t="str">
        <f>IFERROR(__xludf.DUMMYFUNCTION("""COMPUTED_VALUE"""),"Pro Plan")</f>
        <v>Pro Plan</v>
      </c>
      <c r="C186" s="28" t="str">
        <f>IFERROR(__xludf.DUMMYFUNCTION("""COMPUTED_VALUE"""),"Junior Tavuklu Yavru Kedi Konservesi 85 Gr X 12 Adet")</f>
        <v>Junior Tavuklu Yavru Kedi Konservesi 85 Gr X 12 Adet</v>
      </c>
      <c r="D186" s="14">
        <f>IFERROR(__xludf.DUMMYFUNCTION("""COMPUTED_VALUE"""),462.06)</f>
        <v>462.06</v>
      </c>
      <c r="E186" s="14">
        <f t="array" ref="E186">IF($A186="","",IFERROR($D186*IF($D186&gt;=INDEX('Komisyon Tarifesi'!$I$2:$I$1000,MATCH($A186,'Komisyon Tarifesi'!$B$2:$B$1000,0)),INDEX('Komisyon Tarifesi'!$O$2:$O$1000,MATCH($A186,'Komisyon Tarifesi'!$B$2:$B$1000,0)),IF($D186&gt;=INDEX('Komisyon Tarifesi'!$K$2:$K$1000,MATCH($A186,'Komisyon Tarifesi'!$B$2:$B$1000,0)),INDEX('Komisyon Tarifesi'!$P$2:$P$1000,MATCH($A186,'Komisyon Tarifesi'!$B$2:$B$1000,0)),IF($D186&gt;=INDEX('Komisyon Tarifesi'!$M$2:$M$1000,MATCH($A186,'Komisyon Tarifesi'!$B$2:$B$1000,0)),INDEX('Komisyon Tarifesi'!$Q$2:$Q$1000,MATCH($A186,'Komisyon Tarifesi'!$B$2:$B$1000,0)),INDEX('Komisyon Tarifesi'!$R$2:$R$1000,MATCH($A186,'Komisyon Tarifesi'!$B$2:$B$1000,0)))))/100,IFERROR(IF(VLOOKUP($A186,Products!$A$2:$W$1000,21,0)&lt;&gt;"",$D186*VLOOKUP($A186,Products!$A$2:$W$1000,21,0)/100,""),"")))</f>
        <v>42.04746</v>
      </c>
      <c r="F186" s="14">
        <f t="array" ref="F186">IF($A186="","",IFERROR(IF(INDEX('Maliyet Giris'!$G$2:$G$550,MATCH($A186,'Maliyet Giris'!$A$2:$A$550,0))="","",IF(INDEX('Maliyet Giris'!$G$2:$G$550,MATCH($A186,'Maliyet Giris'!$A$2:$A$550,0))&lt;=2,86.4,IF(INDEX('Maliyet Giris'!$G$2:$G$550,MATCH($A186,'Maliyet Giris'!$A$2:$A$550,0))&lt;=3,90,IF(INDEX('Maliyet Giris'!$G$2:$G$550,MATCH($A186,'Maliyet Giris'!$A$2:$A$550,0))&lt;=5,102,IF(INDEX('Maliyet Giris'!$G$2:$G$550,MATCH($A186,'Maliyet Giris'!$A$2:$A$550,0))&lt;=10,159.74,IF(INDEX('Maliyet Giris'!$G$2:$G$550,MATCH($A186,'Maliyet Giris'!$A$2:$A$550,0))&lt;=15,187.5,IF(INDEX('Maliyet Giris'!$G$2:$G$550,MATCH($A186,'Maliyet Giris'!$A$2:$A$550,0))&lt;=20,225,299))))))),""))</f>
        <v>90</v>
      </c>
      <c r="G186" s="14">
        <f t="array" ref="G186">IF($A186="","",IFERROR(INDEX('Maliyet Giris'!$F$2:$F$550,MATCH($A186,'Maliyet Giris'!$A$2:$A$550,0)),""))</f>
        <v>320</v>
      </c>
      <c r="H186" s="14">
        <f t="shared" si="1"/>
        <v>13.19</v>
      </c>
      <c r="I186" s="14">
        <f t="shared" si="2"/>
        <v>3.8505</v>
      </c>
      <c r="J186" s="14">
        <f t="shared" si="3"/>
        <v>0</v>
      </c>
      <c r="K186" s="14">
        <f t="shared" si="4"/>
        <v>-7.02796</v>
      </c>
      <c r="L186" s="15">
        <f t="shared" si="5"/>
        <v>-0.0152100593</v>
      </c>
      <c r="M186" s="17" t="str">
        <f t="shared" si="6"/>
        <v>ZARAR</v>
      </c>
      <c r="N186" s="17" t="str">
        <f t="shared" si="7"/>
        <v/>
      </c>
      <c r="O186" s="17">
        <f t="array" ref="O186">IF($A186="","",IFERROR(INDEX('Maliyet Giris'!$G$2:$G$550,MATCH($A186,'Maliyet Giris'!$A$2:$A$550,0)),""))</f>
        <v>3</v>
      </c>
      <c r="P186" s="17" t="str">
        <f t="shared" si="8"/>
        <v/>
      </c>
      <c r="Q186" s="17" t="str">
        <f t="shared" si="9"/>
        <v/>
      </c>
      <c r="R186" s="14">
        <f t="shared" si="10"/>
        <v>469.8628905</v>
      </c>
      <c r="S186" s="14">
        <f t="shared" si="11"/>
        <v>-7.802890502</v>
      </c>
      <c r="T186" s="17" t="str">
        <f t="shared" si="12"/>
        <v>ZARAR</v>
      </c>
      <c r="U186" s="17" t="str">
        <f t="shared" si="13"/>
        <v>Fiyat, maliyet veya kampanya kontrol et</v>
      </c>
    </row>
    <row r="187">
      <c r="A187" s="2">
        <f>IFERROR(__xludf.DUMMYFUNCTION("""COMPUTED_VALUE"""),7.7548176924615E13)</f>
        <v>77548176924615</v>
      </c>
      <c r="B187" s="17" t="str">
        <f>IFERROR(__xludf.DUMMYFUNCTION("""COMPUTED_VALUE"""),"Pro Plan")</f>
        <v>Pro Plan</v>
      </c>
      <c r="C187" s="28" t="str">
        <f>IFERROR(__xludf.DUMMYFUNCTION("""COMPUTED_VALUE"""),"Baby Kitten Yavru Kedi Ve Emziren Anne Yaş Kedi Maması 85 Gr. X 24 Adet")</f>
        <v>Baby Kitten Yavru Kedi Ve Emziren Anne Yaş Kedi Maması 85 Gr. X 24 Adet</v>
      </c>
      <c r="D187" s="14">
        <f>IFERROR(__xludf.DUMMYFUNCTION("""COMPUTED_VALUE"""),1191.94)</f>
        <v>1191.94</v>
      </c>
      <c r="E187" s="14">
        <f t="array" ref="E187">IF($A187="","",IFERROR($D187*IF($D187&gt;=INDEX('Komisyon Tarifesi'!$I$2:$I$1000,MATCH($A187,'Komisyon Tarifesi'!$B$2:$B$1000,0)),INDEX('Komisyon Tarifesi'!$O$2:$O$1000,MATCH($A187,'Komisyon Tarifesi'!$B$2:$B$1000,0)),IF($D187&gt;=INDEX('Komisyon Tarifesi'!$K$2:$K$1000,MATCH($A187,'Komisyon Tarifesi'!$B$2:$B$1000,0)),INDEX('Komisyon Tarifesi'!$P$2:$P$1000,MATCH($A187,'Komisyon Tarifesi'!$B$2:$B$1000,0)),IF($D187&gt;=INDEX('Komisyon Tarifesi'!$M$2:$M$1000,MATCH($A187,'Komisyon Tarifesi'!$B$2:$B$1000,0)),INDEX('Komisyon Tarifesi'!$Q$2:$Q$1000,MATCH($A187,'Komisyon Tarifesi'!$B$2:$B$1000,0)),INDEX('Komisyon Tarifesi'!$R$2:$R$1000,MATCH($A187,'Komisyon Tarifesi'!$B$2:$B$1000,0)))))/100,IFERROR(IF(VLOOKUP($A187,Products!$A$2:$W$1000,21,0)&lt;&gt;"",$D187*VLOOKUP($A187,Products!$A$2:$W$1000,21,0)/100,""),"")))</f>
        <v>148.9925</v>
      </c>
      <c r="F187" s="14">
        <f t="array" ref="F187">IF($A187="","",IFERROR(IF(INDEX('Maliyet Giris'!$G$2:$G$550,MATCH($A187,'Maliyet Giris'!$A$2:$A$550,0))="","",IF(INDEX('Maliyet Giris'!$G$2:$G$550,MATCH($A187,'Maliyet Giris'!$A$2:$A$550,0))&lt;=2,86.4,IF(INDEX('Maliyet Giris'!$G$2:$G$550,MATCH($A187,'Maliyet Giris'!$A$2:$A$550,0))&lt;=3,90,IF(INDEX('Maliyet Giris'!$G$2:$G$550,MATCH($A187,'Maliyet Giris'!$A$2:$A$550,0))&lt;=5,102,IF(INDEX('Maliyet Giris'!$G$2:$G$550,MATCH($A187,'Maliyet Giris'!$A$2:$A$550,0))&lt;=10,159.74,IF(INDEX('Maliyet Giris'!$G$2:$G$550,MATCH($A187,'Maliyet Giris'!$A$2:$A$550,0))&lt;=15,187.5,IF(INDEX('Maliyet Giris'!$G$2:$G$550,MATCH($A187,'Maliyet Giris'!$A$2:$A$550,0))&lt;=20,225,299))))))),""))</f>
        <v>90</v>
      </c>
      <c r="G187" s="14">
        <f t="array" ref="G187">IF($A187="","",IFERROR(INDEX('Maliyet Giris'!$F$2:$F$550,MATCH($A187,'Maliyet Giris'!$A$2:$A$550,0)),""))</f>
        <v>570</v>
      </c>
      <c r="H187" s="14">
        <f t="shared" si="1"/>
        <v>13.19</v>
      </c>
      <c r="I187" s="14">
        <f t="shared" si="2"/>
        <v>9.932833333</v>
      </c>
      <c r="J187" s="14">
        <f t="shared" si="3"/>
        <v>61.62625</v>
      </c>
      <c r="K187" s="14">
        <f t="shared" si="4"/>
        <v>298.1984167</v>
      </c>
      <c r="L187" s="15">
        <f t="shared" si="5"/>
        <v>0.2501790498</v>
      </c>
      <c r="M187" s="17" t="str">
        <f t="shared" si="6"/>
        <v>KÂRLI</v>
      </c>
      <c r="N187" s="17" t="str">
        <f t="shared" si="7"/>
        <v/>
      </c>
      <c r="O187" s="17">
        <f t="array" ref="O187">IF($A187="","",IFERROR(INDEX('Maliyet Giris'!$G$2:$G$550,MATCH($A187,'Maliyet Giris'!$A$2:$A$550,0)),""))</f>
        <v>3</v>
      </c>
      <c r="P187" s="17" t="str">
        <f t="shared" si="8"/>
        <v/>
      </c>
      <c r="Q187" s="17" t="str">
        <f t="shared" si="9"/>
        <v/>
      </c>
      <c r="R187" s="14">
        <f t="shared" si="10"/>
        <v>826.035957</v>
      </c>
      <c r="S187" s="14">
        <f t="shared" si="11"/>
        <v>365.904043</v>
      </c>
      <c r="T187" s="17" t="str">
        <f t="shared" si="12"/>
        <v>ÇOK KÂRLI</v>
      </c>
      <c r="U187" s="17" t="str">
        <f t="shared" si="13"/>
        <v>Stok ve BuyBox takibini artır</v>
      </c>
    </row>
    <row r="188">
      <c r="A188" s="2" t="str">
        <f>IFERROR(__xludf.DUMMYFUNCTION("""COMPUTED_VALUE"""),"TYB3VN9XX65LIUL871")</f>
        <v>TYB3VN9XX65LIUL871</v>
      </c>
      <c r="B188" s="17" t="str">
        <f>IFERROR(__xludf.DUMMYFUNCTION("""COMPUTED_VALUE"""),"Pro Plan")</f>
        <v>Pro Plan</v>
      </c>
      <c r="C188" s="28" t="str">
        <f>IFERROR(__xludf.DUMMYFUNCTION("""COMPUTED_VALUE"""),"Sterilised Somonlu Kısırlaştırılmış Kedi Konservesi 85 Gr X 24 Adet")</f>
        <v>Sterilised Somonlu Kısırlaştırılmış Kedi Konservesi 85 Gr X 24 Adet</v>
      </c>
      <c r="D188" s="14">
        <f>IFERROR(__xludf.DUMMYFUNCTION("""COMPUTED_VALUE"""),932.84)</f>
        <v>932.84</v>
      </c>
      <c r="E188" s="14">
        <f t="array" ref="E188">IF($A188="","",IFERROR($D188*IF($D188&gt;=INDEX('Komisyon Tarifesi'!$I$2:$I$1000,MATCH($A188,'Komisyon Tarifesi'!$B$2:$B$1000,0)),INDEX('Komisyon Tarifesi'!$O$2:$O$1000,MATCH($A188,'Komisyon Tarifesi'!$B$2:$B$1000,0)),IF($D188&gt;=INDEX('Komisyon Tarifesi'!$K$2:$K$1000,MATCH($A188,'Komisyon Tarifesi'!$B$2:$B$1000,0)),INDEX('Komisyon Tarifesi'!$P$2:$P$1000,MATCH($A188,'Komisyon Tarifesi'!$B$2:$B$1000,0)),IF($D188&gt;=INDEX('Komisyon Tarifesi'!$M$2:$M$1000,MATCH($A188,'Komisyon Tarifesi'!$B$2:$B$1000,0)),INDEX('Komisyon Tarifesi'!$Q$2:$Q$1000,MATCH($A188,'Komisyon Tarifesi'!$B$2:$B$1000,0)),INDEX('Komisyon Tarifesi'!$R$2:$R$1000,MATCH($A188,'Komisyon Tarifesi'!$B$2:$B$1000,0)))))/100,IFERROR(IF(VLOOKUP($A188,Products!$A$2:$W$1000,21,0)&lt;&gt;"",$D188*VLOOKUP($A188,Products!$A$2:$W$1000,21,0)/100,""),"")))</f>
        <v>83.02276</v>
      </c>
      <c r="F188" s="14">
        <f t="array" ref="F188">IF($A188="","",IFERROR(IF(INDEX('Maliyet Giris'!$G$2:$G$550,MATCH($A188,'Maliyet Giris'!$A$2:$A$550,0))="","",IF(INDEX('Maliyet Giris'!$G$2:$G$550,MATCH($A188,'Maliyet Giris'!$A$2:$A$550,0))&lt;=2,86.4,IF(INDEX('Maliyet Giris'!$G$2:$G$550,MATCH($A188,'Maliyet Giris'!$A$2:$A$550,0))&lt;=3,90,IF(INDEX('Maliyet Giris'!$G$2:$G$550,MATCH($A188,'Maliyet Giris'!$A$2:$A$550,0))&lt;=5,102,IF(INDEX('Maliyet Giris'!$G$2:$G$550,MATCH($A188,'Maliyet Giris'!$A$2:$A$550,0))&lt;=10,159.74,IF(INDEX('Maliyet Giris'!$G$2:$G$550,MATCH($A188,'Maliyet Giris'!$A$2:$A$550,0))&lt;=15,187.5,IF(INDEX('Maliyet Giris'!$G$2:$G$550,MATCH($A188,'Maliyet Giris'!$A$2:$A$550,0))&lt;=20,225,299))))))),""))</f>
        <v>90</v>
      </c>
      <c r="G188" s="14">
        <f t="array" ref="G188">IF($A188="","",IFERROR(INDEX('Maliyet Giris'!$F$2:$F$550,MATCH($A188,'Maliyet Giris'!$A$2:$A$550,0)),""))</f>
        <v>576</v>
      </c>
      <c r="H188" s="14">
        <f t="shared" si="1"/>
        <v>13.19</v>
      </c>
      <c r="I188" s="14">
        <f t="shared" si="2"/>
        <v>7.773666667</v>
      </c>
      <c r="J188" s="14">
        <f t="shared" si="3"/>
        <v>28.43787333</v>
      </c>
      <c r="K188" s="14">
        <f t="shared" si="4"/>
        <v>134.4157</v>
      </c>
      <c r="L188" s="15">
        <f t="shared" si="5"/>
        <v>0.1440929849</v>
      </c>
      <c r="M188" s="17" t="str">
        <f t="shared" si="6"/>
        <v>KÂRLI</v>
      </c>
      <c r="N188" s="17" t="str">
        <f t="shared" si="7"/>
        <v/>
      </c>
      <c r="O188" s="17">
        <f t="array" ref="O188">IF($A188="","",IFERROR(INDEX('Maliyet Giris'!$G$2:$G$550,MATCH($A188,'Maliyet Giris'!$A$2:$A$550,0)),""))</f>
        <v>3</v>
      </c>
      <c r="P188" s="17" t="str">
        <f t="shared" si="8"/>
        <v/>
      </c>
      <c r="Q188" s="17" t="str">
        <f t="shared" si="9"/>
        <v/>
      </c>
      <c r="R188" s="14">
        <f t="shared" si="10"/>
        <v>778.725318</v>
      </c>
      <c r="S188" s="14">
        <f t="shared" si="11"/>
        <v>154.114682</v>
      </c>
      <c r="T188" s="17" t="str">
        <f t="shared" si="12"/>
        <v>SAĞLIKLI</v>
      </c>
      <c r="U188" s="17" t="str">
        <f t="shared" si="13"/>
        <v>Takip et</v>
      </c>
    </row>
    <row r="189">
      <c r="A189" s="2" t="str">
        <f>IFERROR(__xludf.DUMMYFUNCTION("""COMPUTED_VALUE"""),"TYBM82Z5G9IUUW2U93")</f>
        <v>TYBM82Z5G9IUUW2U93</v>
      </c>
      <c r="B189" s="17" t="str">
        <f>IFERROR(__xludf.DUMMYFUNCTION("""COMPUTED_VALUE"""),"Gourmet")</f>
        <v>Gourmet</v>
      </c>
      <c r="C189" s="28" t="str">
        <f>IFERROR(__xludf.DUMMYFUNCTION("""COMPUTED_VALUE"""),"Gold Kıyılmış Ton Balıklı Kedi Konservesi 24x85gr")</f>
        <v>Gold Kıyılmış Ton Balıklı Kedi Konservesi 24x85gr</v>
      </c>
      <c r="D189" s="14">
        <f>IFERROR(__xludf.DUMMYFUNCTION("""COMPUTED_VALUE"""),820.51)</f>
        <v>820.51</v>
      </c>
      <c r="E189" s="14">
        <f t="array" ref="E189">IF($A189="","",IFERROR($D189*IF($D189&gt;=INDEX('Komisyon Tarifesi'!$I$2:$I$1000,MATCH($A189,'Komisyon Tarifesi'!$B$2:$B$1000,0)),INDEX('Komisyon Tarifesi'!$O$2:$O$1000,MATCH($A189,'Komisyon Tarifesi'!$B$2:$B$1000,0)),IF($D189&gt;=INDEX('Komisyon Tarifesi'!$K$2:$K$1000,MATCH($A189,'Komisyon Tarifesi'!$B$2:$B$1000,0)),INDEX('Komisyon Tarifesi'!$P$2:$P$1000,MATCH($A189,'Komisyon Tarifesi'!$B$2:$B$1000,0)),IF($D189&gt;=INDEX('Komisyon Tarifesi'!$M$2:$M$1000,MATCH($A189,'Komisyon Tarifesi'!$B$2:$B$1000,0)),INDEX('Komisyon Tarifesi'!$Q$2:$Q$1000,MATCH($A189,'Komisyon Tarifesi'!$B$2:$B$1000,0)),INDEX('Komisyon Tarifesi'!$R$2:$R$1000,MATCH($A189,'Komisyon Tarifesi'!$B$2:$B$1000,0)))))/100,IFERROR(IF(VLOOKUP($A189,Products!$A$2:$W$1000,21,0)&lt;&gt;"",$D189*VLOOKUP($A189,Products!$A$2:$W$1000,21,0)/100,""),"")))</f>
        <v>51.69213</v>
      </c>
      <c r="F189" s="14">
        <f t="array" ref="F189">IF($A189="","",IFERROR(IF(INDEX('Maliyet Giris'!$G$2:$G$550,MATCH($A189,'Maliyet Giris'!$A$2:$A$550,0))="","",IF(INDEX('Maliyet Giris'!$G$2:$G$550,MATCH($A189,'Maliyet Giris'!$A$2:$A$550,0))&lt;=2,86.4,IF(INDEX('Maliyet Giris'!$G$2:$G$550,MATCH($A189,'Maliyet Giris'!$A$2:$A$550,0))&lt;=3,90,IF(INDEX('Maliyet Giris'!$G$2:$G$550,MATCH($A189,'Maliyet Giris'!$A$2:$A$550,0))&lt;=5,102,IF(INDEX('Maliyet Giris'!$G$2:$G$550,MATCH($A189,'Maliyet Giris'!$A$2:$A$550,0))&lt;=10,159.74,IF(INDEX('Maliyet Giris'!$G$2:$G$550,MATCH($A189,'Maliyet Giris'!$A$2:$A$550,0))&lt;=15,187.5,IF(INDEX('Maliyet Giris'!$G$2:$G$550,MATCH($A189,'Maliyet Giris'!$A$2:$A$550,0))&lt;=20,225,299))))))),""))</f>
        <v>86.4</v>
      </c>
      <c r="G189" s="14">
        <f t="array" ref="G189">IF($A189="","",IFERROR(INDEX('Maliyet Giris'!$F$2:$F$550,MATCH($A189,'Maliyet Giris'!$A$2:$A$550,0)),""))</f>
        <v>580</v>
      </c>
      <c r="H189" s="14">
        <f t="shared" si="1"/>
        <v>13.19</v>
      </c>
      <c r="I189" s="14">
        <f t="shared" si="2"/>
        <v>6.837583333</v>
      </c>
      <c r="J189" s="14">
        <f t="shared" si="3"/>
        <v>14.87131167</v>
      </c>
      <c r="K189" s="14">
        <f t="shared" si="4"/>
        <v>67.518975</v>
      </c>
      <c r="L189" s="15">
        <f t="shared" si="5"/>
        <v>0.08228903365</v>
      </c>
      <c r="M189" s="17" t="str">
        <f t="shared" si="6"/>
        <v>KÂRLI</v>
      </c>
      <c r="N189" s="17" t="str">
        <f t="shared" si="7"/>
        <v/>
      </c>
      <c r="O189" s="17">
        <f t="array" ref="O189">IF($A189="","",IFERROR(INDEX('Maliyet Giris'!$G$2:$G$550,MATCH($A189,'Maliyet Giris'!$A$2:$A$550,0)),""))</f>
        <v>1</v>
      </c>
      <c r="P189" s="17" t="str">
        <f t="shared" si="8"/>
        <v/>
      </c>
      <c r="Q189" s="17" t="str">
        <f t="shared" si="9"/>
        <v/>
      </c>
      <c r="R189" s="14">
        <f t="shared" si="10"/>
        <v>746.3572322</v>
      </c>
      <c r="S189" s="14">
        <f t="shared" si="11"/>
        <v>74.15276775</v>
      </c>
      <c r="T189" s="17" t="str">
        <f t="shared" si="12"/>
        <v>DÜŞÜK KÂR</v>
      </c>
      <c r="U189" s="17" t="str">
        <f t="shared" si="13"/>
        <v>Reklam/komisyon etkisini kontrol et</v>
      </c>
    </row>
    <row r="190">
      <c r="A190" s="2">
        <f>IFERROR(__xludf.DUMMYFUNCTION("""COMPUTED_VALUE"""),9.003579311295E12)</f>
        <v>9003579311295</v>
      </c>
      <c r="B190" s="17" t="str">
        <f>IFERROR(__xludf.DUMMYFUNCTION("""COMPUTED_VALUE"""),"Royal Canin")</f>
        <v>Royal Canin</v>
      </c>
      <c r="C190" s="28" t="str">
        <f>IFERROR(__xludf.DUMMYFUNCTION("""COMPUTED_VALUE"""),"Sterilised Gravy Kısırlaştırılmış Yetişkin Kedi Yaş Maması 85 Gr x 12")</f>
        <v>Sterilised Gravy Kısırlaştırılmış Yetişkin Kedi Yaş Maması 85 Gr x 12</v>
      </c>
      <c r="D190" s="14">
        <f>IFERROR(__xludf.DUMMYFUNCTION("""COMPUTED_VALUE"""),600.0)</f>
        <v>600</v>
      </c>
      <c r="E190" s="14">
        <f t="array" ref="E190">IF($A190="","",IFERROR($D190*IF($D190&gt;=INDEX('Komisyon Tarifesi'!$I$2:$I$1000,MATCH($A190,'Komisyon Tarifesi'!$B$2:$B$1000,0)),INDEX('Komisyon Tarifesi'!$O$2:$O$1000,MATCH($A190,'Komisyon Tarifesi'!$B$2:$B$1000,0)),IF($D190&gt;=INDEX('Komisyon Tarifesi'!$K$2:$K$1000,MATCH($A190,'Komisyon Tarifesi'!$B$2:$B$1000,0)),INDEX('Komisyon Tarifesi'!$P$2:$P$1000,MATCH($A190,'Komisyon Tarifesi'!$B$2:$B$1000,0)),IF($D190&gt;=INDEX('Komisyon Tarifesi'!$M$2:$M$1000,MATCH($A190,'Komisyon Tarifesi'!$B$2:$B$1000,0)),INDEX('Komisyon Tarifesi'!$Q$2:$Q$1000,MATCH($A190,'Komisyon Tarifesi'!$B$2:$B$1000,0)),INDEX('Komisyon Tarifesi'!$R$2:$R$1000,MATCH($A190,'Komisyon Tarifesi'!$B$2:$B$1000,0)))))/100,IFERROR(IF(VLOOKUP($A190,Products!$A$2:$W$1000,21,0)&lt;&gt;"",$D190*VLOOKUP($A190,Products!$A$2:$W$1000,21,0)/100,""),"")))</f>
        <v>75</v>
      </c>
      <c r="F190" s="14">
        <f t="array" ref="F190">IF($A190="","",IFERROR(IF(INDEX('Maliyet Giris'!$G$2:$G$550,MATCH($A190,'Maliyet Giris'!$A$2:$A$550,0))="","",IF(INDEX('Maliyet Giris'!$G$2:$G$550,MATCH($A190,'Maliyet Giris'!$A$2:$A$550,0))&lt;=2,86.4,IF(INDEX('Maliyet Giris'!$G$2:$G$550,MATCH($A190,'Maliyet Giris'!$A$2:$A$550,0))&lt;=3,90,IF(INDEX('Maliyet Giris'!$G$2:$G$550,MATCH($A190,'Maliyet Giris'!$A$2:$A$550,0))&lt;=5,102,IF(INDEX('Maliyet Giris'!$G$2:$G$550,MATCH($A190,'Maliyet Giris'!$A$2:$A$550,0))&lt;=10,159.74,IF(INDEX('Maliyet Giris'!$G$2:$G$550,MATCH($A190,'Maliyet Giris'!$A$2:$A$550,0))&lt;=15,187.5,IF(INDEX('Maliyet Giris'!$G$2:$G$550,MATCH($A190,'Maliyet Giris'!$A$2:$A$550,0))&lt;=20,225,299))))))),""))</f>
        <v>86.4</v>
      </c>
      <c r="G190" s="14">
        <f t="array" ref="G190">IF($A190="","",IFERROR(INDEX('Maliyet Giris'!$F$2:$F$550,MATCH($A190,'Maliyet Giris'!$A$2:$A$550,0)),""))</f>
        <v>485.36</v>
      </c>
      <c r="H190" s="14">
        <f t="shared" si="1"/>
        <v>13.19</v>
      </c>
      <c r="I190" s="14">
        <f t="shared" si="2"/>
        <v>5</v>
      </c>
      <c r="J190" s="14">
        <f t="shared" si="3"/>
        <v>0</v>
      </c>
      <c r="K190" s="14">
        <f t="shared" si="4"/>
        <v>-64.95</v>
      </c>
      <c r="L190" s="15">
        <f t="shared" si="5"/>
        <v>-0.10825</v>
      </c>
      <c r="M190" s="17" t="str">
        <f t="shared" si="6"/>
        <v>ZARAR</v>
      </c>
      <c r="N190" s="17" t="str">
        <f t="shared" si="7"/>
        <v/>
      </c>
      <c r="O190" s="17">
        <f t="array" ref="O190">IF($A190="","",IFERROR(INDEX('Maliyet Giris'!$G$2:$G$550,MATCH($A190,'Maliyet Giris'!$A$2:$A$550,0)),""))</f>
        <v>2</v>
      </c>
      <c r="P190" s="17" t="str">
        <f t="shared" si="8"/>
        <v/>
      </c>
      <c r="Q190" s="17" t="str">
        <f t="shared" si="9"/>
        <v/>
      </c>
      <c r="R190" s="14">
        <f t="shared" si="10"/>
        <v>674.9420481</v>
      </c>
      <c r="S190" s="14">
        <f t="shared" si="11"/>
        <v>-74.9420481</v>
      </c>
      <c r="T190" s="17" t="str">
        <f t="shared" si="12"/>
        <v>ZARAR</v>
      </c>
      <c r="U190" s="17" t="str">
        <f t="shared" si="13"/>
        <v>Fiyat, maliyet veya kampanya kontrol et</v>
      </c>
    </row>
    <row r="191">
      <c r="A191" s="2">
        <f>IFERROR(__xludf.DUMMYFUNCTION("""COMPUTED_VALUE"""),9.00357931166E12)</f>
        <v>9003579311660</v>
      </c>
      <c r="B191" s="17" t="str">
        <f>IFERROR(__xludf.DUMMYFUNCTION("""COMPUTED_VALUE"""),"Royal Canin")</f>
        <v>Royal Canin</v>
      </c>
      <c r="C191" s="28" t="str">
        <f>IFERROR(__xludf.DUMMYFUNCTION("""COMPUTED_VALUE"""),"Mother&amp;babycat Gebe/laktasyondaki Anne Ve Yavru Kedi Için Kedi Konservesi 195g")</f>
        <v>Mother&amp;babycat Gebe/laktasyondaki Anne Ve Yavru Kedi Için Kedi Konservesi 195g</v>
      </c>
      <c r="D191" s="14">
        <f>IFERROR(__xludf.DUMMYFUNCTION("""COMPUTED_VALUE"""),199.0)</f>
        <v>199</v>
      </c>
      <c r="E191" s="14">
        <f t="array" ref="E191">IF($A191="","",IFERROR($D191*IF($D191&gt;=INDEX('Komisyon Tarifesi'!$I$2:$I$1000,MATCH($A191,'Komisyon Tarifesi'!$B$2:$B$1000,0)),INDEX('Komisyon Tarifesi'!$O$2:$O$1000,MATCH($A191,'Komisyon Tarifesi'!$B$2:$B$1000,0)),IF($D191&gt;=INDEX('Komisyon Tarifesi'!$K$2:$K$1000,MATCH($A191,'Komisyon Tarifesi'!$B$2:$B$1000,0)),INDEX('Komisyon Tarifesi'!$P$2:$P$1000,MATCH($A191,'Komisyon Tarifesi'!$B$2:$B$1000,0)),IF($D191&gt;=INDEX('Komisyon Tarifesi'!$M$2:$M$1000,MATCH($A191,'Komisyon Tarifesi'!$B$2:$B$1000,0)),INDEX('Komisyon Tarifesi'!$Q$2:$Q$1000,MATCH($A191,'Komisyon Tarifesi'!$B$2:$B$1000,0)),INDEX('Komisyon Tarifesi'!$R$2:$R$1000,MATCH($A191,'Komisyon Tarifesi'!$B$2:$B$1000,0)))))/100,IFERROR(IF(VLOOKUP($A191,Products!$A$2:$W$1000,21,0)&lt;&gt;"",$D191*VLOOKUP($A191,Products!$A$2:$W$1000,21,0)/100,""),"")))</f>
        <v>24.875</v>
      </c>
      <c r="F191" s="14">
        <f t="array" ref="F191">IF($A191="","",IFERROR(IF(INDEX('Maliyet Giris'!$G$2:$G$550,MATCH($A191,'Maliyet Giris'!$A$2:$A$550,0))="","",IF(INDEX('Maliyet Giris'!$G$2:$G$550,MATCH($A191,'Maliyet Giris'!$A$2:$A$550,0))&lt;=2,86.4,IF(INDEX('Maliyet Giris'!$G$2:$G$550,MATCH($A191,'Maliyet Giris'!$A$2:$A$550,0))&lt;=3,90,IF(INDEX('Maliyet Giris'!$G$2:$G$550,MATCH($A191,'Maliyet Giris'!$A$2:$A$550,0))&lt;=5,102,IF(INDEX('Maliyet Giris'!$G$2:$G$550,MATCH($A191,'Maliyet Giris'!$A$2:$A$550,0))&lt;=10,159.74,IF(INDEX('Maliyet Giris'!$G$2:$G$550,MATCH($A191,'Maliyet Giris'!$A$2:$A$550,0))&lt;=15,187.5,IF(INDEX('Maliyet Giris'!$G$2:$G$550,MATCH($A191,'Maliyet Giris'!$A$2:$A$550,0))&lt;=20,225,299))))))),""))</f>
        <v>86.4</v>
      </c>
      <c r="G191" s="14">
        <f t="array" ref="G191">IF($A191="","",IFERROR(INDEX('Maliyet Giris'!$F$2:$F$550,MATCH($A191,'Maliyet Giris'!$A$2:$A$550,0)),""))</f>
        <v>112</v>
      </c>
      <c r="H191" s="14">
        <f t="shared" si="1"/>
        <v>13.19</v>
      </c>
      <c r="I191" s="14">
        <f t="shared" si="2"/>
        <v>1.658333333</v>
      </c>
      <c r="J191" s="14">
        <f t="shared" si="3"/>
        <v>0</v>
      </c>
      <c r="K191" s="14">
        <f t="shared" si="4"/>
        <v>-39.12333333</v>
      </c>
      <c r="L191" s="15">
        <f t="shared" si="5"/>
        <v>-0.196599665</v>
      </c>
      <c r="M191" s="17" t="str">
        <f t="shared" si="6"/>
        <v>ZARAR</v>
      </c>
      <c r="N191" s="17" t="str">
        <f t="shared" si="7"/>
        <v/>
      </c>
      <c r="O191" s="17">
        <f t="array" ref="O191">IF($A191="","",IFERROR(INDEX('Maliyet Giris'!$G$2:$G$550,MATCH($A191,'Maliyet Giris'!$A$2:$A$550,0)),""))</f>
        <v>1</v>
      </c>
      <c r="P191" s="17" t="str">
        <f t="shared" si="8"/>
        <v/>
      </c>
      <c r="Q191" s="17" t="str">
        <f t="shared" si="9"/>
        <v/>
      </c>
      <c r="R191" s="14">
        <f t="shared" si="10"/>
        <v>244.1422138</v>
      </c>
      <c r="S191" s="14">
        <f t="shared" si="11"/>
        <v>-45.14221379</v>
      </c>
      <c r="T191" s="17" t="str">
        <f t="shared" si="12"/>
        <v>ZARAR</v>
      </c>
      <c r="U191" s="17" t="str">
        <f t="shared" si="13"/>
        <v>Fiyat, maliyet veya kampanya kontrol et</v>
      </c>
    </row>
    <row r="192">
      <c r="A192" s="2">
        <f>IFERROR(__xludf.DUMMYFUNCTION("""COMPUTED_VALUE"""),5.2742060903E10)</f>
        <v>52742060903</v>
      </c>
      <c r="B192" s="17" t="str">
        <f>IFERROR(__xludf.DUMMYFUNCTION("""COMPUTED_VALUE"""),"Hill's")</f>
        <v>Hill's</v>
      </c>
      <c r="C192" s="28" t="str">
        <f>IFERROR(__xludf.DUMMYFUNCTION("""COMPUTED_VALUE"""),"Hipoalerjenik Küçük Irk Somonlu Yetişkin Köpek Maması 1,5Kg")</f>
        <v>Hipoalerjenik Küçük Irk Somonlu Yetişkin Köpek Maması 1,5Kg</v>
      </c>
      <c r="D192" s="14">
        <f>IFERROR(__xludf.DUMMYFUNCTION("""COMPUTED_VALUE"""),1177.36)</f>
        <v>1177.36</v>
      </c>
      <c r="E192" s="14">
        <f t="array" ref="E192">IF($A192="","",IFERROR($D192*IF($D192&gt;=INDEX('Komisyon Tarifesi'!$I$2:$I$1000,MATCH($A192,'Komisyon Tarifesi'!$B$2:$B$1000,0)),INDEX('Komisyon Tarifesi'!$O$2:$O$1000,MATCH($A192,'Komisyon Tarifesi'!$B$2:$B$1000,0)),IF($D192&gt;=INDEX('Komisyon Tarifesi'!$K$2:$K$1000,MATCH($A192,'Komisyon Tarifesi'!$B$2:$B$1000,0)),INDEX('Komisyon Tarifesi'!$P$2:$P$1000,MATCH($A192,'Komisyon Tarifesi'!$B$2:$B$1000,0)),IF($D192&gt;=INDEX('Komisyon Tarifesi'!$M$2:$M$1000,MATCH($A192,'Komisyon Tarifesi'!$B$2:$B$1000,0)),INDEX('Komisyon Tarifesi'!$Q$2:$Q$1000,MATCH($A192,'Komisyon Tarifesi'!$B$2:$B$1000,0)),INDEX('Komisyon Tarifesi'!$R$2:$R$1000,MATCH($A192,'Komisyon Tarifesi'!$B$2:$B$1000,0)))))/100,IFERROR(IF(VLOOKUP($A192,Products!$A$2:$W$1000,21,0)&lt;&gt;"",$D192*VLOOKUP($A192,Products!$A$2:$W$1000,21,0)/100,""),"")))</f>
        <v>147.17</v>
      </c>
      <c r="F192" s="14">
        <f t="array" ref="F192">IF($A192="","",IFERROR(IF(INDEX('Maliyet Giris'!$G$2:$G$550,MATCH($A192,'Maliyet Giris'!$A$2:$A$550,0))="","",IF(INDEX('Maliyet Giris'!$G$2:$G$550,MATCH($A192,'Maliyet Giris'!$A$2:$A$550,0))&lt;=2,86.4,IF(INDEX('Maliyet Giris'!$G$2:$G$550,MATCH($A192,'Maliyet Giris'!$A$2:$A$550,0))&lt;=3,90,IF(INDEX('Maliyet Giris'!$G$2:$G$550,MATCH($A192,'Maliyet Giris'!$A$2:$A$550,0))&lt;=5,102,IF(INDEX('Maliyet Giris'!$G$2:$G$550,MATCH($A192,'Maliyet Giris'!$A$2:$A$550,0))&lt;=10,159.74,IF(INDEX('Maliyet Giris'!$G$2:$G$550,MATCH($A192,'Maliyet Giris'!$A$2:$A$550,0))&lt;=15,187.5,IF(INDEX('Maliyet Giris'!$G$2:$G$550,MATCH($A192,'Maliyet Giris'!$A$2:$A$550,0))&lt;=20,225,299))))))),""))</f>
        <v>86.4</v>
      </c>
      <c r="G192" s="14">
        <f t="array" ref="G192">IF($A192="","",IFERROR(INDEX('Maliyet Giris'!$F$2:$F$550,MATCH($A192,'Maliyet Giris'!$A$2:$A$550,0)),""))</f>
        <v>938</v>
      </c>
      <c r="H192" s="14">
        <f t="shared" si="1"/>
        <v>13.19</v>
      </c>
      <c r="I192" s="14">
        <f t="shared" si="2"/>
        <v>9.811333333</v>
      </c>
      <c r="J192" s="14">
        <f t="shared" si="3"/>
        <v>0</v>
      </c>
      <c r="K192" s="14">
        <f t="shared" si="4"/>
        <v>-17.21133333</v>
      </c>
      <c r="L192" s="15">
        <f t="shared" si="5"/>
        <v>-0.01461858169</v>
      </c>
      <c r="M192" s="17" t="str">
        <f t="shared" si="6"/>
        <v>ZARAR</v>
      </c>
      <c r="N192" s="17" t="str">
        <f t="shared" si="7"/>
        <v/>
      </c>
      <c r="O192" s="17">
        <f t="array" ref="O192">IF($A192="","",IFERROR(INDEX('Maliyet Giris'!$G$2:$G$550,MATCH($A192,'Maliyet Giris'!$A$2:$A$550,0)),""))</f>
        <v>2</v>
      </c>
      <c r="P192" s="17" t="str">
        <f t="shared" si="8"/>
        <v/>
      </c>
      <c r="Q192" s="17" t="str">
        <f t="shared" si="9"/>
        <v/>
      </c>
      <c r="R192" s="14">
        <f t="shared" si="10"/>
        <v>1197.21877</v>
      </c>
      <c r="S192" s="14">
        <f t="shared" si="11"/>
        <v>-19.8587703</v>
      </c>
      <c r="T192" s="17" t="str">
        <f t="shared" si="12"/>
        <v>ZARAR</v>
      </c>
      <c r="U192" s="17" t="str">
        <f t="shared" si="13"/>
        <v>Fiyat, maliyet veya kampanya kontrol et</v>
      </c>
    </row>
    <row r="193">
      <c r="A193" s="2">
        <f>IFERROR(__xludf.DUMMYFUNCTION("""COMPUTED_VALUE"""),5.412087000395E12)</f>
        <v>5412087000395</v>
      </c>
      <c r="B193" s="17" t="str">
        <f>IFERROR(__xludf.DUMMYFUNCTION("""COMPUTED_VALUE"""),"Moderna")</f>
        <v>Moderna</v>
      </c>
      <c r="C193" s="28" t="str">
        <f>IFERROR(__xludf.DUMMYFUNCTION("""COMPUTED_VALUE"""),"Smart Su Kabı 1.5 lt Sarı")</f>
        <v>Smart Su Kabı 1.5 lt Sarı</v>
      </c>
      <c r="D193" s="14">
        <f>IFERROR(__xludf.DUMMYFUNCTION("""COMPUTED_VALUE"""),450.0)</f>
        <v>450</v>
      </c>
      <c r="E193" s="14">
        <f t="array" ref="E193">IF($A193="","",IFERROR($D193*IF($D193&gt;=INDEX('Komisyon Tarifesi'!$I$2:$I$1000,MATCH($A193,'Komisyon Tarifesi'!$B$2:$B$1000,0)),INDEX('Komisyon Tarifesi'!$O$2:$O$1000,MATCH($A193,'Komisyon Tarifesi'!$B$2:$B$1000,0)),IF($D193&gt;=INDEX('Komisyon Tarifesi'!$K$2:$K$1000,MATCH($A193,'Komisyon Tarifesi'!$B$2:$B$1000,0)),INDEX('Komisyon Tarifesi'!$P$2:$P$1000,MATCH($A193,'Komisyon Tarifesi'!$B$2:$B$1000,0)),IF($D193&gt;=INDEX('Komisyon Tarifesi'!$M$2:$M$1000,MATCH($A193,'Komisyon Tarifesi'!$B$2:$B$1000,0)),INDEX('Komisyon Tarifesi'!$Q$2:$Q$1000,MATCH($A193,'Komisyon Tarifesi'!$B$2:$B$1000,0)),INDEX('Komisyon Tarifesi'!$R$2:$R$1000,MATCH($A193,'Komisyon Tarifesi'!$B$2:$B$1000,0)))))/100,IFERROR(IF(VLOOKUP($A193,Products!$A$2:$W$1000,21,0)&lt;&gt;"",$D193*VLOOKUP($A193,Products!$A$2:$W$1000,21,0)/100,""),"")))</f>
        <v>90</v>
      </c>
      <c r="F193" s="14">
        <f t="array" ref="F193">IF($A193="","",IFERROR(IF(INDEX('Maliyet Giris'!$G$2:$G$550,MATCH($A193,'Maliyet Giris'!$A$2:$A$550,0))="","",IF(INDEX('Maliyet Giris'!$G$2:$G$550,MATCH($A193,'Maliyet Giris'!$A$2:$A$550,0))&lt;=2,86.4,IF(INDEX('Maliyet Giris'!$G$2:$G$550,MATCH($A193,'Maliyet Giris'!$A$2:$A$550,0))&lt;=3,90,IF(INDEX('Maliyet Giris'!$G$2:$G$550,MATCH($A193,'Maliyet Giris'!$A$2:$A$550,0))&lt;=5,102,IF(INDEX('Maliyet Giris'!$G$2:$G$550,MATCH($A193,'Maliyet Giris'!$A$2:$A$550,0))&lt;=10,159.74,IF(INDEX('Maliyet Giris'!$G$2:$G$550,MATCH($A193,'Maliyet Giris'!$A$2:$A$550,0))&lt;=15,187.5,IF(INDEX('Maliyet Giris'!$G$2:$G$550,MATCH($A193,'Maliyet Giris'!$A$2:$A$550,0))&lt;=20,225,299))))))),""))</f>
        <v>86.4</v>
      </c>
      <c r="G193" s="14">
        <f t="array" ref="G193">IF($A193="","",IFERROR(INDEX('Maliyet Giris'!$F$2:$F$550,MATCH($A193,'Maliyet Giris'!$A$2:$A$550,0)),""))</f>
        <v>250.72</v>
      </c>
      <c r="H193" s="14">
        <f t="shared" si="1"/>
        <v>13.19</v>
      </c>
      <c r="I193" s="14">
        <f t="shared" si="2"/>
        <v>3.75</v>
      </c>
      <c r="J193" s="14">
        <f t="shared" si="3"/>
        <v>1.615</v>
      </c>
      <c r="K193" s="14">
        <f t="shared" si="4"/>
        <v>4.325</v>
      </c>
      <c r="L193" s="15">
        <f t="shared" si="5"/>
        <v>0.009611111111</v>
      </c>
      <c r="M193" s="17" t="str">
        <f t="shared" si="6"/>
        <v>KÂRLI</v>
      </c>
      <c r="N193" s="17" t="str">
        <f t="shared" si="7"/>
        <v/>
      </c>
      <c r="O193" s="17">
        <f t="array" ref="O193">IF($A193="","",IFERROR(INDEX('Maliyet Giris'!$G$2:$G$550,MATCH($A193,'Maliyet Giris'!$A$2:$A$550,0)),""))</f>
        <v>1</v>
      </c>
      <c r="P193" s="17" t="str">
        <f t="shared" si="8"/>
        <v/>
      </c>
      <c r="Q193" s="17" t="str">
        <f t="shared" si="9"/>
        <v/>
      </c>
      <c r="R193" s="14">
        <f t="shared" si="10"/>
        <v>444.511775</v>
      </c>
      <c r="S193" s="14">
        <f t="shared" si="11"/>
        <v>5.488225011</v>
      </c>
      <c r="T193" s="17" t="str">
        <f t="shared" si="12"/>
        <v>RİSKLİ</v>
      </c>
      <c r="U193" s="17" t="str">
        <f t="shared" si="13"/>
        <v>Minimum fiyat altına düşme</v>
      </c>
    </row>
    <row r="194">
      <c r="A194" s="2" t="str">
        <f>IFERROR(__xludf.DUMMYFUNCTION("""COMPUTED_VALUE"""),"TYBZCSQ5787DOWDV35")</f>
        <v>TYBZCSQ5787DOWDV35</v>
      </c>
      <c r="B194" s="17" t="str">
        <f>IFERROR(__xludf.DUMMYFUNCTION("""COMPUTED_VALUE"""),"Moderna")</f>
        <v>Moderna</v>
      </c>
      <c r="C194" s="28" t="str">
        <f>IFERROR(__xludf.DUMMYFUNCTION("""COMPUTED_VALUE"""),"Smart Saklamalı Mama Kabı 1.5 lt Sarı")</f>
        <v>Smart Saklamalı Mama Kabı 1.5 lt Sarı</v>
      </c>
      <c r="D194" s="14">
        <f>IFERROR(__xludf.DUMMYFUNCTION("""COMPUTED_VALUE"""),525.0)</f>
        <v>525</v>
      </c>
      <c r="E194" s="14">
        <f t="array" ref="E194">IF($A194="","",IFERROR($D194*IF($D194&gt;=INDEX('Komisyon Tarifesi'!$I$2:$I$1000,MATCH($A194,'Komisyon Tarifesi'!$B$2:$B$1000,0)),INDEX('Komisyon Tarifesi'!$O$2:$O$1000,MATCH($A194,'Komisyon Tarifesi'!$B$2:$B$1000,0)),IF($D194&gt;=INDEX('Komisyon Tarifesi'!$K$2:$K$1000,MATCH($A194,'Komisyon Tarifesi'!$B$2:$B$1000,0)),INDEX('Komisyon Tarifesi'!$P$2:$P$1000,MATCH($A194,'Komisyon Tarifesi'!$B$2:$B$1000,0)),IF($D194&gt;=INDEX('Komisyon Tarifesi'!$M$2:$M$1000,MATCH($A194,'Komisyon Tarifesi'!$B$2:$B$1000,0)),INDEX('Komisyon Tarifesi'!$Q$2:$Q$1000,MATCH($A194,'Komisyon Tarifesi'!$B$2:$B$1000,0)),INDEX('Komisyon Tarifesi'!$R$2:$R$1000,MATCH($A194,'Komisyon Tarifesi'!$B$2:$B$1000,0)))))/100,IFERROR(IF(VLOOKUP($A194,Products!$A$2:$W$1000,21,0)&lt;&gt;"",$D194*VLOOKUP($A194,Products!$A$2:$W$1000,21,0)/100,""),"")))</f>
        <v>105</v>
      </c>
      <c r="F194" s="14">
        <f t="array" ref="F194">IF($A194="","",IFERROR(IF(INDEX('Maliyet Giris'!$G$2:$G$550,MATCH($A194,'Maliyet Giris'!$A$2:$A$550,0))="","",IF(INDEX('Maliyet Giris'!$G$2:$G$550,MATCH($A194,'Maliyet Giris'!$A$2:$A$550,0))&lt;=2,86.4,IF(INDEX('Maliyet Giris'!$G$2:$G$550,MATCH($A194,'Maliyet Giris'!$A$2:$A$550,0))&lt;=3,90,IF(INDEX('Maliyet Giris'!$G$2:$G$550,MATCH($A194,'Maliyet Giris'!$A$2:$A$550,0))&lt;=5,102,IF(INDEX('Maliyet Giris'!$G$2:$G$550,MATCH($A194,'Maliyet Giris'!$A$2:$A$550,0))&lt;=10,159.74,IF(INDEX('Maliyet Giris'!$G$2:$G$550,MATCH($A194,'Maliyet Giris'!$A$2:$A$550,0))&lt;=15,187.5,IF(INDEX('Maliyet Giris'!$G$2:$G$550,MATCH($A194,'Maliyet Giris'!$A$2:$A$550,0))&lt;=20,225,299))))))),""))</f>
        <v>86.4</v>
      </c>
      <c r="G194" s="14">
        <f t="array" ref="G194">IF($A194="","",IFERROR(INDEX('Maliyet Giris'!$F$2:$F$550,MATCH($A194,'Maliyet Giris'!$A$2:$A$550,0)),""))</f>
        <v>250</v>
      </c>
      <c r="H194" s="14">
        <f t="shared" si="1"/>
        <v>13.19</v>
      </c>
      <c r="I194" s="14">
        <f t="shared" si="2"/>
        <v>4.375</v>
      </c>
      <c r="J194" s="14">
        <f t="shared" si="3"/>
        <v>11.735</v>
      </c>
      <c r="K194" s="14">
        <f t="shared" si="4"/>
        <v>54.3</v>
      </c>
      <c r="L194" s="15">
        <f t="shared" si="5"/>
        <v>0.1034285714</v>
      </c>
      <c r="M194" s="17" t="str">
        <f t="shared" si="6"/>
        <v>KÂRLI</v>
      </c>
      <c r="N194" s="17" t="str">
        <f t="shared" si="7"/>
        <v/>
      </c>
      <c r="O194" s="17">
        <f t="array" ref="O194">IF($A194="","",IFERROR(INDEX('Maliyet Giris'!$G$2:$G$550,MATCH($A194,'Maliyet Giris'!$A$2:$A$550,0)),""))</f>
        <v>1</v>
      </c>
      <c r="P194" s="17" t="str">
        <f t="shared" si="8"/>
        <v/>
      </c>
      <c r="Q194" s="17" t="str">
        <f t="shared" si="9"/>
        <v/>
      </c>
      <c r="R194" s="14">
        <f t="shared" si="10"/>
        <v>454.4174663</v>
      </c>
      <c r="S194" s="14">
        <f t="shared" si="11"/>
        <v>70.58253367</v>
      </c>
      <c r="T194" s="17" t="str">
        <f t="shared" si="12"/>
        <v>SAĞLIKLI</v>
      </c>
      <c r="U194" s="17" t="str">
        <f t="shared" si="13"/>
        <v>Takip et</v>
      </c>
    </row>
    <row r="195">
      <c r="A195" s="2">
        <f>IFERROR(__xludf.DUMMYFUNCTION("""COMPUTED_VALUE"""),4.000498043417E12)</f>
        <v>4000498043417</v>
      </c>
      <c r="B195" s="17" t="str">
        <f>IFERROR(__xludf.DUMMYFUNCTION("""COMPUTED_VALUE"""),"Flexi")</f>
        <v>Flexi</v>
      </c>
      <c r="C195" s="28" t="str">
        <f>IFERROR(__xludf.DUMMYFUNCTION("""COMPUTED_VALUE"""),"New Comfort Açık Mavi Otomatik Kedi Köpek Gezdirme Tasması")</f>
        <v>New Comfort Açık Mavi Otomatik Kedi Köpek Gezdirme Tasması</v>
      </c>
      <c r="D195" s="14">
        <f>IFERROR(__xludf.DUMMYFUNCTION("""COMPUTED_VALUE"""),920.0)</f>
        <v>920</v>
      </c>
      <c r="E195" s="14">
        <f t="array" ref="E195">IF($A195="","",IFERROR($D195*IF($D195&gt;=INDEX('Komisyon Tarifesi'!$I$2:$I$1000,MATCH($A195,'Komisyon Tarifesi'!$B$2:$B$1000,0)),INDEX('Komisyon Tarifesi'!$O$2:$O$1000,MATCH($A195,'Komisyon Tarifesi'!$B$2:$B$1000,0)),IF($D195&gt;=INDEX('Komisyon Tarifesi'!$K$2:$K$1000,MATCH($A195,'Komisyon Tarifesi'!$B$2:$B$1000,0)),INDEX('Komisyon Tarifesi'!$P$2:$P$1000,MATCH($A195,'Komisyon Tarifesi'!$B$2:$B$1000,0)),IF($D195&gt;=INDEX('Komisyon Tarifesi'!$M$2:$M$1000,MATCH($A195,'Komisyon Tarifesi'!$B$2:$B$1000,0)),INDEX('Komisyon Tarifesi'!$Q$2:$Q$1000,MATCH($A195,'Komisyon Tarifesi'!$B$2:$B$1000,0)),INDEX('Komisyon Tarifesi'!$R$2:$R$1000,MATCH($A195,'Komisyon Tarifesi'!$B$2:$B$1000,0)))))/100,IFERROR(IF(VLOOKUP($A195,Products!$A$2:$W$1000,21,0)&lt;&gt;"",$D195*VLOOKUP($A195,Products!$A$2:$W$1000,21,0)/100,""),"")))</f>
        <v>184</v>
      </c>
      <c r="F195" s="14">
        <f t="array" ref="F195">IF($A195="","",IFERROR(IF(INDEX('Maliyet Giris'!$G$2:$G$550,MATCH($A195,'Maliyet Giris'!$A$2:$A$550,0))="","",IF(INDEX('Maliyet Giris'!$G$2:$G$550,MATCH($A195,'Maliyet Giris'!$A$2:$A$550,0))&lt;=2,86.4,IF(INDEX('Maliyet Giris'!$G$2:$G$550,MATCH($A195,'Maliyet Giris'!$A$2:$A$550,0))&lt;=3,90,IF(INDEX('Maliyet Giris'!$G$2:$G$550,MATCH($A195,'Maliyet Giris'!$A$2:$A$550,0))&lt;=5,102,IF(INDEX('Maliyet Giris'!$G$2:$G$550,MATCH($A195,'Maliyet Giris'!$A$2:$A$550,0))&lt;=10,159.74,IF(INDEX('Maliyet Giris'!$G$2:$G$550,MATCH($A195,'Maliyet Giris'!$A$2:$A$550,0))&lt;=15,187.5,IF(INDEX('Maliyet Giris'!$G$2:$G$550,MATCH($A195,'Maliyet Giris'!$A$2:$A$550,0))&lt;=20,225,299))))))),""))</f>
        <v>86.4</v>
      </c>
      <c r="G195" s="14">
        <f t="array" ref="G195">IF($A195="","",IFERROR(INDEX('Maliyet Giris'!$F$2:$F$550,MATCH($A195,'Maliyet Giris'!$A$2:$A$550,0)),""))</f>
        <v>638.67</v>
      </c>
      <c r="H195" s="14">
        <f t="shared" si="1"/>
        <v>13.19</v>
      </c>
      <c r="I195" s="14">
        <f t="shared" si="2"/>
        <v>7.666666667</v>
      </c>
      <c r="J195" s="14">
        <f t="shared" si="3"/>
        <v>0</v>
      </c>
      <c r="K195" s="14">
        <f t="shared" si="4"/>
        <v>-9.926666667</v>
      </c>
      <c r="L195" s="15">
        <f t="shared" si="5"/>
        <v>-0.01078985507</v>
      </c>
      <c r="M195" s="17" t="str">
        <f t="shared" si="6"/>
        <v>ZARAR</v>
      </c>
      <c r="N195" s="17" t="str">
        <f t="shared" si="7"/>
        <v/>
      </c>
      <c r="O195" s="17">
        <f t="array" ref="O195">IF($A195="","",IFERROR(INDEX('Maliyet Giris'!$G$2:$G$550,MATCH($A195,'Maliyet Giris'!$A$2:$A$550,0)),""))</f>
        <v>0.5</v>
      </c>
      <c r="P195" s="17" t="str">
        <f t="shared" si="8"/>
        <v/>
      </c>
      <c r="Q195" s="17" t="str">
        <f t="shared" si="9"/>
        <v/>
      </c>
      <c r="R195" s="14">
        <f t="shared" si="10"/>
        <v>932.5385547</v>
      </c>
      <c r="S195" s="14">
        <f t="shared" si="11"/>
        <v>-12.53855472</v>
      </c>
      <c r="T195" s="17" t="str">
        <f t="shared" si="12"/>
        <v>ZARAR</v>
      </c>
      <c r="U195" s="17" t="str">
        <f t="shared" si="13"/>
        <v>Fiyat, maliyet veya kampanya kontrol et</v>
      </c>
    </row>
    <row r="196">
      <c r="A196" s="2">
        <f>IFERROR(__xludf.DUMMYFUNCTION("""COMPUTED_VALUE"""),4.00049803251E12)</f>
        <v>4000498032510</v>
      </c>
      <c r="B196" s="17" t="str">
        <f>IFERROR(__xludf.DUMMYFUNCTION("""COMPUTED_VALUE"""),"Flexi")</f>
        <v>Flexi</v>
      </c>
      <c r="C196" s="28" t="str">
        <f>IFERROR(__xludf.DUMMYFUNCTION("""COMPUTED_VALUE"""),"Style Rose Şerit 5 Metre Medium Gezdirme Tasması")</f>
        <v>Style Rose Şerit 5 Metre Medium Gezdirme Tasması</v>
      </c>
      <c r="D196" s="14">
        <f>IFERROR(__xludf.DUMMYFUNCTION("""COMPUTED_VALUE"""),1740.0)</f>
        <v>1740</v>
      </c>
      <c r="E196" s="14">
        <f t="array" ref="E196">IF($A196="","",IFERROR($D196*IF($D196&gt;=INDEX('Komisyon Tarifesi'!$I$2:$I$1000,MATCH($A196,'Komisyon Tarifesi'!$B$2:$B$1000,0)),INDEX('Komisyon Tarifesi'!$O$2:$O$1000,MATCH($A196,'Komisyon Tarifesi'!$B$2:$B$1000,0)),IF($D196&gt;=INDEX('Komisyon Tarifesi'!$K$2:$K$1000,MATCH($A196,'Komisyon Tarifesi'!$B$2:$B$1000,0)),INDEX('Komisyon Tarifesi'!$P$2:$P$1000,MATCH($A196,'Komisyon Tarifesi'!$B$2:$B$1000,0)),IF($D196&gt;=INDEX('Komisyon Tarifesi'!$M$2:$M$1000,MATCH($A196,'Komisyon Tarifesi'!$B$2:$B$1000,0)),INDEX('Komisyon Tarifesi'!$Q$2:$Q$1000,MATCH($A196,'Komisyon Tarifesi'!$B$2:$B$1000,0)),INDEX('Komisyon Tarifesi'!$R$2:$R$1000,MATCH($A196,'Komisyon Tarifesi'!$B$2:$B$1000,0)))))/100,IFERROR(IF(VLOOKUP($A196,Products!$A$2:$W$1000,21,0)&lt;&gt;"",$D196*VLOOKUP($A196,Products!$A$2:$W$1000,21,0)/100,""),"")))</f>
        <v>348</v>
      </c>
      <c r="F196" s="14">
        <f t="array" ref="F196">IF($A196="","",IFERROR(IF(INDEX('Maliyet Giris'!$G$2:$G$550,MATCH($A196,'Maliyet Giris'!$A$2:$A$550,0))="","",IF(INDEX('Maliyet Giris'!$G$2:$G$550,MATCH($A196,'Maliyet Giris'!$A$2:$A$550,0))&lt;=2,86.4,IF(INDEX('Maliyet Giris'!$G$2:$G$550,MATCH($A196,'Maliyet Giris'!$A$2:$A$550,0))&lt;=3,90,IF(INDEX('Maliyet Giris'!$G$2:$G$550,MATCH($A196,'Maliyet Giris'!$A$2:$A$550,0))&lt;=5,102,IF(INDEX('Maliyet Giris'!$G$2:$G$550,MATCH($A196,'Maliyet Giris'!$A$2:$A$550,0))&lt;=10,159.74,IF(INDEX('Maliyet Giris'!$G$2:$G$550,MATCH($A196,'Maliyet Giris'!$A$2:$A$550,0))&lt;=15,187.5,IF(INDEX('Maliyet Giris'!$G$2:$G$550,MATCH($A196,'Maliyet Giris'!$A$2:$A$550,0))&lt;=20,225,299))))))),""))</f>
        <v>86.4</v>
      </c>
      <c r="G196" s="14">
        <f t="array" ref="G196">IF($A196="","",IFERROR(INDEX('Maliyet Giris'!$F$2:$F$550,MATCH($A196,'Maliyet Giris'!$A$2:$A$550,0)),""))</f>
        <v>985.57</v>
      </c>
      <c r="H196" s="14">
        <f t="shared" si="1"/>
        <v>13.19</v>
      </c>
      <c r="I196" s="14">
        <f t="shared" si="2"/>
        <v>14.5</v>
      </c>
      <c r="J196" s="14">
        <f t="shared" si="3"/>
        <v>51.14</v>
      </c>
      <c r="K196" s="14">
        <f t="shared" si="4"/>
        <v>241.2</v>
      </c>
      <c r="L196" s="15">
        <f t="shared" si="5"/>
        <v>0.1386206897</v>
      </c>
      <c r="M196" s="17" t="str">
        <f t="shared" si="6"/>
        <v>KÂRLI</v>
      </c>
      <c r="N196" s="17" t="str">
        <f t="shared" si="7"/>
        <v/>
      </c>
      <c r="O196" s="17">
        <f t="array" ref="O196">IF($A196="","",IFERROR(INDEX('Maliyet Giris'!$G$2:$G$550,MATCH($A196,'Maliyet Giris'!$A$2:$A$550,0)),""))</f>
        <v>0.5</v>
      </c>
      <c r="P196" s="17" t="str">
        <f t="shared" si="8"/>
        <v/>
      </c>
      <c r="Q196" s="17" t="str">
        <f t="shared" si="9"/>
        <v/>
      </c>
      <c r="R196" s="14">
        <f t="shared" si="10"/>
        <v>1423.578496</v>
      </c>
      <c r="S196" s="14">
        <f t="shared" si="11"/>
        <v>316.4215037</v>
      </c>
      <c r="T196" s="17" t="str">
        <f t="shared" si="12"/>
        <v>SAĞLIKLI</v>
      </c>
      <c r="U196" s="17" t="str">
        <f t="shared" si="13"/>
        <v>Takip et</v>
      </c>
    </row>
    <row r="197">
      <c r="A197" s="2">
        <f>IFERROR(__xludf.DUMMYFUNCTION("""COMPUTED_VALUE"""),2.9695470912E10)</f>
        <v>29695470912</v>
      </c>
      <c r="B197" s="17" t="str">
        <f>IFERROR(__xludf.DUMMYFUNCTION("""COMPUTED_VALUE"""),"Chuckit")</f>
        <v>Chuckit</v>
      </c>
      <c r="C197" s="28" t="str">
        <f>IFERROR(__xludf.DUMMYFUNCTION("""COMPUTED_VALUE"""),"! Ultra Squeaker Sesli Köpek Oyun Halkası")</f>
        <v>! Ultra Squeaker Sesli Köpek Oyun Halkası</v>
      </c>
      <c r="D197" s="14">
        <f>IFERROR(__xludf.DUMMYFUNCTION("""COMPUTED_VALUE"""),428.0)</f>
        <v>428</v>
      </c>
      <c r="E197" s="14">
        <f t="array" ref="E197">IF($A197="","",IFERROR($D197*IF($D197&gt;=INDEX('Komisyon Tarifesi'!$I$2:$I$1000,MATCH($A197,'Komisyon Tarifesi'!$B$2:$B$1000,0)),INDEX('Komisyon Tarifesi'!$O$2:$O$1000,MATCH($A197,'Komisyon Tarifesi'!$B$2:$B$1000,0)),IF($D197&gt;=INDEX('Komisyon Tarifesi'!$K$2:$K$1000,MATCH($A197,'Komisyon Tarifesi'!$B$2:$B$1000,0)),INDEX('Komisyon Tarifesi'!$P$2:$P$1000,MATCH($A197,'Komisyon Tarifesi'!$B$2:$B$1000,0)),IF($D197&gt;=INDEX('Komisyon Tarifesi'!$M$2:$M$1000,MATCH($A197,'Komisyon Tarifesi'!$B$2:$B$1000,0)),INDEX('Komisyon Tarifesi'!$Q$2:$Q$1000,MATCH($A197,'Komisyon Tarifesi'!$B$2:$B$1000,0)),INDEX('Komisyon Tarifesi'!$R$2:$R$1000,MATCH($A197,'Komisyon Tarifesi'!$B$2:$B$1000,0)))))/100,IFERROR(IF(VLOOKUP($A197,Products!$A$2:$W$1000,21,0)&lt;&gt;"",$D197*VLOOKUP($A197,Products!$A$2:$W$1000,21,0)/100,""),"")))</f>
        <v>85.6</v>
      </c>
      <c r="F197" s="14">
        <f t="array" ref="F197">IF($A197="","",IFERROR(IF(INDEX('Maliyet Giris'!$G$2:$G$550,MATCH($A197,'Maliyet Giris'!$A$2:$A$550,0))="","",IF(INDEX('Maliyet Giris'!$G$2:$G$550,MATCH($A197,'Maliyet Giris'!$A$2:$A$550,0))&lt;=2,86.4,IF(INDEX('Maliyet Giris'!$G$2:$G$550,MATCH($A197,'Maliyet Giris'!$A$2:$A$550,0))&lt;=3,90,IF(INDEX('Maliyet Giris'!$G$2:$G$550,MATCH($A197,'Maliyet Giris'!$A$2:$A$550,0))&lt;=5,102,IF(INDEX('Maliyet Giris'!$G$2:$G$550,MATCH($A197,'Maliyet Giris'!$A$2:$A$550,0))&lt;=10,159.74,IF(INDEX('Maliyet Giris'!$G$2:$G$550,MATCH($A197,'Maliyet Giris'!$A$2:$A$550,0))&lt;=15,187.5,IF(INDEX('Maliyet Giris'!$G$2:$G$550,MATCH($A197,'Maliyet Giris'!$A$2:$A$550,0))&lt;=20,225,299))))))),""))</f>
        <v>86.4</v>
      </c>
      <c r="G197" s="14">
        <f t="array" ref="G197">IF($A197="","",IFERROR(INDEX('Maliyet Giris'!$F$2:$F$550,MATCH($A197,'Maliyet Giris'!$A$2:$A$550,0)),""))</f>
        <v>234</v>
      </c>
      <c r="H197" s="14">
        <f t="shared" si="1"/>
        <v>13.19</v>
      </c>
      <c r="I197" s="14">
        <f t="shared" si="2"/>
        <v>3.566666667</v>
      </c>
      <c r="J197" s="14">
        <f t="shared" si="3"/>
        <v>1.468333333</v>
      </c>
      <c r="K197" s="14">
        <f t="shared" si="4"/>
        <v>3.775</v>
      </c>
      <c r="L197" s="15">
        <f t="shared" si="5"/>
        <v>0.008820093458</v>
      </c>
      <c r="M197" s="17" t="str">
        <f t="shared" si="6"/>
        <v>KÂRLI</v>
      </c>
      <c r="N197" s="17" t="str">
        <f t="shared" si="7"/>
        <v/>
      </c>
      <c r="O197" s="17">
        <f t="array" ref="O197">IF($A197="","",IFERROR(INDEX('Maliyet Giris'!$G$2:$G$550,MATCH($A197,'Maliyet Giris'!$A$2:$A$550,0)),""))</f>
        <v>1</v>
      </c>
      <c r="P197" s="17" t="str">
        <f t="shared" si="8"/>
        <v/>
      </c>
      <c r="Q197" s="17" t="str">
        <f t="shared" si="9"/>
        <v/>
      </c>
      <c r="R197" s="14">
        <f t="shared" si="10"/>
        <v>423.2106461</v>
      </c>
      <c r="S197" s="14">
        <f t="shared" si="11"/>
        <v>4.789353899</v>
      </c>
      <c r="T197" s="17" t="str">
        <f t="shared" si="12"/>
        <v>RİSKLİ</v>
      </c>
      <c r="U197" s="17" t="str">
        <f t="shared" si="13"/>
        <v>Minimum fiyat altına düşme</v>
      </c>
    </row>
    <row r="198">
      <c r="A198" s="2">
        <f>IFERROR(__xludf.DUMMYFUNCTION("""COMPUTED_VALUE"""),6.60048067009E11)</f>
        <v>660048067009</v>
      </c>
      <c r="B198" s="17" t="str">
        <f>IFERROR(__xludf.DUMMYFUNCTION("""COMPUTED_VALUE"""),"Chuckit")</f>
        <v>Chuckit</v>
      </c>
      <c r="C198" s="28" t="str">
        <f>IFERROR(__xludf.DUMMYFUNCTION("""COMPUTED_VALUE"""),"Sport Ball 26l Fırlatmalı Köpek Oyuncağı 66 Cm")</f>
        <v>Sport Ball 26l Fırlatmalı Köpek Oyuncağı 66 Cm</v>
      </c>
      <c r="D198" s="14">
        <f>IFERROR(__xludf.DUMMYFUNCTION("""COMPUTED_VALUE"""),997.5)</f>
        <v>997.5</v>
      </c>
      <c r="E198" s="14">
        <f t="array" ref="E198">IF($A198="","",IFERROR($D198*IF($D198&gt;=INDEX('Komisyon Tarifesi'!$I$2:$I$1000,MATCH($A198,'Komisyon Tarifesi'!$B$2:$B$1000,0)),INDEX('Komisyon Tarifesi'!$O$2:$O$1000,MATCH($A198,'Komisyon Tarifesi'!$B$2:$B$1000,0)),IF($D198&gt;=INDEX('Komisyon Tarifesi'!$K$2:$K$1000,MATCH($A198,'Komisyon Tarifesi'!$B$2:$B$1000,0)),INDEX('Komisyon Tarifesi'!$P$2:$P$1000,MATCH($A198,'Komisyon Tarifesi'!$B$2:$B$1000,0)),IF($D198&gt;=INDEX('Komisyon Tarifesi'!$M$2:$M$1000,MATCH($A198,'Komisyon Tarifesi'!$B$2:$B$1000,0)),INDEX('Komisyon Tarifesi'!$Q$2:$Q$1000,MATCH($A198,'Komisyon Tarifesi'!$B$2:$B$1000,0)),INDEX('Komisyon Tarifesi'!$R$2:$R$1000,MATCH($A198,'Komisyon Tarifesi'!$B$2:$B$1000,0)))))/100,IFERROR(IF(VLOOKUP($A198,Products!$A$2:$W$1000,21,0)&lt;&gt;"",$D198*VLOOKUP($A198,Products!$A$2:$W$1000,21,0)/100,""),"")))</f>
        <v>199.5</v>
      </c>
      <c r="F198" s="14">
        <f t="array" ref="F198">IF($A198="","",IFERROR(IF(INDEX('Maliyet Giris'!$G$2:$G$550,MATCH($A198,'Maliyet Giris'!$A$2:$A$550,0))="","",IF(INDEX('Maliyet Giris'!$G$2:$G$550,MATCH($A198,'Maliyet Giris'!$A$2:$A$550,0))&lt;=2,86.4,IF(INDEX('Maliyet Giris'!$G$2:$G$550,MATCH($A198,'Maliyet Giris'!$A$2:$A$550,0))&lt;=3,90,IF(INDEX('Maliyet Giris'!$G$2:$G$550,MATCH($A198,'Maliyet Giris'!$A$2:$A$550,0))&lt;=5,102,IF(INDEX('Maliyet Giris'!$G$2:$G$550,MATCH($A198,'Maliyet Giris'!$A$2:$A$550,0))&lt;=10,159.74,IF(INDEX('Maliyet Giris'!$G$2:$G$550,MATCH($A198,'Maliyet Giris'!$A$2:$A$550,0))&lt;=15,187.5,IF(INDEX('Maliyet Giris'!$G$2:$G$550,MATCH($A198,'Maliyet Giris'!$A$2:$A$550,0))&lt;=20,225,299))))))),""))</f>
        <v>86.4</v>
      </c>
      <c r="G198" s="14">
        <f t="array" ref="G198">IF($A198="","",IFERROR(INDEX('Maliyet Giris'!$F$2:$F$550,MATCH($A198,'Maliyet Giris'!$A$2:$A$550,0)),""))</f>
        <v>542.88</v>
      </c>
      <c r="H198" s="14">
        <f t="shared" si="1"/>
        <v>13.19</v>
      </c>
      <c r="I198" s="14">
        <f t="shared" si="2"/>
        <v>8.3125</v>
      </c>
      <c r="J198" s="14">
        <f t="shared" si="3"/>
        <v>25.92166667</v>
      </c>
      <c r="K198" s="14">
        <f t="shared" si="4"/>
        <v>121.2958333</v>
      </c>
      <c r="L198" s="15">
        <f t="shared" si="5"/>
        <v>0.1215998329</v>
      </c>
      <c r="M198" s="17" t="str">
        <f t="shared" si="6"/>
        <v>KÂRLI</v>
      </c>
      <c r="N198" s="17" t="str">
        <f t="shared" si="7"/>
        <v/>
      </c>
      <c r="O198" s="17">
        <f t="array" ref="O198">IF($A198="","",IFERROR(INDEX('Maliyet Giris'!$G$2:$G$550,MATCH($A198,'Maliyet Giris'!$A$2:$A$550,0)),""))</f>
        <v>1</v>
      </c>
      <c r="P198" s="17" t="str">
        <f t="shared" si="8"/>
        <v/>
      </c>
      <c r="Q198" s="17" t="str">
        <f t="shared" si="9"/>
        <v/>
      </c>
      <c r="R198" s="14">
        <f t="shared" si="10"/>
        <v>839.0838108</v>
      </c>
      <c r="S198" s="14">
        <f t="shared" si="11"/>
        <v>158.4161892</v>
      </c>
      <c r="T198" s="17" t="str">
        <f t="shared" si="12"/>
        <v>SAĞLIKLI</v>
      </c>
      <c r="U198" s="17" t="str">
        <f t="shared" si="13"/>
        <v>Takip et</v>
      </c>
    </row>
    <row r="199">
      <c r="A199" s="2">
        <f>IFERROR(__xludf.DUMMYFUNCTION("""COMPUTED_VALUE"""),9.003579008201E12)</f>
        <v>9003579008201</v>
      </c>
      <c r="B199" s="17" t="str">
        <f>IFERROR(__xludf.DUMMYFUNCTION("""COMPUTED_VALUE"""),"Royal Canin")</f>
        <v>Royal Canin</v>
      </c>
      <c r="C199" s="28" t="str">
        <f>IFERROR(__xludf.DUMMYFUNCTION("""COMPUTED_VALUE"""),"Küçük Irklar için Yavru Yaş Köpek Maması 12 x 85g")</f>
        <v>Küçük Irklar için Yavru Yaş Köpek Maması 12 x 85g</v>
      </c>
      <c r="D199" s="14">
        <f>IFERROR(__xludf.DUMMYFUNCTION("""COMPUTED_VALUE"""),517.0)</f>
        <v>517</v>
      </c>
      <c r="E199" s="14">
        <f t="array" ref="E199">IF($A199="","",IFERROR($D199*IF($D199&gt;=INDEX('Komisyon Tarifesi'!$I$2:$I$1000,MATCH($A199,'Komisyon Tarifesi'!$B$2:$B$1000,0)),INDEX('Komisyon Tarifesi'!$O$2:$O$1000,MATCH($A199,'Komisyon Tarifesi'!$B$2:$B$1000,0)),IF($D199&gt;=INDEX('Komisyon Tarifesi'!$K$2:$K$1000,MATCH($A199,'Komisyon Tarifesi'!$B$2:$B$1000,0)),INDEX('Komisyon Tarifesi'!$P$2:$P$1000,MATCH($A199,'Komisyon Tarifesi'!$B$2:$B$1000,0)),IF($D199&gt;=INDEX('Komisyon Tarifesi'!$M$2:$M$1000,MATCH($A199,'Komisyon Tarifesi'!$B$2:$B$1000,0)),INDEX('Komisyon Tarifesi'!$Q$2:$Q$1000,MATCH($A199,'Komisyon Tarifesi'!$B$2:$B$1000,0)),INDEX('Komisyon Tarifesi'!$R$2:$R$1000,MATCH($A199,'Komisyon Tarifesi'!$B$2:$B$1000,0)))))/100,IFERROR(IF(VLOOKUP($A199,Products!$A$2:$W$1000,21,0)&lt;&gt;"",$D199*VLOOKUP($A199,Products!$A$2:$W$1000,21,0)/100,""),"")))</f>
        <v>41.36</v>
      </c>
      <c r="F199" s="14">
        <f t="array" ref="F199">IF($A199="","",IFERROR(IF(INDEX('Maliyet Giris'!$G$2:$G$550,MATCH($A199,'Maliyet Giris'!$A$2:$A$550,0))="","",IF(INDEX('Maliyet Giris'!$G$2:$G$550,MATCH($A199,'Maliyet Giris'!$A$2:$A$550,0))&lt;=2,86.4,IF(INDEX('Maliyet Giris'!$G$2:$G$550,MATCH($A199,'Maliyet Giris'!$A$2:$A$550,0))&lt;=3,90,IF(INDEX('Maliyet Giris'!$G$2:$G$550,MATCH($A199,'Maliyet Giris'!$A$2:$A$550,0))&lt;=5,102,IF(INDEX('Maliyet Giris'!$G$2:$G$550,MATCH($A199,'Maliyet Giris'!$A$2:$A$550,0))&lt;=10,159.74,IF(INDEX('Maliyet Giris'!$G$2:$G$550,MATCH($A199,'Maliyet Giris'!$A$2:$A$550,0))&lt;=15,187.5,IF(INDEX('Maliyet Giris'!$G$2:$G$550,MATCH($A199,'Maliyet Giris'!$A$2:$A$550,0))&lt;=20,225,299))))))),""))</f>
        <v>86.4</v>
      </c>
      <c r="G199" s="14">
        <f t="array" ref="G199">IF($A199="","",IFERROR(INDEX('Maliyet Giris'!$F$2:$F$550,MATCH($A199,'Maliyet Giris'!$A$2:$A$550,0)),""))</f>
        <v>452.4</v>
      </c>
      <c r="H199" s="14">
        <f t="shared" si="1"/>
        <v>13.19</v>
      </c>
      <c r="I199" s="14">
        <f t="shared" si="2"/>
        <v>4.308333333</v>
      </c>
      <c r="J199" s="14">
        <f t="shared" si="3"/>
        <v>0</v>
      </c>
      <c r="K199" s="14">
        <f t="shared" si="4"/>
        <v>-80.65833333</v>
      </c>
      <c r="L199" s="15">
        <f t="shared" si="5"/>
        <v>-0.1560122502</v>
      </c>
      <c r="M199" s="17" t="str">
        <f t="shared" si="6"/>
        <v>ZARAR</v>
      </c>
      <c r="N199" s="17" t="str">
        <f t="shared" si="7"/>
        <v/>
      </c>
      <c r="O199" s="17">
        <f t="array" ref="O199">IF($A199="","",IFERROR(INDEX('Maliyet Giris'!$G$2:$G$550,MATCH($A199,'Maliyet Giris'!$A$2:$A$550,0)),""))</f>
        <v>1</v>
      </c>
      <c r="P199" s="17" t="str">
        <f t="shared" si="8"/>
        <v/>
      </c>
      <c r="Q199" s="17" t="str">
        <f t="shared" si="9"/>
        <v/>
      </c>
      <c r="R199" s="14">
        <f t="shared" si="10"/>
        <v>605.4732704</v>
      </c>
      <c r="S199" s="14">
        <f t="shared" si="11"/>
        <v>-88.47327039</v>
      </c>
      <c r="T199" s="17" t="str">
        <f t="shared" si="12"/>
        <v>ZARAR</v>
      </c>
      <c r="U199" s="17" t="str">
        <f t="shared" si="13"/>
        <v>Fiyat, maliyet veya kampanya kontrol et</v>
      </c>
    </row>
    <row r="200">
      <c r="A200" s="2">
        <f>IFERROR(__xludf.DUMMYFUNCTION("""COMPUTED_VALUE"""),9.003579001646E12)</f>
        <v>9003579001646</v>
      </c>
      <c r="B200" s="17" t="str">
        <f>IFERROR(__xludf.DUMMYFUNCTION("""COMPUTED_VALUE"""),"Royal Canin")</f>
        <v>Royal Canin</v>
      </c>
      <c r="C200" s="28" t="str">
        <f>IFERROR(__xludf.DUMMYFUNCTION("""COMPUTED_VALUE"""),"Poodle Yaş Köpek Maması 12 x 85g")</f>
        <v>Poodle Yaş Köpek Maması 12 x 85g</v>
      </c>
      <c r="D200" s="14">
        <f>IFERROR(__xludf.DUMMYFUNCTION("""COMPUTED_VALUE"""),658.0)</f>
        <v>658</v>
      </c>
      <c r="E200" s="14">
        <f t="array" ref="E200">IF($A200="","",IFERROR($D200*IF($D200&gt;=INDEX('Komisyon Tarifesi'!$I$2:$I$1000,MATCH($A200,'Komisyon Tarifesi'!$B$2:$B$1000,0)),INDEX('Komisyon Tarifesi'!$O$2:$O$1000,MATCH($A200,'Komisyon Tarifesi'!$B$2:$B$1000,0)),IF($D200&gt;=INDEX('Komisyon Tarifesi'!$K$2:$K$1000,MATCH($A200,'Komisyon Tarifesi'!$B$2:$B$1000,0)),INDEX('Komisyon Tarifesi'!$P$2:$P$1000,MATCH($A200,'Komisyon Tarifesi'!$B$2:$B$1000,0)),IF($D200&gt;=INDEX('Komisyon Tarifesi'!$M$2:$M$1000,MATCH($A200,'Komisyon Tarifesi'!$B$2:$B$1000,0)),INDEX('Komisyon Tarifesi'!$Q$2:$Q$1000,MATCH($A200,'Komisyon Tarifesi'!$B$2:$B$1000,0)),INDEX('Komisyon Tarifesi'!$R$2:$R$1000,MATCH($A200,'Komisyon Tarifesi'!$B$2:$B$1000,0)))))/100,IFERROR(IF(VLOOKUP($A200,Products!$A$2:$W$1000,21,0)&lt;&gt;"",$D200*VLOOKUP($A200,Products!$A$2:$W$1000,21,0)/100,""),"")))</f>
        <v>82.25</v>
      </c>
      <c r="F200" s="14">
        <f t="array" ref="F200">IF($A200="","",IFERROR(IF(INDEX('Maliyet Giris'!$G$2:$G$550,MATCH($A200,'Maliyet Giris'!$A$2:$A$550,0))="","",IF(INDEX('Maliyet Giris'!$G$2:$G$550,MATCH($A200,'Maliyet Giris'!$A$2:$A$550,0))&lt;=2,86.4,IF(INDEX('Maliyet Giris'!$G$2:$G$550,MATCH($A200,'Maliyet Giris'!$A$2:$A$550,0))&lt;=3,90,IF(INDEX('Maliyet Giris'!$G$2:$G$550,MATCH($A200,'Maliyet Giris'!$A$2:$A$550,0))&lt;=5,102,IF(INDEX('Maliyet Giris'!$G$2:$G$550,MATCH($A200,'Maliyet Giris'!$A$2:$A$550,0))&lt;=10,159.74,IF(INDEX('Maliyet Giris'!$G$2:$G$550,MATCH($A200,'Maliyet Giris'!$A$2:$A$550,0))&lt;=15,187.5,IF(INDEX('Maliyet Giris'!$G$2:$G$550,MATCH($A200,'Maliyet Giris'!$A$2:$A$550,0))&lt;=20,225,299))))))),""))</f>
        <v>86.4</v>
      </c>
      <c r="G200" s="14">
        <f t="array" ref="G200">IF($A200="","",IFERROR(INDEX('Maliyet Giris'!$F$2:$F$550,MATCH($A200,'Maliyet Giris'!$A$2:$A$550,0)),""))</f>
        <v>452.4</v>
      </c>
      <c r="H200" s="14">
        <f t="shared" si="1"/>
        <v>13.19</v>
      </c>
      <c r="I200" s="14">
        <f t="shared" si="2"/>
        <v>5.483333333</v>
      </c>
      <c r="J200" s="14">
        <f t="shared" si="3"/>
        <v>3.96</v>
      </c>
      <c r="K200" s="14">
        <f t="shared" si="4"/>
        <v>14.31666667</v>
      </c>
      <c r="L200" s="15">
        <f t="shared" si="5"/>
        <v>0.02175785208</v>
      </c>
      <c r="M200" s="17" t="str">
        <f t="shared" si="6"/>
        <v>KÂRLI</v>
      </c>
      <c r="N200" s="17" t="str">
        <f t="shared" si="7"/>
        <v/>
      </c>
      <c r="O200" s="17">
        <f t="array" ref="O200">IF($A200="","",IFERROR(INDEX('Maliyet Giris'!$G$2:$G$550,MATCH($A200,'Maliyet Giris'!$A$2:$A$550,0)),""))</f>
        <v>2</v>
      </c>
      <c r="P200" s="17" t="str">
        <f t="shared" si="8"/>
        <v/>
      </c>
      <c r="Q200" s="17" t="str">
        <f t="shared" si="9"/>
        <v/>
      </c>
      <c r="R200" s="14">
        <f t="shared" si="10"/>
        <v>641.3650072</v>
      </c>
      <c r="S200" s="14">
        <f t="shared" si="11"/>
        <v>16.63499283</v>
      </c>
      <c r="T200" s="17" t="str">
        <f t="shared" si="12"/>
        <v>RİSKLİ</v>
      </c>
      <c r="U200" s="17" t="str">
        <f t="shared" si="13"/>
        <v>Minimum fiyat altına düşme</v>
      </c>
    </row>
    <row r="201">
      <c r="A201" s="2">
        <f>IFERROR(__xludf.DUMMYFUNCTION("""COMPUTED_VALUE"""),3.182550894128E12)</f>
        <v>3182550894128</v>
      </c>
      <c r="B201" s="17" t="str">
        <f>IFERROR(__xludf.DUMMYFUNCTION("""COMPUTED_VALUE"""),"Royal Canin")</f>
        <v>Royal Canin</v>
      </c>
      <c r="C201" s="28" t="str">
        <f>IFERROR(__xludf.DUMMYFUNCTION("""COMPUTED_VALUE"""),"Mini Sterilised Yetişkin Kısırlaştırılmış Köpek Maması 3 Kg")</f>
        <v>Mini Sterilised Yetişkin Kısırlaştırılmış Köpek Maması 3 Kg</v>
      </c>
      <c r="D201" s="14">
        <f>IFERROR(__xludf.DUMMYFUNCTION("""COMPUTED_VALUE"""),1623.0)</f>
        <v>1623</v>
      </c>
      <c r="E201" s="14">
        <f t="array" ref="E201">IF($A201="","",IFERROR($D201*IF($D201&gt;=INDEX('Komisyon Tarifesi'!$I$2:$I$1000,MATCH($A201,'Komisyon Tarifesi'!$B$2:$B$1000,0)),INDEX('Komisyon Tarifesi'!$O$2:$O$1000,MATCH($A201,'Komisyon Tarifesi'!$B$2:$B$1000,0)),IF($D201&gt;=INDEX('Komisyon Tarifesi'!$K$2:$K$1000,MATCH($A201,'Komisyon Tarifesi'!$B$2:$B$1000,0)),INDEX('Komisyon Tarifesi'!$P$2:$P$1000,MATCH($A201,'Komisyon Tarifesi'!$B$2:$B$1000,0)),IF($D201&gt;=INDEX('Komisyon Tarifesi'!$M$2:$M$1000,MATCH($A201,'Komisyon Tarifesi'!$B$2:$B$1000,0)),INDEX('Komisyon Tarifesi'!$Q$2:$Q$1000,MATCH($A201,'Komisyon Tarifesi'!$B$2:$B$1000,0)),INDEX('Komisyon Tarifesi'!$R$2:$R$1000,MATCH($A201,'Komisyon Tarifesi'!$B$2:$B$1000,0)))))/100,IFERROR(IF(VLOOKUP($A201,Products!$A$2:$W$1000,21,0)&lt;&gt;"",$D201*VLOOKUP($A201,Products!$A$2:$W$1000,21,0)/100,""),"")))</f>
        <v>180.153</v>
      </c>
      <c r="F201" s="14">
        <f t="array" ref="F201">IF($A201="","",IFERROR(IF(INDEX('Maliyet Giris'!$G$2:$G$550,MATCH($A201,'Maliyet Giris'!$A$2:$A$550,0))="","",IF(INDEX('Maliyet Giris'!$G$2:$G$550,MATCH($A201,'Maliyet Giris'!$A$2:$A$550,0))&lt;=2,86.4,IF(INDEX('Maliyet Giris'!$G$2:$G$550,MATCH($A201,'Maliyet Giris'!$A$2:$A$550,0))&lt;=3,90,IF(INDEX('Maliyet Giris'!$G$2:$G$550,MATCH($A201,'Maliyet Giris'!$A$2:$A$550,0))&lt;=5,102,IF(INDEX('Maliyet Giris'!$G$2:$G$550,MATCH($A201,'Maliyet Giris'!$A$2:$A$550,0))&lt;=10,159.74,IF(INDEX('Maliyet Giris'!$G$2:$G$550,MATCH($A201,'Maliyet Giris'!$A$2:$A$550,0))&lt;=15,187.5,IF(INDEX('Maliyet Giris'!$G$2:$G$550,MATCH($A201,'Maliyet Giris'!$A$2:$A$550,0))&lt;=20,225,299))))))),""))</f>
        <v>90</v>
      </c>
      <c r="G201" s="14">
        <f t="array" ref="G201">IF($A201="","",IFERROR(INDEX('Maliyet Giris'!$F$2:$F$550,MATCH($A201,'Maliyet Giris'!$A$2:$A$550,0)),""))</f>
        <v>1394.04</v>
      </c>
      <c r="H201" s="14">
        <f t="shared" si="1"/>
        <v>13.19</v>
      </c>
      <c r="I201" s="14">
        <f t="shared" si="2"/>
        <v>13.525</v>
      </c>
      <c r="J201" s="14">
        <f t="shared" si="3"/>
        <v>0</v>
      </c>
      <c r="K201" s="14">
        <f t="shared" si="4"/>
        <v>-67.908</v>
      </c>
      <c r="L201" s="15">
        <f t="shared" si="5"/>
        <v>-0.04184103512</v>
      </c>
      <c r="M201" s="17" t="str">
        <f t="shared" si="6"/>
        <v>ZARAR</v>
      </c>
      <c r="N201" s="17" t="str">
        <f t="shared" si="7"/>
        <v/>
      </c>
      <c r="O201" s="17">
        <f t="array" ref="O201">IF($A201="","",IFERROR(INDEX('Maliyet Giris'!$G$2:$G$550,MATCH($A201,'Maliyet Giris'!$A$2:$A$550,0)),""))</f>
        <v>3</v>
      </c>
      <c r="P201" s="17" t="str">
        <f t="shared" si="8"/>
        <v/>
      </c>
      <c r="Q201" s="17" t="str">
        <f t="shared" si="9"/>
        <v/>
      </c>
      <c r="R201" s="14">
        <f t="shared" si="10"/>
        <v>1700.109122</v>
      </c>
      <c r="S201" s="14">
        <f t="shared" si="11"/>
        <v>-77.10912184</v>
      </c>
      <c r="T201" s="17" t="str">
        <f t="shared" si="12"/>
        <v>ZARAR</v>
      </c>
      <c r="U201" s="17" t="str">
        <f t="shared" si="13"/>
        <v>Fiyat, maliyet veya kampanya kontrol et</v>
      </c>
    </row>
    <row r="202">
      <c r="A202" s="2">
        <f>IFERROR(__xludf.DUMMYFUNCTION("""COMPUTED_VALUE"""),3.182550716888E12)</f>
        <v>3182550716888</v>
      </c>
      <c r="B202" s="17" t="str">
        <f>IFERROR(__xludf.DUMMYFUNCTION("""COMPUTED_VALUE"""),"Royal Canin")</f>
        <v>Royal Canin</v>
      </c>
      <c r="C202" s="28" t="str">
        <f>IFERROR(__xludf.DUMMYFUNCTION("""COMPUTED_VALUE"""),"Mini Adult Köpek Maması 8kg CB12321")</f>
        <v>Mini Adult Köpek Maması 8kg CB12321</v>
      </c>
      <c r="D202" s="14">
        <f>IFERROR(__xludf.DUMMYFUNCTION("""COMPUTED_VALUE"""),2650.0)</f>
        <v>2650</v>
      </c>
      <c r="E202" s="14">
        <f t="array" ref="E202">IF($A202="","",IFERROR($D202*IF($D202&gt;=INDEX('Komisyon Tarifesi'!$I$2:$I$1000,MATCH($A202,'Komisyon Tarifesi'!$B$2:$B$1000,0)),INDEX('Komisyon Tarifesi'!$O$2:$O$1000,MATCH($A202,'Komisyon Tarifesi'!$B$2:$B$1000,0)),IF($D202&gt;=INDEX('Komisyon Tarifesi'!$K$2:$K$1000,MATCH($A202,'Komisyon Tarifesi'!$B$2:$B$1000,0)),INDEX('Komisyon Tarifesi'!$P$2:$P$1000,MATCH($A202,'Komisyon Tarifesi'!$B$2:$B$1000,0)),IF($D202&gt;=INDEX('Komisyon Tarifesi'!$M$2:$M$1000,MATCH($A202,'Komisyon Tarifesi'!$B$2:$B$1000,0)),INDEX('Komisyon Tarifesi'!$Q$2:$Q$1000,MATCH($A202,'Komisyon Tarifesi'!$B$2:$B$1000,0)),INDEX('Komisyon Tarifesi'!$R$2:$R$1000,MATCH($A202,'Komisyon Tarifesi'!$B$2:$B$1000,0)))))/100,IFERROR(IF(VLOOKUP($A202,Products!$A$2:$W$1000,21,0)&lt;&gt;"",$D202*VLOOKUP($A202,Products!$A$2:$W$1000,21,0)/100,""),"")))</f>
        <v>222.6</v>
      </c>
      <c r="F202" s="14">
        <f t="array" ref="F202">IF($A202="","",IFERROR(IF(INDEX('Maliyet Giris'!$G$2:$G$550,MATCH($A202,'Maliyet Giris'!$A$2:$A$550,0))="","",IF(INDEX('Maliyet Giris'!$G$2:$G$550,MATCH($A202,'Maliyet Giris'!$A$2:$A$550,0))&lt;=2,86.4,IF(INDEX('Maliyet Giris'!$G$2:$G$550,MATCH($A202,'Maliyet Giris'!$A$2:$A$550,0))&lt;=3,90,IF(INDEX('Maliyet Giris'!$G$2:$G$550,MATCH($A202,'Maliyet Giris'!$A$2:$A$550,0))&lt;=5,102,IF(INDEX('Maliyet Giris'!$G$2:$G$550,MATCH($A202,'Maliyet Giris'!$A$2:$A$550,0))&lt;=10,159.74,IF(INDEX('Maliyet Giris'!$G$2:$G$550,MATCH($A202,'Maliyet Giris'!$A$2:$A$550,0))&lt;=15,187.5,IF(INDEX('Maliyet Giris'!$G$2:$G$550,MATCH($A202,'Maliyet Giris'!$A$2:$A$550,0))&lt;=20,225,299))))))),""))</f>
        <v>159.74</v>
      </c>
      <c r="G202" s="14">
        <f t="array" ref="G202">IF($A202="","",IFERROR(INDEX('Maliyet Giris'!$F$2:$F$550,MATCH($A202,'Maliyet Giris'!$A$2:$A$550,0)),""))</f>
        <v>2294.04</v>
      </c>
      <c r="H202" s="14">
        <f t="shared" si="1"/>
        <v>13.19</v>
      </c>
      <c r="I202" s="14">
        <f t="shared" si="2"/>
        <v>22.08333333</v>
      </c>
      <c r="J202" s="14">
        <f t="shared" si="3"/>
        <v>0</v>
      </c>
      <c r="K202" s="14">
        <f t="shared" si="4"/>
        <v>-61.65333333</v>
      </c>
      <c r="L202" s="15">
        <f t="shared" si="5"/>
        <v>-0.02326540881</v>
      </c>
      <c r="M202" s="17" t="str">
        <f t="shared" si="6"/>
        <v>ZARAR</v>
      </c>
      <c r="N202" s="17" t="str">
        <f t="shared" si="7"/>
        <v/>
      </c>
      <c r="O202" s="17">
        <f t="array" ref="O202">IF($A202="","",IFERROR(INDEX('Maliyet Giris'!$G$2:$G$550,MATCH($A202,'Maliyet Giris'!$A$2:$A$550,0)),""))</f>
        <v>8</v>
      </c>
      <c r="P202" s="17" t="str">
        <f t="shared" si="8"/>
        <v/>
      </c>
      <c r="Q202" s="17" t="str">
        <f t="shared" si="9"/>
        <v/>
      </c>
      <c r="R202" s="14">
        <f t="shared" si="10"/>
        <v>2717.924084</v>
      </c>
      <c r="S202" s="14">
        <f t="shared" si="11"/>
        <v>-67.92408449</v>
      </c>
      <c r="T202" s="17" t="str">
        <f t="shared" si="12"/>
        <v>ZARAR</v>
      </c>
      <c r="U202" s="17" t="str">
        <f t="shared" si="13"/>
        <v>Fiyat, maliyet veya kampanya kontrol et</v>
      </c>
    </row>
    <row r="203">
      <c r="A203" s="2">
        <f>IFERROR(__xludf.DUMMYFUNCTION("""COMPUTED_VALUE"""),7.613032816536E12)</f>
        <v>7613032816536</v>
      </c>
      <c r="B203" s="17" t="str">
        <f>IFERROR(__xludf.DUMMYFUNCTION("""COMPUTED_VALUE"""),"Gourmet")</f>
        <v>Gourmet</v>
      </c>
      <c r="C203" s="28" t="str">
        <f>IFERROR(__xludf.DUMMYFUNCTION("""COMPUTED_VALUE"""),"Purina Gourmet Gold Karışık Kedi Konservesi 85 gr X 24 Adet")</f>
        <v>Purina Gourmet Gold Karışık Kedi Konservesi 85 gr X 24 Adet</v>
      </c>
      <c r="D203" s="14">
        <f>IFERROR(__xludf.DUMMYFUNCTION("""COMPUTED_VALUE"""),746.27)</f>
        <v>746.27</v>
      </c>
      <c r="E203" s="14">
        <f t="array" ref="E203">IF($A203="","",IFERROR($D203*IF($D203&gt;=INDEX('Komisyon Tarifesi'!$I$2:$I$1000,MATCH($A203,'Komisyon Tarifesi'!$B$2:$B$1000,0)),INDEX('Komisyon Tarifesi'!$O$2:$O$1000,MATCH($A203,'Komisyon Tarifesi'!$B$2:$B$1000,0)),IF($D203&gt;=INDEX('Komisyon Tarifesi'!$K$2:$K$1000,MATCH($A203,'Komisyon Tarifesi'!$B$2:$B$1000,0)),INDEX('Komisyon Tarifesi'!$P$2:$P$1000,MATCH($A203,'Komisyon Tarifesi'!$B$2:$B$1000,0)),IF($D203&gt;=INDEX('Komisyon Tarifesi'!$M$2:$M$1000,MATCH($A203,'Komisyon Tarifesi'!$B$2:$B$1000,0)),INDEX('Komisyon Tarifesi'!$Q$2:$Q$1000,MATCH($A203,'Komisyon Tarifesi'!$B$2:$B$1000,0)),INDEX('Komisyon Tarifesi'!$R$2:$R$1000,MATCH($A203,'Komisyon Tarifesi'!$B$2:$B$1000,0)))))/100,IFERROR(IF(VLOOKUP($A203,Products!$A$2:$W$1000,21,0)&lt;&gt;"",$D203*VLOOKUP($A203,Products!$A$2:$W$1000,21,0)/100,""),"")))</f>
        <v>44.7762</v>
      </c>
      <c r="F203" s="14">
        <f t="array" ref="F203">IF($A203="","",IFERROR(IF(INDEX('Maliyet Giris'!$G$2:$G$550,MATCH($A203,'Maliyet Giris'!$A$2:$A$550,0))="","",IF(INDEX('Maliyet Giris'!$G$2:$G$550,MATCH($A203,'Maliyet Giris'!$A$2:$A$550,0))&lt;=2,86.4,IF(INDEX('Maliyet Giris'!$G$2:$G$550,MATCH($A203,'Maliyet Giris'!$A$2:$A$550,0))&lt;=3,90,IF(INDEX('Maliyet Giris'!$G$2:$G$550,MATCH($A203,'Maliyet Giris'!$A$2:$A$550,0))&lt;=5,102,IF(INDEX('Maliyet Giris'!$G$2:$G$550,MATCH($A203,'Maliyet Giris'!$A$2:$A$550,0))&lt;=10,159.74,IF(INDEX('Maliyet Giris'!$G$2:$G$550,MATCH($A203,'Maliyet Giris'!$A$2:$A$550,0))&lt;=15,187.5,IF(INDEX('Maliyet Giris'!$G$2:$G$550,MATCH($A203,'Maliyet Giris'!$A$2:$A$550,0))&lt;=20,225,299))))))),""))</f>
        <v>86.4</v>
      </c>
      <c r="G203" s="14">
        <f t="array" ref="G203">IF($A203="","",IFERROR(INDEX('Maliyet Giris'!$F$2:$F$550,MATCH($A203,'Maliyet Giris'!$A$2:$A$550,0)),""))</f>
        <v>580</v>
      </c>
      <c r="H203" s="14">
        <f t="shared" si="1"/>
        <v>13.19</v>
      </c>
      <c r="I203" s="14">
        <f t="shared" si="2"/>
        <v>6.218916667</v>
      </c>
      <c r="J203" s="14">
        <f t="shared" si="3"/>
        <v>3.650633333</v>
      </c>
      <c r="K203" s="14">
        <f t="shared" si="4"/>
        <v>12.03425</v>
      </c>
      <c r="L203" s="15">
        <f t="shared" si="5"/>
        <v>0.01612586597</v>
      </c>
      <c r="M203" s="17" t="str">
        <f t="shared" si="6"/>
        <v>KÂRLI</v>
      </c>
      <c r="N203" s="17" t="str">
        <f t="shared" si="7"/>
        <v/>
      </c>
      <c r="O203" s="17">
        <f t="array" ref="O203">IF($A203="","",IFERROR(INDEX('Maliyet Giris'!$G$2:$G$550,MATCH($A203,'Maliyet Giris'!$A$2:$A$550,0)),""))</f>
        <v>2</v>
      </c>
      <c r="P203" s="17" t="str">
        <f t="shared" si="8"/>
        <v/>
      </c>
      <c r="Q203" s="17" t="str">
        <f t="shared" si="9"/>
        <v/>
      </c>
      <c r="R203" s="14">
        <f t="shared" si="10"/>
        <v>733.2846512</v>
      </c>
      <c r="S203" s="14">
        <f t="shared" si="11"/>
        <v>12.98534885</v>
      </c>
      <c r="T203" s="17" t="str">
        <f t="shared" si="12"/>
        <v>RİSKLİ</v>
      </c>
      <c r="U203" s="17" t="str">
        <f t="shared" si="13"/>
        <v>Minimum fiyat altına düşme</v>
      </c>
    </row>
    <row r="204">
      <c r="A204" s="2">
        <f>IFERROR(__xludf.DUMMYFUNCTION("""COMPUTED_VALUE"""),7.613033566523E12)</f>
        <v>7613033566523</v>
      </c>
      <c r="B204" s="17" t="str">
        <f>IFERROR(__xludf.DUMMYFUNCTION("""COMPUTED_VALUE"""),"Pro Plan")</f>
        <v>Pro Plan</v>
      </c>
      <c r="C204" s="28" t="str">
        <f>IFERROR(__xludf.DUMMYFUNCTION("""COMPUTED_VALUE"""),"Sterilised Kısırlaştırılmış Somonlu Kedi Maması 10 KG")</f>
        <v>Sterilised Kısırlaştırılmış Somonlu Kedi Maması 10 KG</v>
      </c>
      <c r="D204" s="14">
        <f>IFERROR(__xludf.DUMMYFUNCTION("""COMPUTED_VALUE"""),4000.0)</f>
        <v>4000</v>
      </c>
      <c r="E204" s="14">
        <f t="array" ref="E204">IF($A204="","",IFERROR($D204*IF($D204&gt;=INDEX('Komisyon Tarifesi'!$I$2:$I$1000,MATCH($A204,'Komisyon Tarifesi'!$B$2:$B$1000,0)),INDEX('Komisyon Tarifesi'!$O$2:$O$1000,MATCH($A204,'Komisyon Tarifesi'!$B$2:$B$1000,0)),IF($D204&gt;=INDEX('Komisyon Tarifesi'!$K$2:$K$1000,MATCH($A204,'Komisyon Tarifesi'!$B$2:$B$1000,0)),INDEX('Komisyon Tarifesi'!$P$2:$P$1000,MATCH($A204,'Komisyon Tarifesi'!$B$2:$B$1000,0)),IF($D204&gt;=INDEX('Komisyon Tarifesi'!$M$2:$M$1000,MATCH($A204,'Komisyon Tarifesi'!$B$2:$B$1000,0)),INDEX('Komisyon Tarifesi'!$Q$2:$Q$1000,MATCH($A204,'Komisyon Tarifesi'!$B$2:$B$1000,0)),INDEX('Komisyon Tarifesi'!$R$2:$R$1000,MATCH($A204,'Komisyon Tarifesi'!$B$2:$B$1000,0)))))/100,IFERROR(IF(VLOOKUP($A204,Products!$A$2:$W$1000,21,0)&lt;&gt;"",$D204*VLOOKUP($A204,Products!$A$2:$W$1000,21,0)/100,""),"")))</f>
        <v>500</v>
      </c>
      <c r="F204" s="14">
        <f t="array" ref="F204">IF($A204="","",IFERROR(IF(INDEX('Maliyet Giris'!$G$2:$G$550,MATCH($A204,'Maliyet Giris'!$A$2:$A$550,0))="","",IF(INDEX('Maliyet Giris'!$G$2:$G$550,MATCH($A204,'Maliyet Giris'!$A$2:$A$550,0))&lt;=2,86.4,IF(INDEX('Maliyet Giris'!$G$2:$G$550,MATCH($A204,'Maliyet Giris'!$A$2:$A$550,0))&lt;=3,90,IF(INDEX('Maliyet Giris'!$G$2:$G$550,MATCH($A204,'Maliyet Giris'!$A$2:$A$550,0))&lt;=5,102,IF(INDEX('Maliyet Giris'!$G$2:$G$550,MATCH($A204,'Maliyet Giris'!$A$2:$A$550,0))&lt;=10,159.74,IF(INDEX('Maliyet Giris'!$G$2:$G$550,MATCH($A204,'Maliyet Giris'!$A$2:$A$550,0))&lt;=15,187.5,IF(INDEX('Maliyet Giris'!$G$2:$G$550,MATCH($A204,'Maliyet Giris'!$A$2:$A$550,0))&lt;=20,225,299))))))),""))</f>
        <v>159.74</v>
      </c>
      <c r="G204" s="14">
        <f t="array" ref="G204">IF($A204="","",IFERROR(INDEX('Maliyet Giris'!$F$2:$F$550,MATCH($A204,'Maliyet Giris'!$A$2:$A$550,0)),""))</f>
        <v>3474.24</v>
      </c>
      <c r="H204" s="14">
        <f t="shared" si="1"/>
        <v>13.19</v>
      </c>
      <c r="I204" s="14">
        <f t="shared" si="2"/>
        <v>33.33333333</v>
      </c>
      <c r="J204" s="14">
        <f t="shared" si="3"/>
        <v>0</v>
      </c>
      <c r="K204" s="14">
        <f t="shared" si="4"/>
        <v>-180.5033333</v>
      </c>
      <c r="L204" s="15">
        <f t="shared" si="5"/>
        <v>-0.04512583333</v>
      </c>
      <c r="M204" s="17" t="str">
        <f t="shared" si="6"/>
        <v>ZARAR</v>
      </c>
      <c r="N204" s="17" t="str">
        <f t="shared" si="7"/>
        <v/>
      </c>
      <c r="O204" s="17">
        <f t="array" ref="O204">IF($A204="","",IFERROR(INDEX('Maliyet Giris'!$G$2:$G$550,MATCH($A204,'Maliyet Giris'!$A$2:$A$550,0)),""))</f>
        <v>10</v>
      </c>
      <c r="P204" s="17" t="str">
        <f t="shared" si="8"/>
        <v/>
      </c>
      <c r="Q204" s="17" t="str">
        <f t="shared" si="9"/>
        <v/>
      </c>
      <c r="R204" s="14">
        <f t="shared" si="10"/>
        <v>4208.271458</v>
      </c>
      <c r="S204" s="14">
        <f t="shared" si="11"/>
        <v>-208.2714584</v>
      </c>
      <c r="T204" s="17" t="str">
        <f t="shared" si="12"/>
        <v>ZARAR</v>
      </c>
      <c r="U204" s="17" t="str">
        <f t="shared" si="13"/>
        <v>Fiyat, maliyet veya kampanya kontrol et</v>
      </c>
    </row>
    <row r="205">
      <c r="A205" s="2">
        <f>IFERROR(__xludf.DUMMYFUNCTION("""COMPUTED_VALUE"""),7.613033560064E12)</f>
        <v>7613033560064</v>
      </c>
      <c r="B205" s="17" t="str">
        <f>IFERROR(__xludf.DUMMYFUNCTION("""COMPUTED_VALUE"""),"Pro Plan")</f>
        <v>Pro Plan</v>
      </c>
      <c r="C205" s="28" t="str">
        <f>IFERROR(__xludf.DUMMYFUNCTION("""COMPUTED_VALUE"""),"Kısırlaştırılmış Somonlu Kuru Kedi Maması 3 Kg")</f>
        <v>Kısırlaştırılmış Somonlu Kuru Kedi Maması 3 Kg</v>
      </c>
      <c r="D205" s="14">
        <f>IFERROR(__xludf.DUMMYFUNCTION("""COMPUTED_VALUE"""),1428.0)</f>
        <v>1428</v>
      </c>
      <c r="E205" s="14">
        <f t="array" ref="E205">IF($A205="","",IFERROR($D205*IF($D205&gt;=INDEX('Komisyon Tarifesi'!$I$2:$I$1000,MATCH($A205,'Komisyon Tarifesi'!$B$2:$B$1000,0)),INDEX('Komisyon Tarifesi'!$O$2:$O$1000,MATCH($A205,'Komisyon Tarifesi'!$B$2:$B$1000,0)),IF($D205&gt;=INDEX('Komisyon Tarifesi'!$K$2:$K$1000,MATCH($A205,'Komisyon Tarifesi'!$B$2:$B$1000,0)),INDEX('Komisyon Tarifesi'!$P$2:$P$1000,MATCH($A205,'Komisyon Tarifesi'!$B$2:$B$1000,0)),IF($D205&gt;=INDEX('Komisyon Tarifesi'!$M$2:$M$1000,MATCH($A205,'Komisyon Tarifesi'!$B$2:$B$1000,0)),INDEX('Komisyon Tarifesi'!$Q$2:$Q$1000,MATCH($A205,'Komisyon Tarifesi'!$B$2:$B$1000,0)),INDEX('Komisyon Tarifesi'!$R$2:$R$1000,MATCH($A205,'Komisyon Tarifesi'!$B$2:$B$1000,0)))))/100,IFERROR(IF(VLOOKUP($A205,Products!$A$2:$W$1000,21,0)&lt;&gt;"",$D205*VLOOKUP($A205,Products!$A$2:$W$1000,21,0)/100,""),"")))</f>
        <v>178.5</v>
      </c>
      <c r="F205" s="14">
        <f t="array" ref="F205">IF($A205="","",IFERROR(IF(INDEX('Maliyet Giris'!$G$2:$G$550,MATCH($A205,'Maliyet Giris'!$A$2:$A$550,0))="","",IF(INDEX('Maliyet Giris'!$G$2:$G$550,MATCH($A205,'Maliyet Giris'!$A$2:$A$550,0))&lt;=2,86.4,IF(INDEX('Maliyet Giris'!$G$2:$G$550,MATCH($A205,'Maliyet Giris'!$A$2:$A$550,0))&lt;=3,90,IF(INDEX('Maliyet Giris'!$G$2:$G$550,MATCH($A205,'Maliyet Giris'!$A$2:$A$550,0))&lt;=5,102,IF(INDEX('Maliyet Giris'!$G$2:$G$550,MATCH($A205,'Maliyet Giris'!$A$2:$A$550,0))&lt;=10,159.74,IF(INDEX('Maliyet Giris'!$G$2:$G$550,MATCH($A205,'Maliyet Giris'!$A$2:$A$550,0))&lt;=15,187.5,IF(INDEX('Maliyet Giris'!$G$2:$G$550,MATCH($A205,'Maliyet Giris'!$A$2:$A$550,0))&lt;=20,225,299))))))),""))</f>
        <v>90</v>
      </c>
      <c r="G205" s="14">
        <f t="array" ref="G205">IF($A205="","",IFERROR(INDEX('Maliyet Giris'!$F$2:$F$550,MATCH($A205,'Maliyet Giris'!$A$2:$A$550,0)),""))</f>
        <v>1190</v>
      </c>
      <c r="H205" s="14">
        <f t="shared" si="1"/>
        <v>13.19</v>
      </c>
      <c r="I205" s="14">
        <f t="shared" si="2"/>
        <v>11.9</v>
      </c>
      <c r="J205" s="14">
        <f t="shared" si="3"/>
        <v>0</v>
      </c>
      <c r="K205" s="14">
        <f t="shared" si="4"/>
        <v>-55.59</v>
      </c>
      <c r="L205" s="15">
        <f t="shared" si="5"/>
        <v>-0.03892857143</v>
      </c>
      <c r="M205" s="17" t="str">
        <f t="shared" si="6"/>
        <v>ZARAR</v>
      </c>
      <c r="N205" s="17" t="str">
        <f t="shared" si="7"/>
        <v/>
      </c>
      <c r="O205" s="17">
        <f t="array" ref="O205">IF($A205="","",IFERROR(INDEX('Maliyet Giris'!$G$2:$G$550,MATCH($A205,'Maliyet Giris'!$A$2:$A$550,0)),""))</f>
        <v>3</v>
      </c>
      <c r="P205" s="17" t="str">
        <f t="shared" si="8"/>
        <v/>
      </c>
      <c r="Q205" s="17" t="str">
        <f t="shared" si="9"/>
        <v/>
      </c>
      <c r="R205" s="14">
        <f t="shared" si="10"/>
        <v>1492.141734</v>
      </c>
      <c r="S205" s="14">
        <f t="shared" si="11"/>
        <v>-64.14173379</v>
      </c>
      <c r="T205" s="17" t="str">
        <f t="shared" si="12"/>
        <v>ZARAR</v>
      </c>
      <c r="U205" s="17" t="str">
        <f t="shared" si="13"/>
        <v>Fiyat, maliyet veya kampanya kontrol et</v>
      </c>
    </row>
    <row r="206">
      <c r="A206" s="2"/>
      <c r="C206" s="28"/>
      <c r="D206" s="14"/>
      <c r="E206" s="14" t="str">
        <f t="array" ref="E206">IF($A206="","",IFERROR($D206*IF($D206&gt;=INDEX('Komisyon Tarifesi'!$I$2:$I$1000,MATCH($A206,'Komisyon Tarifesi'!$B$2:$B$1000,0)),INDEX('Komisyon Tarifesi'!$O$2:$O$1000,MATCH($A206,'Komisyon Tarifesi'!$B$2:$B$1000,0)),IF($D206&gt;=INDEX('Komisyon Tarifesi'!$K$2:$K$1000,MATCH($A206,'Komisyon Tarifesi'!$B$2:$B$1000,0)),INDEX('Komisyon Tarifesi'!$P$2:$P$1000,MATCH($A206,'Komisyon Tarifesi'!$B$2:$B$1000,0)),IF($D206&gt;=INDEX('Komisyon Tarifesi'!$M$2:$M$1000,MATCH($A206,'Komisyon Tarifesi'!$B$2:$B$1000,0)),INDEX('Komisyon Tarifesi'!$Q$2:$Q$1000,MATCH($A206,'Komisyon Tarifesi'!$B$2:$B$1000,0)),INDEX('Komisyon Tarifesi'!$R$2:$R$1000,MATCH($A206,'Komisyon Tarifesi'!$B$2:$B$1000,0)))))/100,IFERROR(IF(VLOOKUP($A206,Products!$A$2:$W$1000,21,0)&lt;&gt;"",$D206*VLOOKUP($A206,Products!$A$2:$W$1000,21,0)/100,""),"")))</f>
        <v/>
      </c>
      <c r="F206" s="14" t="str">
        <f t="array" ref="F206">IF($A206="","",IFERROR(IF(INDEX('Maliyet Giris'!$G$2:$G$550,MATCH($A206,'Maliyet Giris'!$A$2:$A$550,0))="","",IF(INDEX('Maliyet Giris'!$G$2:$G$550,MATCH($A206,'Maliyet Giris'!$A$2:$A$550,0))&lt;=2,86.4,IF(INDEX('Maliyet Giris'!$G$2:$G$550,MATCH($A206,'Maliyet Giris'!$A$2:$A$550,0))&lt;=3,90,IF(INDEX('Maliyet Giris'!$G$2:$G$550,MATCH($A206,'Maliyet Giris'!$A$2:$A$550,0))&lt;=5,102,IF(INDEX('Maliyet Giris'!$G$2:$G$550,MATCH($A206,'Maliyet Giris'!$A$2:$A$550,0))&lt;=10,159.74,IF(INDEX('Maliyet Giris'!$G$2:$G$550,MATCH($A206,'Maliyet Giris'!$A$2:$A$550,0))&lt;=15,187.5,IF(INDEX('Maliyet Giris'!$G$2:$G$550,MATCH($A206,'Maliyet Giris'!$A$2:$A$550,0))&lt;=20,225,299))))))),""))</f>
        <v/>
      </c>
      <c r="G206" s="14" t="str">
        <f t="array" ref="G206">IF($A206="","",IFERROR(INDEX('Maliyet Giris'!$F$2:$F$550,MATCH($A206,'Maliyet Giris'!$A$2:$A$550,0)),""))</f>
        <v/>
      </c>
      <c r="H206" s="14" t="str">
        <f t="shared" si="1"/>
        <v/>
      </c>
      <c r="I206" s="14" t="str">
        <f t="shared" si="2"/>
        <v/>
      </c>
      <c r="J206" s="14" t="str">
        <f t="shared" si="3"/>
        <v/>
      </c>
      <c r="K206" s="14" t="str">
        <f t="shared" si="4"/>
        <v/>
      </c>
      <c r="L206" s="15" t="str">
        <f t="shared" si="5"/>
        <v/>
      </c>
      <c r="M206" s="17" t="str">
        <f t="shared" si="6"/>
        <v/>
      </c>
      <c r="N206" s="17" t="str">
        <f t="shared" si="7"/>
        <v/>
      </c>
      <c r="O206" s="17" t="str">
        <f t="array" ref="O206">IF($A206="","",IFERROR(INDEX('Maliyet Giris'!$G$2:$G$550,MATCH($A206,'Maliyet Giris'!$A$2:$A$550,0)),""))</f>
        <v/>
      </c>
      <c r="P206" s="17" t="str">
        <f t="shared" si="8"/>
        <v/>
      </c>
      <c r="Q206" s="17" t="str">
        <f t="shared" si="9"/>
        <v/>
      </c>
      <c r="R206" s="14" t="str">
        <f t="shared" si="10"/>
        <v/>
      </c>
      <c r="S206" s="14" t="str">
        <f t="shared" si="11"/>
        <v/>
      </c>
      <c r="T206" s="17" t="str">
        <f t="shared" si="12"/>
        <v/>
      </c>
      <c r="U206" s="17" t="str">
        <f t="shared" si="13"/>
        <v/>
      </c>
    </row>
    <row r="207">
      <c r="A207" s="2"/>
      <c r="C207" s="28"/>
      <c r="D207" s="14"/>
      <c r="E207" s="14" t="str">
        <f t="array" ref="E207">IF($A207="","",IFERROR($D207*IF($D207&gt;=INDEX('Komisyon Tarifesi'!$I$2:$I$1000,MATCH($A207,'Komisyon Tarifesi'!$B$2:$B$1000,0)),INDEX('Komisyon Tarifesi'!$O$2:$O$1000,MATCH($A207,'Komisyon Tarifesi'!$B$2:$B$1000,0)),IF($D207&gt;=INDEX('Komisyon Tarifesi'!$K$2:$K$1000,MATCH($A207,'Komisyon Tarifesi'!$B$2:$B$1000,0)),INDEX('Komisyon Tarifesi'!$P$2:$P$1000,MATCH($A207,'Komisyon Tarifesi'!$B$2:$B$1000,0)),IF($D207&gt;=INDEX('Komisyon Tarifesi'!$M$2:$M$1000,MATCH($A207,'Komisyon Tarifesi'!$B$2:$B$1000,0)),INDEX('Komisyon Tarifesi'!$Q$2:$Q$1000,MATCH($A207,'Komisyon Tarifesi'!$B$2:$B$1000,0)),INDEX('Komisyon Tarifesi'!$R$2:$R$1000,MATCH($A207,'Komisyon Tarifesi'!$B$2:$B$1000,0)))))/100,IFERROR(IF(VLOOKUP($A207,Products!$A$2:$W$1000,21,0)&lt;&gt;"",$D207*VLOOKUP($A207,Products!$A$2:$W$1000,21,0)/100,""),"")))</f>
        <v/>
      </c>
      <c r="F207" s="14" t="str">
        <f t="array" ref="F207">IF($A207="","",IFERROR(IF(INDEX('Maliyet Giris'!$G$2:$G$550,MATCH($A207,'Maliyet Giris'!$A$2:$A$550,0))="","",IF(INDEX('Maliyet Giris'!$G$2:$G$550,MATCH($A207,'Maliyet Giris'!$A$2:$A$550,0))&lt;=2,86.4,IF(INDEX('Maliyet Giris'!$G$2:$G$550,MATCH($A207,'Maliyet Giris'!$A$2:$A$550,0))&lt;=3,90,IF(INDEX('Maliyet Giris'!$G$2:$G$550,MATCH($A207,'Maliyet Giris'!$A$2:$A$550,0))&lt;=5,102,IF(INDEX('Maliyet Giris'!$G$2:$G$550,MATCH($A207,'Maliyet Giris'!$A$2:$A$550,0))&lt;=10,159.74,IF(INDEX('Maliyet Giris'!$G$2:$G$550,MATCH($A207,'Maliyet Giris'!$A$2:$A$550,0))&lt;=15,187.5,IF(INDEX('Maliyet Giris'!$G$2:$G$550,MATCH($A207,'Maliyet Giris'!$A$2:$A$550,0))&lt;=20,225,299))))))),""))</f>
        <v/>
      </c>
      <c r="G207" s="14" t="str">
        <f t="array" ref="G207">IF($A207="","",IFERROR(INDEX('Maliyet Giris'!$F$2:$F$550,MATCH($A207,'Maliyet Giris'!$A$2:$A$550,0)),""))</f>
        <v/>
      </c>
      <c r="H207" s="14" t="str">
        <f t="shared" si="1"/>
        <v/>
      </c>
      <c r="I207" s="14" t="str">
        <f t="shared" si="2"/>
        <v/>
      </c>
      <c r="J207" s="14" t="str">
        <f t="shared" si="3"/>
        <v/>
      </c>
      <c r="K207" s="14" t="str">
        <f t="shared" si="4"/>
        <v/>
      </c>
      <c r="L207" s="15" t="str">
        <f t="shared" si="5"/>
        <v/>
      </c>
      <c r="M207" s="17" t="str">
        <f t="shared" si="6"/>
        <v/>
      </c>
      <c r="N207" s="17" t="str">
        <f t="shared" si="7"/>
        <v/>
      </c>
      <c r="O207" s="17" t="str">
        <f t="array" ref="O207">IF($A207="","",IFERROR(INDEX('Maliyet Giris'!$G$2:$G$550,MATCH($A207,'Maliyet Giris'!$A$2:$A$550,0)),""))</f>
        <v/>
      </c>
      <c r="P207" s="17" t="str">
        <f t="shared" si="8"/>
        <v/>
      </c>
      <c r="Q207" s="17" t="str">
        <f t="shared" si="9"/>
        <v/>
      </c>
      <c r="R207" s="14" t="str">
        <f t="shared" si="10"/>
        <v/>
      </c>
      <c r="S207" s="14" t="str">
        <f t="shared" si="11"/>
        <v/>
      </c>
      <c r="T207" s="17" t="str">
        <f t="shared" si="12"/>
        <v/>
      </c>
      <c r="U207" s="17" t="str">
        <f t="shared" si="13"/>
        <v/>
      </c>
    </row>
    <row r="208">
      <c r="A208" s="2"/>
      <c r="C208" s="28"/>
      <c r="D208" s="14"/>
      <c r="E208" s="14" t="str">
        <f t="array" ref="E208">IF($A208="","",IFERROR($D208*IF($D208&gt;=INDEX('Komisyon Tarifesi'!$I$2:$I$1000,MATCH($A208,'Komisyon Tarifesi'!$B$2:$B$1000,0)),INDEX('Komisyon Tarifesi'!$O$2:$O$1000,MATCH($A208,'Komisyon Tarifesi'!$B$2:$B$1000,0)),IF($D208&gt;=INDEX('Komisyon Tarifesi'!$K$2:$K$1000,MATCH($A208,'Komisyon Tarifesi'!$B$2:$B$1000,0)),INDEX('Komisyon Tarifesi'!$P$2:$P$1000,MATCH($A208,'Komisyon Tarifesi'!$B$2:$B$1000,0)),IF($D208&gt;=INDEX('Komisyon Tarifesi'!$M$2:$M$1000,MATCH($A208,'Komisyon Tarifesi'!$B$2:$B$1000,0)),INDEX('Komisyon Tarifesi'!$Q$2:$Q$1000,MATCH($A208,'Komisyon Tarifesi'!$B$2:$B$1000,0)),INDEX('Komisyon Tarifesi'!$R$2:$R$1000,MATCH($A208,'Komisyon Tarifesi'!$B$2:$B$1000,0)))))/100,IFERROR(IF(VLOOKUP($A208,Products!$A$2:$W$1000,21,0)&lt;&gt;"",$D208*VLOOKUP($A208,Products!$A$2:$W$1000,21,0)/100,""),"")))</f>
        <v/>
      </c>
      <c r="F208" s="14" t="str">
        <f t="array" ref="F208">IF($A208="","",IFERROR(IF(INDEX('Maliyet Giris'!$G$2:$G$550,MATCH($A208,'Maliyet Giris'!$A$2:$A$550,0))="","",IF(INDEX('Maliyet Giris'!$G$2:$G$550,MATCH($A208,'Maliyet Giris'!$A$2:$A$550,0))&lt;=2,86.4,IF(INDEX('Maliyet Giris'!$G$2:$G$550,MATCH($A208,'Maliyet Giris'!$A$2:$A$550,0))&lt;=3,90,IF(INDEX('Maliyet Giris'!$G$2:$G$550,MATCH($A208,'Maliyet Giris'!$A$2:$A$550,0))&lt;=5,102,IF(INDEX('Maliyet Giris'!$G$2:$G$550,MATCH($A208,'Maliyet Giris'!$A$2:$A$550,0))&lt;=10,159.74,IF(INDEX('Maliyet Giris'!$G$2:$G$550,MATCH($A208,'Maliyet Giris'!$A$2:$A$550,0))&lt;=15,187.5,IF(INDEX('Maliyet Giris'!$G$2:$G$550,MATCH($A208,'Maliyet Giris'!$A$2:$A$550,0))&lt;=20,225,299))))))),""))</f>
        <v/>
      </c>
      <c r="G208" s="14" t="str">
        <f t="array" ref="G208">IF($A208="","",IFERROR(INDEX('Maliyet Giris'!$F$2:$F$550,MATCH($A208,'Maliyet Giris'!$A$2:$A$550,0)),""))</f>
        <v/>
      </c>
      <c r="H208" s="14" t="str">
        <f t="shared" si="1"/>
        <v/>
      </c>
      <c r="I208" s="14" t="str">
        <f t="shared" si="2"/>
        <v/>
      </c>
      <c r="J208" s="14" t="str">
        <f t="shared" si="3"/>
        <v/>
      </c>
      <c r="K208" s="14" t="str">
        <f t="shared" si="4"/>
        <v/>
      </c>
      <c r="L208" s="15" t="str">
        <f t="shared" si="5"/>
        <v/>
      </c>
      <c r="M208" s="17" t="str">
        <f t="shared" si="6"/>
        <v/>
      </c>
      <c r="N208" s="17" t="str">
        <f t="shared" si="7"/>
        <v/>
      </c>
      <c r="O208" s="17" t="str">
        <f t="array" ref="O208">IF($A208="","",IFERROR(INDEX('Maliyet Giris'!$G$2:$G$550,MATCH($A208,'Maliyet Giris'!$A$2:$A$550,0)),""))</f>
        <v/>
      </c>
      <c r="P208" s="17" t="str">
        <f t="shared" si="8"/>
        <v/>
      </c>
      <c r="Q208" s="17" t="str">
        <f t="shared" si="9"/>
        <v/>
      </c>
      <c r="R208" s="14" t="str">
        <f t="shared" si="10"/>
        <v/>
      </c>
      <c r="S208" s="14" t="str">
        <f t="shared" si="11"/>
        <v/>
      </c>
      <c r="T208" s="17" t="str">
        <f t="shared" si="12"/>
        <v/>
      </c>
      <c r="U208" s="17" t="str">
        <f t="shared" si="13"/>
        <v/>
      </c>
    </row>
    <row r="209">
      <c r="A209" s="2"/>
      <c r="C209" s="28"/>
      <c r="D209" s="14"/>
      <c r="E209" s="14" t="str">
        <f t="array" ref="E209">IF($A209="","",IFERROR($D209*IF($D209&gt;=INDEX('Komisyon Tarifesi'!$I$2:$I$1000,MATCH($A209,'Komisyon Tarifesi'!$B$2:$B$1000,0)),INDEX('Komisyon Tarifesi'!$O$2:$O$1000,MATCH($A209,'Komisyon Tarifesi'!$B$2:$B$1000,0)),IF($D209&gt;=INDEX('Komisyon Tarifesi'!$K$2:$K$1000,MATCH($A209,'Komisyon Tarifesi'!$B$2:$B$1000,0)),INDEX('Komisyon Tarifesi'!$P$2:$P$1000,MATCH($A209,'Komisyon Tarifesi'!$B$2:$B$1000,0)),IF($D209&gt;=INDEX('Komisyon Tarifesi'!$M$2:$M$1000,MATCH($A209,'Komisyon Tarifesi'!$B$2:$B$1000,0)),INDEX('Komisyon Tarifesi'!$Q$2:$Q$1000,MATCH($A209,'Komisyon Tarifesi'!$B$2:$B$1000,0)),INDEX('Komisyon Tarifesi'!$R$2:$R$1000,MATCH($A209,'Komisyon Tarifesi'!$B$2:$B$1000,0)))))/100,IFERROR(IF(VLOOKUP($A209,Products!$A$2:$W$1000,21,0)&lt;&gt;"",$D209*VLOOKUP($A209,Products!$A$2:$W$1000,21,0)/100,""),"")))</f>
        <v/>
      </c>
      <c r="F209" s="14" t="str">
        <f t="array" ref="F209">IF($A209="","",IFERROR(IF(INDEX('Maliyet Giris'!$G$2:$G$550,MATCH($A209,'Maliyet Giris'!$A$2:$A$550,0))="","",IF(INDEX('Maliyet Giris'!$G$2:$G$550,MATCH($A209,'Maliyet Giris'!$A$2:$A$550,0))&lt;=2,86.4,IF(INDEX('Maliyet Giris'!$G$2:$G$550,MATCH($A209,'Maliyet Giris'!$A$2:$A$550,0))&lt;=3,90,IF(INDEX('Maliyet Giris'!$G$2:$G$550,MATCH($A209,'Maliyet Giris'!$A$2:$A$550,0))&lt;=5,102,IF(INDEX('Maliyet Giris'!$G$2:$G$550,MATCH($A209,'Maliyet Giris'!$A$2:$A$550,0))&lt;=10,159.74,IF(INDEX('Maliyet Giris'!$G$2:$G$550,MATCH($A209,'Maliyet Giris'!$A$2:$A$550,0))&lt;=15,187.5,IF(INDEX('Maliyet Giris'!$G$2:$G$550,MATCH($A209,'Maliyet Giris'!$A$2:$A$550,0))&lt;=20,225,299))))))),""))</f>
        <v/>
      </c>
      <c r="G209" s="14" t="str">
        <f t="array" ref="G209">IF($A209="","",IFERROR(INDEX('Maliyet Giris'!$F$2:$F$550,MATCH($A209,'Maliyet Giris'!$A$2:$A$550,0)),""))</f>
        <v/>
      </c>
      <c r="H209" s="14" t="str">
        <f t="shared" si="1"/>
        <v/>
      </c>
      <c r="I209" s="14" t="str">
        <f t="shared" si="2"/>
        <v/>
      </c>
      <c r="J209" s="14" t="str">
        <f t="shared" si="3"/>
        <v/>
      </c>
      <c r="K209" s="14" t="str">
        <f t="shared" si="4"/>
        <v/>
      </c>
      <c r="L209" s="15" t="str">
        <f t="shared" si="5"/>
        <v/>
      </c>
      <c r="M209" s="17" t="str">
        <f t="shared" si="6"/>
        <v/>
      </c>
      <c r="N209" s="17" t="str">
        <f t="shared" si="7"/>
        <v/>
      </c>
      <c r="O209" s="17" t="str">
        <f t="array" ref="O209">IF($A209="","",IFERROR(INDEX('Maliyet Giris'!$G$2:$G$550,MATCH($A209,'Maliyet Giris'!$A$2:$A$550,0)),""))</f>
        <v/>
      </c>
      <c r="P209" s="17" t="str">
        <f t="shared" si="8"/>
        <v/>
      </c>
      <c r="Q209" s="17" t="str">
        <f t="shared" si="9"/>
        <v/>
      </c>
      <c r="R209" s="14" t="str">
        <f t="shared" si="10"/>
        <v/>
      </c>
      <c r="S209" s="14" t="str">
        <f t="shared" si="11"/>
        <v/>
      </c>
      <c r="T209" s="17" t="str">
        <f t="shared" si="12"/>
        <v/>
      </c>
      <c r="U209" s="17" t="str">
        <f t="shared" si="13"/>
        <v/>
      </c>
    </row>
    <row r="210">
      <c r="A210" s="2"/>
      <c r="C210" s="28"/>
      <c r="D210" s="14"/>
      <c r="E210" s="14" t="str">
        <f t="array" ref="E210">IF($A210="","",IFERROR($D210*IF($D210&gt;=INDEX('Komisyon Tarifesi'!$I$2:$I$1000,MATCH($A210,'Komisyon Tarifesi'!$B$2:$B$1000,0)),INDEX('Komisyon Tarifesi'!$O$2:$O$1000,MATCH($A210,'Komisyon Tarifesi'!$B$2:$B$1000,0)),IF($D210&gt;=INDEX('Komisyon Tarifesi'!$K$2:$K$1000,MATCH($A210,'Komisyon Tarifesi'!$B$2:$B$1000,0)),INDEX('Komisyon Tarifesi'!$P$2:$P$1000,MATCH($A210,'Komisyon Tarifesi'!$B$2:$B$1000,0)),IF($D210&gt;=INDEX('Komisyon Tarifesi'!$M$2:$M$1000,MATCH($A210,'Komisyon Tarifesi'!$B$2:$B$1000,0)),INDEX('Komisyon Tarifesi'!$Q$2:$Q$1000,MATCH($A210,'Komisyon Tarifesi'!$B$2:$B$1000,0)),INDEX('Komisyon Tarifesi'!$R$2:$R$1000,MATCH($A210,'Komisyon Tarifesi'!$B$2:$B$1000,0)))))/100,IFERROR(IF(VLOOKUP($A210,Products!$A$2:$W$1000,21,0)&lt;&gt;"",$D210*VLOOKUP($A210,Products!$A$2:$W$1000,21,0)/100,""),"")))</f>
        <v/>
      </c>
      <c r="F210" s="14" t="str">
        <f t="array" ref="F210">IF($A210="","",IFERROR(IF(INDEX('Maliyet Giris'!$G$2:$G$550,MATCH($A210,'Maliyet Giris'!$A$2:$A$550,0))="","",IF(INDEX('Maliyet Giris'!$G$2:$G$550,MATCH($A210,'Maliyet Giris'!$A$2:$A$550,0))&lt;=2,86.4,IF(INDEX('Maliyet Giris'!$G$2:$G$550,MATCH($A210,'Maliyet Giris'!$A$2:$A$550,0))&lt;=3,90,IF(INDEX('Maliyet Giris'!$G$2:$G$550,MATCH($A210,'Maliyet Giris'!$A$2:$A$550,0))&lt;=5,102,IF(INDEX('Maliyet Giris'!$G$2:$G$550,MATCH($A210,'Maliyet Giris'!$A$2:$A$550,0))&lt;=10,159.74,IF(INDEX('Maliyet Giris'!$G$2:$G$550,MATCH($A210,'Maliyet Giris'!$A$2:$A$550,0))&lt;=15,187.5,IF(INDEX('Maliyet Giris'!$G$2:$G$550,MATCH($A210,'Maliyet Giris'!$A$2:$A$550,0))&lt;=20,225,299))))))),""))</f>
        <v/>
      </c>
      <c r="G210" s="14" t="str">
        <f t="array" ref="G210">IF($A210="","",IFERROR(INDEX('Maliyet Giris'!$F$2:$F$550,MATCH($A210,'Maliyet Giris'!$A$2:$A$550,0)),""))</f>
        <v/>
      </c>
      <c r="H210" s="14" t="str">
        <f t="shared" si="1"/>
        <v/>
      </c>
      <c r="I210" s="14" t="str">
        <f t="shared" si="2"/>
        <v/>
      </c>
      <c r="J210" s="14" t="str">
        <f t="shared" si="3"/>
        <v/>
      </c>
      <c r="K210" s="14" t="str">
        <f t="shared" si="4"/>
        <v/>
      </c>
      <c r="L210" s="15" t="str">
        <f t="shared" si="5"/>
        <v/>
      </c>
      <c r="M210" s="17" t="str">
        <f t="shared" si="6"/>
        <v/>
      </c>
      <c r="N210" s="17" t="str">
        <f t="shared" si="7"/>
        <v/>
      </c>
      <c r="O210" s="17" t="str">
        <f t="array" ref="O210">IF($A210="","",IFERROR(INDEX('Maliyet Giris'!$G$2:$G$550,MATCH($A210,'Maliyet Giris'!$A$2:$A$550,0)),""))</f>
        <v/>
      </c>
      <c r="P210" s="17" t="str">
        <f t="shared" si="8"/>
        <v/>
      </c>
      <c r="Q210" s="17" t="str">
        <f t="shared" si="9"/>
        <v/>
      </c>
      <c r="R210" s="14" t="str">
        <f t="shared" si="10"/>
        <v/>
      </c>
      <c r="S210" s="14" t="str">
        <f t="shared" si="11"/>
        <v/>
      </c>
      <c r="T210" s="17" t="str">
        <f t="shared" si="12"/>
        <v/>
      </c>
      <c r="U210" s="17" t="str">
        <f t="shared" si="13"/>
        <v/>
      </c>
    </row>
    <row r="211">
      <c r="A211" s="2"/>
      <c r="C211" s="28"/>
      <c r="D211" s="14"/>
      <c r="E211" s="14" t="str">
        <f t="array" ref="E211">IF($A211="","",IFERROR($D211*IF($D211&gt;=INDEX('Komisyon Tarifesi'!$I$2:$I$1000,MATCH($A211,'Komisyon Tarifesi'!$B$2:$B$1000,0)),INDEX('Komisyon Tarifesi'!$O$2:$O$1000,MATCH($A211,'Komisyon Tarifesi'!$B$2:$B$1000,0)),IF($D211&gt;=INDEX('Komisyon Tarifesi'!$K$2:$K$1000,MATCH($A211,'Komisyon Tarifesi'!$B$2:$B$1000,0)),INDEX('Komisyon Tarifesi'!$P$2:$P$1000,MATCH($A211,'Komisyon Tarifesi'!$B$2:$B$1000,0)),IF($D211&gt;=INDEX('Komisyon Tarifesi'!$M$2:$M$1000,MATCH($A211,'Komisyon Tarifesi'!$B$2:$B$1000,0)),INDEX('Komisyon Tarifesi'!$Q$2:$Q$1000,MATCH($A211,'Komisyon Tarifesi'!$B$2:$B$1000,0)),INDEX('Komisyon Tarifesi'!$R$2:$R$1000,MATCH($A211,'Komisyon Tarifesi'!$B$2:$B$1000,0)))))/100,IFERROR(IF(VLOOKUP($A211,Products!$A$2:$W$1000,21,0)&lt;&gt;"",$D211*VLOOKUP($A211,Products!$A$2:$W$1000,21,0)/100,""),"")))</f>
        <v/>
      </c>
      <c r="F211" s="14" t="str">
        <f t="array" ref="F211">IF($A211="","",IFERROR(IF(INDEX('Maliyet Giris'!$G$2:$G$550,MATCH($A211,'Maliyet Giris'!$A$2:$A$550,0))="","",IF(INDEX('Maliyet Giris'!$G$2:$G$550,MATCH($A211,'Maliyet Giris'!$A$2:$A$550,0))&lt;=2,86.4,IF(INDEX('Maliyet Giris'!$G$2:$G$550,MATCH($A211,'Maliyet Giris'!$A$2:$A$550,0))&lt;=3,90,IF(INDEX('Maliyet Giris'!$G$2:$G$550,MATCH($A211,'Maliyet Giris'!$A$2:$A$550,0))&lt;=5,102,IF(INDEX('Maliyet Giris'!$G$2:$G$550,MATCH($A211,'Maliyet Giris'!$A$2:$A$550,0))&lt;=10,159.74,IF(INDEX('Maliyet Giris'!$G$2:$G$550,MATCH($A211,'Maliyet Giris'!$A$2:$A$550,0))&lt;=15,187.5,IF(INDEX('Maliyet Giris'!$G$2:$G$550,MATCH($A211,'Maliyet Giris'!$A$2:$A$550,0))&lt;=20,225,299))))))),""))</f>
        <v/>
      </c>
      <c r="G211" s="14" t="str">
        <f t="array" ref="G211">IF($A211="","",IFERROR(INDEX('Maliyet Giris'!$F$2:$F$550,MATCH($A211,'Maliyet Giris'!$A$2:$A$550,0)),""))</f>
        <v/>
      </c>
      <c r="H211" s="14" t="str">
        <f t="shared" si="1"/>
        <v/>
      </c>
      <c r="I211" s="14" t="str">
        <f t="shared" si="2"/>
        <v/>
      </c>
      <c r="J211" s="14" t="str">
        <f t="shared" si="3"/>
        <v/>
      </c>
      <c r="K211" s="14" t="str">
        <f t="shared" si="4"/>
        <v/>
      </c>
      <c r="L211" s="15" t="str">
        <f t="shared" si="5"/>
        <v/>
      </c>
      <c r="M211" s="17" t="str">
        <f t="shared" si="6"/>
        <v/>
      </c>
      <c r="N211" s="17" t="str">
        <f t="shared" si="7"/>
        <v/>
      </c>
      <c r="O211" s="17" t="str">
        <f t="array" ref="O211">IF($A211="","",IFERROR(INDEX('Maliyet Giris'!$G$2:$G$550,MATCH($A211,'Maliyet Giris'!$A$2:$A$550,0)),""))</f>
        <v/>
      </c>
      <c r="P211" s="17" t="str">
        <f t="shared" si="8"/>
        <v/>
      </c>
      <c r="Q211" s="17" t="str">
        <f t="shared" si="9"/>
        <v/>
      </c>
      <c r="R211" s="14" t="str">
        <f t="shared" si="10"/>
        <v/>
      </c>
      <c r="S211" s="14" t="str">
        <f t="shared" si="11"/>
        <v/>
      </c>
      <c r="T211" s="17" t="str">
        <f t="shared" si="12"/>
        <v/>
      </c>
      <c r="U211" s="17" t="str">
        <f t="shared" si="13"/>
        <v/>
      </c>
    </row>
    <row r="212">
      <c r="A212" s="2"/>
      <c r="C212" s="28"/>
      <c r="D212" s="14"/>
      <c r="E212" s="14" t="str">
        <f t="array" ref="E212">IF($A212="","",IFERROR($D212*IF($D212&gt;=INDEX('Komisyon Tarifesi'!$I$2:$I$1000,MATCH($A212,'Komisyon Tarifesi'!$B$2:$B$1000,0)),INDEX('Komisyon Tarifesi'!$O$2:$O$1000,MATCH($A212,'Komisyon Tarifesi'!$B$2:$B$1000,0)),IF($D212&gt;=INDEX('Komisyon Tarifesi'!$K$2:$K$1000,MATCH($A212,'Komisyon Tarifesi'!$B$2:$B$1000,0)),INDEX('Komisyon Tarifesi'!$P$2:$P$1000,MATCH($A212,'Komisyon Tarifesi'!$B$2:$B$1000,0)),IF($D212&gt;=INDEX('Komisyon Tarifesi'!$M$2:$M$1000,MATCH($A212,'Komisyon Tarifesi'!$B$2:$B$1000,0)),INDEX('Komisyon Tarifesi'!$Q$2:$Q$1000,MATCH($A212,'Komisyon Tarifesi'!$B$2:$B$1000,0)),INDEX('Komisyon Tarifesi'!$R$2:$R$1000,MATCH($A212,'Komisyon Tarifesi'!$B$2:$B$1000,0)))))/100,IFERROR(IF(VLOOKUP($A212,Products!$A$2:$W$1000,21,0)&lt;&gt;"",$D212*VLOOKUP($A212,Products!$A$2:$W$1000,21,0)/100,""),"")))</f>
        <v/>
      </c>
      <c r="F212" s="14" t="str">
        <f t="array" ref="F212">IF($A212="","",IFERROR(IF(INDEX('Maliyet Giris'!$G$2:$G$550,MATCH($A212,'Maliyet Giris'!$A$2:$A$550,0))="","",IF(INDEX('Maliyet Giris'!$G$2:$G$550,MATCH($A212,'Maliyet Giris'!$A$2:$A$550,0))&lt;=2,86.4,IF(INDEX('Maliyet Giris'!$G$2:$G$550,MATCH($A212,'Maliyet Giris'!$A$2:$A$550,0))&lt;=3,90,IF(INDEX('Maliyet Giris'!$G$2:$G$550,MATCH($A212,'Maliyet Giris'!$A$2:$A$550,0))&lt;=5,102,IF(INDEX('Maliyet Giris'!$G$2:$G$550,MATCH($A212,'Maliyet Giris'!$A$2:$A$550,0))&lt;=10,159.74,IF(INDEX('Maliyet Giris'!$G$2:$G$550,MATCH($A212,'Maliyet Giris'!$A$2:$A$550,0))&lt;=15,187.5,IF(INDEX('Maliyet Giris'!$G$2:$G$550,MATCH($A212,'Maliyet Giris'!$A$2:$A$550,0))&lt;=20,225,299))))))),""))</f>
        <v/>
      </c>
      <c r="G212" s="14" t="str">
        <f t="array" ref="G212">IF($A212="","",IFERROR(INDEX('Maliyet Giris'!$F$2:$F$550,MATCH($A212,'Maliyet Giris'!$A$2:$A$550,0)),""))</f>
        <v/>
      </c>
      <c r="H212" s="14" t="str">
        <f t="shared" si="1"/>
        <v/>
      </c>
      <c r="I212" s="14" t="str">
        <f t="shared" si="2"/>
        <v/>
      </c>
      <c r="J212" s="14" t="str">
        <f t="shared" si="3"/>
        <v/>
      </c>
      <c r="K212" s="14" t="str">
        <f t="shared" si="4"/>
        <v/>
      </c>
      <c r="L212" s="15" t="str">
        <f t="shared" si="5"/>
        <v/>
      </c>
      <c r="M212" s="17" t="str">
        <f t="shared" si="6"/>
        <v/>
      </c>
      <c r="N212" s="17" t="str">
        <f t="shared" si="7"/>
        <v/>
      </c>
      <c r="O212" s="17" t="str">
        <f t="array" ref="O212">IF($A212="","",IFERROR(INDEX('Maliyet Giris'!$G$2:$G$550,MATCH($A212,'Maliyet Giris'!$A$2:$A$550,0)),""))</f>
        <v/>
      </c>
      <c r="P212" s="17" t="str">
        <f t="shared" si="8"/>
        <v/>
      </c>
      <c r="Q212" s="17" t="str">
        <f t="shared" si="9"/>
        <v/>
      </c>
      <c r="R212" s="14" t="str">
        <f t="shared" si="10"/>
        <v/>
      </c>
      <c r="S212" s="14" t="str">
        <f t="shared" si="11"/>
        <v/>
      </c>
      <c r="T212" s="17" t="str">
        <f t="shared" si="12"/>
        <v/>
      </c>
      <c r="U212" s="17" t="str">
        <f t="shared" si="13"/>
        <v/>
      </c>
    </row>
    <row r="213">
      <c r="A213" s="2"/>
      <c r="C213" s="28"/>
      <c r="D213" s="14"/>
      <c r="E213" s="14" t="str">
        <f t="array" ref="E213">IF($A213="","",IFERROR($D213*IF($D213&gt;=INDEX('Komisyon Tarifesi'!$I$2:$I$1000,MATCH($A213,'Komisyon Tarifesi'!$B$2:$B$1000,0)),INDEX('Komisyon Tarifesi'!$O$2:$O$1000,MATCH($A213,'Komisyon Tarifesi'!$B$2:$B$1000,0)),IF($D213&gt;=INDEX('Komisyon Tarifesi'!$K$2:$K$1000,MATCH($A213,'Komisyon Tarifesi'!$B$2:$B$1000,0)),INDEX('Komisyon Tarifesi'!$P$2:$P$1000,MATCH($A213,'Komisyon Tarifesi'!$B$2:$B$1000,0)),IF($D213&gt;=INDEX('Komisyon Tarifesi'!$M$2:$M$1000,MATCH($A213,'Komisyon Tarifesi'!$B$2:$B$1000,0)),INDEX('Komisyon Tarifesi'!$Q$2:$Q$1000,MATCH($A213,'Komisyon Tarifesi'!$B$2:$B$1000,0)),INDEX('Komisyon Tarifesi'!$R$2:$R$1000,MATCH($A213,'Komisyon Tarifesi'!$B$2:$B$1000,0)))))/100,IFERROR(IF(VLOOKUP($A213,Products!$A$2:$W$1000,21,0)&lt;&gt;"",$D213*VLOOKUP($A213,Products!$A$2:$W$1000,21,0)/100,""),"")))</f>
        <v/>
      </c>
      <c r="F213" s="14" t="str">
        <f t="array" ref="F213">IF($A213="","",IFERROR(IF(INDEX('Maliyet Giris'!$G$2:$G$550,MATCH($A213,'Maliyet Giris'!$A$2:$A$550,0))="","",IF(INDEX('Maliyet Giris'!$G$2:$G$550,MATCH($A213,'Maliyet Giris'!$A$2:$A$550,0))&lt;=2,86.4,IF(INDEX('Maliyet Giris'!$G$2:$G$550,MATCH($A213,'Maliyet Giris'!$A$2:$A$550,0))&lt;=3,90,IF(INDEX('Maliyet Giris'!$G$2:$G$550,MATCH($A213,'Maliyet Giris'!$A$2:$A$550,0))&lt;=5,102,IF(INDEX('Maliyet Giris'!$G$2:$G$550,MATCH($A213,'Maliyet Giris'!$A$2:$A$550,0))&lt;=10,159.74,IF(INDEX('Maliyet Giris'!$G$2:$G$550,MATCH($A213,'Maliyet Giris'!$A$2:$A$550,0))&lt;=15,187.5,IF(INDEX('Maliyet Giris'!$G$2:$G$550,MATCH($A213,'Maliyet Giris'!$A$2:$A$550,0))&lt;=20,225,299))))))),""))</f>
        <v/>
      </c>
      <c r="G213" s="14" t="str">
        <f t="array" ref="G213">IF($A213="","",IFERROR(INDEX('Maliyet Giris'!$F$2:$F$550,MATCH($A213,'Maliyet Giris'!$A$2:$A$550,0)),""))</f>
        <v/>
      </c>
      <c r="H213" s="14" t="str">
        <f t="shared" si="1"/>
        <v/>
      </c>
      <c r="I213" s="14" t="str">
        <f t="shared" si="2"/>
        <v/>
      </c>
      <c r="J213" s="14" t="str">
        <f t="shared" si="3"/>
        <v/>
      </c>
      <c r="K213" s="14" t="str">
        <f t="shared" si="4"/>
        <v/>
      </c>
      <c r="L213" s="15" t="str">
        <f t="shared" si="5"/>
        <v/>
      </c>
      <c r="M213" s="17" t="str">
        <f t="shared" si="6"/>
        <v/>
      </c>
      <c r="N213" s="17" t="str">
        <f t="shared" si="7"/>
        <v/>
      </c>
      <c r="O213" s="17" t="str">
        <f t="array" ref="O213">IF($A213="","",IFERROR(INDEX('Maliyet Giris'!$G$2:$G$550,MATCH($A213,'Maliyet Giris'!$A$2:$A$550,0)),""))</f>
        <v/>
      </c>
      <c r="P213" s="17" t="str">
        <f t="shared" si="8"/>
        <v/>
      </c>
      <c r="Q213" s="17" t="str">
        <f t="shared" si="9"/>
        <v/>
      </c>
      <c r="R213" s="14" t="str">
        <f t="shared" si="10"/>
        <v/>
      </c>
      <c r="S213" s="14" t="str">
        <f t="shared" si="11"/>
        <v/>
      </c>
      <c r="T213" s="17" t="str">
        <f t="shared" si="12"/>
        <v/>
      </c>
      <c r="U213" s="17" t="str">
        <f t="shared" si="13"/>
        <v/>
      </c>
    </row>
    <row r="214">
      <c r="A214" s="2"/>
      <c r="C214" s="28"/>
      <c r="D214" s="14"/>
      <c r="E214" s="14" t="str">
        <f t="array" ref="E214">IF($A214="","",IFERROR($D214*IF($D214&gt;=INDEX('Komisyon Tarifesi'!$I$2:$I$1000,MATCH($A214,'Komisyon Tarifesi'!$B$2:$B$1000,0)),INDEX('Komisyon Tarifesi'!$O$2:$O$1000,MATCH($A214,'Komisyon Tarifesi'!$B$2:$B$1000,0)),IF($D214&gt;=INDEX('Komisyon Tarifesi'!$K$2:$K$1000,MATCH($A214,'Komisyon Tarifesi'!$B$2:$B$1000,0)),INDEX('Komisyon Tarifesi'!$P$2:$P$1000,MATCH($A214,'Komisyon Tarifesi'!$B$2:$B$1000,0)),IF($D214&gt;=INDEX('Komisyon Tarifesi'!$M$2:$M$1000,MATCH($A214,'Komisyon Tarifesi'!$B$2:$B$1000,0)),INDEX('Komisyon Tarifesi'!$Q$2:$Q$1000,MATCH($A214,'Komisyon Tarifesi'!$B$2:$B$1000,0)),INDEX('Komisyon Tarifesi'!$R$2:$R$1000,MATCH($A214,'Komisyon Tarifesi'!$B$2:$B$1000,0)))))/100,IFERROR(IF(VLOOKUP($A214,Products!$A$2:$W$1000,21,0)&lt;&gt;"",$D214*VLOOKUP($A214,Products!$A$2:$W$1000,21,0)/100,""),"")))</f>
        <v/>
      </c>
      <c r="F214" s="14" t="str">
        <f t="array" ref="F214">IF($A214="","",IFERROR(IF(INDEX('Maliyet Giris'!$G$2:$G$550,MATCH($A214,'Maliyet Giris'!$A$2:$A$550,0))="","",IF(INDEX('Maliyet Giris'!$G$2:$G$550,MATCH($A214,'Maliyet Giris'!$A$2:$A$550,0))&lt;=2,86.4,IF(INDEX('Maliyet Giris'!$G$2:$G$550,MATCH($A214,'Maliyet Giris'!$A$2:$A$550,0))&lt;=3,90,IF(INDEX('Maliyet Giris'!$G$2:$G$550,MATCH($A214,'Maliyet Giris'!$A$2:$A$550,0))&lt;=5,102,IF(INDEX('Maliyet Giris'!$G$2:$G$550,MATCH($A214,'Maliyet Giris'!$A$2:$A$550,0))&lt;=10,159.74,IF(INDEX('Maliyet Giris'!$G$2:$G$550,MATCH($A214,'Maliyet Giris'!$A$2:$A$550,0))&lt;=15,187.5,IF(INDEX('Maliyet Giris'!$G$2:$G$550,MATCH($A214,'Maliyet Giris'!$A$2:$A$550,0))&lt;=20,225,299))))))),""))</f>
        <v/>
      </c>
      <c r="G214" s="14" t="str">
        <f t="array" ref="G214">IF($A214="","",IFERROR(INDEX('Maliyet Giris'!$F$2:$F$550,MATCH($A214,'Maliyet Giris'!$A$2:$A$550,0)),""))</f>
        <v/>
      </c>
      <c r="H214" s="14" t="str">
        <f t="shared" si="1"/>
        <v/>
      </c>
      <c r="I214" s="14" t="str">
        <f t="shared" si="2"/>
        <v/>
      </c>
      <c r="J214" s="14" t="str">
        <f t="shared" si="3"/>
        <v/>
      </c>
      <c r="K214" s="14" t="str">
        <f t="shared" si="4"/>
        <v/>
      </c>
      <c r="L214" s="15" t="str">
        <f t="shared" si="5"/>
        <v/>
      </c>
      <c r="M214" s="17" t="str">
        <f t="shared" si="6"/>
        <v/>
      </c>
      <c r="N214" s="17" t="str">
        <f t="shared" si="7"/>
        <v/>
      </c>
      <c r="O214" s="17" t="str">
        <f t="array" ref="O214">IF($A214="","",IFERROR(INDEX('Maliyet Giris'!$G$2:$G$550,MATCH($A214,'Maliyet Giris'!$A$2:$A$550,0)),""))</f>
        <v/>
      </c>
      <c r="P214" s="17" t="str">
        <f t="shared" si="8"/>
        <v/>
      </c>
      <c r="Q214" s="17" t="str">
        <f t="shared" si="9"/>
        <v/>
      </c>
      <c r="R214" s="14" t="str">
        <f t="shared" si="10"/>
        <v/>
      </c>
      <c r="S214" s="14" t="str">
        <f t="shared" si="11"/>
        <v/>
      </c>
      <c r="T214" s="17" t="str">
        <f t="shared" si="12"/>
        <v/>
      </c>
      <c r="U214" s="17" t="str">
        <f t="shared" si="13"/>
        <v/>
      </c>
    </row>
    <row r="215">
      <c r="A215" s="2"/>
      <c r="C215" s="28"/>
      <c r="D215" s="14"/>
      <c r="E215" s="14" t="str">
        <f t="array" ref="E215">IF($A215="","",IFERROR($D215*IF($D215&gt;=INDEX('Komisyon Tarifesi'!$I$2:$I$1000,MATCH($A215,'Komisyon Tarifesi'!$B$2:$B$1000,0)),INDEX('Komisyon Tarifesi'!$O$2:$O$1000,MATCH($A215,'Komisyon Tarifesi'!$B$2:$B$1000,0)),IF($D215&gt;=INDEX('Komisyon Tarifesi'!$K$2:$K$1000,MATCH($A215,'Komisyon Tarifesi'!$B$2:$B$1000,0)),INDEX('Komisyon Tarifesi'!$P$2:$P$1000,MATCH($A215,'Komisyon Tarifesi'!$B$2:$B$1000,0)),IF($D215&gt;=INDEX('Komisyon Tarifesi'!$M$2:$M$1000,MATCH($A215,'Komisyon Tarifesi'!$B$2:$B$1000,0)),INDEX('Komisyon Tarifesi'!$Q$2:$Q$1000,MATCH($A215,'Komisyon Tarifesi'!$B$2:$B$1000,0)),INDEX('Komisyon Tarifesi'!$R$2:$R$1000,MATCH($A215,'Komisyon Tarifesi'!$B$2:$B$1000,0)))))/100,IFERROR(IF(VLOOKUP($A215,Products!$A$2:$W$1000,21,0)&lt;&gt;"",$D215*VLOOKUP($A215,Products!$A$2:$W$1000,21,0)/100,""),"")))</f>
        <v/>
      </c>
      <c r="F215" s="14" t="str">
        <f t="array" ref="F215">IF($A215="","",IFERROR(IF(INDEX('Maliyet Giris'!$G$2:$G$550,MATCH($A215,'Maliyet Giris'!$A$2:$A$550,0))="","",IF(INDEX('Maliyet Giris'!$G$2:$G$550,MATCH($A215,'Maliyet Giris'!$A$2:$A$550,0))&lt;=2,86.4,IF(INDEX('Maliyet Giris'!$G$2:$G$550,MATCH($A215,'Maliyet Giris'!$A$2:$A$550,0))&lt;=3,90,IF(INDEX('Maliyet Giris'!$G$2:$G$550,MATCH($A215,'Maliyet Giris'!$A$2:$A$550,0))&lt;=5,102,IF(INDEX('Maliyet Giris'!$G$2:$G$550,MATCH($A215,'Maliyet Giris'!$A$2:$A$550,0))&lt;=10,159.74,IF(INDEX('Maliyet Giris'!$G$2:$G$550,MATCH($A215,'Maliyet Giris'!$A$2:$A$550,0))&lt;=15,187.5,IF(INDEX('Maliyet Giris'!$G$2:$G$550,MATCH($A215,'Maliyet Giris'!$A$2:$A$550,0))&lt;=20,225,299))))))),""))</f>
        <v/>
      </c>
      <c r="G215" s="14" t="str">
        <f t="array" ref="G215">IF($A215="","",IFERROR(INDEX('Maliyet Giris'!$F$2:$F$550,MATCH($A215,'Maliyet Giris'!$A$2:$A$550,0)),""))</f>
        <v/>
      </c>
      <c r="H215" s="14" t="str">
        <f t="shared" si="1"/>
        <v/>
      </c>
      <c r="I215" s="14" t="str">
        <f t="shared" si="2"/>
        <v/>
      </c>
      <c r="J215" s="14" t="str">
        <f t="shared" si="3"/>
        <v/>
      </c>
      <c r="K215" s="14" t="str">
        <f t="shared" si="4"/>
        <v/>
      </c>
      <c r="L215" s="15" t="str">
        <f t="shared" si="5"/>
        <v/>
      </c>
      <c r="M215" s="17" t="str">
        <f t="shared" si="6"/>
        <v/>
      </c>
      <c r="N215" s="17" t="str">
        <f t="shared" si="7"/>
        <v/>
      </c>
      <c r="O215" s="17" t="str">
        <f t="array" ref="O215">IF($A215="","",IFERROR(INDEX('Maliyet Giris'!$G$2:$G$550,MATCH($A215,'Maliyet Giris'!$A$2:$A$550,0)),""))</f>
        <v/>
      </c>
      <c r="P215" s="17" t="str">
        <f t="shared" si="8"/>
        <v/>
      </c>
      <c r="Q215" s="17" t="str">
        <f t="shared" si="9"/>
        <v/>
      </c>
      <c r="R215" s="14" t="str">
        <f t="shared" si="10"/>
        <v/>
      </c>
      <c r="S215" s="14" t="str">
        <f t="shared" si="11"/>
        <v/>
      </c>
      <c r="T215" s="17" t="str">
        <f t="shared" si="12"/>
        <v/>
      </c>
      <c r="U215" s="17" t="str">
        <f t="shared" si="13"/>
        <v/>
      </c>
    </row>
    <row r="216">
      <c r="A216" s="2"/>
      <c r="C216" s="28"/>
      <c r="D216" s="14"/>
      <c r="E216" s="14" t="str">
        <f t="array" ref="E216">IF($A216="","",IFERROR($D216*IF($D216&gt;=INDEX('Komisyon Tarifesi'!$I$2:$I$1000,MATCH($A216,'Komisyon Tarifesi'!$B$2:$B$1000,0)),INDEX('Komisyon Tarifesi'!$O$2:$O$1000,MATCH($A216,'Komisyon Tarifesi'!$B$2:$B$1000,0)),IF($D216&gt;=INDEX('Komisyon Tarifesi'!$K$2:$K$1000,MATCH($A216,'Komisyon Tarifesi'!$B$2:$B$1000,0)),INDEX('Komisyon Tarifesi'!$P$2:$P$1000,MATCH($A216,'Komisyon Tarifesi'!$B$2:$B$1000,0)),IF($D216&gt;=INDEX('Komisyon Tarifesi'!$M$2:$M$1000,MATCH($A216,'Komisyon Tarifesi'!$B$2:$B$1000,0)),INDEX('Komisyon Tarifesi'!$Q$2:$Q$1000,MATCH($A216,'Komisyon Tarifesi'!$B$2:$B$1000,0)),INDEX('Komisyon Tarifesi'!$R$2:$R$1000,MATCH($A216,'Komisyon Tarifesi'!$B$2:$B$1000,0)))))/100,IFERROR(IF(VLOOKUP($A216,Products!$A$2:$W$1000,21,0)&lt;&gt;"",$D216*VLOOKUP($A216,Products!$A$2:$W$1000,21,0)/100,""),"")))</f>
        <v/>
      </c>
      <c r="F216" s="14" t="str">
        <f t="array" ref="F216">IF($A216="","",IFERROR(IF(INDEX('Maliyet Giris'!$G$2:$G$550,MATCH($A216,'Maliyet Giris'!$A$2:$A$550,0))="","",IF(INDEX('Maliyet Giris'!$G$2:$G$550,MATCH($A216,'Maliyet Giris'!$A$2:$A$550,0))&lt;=2,86.4,IF(INDEX('Maliyet Giris'!$G$2:$G$550,MATCH($A216,'Maliyet Giris'!$A$2:$A$550,0))&lt;=3,90,IF(INDEX('Maliyet Giris'!$G$2:$G$550,MATCH($A216,'Maliyet Giris'!$A$2:$A$550,0))&lt;=5,102,IF(INDEX('Maliyet Giris'!$G$2:$G$550,MATCH($A216,'Maliyet Giris'!$A$2:$A$550,0))&lt;=10,159.74,IF(INDEX('Maliyet Giris'!$G$2:$G$550,MATCH($A216,'Maliyet Giris'!$A$2:$A$550,0))&lt;=15,187.5,IF(INDEX('Maliyet Giris'!$G$2:$G$550,MATCH($A216,'Maliyet Giris'!$A$2:$A$550,0))&lt;=20,225,299))))))),""))</f>
        <v/>
      </c>
      <c r="G216" s="14" t="str">
        <f t="array" ref="G216">IF($A216="","",IFERROR(INDEX('Maliyet Giris'!$F$2:$F$550,MATCH($A216,'Maliyet Giris'!$A$2:$A$550,0)),""))</f>
        <v/>
      </c>
      <c r="H216" s="14" t="str">
        <f t="shared" si="1"/>
        <v/>
      </c>
      <c r="I216" s="14" t="str">
        <f t="shared" si="2"/>
        <v/>
      </c>
      <c r="J216" s="14" t="str">
        <f t="shared" si="3"/>
        <v/>
      </c>
      <c r="K216" s="14" t="str">
        <f t="shared" si="4"/>
        <v/>
      </c>
      <c r="L216" s="15" t="str">
        <f t="shared" si="5"/>
        <v/>
      </c>
      <c r="M216" s="17" t="str">
        <f t="shared" si="6"/>
        <v/>
      </c>
      <c r="N216" s="17" t="str">
        <f t="shared" si="7"/>
        <v/>
      </c>
      <c r="O216" s="17" t="str">
        <f t="array" ref="O216">IF($A216="","",IFERROR(INDEX('Maliyet Giris'!$G$2:$G$550,MATCH($A216,'Maliyet Giris'!$A$2:$A$550,0)),""))</f>
        <v/>
      </c>
      <c r="P216" s="17" t="str">
        <f t="shared" si="8"/>
        <v/>
      </c>
      <c r="Q216" s="17" t="str">
        <f t="shared" si="9"/>
        <v/>
      </c>
      <c r="R216" s="14" t="str">
        <f t="shared" si="10"/>
        <v/>
      </c>
      <c r="S216" s="14" t="str">
        <f t="shared" si="11"/>
        <v/>
      </c>
      <c r="T216" s="17" t="str">
        <f t="shared" si="12"/>
        <v/>
      </c>
      <c r="U216" s="17" t="str">
        <f t="shared" si="13"/>
        <v/>
      </c>
    </row>
    <row r="217">
      <c r="A217" s="2"/>
      <c r="C217" s="28"/>
      <c r="D217" s="14"/>
      <c r="E217" s="14" t="str">
        <f t="array" ref="E217">IF($A217="","",IFERROR($D217*IF($D217&gt;=INDEX('Komisyon Tarifesi'!$I$2:$I$1000,MATCH($A217,'Komisyon Tarifesi'!$B$2:$B$1000,0)),INDEX('Komisyon Tarifesi'!$O$2:$O$1000,MATCH($A217,'Komisyon Tarifesi'!$B$2:$B$1000,0)),IF($D217&gt;=INDEX('Komisyon Tarifesi'!$K$2:$K$1000,MATCH($A217,'Komisyon Tarifesi'!$B$2:$B$1000,0)),INDEX('Komisyon Tarifesi'!$P$2:$P$1000,MATCH($A217,'Komisyon Tarifesi'!$B$2:$B$1000,0)),IF($D217&gt;=INDEX('Komisyon Tarifesi'!$M$2:$M$1000,MATCH($A217,'Komisyon Tarifesi'!$B$2:$B$1000,0)),INDEX('Komisyon Tarifesi'!$Q$2:$Q$1000,MATCH($A217,'Komisyon Tarifesi'!$B$2:$B$1000,0)),INDEX('Komisyon Tarifesi'!$R$2:$R$1000,MATCH($A217,'Komisyon Tarifesi'!$B$2:$B$1000,0)))))/100,IFERROR(IF(VLOOKUP($A217,Products!$A$2:$W$1000,21,0)&lt;&gt;"",$D217*VLOOKUP($A217,Products!$A$2:$W$1000,21,0)/100,""),"")))</f>
        <v/>
      </c>
      <c r="F217" s="14" t="str">
        <f t="array" ref="F217">IF($A217="","",IFERROR(IF(INDEX('Maliyet Giris'!$G$2:$G$550,MATCH($A217,'Maliyet Giris'!$A$2:$A$550,0))="","",IF(INDEX('Maliyet Giris'!$G$2:$G$550,MATCH($A217,'Maliyet Giris'!$A$2:$A$550,0))&lt;=2,86.4,IF(INDEX('Maliyet Giris'!$G$2:$G$550,MATCH($A217,'Maliyet Giris'!$A$2:$A$550,0))&lt;=3,90,IF(INDEX('Maliyet Giris'!$G$2:$G$550,MATCH($A217,'Maliyet Giris'!$A$2:$A$550,0))&lt;=5,102,IF(INDEX('Maliyet Giris'!$G$2:$G$550,MATCH($A217,'Maliyet Giris'!$A$2:$A$550,0))&lt;=10,159.74,IF(INDEX('Maliyet Giris'!$G$2:$G$550,MATCH($A217,'Maliyet Giris'!$A$2:$A$550,0))&lt;=15,187.5,IF(INDEX('Maliyet Giris'!$G$2:$G$550,MATCH($A217,'Maliyet Giris'!$A$2:$A$550,0))&lt;=20,225,299))))))),""))</f>
        <v/>
      </c>
      <c r="G217" s="14" t="str">
        <f t="array" ref="G217">IF($A217="","",IFERROR(INDEX('Maliyet Giris'!$F$2:$F$550,MATCH($A217,'Maliyet Giris'!$A$2:$A$550,0)),""))</f>
        <v/>
      </c>
      <c r="H217" s="14" t="str">
        <f t="shared" si="1"/>
        <v/>
      </c>
      <c r="I217" s="14" t="str">
        <f t="shared" si="2"/>
        <v/>
      </c>
      <c r="J217" s="14" t="str">
        <f t="shared" si="3"/>
        <v/>
      </c>
      <c r="K217" s="14" t="str">
        <f t="shared" si="4"/>
        <v/>
      </c>
      <c r="L217" s="15" t="str">
        <f t="shared" si="5"/>
        <v/>
      </c>
      <c r="M217" s="17" t="str">
        <f t="shared" si="6"/>
        <v/>
      </c>
      <c r="N217" s="17" t="str">
        <f t="shared" si="7"/>
        <v/>
      </c>
      <c r="O217" s="17" t="str">
        <f t="array" ref="O217">IF($A217="","",IFERROR(INDEX('Maliyet Giris'!$G$2:$G$550,MATCH($A217,'Maliyet Giris'!$A$2:$A$550,0)),""))</f>
        <v/>
      </c>
      <c r="P217" s="17" t="str">
        <f t="shared" si="8"/>
        <v/>
      </c>
      <c r="Q217" s="17" t="str">
        <f t="shared" si="9"/>
        <v/>
      </c>
      <c r="R217" s="14" t="str">
        <f t="shared" si="10"/>
        <v/>
      </c>
      <c r="S217" s="14" t="str">
        <f t="shared" si="11"/>
        <v/>
      </c>
      <c r="T217" s="17" t="str">
        <f t="shared" si="12"/>
        <v/>
      </c>
      <c r="U217" s="17" t="str">
        <f t="shared" si="13"/>
        <v/>
      </c>
    </row>
    <row r="218">
      <c r="A218" s="2"/>
      <c r="C218" s="28"/>
      <c r="D218" s="14"/>
      <c r="E218" s="14" t="str">
        <f t="array" ref="E218">IF($A218="","",IFERROR($D218*IF($D218&gt;=INDEX('Komisyon Tarifesi'!$I$2:$I$1000,MATCH($A218,'Komisyon Tarifesi'!$B$2:$B$1000,0)),INDEX('Komisyon Tarifesi'!$O$2:$O$1000,MATCH($A218,'Komisyon Tarifesi'!$B$2:$B$1000,0)),IF($D218&gt;=INDEX('Komisyon Tarifesi'!$K$2:$K$1000,MATCH($A218,'Komisyon Tarifesi'!$B$2:$B$1000,0)),INDEX('Komisyon Tarifesi'!$P$2:$P$1000,MATCH($A218,'Komisyon Tarifesi'!$B$2:$B$1000,0)),IF($D218&gt;=INDEX('Komisyon Tarifesi'!$M$2:$M$1000,MATCH($A218,'Komisyon Tarifesi'!$B$2:$B$1000,0)),INDEX('Komisyon Tarifesi'!$Q$2:$Q$1000,MATCH($A218,'Komisyon Tarifesi'!$B$2:$B$1000,0)),INDEX('Komisyon Tarifesi'!$R$2:$R$1000,MATCH($A218,'Komisyon Tarifesi'!$B$2:$B$1000,0)))))/100,IFERROR(IF(VLOOKUP($A218,Products!$A$2:$W$1000,21,0)&lt;&gt;"",$D218*VLOOKUP($A218,Products!$A$2:$W$1000,21,0)/100,""),"")))</f>
        <v/>
      </c>
      <c r="F218" s="14" t="str">
        <f t="array" ref="F218">IF($A218="","",IFERROR(IF(INDEX('Maliyet Giris'!$G$2:$G$550,MATCH($A218,'Maliyet Giris'!$A$2:$A$550,0))="","",IF(INDEX('Maliyet Giris'!$G$2:$G$550,MATCH($A218,'Maliyet Giris'!$A$2:$A$550,0))&lt;=2,86.4,IF(INDEX('Maliyet Giris'!$G$2:$G$550,MATCH($A218,'Maliyet Giris'!$A$2:$A$550,0))&lt;=3,90,IF(INDEX('Maliyet Giris'!$G$2:$G$550,MATCH($A218,'Maliyet Giris'!$A$2:$A$550,0))&lt;=5,102,IF(INDEX('Maliyet Giris'!$G$2:$G$550,MATCH($A218,'Maliyet Giris'!$A$2:$A$550,0))&lt;=10,159.74,IF(INDEX('Maliyet Giris'!$G$2:$G$550,MATCH($A218,'Maliyet Giris'!$A$2:$A$550,0))&lt;=15,187.5,IF(INDEX('Maliyet Giris'!$G$2:$G$550,MATCH($A218,'Maliyet Giris'!$A$2:$A$550,0))&lt;=20,225,299))))))),""))</f>
        <v/>
      </c>
      <c r="G218" s="14" t="str">
        <f t="array" ref="G218">IF($A218="","",IFERROR(INDEX('Maliyet Giris'!$F$2:$F$550,MATCH($A218,'Maliyet Giris'!$A$2:$A$550,0)),""))</f>
        <v/>
      </c>
      <c r="H218" s="14" t="str">
        <f t="shared" si="1"/>
        <v/>
      </c>
      <c r="I218" s="14" t="str">
        <f t="shared" si="2"/>
        <v/>
      </c>
      <c r="J218" s="14" t="str">
        <f t="shared" si="3"/>
        <v/>
      </c>
      <c r="K218" s="14" t="str">
        <f t="shared" si="4"/>
        <v/>
      </c>
      <c r="L218" s="15" t="str">
        <f t="shared" si="5"/>
        <v/>
      </c>
      <c r="M218" s="17" t="str">
        <f t="shared" si="6"/>
        <v/>
      </c>
      <c r="N218" s="17" t="str">
        <f t="shared" si="7"/>
        <v/>
      </c>
      <c r="O218" s="17" t="str">
        <f t="array" ref="O218">IF($A218="","",IFERROR(INDEX('Maliyet Giris'!$G$2:$G$550,MATCH($A218,'Maliyet Giris'!$A$2:$A$550,0)),""))</f>
        <v/>
      </c>
      <c r="P218" s="17" t="str">
        <f t="shared" si="8"/>
        <v/>
      </c>
      <c r="Q218" s="17" t="str">
        <f t="shared" si="9"/>
        <v/>
      </c>
      <c r="R218" s="14" t="str">
        <f t="shared" si="10"/>
        <v/>
      </c>
      <c r="S218" s="14" t="str">
        <f t="shared" si="11"/>
        <v/>
      </c>
      <c r="T218" s="17" t="str">
        <f t="shared" si="12"/>
        <v/>
      </c>
      <c r="U218" s="17" t="str">
        <f t="shared" si="13"/>
        <v/>
      </c>
    </row>
    <row r="219">
      <c r="A219" s="2"/>
      <c r="C219" s="28"/>
      <c r="D219" s="14"/>
      <c r="E219" s="14" t="str">
        <f t="array" ref="E219">IF($A219="","",IFERROR($D219*IF($D219&gt;=INDEX('Komisyon Tarifesi'!$I$2:$I$1000,MATCH($A219,'Komisyon Tarifesi'!$B$2:$B$1000,0)),INDEX('Komisyon Tarifesi'!$O$2:$O$1000,MATCH($A219,'Komisyon Tarifesi'!$B$2:$B$1000,0)),IF($D219&gt;=INDEX('Komisyon Tarifesi'!$K$2:$K$1000,MATCH($A219,'Komisyon Tarifesi'!$B$2:$B$1000,0)),INDEX('Komisyon Tarifesi'!$P$2:$P$1000,MATCH($A219,'Komisyon Tarifesi'!$B$2:$B$1000,0)),IF($D219&gt;=INDEX('Komisyon Tarifesi'!$M$2:$M$1000,MATCH($A219,'Komisyon Tarifesi'!$B$2:$B$1000,0)),INDEX('Komisyon Tarifesi'!$Q$2:$Q$1000,MATCH($A219,'Komisyon Tarifesi'!$B$2:$B$1000,0)),INDEX('Komisyon Tarifesi'!$R$2:$R$1000,MATCH($A219,'Komisyon Tarifesi'!$B$2:$B$1000,0)))))/100,IFERROR(IF(VLOOKUP($A219,Products!$A$2:$W$1000,21,0)&lt;&gt;"",$D219*VLOOKUP($A219,Products!$A$2:$W$1000,21,0)/100,""),"")))</f>
        <v/>
      </c>
      <c r="F219" s="14" t="str">
        <f t="array" ref="F219">IF($A219="","",IFERROR(IF(INDEX('Maliyet Giris'!$G$2:$G$550,MATCH($A219,'Maliyet Giris'!$A$2:$A$550,0))="","",IF(INDEX('Maliyet Giris'!$G$2:$G$550,MATCH($A219,'Maliyet Giris'!$A$2:$A$550,0))&lt;=2,86.4,IF(INDEX('Maliyet Giris'!$G$2:$G$550,MATCH($A219,'Maliyet Giris'!$A$2:$A$550,0))&lt;=3,90,IF(INDEX('Maliyet Giris'!$G$2:$G$550,MATCH($A219,'Maliyet Giris'!$A$2:$A$550,0))&lt;=5,102,IF(INDEX('Maliyet Giris'!$G$2:$G$550,MATCH($A219,'Maliyet Giris'!$A$2:$A$550,0))&lt;=10,159.74,IF(INDEX('Maliyet Giris'!$G$2:$G$550,MATCH($A219,'Maliyet Giris'!$A$2:$A$550,0))&lt;=15,187.5,IF(INDEX('Maliyet Giris'!$G$2:$G$550,MATCH($A219,'Maliyet Giris'!$A$2:$A$550,0))&lt;=20,225,299))))))),""))</f>
        <v/>
      </c>
      <c r="G219" s="14" t="str">
        <f t="array" ref="G219">IF($A219="","",IFERROR(INDEX('Maliyet Giris'!$F$2:$F$550,MATCH($A219,'Maliyet Giris'!$A$2:$A$550,0)),""))</f>
        <v/>
      </c>
      <c r="H219" s="14" t="str">
        <f t="shared" si="1"/>
        <v/>
      </c>
      <c r="I219" s="14" t="str">
        <f t="shared" si="2"/>
        <v/>
      </c>
      <c r="J219" s="14" t="str">
        <f t="shared" si="3"/>
        <v/>
      </c>
      <c r="K219" s="14" t="str">
        <f t="shared" si="4"/>
        <v/>
      </c>
      <c r="L219" s="15" t="str">
        <f t="shared" si="5"/>
        <v/>
      </c>
      <c r="M219" s="17" t="str">
        <f t="shared" si="6"/>
        <v/>
      </c>
      <c r="N219" s="17" t="str">
        <f t="shared" si="7"/>
        <v/>
      </c>
      <c r="O219" s="17" t="str">
        <f t="array" ref="O219">IF($A219="","",IFERROR(INDEX('Maliyet Giris'!$G$2:$G$550,MATCH($A219,'Maliyet Giris'!$A$2:$A$550,0)),""))</f>
        <v/>
      </c>
      <c r="P219" s="17" t="str">
        <f t="shared" si="8"/>
        <v/>
      </c>
      <c r="Q219" s="17" t="str">
        <f t="shared" si="9"/>
        <v/>
      </c>
      <c r="R219" s="14" t="str">
        <f t="shared" si="10"/>
        <v/>
      </c>
      <c r="S219" s="14" t="str">
        <f t="shared" si="11"/>
        <v/>
      </c>
      <c r="T219" s="17" t="str">
        <f t="shared" si="12"/>
        <v/>
      </c>
      <c r="U219" s="17" t="str">
        <f t="shared" si="13"/>
        <v/>
      </c>
    </row>
    <row r="220">
      <c r="A220" s="2"/>
      <c r="C220" s="28"/>
      <c r="D220" s="14"/>
      <c r="E220" s="14" t="str">
        <f t="array" ref="E220">IF($A220="","",IFERROR($D220*IF($D220&gt;=INDEX('Komisyon Tarifesi'!$I$2:$I$1000,MATCH($A220,'Komisyon Tarifesi'!$B$2:$B$1000,0)),INDEX('Komisyon Tarifesi'!$O$2:$O$1000,MATCH($A220,'Komisyon Tarifesi'!$B$2:$B$1000,0)),IF($D220&gt;=INDEX('Komisyon Tarifesi'!$K$2:$K$1000,MATCH($A220,'Komisyon Tarifesi'!$B$2:$B$1000,0)),INDEX('Komisyon Tarifesi'!$P$2:$P$1000,MATCH($A220,'Komisyon Tarifesi'!$B$2:$B$1000,0)),IF($D220&gt;=INDEX('Komisyon Tarifesi'!$M$2:$M$1000,MATCH($A220,'Komisyon Tarifesi'!$B$2:$B$1000,0)),INDEX('Komisyon Tarifesi'!$Q$2:$Q$1000,MATCH($A220,'Komisyon Tarifesi'!$B$2:$B$1000,0)),INDEX('Komisyon Tarifesi'!$R$2:$R$1000,MATCH($A220,'Komisyon Tarifesi'!$B$2:$B$1000,0)))))/100,IFERROR(IF(VLOOKUP($A220,Products!$A$2:$W$1000,21,0)&lt;&gt;"",$D220*VLOOKUP($A220,Products!$A$2:$W$1000,21,0)/100,""),"")))</f>
        <v/>
      </c>
      <c r="F220" s="14" t="str">
        <f t="array" ref="F220">IF($A220="","",IFERROR(IF(INDEX('Maliyet Giris'!$G$2:$G$550,MATCH($A220,'Maliyet Giris'!$A$2:$A$550,0))="","",IF(INDEX('Maliyet Giris'!$G$2:$G$550,MATCH($A220,'Maliyet Giris'!$A$2:$A$550,0))&lt;=2,86.4,IF(INDEX('Maliyet Giris'!$G$2:$G$550,MATCH($A220,'Maliyet Giris'!$A$2:$A$550,0))&lt;=3,90,IF(INDEX('Maliyet Giris'!$G$2:$G$550,MATCH($A220,'Maliyet Giris'!$A$2:$A$550,0))&lt;=5,102,IF(INDEX('Maliyet Giris'!$G$2:$G$550,MATCH($A220,'Maliyet Giris'!$A$2:$A$550,0))&lt;=10,159.74,IF(INDEX('Maliyet Giris'!$G$2:$G$550,MATCH($A220,'Maliyet Giris'!$A$2:$A$550,0))&lt;=15,187.5,IF(INDEX('Maliyet Giris'!$G$2:$G$550,MATCH($A220,'Maliyet Giris'!$A$2:$A$550,0))&lt;=20,225,299))))))),""))</f>
        <v/>
      </c>
      <c r="G220" s="14" t="str">
        <f t="array" ref="G220">IF($A220="","",IFERROR(INDEX('Maliyet Giris'!$F$2:$F$550,MATCH($A220,'Maliyet Giris'!$A$2:$A$550,0)),""))</f>
        <v/>
      </c>
      <c r="H220" s="14" t="str">
        <f t="shared" si="1"/>
        <v/>
      </c>
      <c r="I220" s="14" t="str">
        <f t="shared" si="2"/>
        <v/>
      </c>
      <c r="J220" s="14" t="str">
        <f t="shared" si="3"/>
        <v/>
      </c>
      <c r="K220" s="14" t="str">
        <f t="shared" si="4"/>
        <v/>
      </c>
      <c r="L220" s="15" t="str">
        <f t="shared" si="5"/>
        <v/>
      </c>
      <c r="M220" s="17" t="str">
        <f t="shared" si="6"/>
        <v/>
      </c>
      <c r="N220" s="17" t="str">
        <f t="shared" si="7"/>
        <v/>
      </c>
      <c r="O220" s="17" t="str">
        <f t="array" ref="O220">IF($A220="","",IFERROR(INDEX('Maliyet Giris'!$G$2:$G$550,MATCH($A220,'Maliyet Giris'!$A$2:$A$550,0)),""))</f>
        <v/>
      </c>
      <c r="P220" s="17" t="str">
        <f t="shared" si="8"/>
        <v/>
      </c>
      <c r="Q220" s="17" t="str">
        <f t="shared" si="9"/>
        <v/>
      </c>
      <c r="R220" s="14" t="str">
        <f t="shared" si="10"/>
        <v/>
      </c>
      <c r="S220" s="14" t="str">
        <f t="shared" si="11"/>
        <v/>
      </c>
      <c r="T220" s="17" t="str">
        <f t="shared" si="12"/>
        <v/>
      </c>
      <c r="U220" s="17" t="str">
        <f t="shared" si="13"/>
        <v/>
      </c>
    </row>
    <row r="221">
      <c r="A221" s="2"/>
      <c r="C221" s="28"/>
      <c r="D221" s="14"/>
      <c r="E221" s="14" t="str">
        <f t="array" ref="E221">IF($A221="","",IFERROR($D221*IF($D221&gt;=INDEX('Komisyon Tarifesi'!$I$2:$I$1000,MATCH($A221,'Komisyon Tarifesi'!$B$2:$B$1000,0)),INDEX('Komisyon Tarifesi'!$O$2:$O$1000,MATCH($A221,'Komisyon Tarifesi'!$B$2:$B$1000,0)),IF($D221&gt;=INDEX('Komisyon Tarifesi'!$K$2:$K$1000,MATCH($A221,'Komisyon Tarifesi'!$B$2:$B$1000,0)),INDEX('Komisyon Tarifesi'!$P$2:$P$1000,MATCH($A221,'Komisyon Tarifesi'!$B$2:$B$1000,0)),IF($D221&gt;=INDEX('Komisyon Tarifesi'!$M$2:$M$1000,MATCH($A221,'Komisyon Tarifesi'!$B$2:$B$1000,0)),INDEX('Komisyon Tarifesi'!$Q$2:$Q$1000,MATCH($A221,'Komisyon Tarifesi'!$B$2:$B$1000,0)),INDEX('Komisyon Tarifesi'!$R$2:$R$1000,MATCH($A221,'Komisyon Tarifesi'!$B$2:$B$1000,0)))))/100,IFERROR(IF(VLOOKUP($A221,Products!$A$2:$W$1000,21,0)&lt;&gt;"",$D221*VLOOKUP($A221,Products!$A$2:$W$1000,21,0)/100,""),"")))</f>
        <v/>
      </c>
      <c r="F221" s="14" t="str">
        <f t="array" ref="F221">IF($A221="","",IFERROR(IF(INDEX('Maliyet Giris'!$G$2:$G$550,MATCH($A221,'Maliyet Giris'!$A$2:$A$550,0))="","",IF(INDEX('Maliyet Giris'!$G$2:$G$550,MATCH($A221,'Maliyet Giris'!$A$2:$A$550,0))&lt;=2,86.4,IF(INDEX('Maliyet Giris'!$G$2:$G$550,MATCH($A221,'Maliyet Giris'!$A$2:$A$550,0))&lt;=3,90,IF(INDEX('Maliyet Giris'!$G$2:$G$550,MATCH($A221,'Maliyet Giris'!$A$2:$A$550,0))&lt;=5,102,IF(INDEX('Maliyet Giris'!$G$2:$G$550,MATCH($A221,'Maliyet Giris'!$A$2:$A$550,0))&lt;=10,159.74,IF(INDEX('Maliyet Giris'!$G$2:$G$550,MATCH($A221,'Maliyet Giris'!$A$2:$A$550,0))&lt;=15,187.5,IF(INDEX('Maliyet Giris'!$G$2:$G$550,MATCH($A221,'Maliyet Giris'!$A$2:$A$550,0))&lt;=20,225,299))))))),""))</f>
        <v/>
      </c>
      <c r="G221" s="14" t="str">
        <f t="array" ref="G221">IF($A221="","",IFERROR(INDEX('Maliyet Giris'!$F$2:$F$550,MATCH($A221,'Maliyet Giris'!$A$2:$A$550,0)),""))</f>
        <v/>
      </c>
      <c r="H221" s="14" t="str">
        <f t="shared" si="1"/>
        <v/>
      </c>
      <c r="I221" s="14" t="str">
        <f t="shared" si="2"/>
        <v/>
      </c>
      <c r="J221" s="14" t="str">
        <f t="shared" si="3"/>
        <v/>
      </c>
      <c r="K221" s="14" t="str">
        <f t="shared" si="4"/>
        <v/>
      </c>
      <c r="L221" s="15" t="str">
        <f t="shared" si="5"/>
        <v/>
      </c>
      <c r="M221" s="17" t="str">
        <f t="shared" si="6"/>
        <v/>
      </c>
      <c r="N221" s="17" t="str">
        <f t="shared" si="7"/>
        <v/>
      </c>
      <c r="O221" s="17" t="str">
        <f t="array" ref="O221">IF($A221="","",IFERROR(INDEX('Maliyet Giris'!$G$2:$G$550,MATCH($A221,'Maliyet Giris'!$A$2:$A$550,0)),""))</f>
        <v/>
      </c>
      <c r="P221" s="17" t="str">
        <f t="shared" si="8"/>
        <v/>
      </c>
      <c r="Q221" s="17" t="str">
        <f t="shared" si="9"/>
        <v/>
      </c>
      <c r="R221" s="14" t="str">
        <f t="shared" si="10"/>
        <v/>
      </c>
      <c r="S221" s="14" t="str">
        <f t="shared" si="11"/>
        <v/>
      </c>
      <c r="T221" s="17" t="str">
        <f t="shared" si="12"/>
        <v/>
      </c>
      <c r="U221" s="17" t="str">
        <f t="shared" si="13"/>
        <v/>
      </c>
    </row>
    <row r="222">
      <c r="A222" s="2"/>
      <c r="C222" s="28"/>
      <c r="D222" s="14"/>
      <c r="E222" s="14" t="str">
        <f t="array" ref="E222">IF($A222="","",IFERROR($D222*IF($D222&gt;=INDEX('Komisyon Tarifesi'!$I$2:$I$1000,MATCH($A222,'Komisyon Tarifesi'!$B$2:$B$1000,0)),INDEX('Komisyon Tarifesi'!$O$2:$O$1000,MATCH($A222,'Komisyon Tarifesi'!$B$2:$B$1000,0)),IF($D222&gt;=INDEX('Komisyon Tarifesi'!$K$2:$K$1000,MATCH($A222,'Komisyon Tarifesi'!$B$2:$B$1000,0)),INDEX('Komisyon Tarifesi'!$P$2:$P$1000,MATCH($A222,'Komisyon Tarifesi'!$B$2:$B$1000,0)),IF($D222&gt;=INDEX('Komisyon Tarifesi'!$M$2:$M$1000,MATCH($A222,'Komisyon Tarifesi'!$B$2:$B$1000,0)),INDEX('Komisyon Tarifesi'!$Q$2:$Q$1000,MATCH($A222,'Komisyon Tarifesi'!$B$2:$B$1000,0)),INDEX('Komisyon Tarifesi'!$R$2:$R$1000,MATCH($A222,'Komisyon Tarifesi'!$B$2:$B$1000,0)))))/100,IFERROR(IF(VLOOKUP($A222,Products!$A$2:$W$1000,21,0)&lt;&gt;"",$D222*VLOOKUP($A222,Products!$A$2:$W$1000,21,0)/100,""),"")))</f>
        <v/>
      </c>
      <c r="F222" s="14" t="str">
        <f t="array" ref="F222">IF($A222="","",IFERROR(IF(INDEX('Maliyet Giris'!$G$2:$G$550,MATCH($A222,'Maliyet Giris'!$A$2:$A$550,0))="","",IF(INDEX('Maliyet Giris'!$G$2:$G$550,MATCH($A222,'Maliyet Giris'!$A$2:$A$550,0))&lt;=2,86.4,IF(INDEX('Maliyet Giris'!$G$2:$G$550,MATCH($A222,'Maliyet Giris'!$A$2:$A$550,0))&lt;=3,90,IF(INDEX('Maliyet Giris'!$G$2:$G$550,MATCH($A222,'Maliyet Giris'!$A$2:$A$550,0))&lt;=5,102,IF(INDEX('Maliyet Giris'!$G$2:$G$550,MATCH($A222,'Maliyet Giris'!$A$2:$A$550,0))&lt;=10,159.74,IF(INDEX('Maliyet Giris'!$G$2:$G$550,MATCH($A222,'Maliyet Giris'!$A$2:$A$550,0))&lt;=15,187.5,IF(INDEX('Maliyet Giris'!$G$2:$G$550,MATCH($A222,'Maliyet Giris'!$A$2:$A$550,0))&lt;=20,225,299))))))),""))</f>
        <v/>
      </c>
      <c r="G222" s="14" t="str">
        <f t="array" ref="G222">IF($A222="","",IFERROR(INDEX('Maliyet Giris'!$F$2:$F$550,MATCH($A222,'Maliyet Giris'!$A$2:$A$550,0)),""))</f>
        <v/>
      </c>
      <c r="H222" s="14" t="str">
        <f t="shared" si="1"/>
        <v/>
      </c>
      <c r="I222" s="14" t="str">
        <f t="shared" si="2"/>
        <v/>
      </c>
      <c r="J222" s="14" t="str">
        <f t="shared" si="3"/>
        <v/>
      </c>
      <c r="K222" s="14" t="str">
        <f t="shared" si="4"/>
        <v/>
      </c>
      <c r="L222" s="15" t="str">
        <f t="shared" si="5"/>
        <v/>
      </c>
      <c r="M222" s="17" t="str">
        <f t="shared" si="6"/>
        <v/>
      </c>
      <c r="N222" s="17" t="str">
        <f t="shared" si="7"/>
        <v/>
      </c>
      <c r="O222" s="17" t="str">
        <f t="array" ref="O222">IF($A222="","",IFERROR(INDEX('Maliyet Giris'!$G$2:$G$550,MATCH($A222,'Maliyet Giris'!$A$2:$A$550,0)),""))</f>
        <v/>
      </c>
      <c r="P222" s="17" t="str">
        <f t="shared" si="8"/>
        <v/>
      </c>
      <c r="Q222" s="17" t="str">
        <f t="shared" si="9"/>
        <v/>
      </c>
      <c r="R222" s="14" t="str">
        <f t="shared" si="10"/>
        <v/>
      </c>
      <c r="S222" s="14" t="str">
        <f t="shared" si="11"/>
        <v/>
      </c>
      <c r="T222" s="17" t="str">
        <f t="shared" si="12"/>
        <v/>
      </c>
      <c r="U222" s="17" t="str">
        <f t="shared" si="13"/>
        <v/>
      </c>
    </row>
    <row r="223">
      <c r="A223" s="2"/>
      <c r="C223" s="28"/>
      <c r="D223" s="14"/>
      <c r="E223" s="14" t="str">
        <f t="array" ref="E223">IF($A223="","",IFERROR($D223*IF($D223&gt;=INDEX('Komisyon Tarifesi'!$I$2:$I$1000,MATCH($A223,'Komisyon Tarifesi'!$B$2:$B$1000,0)),INDEX('Komisyon Tarifesi'!$O$2:$O$1000,MATCH($A223,'Komisyon Tarifesi'!$B$2:$B$1000,0)),IF($D223&gt;=INDEX('Komisyon Tarifesi'!$K$2:$K$1000,MATCH($A223,'Komisyon Tarifesi'!$B$2:$B$1000,0)),INDEX('Komisyon Tarifesi'!$P$2:$P$1000,MATCH($A223,'Komisyon Tarifesi'!$B$2:$B$1000,0)),IF($D223&gt;=INDEX('Komisyon Tarifesi'!$M$2:$M$1000,MATCH($A223,'Komisyon Tarifesi'!$B$2:$B$1000,0)),INDEX('Komisyon Tarifesi'!$Q$2:$Q$1000,MATCH($A223,'Komisyon Tarifesi'!$B$2:$B$1000,0)),INDEX('Komisyon Tarifesi'!$R$2:$R$1000,MATCH($A223,'Komisyon Tarifesi'!$B$2:$B$1000,0)))))/100,IFERROR(IF(VLOOKUP($A223,Products!$A$2:$W$1000,21,0)&lt;&gt;"",$D223*VLOOKUP($A223,Products!$A$2:$W$1000,21,0)/100,""),"")))</f>
        <v/>
      </c>
      <c r="F223" s="14" t="str">
        <f t="array" ref="F223">IF($A223="","",IFERROR(IF(INDEX('Maliyet Giris'!$G$2:$G$550,MATCH($A223,'Maliyet Giris'!$A$2:$A$550,0))="","",IF(INDEX('Maliyet Giris'!$G$2:$G$550,MATCH($A223,'Maliyet Giris'!$A$2:$A$550,0))&lt;=2,86.4,IF(INDEX('Maliyet Giris'!$G$2:$G$550,MATCH($A223,'Maliyet Giris'!$A$2:$A$550,0))&lt;=3,90,IF(INDEX('Maliyet Giris'!$G$2:$G$550,MATCH($A223,'Maliyet Giris'!$A$2:$A$550,0))&lt;=5,102,IF(INDEX('Maliyet Giris'!$G$2:$G$550,MATCH($A223,'Maliyet Giris'!$A$2:$A$550,0))&lt;=10,159.74,IF(INDEX('Maliyet Giris'!$G$2:$G$550,MATCH($A223,'Maliyet Giris'!$A$2:$A$550,0))&lt;=15,187.5,IF(INDEX('Maliyet Giris'!$G$2:$G$550,MATCH($A223,'Maliyet Giris'!$A$2:$A$550,0))&lt;=20,225,299))))))),""))</f>
        <v/>
      </c>
      <c r="G223" s="14" t="str">
        <f t="array" ref="G223">IF($A223="","",IFERROR(INDEX('Maliyet Giris'!$F$2:$F$550,MATCH($A223,'Maliyet Giris'!$A$2:$A$550,0)),""))</f>
        <v/>
      </c>
      <c r="H223" s="14" t="str">
        <f t="shared" si="1"/>
        <v/>
      </c>
      <c r="I223" s="14" t="str">
        <f t="shared" si="2"/>
        <v/>
      </c>
      <c r="J223" s="14" t="str">
        <f t="shared" si="3"/>
        <v/>
      </c>
      <c r="K223" s="14" t="str">
        <f t="shared" si="4"/>
        <v/>
      </c>
      <c r="L223" s="15" t="str">
        <f t="shared" si="5"/>
        <v/>
      </c>
      <c r="M223" s="17" t="str">
        <f t="shared" si="6"/>
        <v/>
      </c>
      <c r="N223" s="17" t="str">
        <f t="shared" si="7"/>
        <v/>
      </c>
      <c r="O223" s="17" t="str">
        <f t="array" ref="O223">IF($A223="","",IFERROR(INDEX('Maliyet Giris'!$G$2:$G$550,MATCH($A223,'Maliyet Giris'!$A$2:$A$550,0)),""))</f>
        <v/>
      </c>
      <c r="P223" s="17" t="str">
        <f t="shared" si="8"/>
        <v/>
      </c>
      <c r="Q223" s="17" t="str">
        <f t="shared" si="9"/>
        <v/>
      </c>
      <c r="R223" s="14" t="str">
        <f t="shared" si="10"/>
        <v/>
      </c>
      <c r="S223" s="14" t="str">
        <f t="shared" si="11"/>
        <v/>
      </c>
      <c r="T223" s="17" t="str">
        <f t="shared" si="12"/>
        <v/>
      </c>
      <c r="U223" s="17" t="str">
        <f t="shared" si="13"/>
        <v/>
      </c>
    </row>
    <row r="224">
      <c r="A224" s="2"/>
      <c r="C224" s="28"/>
      <c r="D224" s="14"/>
      <c r="E224" s="14" t="str">
        <f t="array" ref="E224">IF($A224="","",IFERROR($D224*IF($D224&gt;=INDEX('Komisyon Tarifesi'!$I$2:$I$1000,MATCH($A224,'Komisyon Tarifesi'!$B$2:$B$1000,0)),INDEX('Komisyon Tarifesi'!$O$2:$O$1000,MATCH($A224,'Komisyon Tarifesi'!$B$2:$B$1000,0)),IF($D224&gt;=INDEX('Komisyon Tarifesi'!$K$2:$K$1000,MATCH($A224,'Komisyon Tarifesi'!$B$2:$B$1000,0)),INDEX('Komisyon Tarifesi'!$P$2:$P$1000,MATCH($A224,'Komisyon Tarifesi'!$B$2:$B$1000,0)),IF($D224&gt;=INDEX('Komisyon Tarifesi'!$M$2:$M$1000,MATCH($A224,'Komisyon Tarifesi'!$B$2:$B$1000,0)),INDEX('Komisyon Tarifesi'!$Q$2:$Q$1000,MATCH($A224,'Komisyon Tarifesi'!$B$2:$B$1000,0)),INDEX('Komisyon Tarifesi'!$R$2:$R$1000,MATCH($A224,'Komisyon Tarifesi'!$B$2:$B$1000,0)))))/100,IFERROR(IF(VLOOKUP($A224,Products!$A$2:$W$1000,21,0)&lt;&gt;"",$D224*VLOOKUP($A224,Products!$A$2:$W$1000,21,0)/100,""),"")))</f>
        <v/>
      </c>
      <c r="F224" s="14" t="str">
        <f t="array" ref="F224">IF($A224="","",IFERROR(IF(INDEX('Maliyet Giris'!$G$2:$G$550,MATCH($A224,'Maliyet Giris'!$A$2:$A$550,0))="","",IF(INDEX('Maliyet Giris'!$G$2:$G$550,MATCH($A224,'Maliyet Giris'!$A$2:$A$550,0))&lt;=2,86.4,IF(INDEX('Maliyet Giris'!$G$2:$G$550,MATCH($A224,'Maliyet Giris'!$A$2:$A$550,0))&lt;=3,90,IF(INDEX('Maliyet Giris'!$G$2:$G$550,MATCH($A224,'Maliyet Giris'!$A$2:$A$550,0))&lt;=5,102,IF(INDEX('Maliyet Giris'!$G$2:$G$550,MATCH($A224,'Maliyet Giris'!$A$2:$A$550,0))&lt;=10,159.74,IF(INDEX('Maliyet Giris'!$G$2:$G$550,MATCH($A224,'Maliyet Giris'!$A$2:$A$550,0))&lt;=15,187.5,IF(INDEX('Maliyet Giris'!$G$2:$G$550,MATCH($A224,'Maliyet Giris'!$A$2:$A$550,0))&lt;=20,225,299))))))),""))</f>
        <v/>
      </c>
      <c r="G224" s="14" t="str">
        <f t="array" ref="G224">IF($A224="","",IFERROR(INDEX('Maliyet Giris'!$F$2:$F$550,MATCH($A224,'Maliyet Giris'!$A$2:$A$550,0)),""))</f>
        <v/>
      </c>
      <c r="H224" s="14" t="str">
        <f t="shared" si="1"/>
        <v/>
      </c>
      <c r="I224" s="14" t="str">
        <f t="shared" si="2"/>
        <v/>
      </c>
      <c r="J224" s="14" t="str">
        <f t="shared" si="3"/>
        <v/>
      </c>
      <c r="K224" s="14" t="str">
        <f t="shared" si="4"/>
        <v/>
      </c>
      <c r="L224" s="15" t="str">
        <f t="shared" si="5"/>
        <v/>
      </c>
      <c r="M224" s="17" t="str">
        <f t="shared" si="6"/>
        <v/>
      </c>
      <c r="N224" s="17" t="str">
        <f t="shared" si="7"/>
        <v/>
      </c>
      <c r="O224" s="17" t="str">
        <f t="array" ref="O224">IF($A224="","",IFERROR(INDEX('Maliyet Giris'!$G$2:$G$550,MATCH($A224,'Maliyet Giris'!$A$2:$A$550,0)),""))</f>
        <v/>
      </c>
      <c r="P224" s="17" t="str">
        <f t="shared" si="8"/>
        <v/>
      </c>
      <c r="Q224" s="17" t="str">
        <f t="shared" si="9"/>
        <v/>
      </c>
      <c r="R224" s="14" t="str">
        <f t="shared" si="10"/>
        <v/>
      </c>
      <c r="S224" s="14" t="str">
        <f t="shared" si="11"/>
        <v/>
      </c>
      <c r="T224" s="17" t="str">
        <f t="shared" si="12"/>
        <v/>
      </c>
      <c r="U224" s="17" t="str">
        <f t="shared" si="13"/>
        <v/>
      </c>
    </row>
    <row r="225">
      <c r="A225" s="2"/>
      <c r="C225" s="28"/>
      <c r="D225" s="14"/>
      <c r="E225" s="14" t="str">
        <f t="array" ref="E225">IF($A225="","",IFERROR($D225*IF($D225&gt;=INDEX('Komisyon Tarifesi'!$I$2:$I$1000,MATCH($A225,'Komisyon Tarifesi'!$B$2:$B$1000,0)),INDEX('Komisyon Tarifesi'!$O$2:$O$1000,MATCH($A225,'Komisyon Tarifesi'!$B$2:$B$1000,0)),IF($D225&gt;=INDEX('Komisyon Tarifesi'!$K$2:$K$1000,MATCH($A225,'Komisyon Tarifesi'!$B$2:$B$1000,0)),INDEX('Komisyon Tarifesi'!$P$2:$P$1000,MATCH($A225,'Komisyon Tarifesi'!$B$2:$B$1000,0)),IF($D225&gt;=INDEX('Komisyon Tarifesi'!$M$2:$M$1000,MATCH($A225,'Komisyon Tarifesi'!$B$2:$B$1000,0)),INDEX('Komisyon Tarifesi'!$Q$2:$Q$1000,MATCH($A225,'Komisyon Tarifesi'!$B$2:$B$1000,0)),INDEX('Komisyon Tarifesi'!$R$2:$R$1000,MATCH($A225,'Komisyon Tarifesi'!$B$2:$B$1000,0)))))/100,IFERROR(IF(VLOOKUP($A225,Products!$A$2:$W$1000,21,0)&lt;&gt;"",$D225*VLOOKUP($A225,Products!$A$2:$W$1000,21,0)/100,""),"")))</f>
        <v/>
      </c>
      <c r="F225" s="14" t="str">
        <f t="array" ref="F225">IF($A225="","",IFERROR(IF(INDEX('Maliyet Giris'!$G$2:$G$550,MATCH($A225,'Maliyet Giris'!$A$2:$A$550,0))="","",IF(INDEX('Maliyet Giris'!$G$2:$G$550,MATCH($A225,'Maliyet Giris'!$A$2:$A$550,0))&lt;=2,86.4,IF(INDEX('Maliyet Giris'!$G$2:$G$550,MATCH($A225,'Maliyet Giris'!$A$2:$A$550,0))&lt;=3,90,IF(INDEX('Maliyet Giris'!$G$2:$G$550,MATCH($A225,'Maliyet Giris'!$A$2:$A$550,0))&lt;=5,102,IF(INDEX('Maliyet Giris'!$G$2:$G$550,MATCH($A225,'Maliyet Giris'!$A$2:$A$550,0))&lt;=10,159.74,IF(INDEX('Maliyet Giris'!$G$2:$G$550,MATCH($A225,'Maliyet Giris'!$A$2:$A$550,0))&lt;=15,187.5,IF(INDEX('Maliyet Giris'!$G$2:$G$550,MATCH($A225,'Maliyet Giris'!$A$2:$A$550,0))&lt;=20,225,299))))))),""))</f>
        <v/>
      </c>
      <c r="G225" s="14" t="str">
        <f t="array" ref="G225">IF($A225="","",IFERROR(INDEX('Maliyet Giris'!$F$2:$F$550,MATCH($A225,'Maliyet Giris'!$A$2:$A$550,0)),""))</f>
        <v/>
      </c>
      <c r="H225" s="14" t="str">
        <f t="shared" si="1"/>
        <v/>
      </c>
      <c r="I225" s="14" t="str">
        <f t="shared" si="2"/>
        <v/>
      </c>
      <c r="J225" s="14" t="str">
        <f t="shared" si="3"/>
        <v/>
      </c>
      <c r="K225" s="14" t="str">
        <f t="shared" si="4"/>
        <v/>
      </c>
      <c r="L225" s="15" t="str">
        <f t="shared" si="5"/>
        <v/>
      </c>
      <c r="M225" s="17" t="str">
        <f t="shared" si="6"/>
        <v/>
      </c>
      <c r="N225" s="17" t="str">
        <f t="shared" si="7"/>
        <v/>
      </c>
      <c r="O225" s="17" t="str">
        <f t="array" ref="O225">IF($A225="","",IFERROR(INDEX('Maliyet Giris'!$G$2:$G$550,MATCH($A225,'Maliyet Giris'!$A$2:$A$550,0)),""))</f>
        <v/>
      </c>
      <c r="P225" s="17" t="str">
        <f t="shared" si="8"/>
        <v/>
      </c>
      <c r="Q225" s="17" t="str">
        <f t="shared" si="9"/>
        <v/>
      </c>
      <c r="R225" s="14" t="str">
        <f t="shared" si="10"/>
        <v/>
      </c>
      <c r="S225" s="14" t="str">
        <f t="shared" si="11"/>
        <v/>
      </c>
      <c r="T225" s="17" t="str">
        <f t="shared" si="12"/>
        <v/>
      </c>
      <c r="U225" s="17" t="str">
        <f t="shared" si="13"/>
        <v/>
      </c>
    </row>
    <row r="226">
      <c r="A226" s="2"/>
      <c r="C226" s="28"/>
      <c r="D226" s="14"/>
      <c r="E226" s="14" t="str">
        <f t="array" ref="E226">IF($A226="","",IFERROR($D226*IF($D226&gt;=INDEX('Komisyon Tarifesi'!$I$2:$I$1000,MATCH($A226,'Komisyon Tarifesi'!$B$2:$B$1000,0)),INDEX('Komisyon Tarifesi'!$O$2:$O$1000,MATCH($A226,'Komisyon Tarifesi'!$B$2:$B$1000,0)),IF($D226&gt;=INDEX('Komisyon Tarifesi'!$K$2:$K$1000,MATCH($A226,'Komisyon Tarifesi'!$B$2:$B$1000,0)),INDEX('Komisyon Tarifesi'!$P$2:$P$1000,MATCH($A226,'Komisyon Tarifesi'!$B$2:$B$1000,0)),IF($D226&gt;=INDEX('Komisyon Tarifesi'!$M$2:$M$1000,MATCH($A226,'Komisyon Tarifesi'!$B$2:$B$1000,0)),INDEX('Komisyon Tarifesi'!$Q$2:$Q$1000,MATCH($A226,'Komisyon Tarifesi'!$B$2:$B$1000,0)),INDEX('Komisyon Tarifesi'!$R$2:$R$1000,MATCH($A226,'Komisyon Tarifesi'!$B$2:$B$1000,0)))))/100,IFERROR(IF(VLOOKUP($A226,Products!$A$2:$W$1000,21,0)&lt;&gt;"",$D226*VLOOKUP($A226,Products!$A$2:$W$1000,21,0)/100,""),"")))</f>
        <v/>
      </c>
      <c r="F226" s="14" t="str">
        <f t="array" ref="F226">IF($A226="","",IFERROR(IF(INDEX('Maliyet Giris'!$G$2:$G$550,MATCH($A226,'Maliyet Giris'!$A$2:$A$550,0))="","",IF(INDEX('Maliyet Giris'!$G$2:$G$550,MATCH($A226,'Maliyet Giris'!$A$2:$A$550,0))&lt;=2,86.4,IF(INDEX('Maliyet Giris'!$G$2:$G$550,MATCH($A226,'Maliyet Giris'!$A$2:$A$550,0))&lt;=3,90,IF(INDEX('Maliyet Giris'!$G$2:$G$550,MATCH($A226,'Maliyet Giris'!$A$2:$A$550,0))&lt;=5,102,IF(INDEX('Maliyet Giris'!$G$2:$G$550,MATCH($A226,'Maliyet Giris'!$A$2:$A$550,0))&lt;=10,159.74,IF(INDEX('Maliyet Giris'!$G$2:$G$550,MATCH($A226,'Maliyet Giris'!$A$2:$A$550,0))&lt;=15,187.5,IF(INDEX('Maliyet Giris'!$G$2:$G$550,MATCH($A226,'Maliyet Giris'!$A$2:$A$550,0))&lt;=20,225,299))))))),""))</f>
        <v/>
      </c>
      <c r="G226" s="14" t="str">
        <f t="array" ref="G226">IF($A226="","",IFERROR(INDEX('Maliyet Giris'!$F$2:$F$550,MATCH($A226,'Maliyet Giris'!$A$2:$A$550,0)),""))</f>
        <v/>
      </c>
      <c r="H226" s="14" t="str">
        <f t="shared" si="1"/>
        <v/>
      </c>
      <c r="I226" s="14" t="str">
        <f t="shared" si="2"/>
        <v/>
      </c>
      <c r="J226" s="14" t="str">
        <f t="shared" si="3"/>
        <v/>
      </c>
      <c r="K226" s="14" t="str">
        <f t="shared" si="4"/>
        <v/>
      </c>
      <c r="L226" s="15" t="str">
        <f t="shared" si="5"/>
        <v/>
      </c>
      <c r="M226" s="17" t="str">
        <f t="shared" si="6"/>
        <v/>
      </c>
      <c r="N226" s="17" t="str">
        <f t="shared" si="7"/>
        <v/>
      </c>
      <c r="O226" s="17" t="str">
        <f t="array" ref="O226">IF($A226="","",IFERROR(INDEX('Maliyet Giris'!$G$2:$G$550,MATCH($A226,'Maliyet Giris'!$A$2:$A$550,0)),""))</f>
        <v/>
      </c>
      <c r="P226" s="17" t="str">
        <f t="shared" si="8"/>
        <v/>
      </c>
      <c r="Q226" s="17" t="str">
        <f t="shared" si="9"/>
        <v/>
      </c>
      <c r="R226" s="14" t="str">
        <f t="shared" si="10"/>
        <v/>
      </c>
      <c r="S226" s="14" t="str">
        <f t="shared" si="11"/>
        <v/>
      </c>
      <c r="T226" s="17" t="str">
        <f t="shared" si="12"/>
        <v/>
      </c>
      <c r="U226" s="17" t="str">
        <f t="shared" si="13"/>
        <v/>
      </c>
    </row>
    <row r="227">
      <c r="A227" s="2"/>
      <c r="C227" s="28"/>
      <c r="D227" s="14"/>
      <c r="E227" s="14" t="str">
        <f t="array" ref="E227">IF($A227="","",IFERROR($D227*IF($D227&gt;=INDEX('Komisyon Tarifesi'!$I$2:$I$1000,MATCH($A227,'Komisyon Tarifesi'!$B$2:$B$1000,0)),INDEX('Komisyon Tarifesi'!$O$2:$O$1000,MATCH($A227,'Komisyon Tarifesi'!$B$2:$B$1000,0)),IF($D227&gt;=INDEX('Komisyon Tarifesi'!$K$2:$K$1000,MATCH($A227,'Komisyon Tarifesi'!$B$2:$B$1000,0)),INDEX('Komisyon Tarifesi'!$P$2:$P$1000,MATCH($A227,'Komisyon Tarifesi'!$B$2:$B$1000,0)),IF($D227&gt;=INDEX('Komisyon Tarifesi'!$M$2:$M$1000,MATCH($A227,'Komisyon Tarifesi'!$B$2:$B$1000,0)),INDEX('Komisyon Tarifesi'!$Q$2:$Q$1000,MATCH($A227,'Komisyon Tarifesi'!$B$2:$B$1000,0)),INDEX('Komisyon Tarifesi'!$R$2:$R$1000,MATCH($A227,'Komisyon Tarifesi'!$B$2:$B$1000,0)))))/100,IFERROR(IF(VLOOKUP($A227,Products!$A$2:$W$1000,21,0)&lt;&gt;"",$D227*VLOOKUP($A227,Products!$A$2:$W$1000,21,0)/100,""),"")))</f>
        <v/>
      </c>
      <c r="F227" s="14" t="str">
        <f t="array" ref="F227">IF($A227="","",IFERROR(IF(INDEX('Maliyet Giris'!$G$2:$G$550,MATCH($A227,'Maliyet Giris'!$A$2:$A$550,0))="","",IF(INDEX('Maliyet Giris'!$G$2:$G$550,MATCH($A227,'Maliyet Giris'!$A$2:$A$550,0))&lt;=2,86.4,IF(INDEX('Maliyet Giris'!$G$2:$G$550,MATCH($A227,'Maliyet Giris'!$A$2:$A$550,0))&lt;=3,90,IF(INDEX('Maliyet Giris'!$G$2:$G$550,MATCH($A227,'Maliyet Giris'!$A$2:$A$550,0))&lt;=5,102,IF(INDEX('Maliyet Giris'!$G$2:$G$550,MATCH($A227,'Maliyet Giris'!$A$2:$A$550,0))&lt;=10,159.74,IF(INDEX('Maliyet Giris'!$G$2:$G$550,MATCH($A227,'Maliyet Giris'!$A$2:$A$550,0))&lt;=15,187.5,IF(INDEX('Maliyet Giris'!$G$2:$G$550,MATCH($A227,'Maliyet Giris'!$A$2:$A$550,0))&lt;=20,225,299))))))),""))</f>
        <v/>
      </c>
      <c r="G227" s="14" t="str">
        <f t="array" ref="G227">IF($A227="","",IFERROR(INDEX('Maliyet Giris'!$F$2:$F$550,MATCH($A227,'Maliyet Giris'!$A$2:$A$550,0)),""))</f>
        <v/>
      </c>
      <c r="H227" s="14" t="str">
        <f t="shared" si="1"/>
        <v/>
      </c>
      <c r="I227" s="14" t="str">
        <f t="shared" si="2"/>
        <v/>
      </c>
      <c r="J227" s="14" t="str">
        <f t="shared" si="3"/>
        <v/>
      </c>
      <c r="K227" s="14" t="str">
        <f t="shared" si="4"/>
        <v/>
      </c>
      <c r="L227" s="15" t="str">
        <f t="shared" si="5"/>
        <v/>
      </c>
      <c r="M227" s="17" t="str">
        <f t="shared" si="6"/>
        <v/>
      </c>
      <c r="N227" s="17" t="str">
        <f t="shared" si="7"/>
        <v/>
      </c>
      <c r="O227" s="17" t="str">
        <f t="array" ref="O227">IF($A227="","",IFERROR(INDEX('Maliyet Giris'!$G$2:$G$550,MATCH($A227,'Maliyet Giris'!$A$2:$A$550,0)),""))</f>
        <v/>
      </c>
      <c r="P227" s="17" t="str">
        <f t="shared" si="8"/>
        <v/>
      </c>
      <c r="Q227" s="17" t="str">
        <f t="shared" si="9"/>
        <v/>
      </c>
      <c r="R227" s="14" t="str">
        <f t="shared" si="10"/>
        <v/>
      </c>
      <c r="S227" s="14" t="str">
        <f t="shared" si="11"/>
        <v/>
      </c>
      <c r="T227" s="17" t="str">
        <f t="shared" si="12"/>
        <v/>
      </c>
      <c r="U227" s="17" t="str">
        <f t="shared" si="13"/>
        <v/>
      </c>
    </row>
    <row r="228">
      <c r="A228" s="2"/>
      <c r="C228" s="28"/>
      <c r="D228" s="14"/>
      <c r="E228" s="14" t="str">
        <f t="array" ref="E228">IF($A228="","",IFERROR($D228*IF($D228&gt;=INDEX('Komisyon Tarifesi'!$I$2:$I$1000,MATCH($A228,'Komisyon Tarifesi'!$B$2:$B$1000,0)),INDEX('Komisyon Tarifesi'!$O$2:$O$1000,MATCH($A228,'Komisyon Tarifesi'!$B$2:$B$1000,0)),IF($D228&gt;=INDEX('Komisyon Tarifesi'!$K$2:$K$1000,MATCH($A228,'Komisyon Tarifesi'!$B$2:$B$1000,0)),INDEX('Komisyon Tarifesi'!$P$2:$P$1000,MATCH($A228,'Komisyon Tarifesi'!$B$2:$B$1000,0)),IF($D228&gt;=INDEX('Komisyon Tarifesi'!$M$2:$M$1000,MATCH($A228,'Komisyon Tarifesi'!$B$2:$B$1000,0)),INDEX('Komisyon Tarifesi'!$Q$2:$Q$1000,MATCH($A228,'Komisyon Tarifesi'!$B$2:$B$1000,0)),INDEX('Komisyon Tarifesi'!$R$2:$R$1000,MATCH($A228,'Komisyon Tarifesi'!$B$2:$B$1000,0)))))/100,IFERROR(IF(VLOOKUP($A228,Products!$A$2:$W$1000,21,0)&lt;&gt;"",$D228*VLOOKUP($A228,Products!$A$2:$W$1000,21,0)/100,""),"")))</f>
        <v/>
      </c>
      <c r="F228" s="14" t="str">
        <f t="array" ref="F228">IF($A228="","",IFERROR(IF(INDEX('Maliyet Giris'!$G$2:$G$550,MATCH($A228,'Maliyet Giris'!$A$2:$A$550,0))="","",IF(INDEX('Maliyet Giris'!$G$2:$G$550,MATCH($A228,'Maliyet Giris'!$A$2:$A$550,0))&lt;=2,86.4,IF(INDEX('Maliyet Giris'!$G$2:$G$550,MATCH($A228,'Maliyet Giris'!$A$2:$A$550,0))&lt;=3,90,IF(INDEX('Maliyet Giris'!$G$2:$G$550,MATCH($A228,'Maliyet Giris'!$A$2:$A$550,0))&lt;=5,102,IF(INDEX('Maliyet Giris'!$G$2:$G$550,MATCH($A228,'Maliyet Giris'!$A$2:$A$550,0))&lt;=10,159.74,IF(INDEX('Maliyet Giris'!$G$2:$G$550,MATCH($A228,'Maliyet Giris'!$A$2:$A$550,0))&lt;=15,187.5,IF(INDEX('Maliyet Giris'!$G$2:$G$550,MATCH($A228,'Maliyet Giris'!$A$2:$A$550,0))&lt;=20,225,299))))))),""))</f>
        <v/>
      </c>
      <c r="G228" s="14" t="str">
        <f t="array" ref="G228">IF($A228="","",IFERROR(INDEX('Maliyet Giris'!$F$2:$F$550,MATCH($A228,'Maliyet Giris'!$A$2:$A$550,0)),""))</f>
        <v/>
      </c>
      <c r="H228" s="14" t="str">
        <f t="shared" si="1"/>
        <v/>
      </c>
      <c r="I228" s="14" t="str">
        <f t="shared" si="2"/>
        <v/>
      </c>
      <c r="J228" s="14" t="str">
        <f t="shared" si="3"/>
        <v/>
      </c>
      <c r="K228" s="14" t="str">
        <f t="shared" si="4"/>
        <v/>
      </c>
      <c r="L228" s="15" t="str">
        <f t="shared" si="5"/>
        <v/>
      </c>
      <c r="M228" s="17" t="str">
        <f t="shared" si="6"/>
        <v/>
      </c>
      <c r="N228" s="17" t="str">
        <f t="shared" si="7"/>
        <v/>
      </c>
      <c r="O228" s="17" t="str">
        <f t="array" ref="O228">IF($A228="","",IFERROR(INDEX('Maliyet Giris'!$G$2:$G$550,MATCH($A228,'Maliyet Giris'!$A$2:$A$550,0)),""))</f>
        <v/>
      </c>
      <c r="P228" s="17" t="str">
        <f t="shared" si="8"/>
        <v/>
      </c>
      <c r="Q228" s="17" t="str">
        <f t="shared" si="9"/>
        <v/>
      </c>
      <c r="R228" s="14" t="str">
        <f t="shared" si="10"/>
        <v/>
      </c>
      <c r="S228" s="14" t="str">
        <f t="shared" si="11"/>
        <v/>
      </c>
      <c r="T228" s="17" t="str">
        <f t="shared" si="12"/>
        <v/>
      </c>
      <c r="U228" s="17" t="str">
        <f t="shared" si="13"/>
        <v/>
      </c>
    </row>
    <row r="229">
      <c r="A229" s="2"/>
      <c r="C229" s="28"/>
      <c r="D229" s="14"/>
      <c r="E229" s="14" t="str">
        <f t="array" ref="E229">IF($A229="","",IFERROR($D229*IF($D229&gt;=INDEX('Komisyon Tarifesi'!$I$2:$I$1000,MATCH($A229,'Komisyon Tarifesi'!$B$2:$B$1000,0)),INDEX('Komisyon Tarifesi'!$O$2:$O$1000,MATCH($A229,'Komisyon Tarifesi'!$B$2:$B$1000,0)),IF($D229&gt;=INDEX('Komisyon Tarifesi'!$K$2:$K$1000,MATCH($A229,'Komisyon Tarifesi'!$B$2:$B$1000,0)),INDEX('Komisyon Tarifesi'!$P$2:$P$1000,MATCH($A229,'Komisyon Tarifesi'!$B$2:$B$1000,0)),IF($D229&gt;=INDEX('Komisyon Tarifesi'!$M$2:$M$1000,MATCH($A229,'Komisyon Tarifesi'!$B$2:$B$1000,0)),INDEX('Komisyon Tarifesi'!$Q$2:$Q$1000,MATCH($A229,'Komisyon Tarifesi'!$B$2:$B$1000,0)),INDEX('Komisyon Tarifesi'!$R$2:$R$1000,MATCH($A229,'Komisyon Tarifesi'!$B$2:$B$1000,0)))))/100,IFERROR(IF(VLOOKUP($A229,Products!$A$2:$W$1000,21,0)&lt;&gt;"",$D229*VLOOKUP($A229,Products!$A$2:$W$1000,21,0)/100,""),"")))</f>
        <v/>
      </c>
      <c r="F229" s="14" t="str">
        <f t="array" ref="F229">IF($A229="","",IFERROR(IF(INDEX('Maliyet Giris'!$G$2:$G$550,MATCH($A229,'Maliyet Giris'!$A$2:$A$550,0))="","",IF(INDEX('Maliyet Giris'!$G$2:$G$550,MATCH($A229,'Maliyet Giris'!$A$2:$A$550,0))&lt;=2,86.4,IF(INDEX('Maliyet Giris'!$G$2:$G$550,MATCH($A229,'Maliyet Giris'!$A$2:$A$550,0))&lt;=3,90,IF(INDEX('Maliyet Giris'!$G$2:$G$550,MATCH($A229,'Maliyet Giris'!$A$2:$A$550,0))&lt;=5,102,IF(INDEX('Maliyet Giris'!$G$2:$G$550,MATCH($A229,'Maliyet Giris'!$A$2:$A$550,0))&lt;=10,159.74,IF(INDEX('Maliyet Giris'!$G$2:$G$550,MATCH($A229,'Maliyet Giris'!$A$2:$A$550,0))&lt;=15,187.5,IF(INDEX('Maliyet Giris'!$G$2:$G$550,MATCH($A229,'Maliyet Giris'!$A$2:$A$550,0))&lt;=20,225,299))))))),""))</f>
        <v/>
      </c>
      <c r="G229" s="14" t="str">
        <f t="array" ref="G229">IF($A229="","",IFERROR(INDEX('Maliyet Giris'!$F$2:$F$550,MATCH($A229,'Maliyet Giris'!$A$2:$A$550,0)),""))</f>
        <v/>
      </c>
      <c r="H229" s="14" t="str">
        <f t="shared" si="1"/>
        <v/>
      </c>
      <c r="I229" s="14" t="str">
        <f t="shared" si="2"/>
        <v/>
      </c>
      <c r="J229" s="14" t="str">
        <f t="shared" si="3"/>
        <v/>
      </c>
      <c r="K229" s="14" t="str">
        <f t="shared" si="4"/>
        <v/>
      </c>
      <c r="L229" s="15" t="str">
        <f t="shared" si="5"/>
        <v/>
      </c>
      <c r="M229" s="17" t="str">
        <f t="shared" si="6"/>
        <v/>
      </c>
      <c r="N229" s="17" t="str">
        <f t="shared" si="7"/>
        <v/>
      </c>
      <c r="O229" s="17" t="str">
        <f t="array" ref="O229">IF($A229="","",IFERROR(INDEX('Maliyet Giris'!$G$2:$G$550,MATCH($A229,'Maliyet Giris'!$A$2:$A$550,0)),""))</f>
        <v/>
      </c>
      <c r="P229" s="17" t="str">
        <f t="shared" si="8"/>
        <v/>
      </c>
      <c r="Q229" s="17" t="str">
        <f t="shared" si="9"/>
        <v/>
      </c>
      <c r="R229" s="14" t="str">
        <f t="shared" si="10"/>
        <v/>
      </c>
      <c r="S229" s="14" t="str">
        <f t="shared" si="11"/>
        <v/>
      </c>
      <c r="T229" s="17" t="str">
        <f t="shared" si="12"/>
        <v/>
      </c>
      <c r="U229" s="17" t="str">
        <f t="shared" si="13"/>
        <v/>
      </c>
    </row>
    <row r="230">
      <c r="A230" s="2"/>
      <c r="C230" s="28"/>
      <c r="D230" s="14"/>
      <c r="E230" s="14" t="str">
        <f t="array" ref="E230">IF($A230="","",IFERROR($D230*IF($D230&gt;=INDEX('Komisyon Tarifesi'!$I$2:$I$1000,MATCH($A230,'Komisyon Tarifesi'!$B$2:$B$1000,0)),INDEX('Komisyon Tarifesi'!$O$2:$O$1000,MATCH($A230,'Komisyon Tarifesi'!$B$2:$B$1000,0)),IF($D230&gt;=INDEX('Komisyon Tarifesi'!$K$2:$K$1000,MATCH($A230,'Komisyon Tarifesi'!$B$2:$B$1000,0)),INDEX('Komisyon Tarifesi'!$P$2:$P$1000,MATCH($A230,'Komisyon Tarifesi'!$B$2:$B$1000,0)),IF($D230&gt;=INDEX('Komisyon Tarifesi'!$M$2:$M$1000,MATCH($A230,'Komisyon Tarifesi'!$B$2:$B$1000,0)),INDEX('Komisyon Tarifesi'!$Q$2:$Q$1000,MATCH($A230,'Komisyon Tarifesi'!$B$2:$B$1000,0)),INDEX('Komisyon Tarifesi'!$R$2:$R$1000,MATCH($A230,'Komisyon Tarifesi'!$B$2:$B$1000,0)))))/100,IFERROR(IF(VLOOKUP($A230,Products!$A$2:$W$1000,21,0)&lt;&gt;"",$D230*VLOOKUP($A230,Products!$A$2:$W$1000,21,0)/100,""),"")))</f>
        <v/>
      </c>
      <c r="F230" s="14" t="str">
        <f t="array" ref="F230">IF($A230="","",IFERROR(IF(INDEX('Maliyet Giris'!$G$2:$G$550,MATCH($A230,'Maliyet Giris'!$A$2:$A$550,0))="","",IF(INDEX('Maliyet Giris'!$G$2:$G$550,MATCH($A230,'Maliyet Giris'!$A$2:$A$550,0))&lt;=2,86.4,IF(INDEX('Maliyet Giris'!$G$2:$G$550,MATCH($A230,'Maliyet Giris'!$A$2:$A$550,0))&lt;=3,90,IF(INDEX('Maliyet Giris'!$G$2:$G$550,MATCH($A230,'Maliyet Giris'!$A$2:$A$550,0))&lt;=5,102,IF(INDEX('Maliyet Giris'!$G$2:$G$550,MATCH($A230,'Maliyet Giris'!$A$2:$A$550,0))&lt;=10,159.74,IF(INDEX('Maliyet Giris'!$G$2:$G$550,MATCH($A230,'Maliyet Giris'!$A$2:$A$550,0))&lt;=15,187.5,IF(INDEX('Maliyet Giris'!$G$2:$G$550,MATCH($A230,'Maliyet Giris'!$A$2:$A$550,0))&lt;=20,225,299))))))),""))</f>
        <v/>
      </c>
      <c r="G230" s="14" t="str">
        <f t="array" ref="G230">IF($A230="","",IFERROR(INDEX('Maliyet Giris'!$F$2:$F$550,MATCH($A230,'Maliyet Giris'!$A$2:$A$550,0)),""))</f>
        <v/>
      </c>
      <c r="H230" s="14" t="str">
        <f t="shared" si="1"/>
        <v/>
      </c>
      <c r="I230" s="14" t="str">
        <f t="shared" si="2"/>
        <v/>
      </c>
      <c r="J230" s="14" t="str">
        <f t="shared" si="3"/>
        <v/>
      </c>
      <c r="K230" s="14" t="str">
        <f t="shared" si="4"/>
        <v/>
      </c>
      <c r="L230" s="15" t="str">
        <f t="shared" si="5"/>
        <v/>
      </c>
      <c r="M230" s="17" t="str">
        <f t="shared" si="6"/>
        <v/>
      </c>
      <c r="N230" s="17" t="str">
        <f t="shared" si="7"/>
        <v/>
      </c>
      <c r="O230" s="17" t="str">
        <f t="array" ref="O230">IF($A230="","",IFERROR(INDEX('Maliyet Giris'!$G$2:$G$550,MATCH($A230,'Maliyet Giris'!$A$2:$A$550,0)),""))</f>
        <v/>
      </c>
      <c r="P230" s="17" t="str">
        <f t="shared" si="8"/>
        <v/>
      </c>
      <c r="Q230" s="17" t="str">
        <f t="shared" si="9"/>
        <v/>
      </c>
      <c r="R230" s="14" t="str">
        <f t="shared" si="10"/>
        <v/>
      </c>
      <c r="S230" s="14" t="str">
        <f t="shared" si="11"/>
        <v/>
      </c>
      <c r="T230" s="17" t="str">
        <f t="shared" si="12"/>
        <v/>
      </c>
      <c r="U230" s="17" t="str">
        <f t="shared" si="13"/>
        <v/>
      </c>
    </row>
    <row r="231">
      <c r="A231" s="2"/>
      <c r="C231" s="28"/>
      <c r="D231" s="14"/>
      <c r="E231" s="14" t="str">
        <f t="array" ref="E231">IF($A231="","",IFERROR($D231*IF($D231&gt;=INDEX('Komisyon Tarifesi'!$I$2:$I$1000,MATCH($A231,'Komisyon Tarifesi'!$B$2:$B$1000,0)),INDEX('Komisyon Tarifesi'!$O$2:$O$1000,MATCH($A231,'Komisyon Tarifesi'!$B$2:$B$1000,0)),IF($D231&gt;=INDEX('Komisyon Tarifesi'!$K$2:$K$1000,MATCH($A231,'Komisyon Tarifesi'!$B$2:$B$1000,0)),INDEX('Komisyon Tarifesi'!$P$2:$P$1000,MATCH($A231,'Komisyon Tarifesi'!$B$2:$B$1000,0)),IF($D231&gt;=INDEX('Komisyon Tarifesi'!$M$2:$M$1000,MATCH($A231,'Komisyon Tarifesi'!$B$2:$B$1000,0)),INDEX('Komisyon Tarifesi'!$Q$2:$Q$1000,MATCH($A231,'Komisyon Tarifesi'!$B$2:$B$1000,0)),INDEX('Komisyon Tarifesi'!$R$2:$R$1000,MATCH($A231,'Komisyon Tarifesi'!$B$2:$B$1000,0)))))/100,IFERROR(IF(VLOOKUP($A231,Products!$A$2:$W$1000,21,0)&lt;&gt;"",$D231*VLOOKUP($A231,Products!$A$2:$W$1000,21,0)/100,""),"")))</f>
        <v/>
      </c>
      <c r="F231" s="14" t="str">
        <f t="array" ref="F231">IF($A231="","",IFERROR(IF(INDEX('Maliyet Giris'!$G$2:$G$550,MATCH($A231,'Maliyet Giris'!$A$2:$A$550,0))="","",IF(INDEX('Maliyet Giris'!$G$2:$G$550,MATCH($A231,'Maliyet Giris'!$A$2:$A$550,0))&lt;=2,86.4,IF(INDEX('Maliyet Giris'!$G$2:$G$550,MATCH($A231,'Maliyet Giris'!$A$2:$A$550,0))&lt;=3,90,IF(INDEX('Maliyet Giris'!$G$2:$G$550,MATCH($A231,'Maliyet Giris'!$A$2:$A$550,0))&lt;=5,102,IF(INDEX('Maliyet Giris'!$G$2:$G$550,MATCH($A231,'Maliyet Giris'!$A$2:$A$550,0))&lt;=10,159.74,IF(INDEX('Maliyet Giris'!$G$2:$G$550,MATCH($A231,'Maliyet Giris'!$A$2:$A$550,0))&lt;=15,187.5,IF(INDEX('Maliyet Giris'!$G$2:$G$550,MATCH($A231,'Maliyet Giris'!$A$2:$A$550,0))&lt;=20,225,299))))))),""))</f>
        <v/>
      </c>
      <c r="G231" s="14" t="str">
        <f t="array" ref="G231">IF($A231="","",IFERROR(INDEX('Maliyet Giris'!$F$2:$F$550,MATCH($A231,'Maliyet Giris'!$A$2:$A$550,0)),""))</f>
        <v/>
      </c>
      <c r="H231" s="14" t="str">
        <f t="shared" si="1"/>
        <v/>
      </c>
      <c r="I231" s="14" t="str">
        <f t="shared" si="2"/>
        <v/>
      </c>
      <c r="J231" s="14" t="str">
        <f t="shared" si="3"/>
        <v/>
      </c>
      <c r="K231" s="14" t="str">
        <f t="shared" si="4"/>
        <v/>
      </c>
      <c r="L231" s="15" t="str">
        <f t="shared" si="5"/>
        <v/>
      </c>
      <c r="M231" s="17" t="str">
        <f t="shared" si="6"/>
        <v/>
      </c>
      <c r="N231" s="17" t="str">
        <f t="shared" si="7"/>
        <v/>
      </c>
      <c r="O231" s="17" t="str">
        <f t="array" ref="O231">IF($A231="","",IFERROR(INDEX('Maliyet Giris'!$G$2:$G$550,MATCH($A231,'Maliyet Giris'!$A$2:$A$550,0)),""))</f>
        <v/>
      </c>
      <c r="P231" s="17" t="str">
        <f t="shared" si="8"/>
        <v/>
      </c>
      <c r="Q231" s="17" t="str">
        <f t="shared" si="9"/>
        <v/>
      </c>
      <c r="R231" s="14" t="str">
        <f t="shared" si="10"/>
        <v/>
      </c>
      <c r="S231" s="14" t="str">
        <f t="shared" si="11"/>
        <v/>
      </c>
      <c r="T231" s="17" t="str">
        <f t="shared" si="12"/>
        <v/>
      </c>
      <c r="U231" s="17" t="str">
        <f t="shared" si="13"/>
        <v/>
      </c>
    </row>
    <row r="232">
      <c r="A232" s="2"/>
      <c r="C232" s="28"/>
      <c r="D232" s="14"/>
      <c r="E232" s="14" t="str">
        <f t="array" ref="E232">IF($A232="","",IFERROR($D232*IF($D232&gt;=INDEX('Komisyon Tarifesi'!$I$2:$I$1000,MATCH($A232,'Komisyon Tarifesi'!$B$2:$B$1000,0)),INDEX('Komisyon Tarifesi'!$O$2:$O$1000,MATCH($A232,'Komisyon Tarifesi'!$B$2:$B$1000,0)),IF($D232&gt;=INDEX('Komisyon Tarifesi'!$K$2:$K$1000,MATCH($A232,'Komisyon Tarifesi'!$B$2:$B$1000,0)),INDEX('Komisyon Tarifesi'!$P$2:$P$1000,MATCH($A232,'Komisyon Tarifesi'!$B$2:$B$1000,0)),IF($D232&gt;=INDEX('Komisyon Tarifesi'!$M$2:$M$1000,MATCH($A232,'Komisyon Tarifesi'!$B$2:$B$1000,0)),INDEX('Komisyon Tarifesi'!$Q$2:$Q$1000,MATCH($A232,'Komisyon Tarifesi'!$B$2:$B$1000,0)),INDEX('Komisyon Tarifesi'!$R$2:$R$1000,MATCH($A232,'Komisyon Tarifesi'!$B$2:$B$1000,0)))))/100,IFERROR(IF(VLOOKUP($A232,Products!$A$2:$W$1000,21,0)&lt;&gt;"",$D232*VLOOKUP($A232,Products!$A$2:$W$1000,21,0)/100,""),"")))</f>
        <v/>
      </c>
      <c r="F232" s="14" t="str">
        <f t="array" ref="F232">IF($A232="","",IFERROR(IF(INDEX('Maliyet Giris'!$G$2:$G$550,MATCH($A232,'Maliyet Giris'!$A$2:$A$550,0))="","",IF(INDEX('Maliyet Giris'!$G$2:$G$550,MATCH($A232,'Maliyet Giris'!$A$2:$A$550,0))&lt;=2,86.4,IF(INDEX('Maliyet Giris'!$G$2:$G$550,MATCH($A232,'Maliyet Giris'!$A$2:$A$550,0))&lt;=3,90,IF(INDEX('Maliyet Giris'!$G$2:$G$550,MATCH($A232,'Maliyet Giris'!$A$2:$A$550,0))&lt;=5,102,IF(INDEX('Maliyet Giris'!$G$2:$G$550,MATCH($A232,'Maliyet Giris'!$A$2:$A$550,0))&lt;=10,159.74,IF(INDEX('Maliyet Giris'!$G$2:$G$550,MATCH($A232,'Maliyet Giris'!$A$2:$A$550,0))&lt;=15,187.5,IF(INDEX('Maliyet Giris'!$G$2:$G$550,MATCH($A232,'Maliyet Giris'!$A$2:$A$550,0))&lt;=20,225,299))))))),""))</f>
        <v/>
      </c>
      <c r="G232" s="14" t="str">
        <f t="array" ref="G232">IF($A232="","",IFERROR(INDEX('Maliyet Giris'!$F$2:$F$550,MATCH($A232,'Maliyet Giris'!$A$2:$A$550,0)),""))</f>
        <v/>
      </c>
      <c r="H232" s="14" t="str">
        <f t="shared" si="1"/>
        <v/>
      </c>
      <c r="I232" s="14" t="str">
        <f t="shared" si="2"/>
        <v/>
      </c>
      <c r="J232" s="14" t="str">
        <f t="shared" si="3"/>
        <v/>
      </c>
      <c r="K232" s="14" t="str">
        <f t="shared" si="4"/>
        <v/>
      </c>
      <c r="L232" s="15" t="str">
        <f t="shared" si="5"/>
        <v/>
      </c>
      <c r="M232" s="17" t="str">
        <f t="shared" si="6"/>
        <v/>
      </c>
      <c r="N232" s="17" t="str">
        <f t="shared" si="7"/>
        <v/>
      </c>
      <c r="O232" s="17" t="str">
        <f t="array" ref="O232">IF($A232="","",IFERROR(INDEX('Maliyet Giris'!$G$2:$G$550,MATCH($A232,'Maliyet Giris'!$A$2:$A$550,0)),""))</f>
        <v/>
      </c>
      <c r="P232" s="17" t="str">
        <f t="shared" si="8"/>
        <v/>
      </c>
      <c r="Q232" s="17" t="str">
        <f t="shared" si="9"/>
        <v/>
      </c>
      <c r="R232" s="14" t="str">
        <f t="shared" si="10"/>
        <v/>
      </c>
      <c r="S232" s="14" t="str">
        <f t="shared" si="11"/>
        <v/>
      </c>
      <c r="T232" s="17" t="str">
        <f t="shared" si="12"/>
        <v/>
      </c>
      <c r="U232" s="17" t="str">
        <f t="shared" si="13"/>
        <v/>
      </c>
    </row>
    <row r="233">
      <c r="A233" s="2"/>
      <c r="C233" s="28"/>
      <c r="D233" s="14"/>
      <c r="E233" s="14" t="str">
        <f t="array" ref="E233">IF($A233="","",IFERROR($D233*IF($D233&gt;=INDEX('Komisyon Tarifesi'!$I$2:$I$1000,MATCH($A233,'Komisyon Tarifesi'!$B$2:$B$1000,0)),INDEX('Komisyon Tarifesi'!$O$2:$O$1000,MATCH($A233,'Komisyon Tarifesi'!$B$2:$B$1000,0)),IF($D233&gt;=INDEX('Komisyon Tarifesi'!$K$2:$K$1000,MATCH($A233,'Komisyon Tarifesi'!$B$2:$B$1000,0)),INDEX('Komisyon Tarifesi'!$P$2:$P$1000,MATCH($A233,'Komisyon Tarifesi'!$B$2:$B$1000,0)),IF($D233&gt;=INDEX('Komisyon Tarifesi'!$M$2:$M$1000,MATCH($A233,'Komisyon Tarifesi'!$B$2:$B$1000,0)),INDEX('Komisyon Tarifesi'!$Q$2:$Q$1000,MATCH($A233,'Komisyon Tarifesi'!$B$2:$B$1000,0)),INDEX('Komisyon Tarifesi'!$R$2:$R$1000,MATCH($A233,'Komisyon Tarifesi'!$B$2:$B$1000,0)))))/100,IFERROR(IF(VLOOKUP($A233,Products!$A$2:$W$1000,21,0)&lt;&gt;"",$D233*VLOOKUP($A233,Products!$A$2:$W$1000,21,0)/100,""),"")))</f>
        <v/>
      </c>
      <c r="F233" s="14" t="str">
        <f t="array" ref="F233">IF($A233="","",IFERROR(IF(INDEX('Maliyet Giris'!$G$2:$G$550,MATCH($A233,'Maliyet Giris'!$A$2:$A$550,0))="","",IF(INDEX('Maliyet Giris'!$G$2:$G$550,MATCH($A233,'Maliyet Giris'!$A$2:$A$550,0))&lt;=2,86.4,IF(INDEX('Maliyet Giris'!$G$2:$G$550,MATCH($A233,'Maliyet Giris'!$A$2:$A$550,0))&lt;=3,90,IF(INDEX('Maliyet Giris'!$G$2:$G$550,MATCH($A233,'Maliyet Giris'!$A$2:$A$550,0))&lt;=5,102,IF(INDEX('Maliyet Giris'!$G$2:$G$550,MATCH($A233,'Maliyet Giris'!$A$2:$A$550,0))&lt;=10,159.74,IF(INDEX('Maliyet Giris'!$G$2:$G$550,MATCH($A233,'Maliyet Giris'!$A$2:$A$550,0))&lt;=15,187.5,IF(INDEX('Maliyet Giris'!$G$2:$G$550,MATCH($A233,'Maliyet Giris'!$A$2:$A$550,0))&lt;=20,225,299))))))),""))</f>
        <v/>
      </c>
      <c r="G233" s="14" t="str">
        <f t="array" ref="G233">IF($A233="","",IFERROR(INDEX('Maliyet Giris'!$F$2:$F$550,MATCH($A233,'Maliyet Giris'!$A$2:$A$550,0)),""))</f>
        <v/>
      </c>
      <c r="H233" s="14" t="str">
        <f t="shared" si="1"/>
        <v/>
      </c>
      <c r="I233" s="14" t="str">
        <f t="shared" si="2"/>
        <v/>
      </c>
      <c r="J233" s="14" t="str">
        <f t="shared" si="3"/>
        <v/>
      </c>
      <c r="K233" s="14" t="str">
        <f t="shared" si="4"/>
        <v/>
      </c>
      <c r="L233" s="15" t="str">
        <f t="shared" si="5"/>
        <v/>
      </c>
      <c r="M233" s="17" t="str">
        <f t="shared" si="6"/>
        <v/>
      </c>
      <c r="N233" s="17" t="str">
        <f t="shared" si="7"/>
        <v/>
      </c>
      <c r="O233" s="17" t="str">
        <f t="array" ref="O233">IF($A233="","",IFERROR(INDEX('Maliyet Giris'!$G$2:$G$550,MATCH($A233,'Maliyet Giris'!$A$2:$A$550,0)),""))</f>
        <v/>
      </c>
      <c r="P233" s="17" t="str">
        <f t="shared" si="8"/>
        <v/>
      </c>
      <c r="Q233" s="17" t="str">
        <f t="shared" si="9"/>
        <v/>
      </c>
      <c r="R233" s="14" t="str">
        <f t="shared" si="10"/>
        <v/>
      </c>
      <c r="S233" s="14" t="str">
        <f t="shared" si="11"/>
        <v/>
      </c>
      <c r="T233" s="17" t="str">
        <f t="shared" si="12"/>
        <v/>
      </c>
      <c r="U233" s="17" t="str">
        <f t="shared" si="13"/>
        <v/>
      </c>
    </row>
    <row r="234">
      <c r="A234" s="2"/>
      <c r="C234" s="28"/>
      <c r="D234" s="14"/>
      <c r="E234" s="14" t="str">
        <f t="array" ref="E234">IF($A234="","",IFERROR($D234*IF($D234&gt;=INDEX('Komisyon Tarifesi'!$I$2:$I$1000,MATCH($A234,'Komisyon Tarifesi'!$B$2:$B$1000,0)),INDEX('Komisyon Tarifesi'!$O$2:$O$1000,MATCH($A234,'Komisyon Tarifesi'!$B$2:$B$1000,0)),IF($D234&gt;=INDEX('Komisyon Tarifesi'!$K$2:$K$1000,MATCH($A234,'Komisyon Tarifesi'!$B$2:$B$1000,0)),INDEX('Komisyon Tarifesi'!$P$2:$P$1000,MATCH($A234,'Komisyon Tarifesi'!$B$2:$B$1000,0)),IF($D234&gt;=INDEX('Komisyon Tarifesi'!$M$2:$M$1000,MATCH($A234,'Komisyon Tarifesi'!$B$2:$B$1000,0)),INDEX('Komisyon Tarifesi'!$Q$2:$Q$1000,MATCH($A234,'Komisyon Tarifesi'!$B$2:$B$1000,0)),INDEX('Komisyon Tarifesi'!$R$2:$R$1000,MATCH($A234,'Komisyon Tarifesi'!$B$2:$B$1000,0)))))/100,IFERROR(IF(VLOOKUP($A234,Products!$A$2:$W$1000,21,0)&lt;&gt;"",$D234*VLOOKUP($A234,Products!$A$2:$W$1000,21,0)/100,""),"")))</f>
        <v/>
      </c>
      <c r="F234" s="14" t="str">
        <f t="array" ref="F234">IF($A234="","",IFERROR(IF(INDEX('Maliyet Giris'!$G$2:$G$550,MATCH($A234,'Maliyet Giris'!$A$2:$A$550,0))="","",IF(INDEX('Maliyet Giris'!$G$2:$G$550,MATCH($A234,'Maliyet Giris'!$A$2:$A$550,0))&lt;=2,86.4,IF(INDEX('Maliyet Giris'!$G$2:$G$550,MATCH($A234,'Maliyet Giris'!$A$2:$A$550,0))&lt;=3,90,IF(INDEX('Maliyet Giris'!$G$2:$G$550,MATCH($A234,'Maliyet Giris'!$A$2:$A$550,0))&lt;=5,102,IF(INDEX('Maliyet Giris'!$G$2:$G$550,MATCH($A234,'Maliyet Giris'!$A$2:$A$550,0))&lt;=10,159.74,IF(INDEX('Maliyet Giris'!$G$2:$G$550,MATCH($A234,'Maliyet Giris'!$A$2:$A$550,0))&lt;=15,187.5,IF(INDEX('Maliyet Giris'!$G$2:$G$550,MATCH($A234,'Maliyet Giris'!$A$2:$A$550,0))&lt;=20,225,299))))))),""))</f>
        <v/>
      </c>
      <c r="G234" s="14" t="str">
        <f t="array" ref="G234">IF($A234="","",IFERROR(INDEX('Maliyet Giris'!$F$2:$F$550,MATCH($A234,'Maliyet Giris'!$A$2:$A$550,0)),""))</f>
        <v/>
      </c>
      <c r="H234" s="14" t="str">
        <f t="shared" si="1"/>
        <v/>
      </c>
      <c r="I234" s="14" t="str">
        <f t="shared" si="2"/>
        <v/>
      </c>
      <c r="J234" s="14" t="str">
        <f t="shared" si="3"/>
        <v/>
      </c>
      <c r="K234" s="14" t="str">
        <f t="shared" si="4"/>
        <v/>
      </c>
      <c r="L234" s="15" t="str">
        <f t="shared" si="5"/>
        <v/>
      </c>
      <c r="M234" s="17" t="str">
        <f t="shared" si="6"/>
        <v/>
      </c>
      <c r="N234" s="17" t="str">
        <f t="shared" si="7"/>
        <v/>
      </c>
      <c r="O234" s="17" t="str">
        <f t="array" ref="O234">IF($A234="","",IFERROR(INDEX('Maliyet Giris'!$G$2:$G$550,MATCH($A234,'Maliyet Giris'!$A$2:$A$550,0)),""))</f>
        <v/>
      </c>
      <c r="P234" s="17" t="str">
        <f t="shared" si="8"/>
        <v/>
      </c>
      <c r="Q234" s="17" t="str">
        <f t="shared" si="9"/>
        <v/>
      </c>
      <c r="R234" s="14" t="str">
        <f t="shared" si="10"/>
        <v/>
      </c>
      <c r="S234" s="14" t="str">
        <f t="shared" si="11"/>
        <v/>
      </c>
      <c r="T234" s="17" t="str">
        <f t="shared" si="12"/>
        <v/>
      </c>
      <c r="U234" s="17" t="str">
        <f t="shared" si="13"/>
        <v/>
      </c>
    </row>
    <row r="235">
      <c r="A235" s="2"/>
      <c r="C235" s="28"/>
      <c r="D235" s="14"/>
      <c r="E235" s="14" t="str">
        <f t="array" ref="E235">IF($A235="","",IFERROR($D235*IF($D235&gt;=INDEX('Komisyon Tarifesi'!$I$2:$I$1000,MATCH($A235,'Komisyon Tarifesi'!$B$2:$B$1000,0)),INDEX('Komisyon Tarifesi'!$O$2:$O$1000,MATCH($A235,'Komisyon Tarifesi'!$B$2:$B$1000,0)),IF($D235&gt;=INDEX('Komisyon Tarifesi'!$K$2:$K$1000,MATCH($A235,'Komisyon Tarifesi'!$B$2:$B$1000,0)),INDEX('Komisyon Tarifesi'!$P$2:$P$1000,MATCH($A235,'Komisyon Tarifesi'!$B$2:$B$1000,0)),IF($D235&gt;=INDEX('Komisyon Tarifesi'!$M$2:$M$1000,MATCH($A235,'Komisyon Tarifesi'!$B$2:$B$1000,0)),INDEX('Komisyon Tarifesi'!$Q$2:$Q$1000,MATCH($A235,'Komisyon Tarifesi'!$B$2:$B$1000,0)),INDEX('Komisyon Tarifesi'!$R$2:$R$1000,MATCH($A235,'Komisyon Tarifesi'!$B$2:$B$1000,0)))))/100,IFERROR(IF(VLOOKUP($A235,Products!$A$2:$W$1000,21,0)&lt;&gt;"",$D235*VLOOKUP($A235,Products!$A$2:$W$1000,21,0)/100,""),"")))</f>
        <v/>
      </c>
      <c r="F235" s="14" t="str">
        <f t="array" ref="F235">IF($A235="","",IFERROR(IF(INDEX('Maliyet Giris'!$G$2:$G$550,MATCH($A235,'Maliyet Giris'!$A$2:$A$550,0))="","",IF(INDEX('Maliyet Giris'!$G$2:$G$550,MATCH($A235,'Maliyet Giris'!$A$2:$A$550,0))&lt;=2,86.4,IF(INDEX('Maliyet Giris'!$G$2:$G$550,MATCH($A235,'Maliyet Giris'!$A$2:$A$550,0))&lt;=3,90,IF(INDEX('Maliyet Giris'!$G$2:$G$550,MATCH($A235,'Maliyet Giris'!$A$2:$A$550,0))&lt;=5,102,IF(INDEX('Maliyet Giris'!$G$2:$G$550,MATCH($A235,'Maliyet Giris'!$A$2:$A$550,0))&lt;=10,159.74,IF(INDEX('Maliyet Giris'!$G$2:$G$550,MATCH($A235,'Maliyet Giris'!$A$2:$A$550,0))&lt;=15,187.5,IF(INDEX('Maliyet Giris'!$G$2:$G$550,MATCH($A235,'Maliyet Giris'!$A$2:$A$550,0))&lt;=20,225,299))))))),""))</f>
        <v/>
      </c>
      <c r="G235" s="14" t="str">
        <f t="array" ref="G235">IF($A235="","",IFERROR(INDEX('Maliyet Giris'!$F$2:$F$550,MATCH($A235,'Maliyet Giris'!$A$2:$A$550,0)),""))</f>
        <v/>
      </c>
      <c r="H235" s="14" t="str">
        <f t="shared" si="1"/>
        <v/>
      </c>
      <c r="I235" s="14" t="str">
        <f t="shared" si="2"/>
        <v/>
      </c>
      <c r="J235" s="14" t="str">
        <f t="shared" si="3"/>
        <v/>
      </c>
      <c r="K235" s="14" t="str">
        <f t="shared" si="4"/>
        <v/>
      </c>
      <c r="L235" s="15" t="str">
        <f t="shared" si="5"/>
        <v/>
      </c>
      <c r="M235" s="17" t="str">
        <f t="shared" si="6"/>
        <v/>
      </c>
      <c r="N235" s="17" t="str">
        <f t="shared" si="7"/>
        <v/>
      </c>
      <c r="O235" s="17" t="str">
        <f t="array" ref="O235">IF($A235="","",IFERROR(INDEX('Maliyet Giris'!$G$2:$G$550,MATCH($A235,'Maliyet Giris'!$A$2:$A$550,0)),""))</f>
        <v/>
      </c>
      <c r="P235" s="17" t="str">
        <f t="shared" si="8"/>
        <v/>
      </c>
      <c r="Q235" s="17" t="str">
        <f t="shared" si="9"/>
        <v/>
      </c>
      <c r="R235" s="14" t="str">
        <f t="shared" si="10"/>
        <v/>
      </c>
      <c r="S235" s="14" t="str">
        <f t="shared" si="11"/>
        <v/>
      </c>
      <c r="T235" s="17" t="str">
        <f t="shared" si="12"/>
        <v/>
      </c>
      <c r="U235" s="17" t="str">
        <f t="shared" si="13"/>
        <v/>
      </c>
    </row>
    <row r="236">
      <c r="A236" s="2"/>
      <c r="C236" s="28"/>
      <c r="D236" s="14"/>
      <c r="E236" s="14" t="str">
        <f t="array" ref="E236">IF($A236="","",IFERROR($D236*IF($D236&gt;=INDEX('Komisyon Tarifesi'!$I$2:$I$1000,MATCH($A236,'Komisyon Tarifesi'!$B$2:$B$1000,0)),INDEX('Komisyon Tarifesi'!$O$2:$O$1000,MATCH($A236,'Komisyon Tarifesi'!$B$2:$B$1000,0)),IF($D236&gt;=INDEX('Komisyon Tarifesi'!$K$2:$K$1000,MATCH($A236,'Komisyon Tarifesi'!$B$2:$B$1000,0)),INDEX('Komisyon Tarifesi'!$P$2:$P$1000,MATCH($A236,'Komisyon Tarifesi'!$B$2:$B$1000,0)),IF($D236&gt;=INDEX('Komisyon Tarifesi'!$M$2:$M$1000,MATCH($A236,'Komisyon Tarifesi'!$B$2:$B$1000,0)),INDEX('Komisyon Tarifesi'!$Q$2:$Q$1000,MATCH($A236,'Komisyon Tarifesi'!$B$2:$B$1000,0)),INDEX('Komisyon Tarifesi'!$R$2:$R$1000,MATCH($A236,'Komisyon Tarifesi'!$B$2:$B$1000,0)))))/100,IFERROR(IF(VLOOKUP($A236,Products!$A$2:$W$1000,21,0)&lt;&gt;"",$D236*VLOOKUP($A236,Products!$A$2:$W$1000,21,0)/100,""),"")))</f>
        <v/>
      </c>
      <c r="F236" s="14" t="str">
        <f t="array" ref="F236">IF($A236="","",IFERROR(IF(INDEX('Maliyet Giris'!$G$2:$G$550,MATCH($A236,'Maliyet Giris'!$A$2:$A$550,0))="","",IF(INDEX('Maliyet Giris'!$G$2:$G$550,MATCH($A236,'Maliyet Giris'!$A$2:$A$550,0))&lt;=2,86.4,IF(INDEX('Maliyet Giris'!$G$2:$G$550,MATCH($A236,'Maliyet Giris'!$A$2:$A$550,0))&lt;=3,90,IF(INDEX('Maliyet Giris'!$G$2:$G$550,MATCH($A236,'Maliyet Giris'!$A$2:$A$550,0))&lt;=5,102,IF(INDEX('Maliyet Giris'!$G$2:$G$550,MATCH($A236,'Maliyet Giris'!$A$2:$A$550,0))&lt;=10,159.74,IF(INDEX('Maliyet Giris'!$G$2:$G$550,MATCH($A236,'Maliyet Giris'!$A$2:$A$550,0))&lt;=15,187.5,IF(INDEX('Maliyet Giris'!$G$2:$G$550,MATCH($A236,'Maliyet Giris'!$A$2:$A$550,0))&lt;=20,225,299))))))),""))</f>
        <v/>
      </c>
      <c r="G236" s="14" t="str">
        <f t="array" ref="G236">IF($A236="","",IFERROR(INDEX('Maliyet Giris'!$F$2:$F$550,MATCH($A236,'Maliyet Giris'!$A$2:$A$550,0)),""))</f>
        <v/>
      </c>
      <c r="H236" s="14" t="str">
        <f t="shared" si="1"/>
        <v/>
      </c>
      <c r="I236" s="14" t="str">
        <f t="shared" si="2"/>
        <v/>
      </c>
      <c r="J236" s="14" t="str">
        <f t="shared" si="3"/>
        <v/>
      </c>
      <c r="K236" s="14" t="str">
        <f t="shared" si="4"/>
        <v/>
      </c>
      <c r="L236" s="15" t="str">
        <f t="shared" si="5"/>
        <v/>
      </c>
      <c r="M236" s="17" t="str">
        <f t="shared" si="6"/>
        <v/>
      </c>
      <c r="N236" s="17" t="str">
        <f t="shared" si="7"/>
        <v/>
      </c>
      <c r="O236" s="17" t="str">
        <f t="array" ref="O236">IF($A236="","",IFERROR(INDEX('Maliyet Giris'!$G$2:$G$550,MATCH($A236,'Maliyet Giris'!$A$2:$A$550,0)),""))</f>
        <v/>
      </c>
      <c r="P236" s="17" t="str">
        <f t="shared" si="8"/>
        <v/>
      </c>
      <c r="Q236" s="17" t="str">
        <f t="shared" si="9"/>
        <v/>
      </c>
      <c r="R236" s="14" t="str">
        <f t="shared" si="10"/>
        <v/>
      </c>
      <c r="S236" s="14" t="str">
        <f t="shared" si="11"/>
        <v/>
      </c>
      <c r="T236" s="17" t="str">
        <f t="shared" si="12"/>
        <v/>
      </c>
      <c r="U236" s="17" t="str">
        <f t="shared" si="13"/>
        <v/>
      </c>
    </row>
    <row r="237">
      <c r="A237" s="2"/>
      <c r="C237" s="28"/>
      <c r="D237" s="14"/>
      <c r="E237" s="14" t="str">
        <f t="array" ref="E237">IF($A237="","",IFERROR($D237*IF($D237&gt;=INDEX('Komisyon Tarifesi'!$I$2:$I$1000,MATCH($A237,'Komisyon Tarifesi'!$B$2:$B$1000,0)),INDEX('Komisyon Tarifesi'!$O$2:$O$1000,MATCH($A237,'Komisyon Tarifesi'!$B$2:$B$1000,0)),IF($D237&gt;=INDEX('Komisyon Tarifesi'!$K$2:$K$1000,MATCH($A237,'Komisyon Tarifesi'!$B$2:$B$1000,0)),INDEX('Komisyon Tarifesi'!$P$2:$P$1000,MATCH($A237,'Komisyon Tarifesi'!$B$2:$B$1000,0)),IF($D237&gt;=INDEX('Komisyon Tarifesi'!$M$2:$M$1000,MATCH($A237,'Komisyon Tarifesi'!$B$2:$B$1000,0)),INDEX('Komisyon Tarifesi'!$Q$2:$Q$1000,MATCH($A237,'Komisyon Tarifesi'!$B$2:$B$1000,0)),INDEX('Komisyon Tarifesi'!$R$2:$R$1000,MATCH($A237,'Komisyon Tarifesi'!$B$2:$B$1000,0)))))/100,IFERROR(IF(VLOOKUP($A237,Products!$A$2:$W$1000,21,0)&lt;&gt;"",$D237*VLOOKUP($A237,Products!$A$2:$W$1000,21,0)/100,""),"")))</f>
        <v/>
      </c>
      <c r="F237" s="14" t="str">
        <f t="array" ref="F237">IF($A237="","",IFERROR(IF(INDEX('Maliyet Giris'!$G$2:$G$550,MATCH($A237,'Maliyet Giris'!$A$2:$A$550,0))="","",IF(INDEX('Maliyet Giris'!$G$2:$G$550,MATCH($A237,'Maliyet Giris'!$A$2:$A$550,0))&lt;=2,86.4,IF(INDEX('Maliyet Giris'!$G$2:$G$550,MATCH($A237,'Maliyet Giris'!$A$2:$A$550,0))&lt;=3,90,IF(INDEX('Maliyet Giris'!$G$2:$G$550,MATCH($A237,'Maliyet Giris'!$A$2:$A$550,0))&lt;=5,102,IF(INDEX('Maliyet Giris'!$G$2:$G$550,MATCH($A237,'Maliyet Giris'!$A$2:$A$550,0))&lt;=10,159.74,IF(INDEX('Maliyet Giris'!$G$2:$G$550,MATCH($A237,'Maliyet Giris'!$A$2:$A$550,0))&lt;=15,187.5,IF(INDEX('Maliyet Giris'!$G$2:$G$550,MATCH($A237,'Maliyet Giris'!$A$2:$A$550,0))&lt;=20,225,299))))))),""))</f>
        <v/>
      </c>
      <c r="G237" s="14" t="str">
        <f t="array" ref="G237">IF($A237="","",IFERROR(INDEX('Maliyet Giris'!$F$2:$F$550,MATCH($A237,'Maliyet Giris'!$A$2:$A$550,0)),""))</f>
        <v/>
      </c>
      <c r="H237" s="14" t="str">
        <f t="shared" si="1"/>
        <v/>
      </c>
      <c r="I237" s="14" t="str">
        <f t="shared" si="2"/>
        <v/>
      </c>
      <c r="J237" s="14" t="str">
        <f t="shared" si="3"/>
        <v/>
      </c>
      <c r="K237" s="14" t="str">
        <f t="shared" si="4"/>
        <v/>
      </c>
      <c r="L237" s="15" t="str">
        <f t="shared" si="5"/>
        <v/>
      </c>
      <c r="M237" s="17" t="str">
        <f t="shared" si="6"/>
        <v/>
      </c>
      <c r="N237" s="17" t="str">
        <f t="shared" si="7"/>
        <v/>
      </c>
      <c r="O237" s="17" t="str">
        <f t="array" ref="O237">IF($A237="","",IFERROR(INDEX('Maliyet Giris'!$G$2:$G$550,MATCH($A237,'Maliyet Giris'!$A$2:$A$550,0)),""))</f>
        <v/>
      </c>
      <c r="P237" s="17" t="str">
        <f t="shared" si="8"/>
        <v/>
      </c>
      <c r="Q237" s="17" t="str">
        <f t="shared" si="9"/>
        <v/>
      </c>
      <c r="R237" s="14" t="str">
        <f t="shared" si="10"/>
        <v/>
      </c>
      <c r="S237" s="14" t="str">
        <f t="shared" si="11"/>
        <v/>
      </c>
      <c r="T237" s="17" t="str">
        <f t="shared" si="12"/>
        <v/>
      </c>
      <c r="U237" s="17" t="str">
        <f t="shared" si="13"/>
        <v/>
      </c>
    </row>
    <row r="238">
      <c r="A238" s="2"/>
      <c r="C238" s="28"/>
      <c r="D238" s="14"/>
      <c r="E238" s="14" t="str">
        <f t="array" ref="E238">IF($A238="","",IFERROR($D238*IF($D238&gt;=INDEX('Komisyon Tarifesi'!$I$2:$I$1000,MATCH($A238,'Komisyon Tarifesi'!$B$2:$B$1000,0)),INDEX('Komisyon Tarifesi'!$O$2:$O$1000,MATCH($A238,'Komisyon Tarifesi'!$B$2:$B$1000,0)),IF($D238&gt;=INDEX('Komisyon Tarifesi'!$K$2:$K$1000,MATCH($A238,'Komisyon Tarifesi'!$B$2:$B$1000,0)),INDEX('Komisyon Tarifesi'!$P$2:$P$1000,MATCH($A238,'Komisyon Tarifesi'!$B$2:$B$1000,0)),IF($D238&gt;=INDEX('Komisyon Tarifesi'!$M$2:$M$1000,MATCH($A238,'Komisyon Tarifesi'!$B$2:$B$1000,0)),INDEX('Komisyon Tarifesi'!$Q$2:$Q$1000,MATCH($A238,'Komisyon Tarifesi'!$B$2:$B$1000,0)),INDEX('Komisyon Tarifesi'!$R$2:$R$1000,MATCH($A238,'Komisyon Tarifesi'!$B$2:$B$1000,0)))))/100,IFERROR(IF(VLOOKUP($A238,Products!$A$2:$W$1000,21,0)&lt;&gt;"",$D238*VLOOKUP($A238,Products!$A$2:$W$1000,21,0)/100,""),"")))</f>
        <v/>
      </c>
      <c r="F238" s="14" t="str">
        <f t="array" ref="F238">IF($A238="","",IFERROR(IF(INDEX('Maliyet Giris'!$G$2:$G$550,MATCH($A238,'Maliyet Giris'!$A$2:$A$550,0))="","",IF(INDEX('Maliyet Giris'!$G$2:$G$550,MATCH($A238,'Maliyet Giris'!$A$2:$A$550,0))&lt;=2,86.4,IF(INDEX('Maliyet Giris'!$G$2:$G$550,MATCH($A238,'Maliyet Giris'!$A$2:$A$550,0))&lt;=3,90,IF(INDEX('Maliyet Giris'!$G$2:$G$550,MATCH($A238,'Maliyet Giris'!$A$2:$A$550,0))&lt;=5,102,IF(INDEX('Maliyet Giris'!$G$2:$G$550,MATCH($A238,'Maliyet Giris'!$A$2:$A$550,0))&lt;=10,159.74,IF(INDEX('Maliyet Giris'!$G$2:$G$550,MATCH($A238,'Maliyet Giris'!$A$2:$A$550,0))&lt;=15,187.5,IF(INDEX('Maliyet Giris'!$G$2:$G$550,MATCH($A238,'Maliyet Giris'!$A$2:$A$550,0))&lt;=20,225,299))))))),""))</f>
        <v/>
      </c>
      <c r="G238" s="14" t="str">
        <f t="array" ref="G238">IF($A238="","",IFERROR(INDEX('Maliyet Giris'!$F$2:$F$550,MATCH($A238,'Maliyet Giris'!$A$2:$A$550,0)),""))</f>
        <v/>
      </c>
      <c r="H238" s="14" t="str">
        <f t="shared" si="1"/>
        <v/>
      </c>
      <c r="I238" s="14" t="str">
        <f t="shared" si="2"/>
        <v/>
      </c>
      <c r="J238" s="14" t="str">
        <f t="shared" si="3"/>
        <v/>
      </c>
      <c r="K238" s="14" t="str">
        <f t="shared" si="4"/>
        <v/>
      </c>
      <c r="L238" s="15" t="str">
        <f t="shared" si="5"/>
        <v/>
      </c>
      <c r="M238" s="17" t="str">
        <f t="shared" si="6"/>
        <v/>
      </c>
      <c r="N238" s="17" t="str">
        <f t="shared" si="7"/>
        <v/>
      </c>
      <c r="O238" s="17" t="str">
        <f t="array" ref="O238">IF($A238="","",IFERROR(INDEX('Maliyet Giris'!$G$2:$G$550,MATCH($A238,'Maliyet Giris'!$A$2:$A$550,0)),""))</f>
        <v/>
      </c>
      <c r="P238" s="17" t="str">
        <f t="shared" si="8"/>
        <v/>
      </c>
      <c r="Q238" s="17" t="str">
        <f t="shared" si="9"/>
        <v/>
      </c>
      <c r="R238" s="14" t="str">
        <f t="shared" si="10"/>
        <v/>
      </c>
      <c r="S238" s="14" t="str">
        <f t="shared" si="11"/>
        <v/>
      </c>
      <c r="T238" s="17" t="str">
        <f t="shared" si="12"/>
        <v/>
      </c>
      <c r="U238" s="17" t="str">
        <f t="shared" si="13"/>
        <v/>
      </c>
    </row>
    <row r="239">
      <c r="A239" s="2"/>
      <c r="C239" s="28"/>
      <c r="D239" s="14"/>
      <c r="E239" s="14" t="str">
        <f t="array" ref="E239">IF($A239="","",IFERROR($D239*IF($D239&gt;=INDEX('Komisyon Tarifesi'!$I$2:$I$1000,MATCH($A239,'Komisyon Tarifesi'!$B$2:$B$1000,0)),INDEX('Komisyon Tarifesi'!$O$2:$O$1000,MATCH($A239,'Komisyon Tarifesi'!$B$2:$B$1000,0)),IF($D239&gt;=INDEX('Komisyon Tarifesi'!$K$2:$K$1000,MATCH($A239,'Komisyon Tarifesi'!$B$2:$B$1000,0)),INDEX('Komisyon Tarifesi'!$P$2:$P$1000,MATCH($A239,'Komisyon Tarifesi'!$B$2:$B$1000,0)),IF($D239&gt;=INDEX('Komisyon Tarifesi'!$M$2:$M$1000,MATCH($A239,'Komisyon Tarifesi'!$B$2:$B$1000,0)),INDEX('Komisyon Tarifesi'!$Q$2:$Q$1000,MATCH($A239,'Komisyon Tarifesi'!$B$2:$B$1000,0)),INDEX('Komisyon Tarifesi'!$R$2:$R$1000,MATCH($A239,'Komisyon Tarifesi'!$B$2:$B$1000,0)))))/100,IFERROR(IF(VLOOKUP($A239,Products!$A$2:$W$1000,21,0)&lt;&gt;"",$D239*VLOOKUP($A239,Products!$A$2:$W$1000,21,0)/100,""),"")))</f>
        <v/>
      </c>
      <c r="F239" s="14" t="str">
        <f t="array" ref="F239">IF($A239="","",IFERROR(IF(INDEX('Maliyet Giris'!$G$2:$G$550,MATCH($A239,'Maliyet Giris'!$A$2:$A$550,0))="","",IF(INDEX('Maliyet Giris'!$G$2:$G$550,MATCH($A239,'Maliyet Giris'!$A$2:$A$550,0))&lt;=2,86.4,IF(INDEX('Maliyet Giris'!$G$2:$G$550,MATCH($A239,'Maliyet Giris'!$A$2:$A$550,0))&lt;=3,90,IF(INDEX('Maliyet Giris'!$G$2:$G$550,MATCH($A239,'Maliyet Giris'!$A$2:$A$550,0))&lt;=5,102,IF(INDEX('Maliyet Giris'!$G$2:$G$550,MATCH($A239,'Maliyet Giris'!$A$2:$A$550,0))&lt;=10,159.74,IF(INDEX('Maliyet Giris'!$G$2:$G$550,MATCH($A239,'Maliyet Giris'!$A$2:$A$550,0))&lt;=15,187.5,IF(INDEX('Maliyet Giris'!$G$2:$G$550,MATCH($A239,'Maliyet Giris'!$A$2:$A$550,0))&lt;=20,225,299))))))),""))</f>
        <v/>
      </c>
      <c r="G239" s="14" t="str">
        <f t="array" ref="G239">IF($A239="","",IFERROR(INDEX('Maliyet Giris'!$F$2:$F$550,MATCH($A239,'Maliyet Giris'!$A$2:$A$550,0)),""))</f>
        <v/>
      </c>
      <c r="H239" s="14" t="str">
        <f t="shared" si="1"/>
        <v/>
      </c>
      <c r="I239" s="14" t="str">
        <f t="shared" si="2"/>
        <v/>
      </c>
      <c r="J239" s="14" t="str">
        <f t="shared" si="3"/>
        <v/>
      </c>
      <c r="K239" s="14" t="str">
        <f t="shared" si="4"/>
        <v/>
      </c>
      <c r="L239" s="15" t="str">
        <f t="shared" si="5"/>
        <v/>
      </c>
      <c r="M239" s="17" t="str">
        <f t="shared" si="6"/>
        <v/>
      </c>
      <c r="N239" s="17" t="str">
        <f t="shared" si="7"/>
        <v/>
      </c>
      <c r="O239" s="17" t="str">
        <f t="array" ref="O239">IF($A239="","",IFERROR(INDEX('Maliyet Giris'!$G$2:$G$550,MATCH($A239,'Maliyet Giris'!$A$2:$A$550,0)),""))</f>
        <v/>
      </c>
      <c r="P239" s="17" t="str">
        <f t="shared" si="8"/>
        <v/>
      </c>
      <c r="Q239" s="17" t="str">
        <f t="shared" si="9"/>
        <v/>
      </c>
      <c r="R239" s="14" t="str">
        <f t="shared" si="10"/>
        <v/>
      </c>
      <c r="S239" s="14" t="str">
        <f t="shared" si="11"/>
        <v/>
      </c>
      <c r="T239" s="17" t="str">
        <f t="shared" si="12"/>
        <v/>
      </c>
      <c r="U239" s="17" t="str">
        <f t="shared" si="13"/>
        <v/>
      </c>
    </row>
    <row r="240">
      <c r="A240" s="2"/>
      <c r="C240" s="28"/>
      <c r="D240" s="14"/>
      <c r="E240" s="14" t="str">
        <f t="array" ref="E240">IF($A240="","",IFERROR($D240*IF($D240&gt;=INDEX('Komisyon Tarifesi'!$I$2:$I$1000,MATCH($A240,'Komisyon Tarifesi'!$B$2:$B$1000,0)),INDEX('Komisyon Tarifesi'!$O$2:$O$1000,MATCH($A240,'Komisyon Tarifesi'!$B$2:$B$1000,0)),IF($D240&gt;=INDEX('Komisyon Tarifesi'!$K$2:$K$1000,MATCH($A240,'Komisyon Tarifesi'!$B$2:$B$1000,0)),INDEX('Komisyon Tarifesi'!$P$2:$P$1000,MATCH($A240,'Komisyon Tarifesi'!$B$2:$B$1000,0)),IF($D240&gt;=INDEX('Komisyon Tarifesi'!$M$2:$M$1000,MATCH($A240,'Komisyon Tarifesi'!$B$2:$B$1000,0)),INDEX('Komisyon Tarifesi'!$Q$2:$Q$1000,MATCH($A240,'Komisyon Tarifesi'!$B$2:$B$1000,0)),INDEX('Komisyon Tarifesi'!$R$2:$R$1000,MATCH($A240,'Komisyon Tarifesi'!$B$2:$B$1000,0)))))/100,IFERROR(IF(VLOOKUP($A240,Products!$A$2:$W$1000,21,0)&lt;&gt;"",$D240*VLOOKUP($A240,Products!$A$2:$W$1000,21,0)/100,""),"")))</f>
        <v/>
      </c>
      <c r="F240" s="14" t="str">
        <f t="array" ref="F240">IF($A240="","",IFERROR(IF(INDEX('Maliyet Giris'!$G$2:$G$550,MATCH($A240,'Maliyet Giris'!$A$2:$A$550,0))="","",IF(INDEX('Maliyet Giris'!$G$2:$G$550,MATCH($A240,'Maliyet Giris'!$A$2:$A$550,0))&lt;=2,86.4,IF(INDEX('Maliyet Giris'!$G$2:$G$550,MATCH($A240,'Maliyet Giris'!$A$2:$A$550,0))&lt;=3,90,IF(INDEX('Maliyet Giris'!$G$2:$G$550,MATCH($A240,'Maliyet Giris'!$A$2:$A$550,0))&lt;=5,102,IF(INDEX('Maliyet Giris'!$G$2:$G$550,MATCH($A240,'Maliyet Giris'!$A$2:$A$550,0))&lt;=10,159.74,IF(INDEX('Maliyet Giris'!$G$2:$G$550,MATCH($A240,'Maliyet Giris'!$A$2:$A$550,0))&lt;=15,187.5,IF(INDEX('Maliyet Giris'!$G$2:$G$550,MATCH($A240,'Maliyet Giris'!$A$2:$A$550,0))&lt;=20,225,299))))))),""))</f>
        <v/>
      </c>
      <c r="G240" s="14" t="str">
        <f t="array" ref="G240">IF($A240="","",IFERROR(INDEX('Maliyet Giris'!$F$2:$F$550,MATCH($A240,'Maliyet Giris'!$A$2:$A$550,0)),""))</f>
        <v/>
      </c>
      <c r="H240" s="14" t="str">
        <f t="shared" si="1"/>
        <v/>
      </c>
      <c r="I240" s="14" t="str">
        <f t="shared" si="2"/>
        <v/>
      </c>
      <c r="J240" s="14" t="str">
        <f t="shared" si="3"/>
        <v/>
      </c>
      <c r="K240" s="14" t="str">
        <f t="shared" si="4"/>
        <v/>
      </c>
      <c r="L240" s="15" t="str">
        <f t="shared" si="5"/>
        <v/>
      </c>
      <c r="M240" s="17" t="str">
        <f t="shared" si="6"/>
        <v/>
      </c>
      <c r="N240" s="17" t="str">
        <f t="shared" si="7"/>
        <v/>
      </c>
      <c r="O240" s="17" t="str">
        <f t="array" ref="O240">IF($A240="","",IFERROR(INDEX('Maliyet Giris'!$G$2:$G$550,MATCH($A240,'Maliyet Giris'!$A$2:$A$550,0)),""))</f>
        <v/>
      </c>
      <c r="P240" s="17" t="str">
        <f t="shared" si="8"/>
        <v/>
      </c>
      <c r="Q240" s="17" t="str">
        <f t="shared" si="9"/>
        <v/>
      </c>
      <c r="R240" s="14" t="str">
        <f t="shared" si="10"/>
        <v/>
      </c>
      <c r="S240" s="14" t="str">
        <f t="shared" si="11"/>
        <v/>
      </c>
      <c r="T240" s="17" t="str">
        <f t="shared" si="12"/>
        <v/>
      </c>
      <c r="U240" s="17" t="str">
        <f t="shared" si="13"/>
        <v/>
      </c>
    </row>
    <row r="241">
      <c r="A241" s="2"/>
      <c r="C241" s="28"/>
      <c r="D241" s="14"/>
      <c r="E241" s="14" t="str">
        <f t="array" ref="E241">IF($A241="","",IFERROR($D241*IF($D241&gt;=INDEX('Komisyon Tarifesi'!$I$2:$I$1000,MATCH($A241,'Komisyon Tarifesi'!$B$2:$B$1000,0)),INDEX('Komisyon Tarifesi'!$O$2:$O$1000,MATCH($A241,'Komisyon Tarifesi'!$B$2:$B$1000,0)),IF($D241&gt;=INDEX('Komisyon Tarifesi'!$K$2:$K$1000,MATCH($A241,'Komisyon Tarifesi'!$B$2:$B$1000,0)),INDEX('Komisyon Tarifesi'!$P$2:$P$1000,MATCH($A241,'Komisyon Tarifesi'!$B$2:$B$1000,0)),IF($D241&gt;=INDEX('Komisyon Tarifesi'!$M$2:$M$1000,MATCH($A241,'Komisyon Tarifesi'!$B$2:$B$1000,0)),INDEX('Komisyon Tarifesi'!$Q$2:$Q$1000,MATCH($A241,'Komisyon Tarifesi'!$B$2:$B$1000,0)),INDEX('Komisyon Tarifesi'!$R$2:$R$1000,MATCH($A241,'Komisyon Tarifesi'!$B$2:$B$1000,0)))))/100,IFERROR(IF(VLOOKUP($A241,Products!$A$2:$W$1000,21,0)&lt;&gt;"",$D241*VLOOKUP($A241,Products!$A$2:$W$1000,21,0)/100,""),"")))</f>
        <v/>
      </c>
      <c r="F241" s="14" t="str">
        <f t="array" ref="F241">IF($A241="","",IFERROR(IF(INDEX('Maliyet Giris'!$G$2:$G$550,MATCH($A241,'Maliyet Giris'!$A$2:$A$550,0))="","",IF(INDEX('Maliyet Giris'!$G$2:$G$550,MATCH($A241,'Maliyet Giris'!$A$2:$A$550,0))&lt;=2,86.4,IF(INDEX('Maliyet Giris'!$G$2:$G$550,MATCH($A241,'Maliyet Giris'!$A$2:$A$550,0))&lt;=3,90,IF(INDEX('Maliyet Giris'!$G$2:$G$550,MATCH($A241,'Maliyet Giris'!$A$2:$A$550,0))&lt;=5,102,IF(INDEX('Maliyet Giris'!$G$2:$G$550,MATCH($A241,'Maliyet Giris'!$A$2:$A$550,0))&lt;=10,159.74,IF(INDEX('Maliyet Giris'!$G$2:$G$550,MATCH($A241,'Maliyet Giris'!$A$2:$A$550,0))&lt;=15,187.5,IF(INDEX('Maliyet Giris'!$G$2:$G$550,MATCH($A241,'Maliyet Giris'!$A$2:$A$550,0))&lt;=20,225,299))))))),""))</f>
        <v/>
      </c>
      <c r="G241" s="14" t="str">
        <f t="array" ref="G241">IF($A241="","",IFERROR(INDEX('Maliyet Giris'!$F$2:$F$550,MATCH($A241,'Maliyet Giris'!$A$2:$A$550,0)),""))</f>
        <v/>
      </c>
      <c r="H241" s="14" t="str">
        <f t="shared" si="1"/>
        <v/>
      </c>
      <c r="I241" s="14" t="str">
        <f t="shared" si="2"/>
        <v/>
      </c>
      <c r="J241" s="14" t="str">
        <f t="shared" si="3"/>
        <v/>
      </c>
      <c r="K241" s="14" t="str">
        <f t="shared" si="4"/>
        <v/>
      </c>
      <c r="L241" s="15" t="str">
        <f t="shared" si="5"/>
        <v/>
      </c>
      <c r="M241" s="17" t="str">
        <f t="shared" si="6"/>
        <v/>
      </c>
      <c r="N241" s="17" t="str">
        <f t="shared" si="7"/>
        <v/>
      </c>
      <c r="O241" s="17" t="str">
        <f t="array" ref="O241">IF($A241="","",IFERROR(INDEX('Maliyet Giris'!$G$2:$G$550,MATCH($A241,'Maliyet Giris'!$A$2:$A$550,0)),""))</f>
        <v/>
      </c>
      <c r="P241" s="17" t="str">
        <f t="shared" si="8"/>
        <v/>
      </c>
      <c r="Q241" s="17" t="str">
        <f t="shared" si="9"/>
        <v/>
      </c>
      <c r="R241" s="14" t="str">
        <f t="shared" si="10"/>
        <v/>
      </c>
      <c r="S241" s="14" t="str">
        <f t="shared" si="11"/>
        <v/>
      </c>
      <c r="T241" s="17" t="str">
        <f t="shared" si="12"/>
        <v/>
      </c>
      <c r="U241" s="17" t="str">
        <f t="shared" si="13"/>
        <v/>
      </c>
    </row>
    <row r="242">
      <c r="A242" s="2"/>
      <c r="C242" s="28"/>
      <c r="D242" s="14"/>
      <c r="E242" s="14" t="str">
        <f t="array" ref="E242">IF($A242="","",IFERROR($D242*IF($D242&gt;=INDEX('Komisyon Tarifesi'!$I$2:$I$1000,MATCH($A242,'Komisyon Tarifesi'!$B$2:$B$1000,0)),INDEX('Komisyon Tarifesi'!$O$2:$O$1000,MATCH($A242,'Komisyon Tarifesi'!$B$2:$B$1000,0)),IF($D242&gt;=INDEX('Komisyon Tarifesi'!$K$2:$K$1000,MATCH($A242,'Komisyon Tarifesi'!$B$2:$B$1000,0)),INDEX('Komisyon Tarifesi'!$P$2:$P$1000,MATCH($A242,'Komisyon Tarifesi'!$B$2:$B$1000,0)),IF($D242&gt;=INDEX('Komisyon Tarifesi'!$M$2:$M$1000,MATCH($A242,'Komisyon Tarifesi'!$B$2:$B$1000,0)),INDEX('Komisyon Tarifesi'!$Q$2:$Q$1000,MATCH($A242,'Komisyon Tarifesi'!$B$2:$B$1000,0)),INDEX('Komisyon Tarifesi'!$R$2:$R$1000,MATCH($A242,'Komisyon Tarifesi'!$B$2:$B$1000,0)))))/100,IFERROR(IF(VLOOKUP($A242,Products!$A$2:$W$1000,21,0)&lt;&gt;"",$D242*VLOOKUP($A242,Products!$A$2:$W$1000,21,0)/100,""),"")))</f>
        <v/>
      </c>
      <c r="F242" s="14" t="str">
        <f t="array" ref="F242">IF($A242="","",IFERROR(IF(INDEX('Maliyet Giris'!$G$2:$G$550,MATCH($A242,'Maliyet Giris'!$A$2:$A$550,0))="","",IF(INDEX('Maliyet Giris'!$G$2:$G$550,MATCH($A242,'Maliyet Giris'!$A$2:$A$550,0))&lt;=2,86.4,IF(INDEX('Maliyet Giris'!$G$2:$G$550,MATCH($A242,'Maliyet Giris'!$A$2:$A$550,0))&lt;=3,90,IF(INDEX('Maliyet Giris'!$G$2:$G$550,MATCH($A242,'Maliyet Giris'!$A$2:$A$550,0))&lt;=5,102,IF(INDEX('Maliyet Giris'!$G$2:$G$550,MATCH($A242,'Maliyet Giris'!$A$2:$A$550,0))&lt;=10,159.74,IF(INDEX('Maliyet Giris'!$G$2:$G$550,MATCH($A242,'Maliyet Giris'!$A$2:$A$550,0))&lt;=15,187.5,IF(INDEX('Maliyet Giris'!$G$2:$G$550,MATCH($A242,'Maliyet Giris'!$A$2:$A$550,0))&lt;=20,225,299))))))),""))</f>
        <v/>
      </c>
      <c r="G242" s="14" t="str">
        <f t="array" ref="G242">IF($A242="","",IFERROR(INDEX('Maliyet Giris'!$F$2:$F$550,MATCH($A242,'Maliyet Giris'!$A$2:$A$550,0)),""))</f>
        <v/>
      </c>
      <c r="H242" s="14" t="str">
        <f t="shared" si="1"/>
        <v/>
      </c>
      <c r="I242" s="14" t="str">
        <f t="shared" si="2"/>
        <v/>
      </c>
      <c r="J242" s="14" t="str">
        <f t="shared" si="3"/>
        <v/>
      </c>
      <c r="K242" s="14" t="str">
        <f t="shared" si="4"/>
        <v/>
      </c>
      <c r="L242" s="15" t="str">
        <f t="shared" si="5"/>
        <v/>
      </c>
      <c r="M242" s="17" t="str">
        <f t="shared" si="6"/>
        <v/>
      </c>
      <c r="N242" s="17" t="str">
        <f t="shared" si="7"/>
        <v/>
      </c>
      <c r="O242" s="17" t="str">
        <f t="array" ref="O242">IF($A242="","",IFERROR(INDEX('Maliyet Giris'!$G$2:$G$550,MATCH($A242,'Maliyet Giris'!$A$2:$A$550,0)),""))</f>
        <v/>
      </c>
      <c r="P242" s="17" t="str">
        <f t="shared" si="8"/>
        <v/>
      </c>
      <c r="Q242" s="17" t="str">
        <f t="shared" si="9"/>
        <v/>
      </c>
      <c r="R242" s="14" t="str">
        <f t="shared" si="10"/>
        <v/>
      </c>
      <c r="S242" s="14" t="str">
        <f t="shared" si="11"/>
        <v/>
      </c>
      <c r="T242" s="17" t="str">
        <f t="shared" si="12"/>
        <v/>
      </c>
      <c r="U242" s="17" t="str">
        <f t="shared" si="13"/>
        <v/>
      </c>
    </row>
    <row r="243">
      <c r="A243" s="2"/>
      <c r="C243" s="28"/>
      <c r="D243" s="14"/>
      <c r="E243" s="14" t="str">
        <f t="array" ref="E243">IF($A243="","",IFERROR($D243*IF($D243&gt;=INDEX('Komisyon Tarifesi'!$I$2:$I$1000,MATCH($A243,'Komisyon Tarifesi'!$B$2:$B$1000,0)),INDEX('Komisyon Tarifesi'!$O$2:$O$1000,MATCH($A243,'Komisyon Tarifesi'!$B$2:$B$1000,0)),IF($D243&gt;=INDEX('Komisyon Tarifesi'!$K$2:$K$1000,MATCH($A243,'Komisyon Tarifesi'!$B$2:$B$1000,0)),INDEX('Komisyon Tarifesi'!$P$2:$P$1000,MATCH($A243,'Komisyon Tarifesi'!$B$2:$B$1000,0)),IF($D243&gt;=INDEX('Komisyon Tarifesi'!$M$2:$M$1000,MATCH($A243,'Komisyon Tarifesi'!$B$2:$B$1000,0)),INDEX('Komisyon Tarifesi'!$Q$2:$Q$1000,MATCH($A243,'Komisyon Tarifesi'!$B$2:$B$1000,0)),INDEX('Komisyon Tarifesi'!$R$2:$R$1000,MATCH($A243,'Komisyon Tarifesi'!$B$2:$B$1000,0)))))/100,IFERROR(IF(VLOOKUP($A243,Products!$A$2:$W$1000,21,0)&lt;&gt;"",$D243*VLOOKUP($A243,Products!$A$2:$W$1000,21,0)/100,""),"")))</f>
        <v/>
      </c>
      <c r="F243" s="14" t="str">
        <f t="array" ref="F243">IF($A243="","",IFERROR(IF(INDEX('Maliyet Giris'!$G$2:$G$550,MATCH($A243,'Maliyet Giris'!$A$2:$A$550,0))="","",IF(INDEX('Maliyet Giris'!$G$2:$G$550,MATCH($A243,'Maliyet Giris'!$A$2:$A$550,0))&lt;=2,86.4,IF(INDEX('Maliyet Giris'!$G$2:$G$550,MATCH($A243,'Maliyet Giris'!$A$2:$A$550,0))&lt;=3,90,IF(INDEX('Maliyet Giris'!$G$2:$G$550,MATCH($A243,'Maliyet Giris'!$A$2:$A$550,0))&lt;=5,102,IF(INDEX('Maliyet Giris'!$G$2:$G$550,MATCH($A243,'Maliyet Giris'!$A$2:$A$550,0))&lt;=10,159.74,IF(INDEX('Maliyet Giris'!$G$2:$G$550,MATCH($A243,'Maliyet Giris'!$A$2:$A$550,0))&lt;=15,187.5,IF(INDEX('Maliyet Giris'!$G$2:$G$550,MATCH($A243,'Maliyet Giris'!$A$2:$A$550,0))&lt;=20,225,299))))))),""))</f>
        <v/>
      </c>
      <c r="G243" s="14" t="str">
        <f t="array" ref="G243">IF($A243="","",IFERROR(INDEX('Maliyet Giris'!$F$2:$F$550,MATCH($A243,'Maliyet Giris'!$A$2:$A$550,0)),""))</f>
        <v/>
      </c>
      <c r="H243" s="14" t="str">
        <f t="shared" si="1"/>
        <v/>
      </c>
      <c r="I243" s="14" t="str">
        <f t="shared" si="2"/>
        <v/>
      </c>
      <c r="J243" s="14" t="str">
        <f t="shared" si="3"/>
        <v/>
      </c>
      <c r="K243" s="14" t="str">
        <f t="shared" si="4"/>
        <v/>
      </c>
      <c r="L243" s="15" t="str">
        <f t="shared" si="5"/>
        <v/>
      </c>
      <c r="M243" s="17" t="str">
        <f t="shared" si="6"/>
        <v/>
      </c>
      <c r="N243" s="17" t="str">
        <f t="shared" si="7"/>
        <v/>
      </c>
      <c r="O243" s="17" t="str">
        <f t="array" ref="O243">IF($A243="","",IFERROR(INDEX('Maliyet Giris'!$G$2:$G$550,MATCH($A243,'Maliyet Giris'!$A$2:$A$550,0)),""))</f>
        <v/>
      </c>
      <c r="P243" s="17" t="str">
        <f t="shared" si="8"/>
        <v/>
      </c>
      <c r="Q243" s="17" t="str">
        <f t="shared" si="9"/>
        <v/>
      </c>
      <c r="R243" s="14" t="str">
        <f t="shared" si="10"/>
        <v/>
      </c>
      <c r="S243" s="14" t="str">
        <f t="shared" si="11"/>
        <v/>
      </c>
      <c r="T243" s="17" t="str">
        <f t="shared" si="12"/>
        <v/>
      </c>
      <c r="U243" s="17" t="str">
        <f t="shared" si="13"/>
        <v/>
      </c>
    </row>
    <row r="244">
      <c r="A244" s="2"/>
      <c r="C244" s="28"/>
      <c r="D244" s="14"/>
      <c r="E244" s="14" t="str">
        <f t="array" ref="E244">IF($A244="","",IFERROR($D244*IF($D244&gt;=INDEX('Komisyon Tarifesi'!$I$2:$I$1000,MATCH($A244,'Komisyon Tarifesi'!$B$2:$B$1000,0)),INDEX('Komisyon Tarifesi'!$O$2:$O$1000,MATCH($A244,'Komisyon Tarifesi'!$B$2:$B$1000,0)),IF($D244&gt;=INDEX('Komisyon Tarifesi'!$K$2:$K$1000,MATCH($A244,'Komisyon Tarifesi'!$B$2:$B$1000,0)),INDEX('Komisyon Tarifesi'!$P$2:$P$1000,MATCH($A244,'Komisyon Tarifesi'!$B$2:$B$1000,0)),IF($D244&gt;=INDEX('Komisyon Tarifesi'!$M$2:$M$1000,MATCH($A244,'Komisyon Tarifesi'!$B$2:$B$1000,0)),INDEX('Komisyon Tarifesi'!$Q$2:$Q$1000,MATCH($A244,'Komisyon Tarifesi'!$B$2:$B$1000,0)),INDEX('Komisyon Tarifesi'!$R$2:$R$1000,MATCH($A244,'Komisyon Tarifesi'!$B$2:$B$1000,0)))))/100,IFERROR(IF(VLOOKUP($A244,Products!$A$2:$W$1000,21,0)&lt;&gt;"",$D244*VLOOKUP($A244,Products!$A$2:$W$1000,21,0)/100,""),"")))</f>
        <v/>
      </c>
      <c r="F244" s="14" t="str">
        <f t="array" ref="F244">IF($A244="","",IFERROR(IF(INDEX('Maliyet Giris'!$G$2:$G$550,MATCH($A244,'Maliyet Giris'!$A$2:$A$550,0))="","",IF(INDEX('Maliyet Giris'!$G$2:$G$550,MATCH($A244,'Maliyet Giris'!$A$2:$A$550,0))&lt;=2,86.4,IF(INDEX('Maliyet Giris'!$G$2:$G$550,MATCH($A244,'Maliyet Giris'!$A$2:$A$550,0))&lt;=3,90,IF(INDEX('Maliyet Giris'!$G$2:$G$550,MATCH($A244,'Maliyet Giris'!$A$2:$A$550,0))&lt;=5,102,IF(INDEX('Maliyet Giris'!$G$2:$G$550,MATCH($A244,'Maliyet Giris'!$A$2:$A$550,0))&lt;=10,159.74,IF(INDEX('Maliyet Giris'!$G$2:$G$550,MATCH($A244,'Maliyet Giris'!$A$2:$A$550,0))&lt;=15,187.5,IF(INDEX('Maliyet Giris'!$G$2:$G$550,MATCH($A244,'Maliyet Giris'!$A$2:$A$550,0))&lt;=20,225,299))))))),""))</f>
        <v/>
      </c>
      <c r="G244" s="14" t="str">
        <f t="array" ref="G244">IF($A244="","",IFERROR(INDEX('Maliyet Giris'!$F$2:$F$550,MATCH($A244,'Maliyet Giris'!$A$2:$A$550,0)),""))</f>
        <v/>
      </c>
      <c r="H244" s="14" t="str">
        <f t="shared" si="1"/>
        <v/>
      </c>
      <c r="I244" s="14" t="str">
        <f t="shared" si="2"/>
        <v/>
      </c>
      <c r="J244" s="14" t="str">
        <f t="shared" si="3"/>
        <v/>
      </c>
      <c r="K244" s="14" t="str">
        <f t="shared" si="4"/>
        <v/>
      </c>
      <c r="L244" s="15" t="str">
        <f t="shared" si="5"/>
        <v/>
      </c>
      <c r="M244" s="17" t="str">
        <f t="shared" si="6"/>
        <v/>
      </c>
      <c r="N244" s="17" t="str">
        <f t="shared" si="7"/>
        <v/>
      </c>
      <c r="O244" s="17" t="str">
        <f t="array" ref="O244">IF($A244="","",IFERROR(INDEX('Maliyet Giris'!$G$2:$G$550,MATCH($A244,'Maliyet Giris'!$A$2:$A$550,0)),""))</f>
        <v/>
      </c>
      <c r="P244" s="17" t="str">
        <f t="shared" si="8"/>
        <v/>
      </c>
      <c r="Q244" s="17" t="str">
        <f t="shared" si="9"/>
        <v/>
      </c>
      <c r="R244" s="14" t="str">
        <f t="shared" si="10"/>
        <v/>
      </c>
      <c r="S244" s="14" t="str">
        <f t="shared" si="11"/>
        <v/>
      </c>
      <c r="T244" s="17" t="str">
        <f t="shared" si="12"/>
        <v/>
      </c>
      <c r="U244" s="17" t="str">
        <f t="shared" si="13"/>
        <v/>
      </c>
    </row>
    <row r="245">
      <c r="A245" s="2"/>
      <c r="C245" s="28"/>
      <c r="D245" s="14"/>
      <c r="E245" s="14" t="str">
        <f t="array" ref="E245">IF($A245="","",IFERROR($D245*IF($D245&gt;=INDEX('Komisyon Tarifesi'!$I$2:$I$1000,MATCH($A245,'Komisyon Tarifesi'!$B$2:$B$1000,0)),INDEX('Komisyon Tarifesi'!$O$2:$O$1000,MATCH($A245,'Komisyon Tarifesi'!$B$2:$B$1000,0)),IF($D245&gt;=INDEX('Komisyon Tarifesi'!$K$2:$K$1000,MATCH($A245,'Komisyon Tarifesi'!$B$2:$B$1000,0)),INDEX('Komisyon Tarifesi'!$P$2:$P$1000,MATCH($A245,'Komisyon Tarifesi'!$B$2:$B$1000,0)),IF($D245&gt;=INDEX('Komisyon Tarifesi'!$M$2:$M$1000,MATCH($A245,'Komisyon Tarifesi'!$B$2:$B$1000,0)),INDEX('Komisyon Tarifesi'!$Q$2:$Q$1000,MATCH($A245,'Komisyon Tarifesi'!$B$2:$B$1000,0)),INDEX('Komisyon Tarifesi'!$R$2:$R$1000,MATCH($A245,'Komisyon Tarifesi'!$B$2:$B$1000,0)))))/100,IFERROR(IF(VLOOKUP($A245,Products!$A$2:$W$1000,21,0)&lt;&gt;"",$D245*VLOOKUP($A245,Products!$A$2:$W$1000,21,0)/100,""),"")))</f>
        <v/>
      </c>
      <c r="F245" s="14" t="str">
        <f t="array" ref="F245">IF($A245="","",IFERROR(IF(INDEX('Maliyet Giris'!$G$2:$G$550,MATCH($A245,'Maliyet Giris'!$A$2:$A$550,0))="","",IF(INDEX('Maliyet Giris'!$G$2:$G$550,MATCH($A245,'Maliyet Giris'!$A$2:$A$550,0))&lt;=2,86.4,IF(INDEX('Maliyet Giris'!$G$2:$G$550,MATCH($A245,'Maliyet Giris'!$A$2:$A$550,0))&lt;=3,90,IF(INDEX('Maliyet Giris'!$G$2:$G$550,MATCH($A245,'Maliyet Giris'!$A$2:$A$550,0))&lt;=5,102,IF(INDEX('Maliyet Giris'!$G$2:$G$550,MATCH($A245,'Maliyet Giris'!$A$2:$A$550,0))&lt;=10,159.74,IF(INDEX('Maliyet Giris'!$G$2:$G$550,MATCH($A245,'Maliyet Giris'!$A$2:$A$550,0))&lt;=15,187.5,IF(INDEX('Maliyet Giris'!$G$2:$G$550,MATCH($A245,'Maliyet Giris'!$A$2:$A$550,0))&lt;=20,225,299))))))),""))</f>
        <v/>
      </c>
      <c r="G245" s="14" t="str">
        <f t="array" ref="G245">IF($A245="","",IFERROR(INDEX('Maliyet Giris'!$F$2:$F$550,MATCH($A245,'Maliyet Giris'!$A$2:$A$550,0)),""))</f>
        <v/>
      </c>
      <c r="H245" s="14" t="str">
        <f t="shared" si="1"/>
        <v/>
      </c>
      <c r="I245" s="14" t="str">
        <f t="shared" si="2"/>
        <v/>
      </c>
      <c r="J245" s="14" t="str">
        <f t="shared" si="3"/>
        <v/>
      </c>
      <c r="K245" s="14" t="str">
        <f t="shared" si="4"/>
        <v/>
      </c>
      <c r="L245" s="15" t="str">
        <f t="shared" si="5"/>
        <v/>
      </c>
      <c r="M245" s="17" t="str">
        <f t="shared" si="6"/>
        <v/>
      </c>
      <c r="N245" s="17" t="str">
        <f t="shared" si="7"/>
        <v/>
      </c>
      <c r="O245" s="17" t="str">
        <f t="array" ref="O245">IF($A245="","",IFERROR(INDEX('Maliyet Giris'!$G$2:$G$550,MATCH($A245,'Maliyet Giris'!$A$2:$A$550,0)),""))</f>
        <v/>
      </c>
      <c r="P245" s="17" t="str">
        <f t="shared" si="8"/>
        <v/>
      </c>
      <c r="Q245" s="17" t="str">
        <f t="shared" si="9"/>
        <v/>
      </c>
      <c r="R245" s="14" t="str">
        <f t="shared" si="10"/>
        <v/>
      </c>
      <c r="S245" s="14" t="str">
        <f t="shared" si="11"/>
        <v/>
      </c>
      <c r="T245" s="17" t="str">
        <f t="shared" si="12"/>
        <v/>
      </c>
      <c r="U245" s="17" t="str">
        <f t="shared" si="13"/>
        <v/>
      </c>
    </row>
    <row r="246">
      <c r="A246" s="2"/>
      <c r="C246" s="28"/>
      <c r="D246" s="14"/>
      <c r="E246" s="14" t="str">
        <f t="array" ref="E246">IF($A246="","",IFERROR($D246*IF($D246&gt;=INDEX('Komisyon Tarifesi'!$I$2:$I$1000,MATCH($A246,'Komisyon Tarifesi'!$B$2:$B$1000,0)),INDEX('Komisyon Tarifesi'!$O$2:$O$1000,MATCH($A246,'Komisyon Tarifesi'!$B$2:$B$1000,0)),IF($D246&gt;=INDEX('Komisyon Tarifesi'!$K$2:$K$1000,MATCH($A246,'Komisyon Tarifesi'!$B$2:$B$1000,0)),INDEX('Komisyon Tarifesi'!$P$2:$P$1000,MATCH($A246,'Komisyon Tarifesi'!$B$2:$B$1000,0)),IF($D246&gt;=INDEX('Komisyon Tarifesi'!$M$2:$M$1000,MATCH($A246,'Komisyon Tarifesi'!$B$2:$B$1000,0)),INDEX('Komisyon Tarifesi'!$Q$2:$Q$1000,MATCH($A246,'Komisyon Tarifesi'!$B$2:$B$1000,0)),INDEX('Komisyon Tarifesi'!$R$2:$R$1000,MATCH($A246,'Komisyon Tarifesi'!$B$2:$B$1000,0)))))/100,IFERROR(IF(VLOOKUP($A246,Products!$A$2:$W$1000,21,0)&lt;&gt;"",$D246*VLOOKUP($A246,Products!$A$2:$W$1000,21,0)/100,""),"")))</f>
        <v/>
      </c>
      <c r="F246" s="14" t="str">
        <f t="array" ref="F246">IF($A246="","",IFERROR(IF(INDEX('Maliyet Giris'!$G$2:$G$550,MATCH($A246,'Maliyet Giris'!$A$2:$A$550,0))="","",IF(INDEX('Maliyet Giris'!$G$2:$G$550,MATCH($A246,'Maliyet Giris'!$A$2:$A$550,0))&lt;=2,86.4,IF(INDEX('Maliyet Giris'!$G$2:$G$550,MATCH($A246,'Maliyet Giris'!$A$2:$A$550,0))&lt;=3,90,IF(INDEX('Maliyet Giris'!$G$2:$G$550,MATCH($A246,'Maliyet Giris'!$A$2:$A$550,0))&lt;=5,102,IF(INDEX('Maliyet Giris'!$G$2:$G$550,MATCH($A246,'Maliyet Giris'!$A$2:$A$550,0))&lt;=10,159.74,IF(INDEX('Maliyet Giris'!$G$2:$G$550,MATCH($A246,'Maliyet Giris'!$A$2:$A$550,0))&lt;=15,187.5,IF(INDEX('Maliyet Giris'!$G$2:$G$550,MATCH($A246,'Maliyet Giris'!$A$2:$A$550,0))&lt;=20,225,299))))))),""))</f>
        <v/>
      </c>
      <c r="G246" s="14" t="str">
        <f t="array" ref="G246">IF($A246="","",IFERROR(INDEX('Maliyet Giris'!$F$2:$F$550,MATCH($A246,'Maliyet Giris'!$A$2:$A$550,0)),""))</f>
        <v/>
      </c>
      <c r="H246" s="14" t="str">
        <f t="shared" si="1"/>
        <v/>
      </c>
      <c r="I246" s="14" t="str">
        <f t="shared" si="2"/>
        <v/>
      </c>
      <c r="J246" s="14" t="str">
        <f t="shared" si="3"/>
        <v/>
      </c>
      <c r="K246" s="14" t="str">
        <f t="shared" si="4"/>
        <v/>
      </c>
      <c r="L246" s="15" t="str">
        <f t="shared" si="5"/>
        <v/>
      </c>
      <c r="M246" s="17" t="str">
        <f t="shared" si="6"/>
        <v/>
      </c>
      <c r="N246" s="17" t="str">
        <f t="shared" si="7"/>
        <v/>
      </c>
      <c r="O246" s="17" t="str">
        <f t="array" ref="O246">IF($A246="","",IFERROR(INDEX('Maliyet Giris'!$G$2:$G$550,MATCH($A246,'Maliyet Giris'!$A$2:$A$550,0)),""))</f>
        <v/>
      </c>
      <c r="P246" s="17" t="str">
        <f t="shared" si="8"/>
        <v/>
      </c>
      <c r="Q246" s="17" t="str">
        <f t="shared" si="9"/>
        <v/>
      </c>
      <c r="R246" s="14" t="str">
        <f t="shared" si="10"/>
        <v/>
      </c>
      <c r="S246" s="14" t="str">
        <f t="shared" si="11"/>
        <v/>
      </c>
      <c r="T246" s="17" t="str">
        <f t="shared" si="12"/>
        <v/>
      </c>
      <c r="U246" s="17" t="str">
        <f t="shared" si="13"/>
        <v/>
      </c>
    </row>
    <row r="247">
      <c r="A247" s="2"/>
      <c r="C247" s="28"/>
      <c r="D247" s="14"/>
      <c r="E247" s="14" t="str">
        <f t="array" ref="E247">IF($A247="","",IFERROR($D247*IF($D247&gt;=INDEX('Komisyon Tarifesi'!$I$2:$I$1000,MATCH($A247,'Komisyon Tarifesi'!$B$2:$B$1000,0)),INDEX('Komisyon Tarifesi'!$O$2:$O$1000,MATCH($A247,'Komisyon Tarifesi'!$B$2:$B$1000,0)),IF($D247&gt;=INDEX('Komisyon Tarifesi'!$K$2:$K$1000,MATCH($A247,'Komisyon Tarifesi'!$B$2:$B$1000,0)),INDEX('Komisyon Tarifesi'!$P$2:$P$1000,MATCH($A247,'Komisyon Tarifesi'!$B$2:$B$1000,0)),IF($D247&gt;=INDEX('Komisyon Tarifesi'!$M$2:$M$1000,MATCH($A247,'Komisyon Tarifesi'!$B$2:$B$1000,0)),INDEX('Komisyon Tarifesi'!$Q$2:$Q$1000,MATCH($A247,'Komisyon Tarifesi'!$B$2:$B$1000,0)),INDEX('Komisyon Tarifesi'!$R$2:$R$1000,MATCH($A247,'Komisyon Tarifesi'!$B$2:$B$1000,0)))))/100,IFERROR(IF(VLOOKUP($A247,Products!$A$2:$W$1000,21,0)&lt;&gt;"",$D247*VLOOKUP($A247,Products!$A$2:$W$1000,21,0)/100,""),"")))</f>
        <v/>
      </c>
      <c r="F247" s="14" t="str">
        <f t="array" ref="F247">IF($A247="","",IFERROR(IF(INDEX('Maliyet Giris'!$G$2:$G$550,MATCH($A247,'Maliyet Giris'!$A$2:$A$550,0))="","",IF(INDEX('Maliyet Giris'!$G$2:$G$550,MATCH($A247,'Maliyet Giris'!$A$2:$A$550,0))&lt;=2,86.4,IF(INDEX('Maliyet Giris'!$G$2:$G$550,MATCH($A247,'Maliyet Giris'!$A$2:$A$550,0))&lt;=3,90,IF(INDEX('Maliyet Giris'!$G$2:$G$550,MATCH($A247,'Maliyet Giris'!$A$2:$A$550,0))&lt;=5,102,IF(INDEX('Maliyet Giris'!$G$2:$G$550,MATCH($A247,'Maliyet Giris'!$A$2:$A$550,0))&lt;=10,159.74,IF(INDEX('Maliyet Giris'!$G$2:$G$550,MATCH($A247,'Maliyet Giris'!$A$2:$A$550,0))&lt;=15,187.5,IF(INDEX('Maliyet Giris'!$G$2:$G$550,MATCH($A247,'Maliyet Giris'!$A$2:$A$550,0))&lt;=20,225,299))))))),""))</f>
        <v/>
      </c>
      <c r="G247" s="14" t="str">
        <f t="array" ref="G247">IF($A247="","",IFERROR(INDEX('Maliyet Giris'!$F$2:$F$550,MATCH($A247,'Maliyet Giris'!$A$2:$A$550,0)),""))</f>
        <v/>
      </c>
      <c r="H247" s="14" t="str">
        <f t="shared" si="1"/>
        <v/>
      </c>
      <c r="I247" s="14" t="str">
        <f t="shared" si="2"/>
        <v/>
      </c>
      <c r="J247" s="14" t="str">
        <f t="shared" si="3"/>
        <v/>
      </c>
      <c r="K247" s="14" t="str">
        <f t="shared" si="4"/>
        <v/>
      </c>
      <c r="L247" s="15" t="str">
        <f t="shared" si="5"/>
        <v/>
      </c>
      <c r="M247" s="17" t="str">
        <f t="shared" si="6"/>
        <v/>
      </c>
      <c r="N247" s="17" t="str">
        <f t="shared" si="7"/>
        <v/>
      </c>
      <c r="O247" s="17" t="str">
        <f t="array" ref="O247">IF($A247="","",IFERROR(INDEX('Maliyet Giris'!$G$2:$G$550,MATCH($A247,'Maliyet Giris'!$A$2:$A$550,0)),""))</f>
        <v/>
      </c>
      <c r="P247" s="17" t="str">
        <f t="shared" si="8"/>
        <v/>
      </c>
      <c r="Q247" s="17" t="str">
        <f t="shared" si="9"/>
        <v/>
      </c>
      <c r="R247" s="14" t="str">
        <f t="shared" si="10"/>
        <v/>
      </c>
      <c r="S247" s="14" t="str">
        <f t="shared" si="11"/>
        <v/>
      </c>
      <c r="T247" s="17" t="str">
        <f t="shared" si="12"/>
        <v/>
      </c>
      <c r="U247" s="17" t="str">
        <f t="shared" si="13"/>
        <v/>
      </c>
    </row>
    <row r="248">
      <c r="A248" s="2"/>
      <c r="C248" s="28"/>
      <c r="D248" s="14"/>
      <c r="E248" s="14" t="str">
        <f t="array" ref="E248">IF($A248="","",IFERROR($D248*IF($D248&gt;=INDEX('Komisyon Tarifesi'!$I$2:$I$1000,MATCH($A248,'Komisyon Tarifesi'!$B$2:$B$1000,0)),INDEX('Komisyon Tarifesi'!$O$2:$O$1000,MATCH($A248,'Komisyon Tarifesi'!$B$2:$B$1000,0)),IF($D248&gt;=INDEX('Komisyon Tarifesi'!$K$2:$K$1000,MATCH($A248,'Komisyon Tarifesi'!$B$2:$B$1000,0)),INDEX('Komisyon Tarifesi'!$P$2:$P$1000,MATCH($A248,'Komisyon Tarifesi'!$B$2:$B$1000,0)),IF($D248&gt;=INDEX('Komisyon Tarifesi'!$M$2:$M$1000,MATCH($A248,'Komisyon Tarifesi'!$B$2:$B$1000,0)),INDEX('Komisyon Tarifesi'!$Q$2:$Q$1000,MATCH($A248,'Komisyon Tarifesi'!$B$2:$B$1000,0)),INDEX('Komisyon Tarifesi'!$R$2:$R$1000,MATCH($A248,'Komisyon Tarifesi'!$B$2:$B$1000,0)))))/100,IFERROR(IF(VLOOKUP($A248,Products!$A$2:$W$1000,21,0)&lt;&gt;"",$D248*VLOOKUP($A248,Products!$A$2:$W$1000,21,0)/100,""),"")))</f>
        <v/>
      </c>
      <c r="F248" s="14" t="str">
        <f t="array" ref="F248">IF($A248="","",IFERROR(IF(INDEX('Maliyet Giris'!$G$2:$G$550,MATCH($A248,'Maliyet Giris'!$A$2:$A$550,0))="","",IF(INDEX('Maliyet Giris'!$G$2:$G$550,MATCH($A248,'Maliyet Giris'!$A$2:$A$550,0))&lt;=2,86.4,IF(INDEX('Maliyet Giris'!$G$2:$G$550,MATCH($A248,'Maliyet Giris'!$A$2:$A$550,0))&lt;=3,90,IF(INDEX('Maliyet Giris'!$G$2:$G$550,MATCH($A248,'Maliyet Giris'!$A$2:$A$550,0))&lt;=5,102,IF(INDEX('Maliyet Giris'!$G$2:$G$550,MATCH($A248,'Maliyet Giris'!$A$2:$A$550,0))&lt;=10,159.74,IF(INDEX('Maliyet Giris'!$G$2:$G$550,MATCH($A248,'Maliyet Giris'!$A$2:$A$550,0))&lt;=15,187.5,IF(INDEX('Maliyet Giris'!$G$2:$G$550,MATCH($A248,'Maliyet Giris'!$A$2:$A$550,0))&lt;=20,225,299))))))),""))</f>
        <v/>
      </c>
      <c r="G248" s="14" t="str">
        <f t="array" ref="G248">IF($A248="","",IFERROR(INDEX('Maliyet Giris'!$F$2:$F$550,MATCH($A248,'Maliyet Giris'!$A$2:$A$550,0)),""))</f>
        <v/>
      </c>
      <c r="H248" s="14" t="str">
        <f t="shared" si="1"/>
        <v/>
      </c>
      <c r="I248" s="14" t="str">
        <f t="shared" si="2"/>
        <v/>
      </c>
      <c r="J248" s="14" t="str">
        <f t="shared" si="3"/>
        <v/>
      </c>
      <c r="K248" s="14" t="str">
        <f t="shared" si="4"/>
        <v/>
      </c>
      <c r="L248" s="15" t="str">
        <f t="shared" si="5"/>
        <v/>
      </c>
      <c r="M248" s="17" t="str">
        <f t="shared" si="6"/>
        <v/>
      </c>
      <c r="N248" s="17" t="str">
        <f t="shared" si="7"/>
        <v/>
      </c>
      <c r="O248" s="17" t="str">
        <f t="array" ref="O248">IF($A248="","",IFERROR(INDEX('Maliyet Giris'!$G$2:$G$550,MATCH($A248,'Maliyet Giris'!$A$2:$A$550,0)),""))</f>
        <v/>
      </c>
      <c r="P248" s="17" t="str">
        <f t="shared" si="8"/>
        <v/>
      </c>
      <c r="Q248" s="17" t="str">
        <f t="shared" si="9"/>
        <v/>
      </c>
      <c r="R248" s="14" t="str">
        <f t="shared" si="10"/>
        <v/>
      </c>
      <c r="S248" s="14" t="str">
        <f t="shared" si="11"/>
        <v/>
      </c>
      <c r="T248" s="17" t="str">
        <f t="shared" si="12"/>
        <v/>
      </c>
      <c r="U248" s="17" t="str">
        <f t="shared" si="13"/>
        <v/>
      </c>
    </row>
    <row r="249">
      <c r="A249" s="2"/>
      <c r="C249" s="28"/>
      <c r="D249" s="14"/>
      <c r="E249" s="14" t="str">
        <f t="array" ref="E249">IF($A249="","",IFERROR($D249*IF($D249&gt;=INDEX('Komisyon Tarifesi'!$I$2:$I$1000,MATCH($A249,'Komisyon Tarifesi'!$B$2:$B$1000,0)),INDEX('Komisyon Tarifesi'!$O$2:$O$1000,MATCH($A249,'Komisyon Tarifesi'!$B$2:$B$1000,0)),IF($D249&gt;=INDEX('Komisyon Tarifesi'!$K$2:$K$1000,MATCH($A249,'Komisyon Tarifesi'!$B$2:$B$1000,0)),INDEX('Komisyon Tarifesi'!$P$2:$P$1000,MATCH($A249,'Komisyon Tarifesi'!$B$2:$B$1000,0)),IF($D249&gt;=INDEX('Komisyon Tarifesi'!$M$2:$M$1000,MATCH($A249,'Komisyon Tarifesi'!$B$2:$B$1000,0)),INDEX('Komisyon Tarifesi'!$Q$2:$Q$1000,MATCH($A249,'Komisyon Tarifesi'!$B$2:$B$1000,0)),INDEX('Komisyon Tarifesi'!$R$2:$R$1000,MATCH($A249,'Komisyon Tarifesi'!$B$2:$B$1000,0)))))/100,IFERROR(IF(VLOOKUP($A249,Products!$A$2:$W$1000,21,0)&lt;&gt;"",$D249*VLOOKUP($A249,Products!$A$2:$W$1000,21,0)/100,""),"")))</f>
        <v/>
      </c>
      <c r="F249" s="14" t="str">
        <f t="array" ref="F249">IF($A249="","",IFERROR(IF(INDEX('Maliyet Giris'!$G$2:$G$550,MATCH($A249,'Maliyet Giris'!$A$2:$A$550,0))="","",IF(INDEX('Maliyet Giris'!$G$2:$G$550,MATCH($A249,'Maliyet Giris'!$A$2:$A$550,0))&lt;=2,86.4,IF(INDEX('Maliyet Giris'!$G$2:$G$550,MATCH($A249,'Maliyet Giris'!$A$2:$A$550,0))&lt;=3,90,IF(INDEX('Maliyet Giris'!$G$2:$G$550,MATCH($A249,'Maliyet Giris'!$A$2:$A$550,0))&lt;=5,102,IF(INDEX('Maliyet Giris'!$G$2:$G$550,MATCH($A249,'Maliyet Giris'!$A$2:$A$550,0))&lt;=10,159.74,IF(INDEX('Maliyet Giris'!$G$2:$G$550,MATCH($A249,'Maliyet Giris'!$A$2:$A$550,0))&lt;=15,187.5,IF(INDEX('Maliyet Giris'!$G$2:$G$550,MATCH($A249,'Maliyet Giris'!$A$2:$A$550,0))&lt;=20,225,299))))))),""))</f>
        <v/>
      </c>
      <c r="G249" s="14" t="str">
        <f t="array" ref="G249">IF($A249="","",IFERROR(INDEX('Maliyet Giris'!$F$2:$F$550,MATCH($A249,'Maliyet Giris'!$A$2:$A$550,0)),""))</f>
        <v/>
      </c>
      <c r="H249" s="14" t="str">
        <f t="shared" si="1"/>
        <v/>
      </c>
      <c r="I249" s="14" t="str">
        <f t="shared" si="2"/>
        <v/>
      </c>
      <c r="J249" s="14" t="str">
        <f t="shared" si="3"/>
        <v/>
      </c>
      <c r="K249" s="14" t="str">
        <f t="shared" si="4"/>
        <v/>
      </c>
      <c r="L249" s="15" t="str">
        <f t="shared" si="5"/>
        <v/>
      </c>
      <c r="M249" s="17" t="str">
        <f t="shared" si="6"/>
        <v/>
      </c>
      <c r="N249" s="17" t="str">
        <f t="shared" si="7"/>
        <v/>
      </c>
      <c r="O249" s="17" t="str">
        <f t="array" ref="O249">IF($A249="","",IFERROR(INDEX('Maliyet Giris'!$G$2:$G$550,MATCH($A249,'Maliyet Giris'!$A$2:$A$550,0)),""))</f>
        <v/>
      </c>
      <c r="P249" s="17" t="str">
        <f t="shared" si="8"/>
        <v/>
      </c>
      <c r="Q249" s="17" t="str">
        <f t="shared" si="9"/>
        <v/>
      </c>
      <c r="R249" s="14" t="str">
        <f t="shared" si="10"/>
        <v/>
      </c>
      <c r="S249" s="14" t="str">
        <f t="shared" si="11"/>
        <v/>
      </c>
      <c r="T249" s="17" t="str">
        <f t="shared" si="12"/>
        <v/>
      </c>
      <c r="U249" s="17" t="str">
        <f t="shared" si="13"/>
        <v/>
      </c>
    </row>
    <row r="250">
      <c r="A250" s="2"/>
      <c r="C250" s="28"/>
      <c r="D250" s="14"/>
      <c r="E250" s="14" t="str">
        <f t="array" ref="E250">IF($A250="","",IFERROR($D250*IF($D250&gt;=INDEX('Komisyon Tarifesi'!$I$2:$I$1000,MATCH($A250,'Komisyon Tarifesi'!$B$2:$B$1000,0)),INDEX('Komisyon Tarifesi'!$O$2:$O$1000,MATCH($A250,'Komisyon Tarifesi'!$B$2:$B$1000,0)),IF($D250&gt;=INDEX('Komisyon Tarifesi'!$K$2:$K$1000,MATCH($A250,'Komisyon Tarifesi'!$B$2:$B$1000,0)),INDEX('Komisyon Tarifesi'!$P$2:$P$1000,MATCH($A250,'Komisyon Tarifesi'!$B$2:$B$1000,0)),IF($D250&gt;=INDEX('Komisyon Tarifesi'!$M$2:$M$1000,MATCH($A250,'Komisyon Tarifesi'!$B$2:$B$1000,0)),INDEX('Komisyon Tarifesi'!$Q$2:$Q$1000,MATCH($A250,'Komisyon Tarifesi'!$B$2:$B$1000,0)),INDEX('Komisyon Tarifesi'!$R$2:$R$1000,MATCH($A250,'Komisyon Tarifesi'!$B$2:$B$1000,0)))))/100,IFERROR(IF(VLOOKUP($A250,Products!$A$2:$W$1000,21,0)&lt;&gt;"",$D250*VLOOKUP($A250,Products!$A$2:$W$1000,21,0)/100,""),"")))</f>
        <v/>
      </c>
      <c r="F250" s="14" t="str">
        <f t="array" ref="F250">IF($A250="","",IFERROR(IF(INDEX('Maliyet Giris'!$G$2:$G$550,MATCH($A250,'Maliyet Giris'!$A$2:$A$550,0))="","",IF(INDEX('Maliyet Giris'!$G$2:$G$550,MATCH($A250,'Maliyet Giris'!$A$2:$A$550,0))&lt;=2,86.4,IF(INDEX('Maliyet Giris'!$G$2:$G$550,MATCH($A250,'Maliyet Giris'!$A$2:$A$550,0))&lt;=3,90,IF(INDEX('Maliyet Giris'!$G$2:$G$550,MATCH($A250,'Maliyet Giris'!$A$2:$A$550,0))&lt;=5,102,IF(INDEX('Maliyet Giris'!$G$2:$G$550,MATCH($A250,'Maliyet Giris'!$A$2:$A$550,0))&lt;=10,159.74,IF(INDEX('Maliyet Giris'!$G$2:$G$550,MATCH($A250,'Maliyet Giris'!$A$2:$A$550,0))&lt;=15,187.5,IF(INDEX('Maliyet Giris'!$G$2:$G$550,MATCH($A250,'Maliyet Giris'!$A$2:$A$550,0))&lt;=20,225,299))))))),""))</f>
        <v/>
      </c>
      <c r="G250" s="14" t="str">
        <f t="array" ref="G250">IF($A250="","",IFERROR(INDEX('Maliyet Giris'!$F$2:$F$550,MATCH($A250,'Maliyet Giris'!$A$2:$A$550,0)),""))</f>
        <v/>
      </c>
      <c r="H250" s="14" t="str">
        <f t="shared" si="1"/>
        <v/>
      </c>
      <c r="I250" s="14" t="str">
        <f t="shared" si="2"/>
        <v/>
      </c>
      <c r="J250" s="14" t="str">
        <f t="shared" si="3"/>
        <v/>
      </c>
      <c r="K250" s="14" t="str">
        <f t="shared" si="4"/>
        <v/>
      </c>
      <c r="L250" s="15" t="str">
        <f t="shared" si="5"/>
        <v/>
      </c>
      <c r="M250" s="17" t="str">
        <f t="shared" si="6"/>
        <v/>
      </c>
      <c r="N250" s="17" t="str">
        <f t="shared" si="7"/>
        <v/>
      </c>
      <c r="O250" s="17" t="str">
        <f t="array" ref="O250">IF($A250="","",IFERROR(INDEX('Maliyet Giris'!$G$2:$G$550,MATCH($A250,'Maliyet Giris'!$A$2:$A$550,0)),""))</f>
        <v/>
      </c>
      <c r="P250" s="17" t="str">
        <f t="shared" si="8"/>
        <v/>
      </c>
      <c r="Q250" s="17" t="str">
        <f t="shared" si="9"/>
        <v/>
      </c>
      <c r="R250" s="14" t="str">
        <f t="shared" si="10"/>
        <v/>
      </c>
      <c r="S250" s="14" t="str">
        <f t="shared" si="11"/>
        <v/>
      </c>
      <c r="T250" s="17" t="str">
        <f t="shared" si="12"/>
        <v/>
      </c>
      <c r="U250" s="17" t="str">
        <f t="shared" si="13"/>
        <v/>
      </c>
    </row>
    <row r="251">
      <c r="A251" s="2"/>
      <c r="C251" s="28"/>
      <c r="D251" s="14"/>
      <c r="E251" s="14" t="str">
        <f t="array" ref="E251">IF($A251="","",IFERROR($D251*IF($D251&gt;=INDEX('Komisyon Tarifesi'!$I$2:$I$1000,MATCH($A251,'Komisyon Tarifesi'!$B$2:$B$1000,0)),INDEX('Komisyon Tarifesi'!$O$2:$O$1000,MATCH($A251,'Komisyon Tarifesi'!$B$2:$B$1000,0)),IF($D251&gt;=INDEX('Komisyon Tarifesi'!$K$2:$K$1000,MATCH($A251,'Komisyon Tarifesi'!$B$2:$B$1000,0)),INDEX('Komisyon Tarifesi'!$P$2:$P$1000,MATCH($A251,'Komisyon Tarifesi'!$B$2:$B$1000,0)),IF($D251&gt;=INDEX('Komisyon Tarifesi'!$M$2:$M$1000,MATCH($A251,'Komisyon Tarifesi'!$B$2:$B$1000,0)),INDEX('Komisyon Tarifesi'!$Q$2:$Q$1000,MATCH($A251,'Komisyon Tarifesi'!$B$2:$B$1000,0)),INDEX('Komisyon Tarifesi'!$R$2:$R$1000,MATCH($A251,'Komisyon Tarifesi'!$B$2:$B$1000,0)))))/100,IFERROR(IF(VLOOKUP($A251,Products!$A$2:$W$1000,21,0)&lt;&gt;"",$D251*VLOOKUP($A251,Products!$A$2:$W$1000,21,0)/100,""),"")))</f>
        <v/>
      </c>
      <c r="F251" s="14" t="str">
        <f t="array" ref="F251">IF($A251="","",IFERROR(IF(INDEX('Maliyet Giris'!$G$2:$G$550,MATCH($A251,'Maliyet Giris'!$A$2:$A$550,0))="","",IF(INDEX('Maliyet Giris'!$G$2:$G$550,MATCH($A251,'Maliyet Giris'!$A$2:$A$550,0))&lt;=2,86.4,IF(INDEX('Maliyet Giris'!$G$2:$G$550,MATCH($A251,'Maliyet Giris'!$A$2:$A$550,0))&lt;=3,90,IF(INDEX('Maliyet Giris'!$G$2:$G$550,MATCH($A251,'Maliyet Giris'!$A$2:$A$550,0))&lt;=5,102,IF(INDEX('Maliyet Giris'!$G$2:$G$550,MATCH($A251,'Maliyet Giris'!$A$2:$A$550,0))&lt;=10,159.74,IF(INDEX('Maliyet Giris'!$G$2:$G$550,MATCH($A251,'Maliyet Giris'!$A$2:$A$550,0))&lt;=15,187.5,IF(INDEX('Maliyet Giris'!$G$2:$G$550,MATCH($A251,'Maliyet Giris'!$A$2:$A$550,0))&lt;=20,225,299))))))),""))</f>
        <v/>
      </c>
      <c r="G251" s="14" t="str">
        <f t="array" ref="G251">IF($A251="","",IFERROR(INDEX('Maliyet Giris'!$F$2:$F$550,MATCH($A251,'Maliyet Giris'!$A$2:$A$550,0)),""))</f>
        <v/>
      </c>
      <c r="H251" s="14" t="str">
        <f t="shared" si="1"/>
        <v/>
      </c>
      <c r="I251" s="14" t="str">
        <f t="shared" si="2"/>
        <v/>
      </c>
      <c r="J251" s="14" t="str">
        <f t="shared" si="3"/>
        <v/>
      </c>
      <c r="K251" s="14" t="str">
        <f t="shared" si="4"/>
        <v/>
      </c>
      <c r="L251" s="15" t="str">
        <f t="shared" si="5"/>
        <v/>
      </c>
      <c r="M251" s="17" t="str">
        <f t="shared" si="6"/>
        <v/>
      </c>
      <c r="N251" s="17" t="str">
        <f t="shared" si="7"/>
        <v/>
      </c>
      <c r="O251" s="17" t="str">
        <f t="array" ref="O251">IF($A251="","",IFERROR(INDEX('Maliyet Giris'!$G$2:$G$550,MATCH($A251,'Maliyet Giris'!$A$2:$A$550,0)),""))</f>
        <v/>
      </c>
      <c r="P251" s="17" t="str">
        <f t="shared" si="8"/>
        <v/>
      </c>
      <c r="Q251" s="17" t="str">
        <f t="shared" si="9"/>
        <v/>
      </c>
      <c r="R251" s="14" t="str">
        <f t="shared" si="10"/>
        <v/>
      </c>
      <c r="S251" s="14" t="str">
        <f t="shared" si="11"/>
        <v/>
      </c>
      <c r="T251" s="17" t="str">
        <f t="shared" si="12"/>
        <v/>
      </c>
      <c r="U251" s="17" t="str">
        <f t="shared" si="13"/>
        <v/>
      </c>
    </row>
    <row r="252">
      <c r="A252" s="2"/>
      <c r="C252" s="28"/>
      <c r="D252" s="14"/>
      <c r="E252" s="14" t="str">
        <f t="array" ref="E252">IF($A252="","",IFERROR($D252*IF($D252&gt;=INDEX('Komisyon Tarifesi'!$I$2:$I$1000,MATCH($A252,'Komisyon Tarifesi'!$B$2:$B$1000,0)),INDEX('Komisyon Tarifesi'!$O$2:$O$1000,MATCH($A252,'Komisyon Tarifesi'!$B$2:$B$1000,0)),IF($D252&gt;=INDEX('Komisyon Tarifesi'!$K$2:$K$1000,MATCH($A252,'Komisyon Tarifesi'!$B$2:$B$1000,0)),INDEX('Komisyon Tarifesi'!$P$2:$P$1000,MATCH($A252,'Komisyon Tarifesi'!$B$2:$B$1000,0)),IF($D252&gt;=INDEX('Komisyon Tarifesi'!$M$2:$M$1000,MATCH($A252,'Komisyon Tarifesi'!$B$2:$B$1000,0)),INDEX('Komisyon Tarifesi'!$Q$2:$Q$1000,MATCH($A252,'Komisyon Tarifesi'!$B$2:$B$1000,0)),INDEX('Komisyon Tarifesi'!$R$2:$R$1000,MATCH($A252,'Komisyon Tarifesi'!$B$2:$B$1000,0)))))/100,IFERROR(IF(VLOOKUP($A252,Products!$A$2:$W$1000,21,0)&lt;&gt;"",$D252*VLOOKUP($A252,Products!$A$2:$W$1000,21,0)/100,""),"")))</f>
        <v/>
      </c>
      <c r="F252" s="14" t="str">
        <f t="array" ref="F252">IF($A252="","",IFERROR(IF(INDEX('Maliyet Giris'!$G$2:$G$550,MATCH($A252,'Maliyet Giris'!$A$2:$A$550,0))="","",IF(INDEX('Maliyet Giris'!$G$2:$G$550,MATCH($A252,'Maliyet Giris'!$A$2:$A$550,0))&lt;=2,86.4,IF(INDEX('Maliyet Giris'!$G$2:$G$550,MATCH($A252,'Maliyet Giris'!$A$2:$A$550,0))&lt;=3,90,IF(INDEX('Maliyet Giris'!$G$2:$G$550,MATCH($A252,'Maliyet Giris'!$A$2:$A$550,0))&lt;=5,102,IF(INDEX('Maliyet Giris'!$G$2:$G$550,MATCH($A252,'Maliyet Giris'!$A$2:$A$550,0))&lt;=10,159.74,IF(INDEX('Maliyet Giris'!$G$2:$G$550,MATCH($A252,'Maliyet Giris'!$A$2:$A$550,0))&lt;=15,187.5,IF(INDEX('Maliyet Giris'!$G$2:$G$550,MATCH($A252,'Maliyet Giris'!$A$2:$A$550,0))&lt;=20,225,299))))))),""))</f>
        <v/>
      </c>
      <c r="G252" s="14" t="str">
        <f t="array" ref="G252">IF($A252="","",IFERROR(INDEX('Maliyet Giris'!$F$2:$F$550,MATCH($A252,'Maliyet Giris'!$A$2:$A$550,0)),""))</f>
        <v/>
      </c>
      <c r="H252" s="14" t="str">
        <f t="shared" si="1"/>
        <v/>
      </c>
      <c r="I252" s="14" t="str">
        <f t="shared" si="2"/>
        <v/>
      </c>
      <c r="J252" s="14" t="str">
        <f t="shared" si="3"/>
        <v/>
      </c>
      <c r="K252" s="14" t="str">
        <f t="shared" si="4"/>
        <v/>
      </c>
      <c r="L252" s="15" t="str">
        <f t="shared" si="5"/>
        <v/>
      </c>
      <c r="M252" s="17" t="str">
        <f t="shared" si="6"/>
        <v/>
      </c>
      <c r="N252" s="17" t="str">
        <f t="shared" si="7"/>
        <v/>
      </c>
      <c r="O252" s="17" t="str">
        <f t="array" ref="O252">IF($A252="","",IFERROR(INDEX('Maliyet Giris'!$G$2:$G$550,MATCH($A252,'Maliyet Giris'!$A$2:$A$550,0)),""))</f>
        <v/>
      </c>
      <c r="P252" s="17" t="str">
        <f t="shared" si="8"/>
        <v/>
      </c>
      <c r="Q252" s="17" t="str">
        <f t="shared" si="9"/>
        <v/>
      </c>
      <c r="R252" s="14" t="str">
        <f t="shared" si="10"/>
        <v/>
      </c>
      <c r="S252" s="14" t="str">
        <f t="shared" si="11"/>
        <v/>
      </c>
      <c r="T252" s="17" t="str">
        <f t="shared" si="12"/>
        <v/>
      </c>
      <c r="U252" s="17" t="str">
        <f t="shared" si="13"/>
        <v/>
      </c>
    </row>
    <row r="253">
      <c r="A253" s="2"/>
      <c r="C253" s="28"/>
      <c r="D253" s="14"/>
      <c r="E253" s="14" t="str">
        <f t="array" ref="E253">IF($A253="","",IFERROR($D253*IF($D253&gt;=INDEX('Komisyon Tarifesi'!$I$2:$I$1000,MATCH($A253,'Komisyon Tarifesi'!$B$2:$B$1000,0)),INDEX('Komisyon Tarifesi'!$O$2:$O$1000,MATCH($A253,'Komisyon Tarifesi'!$B$2:$B$1000,0)),IF($D253&gt;=INDEX('Komisyon Tarifesi'!$K$2:$K$1000,MATCH($A253,'Komisyon Tarifesi'!$B$2:$B$1000,0)),INDEX('Komisyon Tarifesi'!$P$2:$P$1000,MATCH($A253,'Komisyon Tarifesi'!$B$2:$B$1000,0)),IF($D253&gt;=INDEX('Komisyon Tarifesi'!$M$2:$M$1000,MATCH($A253,'Komisyon Tarifesi'!$B$2:$B$1000,0)),INDEX('Komisyon Tarifesi'!$Q$2:$Q$1000,MATCH($A253,'Komisyon Tarifesi'!$B$2:$B$1000,0)),INDEX('Komisyon Tarifesi'!$R$2:$R$1000,MATCH($A253,'Komisyon Tarifesi'!$B$2:$B$1000,0)))))/100,IFERROR(IF(VLOOKUP($A253,Products!$A$2:$W$1000,21,0)&lt;&gt;"",$D253*VLOOKUP($A253,Products!$A$2:$W$1000,21,0)/100,""),"")))</f>
        <v/>
      </c>
      <c r="F253" s="14" t="str">
        <f t="array" ref="F253">IF($A253="","",IFERROR(IF(INDEX('Maliyet Giris'!$G$2:$G$550,MATCH($A253,'Maliyet Giris'!$A$2:$A$550,0))="","",IF(INDEX('Maliyet Giris'!$G$2:$G$550,MATCH($A253,'Maliyet Giris'!$A$2:$A$550,0))&lt;=2,86.4,IF(INDEX('Maliyet Giris'!$G$2:$G$550,MATCH($A253,'Maliyet Giris'!$A$2:$A$550,0))&lt;=3,90,IF(INDEX('Maliyet Giris'!$G$2:$G$550,MATCH($A253,'Maliyet Giris'!$A$2:$A$550,0))&lt;=5,102,IF(INDEX('Maliyet Giris'!$G$2:$G$550,MATCH($A253,'Maliyet Giris'!$A$2:$A$550,0))&lt;=10,159.74,IF(INDEX('Maliyet Giris'!$G$2:$G$550,MATCH($A253,'Maliyet Giris'!$A$2:$A$550,0))&lt;=15,187.5,IF(INDEX('Maliyet Giris'!$G$2:$G$550,MATCH($A253,'Maliyet Giris'!$A$2:$A$550,0))&lt;=20,225,299))))))),""))</f>
        <v/>
      </c>
      <c r="G253" s="14" t="str">
        <f t="array" ref="G253">IF($A253="","",IFERROR(INDEX('Maliyet Giris'!$F$2:$F$550,MATCH($A253,'Maliyet Giris'!$A$2:$A$550,0)),""))</f>
        <v/>
      </c>
      <c r="H253" s="14" t="str">
        <f t="shared" si="1"/>
        <v/>
      </c>
      <c r="I253" s="14" t="str">
        <f t="shared" si="2"/>
        <v/>
      </c>
      <c r="J253" s="14" t="str">
        <f t="shared" si="3"/>
        <v/>
      </c>
      <c r="K253" s="14" t="str">
        <f t="shared" si="4"/>
        <v/>
      </c>
      <c r="L253" s="15" t="str">
        <f t="shared" si="5"/>
        <v/>
      </c>
      <c r="M253" s="17" t="str">
        <f t="shared" si="6"/>
        <v/>
      </c>
      <c r="N253" s="17" t="str">
        <f t="shared" si="7"/>
        <v/>
      </c>
      <c r="O253" s="17" t="str">
        <f t="array" ref="O253">IF($A253="","",IFERROR(INDEX('Maliyet Giris'!$G$2:$G$550,MATCH($A253,'Maliyet Giris'!$A$2:$A$550,0)),""))</f>
        <v/>
      </c>
      <c r="P253" s="17" t="str">
        <f t="shared" si="8"/>
        <v/>
      </c>
      <c r="Q253" s="17" t="str">
        <f t="shared" si="9"/>
        <v/>
      </c>
      <c r="R253" s="14" t="str">
        <f t="shared" si="10"/>
        <v/>
      </c>
      <c r="S253" s="14" t="str">
        <f t="shared" si="11"/>
        <v/>
      </c>
      <c r="T253" s="17" t="str">
        <f t="shared" si="12"/>
        <v/>
      </c>
      <c r="U253" s="17" t="str">
        <f t="shared" si="13"/>
        <v/>
      </c>
    </row>
    <row r="254">
      <c r="A254" s="2"/>
      <c r="C254" s="28"/>
      <c r="D254" s="14"/>
      <c r="E254" s="14" t="str">
        <f t="array" ref="E254">IF($A254="","",IFERROR($D254*IF($D254&gt;=INDEX('Komisyon Tarifesi'!$I$2:$I$1000,MATCH($A254,'Komisyon Tarifesi'!$B$2:$B$1000,0)),INDEX('Komisyon Tarifesi'!$O$2:$O$1000,MATCH($A254,'Komisyon Tarifesi'!$B$2:$B$1000,0)),IF($D254&gt;=INDEX('Komisyon Tarifesi'!$K$2:$K$1000,MATCH($A254,'Komisyon Tarifesi'!$B$2:$B$1000,0)),INDEX('Komisyon Tarifesi'!$P$2:$P$1000,MATCH($A254,'Komisyon Tarifesi'!$B$2:$B$1000,0)),IF($D254&gt;=INDEX('Komisyon Tarifesi'!$M$2:$M$1000,MATCH($A254,'Komisyon Tarifesi'!$B$2:$B$1000,0)),INDEX('Komisyon Tarifesi'!$Q$2:$Q$1000,MATCH($A254,'Komisyon Tarifesi'!$B$2:$B$1000,0)),INDEX('Komisyon Tarifesi'!$R$2:$R$1000,MATCH($A254,'Komisyon Tarifesi'!$B$2:$B$1000,0)))))/100,IFERROR(IF(VLOOKUP($A254,Products!$A$2:$W$1000,21,0)&lt;&gt;"",$D254*VLOOKUP($A254,Products!$A$2:$W$1000,21,0)/100,""),"")))</f>
        <v/>
      </c>
      <c r="F254" s="14" t="str">
        <f t="array" ref="F254">IF($A254="","",IFERROR(IF(INDEX('Maliyet Giris'!$G$2:$G$550,MATCH($A254,'Maliyet Giris'!$A$2:$A$550,0))="","",IF(INDEX('Maliyet Giris'!$G$2:$G$550,MATCH($A254,'Maliyet Giris'!$A$2:$A$550,0))&lt;=2,86.4,IF(INDEX('Maliyet Giris'!$G$2:$G$550,MATCH($A254,'Maliyet Giris'!$A$2:$A$550,0))&lt;=3,90,IF(INDEX('Maliyet Giris'!$G$2:$G$550,MATCH($A254,'Maliyet Giris'!$A$2:$A$550,0))&lt;=5,102,IF(INDEX('Maliyet Giris'!$G$2:$G$550,MATCH($A254,'Maliyet Giris'!$A$2:$A$550,0))&lt;=10,159.74,IF(INDEX('Maliyet Giris'!$G$2:$G$550,MATCH($A254,'Maliyet Giris'!$A$2:$A$550,0))&lt;=15,187.5,IF(INDEX('Maliyet Giris'!$G$2:$G$550,MATCH($A254,'Maliyet Giris'!$A$2:$A$550,0))&lt;=20,225,299))))))),""))</f>
        <v/>
      </c>
      <c r="G254" s="14" t="str">
        <f t="array" ref="G254">IF($A254="","",IFERROR(INDEX('Maliyet Giris'!$F$2:$F$550,MATCH($A254,'Maliyet Giris'!$A$2:$A$550,0)),""))</f>
        <v/>
      </c>
      <c r="H254" s="14" t="str">
        <f t="shared" si="1"/>
        <v/>
      </c>
      <c r="I254" s="14" t="str">
        <f t="shared" si="2"/>
        <v/>
      </c>
      <c r="J254" s="14" t="str">
        <f t="shared" si="3"/>
        <v/>
      </c>
      <c r="K254" s="14" t="str">
        <f t="shared" si="4"/>
        <v/>
      </c>
      <c r="L254" s="15" t="str">
        <f t="shared" si="5"/>
        <v/>
      </c>
      <c r="M254" s="17" t="str">
        <f t="shared" si="6"/>
        <v/>
      </c>
      <c r="N254" s="17" t="str">
        <f t="shared" si="7"/>
        <v/>
      </c>
      <c r="O254" s="17" t="str">
        <f t="array" ref="O254">IF($A254="","",IFERROR(INDEX('Maliyet Giris'!$G$2:$G$550,MATCH($A254,'Maliyet Giris'!$A$2:$A$550,0)),""))</f>
        <v/>
      </c>
      <c r="P254" s="17" t="str">
        <f t="shared" si="8"/>
        <v/>
      </c>
      <c r="Q254" s="17" t="str">
        <f t="shared" si="9"/>
        <v/>
      </c>
      <c r="R254" s="14" t="str">
        <f t="shared" si="10"/>
        <v/>
      </c>
      <c r="S254" s="14" t="str">
        <f t="shared" si="11"/>
        <v/>
      </c>
      <c r="T254" s="17" t="str">
        <f t="shared" si="12"/>
        <v/>
      </c>
      <c r="U254" s="17" t="str">
        <f t="shared" si="13"/>
        <v/>
      </c>
    </row>
    <row r="255">
      <c r="A255" s="2"/>
      <c r="C255" s="28"/>
      <c r="D255" s="14"/>
      <c r="E255" s="14" t="str">
        <f t="array" ref="E255">IF($A255="","",IFERROR($D255*IF($D255&gt;=INDEX('Komisyon Tarifesi'!$I$2:$I$1000,MATCH($A255,'Komisyon Tarifesi'!$B$2:$B$1000,0)),INDEX('Komisyon Tarifesi'!$O$2:$O$1000,MATCH($A255,'Komisyon Tarifesi'!$B$2:$B$1000,0)),IF($D255&gt;=INDEX('Komisyon Tarifesi'!$K$2:$K$1000,MATCH($A255,'Komisyon Tarifesi'!$B$2:$B$1000,0)),INDEX('Komisyon Tarifesi'!$P$2:$P$1000,MATCH($A255,'Komisyon Tarifesi'!$B$2:$B$1000,0)),IF($D255&gt;=INDEX('Komisyon Tarifesi'!$M$2:$M$1000,MATCH($A255,'Komisyon Tarifesi'!$B$2:$B$1000,0)),INDEX('Komisyon Tarifesi'!$Q$2:$Q$1000,MATCH($A255,'Komisyon Tarifesi'!$B$2:$B$1000,0)),INDEX('Komisyon Tarifesi'!$R$2:$R$1000,MATCH($A255,'Komisyon Tarifesi'!$B$2:$B$1000,0)))))/100,IFERROR(IF(VLOOKUP($A255,Products!$A$2:$W$1000,21,0)&lt;&gt;"",$D255*VLOOKUP($A255,Products!$A$2:$W$1000,21,0)/100,""),"")))</f>
        <v/>
      </c>
      <c r="F255" s="14" t="str">
        <f t="array" ref="F255">IF($A255="","",IFERROR(IF(INDEX('Maliyet Giris'!$G$2:$G$550,MATCH($A255,'Maliyet Giris'!$A$2:$A$550,0))="","",IF(INDEX('Maliyet Giris'!$G$2:$G$550,MATCH($A255,'Maliyet Giris'!$A$2:$A$550,0))&lt;=2,86.4,IF(INDEX('Maliyet Giris'!$G$2:$G$550,MATCH($A255,'Maliyet Giris'!$A$2:$A$550,0))&lt;=3,90,IF(INDEX('Maliyet Giris'!$G$2:$G$550,MATCH($A255,'Maliyet Giris'!$A$2:$A$550,0))&lt;=5,102,IF(INDEX('Maliyet Giris'!$G$2:$G$550,MATCH($A255,'Maliyet Giris'!$A$2:$A$550,0))&lt;=10,159.74,IF(INDEX('Maliyet Giris'!$G$2:$G$550,MATCH($A255,'Maliyet Giris'!$A$2:$A$550,0))&lt;=15,187.5,IF(INDEX('Maliyet Giris'!$G$2:$G$550,MATCH($A255,'Maliyet Giris'!$A$2:$A$550,0))&lt;=20,225,299))))))),""))</f>
        <v/>
      </c>
      <c r="G255" s="14" t="str">
        <f t="array" ref="G255">IF($A255="","",IFERROR(INDEX('Maliyet Giris'!$F$2:$F$550,MATCH($A255,'Maliyet Giris'!$A$2:$A$550,0)),""))</f>
        <v/>
      </c>
      <c r="H255" s="14" t="str">
        <f t="shared" si="1"/>
        <v/>
      </c>
      <c r="I255" s="14" t="str">
        <f t="shared" si="2"/>
        <v/>
      </c>
      <c r="J255" s="14" t="str">
        <f t="shared" si="3"/>
        <v/>
      </c>
      <c r="K255" s="14" t="str">
        <f t="shared" si="4"/>
        <v/>
      </c>
      <c r="L255" s="15" t="str">
        <f t="shared" si="5"/>
        <v/>
      </c>
      <c r="M255" s="17" t="str">
        <f t="shared" si="6"/>
        <v/>
      </c>
      <c r="N255" s="17" t="str">
        <f t="shared" si="7"/>
        <v/>
      </c>
      <c r="O255" s="17" t="str">
        <f t="array" ref="O255">IF($A255="","",IFERROR(INDEX('Maliyet Giris'!$G$2:$G$550,MATCH($A255,'Maliyet Giris'!$A$2:$A$550,0)),""))</f>
        <v/>
      </c>
      <c r="P255" s="17" t="str">
        <f t="shared" si="8"/>
        <v/>
      </c>
      <c r="Q255" s="17" t="str">
        <f t="shared" si="9"/>
        <v/>
      </c>
      <c r="R255" s="14" t="str">
        <f t="shared" si="10"/>
        <v/>
      </c>
      <c r="S255" s="14" t="str">
        <f t="shared" si="11"/>
        <v/>
      </c>
      <c r="T255" s="17" t="str">
        <f t="shared" si="12"/>
        <v/>
      </c>
      <c r="U255" s="17" t="str">
        <f t="shared" si="13"/>
        <v/>
      </c>
    </row>
    <row r="256">
      <c r="A256" s="2"/>
      <c r="C256" s="28"/>
      <c r="D256" s="14"/>
      <c r="E256" s="14" t="str">
        <f t="array" ref="E256">IF($A256="","",IFERROR($D256*IF($D256&gt;=INDEX('Komisyon Tarifesi'!$I$2:$I$1000,MATCH($A256,'Komisyon Tarifesi'!$B$2:$B$1000,0)),INDEX('Komisyon Tarifesi'!$O$2:$O$1000,MATCH($A256,'Komisyon Tarifesi'!$B$2:$B$1000,0)),IF($D256&gt;=INDEX('Komisyon Tarifesi'!$K$2:$K$1000,MATCH($A256,'Komisyon Tarifesi'!$B$2:$B$1000,0)),INDEX('Komisyon Tarifesi'!$P$2:$P$1000,MATCH($A256,'Komisyon Tarifesi'!$B$2:$B$1000,0)),IF($D256&gt;=INDEX('Komisyon Tarifesi'!$M$2:$M$1000,MATCH($A256,'Komisyon Tarifesi'!$B$2:$B$1000,0)),INDEX('Komisyon Tarifesi'!$Q$2:$Q$1000,MATCH($A256,'Komisyon Tarifesi'!$B$2:$B$1000,0)),INDEX('Komisyon Tarifesi'!$R$2:$R$1000,MATCH($A256,'Komisyon Tarifesi'!$B$2:$B$1000,0)))))/100,IFERROR(IF(VLOOKUP($A256,Products!$A$2:$W$1000,21,0)&lt;&gt;"",$D256*VLOOKUP($A256,Products!$A$2:$W$1000,21,0)/100,""),"")))</f>
        <v/>
      </c>
      <c r="F256" s="14" t="str">
        <f t="array" ref="F256">IF($A256="","",IFERROR(IF(INDEX('Maliyet Giris'!$G$2:$G$550,MATCH($A256,'Maliyet Giris'!$A$2:$A$550,0))="","",IF(INDEX('Maliyet Giris'!$G$2:$G$550,MATCH($A256,'Maliyet Giris'!$A$2:$A$550,0))&lt;=2,86.4,IF(INDEX('Maliyet Giris'!$G$2:$G$550,MATCH($A256,'Maliyet Giris'!$A$2:$A$550,0))&lt;=3,90,IF(INDEX('Maliyet Giris'!$G$2:$G$550,MATCH($A256,'Maliyet Giris'!$A$2:$A$550,0))&lt;=5,102,IF(INDEX('Maliyet Giris'!$G$2:$G$550,MATCH($A256,'Maliyet Giris'!$A$2:$A$550,0))&lt;=10,159.74,IF(INDEX('Maliyet Giris'!$G$2:$G$550,MATCH($A256,'Maliyet Giris'!$A$2:$A$550,0))&lt;=15,187.5,IF(INDEX('Maliyet Giris'!$G$2:$G$550,MATCH($A256,'Maliyet Giris'!$A$2:$A$550,0))&lt;=20,225,299))))))),""))</f>
        <v/>
      </c>
      <c r="G256" s="14" t="str">
        <f t="array" ref="G256">IF($A256="","",IFERROR(INDEX('Maliyet Giris'!$F$2:$F$550,MATCH($A256,'Maliyet Giris'!$A$2:$A$550,0)),""))</f>
        <v/>
      </c>
      <c r="H256" s="14" t="str">
        <f t="shared" si="1"/>
        <v/>
      </c>
      <c r="I256" s="14" t="str">
        <f t="shared" si="2"/>
        <v/>
      </c>
      <c r="J256" s="14" t="str">
        <f t="shared" si="3"/>
        <v/>
      </c>
      <c r="K256" s="14" t="str">
        <f t="shared" si="4"/>
        <v/>
      </c>
      <c r="L256" s="15" t="str">
        <f t="shared" si="5"/>
        <v/>
      </c>
      <c r="M256" s="17" t="str">
        <f t="shared" si="6"/>
        <v/>
      </c>
      <c r="N256" s="17" t="str">
        <f t="shared" si="7"/>
        <v/>
      </c>
      <c r="O256" s="17" t="str">
        <f t="array" ref="O256">IF($A256="","",IFERROR(INDEX('Maliyet Giris'!$G$2:$G$550,MATCH($A256,'Maliyet Giris'!$A$2:$A$550,0)),""))</f>
        <v/>
      </c>
      <c r="P256" s="17" t="str">
        <f t="shared" si="8"/>
        <v/>
      </c>
      <c r="Q256" s="17" t="str">
        <f t="shared" si="9"/>
        <v/>
      </c>
      <c r="R256" s="14" t="str">
        <f t="shared" si="10"/>
        <v/>
      </c>
      <c r="S256" s="14" t="str">
        <f t="shared" si="11"/>
        <v/>
      </c>
      <c r="T256" s="17" t="str">
        <f t="shared" si="12"/>
        <v/>
      </c>
      <c r="U256" s="17" t="str">
        <f t="shared" si="13"/>
        <v/>
      </c>
    </row>
    <row r="257">
      <c r="A257" s="2"/>
      <c r="C257" s="28"/>
      <c r="D257" s="14"/>
      <c r="E257" s="14" t="str">
        <f t="array" ref="E257">IF($A257="","",IFERROR($D257*IF($D257&gt;=INDEX('Komisyon Tarifesi'!$I$2:$I$1000,MATCH($A257,'Komisyon Tarifesi'!$B$2:$B$1000,0)),INDEX('Komisyon Tarifesi'!$O$2:$O$1000,MATCH($A257,'Komisyon Tarifesi'!$B$2:$B$1000,0)),IF($D257&gt;=INDEX('Komisyon Tarifesi'!$K$2:$K$1000,MATCH($A257,'Komisyon Tarifesi'!$B$2:$B$1000,0)),INDEX('Komisyon Tarifesi'!$P$2:$P$1000,MATCH($A257,'Komisyon Tarifesi'!$B$2:$B$1000,0)),IF($D257&gt;=INDEX('Komisyon Tarifesi'!$M$2:$M$1000,MATCH($A257,'Komisyon Tarifesi'!$B$2:$B$1000,0)),INDEX('Komisyon Tarifesi'!$Q$2:$Q$1000,MATCH($A257,'Komisyon Tarifesi'!$B$2:$B$1000,0)),INDEX('Komisyon Tarifesi'!$R$2:$R$1000,MATCH($A257,'Komisyon Tarifesi'!$B$2:$B$1000,0)))))/100,IFERROR(IF(VLOOKUP($A257,Products!$A$2:$W$1000,21,0)&lt;&gt;"",$D257*VLOOKUP($A257,Products!$A$2:$W$1000,21,0)/100,""),"")))</f>
        <v/>
      </c>
      <c r="F257" s="14" t="str">
        <f t="array" ref="F257">IF($A257="","",IFERROR(IF(INDEX('Maliyet Giris'!$G$2:$G$550,MATCH($A257,'Maliyet Giris'!$A$2:$A$550,0))="","",IF(INDEX('Maliyet Giris'!$G$2:$G$550,MATCH($A257,'Maliyet Giris'!$A$2:$A$550,0))&lt;=2,86.4,IF(INDEX('Maliyet Giris'!$G$2:$G$550,MATCH($A257,'Maliyet Giris'!$A$2:$A$550,0))&lt;=3,90,IF(INDEX('Maliyet Giris'!$G$2:$G$550,MATCH($A257,'Maliyet Giris'!$A$2:$A$550,0))&lt;=5,102,IF(INDEX('Maliyet Giris'!$G$2:$G$550,MATCH($A257,'Maliyet Giris'!$A$2:$A$550,0))&lt;=10,159.74,IF(INDEX('Maliyet Giris'!$G$2:$G$550,MATCH($A257,'Maliyet Giris'!$A$2:$A$550,0))&lt;=15,187.5,IF(INDEX('Maliyet Giris'!$G$2:$G$550,MATCH($A257,'Maliyet Giris'!$A$2:$A$550,0))&lt;=20,225,299))))))),""))</f>
        <v/>
      </c>
      <c r="G257" s="14" t="str">
        <f t="array" ref="G257">IF($A257="","",IFERROR(INDEX('Maliyet Giris'!$F$2:$F$550,MATCH($A257,'Maliyet Giris'!$A$2:$A$550,0)),""))</f>
        <v/>
      </c>
      <c r="H257" s="14" t="str">
        <f t="shared" si="1"/>
        <v/>
      </c>
      <c r="I257" s="14" t="str">
        <f t="shared" si="2"/>
        <v/>
      </c>
      <c r="J257" s="14" t="str">
        <f t="shared" si="3"/>
        <v/>
      </c>
      <c r="K257" s="14" t="str">
        <f t="shared" si="4"/>
        <v/>
      </c>
      <c r="L257" s="15" t="str">
        <f t="shared" si="5"/>
        <v/>
      </c>
      <c r="M257" s="17" t="str">
        <f t="shared" si="6"/>
        <v/>
      </c>
      <c r="N257" s="17" t="str">
        <f t="shared" si="7"/>
        <v/>
      </c>
      <c r="O257" s="17" t="str">
        <f t="array" ref="O257">IF($A257="","",IFERROR(INDEX('Maliyet Giris'!$G$2:$G$550,MATCH($A257,'Maliyet Giris'!$A$2:$A$550,0)),""))</f>
        <v/>
      </c>
      <c r="P257" s="17" t="str">
        <f t="shared" si="8"/>
        <v/>
      </c>
      <c r="Q257" s="17" t="str">
        <f t="shared" si="9"/>
        <v/>
      </c>
      <c r="R257" s="14" t="str">
        <f t="shared" si="10"/>
        <v/>
      </c>
      <c r="S257" s="14" t="str">
        <f t="shared" si="11"/>
        <v/>
      </c>
      <c r="T257" s="17" t="str">
        <f t="shared" si="12"/>
        <v/>
      </c>
      <c r="U257" s="17" t="str">
        <f t="shared" si="13"/>
        <v/>
      </c>
    </row>
    <row r="258">
      <c r="A258" s="2"/>
      <c r="C258" s="28"/>
      <c r="D258" s="14"/>
      <c r="E258" s="14" t="str">
        <f t="array" ref="E258">IF($A258="","",IFERROR($D258*IF($D258&gt;=INDEX('Komisyon Tarifesi'!$I$2:$I$1000,MATCH($A258,'Komisyon Tarifesi'!$B$2:$B$1000,0)),INDEX('Komisyon Tarifesi'!$O$2:$O$1000,MATCH($A258,'Komisyon Tarifesi'!$B$2:$B$1000,0)),IF($D258&gt;=INDEX('Komisyon Tarifesi'!$K$2:$K$1000,MATCH($A258,'Komisyon Tarifesi'!$B$2:$B$1000,0)),INDEX('Komisyon Tarifesi'!$P$2:$P$1000,MATCH($A258,'Komisyon Tarifesi'!$B$2:$B$1000,0)),IF($D258&gt;=INDEX('Komisyon Tarifesi'!$M$2:$M$1000,MATCH($A258,'Komisyon Tarifesi'!$B$2:$B$1000,0)),INDEX('Komisyon Tarifesi'!$Q$2:$Q$1000,MATCH($A258,'Komisyon Tarifesi'!$B$2:$B$1000,0)),INDEX('Komisyon Tarifesi'!$R$2:$R$1000,MATCH($A258,'Komisyon Tarifesi'!$B$2:$B$1000,0)))))/100,IFERROR(IF(VLOOKUP($A258,Products!$A$2:$W$1000,21,0)&lt;&gt;"",$D258*VLOOKUP($A258,Products!$A$2:$W$1000,21,0)/100,""),"")))</f>
        <v/>
      </c>
      <c r="F258" s="14" t="str">
        <f t="array" ref="F258">IF($A258="","",IFERROR(IF(INDEX('Maliyet Giris'!$G$2:$G$550,MATCH($A258,'Maliyet Giris'!$A$2:$A$550,0))="","",IF(INDEX('Maliyet Giris'!$G$2:$G$550,MATCH($A258,'Maliyet Giris'!$A$2:$A$550,0))&lt;=2,86.4,IF(INDEX('Maliyet Giris'!$G$2:$G$550,MATCH($A258,'Maliyet Giris'!$A$2:$A$550,0))&lt;=3,90,IF(INDEX('Maliyet Giris'!$G$2:$G$550,MATCH($A258,'Maliyet Giris'!$A$2:$A$550,0))&lt;=5,102,IF(INDEX('Maliyet Giris'!$G$2:$G$550,MATCH($A258,'Maliyet Giris'!$A$2:$A$550,0))&lt;=10,159.74,IF(INDEX('Maliyet Giris'!$G$2:$G$550,MATCH($A258,'Maliyet Giris'!$A$2:$A$550,0))&lt;=15,187.5,IF(INDEX('Maliyet Giris'!$G$2:$G$550,MATCH($A258,'Maliyet Giris'!$A$2:$A$550,0))&lt;=20,225,299))))))),""))</f>
        <v/>
      </c>
      <c r="G258" s="14" t="str">
        <f t="array" ref="G258">IF($A258="","",IFERROR(INDEX('Maliyet Giris'!$F$2:$F$550,MATCH($A258,'Maliyet Giris'!$A$2:$A$550,0)),""))</f>
        <v/>
      </c>
      <c r="H258" s="14" t="str">
        <f t="shared" si="1"/>
        <v/>
      </c>
      <c r="I258" s="14" t="str">
        <f t="shared" si="2"/>
        <v/>
      </c>
      <c r="J258" s="14" t="str">
        <f t="shared" si="3"/>
        <v/>
      </c>
      <c r="K258" s="14" t="str">
        <f t="shared" si="4"/>
        <v/>
      </c>
      <c r="L258" s="15" t="str">
        <f t="shared" si="5"/>
        <v/>
      </c>
      <c r="M258" s="17" t="str">
        <f t="shared" si="6"/>
        <v/>
      </c>
      <c r="N258" s="17" t="str">
        <f t="shared" si="7"/>
        <v/>
      </c>
      <c r="O258" s="17" t="str">
        <f t="array" ref="O258">IF($A258="","",IFERROR(INDEX('Maliyet Giris'!$G$2:$G$550,MATCH($A258,'Maliyet Giris'!$A$2:$A$550,0)),""))</f>
        <v/>
      </c>
      <c r="P258" s="17" t="str">
        <f t="shared" si="8"/>
        <v/>
      </c>
      <c r="Q258" s="17" t="str">
        <f t="shared" si="9"/>
        <v/>
      </c>
      <c r="R258" s="14" t="str">
        <f t="shared" si="10"/>
        <v/>
      </c>
      <c r="S258" s="14" t="str">
        <f t="shared" si="11"/>
        <v/>
      </c>
      <c r="T258" s="17" t="str">
        <f t="shared" si="12"/>
        <v/>
      </c>
      <c r="U258" s="17" t="str">
        <f t="shared" si="13"/>
        <v/>
      </c>
    </row>
    <row r="259">
      <c r="A259" s="2"/>
      <c r="C259" s="28"/>
      <c r="D259" s="14"/>
      <c r="E259" s="14" t="str">
        <f t="array" ref="E259">IF($A259="","",IFERROR($D259*IF($D259&gt;=INDEX('Komisyon Tarifesi'!$I$2:$I$1000,MATCH($A259,'Komisyon Tarifesi'!$B$2:$B$1000,0)),INDEX('Komisyon Tarifesi'!$O$2:$O$1000,MATCH($A259,'Komisyon Tarifesi'!$B$2:$B$1000,0)),IF($D259&gt;=INDEX('Komisyon Tarifesi'!$K$2:$K$1000,MATCH($A259,'Komisyon Tarifesi'!$B$2:$B$1000,0)),INDEX('Komisyon Tarifesi'!$P$2:$P$1000,MATCH($A259,'Komisyon Tarifesi'!$B$2:$B$1000,0)),IF($D259&gt;=INDEX('Komisyon Tarifesi'!$M$2:$M$1000,MATCH($A259,'Komisyon Tarifesi'!$B$2:$B$1000,0)),INDEX('Komisyon Tarifesi'!$Q$2:$Q$1000,MATCH($A259,'Komisyon Tarifesi'!$B$2:$B$1000,0)),INDEX('Komisyon Tarifesi'!$R$2:$R$1000,MATCH($A259,'Komisyon Tarifesi'!$B$2:$B$1000,0)))))/100,IFERROR(IF(VLOOKUP($A259,Products!$A$2:$W$1000,21,0)&lt;&gt;"",$D259*VLOOKUP($A259,Products!$A$2:$W$1000,21,0)/100,""),"")))</f>
        <v/>
      </c>
      <c r="F259" s="14" t="str">
        <f t="array" ref="F259">IF($A259="","",IFERROR(IF(INDEX('Maliyet Giris'!$G$2:$G$550,MATCH($A259,'Maliyet Giris'!$A$2:$A$550,0))="","",IF(INDEX('Maliyet Giris'!$G$2:$G$550,MATCH($A259,'Maliyet Giris'!$A$2:$A$550,0))&lt;=2,86.4,IF(INDEX('Maliyet Giris'!$G$2:$G$550,MATCH($A259,'Maliyet Giris'!$A$2:$A$550,0))&lt;=3,90,IF(INDEX('Maliyet Giris'!$G$2:$G$550,MATCH($A259,'Maliyet Giris'!$A$2:$A$550,0))&lt;=5,102,IF(INDEX('Maliyet Giris'!$G$2:$G$550,MATCH($A259,'Maliyet Giris'!$A$2:$A$550,0))&lt;=10,159.74,IF(INDEX('Maliyet Giris'!$G$2:$G$550,MATCH($A259,'Maliyet Giris'!$A$2:$A$550,0))&lt;=15,187.5,IF(INDEX('Maliyet Giris'!$G$2:$G$550,MATCH($A259,'Maliyet Giris'!$A$2:$A$550,0))&lt;=20,225,299))))))),""))</f>
        <v/>
      </c>
      <c r="G259" s="14" t="str">
        <f t="array" ref="G259">IF($A259="","",IFERROR(INDEX('Maliyet Giris'!$F$2:$F$550,MATCH($A259,'Maliyet Giris'!$A$2:$A$550,0)),""))</f>
        <v/>
      </c>
      <c r="H259" s="14" t="str">
        <f t="shared" si="1"/>
        <v/>
      </c>
      <c r="I259" s="14" t="str">
        <f t="shared" si="2"/>
        <v/>
      </c>
      <c r="J259" s="14" t="str">
        <f t="shared" si="3"/>
        <v/>
      </c>
      <c r="K259" s="14" t="str">
        <f t="shared" si="4"/>
        <v/>
      </c>
      <c r="L259" s="15" t="str">
        <f t="shared" si="5"/>
        <v/>
      </c>
      <c r="M259" s="17" t="str">
        <f t="shared" si="6"/>
        <v/>
      </c>
      <c r="N259" s="17" t="str">
        <f t="shared" si="7"/>
        <v/>
      </c>
      <c r="O259" s="17" t="str">
        <f t="array" ref="O259">IF($A259="","",IFERROR(INDEX('Maliyet Giris'!$G$2:$G$550,MATCH($A259,'Maliyet Giris'!$A$2:$A$550,0)),""))</f>
        <v/>
      </c>
      <c r="P259" s="17" t="str">
        <f t="shared" si="8"/>
        <v/>
      </c>
      <c r="Q259" s="17" t="str">
        <f t="shared" si="9"/>
        <v/>
      </c>
      <c r="R259" s="14" t="str">
        <f t="shared" si="10"/>
        <v/>
      </c>
      <c r="S259" s="14" t="str">
        <f t="shared" si="11"/>
        <v/>
      </c>
      <c r="T259" s="17" t="str">
        <f t="shared" si="12"/>
        <v/>
      </c>
      <c r="U259" s="17" t="str">
        <f t="shared" si="13"/>
        <v/>
      </c>
    </row>
    <row r="260">
      <c r="A260" s="2"/>
      <c r="C260" s="28"/>
      <c r="D260" s="14"/>
      <c r="E260" s="14" t="str">
        <f t="array" ref="E260">IF($A260="","",IFERROR($D260*IF($D260&gt;=INDEX('Komisyon Tarifesi'!$I$2:$I$1000,MATCH($A260,'Komisyon Tarifesi'!$B$2:$B$1000,0)),INDEX('Komisyon Tarifesi'!$O$2:$O$1000,MATCH($A260,'Komisyon Tarifesi'!$B$2:$B$1000,0)),IF($D260&gt;=INDEX('Komisyon Tarifesi'!$K$2:$K$1000,MATCH($A260,'Komisyon Tarifesi'!$B$2:$B$1000,0)),INDEX('Komisyon Tarifesi'!$P$2:$P$1000,MATCH($A260,'Komisyon Tarifesi'!$B$2:$B$1000,0)),IF($D260&gt;=INDEX('Komisyon Tarifesi'!$M$2:$M$1000,MATCH($A260,'Komisyon Tarifesi'!$B$2:$B$1000,0)),INDEX('Komisyon Tarifesi'!$Q$2:$Q$1000,MATCH($A260,'Komisyon Tarifesi'!$B$2:$B$1000,0)),INDEX('Komisyon Tarifesi'!$R$2:$R$1000,MATCH($A260,'Komisyon Tarifesi'!$B$2:$B$1000,0)))))/100,IFERROR(IF(VLOOKUP($A260,Products!$A$2:$W$1000,21,0)&lt;&gt;"",$D260*VLOOKUP($A260,Products!$A$2:$W$1000,21,0)/100,""),"")))</f>
        <v/>
      </c>
      <c r="F260" s="14" t="str">
        <f t="array" ref="F260">IF($A260="","",IFERROR(IF(INDEX('Maliyet Giris'!$G$2:$G$550,MATCH($A260,'Maliyet Giris'!$A$2:$A$550,0))="","",IF(INDEX('Maliyet Giris'!$G$2:$G$550,MATCH($A260,'Maliyet Giris'!$A$2:$A$550,0))&lt;=2,86.4,IF(INDEX('Maliyet Giris'!$G$2:$G$550,MATCH($A260,'Maliyet Giris'!$A$2:$A$550,0))&lt;=3,90,IF(INDEX('Maliyet Giris'!$G$2:$G$550,MATCH($A260,'Maliyet Giris'!$A$2:$A$550,0))&lt;=5,102,IF(INDEX('Maliyet Giris'!$G$2:$G$550,MATCH($A260,'Maliyet Giris'!$A$2:$A$550,0))&lt;=10,159.74,IF(INDEX('Maliyet Giris'!$G$2:$G$550,MATCH($A260,'Maliyet Giris'!$A$2:$A$550,0))&lt;=15,187.5,IF(INDEX('Maliyet Giris'!$G$2:$G$550,MATCH($A260,'Maliyet Giris'!$A$2:$A$550,0))&lt;=20,225,299))))))),""))</f>
        <v/>
      </c>
      <c r="G260" s="14" t="str">
        <f t="array" ref="G260">IF($A260="","",IFERROR(INDEX('Maliyet Giris'!$F$2:$F$550,MATCH($A260,'Maliyet Giris'!$A$2:$A$550,0)),""))</f>
        <v/>
      </c>
      <c r="H260" s="14" t="str">
        <f t="shared" si="1"/>
        <v/>
      </c>
      <c r="I260" s="14" t="str">
        <f t="shared" si="2"/>
        <v/>
      </c>
      <c r="J260" s="14" t="str">
        <f t="shared" si="3"/>
        <v/>
      </c>
      <c r="K260" s="14" t="str">
        <f t="shared" si="4"/>
        <v/>
      </c>
      <c r="L260" s="15" t="str">
        <f t="shared" si="5"/>
        <v/>
      </c>
      <c r="M260" s="17" t="str">
        <f t="shared" si="6"/>
        <v/>
      </c>
      <c r="N260" s="17" t="str">
        <f t="shared" si="7"/>
        <v/>
      </c>
      <c r="O260" s="17" t="str">
        <f t="array" ref="O260">IF($A260="","",IFERROR(INDEX('Maliyet Giris'!$G$2:$G$550,MATCH($A260,'Maliyet Giris'!$A$2:$A$550,0)),""))</f>
        <v/>
      </c>
      <c r="P260" s="17" t="str">
        <f t="shared" si="8"/>
        <v/>
      </c>
      <c r="Q260" s="17" t="str">
        <f t="shared" si="9"/>
        <v/>
      </c>
      <c r="R260" s="14" t="str">
        <f t="shared" si="10"/>
        <v/>
      </c>
      <c r="S260" s="14" t="str">
        <f t="shared" si="11"/>
        <v/>
      </c>
      <c r="T260" s="17" t="str">
        <f t="shared" si="12"/>
        <v/>
      </c>
      <c r="U260" s="17" t="str">
        <f t="shared" si="13"/>
        <v/>
      </c>
    </row>
    <row r="261">
      <c r="A261" s="2"/>
      <c r="C261" s="28"/>
      <c r="D261" s="14"/>
      <c r="E261" s="14" t="str">
        <f t="array" ref="E261">IF($A261="","",IFERROR($D261*IF($D261&gt;=INDEX('Komisyon Tarifesi'!$I$2:$I$1000,MATCH($A261,'Komisyon Tarifesi'!$B$2:$B$1000,0)),INDEX('Komisyon Tarifesi'!$O$2:$O$1000,MATCH($A261,'Komisyon Tarifesi'!$B$2:$B$1000,0)),IF($D261&gt;=INDEX('Komisyon Tarifesi'!$K$2:$K$1000,MATCH($A261,'Komisyon Tarifesi'!$B$2:$B$1000,0)),INDEX('Komisyon Tarifesi'!$P$2:$P$1000,MATCH($A261,'Komisyon Tarifesi'!$B$2:$B$1000,0)),IF($D261&gt;=INDEX('Komisyon Tarifesi'!$M$2:$M$1000,MATCH($A261,'Komisyon Tarifesi'!$B$2:$B$1000,0)),INDEX('Komisyon Tarifesi'!$Q$2:$Q$1000,MATCH($A261,'Komisyon Tarifesi'!$B$2:$B$1000,0)),INDEX('Komisyon Tarifesi'!$R$2:$R$1000,MATCH($A261,'Komisyon Tarifesi'!$B$2:$B$1000,0)))))/100,IFERROR(IF(VLOOKUP($A261,Products!$A$2:$W$1000,21,0)&lt;&gt;"",$D261*VLOOKUP($A261,Products!$A$2:$W$1000,21,0)/100,""),"")))</f>
        <v/>
      </c>
      <c r="F261" s="14" t="str">
        <f t="array" ref="F261">IF($A261="","",IFERROR(IF(INDEX('Maliyet Giris'!$G$2:$G$550,MATCH($A261,'Maliyet Giris'!$A$2:$A$550,0))="","",IF(INDEX('Maliyet Giris'!$G$2:$G$550,MATCH($A261,'Maliyet Giris'!$A$2:$A$550,0))&lt;=2,86.4,IF(INDEX('Maliyet Giris'!$G$2:$G$550,MATCH($A261,'Maliyet Giris'!$A$2:$A$550,0))&lt;=3,90,IF(INDEX('Maliyet Giris'!$G$2:$G$550,MATCH($A261,'Maliyet Giris'!$A$2:$A$550,0))&lt;=5,102,IF(INDEX('Maliyet Giris'!$G$2:$G$550,MATCH($A261,'Maliyet Giris'!$A$2:$A$550,0))&lt;=10,159.74,IF(INDEX('Maliyet Giris'!$G$2:$G$550,MATCH($A261,'Maliyet Giris'!$A$2:$A$550,0))&lt;=15,187.5,IF(INDEX('Maliyet Giris'!$G$2:$G$550,MATCH($A261,'Maliyet Giris'!$A$2:$A$550,0))&lt;=20,225,299))))))),""))</f>
        <v/>
      </c>
      <c r="G261" s="14" t="str">
        <f t="array" ref="G261">IF($A261="","",IFERROR(INDEX('Maliyet Giris'!$F$2:$F$550,MATCH($A261,'Maliyet Giris'!$A$2:$A$550,0)),""))</f>
        <v/>
      </c>
      <c r="H261" s="14" t="str">
        <f t="shared" si="1"/>
        <v/>
      </c>
      <c r="I261" s="14" t="str">
        <f t="shared" si="2"/>
        <v/>
      </c>
      <c r="J261" s="14" t="str">
        <f t="shared" si="3"/>
        <v/>
      </c>
      <c r="K261" s="14" t="str">
        <f t="shared" si="4"/>
        <v/>
      </c>
      <c r="L261" s="15" t="str">
        <f t="shared" si="5"/>
        <v/>
      </c>
      <c r="M261" s="17" t="str">
        <f t="shared" si="6"/>
        <v/>
      </c>
      <c r="N261" s="17" t="str">
        <f t="shared" si="7"/>
        <v/>
      </c>
      <c r="O261" s="17" t="str">
        <f t="array" ref="O261">IF($A261="","",IFERROR(INDEX('Maliyet Giris'!$G$2:$G$550,MATCH($A261,'Maliyet Giris'!$A$2:$A$550,0)),""))</f>
        <v/>
      </c>
      <c r="P261" s="17" t="str">
        <f t="shared" si="8"/>
        <v/>
      </c>
      <c r="Q261" s="17" t="str">
        <f t="shared" si="9"/>
        <v/>
      </c>
      <c r="R261" s="14" t="str">
        <f t="shared" si="10"/>
        <v/>
      </c>
      <c r="S261" s="14" t="str">
        <f t="shared" si="11"/>
        <v/>
      </c>
      <c r="T261" s="17" t="str">
        <f t="shared" si="12"/>
        <v/>
      </c>
      <c r="U261" s="17" t="str">
        <f t="shared" si="13"/>
        <v/>
      </c>
    </row>
    <row r="262">
      <c r="A262" s="2"/>
      <c r="C262" s="28"/>
      <c r="D262" s="14"/>
      <c r="E262" s="14" t="str">
        <f t="array" ref="E262">IF($A262="","",IFERROR($D262*IF($D262&gt;=INDEX('Komisyon Tarifesi'!$I$2:$I$1000,MATCH($A262,'Komisyon Tarifesi'!$B$2:$B$1000,0)),INDEX('Komisyon Tarifesi'!$O$2:$O$1000,MATCH($A262,'Komisyon Tarifesi'!$B$2:$B$1000,0)),IF($D262&gt;=INDEX('Komisyon Tarifesi'!$K$2:$K$1000,MATCH($A262,'Komisyon Tarifesi'!$B$2:$B$1000,0)),INDEX('Komisyon Tarifesi'!$P$2:$P$1000,MATCH($A262,'Komisyon Tarifesi'!$B$2:$B$1000,0)),IF($D262&gt;=INDEX('Komisyon Tarifesi'!$M$2:$M$1000,MATCH($A262,'Komisyon Tarifesi'!$B$2:$B$1000,0)),INDEX('Komisyon Tarifesi'!$Q$2:$Q$1000,MATCH($A262,'Komisyon Tarifesi'!$B$2:$B$1000,0)),INDEX('Komisyon Tarifesi'!$R$2:$R$1000,MATCH($A262,'Komisyon Tarifesi'!$B$2:$B$1000,0)))))/100,IFERROR(IF(VLOOKUP($A262,Products!$A$2:$W$1000,21,0)&lt;&gt;"",$D262*VLOOKUP($A262,Products!$A$2:$W$1000,21,0)/100,""),"")))</f>
        <v/>
      </c>
      <c r="F262" s="14" t="str">
        <f t="array" ref="F262">IF($A262="","",IFERROR(IF(INDEX('Maliyet Giris'!$G$2:$G$550,MATCH($A262,'Maliyet Giris'!$A$2:$A$550,0))="","",IF(INDEX('Maliyet Giris'!$G$2:$G$550,MATCH($A262,'Maliyet Giris'!$A$2:$A$550,0))&lt;=2,86.4,IF(INDEX('Maliyet Giris'!$G$2:$G$550,MATCH($A262,'Maliyet Giris'!$A$2:$A$550,0))&lt;=3,90,IF(INDEX('Maliyet Giris'!$G$2:$G$550,MATCH($A262,'Maliyet Giris'!$A$2:$A$550,0))&lt;=5,102,IF(INDEX('Maliyet Giris'!$G$2:$G$550,MATCH($A262,'Maliyet Giris'!$A$2:$A$550,0))&lt;=10,159.74,IF(INDEX('Maliyet Giris'!$G$2:$G$550,MATCH($A262,'Maliyet Giris'!$A$2:$A$550,0))&lt;=15,187.5,IF(INDEX('Maliyet Giris'!$G$2:$G$550,MATCH($A262,'Maliyet Giris'!$A$2:$A$550,0))&lt;=20,225,299))))))),""))</f>
        <v/>
      </c>
      <c r="G262" s="14" t="str">
        <f t="array" ref="G262">IF($A262="","",IFERROR(INDEX('Maliyet Giris'!$F$2:$F$550,MATCH($A262,'Maliyet Giris'!$A$2:$A$550,0)),""))</f>
        <v/>
      </c>
      <c r="H262" s="14" t="str">
        <f t="shared" si="1"/>
        <v/>
      </c>
      <c r="I262" s="14" t="str">
        <f t="shared" si="2"/>
        <v/>
      </c>
      <c r="J262" s="14" t="str">
        <f t="shared" si="3"/>
        <v/>
      </c>
      <c r="K262" s="14" t="str">
        <f t="shared" si="4"/>
        <v/>
      </c>
      <c r="L262" s="15" t="str">
        <f t="shared" si="5"/>
        <v/>
      </c>
      <c r="M262" s="17" t="str">
        <f t="shared" si="6"/>
        <v/>
      </c>
      <c r="N262" s="17" t="str">
        <f t="shared" si="7"/>
        <v/>
      </c>
      <c r="O262" s="17" t="str">
        <f t="array" ref="O262">IF($A262="","",IFERROR(INDEX('Maliyet Giris'!$G$2:$G$550,MATCH($A262,'Maliyet Giris'!$A$2:$A$550,0)),""))</f>
        <v/>
      </c>
      <c r="P262" s="17" t="str">
        <f t="shared" si="8"/>
        <v/>
      </c>
      <c r="Q262" s="17" t="str">
        <f t="shared" si="9"/>
        <v/>
      </c>
      <c r="R262" s="14" t="str">
        <f t="shared" si="10"/>
        <v/>
      </c>
      <c r="S262" s="14" t="str">
        <f t="shared" si="11"/>
        <v/>
      </c>
      <c r="T262" s="17" t="str">
        <f t="shared" si="12"/>
        <v/>
      </c>
      <c r="U262" s="17" t="str">
        <f t="shared" si="13"/>
        <v/>
      </c>
    </row>
    <row r="263">
      <c r="A263" s="2"/>
      <c r="C263" s="28"/>
      <c r="D263" s="14"/>
      <c r="E263" s="14" t="str">
        <f t="array" ref="E263">IF($A263="","",IFERROR($D263*IF($D263&gt;=INDEX('Komisyon Tarifesi'!$I$2:$I$1000,MATCH($A263,'Komisyon Tarifesi'!$B$2:$B$1000,0)),INDEX('Komisyon Tarifesi'!$O$2:$O$1000,MATCH($A263,'Komisyon Tarifesi'!$B$2:$B$1000,0)),IF($D263&gt;=INDEX('Komisyon Tarifesi'!$K$2:$K$1000,MATCH($A263,'Komisyon Tarifesi'!$B$2:$B$1000,0)),INDEX('Komisyon Tarifesi'!$P$2:$P$1000,MATCH($A263,'Komisyon Tarifesi'!$B$2:$B$1000,0)),IF($D263&gt;=INDEX('Komisyon Tarifesi'!$M$2:$M$1000,MATCH($A263,'Komisyon Tarifesi'!$B$2:$B$1000,0)),INDEX('Komisyon Tarifesi'!$Q$2:$Q$1000,MATCH($A263,'Komisyon Tarifesi'!$B$2:$B$1000,0)),INDEX('Komisyon Tarifesi'!$R$2:$R$1000,MATCH($A263,'Komisyon Tarifesi'!$B$2:$B$1000,0)))))/100,IFERROR(IF(VLOOKUP($A263,Products!$A$2:$W$1000,21,0)&lt;&gt;"",$D263*VLOOKUP($A263,Products!$A$2:$W$1000,21,0)/100,""),"")))</f>
        <v/>
      </c>
      <c r="F263" s="14" t="str">
        <f t="array" ref="F263">IF($A263="","",IFERROR(IF(INDEX('Maliyet Giris'!$G$2:$G$550,MATCH($A263,'Maliyet Giris'!$A$2:$A$550,0))="","",IF(INDEX('Maliyet Giris'!$G$2:$G$550,MATCH($A263,'Maliyet Giris'!$A$2:$A$550,0))&lt;=2,86.4,IF(INDEX('Maliyet Giris'!$G$2:$G$550,MATCH($A263,'Maliyet Giris'!$A$2:$A$550,0))&lt;=3,90,IF(INDEX('Maliyet Giris'!$G$2:$G$550,MATCH($A263,'Maliyet Giris'!$A$2:$A$550,0))&lt;=5,102,IF(INDEX('Maliyet Giris'!$G$2:$G$550,MATCH($A263,'Maliyet Giris'!$A$2:$A$550,0))&lt;=10,159.74,IF(INDEX('Maliyet Giris'!$G$2:$G$550,MATCH($A263,'Maliyet Giris'!$A$2:$A$550,0))&lt;=15,187.5,IF(INDEX('Maliyet Giris'!$G$2:$G$550,MATCH($A263,'Maliyet Giris'!$A$2:$A$550,0))&lt;=20,225,299))))))),""))</f>
        <v/>
      </c>
      <c r="G263" s="14" t="str">
        <f t="array" ref="G263">IF($A263="","",IFERROR(INDEX('Maliyet Giris'!$F$2:$F$550,MATCH($A263,'Maliyet Giris'!$A$2:$A$550,0)),""))</f>
        <v/>
      </c>
      <c r="H263" s="14" t="str">
        <f t="shared" si="1"/>
        <v/>
      </c>
      <c r="I263" s="14" t="str">
        <f t="shared" si="2"/>
        <v/>
      </c>
      <c r="J263" s="14" t="str">
        <f t="shared" si="3"/>
        <v/>
      </c>
      <c r="K263" s="14" t="str">
        <f t="shared" si="4"/>
        <v/>
      </c>
      <c r="L263" s="15" t="str">
        <f t="shared" si="5"/>
        <v/>
      </c>
      <c r="M263" s="17" t="str">
        <f t="shared" si="6"/>
        <v/>
      </c>
      <c r="N263" s="17" t="str">
        <f t="shared" si="7"/>
        <v/>
      </c>
      <c r="O263" s="17" t="str">
        <f t="array" ref="O263">IF($A263="","",IFERROR(INDEX('Maliyet Giris'!$G$2:$G$550,MATCH($A263,'Maliyet Giris'!$A$2:$A$550,0)),""))</f>
        <v/>
      </c>
      <c r="P263" s="17" t="str">
        <f t="shared" si="8"/>
        <v/>
      </c>
      <c r="Q263" s="17" t="str">
        <f t="shared" si="9"/>
        <v/>
      </c>
      <c r="R263" s="14" t="str">
        <f t="shared" si="10"/>
        <v/>
      </c>
      <c r="S263" s="14" t="str">
        <f t="shared" si="11"/>
        <v/>
      </c>
      <c r="T263" s="17" t="str">
        <f t="shared" si="12"/>
        <v/>
      </c>
      <c r="U263" s="17" t="str">
        <f t="shared" si="13"/>
        <v/>
      </c>
    </row>
    <row r="264">
      <c r="A264" s="2"/>
      <c r="C264" s="28"/>
      <c r="D264" s="14"/>
      <c r="E264" s="14" t="str">
        <f t="array" ref="E264">IF($A264="","",IFERROR($D264*IF($D264&gt;=INDEX('Komisyon Tarifesi'!$I$2:$I$1000,MATCH($A264,'Komisyon Tarifesi'!$B$2:$B$1000,0)),INDEX('Komisyon Tarifesi'!$O$2:$O$1000,MATCH($A264,'Komisyon Tarifesi'!$B$2:$B$1000,0)),IF($D264&gt;=INDEX('Komisyon Tarifesi'!$K$2:$K$1000,MATCH($A264,'Komisyon Tarifesi'!$B$2:$B$1000,0)),INDEX('Komisyon Tarifesi'!$P$2:$P$1000,MATCH($A264,'Komisyon Tarifesi'!$B$2:$B$1000,0)),IF($D264&gt;=INDEX('Komisyon Tarifesi'!$M$2:$M$1000,MATCH($A264,'Komisyon Tarifesi'!$B$2:$B$1000,0)),INDEX('Komisyon Tarifesi'!$Q$2:$Q$1000,MATCH($A264,'Komisyon Tarifesi'!$B$2:$B$1000,0)),INDEX('Komisyon Tarifesi'!$R$2:$R$1000,MATCH($A264,'Komisyon Tarifesi'!$B$2:$B$1000,0)))))/100,IFERROR(IF(VLOOKUP($A264,Products!$A$2:$W$1000,21,0)&lt;&gt;"",$D264*VLOOKUP($A264,Products!$A$2:$W$1000,21,0)/100,""),"")))</f>
        <v/>
      </c>
      <c r="F264" s="14" t="str">
        <f t="array" ref="F264">IF($A264="","",IFERROR(IF(INDEX('Maliyet Giris'!$G$2:$G$550,MATCH($A264,'Maliyet Giris'!$A$2:$A$550,0))="","",IF(INDEX('Maliyet Giris'!$G$2:$G$550,MATCH($A264,'Maliyet Giris'!$A$2:$A$550,0))&lt;=2,86.4,IF(INDEX('Maliyet Giris'!$G$2:$G$550,MATCH($A264,'Maliyet Giris'!$A$2:$A$550,0))&lt;=3,90,IF(INDEX('Maliyet Giris'!$G$2:$G$550,MATCH($A264,'Maliyet Giris'!$A$2:$A$550,0))&lt;=5,102,IF(INDEX('Maliyet Giris'!$G$2:$G$550,MATCH($A264,'Maliyet Giris'!$A$2:$A$550,0))&lt;=10,159.74,IF(INDEX('Maliyet Giris'!$G$2:$G$550,MATCH($A264,'Maliyet Giris'!$A$2:$A$550,0))&lt;=15,187.5,IF(INDEX('Maliyet Giris'!$G$2:$G$550,MATCH($A264,'Maliyet Giris'!$A$2:$A$550,0))&lt;=20,225,299))))))),""))</f>
        <v/>
      </c>
      <c r="G264" s="14" t="str">
        <f t="array" ref="G264">IF($A264="","",IFERROR(INDEX('Maliyet Giris'!$F$2:$F$550,MATCH($A264,'Maliyet Giris'!$A$2:$A$550,0)),""))</f>
        <v/>
      </c>
      <c r="H264" s="14" t="str">
        <f t="shared" si="1"/>
        <v/>
      </c>
      <c r="I264" s="14" t="str">
        <f t="shared" si="2"/>
        <v/>
      </c>
      <c r="J264" s="14" t="str">
        <f t="shared" si="3"/>
        <v/>
      </c>
      <c r="K264" s="14" t="str">
        <f t="shared" si="4"/>
        <v/>
      </c>
      <c r="L264" s="15" t="str">
        <f t="shared" si="5"/>
        <v/>
      </c>
      <c r="M264" s="17" t="str">
        <f t="shared" si="6"/>
        <v/>
      </c>
      <c r="N264" s="17" t="str">
        <f t="shared" si="7"/>
        <v/>
      </c>
      <c r="O264" s="17" t="str">
        <f t="array" ref="O264">IF($A264="","",IFERROR(INDEX('Maliyet Giris'!$G$2:$G$550,MATCH($A264,'Maliyet Giris'!$A$2:$A$550,0)),""))</f>
        <v/>
      </c>
      <c r="P264" s="17" t="str">
        <f t="shared" si="8"/>
        <v/>
      </c>
      <c r="Q264" s="17" t="str">
        <f t="shared" si="9"/>
        <v/>
      </c>
      <c r="R264" s="14" t="str">
        <f t="shared" si="10"/>
        <v/>
      </c>
      <c r="S264" s="14" t="str">
        <f t="shared" si="11"/>
        <v/>
      </c>
      <c r="T264" s="17" t="str">
        <f t="shared" si="12"/>
        <v/>
      </c>
      <c r="U264" s="17" t="str">
        <f t="shared" si="13"/>
        <v/>
      </c>
    </row>
    <row r="265">
      <c r="A265" s="2"/>
      <c r="C265" s="28"/>
      <c r="D265" s="14"/>
      <c r="E265" s="14" t="str">
        <f t="array" ref="E265">IF($A265="","",IFERROR($D265*IF($D265&gt;=INDEX('Komisyon Tarifesi'!$I$2:$I$1000,MATCH($A265,'Komisyon Tarifesi'!$B$2:$B$1000,0)),INDEX('Komisyon Tarifesi'!$O$2:$O$1000,MATCH($A265,'Komisyon Tarifesi'!$B$2:$B$1000,0)),IF($D265&gt;=INDEX('Komisyon Tarifesi'!$K$2:$K$1000,MATCH($A265,'Komisyon Tarifesi'!$B$2:$B$1000,0)),INDEX('Komisyon Tarifesi'!$P$2:$P$1000,MATCH($A265,'Komisyon Tarifesi'!$B$2:$B$1000,0)),IF($D265&gt;=INDEX('Komisyon Tarifesi'!$M$2:$M$1000,MATCH($A265,'Komisyon Tarifesi'!$B$2:$B$1000,0)),INDEX('Komisyon Tarifesi'!$Q$2:$Q$1000,MATCH($A265,'Komisyon Tarifesi'!$B$2:$B$1000,0)),INDEX('Komisyon Tarifesi'!$R$2:$R$1000,MATCH($A265,'Komisyon Tarifesi'!$B$2:$B$1000,0)))))/100,IFERROR(IF(VLOOKUP($A265,Products!$A$2:$W$1000,21,0)&lt;&gt;"",$D265*VLOOKUP($A265,Products!$A$2:$W$1000,21,0)/100,""),"")))</f>
        <v/>
      </c>
      <c r="F265" s="14" t="str">
        <f t="array" ref="F265">IF($A265="","",IFERROR(IF(INDEX('Maliyet Giris'!$G$2:$G$550,MATCH($A265,'Maliyet Giris'!$A$2:$A$550,0))="","",IF(INDEX('Maliyet Giris'!$G$2:$G$550,MATCH($A265,'Maliyet Giris'!$A$2:$A$550,0))&lt;=2,86.4,IF(INDEX('Maliyet Giris'!$G$2:$G$550,MATCH($A265,'Maliyet Giris'!$A$2:$A$550,0))&lt;=3,90,IF(INDEX('Maliyet Giris'!$G$2:$G$550,MATCH($A265,'Maliyet Giris'!$A$2:$A$550,0))&lt;=5,102,IF(INDEX('Maliyet Giris'!$G$2:$G$550,MATCH($A265,'Maliyet Giris'!$A$2:$A$550,0))&lt;=10,159.74,IF(INDEX('Maliyet Giris'!$G$2:$G$550,MATCH($A265,'Maliyet Giris'!$A$2:$A$550,0))&lt;=15,187.5,IF(INDEX('Maliyet Giris'!$G$2:$G$550,MATCH($A265,'Maliyet Giris'!$A$2:$A$550,0))&lt;=20,225,299))))))),""))</f>
        <v/>
      </c>
      <c r="G265" s="14" t="str">
        <f t="array" ref="G265">IF($A265="","",IFERROR(INDEX('Maliyet Giris'!$F$2:$F$550,MATCH($A265,'Maliyet Giris'!$A$2:$A$550,0)),""))</f>
        <v/>
      </c>
      <c r="H265" s="14" t="str">
        <f t="shared" si="1"/>
        <v/>
      </c>
      <c r="I265" s="14" t="str">
        <f t="shared" si="2"/>
        <v/>
      </c>
      <c r="J265" s="14" t="str">
        <f t="shared" si="3"/>
        <v/>
      </c>
      <c r="K265" s="14" t="str">
        <f t="shared" si="4"/>
        <v/>
      </c>
      <c r="L265" s="15" t="str">
        <f t="shared" si="5"/>
        <v/>
      </c>
      <c r="M265" s="17" t="str">
        <f t="shared" si="6"/>
        <v/>
      </c>
      <c r="N265" s="17" t="str">
        <f t="shared" si="7"/>
        <v/>
      </c>
      <c r="O265" s="17" t="str">
        <f t="array" ref="O265">IF($A265="","",IFERROR(INDEX('Maliyet Giris'!$G$2:$G$550,MATCH($A265,'Maliyet Giris'!$A$2:$A$550,0)),""))</f>
        <v/>
      </c>
      <c r="P265" s="17" t="str">
        <f t="shared" si="8"/>
        <v/>
      </c>
      <c r="Q265" s="17" t="str">
        <f t="shared" si="9"/>
        <v/>
      </c>
      <c r="R265" s="14" t="str">
        <f t="shared" si="10"/>
        <v/>
      </c>
      <c r="S265" s="14" t="str">
        <f t="shared" si="11"/>
        <v/>
      </c>
      <c r="T265" s="17" t="str">
        <f t="shared" si="12"/>
        <v/>
      </c>
      <c r="U265" s="17" t="str">
        <f t="shared" si="13"/>
        <v/>
      </c>
    </row>
    <row r="266">
      <c r="A266" s="2"/>
      <c r="C266" s="28"/>
      <c r="D266" s="14"/>
      <c r="E266" s="14" t="str">
        <f t="array" ref="E266">IF($A266="","",IFERROR($D266*IF($D266&gt;=INDEX('Komisyon Tarifesi'!$I$2:$I$1000,MATCH($A266,'Komisyon Tarifesi'!$B$2:$B$1000,0)),INDEX('Komisyon Tarifesi'!$O$2:$O$1000,MATCH($A266,'Komisyon Tarifesi'!$B$2:$B$1000,0)),IF($D266&gt;=INDEX('Komisyon Tarifesi'!$K$2:$K$1000,MATCH($A266,'Komisyon Tarifesi'!$B$2:$B$1000,0)),INDEX('Komisyon Tarifesi'!$P$2:$P$1000,MATCH($A266,'Komisyon Tarifesi'!$B$2:$B$1000,0)),IF($D266&gt;=INDEX('Komisyon Tarifesi'!$M$2:$M$1000,MATCH($A266,'Komisyon Tarifesi'!$B$2:$B$1000,0)),INDEX('Komisyon Tarifesi'!$Q$2:$Q$1000,MATCH($A266,'Komisyon Tarifesi'!$B$2:$B$1000,0)),INDEX('Komisyon Tarifesi'!$R$2:$R$1000,MATCH($A266,'Komisyon Tarifesi'!$B$2:$B$1000,0)))))/100,IFERROR(IF(VLOOKUP($A266,Products!$A$2:$W$1000,21,0)&lt;&gt;"",$D266*VLOOKUP($A266,Products!$A$2:$W$1000,21,0)/100,""),"")))</f>
        <v/>
      </c>
      <c r="F266" s="14" t="str">
        <f t="array" ref="F266">IF($A266="","",IFERROR(IF(INDEX('Maliyet Giris'!$G$2:$G$550,MATCH($A266,'Maliyet Giris'!$A$2:$A$550,0))="","",IF(INDEX('Maliyet Giris'!$G$2:$G$550,MATCH($A266,'Maliyet Giris'!$A$2:$A$550,0))&lt;=2,86.4,IF(INDEX('Maliyet Giris'!$G$2:$G$550,MATCH($A266,'Maliyet Giris'!$A$2:$A$550,0))&lt;=3,90,IF(INDEX('Maliyet Giris'!$G$2:$G$550,MATCH($A266,'Maliyet Giris'!$A$2:$A$550,0))&lt;=5,102,IF(INDEX('Maliyet Giris'!$G$2:$G$550,MATCH($A266,'Maliyet Giris'!$A$2:$A$550,0))&lt;=10,159.74,IF(INDEX('Maliyet Giris'!$G$2:$G$550,MATCH($A266,'Maliyet Giris'!$A$2:$A$550,0))&lt;=15,187.5,IF(INDEX('Maliyet Giris'!$G$2:$G$550,MATCH($A266,'Maliyet Giris'!$A$2:$A$550,0))&lt;=20,225,299))))))),""))</f>
        <v/>
      </c>
      <c r="G266" s="14" t="str">
        <f t="array" ref="G266">IF($A266="","",IFERROR(INDEX('Maliyet Giris'!$F$2:$F$550,MATCH($A266,'Maliyet Giris'!$A$2:$A$550,0)),""))</f>
        <v/>
      </c>
      <c r="H266" s="14" t="str">
        <f t="shared" si="1"/>
        <v/>
      </c>
      <c r="I266" s="14" t="str">
        <f t="shared" si="2"/>
        <v/>
      </c>
      <c r="J266" s="14" t="str">
        <f t="shared" si="3"/>
        <v/>
      </c>
      <c r="K266" s="14" t="str">
        <f t="shared" si="4"/>
        <v/>
      </c>
      <c r="L266" s="15" t="str">
        <f t="shared" si="5"/>
        <v/>
      </c>
      <c r="M266" s="17" t="str">
        <f t="shared" si="6"/>
        <v/>
      </c>
      <c r="N266" s="17" t="str">
        <f t="shared" si="7"/>
        <v/>
      </c>
      <c r="O266" s="17" t="str">
        <f t="array" ref="O266">IF($A266="","",IFERROR(INDEX('Maliyet Giris'!$G$2:$G$550,MATCH($A266,'Maliyet Giris'!$A$2:$A$550,0)),""))</f>
        <v/>
      </c>
      <c r="P266" s="17" t="str">
        <f t="shared" si="8"/>
        <v/>
      </c>
      <c r="Q266" s="17" t="str">
        <f t="shared" si="9"/>
        <v/>
      </c>
      <c r="R266" s="14" t="str">
        <f t="shared" si="10"/>
        <v/>
      </c>
      <c r="S266" s="14" t="str">
        <f t="shared" si="11"/>
        <v/>
      </c>
      <c r="T266" s="17" t="str">
        <f t="shared" si="12"/>
        <v/>
      </c>
      <c r="U266" s="17" t="str">
        <f t="shared" si="13"/>
        <v/>
      </c>
    </row>
    <row r="267">
      <c r="A267" s="2"/>
      <c r="C267" s="28"/>
      <c r="D267" s="14"/>
      <c r="E267" s="14" t="str">
        <f t="array" ref="E267">IF($A267="","",IFERROR($D267*IF($D267&gt;=INDEX('Komisyon Tarifesi'!$I$2:$I$1000,MATCH($A267,'Komisyon Tarifesi'!$B$2:$B$1000,0)),INDEX('Komisyon Tarifesi'!$O$2:$O$1000,MATCH($A267,'Komisyon Tarifesi'!$B$2:$B$1000,0)),IF($D267&gt;=INDEX('Komisyon Tarifesi'!$K$2:$K$1000,MATCH($A267,'Komisyon Tarifesi'!$B$2:$B$1000,0)),INDEX('Komisyon Tarifesi'!$P$2:$P$1000,MATCH($A267,'Komisyon Tarifesi'!$B$2:$B$1000,0)),IF($D267&gt;=INDEX('Komisyon Tarifesi'!$M$2:$M$1000,MATCH($A267,'Komisyon Tarifesi'!$B$2:$B$1000,0)),INDEX('Komisyon Tarifesi'!$Q$2:$Q$1000,MATCH($A267,'Komisyon Tarifesi'!$B$2:$B$1000,0)),INDEX('Komisyon Tarifesi'!$R$2:$R$1000,MATCH($A267,'Komisyon Tarifesi'!$B$2:$B$1000,0)))))/100,IFERROR(IF(VLOOKUP($A267,Products!$A$2:$W$1000,21,0)&lt;&gt;"",$D267*VLOOKUP($A267,Products!$A$2:$W$1000,21,0)/100,""),"")))</f>
        <v/>
      </c>
      <c r="F267" s="14" t="str">
        <f t="array" ref="F267">IF($A267="","",IFERROR(IF(INDEX('Maliyet Giris'!$G$2:$G$550,MATCH($A267,'Maliyet Giris'!$A$2:$A$550,0))="","",IF(INDEX('Maliyet Giris'!$G$2:$G$550,MATCH($A267,'Maliyet Giris'!$A$2:$A$550,0))&lt;=2,86.4,IF(INDEX('Maliyet Giris'!$G$2:$G$550,MATCH($A267,'Maliyet Giris'!$A$2:$A$550,0))&lt;=3,90,IF(INDEX('Maliyet Giris'!$G$2:$G$550,MATCH($A267,'Maliyet Giris'!$A$2:$A$550,0))&lt;=5,102,IF(INDEX('Maliyet Giris'!$G$2:$G$550,MATCH($A267,'Maliyet Giris'!$A$2:$A$550,0))&lt;=10,159.74,IF(INDEX('Maliyet Giris'!$G$2:$G$550,MATCH($A267,'Maliyet Giris'!$A$2:$A$550,0))&lt;=15,187.5,IF(INDEX('Maliyet Giris'!$G$2:$G$550,MATCH($A267,'Maliyet Giris'!$A$2:$A$550,0))&lt;=20,225,299))))))),""))</f>
        <v/>
      </c>
      <c r="G267" s="14" t="str">
        <f t="array" ref="G267">IF($A267="","",IFERROR(INDEX('Maliyet Giris'!$F$2:$F$550,MATCH($A267,'Maliyet Giris'!$A$2:$A$550,0)),""))</f>
        <v/>
      </c>
      <c r="H267" s="14" t="str">
        <f t="shared" si="1"/>
        <v/>
      </c>
      <c r="I267" s="14" t="str">
        <f t="shared" si="2"/>
        <v/>
      </c>
      <c r="J267" s="14" t="str">
        <f t="shared" si="3"/>
        <v/>
      </c>
      <c r="K267" s="14" t="str">
        <f t="shared" si="4"/>
        <v/>
      </c>
      <c r="L267" s="15" t="str">
        <f t="shared" si="5"/>
        <v/>
      </c>
      <c r="M267" s="17" t="str">
        <f t="shared" si="6"/>
        <v/>
      </c>
      <c r="N267" s="17" t="str">
        <f t="shared" si="7"/>
        <v/>
      </c>
      <c r="O267" s="17" t="str">
        <f t="array" ref="O267">IF($A267="","",IFERROR(INDEX('Maliyet Giris'!$G$2:$G$550,MATCH($A267,'Maliyet Giris'!$A$2:$A$550,0)),""))</f>
        <v/>
      </c>
      <c r="P267" s="17" t="str">
        <f t="shared" si="8"/>
        <v/>
      </c>
      <c r="Q267" s="17" t="str">
        <f t="shared" si="9"/>
        <v/>
      </c>
      <c r="R267" s="14" t="str">
        <f t="shared" si="10"/>
        <v/>
      </c>
      <c r="S267" s="14" t="str">
        <f t="shared" si="11"/>
        <v/>
      </c>
      <c r="T267" s="17" t="str">
        <f t="shared" si="12"/>
        <v/>
      </c>
      <c r="U267" s="17" t="str">
        <f t="shared" si="13"/>
        <v/>
      </c>
    </row>
    <row r="268">
      <c r="A268" s="2"/>
      <c r="C268" s="28"/>
      <c r="D268" s="14"/>
      <c r="E268" s="14" t="str">
        <f t="array" ref="E268">IF($A268="","",IFERROR($D268*IF($D268&gt;=INDEX('Komisyon Tarifesi'!$I$2:$I$1000,MATCH($A268,'Komisyon Tarifesi'!$B$2:$B$1000,0)),INDEX('Komisyon Tarifesi'!$O$2:$O$1000,MATCH($A268,'Komisyon Tarifesi'!$B$2:$B$1000,0)),IF($D268&gt;=INDEX('Komisyon Tarifesi'!$K$2:$K$1000,MATCH($A268,'Komisyon Tarifesi'!$B$2:$B$1000,0)),INDEX('Komisyon Tarifesi'!$P$2:$P$1000,MATCH($A268,'Komisyon Tarifesi'!$B$2:$B$1000,0)),IF($D268&gt;=INDEX('Komisyon Tarifesi'!$M$2:$M$1000,MATCH($A268,'Komisyon Tarifesi'!$B$2:$B$1000,0)),INDEX('Komisyon Tarifesi'!$Q$2:$Q$1000,MATCH($A268,'Komisyon Tarifesi'!$B$2:$B$1000,0)),INDEX('Komisyon Tarifesi'!$R$2:$R$1000,MATCH($A268,'Komisyon Tarifesi'!$B$2:$B$1000,0)))))/100,IFERROR(IF(VLOOKUP($A268,Products!$A$2:$W$1000,21,0)&lt;&gt;"",$D268*VLOOKUP($A268,Products!$A$2:$W$1000,21,0)/100,""),"")))</f>
        <v/>
      </c>
      <c r="F268" s="14" t="str">
        <f t="array" ref="F268">IF($A268="","",IFERROR(IF(INDEX('Maliyet Giris'!$G$2:$G$550,MATCH($A268,'Maliyet Giris'!$A$2:$A$550,0))="","",IF(INDEX('Maliyet Giris'!$G$2:$G$550,MATCH($A268,'Maliyet Giris'!$A$2:$A$550,0))&lt;=2,86.4,IF(INDEX('Maliyet Giris'!$G$2:$G$550,MATCH($A268,'Maliyet Giris'!$A$2:$A$550,0))&lt;=3,90,IF(INDEX('Maliyet Giris'!$G$2:$G$550,MATCH($A268,'Maliyet Giris'!$A$2:$A$550,0))&lt;=5,102,IF(INDEX('Maliyet Giris'!$G$2:$G$550,MATCH($A268,'Maliyet Giris'!$A$2:$A$550,0))&lt;=10,159.74,IF(INDEX('Maliyet Giris'!$G$2:$G$550,MATCH($A268,'Maliyet Giris'!$A$2:$A$550,0))&lt;=15,187.5,IF(INDEX('Maliyet Giris'!$G$2:$G$550,MATCH($A268,'Maliyet Giris'!$A$2:$A$550,0))&lt;=20,225,299))))))),""))</f>
        <v/>
      </c>
      <c r="G268" s="14" t="str">
        <f t="array" ref="G268">IF($A268="","",IFERROR(INDEX('Maliyet Giris'!$F$2:$F$550,MATCH($A268,'Maliyet Giris'!$A$2:$A$550,0)),""))</f>
        <v/>
      </c>
      <c r="H268" s="14" t="str">
        <f t="shared" si="1"/>
        <v/>
      </c>
      <c r="I268" s="14" t="str">
        <f t="shared" si="2"/>
        <v/>
      </c>
      <c r="J268" s="14" t="str">
        <f t="shared" si="3"/>
        <v/>
      </c>
      <c r="K268" s="14" t="str">
        <f t="shared" si="4"/>
        <v/>
      </c>
      <c r="L268" s="15" t="str">
        <f t="shared" si="5"/>
        <v/>
      </c>
      <c r="M268" s="17" t="str">
        <f t="shared" si="6"/>
        <v/>
      </c>
      <c r="N268" s="17" t="str">
        <f t="shared" si="7"/>
        <v/>
      </c>
      <c r="O268" s="17" t="str">
        <f t="array" ref="O268">IF($A268="","",IFERROR(INDEX('Maliyet Giris'!$G$2:$G$550,MATCH($A268,'Maliyet Giris'!$A$2:$A$550,0)),""))</f>
        <v/>
      </c>
      <c r="P268" s="17" t="str">
        <f t="shared" si="8"/>
        <v/>
      </c>
      <c r="Q268" s="17" t="str">
        <f t="shared" si="9"/>
        <v/>
      </c>
      <c r="R268" s="14" t="str">
        <f t="shared" si="10"/>
        <v/>
      </c>
      <c r="S268" s="14" t="str">
        <f t="shared" si="11"/>
        <v/>
      </c>
      <c r="T268" s="17" t="str">
        <f t="shared" si="12"/>
        <v/>
      </c>
      <c r="U268" s="17" t="str">
        <f t="shared" si="13"/>
        <v/>
      </c>
    </row>
    <row r="269">
      <c r="A269" s="2"/>
      <c r="C269" s="28"/>
      <c r="D269" s="14"/>
      <c r="E269" s="14" t="str">
        <f t="array" ref="E269">IF($A269="","",IFERROR($D269*IF($D269&gt;=INDEX('Komisyon Tarifesi'!$I$2:$I$1000,MATCH($A269,'Komisyon Tarifesi'!$B$2:$B$1000,0)),INDEX('Komisyon Tarifesi'!$O$2:$O$1000,MATCH($A269,'Komisyon Tarifesi'!$B$2:$B$1000,0)),IF($D269&gt;=INDEX('Komisyon Tarifesi'!$K$2:$K$1000,MATCH($A269,'Komisyon Tarifesi'!$B$2:$B$1000,0)),INDEX('Komisyon Tarifesi'!$P$2:$P$1000,MATCH($A269,'Komisyon Tarifesi'!$B$2:$B$1000,0)),IF($D269&gt;=INDEX('Komisyon Tarifesi'!$M$2:$M$1000,MATCH($A269,'Komisyon Tarifesi'!$B$2:$B$1000,0)),INDEX('Komisyon Tarifesi'!$Q$2:$Q$1000,MATCH($A269,'Komisyon Tarifesi'!$B$2:$B$1000,0)),INDEX('Komisyon Tarifesi'!$R$2:$R$1000,MATCH($A269,'Komisyon Tarifesi'!$B$2:$B$1000,0)))))/100,IFERROR(IF(VLOOKUP($A269,Products!$A$2:$W$1000,21,0)&lt;&gt;"",$D269*VLOOKUP($A269,Products!$A$2:$W$1000,21,0)/100,""),"")))</f>
        <v/>
      </c>
      <c r="F269" s="14" t="str">
        <f t="array" ref="F269">IF($A269="","",IFERROR(IF(INDEX('Maliyet Giris'!$G$2:$G$550,MATCH($A269,'Maliyet Giris'!$A$2:$A$550,0))="","",IF(INDEX('Maliyet Giris'!$G$2:$G$550,MATCH($A269,'Maliyet Giris'!$A$2:$A$550,0))&lt;=2,86.4,IF(INDEX('Maliyet Giris'!$G$2:$G$550,MATCH($A269,'Maliyet Giris'!$A$2:$A$550,0))&lt;=3,90,IF(INDEX('Maliyet Giris'!$G$2:$G$550,MATCH($A269,'Maliyet Giris'!$A$2:$A$550,0))&lt;=5,102,IF(INDEX('Maliyet Giris'!$G$2:$G$550,MATCH($A269,'Maliyet Giris'!$A$2:$A$550,0))&lt;=10,159.74,IF(INDEX('Maliyet Giris'!$G$2:$G$550,MATCH($A269,'Maliyet Giris'!$A$2:$A$550,0))&lt;=15,187.5,IF(INDEX('Maliyet Giris'!$G$2:$G$550,MATCH($A269,'Maliyet Giris'!$A$2:$A$550,0))&lt;=20,225,299))))))),""))</f>
        <v/>
      </c>
      <c r="G269" s="14" t="str">
        <f t="array" ref="G269">IF($A269="","",IFERROR(INDEX('Maliyet Giris'!$F$2:$F$550,MATCH($A269,'Maliyet Giris'!$A$2:$A$550,0)),""))</f>
        <v/>
      </c>
      <c r="H269" s="14" t="str">
        <f t="shared" si="1"/>
        <v/>
      </c>
      <c r="I269" s="14" t="str">
        <f t="shared" si="2"/>
        <v/>
      </c>
      <c r="J269" s="14" t="str">
        <f t="shared" si="3"/>
        <v/>
      </c>
      <c r="K269" s="14" t="str">
        <f t="shared" si="4"/>
        <v/>
      </c>
      <c r="L269" s="15" t="str">
        <f t="shared" si="5"/>
        <v/>
      </c>
      <c r="M269" s="17" t="str">
        <f t="shared" si="6"/>
        <v/>
      </c>
      <c r="N269" s="17" t="str">
        <f t="shared" si="7"/>
        <v/>
      </c>
      <c r="O269" s="17" t="str">
        <f t="array" ref="O269">IF($A269="","",IFERROR(INDEX('Maliyet Giris'!$G$2:$G$550,MATCH($A269,'Maliyet Giris'!$A$2:$A$550,0)),""))</f>
        <v/>
      </c>
      <c r="P269" s="17" t="str">
        <f t="shared" si="8"/>
        <v/>
      </c>
      <c r="Q269" s="17" t="str">
        <f t="shared" si="9"/>
        <v/>
      </c>
      <c r="R269" s="14" t="str">
        <f t="shared" si="10"/>
        <v/>
      </c>
      <c r="S269" s="14" t="str">
        <f t="shared" si="11"/>
        <v/>
      </c>
      <c r="T269" s="17" t="str">
        <f t="shared" si="12"/>
        <v/>
      </c>
      <c r="U269" s="17" t="str">
        <f t="shared" si="13"/>
        <v/>
      </c>
    </row>
    <row r="270">
      <c r="A270" s="2"/>
      <c r="C270" s="28"/>
      <c r="D270" s="14"/>
      <c r="E270" s="14" t="str">
        <f t="array" ref="E270">IF($A270="","",IFERROR($D270*IF($D270&gt;=INDEX('Komisyon Tarifesi'!$I$2:$I$1000,MATCH($A270,'Komisyon Tarifesi'!$B$2:$B$1000,0)),INDEX('Komisyon Tarifesi'!$O$2:$O$1000,MATCH($A270,'Komisyon Tarifesi'!$B$2:$B$1000,0)),IF($D270&gt;=INDEX('Komisyon Tarifesi'!$K$2:$K$1000,MATCH($A270,'Komisyon Tarifesi'!$B$2:$B$1000,0)),INDEX('Komisyon Tarifesi'!$P$2:$P$1000,MATCH($A270,'Komisyon Tarifesi'!$B$2:$B$1000,0)),IF($D270&gt;=INDEX('Komisyon Tarifesi'!$M$2:$M$1000,MATCH($A270,'Komisyon Tarifesi'!$B$2:$B$1000,0)),INDEX('Komisyon Tarifesi'!$Q$2:$Q$1000,MATCH($A270,'Komisyon Tarifesi'!$B$2:$B$1000,0)),INDEX('Komisyon Tarifesi'!$R$2:$R$1000,MATCH($A270,'Komisyon Tarifesi'!$B$2:$B$1000,0)))))/100,IFERROR(IF(VLOOKUP($A270,Products!$A$2:$W$1000,21,0)&lt;&gt;"",$D270*VLOOKUP($A270,Products!$A$2:$W$1000,21,0)/100,""),"")))</f>
        <v/>
      </c>
      <c r="F270" s="14" t="str">
        <f t="array" ref="F270">IF($A270="","",IFERROR(IF(INDEX('Maliyet Giris'!$G$2:$G$550,MATCH($A270,'Maliyet Giris'!$A$2:$A$550,0))="","",IF(INDEX('Maliyet Giris'!$G$2:$G$550,MATCH($A270,'Maliyet Giris'!$A$2:$A$550,0))&lt;=2,86.4,IF(INDEX('Maliyet Giris'!$G$2:$G$550,MATCH($A270,'Maliyet Giris'!$A$2:$A$550,0))&lt;=3,90,IF(INDEX('Maliyet Giris'!$G$2:$G$550,MATCH($A270,'Maliyet Giris'!$A$2:$A$550,0))&lt;=5,102,IF(INDEX('Maliyet Giris'!$G$2:$G$550,MATCH($A270,'Maliyet Giris'!$A$2:$A$550,0))&lt;=10,159.74,IF(INDEX('Maliyet Giris'!$G$2:$G$550,MATCH($A270,'Maliyet Giris'!$A$2:$A$550,0))&lt;=15,187.5,IF(INDEX('Maliyet Giris'!$G$2:$G$550,MATCH($A270,'Maliyet Giris'!$A$2:$A$550,0))&lt;=20,225,299))))))),""))</f>
        <v/>
      </c>
      <c r="G270" s="14" t="str">
        <f t="array" ref="G270">IF($A270="","",IFERROR(INDEX('Maliyet Giris'!$F$2:$F$550,MATCH($A270,'Maliyet Giris'!$A$2:$A$550,0)),""))</f>
        <v/>
      </c>
      <c r="H270" s="14" t="str">
        <f t="shared" si="1"/>
        <v/>
      </c>
      <c r="I270" s="14" t="str">
        <f t="shared" si="2"/>
        <v/>
      </c>
      <c r="J270" s="14" t="str">
        <f t="shared" si="3"/>
        <v/>
      </c>
      <c r="K270" s="14" t="str">
        <f t="shared" si="4"/>
        <v/>
      </c>
      <c r="L270" s="15" t="str">
        <f t="shared" si="5"/>
        <v/>
      </c>
      <c r="M270" s="17" t="str">
        <f t="shared" si="6"/>
        <v/>
      </c>
      <c r="N270" s="17" t="str">
        <f t="shared" si="7"/>
        <v/>
      </c>
      <c r="O270" s="17" t="str">
        <f t="array" ref="O270">IF($A270="","",IFERROR(INDEX('Maliyet Giris'!$G$2:$G$550,MATCH($A270,'Maliyet Giris'!$A$2:$A$550,0)),""))</f>
        <v/>
      </c>
      <c r="P270" s="17" t="str">
        <f t="shared" si="8"/>
        <v/>
      </c>
      <c r="Q270" s="17" t="str">
        <f t="shared" si="9"/>
        <v/>
      </c>
      <c r="R270" s="14" t="str">
        <f t="shared" si="10"/>
        <v/>
      </c>
      <c r="S270" s="14" t="str">
        <f t="shared" si="11"/>
        <v/>
      </c>
      <c r="T270" s="17" t="str">
        <f t="shared" si="12"/>
        <v/>
      </c>
      <c r="U270" s="17" t="str">
        <f t="shared" si="13"/>
        <v/>
      </c>
    </row>
    <row r="271">
      <c r="A271" s="2"/>
      <c r="C271" s="28"/>
      <c r="D271" s="14"/>
      <c r="E271" s="14" t="str">
        <f t="array" ref="E271">IF($A271="","",IFERROR($D271*IF($D271&gt;=INDEX('Komisyon Tarifesi'!$I$2:$I$1000,MATCH($A271,'Komisyon Tarifesi'!$B$2:$B$1000,0)),INDEX('Komisyon Tarifesi'!$O$2:$O$1000,MATCH($A271,'Komisyon Tarifesi'!$B$2:$B$1000,0)),IF($D271&gt;=INDEX('Komisyon Tarifesi'!$K$2:$K$1000,MATCH($A271,'Komisyon Tarifesi'!$B$2:$B$1000,0)),INDEX('Komisyon Tarifesi'!$P$2:$P$1000,MATCH($A271,'Komisyon Tarifesi'!$B$2:$B$1000,0)),IF($D271&gt;=INDEX('Komisyon Tarifesi'!$M$2:$M$1000,MATCH($A271,'Komisyon Tarifesi'!$B$2:$B$1000,0)),INDEX('Komisyon Tarifesi'!$Q$2:$Q$1000,MATCH($A271,'Komisyon Tarifesi'!$B$2:$B$1000,0)),INDEX('Komisyon Tarifesi'!$R$2:$R$1000,MATCH($A271,'Komisyon Tarifesi'!$B$2:$B$1000,0)))))/100,IFERROR(IF(VLOOKUP($A271,Products!$A$2:$W$1000,21,0)&lt;&gt;"",$D271*VLOOKUP($A271,Products!$A$2:$W$1000,21,0)/100,""),"")))</f>
        <v/>
      </c>
      <c r="F271" s="14" t="str">
        <f t="array" ref="F271">IF($A271="","",IFERROR(IF(INDEX('Maliyet Giris'!$G$2:$G$550,MATCH($A271,'Maliyet Giris'!$A$2:$A$550,0))="","",IF(INDEX('Maliyet Giris'!$G$2:$G$550,MATCH($A271,'Maliyet Giris'!$A$2:$A$550,0))&lt;=2,86.4,IF(INDEX('Maliyet Giris'!$G$2:$G$550,MATCH($A271,'Maliyet Giris'!$A$2:$A$550,0))&lt;=3,90,IF(INDEX('Maliyet Giris'!$G$2:$G$550,MATCH($A271,'Maliyet Giris'!$A$2:$A$550,0))&lt;=5,102,IF(INDEX('Maliyet Giris'!$G$2:$G$550,MATCH($A271,'Maliyet Giris'!$A$2:$A$550,0))&lt;=10,159.74,IF(INDEX('Maliyet Giris'!$G$2:$G$550,MATCH($A271,'Maliyet Giris'!$A$2:$A$550,0))&lt;=15,187.5,IF(INDEX('Maliyet Giris'!$G$2:$G$550,MATCH($A271,'Maliyet Giris'!$A$2:$A$550,0))&lt;=20,225,299))))))),""))</f>
        <v/>
      </c>
      <c r="G271" s="14" t="str">
        <f t="array" ref="G271">IF($A271="","",IFERROR(INDEX('Maliyet Giris'!$F$2:$F$550,MATCH($A271,'Maliyet Giris'!$A$2:$A$550,0)),""))</f>
        <v/>
      </c>
      <c r="H271" s="14" t="str">
        <f t="shared" si="1"/>
        <v/>
      </c>
      <c r="I271" s="14" t="str">
        <f t="shared" si="2"/>
        <v/>
      </c>
      <c r="J271" s="14" t="str">
        <f t="shared" si="3"/>
        <v/>
      </c>
      <c r="K271" s="14" t="str">
        <f t="shared" si="4"/>
        <v/>
      </c>
      <c r="L271" s="15" t="str">
        <f t="shared" si="5"/>
        <v/>
      </c>
      <c r="M271" s="17" t="str">
        <f t="shared" si="6"/>
        <v/>
      </c>
      <c r="N271" s="17" t="str">
        <f t="shared" si="7"/>
        <v/>
      </c>
      <c r="O271" s="17" t="str">
        <f t="array" ref="O271">IF($A271="","",IFERROR(INDEX('Maliyet Giris'!$G$2:$G$550,MATCH($A271,'Maliyet Giris'!$A$2:$A$550,0)),""))</f>
        <v/>
      </c>
      <c r="P271" s="17" t="str">
        <f t="shared" si="8"/>
        <v/>
      </c>
      <c r="Q271" s="17" t="str">
        <f t="shared" si="9"/>
        <v/>
      </c>
      <c r="R271" s="14" t="str">
        <f t="shared" si="10"/>
        <v/>
      </c>
      <c r="S271" s="14" t="str">
        <f t="shared" si="11"/>
        <v/>
      </c>
      <c r="T271" s="17" t="str">
        <f t="shared" si="12"/>
        <v/>
      </c>
      <c r="U271" s="17" t="str">
        <f t="shared" si="13"/>
        <v/>
      </c>
    </row>
    <row r="272">
      <c r="A272" s="2"/>
      <c r="C272" s="28"/>
      <c r="D272" s="14"/>
      <c r="E272" s="14" t="str">
        <f t="array" ref="E272">IF($A272="","",IFERROR($D272*IF($D272&gt;=INDEX('Komisyon Tarifesi'!$I$2:$I$1000,MATCH($A272,'Komisyon Tarifesi'!$B$2:$B$1000,0)),INDEX('Komisyon Tarifesi'!$O$2:$O$1000,MATCH($A272,'Komisyon Tarifesi'!$B$2:$B$1000,0)),IF($D272&gt;=INDEX('Komisyon Tarifesi'!$K$2:$K$1000,MATCH($A272,'Komisyon Tarifesi'!$B$2:$B$1000,0)),INDEX('Komisyon Tarifesi'!$P$2:$P$1000,MATCH($A272,'Komisyon Tarifesi'!$B$2:$B$1000,0)),IF($D272&gt;=INDEX('Komisyon Tarifesi'!$M$2:$M$1000,MATCH($A272,'Komisyon Tarifesi'!$B$2:$B$1000,0)),INDEX('Komisyon Tarifesi'!$Q$2:$Q$1000,MATCH($A272,'Komisyon Tarifesi'!$B$2:$B$1000,0)),INDEX('Komisyon Tarifesi'!$R$2:$R$1000,MATCH($A272,'Komisyon Tarifesi'!$B$2:$B$1000,0)))))/100,IFERROR(IF(VLOOKUP($A272,Products!$A$2:$W$1000,21,0)&lt;&gt;"",$D272*VLOOKUP($A272,Products!$A$2:$W$1000,21,0)/100,""),"")))</f>
        <v/>
      </c>
      <c r="F272" s="14" t="str">
        <f t="array" ref="F272">IF($A272="","",IFERROR(IF(INDEX('Maliyet Giris'!$G$2:$G$550,MATCH($A272,'Maliyet Giris'!$A$2:$A$550,0))="","",IF(INDEX('Maliyet Giris'!$G$2:$G$550,MATCH($A272,'Maliyet Giris'!$A$2:$A$550,0))&lt;=2,86.4,IF(INDEX('Maliyet Giris'!$G$2:$G$550,MATCH($A272,'Maliyet Giris'!$A$2:$A$550,0))&lt;=3,90,IF(INDEX('Maliyet Giris'!$G$2:$G$550,MATCH($A272,'Maliyet Giris'!$A$2:$A$550,0))&lt;=5,102,IF(INDEX('Maliyet Giris'!$G$2:$G$550,MATCH($A272,'Maliyet Giris'!$A$2:$A$550,0))&lt;=10,159.74,IF(INDEX('Maliyet Giris'!$G$2:$G$550,MATCH($A272,'Maliyet Giris'!$A$2:$A$550,0))&lt;=15,187.5,IF(INDEX('Maliyet Giris'!$G$2:$G$550,MATCH($A272,'Maliyet Giris'!$A$2:$A$550,0))&lt;=20,225,299))))))),""))</f>
        <v/>
      </c>
      <c r="G272" s="14" t="str">
        <f t="array" ref="G272">IF($A272="","",IFERROR(INDEX('Maliyet Giris'!$F$2:$F$550,MATCH($A272,'Maliyet Giris'!$A$2:$A$550,0)),""))</f>
        <v/>
      </c>
      <c r="H272" s="14" t="str">
        <f t="shared" si="1"/>
        <v/>
      </c>
      <c r="I272" s="14" t="str">
        <f t="shared" si="2"/>
        <v/>
      </c>
      <c r="J272" s="14" t="str">
        <f t="shared" si="3"/>
        <v/>
      </c>
      <c r="K272" s="14" t="str">
        <f t="shared" si="4"/>
        <v/>
      </c>
      <c r="L272" s="15" t="str">
        <f t="shared" si="5"/>
        <v/>
      </c>
      <c r="M272" s="17" t="str">
        <f t="shared" si="6"/>
        <v/>
      </c>
      <c r="N272" s="17" t="str">
        <f t="shared" si="7"/>
        <v/>
      </c>
      <c r="O272" s="17" t="str">
        <f t="array" ref="O272">IF($A272="","",IFERROR(INDEX('Maliyet Giris'!$G$2:$G$550,MATCH($A272,'Maliyet Giris'!$A$2:$A$550,0)),""))</f>
        <v/>
      </c>
      <c r="P272" s="17" t="str">
        <f t="shared" si="8"/>
        <v/>
      </c>
      <c r="Q272" s="17" t="str">
        <f t="shared" si="9"/>
        <v/>
      </c>
      <c r="R272" s="14" t="str">
        <f t="shared" si="10"/>
        <v/>
      </c>
      <c r="S272" s="14" t="str">
        <f t="shared" si="11"/>
        <v/>
      </c>
      <c r="T272" s="17" t="str">
        <f t="shared" si="12"/>
        <v/>
      </c>
      <c r="U272" s="17" t="str">
        <f t="shared" si="13"/>
        <v/>
      </c>
    </row>
    <row r="273">
      <c r="A273" s="2"/>
      <c r="C273" s="28"/>
      <c r="D273" s="14"/>
      <c r="E273" s="14" t="str">
        <f t="array" ref="E273">IF($A273="","",IFERROR($D273*IF($D273&gt;=INDEX('Komisyon Tarifesi'!$I$2:$I$1000,MATCH($A273,'Komisyon Tarifesi'!$B$2:$B$1000,0)),INDEX('Komisyon Tarifesi'!$O$2:$O$1000,MATCH($A273,'Komisyon Tarifesi'!$B$2:$B$1000,0)),IF($D273&gt;=INDEX('Komisyon Tarifesi'!$K$2:$K$1000,MATCH($A273,'Komisyon Tarifesi'!$B$2:$B$1000,0)),INDEX('Komisyon Tarifesi'!$P$2:$P$1000,MATCH($A273,'Komisyon Tarifesi'!$B$2:$B$1000,0)),IF($D273&gt;=INDEX('Komisyon Tarifesi'!$M$2:$M$1000,MATCH($A273,'Komisyon Tarifesi'!$B$2:$B$1000,0)),INDEX('Komisyon Tarifesi'!$Q$2:$Q$1000,MATCH($A273,'Komisyon Tarifesi'!$B$2:$B$1000,0)),INDEX('Komisyon Tarifesi'!$R$2:$R$1000,MATCH($A273,'Komisyon Tarifesi'!$B$2:$B$1000,0)))))/100,IFERROR(IF(VLOOKUP($A273,Products!$A$2:$W$1000,21,0)&lt;&gt;"",$D273*VLOOKUP($A273,Products!$A$2:$W$1000,21,0)/100,""),"")))</f>
        <v/>
      </c>
      <c r="F273" s="14" t="str">
        <f t="array" ref="F273">IF($A273="","",IFERROR(IF(INDEX('Maliyet Giris'!$G$2:$G$550,MATCH($A273,'Maliyet Giris'!$A$2:$A$550,0))="","",IF(INDEX('Maliyet Giris'!$G$2:$G$550,MATCH($A273,'Maliyet Giris'!$A$2:$A$550,0))&lt;=2,86.4,IF(INDEX('Maliyet Giris'!$G$2:$G$550,MATCH($A273,'Maliyet Giris'!$A$2:$A$550,0))&lt;=3,90,IF(INDEX('Maliyet Giris'!$G$2:$G$550,MATCH($A273,'Maliyet Giris'!$A$2:$A$550,0))&lt;=5,102,IF(INDEX('Maliyet Giris'!$G$2:$G$550,MATCH($A273,'Maliyet Giris'!$A$2:$A$550,0))&lt;=10,159.74,IF(INDEX('Maliyet Giris'!$G$2:$G$550,MATCH($A273,'Maliyet Giris'!$A$2:$A$550,0))&lt;=15,187.5,IF(INDEX('Maliyet Giris'!$G$2:$G$550,MATCH($A273,'Maliyet Giris'!$A$2:$A$550,0))&lt;=20,225,299))))))),""))</f>
        <v/>
      </c>
      <c r="G273" s="14" t="str">
        <f t="array" ref="G273">IF($A273="","",IFERROR(INDEX('Maliyet Giris'!$F$2:$F$550,MATCH($A273,'Maliyet Giris'!$A$2:$A$550,0)),""))</f>
        <v/>
      </c>
      <c r="H273" s="14" t="str">
        <f t="shared" si="1"/>
        <v/>
      </c>
      <c r="I273" s="14" t="str">
        <f t="shared" si="2"/>
        <v/>
      </c>
      <c r="J273" s="14" t="str">
        <f t="shared" si="3"/>
        <v/>
      </c>
      <c r="K273" s="14" t="str">
        <f t="shared" si="4"/>
        <v/>
      </c>
      <c r="L273" s="15" t="str">
        <f t="shared" si="5"/>
        <v/>
      </c>
      <c r="M273" s="17" t="str">
        <f t="shared" si="6"/>
        <v/>
      </c>
      <c r="N273" s="17" t="str">
        <f t="shared" si="7"/>
        <v/>
      </c>
      <c r="O273" s="17" t="str">
        <f t="array" ref="O273">IF($A273="","",IFERROR(INDEX('Maliyet Giris'!$G$2:$G$550,MATCH($A273,'Maliyet Giris'!$A$2:$A$550,0)),""))</f>
        <v/>
      </c>
      <c r="P273" s="17" t="str">
        <f t="shared" si="8"/>
        <v/>
      </c>
      <c r="Q273" s="17" t="str">
        <f t="shared" si="9"/>
        <v/>
      </c>
      <c r="R273" s="14" t="str">
        <f t="shared" si="10"/>
        <v/>
      </c>
      <c r="S273" s="14" t="str">
        <f t="shared" si="11"/>
        <v/>
      </c>
      <c r="T273" s="17" t="str">
        <f t="shared" si="12"/>
        <v/>
      </c>
      <c r="U273" s="17" t="str">
        <f t="shared" si="13"/>
        <v/>
      </c>
    </row>
    <row r="274">
      <c r="A274" s="2"/>
      <c r="C274" s="28"/>
      <c r="D274" s="14"/>
      <c r="E274" s="14" t="str">
        <f t="array" ref="E274">IF($A274="","",IFERROR($D274*IF($D274&gt;=INDEX('Komisyon Tarifesi'!$I$2:$I$1000,MATCH($A274,'Komisyon Tarifesi'!$B$2:$B$1000,0)),INDEX('Komisyon Tarifesi'!$O$2:$O$1000,MATCH($A274,'Komisyon Tarifesi'!$B$2:$B$1000,0)),IF($D274&gt;=INDEX('Komisyon Tarifesi'!$K$2:$K$1000,MATCH($A274,'Komisyon Tarifesi'!$B$2:$B$1000,0)),INDEX('Komisyon Tarifesi'!$P$2:$P$1000,MATCH($A274,'Komisyon Tarifesi'!$B$2:$B$1000,0)),IF($D274&gt;=INDEX('Komisyon Tarifesi'!$M$2:$M$1000,MATCH($A274,'Komisyon Tarifesi'!$B$2:$B$1000,0)),INDEX('Komisyon Tarifesi'!$Q$2:$Q$1000,MATCH($A274,'Komisyon Tarifesi'!$B$2:$B$1000,0)),INDEX('Komisyon Tarifesi'!$R$2:$R$1000,MATCH($A274,'Komisyon Tarifesi'!$B$2:$B$1000,0)))))/100,IFERROR(IF(VLOOKUP($A274,Products!$A$2:$W$1000,21,0)&lt;&gt;"",$D274*VLOOKUP($A274,Products!$A$2:$W$1000,21,0)/100,""),"")))</f>
        <v/>
      </c>
      <c r="F274" s="14" t="str">
        <f t="array" ref="F274">IF($A274="","",IFERROR(IF(INDEX('Maliyet Giris'!$G$2:$G$550,MATCH($A274,'Maliyet Giris'!$A$2:$A$550,0))="","",IF(INDEX('Maliyet Giris'!$G$2:$G$550,MATCH($A274,'Maliyet Giris'!$A$2:$A$550,0))&lt;=2,86.4,IF(INDEX('Maliyet Giris'!$G$2:$G$550,MATCH($A274,'Maliyet Giris'!$A$2:$A$550,0))&lt;=3,90,IF(INDEX('Maliyet Giris'!$G$2:$G$550,MATCH($A274,'Maliyet Giris'!$A$2:$A$550,0))&lt;=5,102,IF(INDEX('Maliyet Giris'!$G$2:$G$550,MATCH($A274,'Maliyet Giris'!$A$2:$A$550,0))&lt;=10,159.74,IF(INDEX('Maliyet Giris'!$G$2:$G$550,MATCH($A274,'Maliyet Giris'!$A$2:$A$550,0))&lt;=15,187.5,IF(INDEX('Maliyet Giris'!$G$2:$G$550,MATCH($A274,'Maliyet Giris'!$A$2:$A$550,0))&lt;=20,225,299))))))),""))</f>
        <v/>
      </c>
      <c r="G274" s="14" t="str">
        <f t="array" ref="G274">IF($A274="","",IFERROR(INDEX('Maliyet Giris'!$F$2:$F$550,MATCH($A274,'Maliyet Giris'!$A$2:$A$550,0)),""))</f>
        <v/>
      </c>
      <c r="H274" s="14" t="str">
        <f t="shared" si="1"/>
        <v/>
      </c>
      <c r="I274" s="14" t="str">
        <f t="shared" si="2"/>
        <v/>
      </c>
      <c r="J274" s="14" t="str">
        <f t="shared" si="3"/>
        <v/>
      </c>
      <c r="K274" s="14" t="str">
        <f t="shared" si="4"/>
        <v/>
      </c>
      <c r="L274" s="15" t="str">
        <f t="shared" si="5"/>
        <v/>
      </c>
      <c r="M274" s="17" t="str">
        <f t="shared" si="6"/>
        <v/>
      </c>
      <c r="N274" s="17" t="str">
        <f t="shared" si="7"/>
        <v/>
      </c>
      <c r="O274" s="17" t="str">
        <f t="array" ref="O274">IF($A274="","",IFERROR(INDEX('Maliyet Giris'!$G$2:$G$550,MATCH($A274,'Maliyet Giris'!$A$2:$A$550,0)),""))</f>
        <v/>
      </c>
      <c r="P274" s="17" t="str">
        <f t="shared" si="8"/>
        <v/>
      </c>
      <c r="Q274" s="17" t="str">
        <f t="shared" si="9"/>
        <v/>
      </c>
      <c r="R274" s="14" t="str">
        <f t="shared" si="10"/>
        <v/>
      </c>
      <c r="S274" s="14" t="str">
        <f t="shared" si="11"/>
        <v/>
      </c>
      <c r="T274" s="17" t="str">
        <f t="shared" si="12"/>
        <v/>
      </c>
      <c r="U274" s="17" t="str">
        <f t="shared" si="13"/>
        <v/>
      </c>
    </row>
    <row r="275">
      <c r="A275" s="2"/>
      <c r="C275" s="28"/>
      <c r="D275" s="14"/>
      <c r="E275" s="14" t="str">
        <f t="array" ref="E275">IF($A275="","",IFERROR($D275*IF($D275&gt;=INDEX('Komisyon Tarifesi'!$I$2:$I$1000,MATCH($A275,'Komisyon Tarifesi'!$B$2:$B$1000,0)),INDEX('Komisyon Tarifesi'!$O$2:$O$1000,MATCH($A275,'Komisyon Tarifesi'!$B$2:$B$1000,0)),IF($D275&gt;=INDEX('Komisyon Tarifesi'!$K$2:$K$1000,MATCH($A275,'Komisyon Tarifesi'!$B$2:$B$1000,0)),INDEX('Komisyon Tarifesi'!$P$2:$P$1000,MATCH($A275,'Komisyon Tarifesi'!$B$2:$B$1000,0)),IF($D275&gt;=INDEX('Komisyon Tarifesi'!$M$2:$M$1000,MATCH($A275,'Komisyon Tarifesi'!$B$2:$B$1000,0)),INDEX('Komisyon Tarifesi'!$Q$2:$Q$1000,MATCH($A275,'Komisyon Tarifesi'!$B$2:$B$1000,0)),INDEX('Komisyon Tarifesi'!$R$2:$R$1000,MATCH($A275,'Komisyon Tarifesi'!$B$2:$B$1000,0)))))/100,IFERROR(IF(VLOOKUP($A275,Products!$A$2:$W$1000,21,0)&lt;&gt;"",$D275*VLOOKUP($A275,Products!$A$2:$W$1000,21,0)/100,""),"")))</f>
        <v/>
      </c>
      <c r="F275" s="14" t="str">
        <f t="array" ref="F275">IF($A275="","",IFERROR(IF(INDEX('Maliyet Giris'!$G$2:$G$550,MATCH($A275,'Maliyet Giris'!$A$2:$A$550,0))="","",IF(INDEX('Maliyet Giris'!$G$2:$G$550,MATCH($A275,'Maliyet Giris'!$A$2:$A$550,0))&lt;=2,86.4,IF(INDEX('Maliyet Giris'!$G$2:$G$550,MATCH($A275,'Maliyet Giris'!$A$2:$A$550,0))&lt;=3,90,IF(INDEX('Maliyet Giris'!$G$2:$G$550,MATCH($A275,'Maliyet Giris'!$A$2:$A$550,0))&lt;=5,102,IF(INDEX('Maliyet Giris'!$G$2:$G$550,MATCH($A275,'Maliyet Giris'!$A$2:$A$550,0))&lt;=10,159.74,IF(INDEX('Maliyet Giris'!$G$2:$G$550,MATCH($A275,'Maliyet Giris'!$A$2:$A$550,0))&lt;=15,187.5,IF(INDEX('Maliyet Giris'!$G$2:$G$550,MATCH($A275,'Maliyet Giris'!$A$2:$A$550,0))&lt;=20,225,299))))))),""))</f>
        <v/>
      </c>
      <c r="G275" s="14" t="str">
        <f t="array" ref="G275">IF($A275="","",IFERROR(INDEX('Maliyet Giris'!$F$2:$F$550,MATCH($A275,'Maliyet Giris'!$A$2:$A$550,0)),""))</f>
        <v/>
      </c>
      <c r="H275" s="14" t="str">
        <f t="shared" si="1"/>
        <v/>
      </c>
      <c r="I275" s="14" t="str">
        <f t="shared" si="2"/>
        <v/>
      </c>
      <c r="J275" s="14" t="str">
        <f t="shared" si="3"/>
        <v/>
      </c>
      <c r="K275" s="14" t="str">
        <f t="shared" si="4"/>
        <v/>
      </c>
      <c r="L275" s="15" t="str">
        <f t="shared" si="5"/>
        <v/>
      </c>
      <c r="M275" s="17" t="str">
        <f t="shared" si="6"/>
        <v/>
      </c>
      <c r="N275" s="17" t="str">
        <f t="shared" si="7"/>
        <v/>
      </c>
      <c r="O275" s="17" t="str">
        <f t="array" ref="O275">IF($A275="","",IFERROR(INDEX('Maliyet Giris'!$G$2:$G$550,MATCH($A275,'Maliyet Giris'!$A$2:$A$550,0)),""))</f>
        <v/>
      </c>
      <c r="P275" s="17" t="str">
        <f t="shared" si="8"/>
        <v/>
      </c>
      <c r="Q275" s="17" t="str">
        <f t="shared" si="9"/>
        <v/>
      </c>
      <c r="R275" s="14" t="str">
        <f t="shared" si="10"/>
        <v/>
      </c>
      <c r="S275" s="14" t="str">
        <f t="shared" si="11"/>
        <v/>
      </c>
      <c r="T275" s="17" t="str">
        <f t="shared" si="12"/>
        <v/>
      </c>
      <c r="U275" s="17" t="str">
        <f t="shared" si="13"/>
        <v/>
      </c>
    </row>
    <row r="276">
      <c r="A276" s="2"/>
      <c r="C276" s="28"/>
      <c r="D276" s="14"/>
      <c r="E276" s="14" t="str">
        <f t="array" ref="E276">IF($A276="","",IFERROR($D276*IF($D276&gt;=INDEX('Komisyon Tarifesi'!$I$2:$I$1000,MATCH($A276,'Komisyon Tarifesi'!$B$2:$B$1000,0)),INDEX('Komisyon Tarifesi'!$O$2:$O$1000,MATCH($A276,'Komisyon Tarifesi'!$B$2:$B$1000,0)),IF($D276&gt;=INDEX('Komisyon Tarifesi'!$K$2:$K$1000,MATCH($A276,'Komisyon Tarifesi'!$B$2:$B$1000,0)),INDEX('Komisyon Tarifesi'!$P$2:$P$1000,MATCH($A276,'Komisyon Tarifesi'!$B$2:$B$1000,0)),IF($D276&gt;=INDEX('Komisyon Tarifesi'!$M$2:$M$1000,MATCH($A276,'Komisyon Tarifesi'!$B$2:$B$1000,0)),INDEX('Komisyon Tarifesi'!$Q$2:$Q$1000,MATCH($A276,'Komisyon Tarifesi'!$B$2:$B$1000,0)),INDEX('Komisyon Tarifesi'!$R$2:$R$1000,MATCH($A276,'Komisyon Tarifesi'!$B$2:$B$1000,0)))))/100,IFERROR(IF(VLOOKUP($A276,Products!$A$2:$W$1000,21,0)&lt;&gt;"",$D276*VLOOKUP($A276,Products!$A$2:$W$1000,21,0)/100,""),"")))</f>
        <v/>
      </c>
      <c r="F276" s="14" t="str">
        <f t="array" ref="F276">IF($A276="","",IFERROR(IF(INDEX('Maliyet Giris'!$G$2:$G$550,MATCH($A276,'Maliyet Giris'!$A$2:$A$550,0))="","",IF(INDEX('Maliyet Giris'!$G$2:$G$550,MATCH($A276,'Maliyet Giris'!$A$2:$A$550,0))&lt;=2,86.4,IF(INDEX('Maliyet Giris'!$G$2:$G$550,MATCH($A276,'Maliyet Giris'!$A$2:$A$550,0))&lt;=3,90,IF(INDEX('Maliyet Giris'!$G$2:$G$550,MATCH($A276,'Maliyet Giris'!$A$2:$A$550,0))&lt;=5,102,IF(INDEX('Maliyet Giris'!$G$2:$G$550,MATCH($A276,'Maliyet Giris'!$A$2:$A$550,0))&lt;=10,159.74,IF(INDEX('Maliyet Giris'!$G$2:$G$550,MATCH($A276,'Maliyet Giris'!$A$2:$A$550,0))&lt;=15,187.5,IF(INDEX('Maliyet Giris'!$G$2:$G$550,MATCH($A276,'Maliyet Giris'!$A$2:$A$550,0))&lt;=20,225,299))))))),""))</f>
        <v/>
      </c>
      <c r="G276" s="14" t="str">
        <f t="array" ref="G276">IF($A276="","",IFERROR(INDEX('Maliyet Giris'!$F$2:$F$550,MATCH($A276,'Maliyet Giris'!$A$2:$A$550,0)),""))</f>
        <v/>
      </c>
      <c r="H276" s="14" t="str">
        <f t="shared" si="1"/>
        <v/>
      </c>
      <c r="I276" s="14" t="str">
        <f t="shared" si="2"/>
        <v/>
      </c>
      <c r="J276" s="14" t="str">
        <f t="shared" si="3"/>
        <v/>
      </c>
      <c r="K276" s="14" t="str">
        <f t="shared" si="4"/>
        <v/>
      </c>
      <c r="L276" s="15" t="str">
        <f t="shared" si="5"/>
        <v/>
      </c>
      <c r="M276" s="17" t="str">
        <f t="shared" si="6"/>
        <v/>
      </c>
      <c r="N276" s="17" t="str">
        <f t="shared" si="7"/>
        <v/>
      </c>
      <c r="O276" s="17" t="str">
        <f t="array" ref="O276">IF($A276="","",IFERROR(INDEX('Maliyet Giris'!$G$2:$G$550,MATCH($A276,'Maliyet Giris'!$A$2:$A$550,0)),""))</f>
        <v/>
      </c>
      <c r="P276" s="17" t="str">
        <f t="shared" si="8"/>
        <v/>
      </c>
      <c r="Q276" s="17" t="str">
        <f t="shared" si="9"/>
        <v/>
      </c>
      <c r="R276" s="14" t="str">
        <f t="shared" si="10"/>
        <v/>
      </c>
      <c r="S276" s="14" t="str">
        <f t="shared" si="11"/>
        <v/>
      </c>
      <c r="T276" s="17" t="str">
        <f t="shared" si="12"/>
        <v/>
      </c>
      <c r="U276" s="17" t="str">
        <f t="shared" si="13"/>
        <v/>
      </c>
    </row>
    <row r="277">
      <c r="A277" s="2"/>
      <c r="C277" s="28"/>
      <c r="D277" s="14"/>
      <c r="E277" s="14" t="str">
        <f t="array" ref="E277">IF($A277="","",IFERROR($D277*IF($D277&gt;=INDEX('Komisyon Tarifesi'!$I$2:$I$1000,MATCH($A277,'Komisyon Tarifesi'!$B$2:$B$1000,0)),INDEX('Komisyon Tarifesi'!$O$2:$O$1000,MATCH($A277,'Komisyon Tarifesi'!$B$2:$B$1000,0)),IF($D277&gt;=INDEX('Komisyon Tarifesi'!$K$2:$K$1000,MATCH($A277,'Komisyon Tarifesi'!$B$2:$B$1000,0)),INDEX('Komisyon Tarifesi'!$P$2:$P$1000,MATCH($A277,'Komisyon Tarifesi'!$B$2:$B$1000,0)),IF($D277&gt;=INDEX('Komisyon Tarifesi'!$M$2:$M$1000,MATCH($A277,'Komisyon Tarifesi'!$B$2:$B$1000,0)),INDEX('Komisyon Tarifesi'!$Q$2:$Q$1000,MATCH($A277,'Komisyon Tarifesi'!$B$2:$B$1000,0)),INDEX('Komisyon Tarifesi'!$R$2:$R$1000,MATCH($A277,'Komisyon Tarifesi'!$B$2:$B$1000,0)))))/100,IFERROR(IF(VLOOKUP($A277,Products!$A$2:$W$1000,21,0)&lt;&gt;"",$D277*VLOOKUP($A277,Products!$A$2:$W$1000,21,0)/100,""),"")))</f>
        <v/>
      </c>
      <c r="F277" s="14" t="str">
        <f t="array" ref="F277">IF($A277="","",IFERROR(IF(INDEX('Maliyet Giris'!$G$2:$G$550,MATCH($A277,'Maliyet Giris'!$A$2:$A$550,0))="","",IF(INDEX('Maliyet Giris'!$G$2:$G$550,MATCH($A277,'Maliyet Giris'!$A$2:$A$550,0))&lt;=2,86.4,IF(INDEX('Maliyet Giris'!$G$2:$G$550,MATCH($A277,'Maliyet Giris'!$A$2:$A$550,0))&lt;=3,90,IF(INDEX('Maliyet Giris'!$G$2:$G$550,MATCH($A277,'Maliyet Giris'!$A$2:$A$550,0))&lt;=5,102,IF(INDEX('Maliyet Giris'!$G$2:$G$550,MATCH($A277,'Maliyet Giris'!$A$2:$A$550,0))&lt;=10,159.74,IF(INDEX('Maliyet Giris'!$G$2:$G$550,MATCH($A277,'Maliyet Giris'!$A$2:$A$550,0))&lt;=15,187.5,IF(INDEX('Maliyet Giris'!$G$2:$G$550,MATCH($A277,'Maliyet Giris'!$A$2:$A$550,0))&lt;=20,225,299))))))),""))</f>
        <v/>
      </c>
      <c r="G277" s="14" t="str">
        <f t="array" ref="G277">IF($A277="","",IFERROR(INDEX('Maliyet Giris'!$F$2:$F$550,MATCH($A277,'Maliyet Giris'!$A$2:$A$550,0)),""))</f>
        <v/>
      </c>
      <c r="H277" s="14" t="str">
        <f t="shared" si="1"/>
        <v/>
      </c>
      <c r="I277" s="14" t="str">
        <f t="shared" si="2"/>
        <v/>
      </c>
      <c r="J277" s="14" t="str">
        <f t="shared" si="3"/>
        <v/>
      </c>
      <c r="K277" s="14" t="str">
        <f t="shared" si="4"/>
        <v/>
      </c>
      <c r="L277" s="15" t="str">
        <f t="shared" si="5"/>
        <v/>
      </c>
      <c r="M277" s="17" t="str">
        <f t="shared" si="6"/>
        <v/>
      </c>
      <c r="N277" s="17" t="str">
        <f t="shared" si="7"/>
        <v/>
      </c>
      <c r="O277" s="17" t="str">
        <f t="array" ref="O277">IF($A277="","",IFERROR(INDEX('Maliyet Giris'!$G$2:$G$550,MATCH($A277,'Maliyet Giris'!$A$2:$A$550,0)),""))</f>
        <v/>
      </c>
      <c r="P277" s="17" t="str">
        <f t="shared" si="8"/>
        <v/>
      </c>
      <c r="Q277" s="17" t="str">
        <f t="shared" si="9"/>
        <v/>
      </c>
      <c r="R277" s="14" t="str">
        <f t="shared" si="10"/>
        <v/>
      </c>
      <c r="S277" s="14" t="str">
        <f t="shared" si="11"/>
        <v/>
      </c>
      <c r="T277" s="17" t="str">
        <f t="shared" si="12"/>
        <v/>
      </c>
      <c r="U277" s="17" t="str">
        <f t="shared" si="13"/>
        <v/>
      </c>
    </row>
    <row r="278">
      <c r="A278" s="2"/>
      <c r="C278" s="28"/>
      <c r="D278" s="14"/>
      <c r="E278" s="14" t="str">
        <f t="array" ref="E278">IF($A278="","",IFERROR($D278*IF($D278&gt;=INDEX('Komisyon Tarifesi'!$I$2:$I$1000,MATCH($A278,'Komisyon Tarifesi'!$B$2:$B$1000,0)),INDEX('Komisyon Tarifesi'!$O$2:$O$1000,MATCH($A278,'Komisyon Tarifesi'!$B$2:$B$1000,0)),IF($D278&gt;=INDEX('Komisyon Tarifesi'!$K$2:$K$1000,MATCH($A278,'Komisyon Tarifesi'!$B$2:$B$1000,0)),INDEX('Komisyon Tarifesi'!$P$2:$P$1000,MATCH($A278,'Komisyon Tarifesi'!$B$2:$B$1000,0)),IF($D278&gt;=INDEX('Komisyon Tarifesi'!$M$2:$M$1000,MATCH($A278,'Komisyon Tarifesi'!$B$2:$B$1000,0)),INDEX('Komisyon Tarifesi'!$Q$2:$Q$1000,MATCH($A278,'Komisyon Tarifesi'!$B$2:$B$1000,0)),INDEX('Komisyon Tarifesi'!$R$2:$R$1000,MATCH($A278,'Komisyon Tarifesi'!$B$2:$B$1000,0)))))/100,IFERROR(IF(VLOOKUP($A278,Products!$A$2:$W$1000,21,0)&lt;&gt;"",$D278*VLOOKUP($A278,Products!$A$2:$W$1000,21,0)/100,""),"")))</f>
        <v/>
      </c>
      <c r="F278" s="14" t="str">
        <f t="array" ref="F278">IF($A278="","",IFERROR(IF(INDEX('Maliyet Giris'!$G$2:$G$550,MATCH($A278,'Maliyet Giris'!$A$2:$A$550,0))="","",IF(INDEX('Maliyet Giris'!$G$2:$G$550,MATCH($A278,'Maliyet Giris'!$A$2:$A$550,0))&lt;=2,86.4,IF(INDEX('Maliyet Giris'!$G$2:$G$550,MATCH($A278,'Maliyet Giris'!$A$2:$A$550,0))&lt;=3,90,IF(INDEX('Maliyet Giris'!$G$2:$G$550,MATCH($A278,'Maliyet Giris'!$A$2:$A$550,0))&lt;=5,102,IF(INDEX('Maliyet Giris'!$G$2:$G$550,MATCH($A278,'Maliyet Giris'!$A$2:$A$550,0))&lt;=10,159.74,IF(INDEX('Maliyet Giris'!$G$2:$G$550,MATCH($A278,'Maliyet Giris'!$A$2:$A$550,0))&lt;=15,187.5,IF(INDEX('Maliyet Giris'!$G$2:$G$550,MATCH($A278,'Maliyet Giris'!$A$2:$A$550,0))&lt;=20,225,299))))))),""))</f>
        <v/>
      </c>
      <c r="G278" s="14" t="str">
        <f t="array" ref="G278">IF($A278="","",IFERROR(INDEX('Maliyet Giris'!$F$2:$F$550,MATCH($A278,'Maliyet Giris'!$A$2:$A$550,0)),""))</f>
        <v/>
      </c>
      <c r="H278" s="14" t="str">
        <f t="shared" si="1"/>
        <v/>
      </c>
      <c r="I278" s="14" t="str">
        <f t="shared" si="2"/>
        <v/>
      </c>
      <c r="J278" s="14" t="str">
        <f t="shared" si="3"/>
        <v/>
      </c>
      <c r="K278" s="14" t="str">
        <f t="shared" si="4"/>
        <v/>
      </c>
      <c r="L278" s="15" t="str">
        <f t="shared" si="5"/>
        <v/>
      </c>
      <c r="M278" s="17" t="str">
        <f t="shared" si="6"/>
        <v/>
      </c>
      <c r="N278" s="17" t="str">
        <f t="shared" si="7"/>
        <v/>
      </c>
      <c r="O278" s="17" t="str">
        <f t="array" ref="O278">IF($A278="","",IFERROR(INDEX('Maliyet Giris'!$G$2:$G$550,MATCH($A278,'Maliyet Giris'!$A$2:$A$550,0)),""))</f>
        <v/>
      </c>
      <c r="P278" s="17" t="str">
        <f t="shared" si="8"/>
        <v/>
      </c>
      <c r="Q278" s="17" t="str">
        <f t="shared" si="9"/>
        <v/>
      </c>
      <c r="R278" s="14" t="str">
        <f t="shared" si="10"/>
        <v/>
      </c>
      <c r="S278" s="14" t="str">
        <f t="shared" si="11"/>
        <v/>
      </c>
      <c r="T278" s="17" t="str">
        <f t="shared" si="12"/>
        <v/>
      </c>
      <c r="U278" s="17" t="str">
        <f t="shared" si="13"/>
        <v/>
      </c>
    </row>
    <row r="279">
      <c r="A279" s="2"/>
      <c r="C279" s="28"/>
      <c r="D279" s="14"/>
      <c r="E279" s="14" t="str">
        <f t="array" ref="E279">IF($A279="","",IFERROR($D279*IF($D279&gt;=INDEX('Komisyon Tarifesi'!$I$2:$I$1000,MATCH($A279,'Komisyon Tarifesi'!$B$2:$B$1000,0)),INDEX('Komisyon Tarifesi'!$O$2:$O$1000,MATCH($A279,'Komisyon Tarifesi'!$B$2:$B$1000,0)),IF($D279&gt;=INDEX('Komisyon Tarifesi'!$K$2:$K$1000,MATCH($A279,'Komisyon Tarifesi'!$B$2:$B$1000,0)),INDEX('Komisyon Tarifesi'!$P$2:$P$1000,MATCH($A279,'Komisyon Tarifesi'!$B$2:$B$1000,0)),IF($D279&gt;=INDEX('Komisyon Tarifesi'!$M$2:$M$1000,MATCH($A279,'Komisyon Tarifesi'!$B$2:$B$1000,0)),INDEX('Komisyon Tarifesi'!$Q$2:$Q$1000,MATCH($A279,'Komisyon Tarifesi'!$B$2:$B$1000,0)),INDEX('Komisyon Tarifesi'!$R$2:$R$1000,MATCH($A279,'Komisyon Tarifesi'!$B$2:$B$1000,0)))))/100,IFERROR(IF(VLOOKUP($A279,Products!$A$2:$W$1000,21,0)&lt;&gt;"",$D279*VLOOKUP($A279,Products!$A$2:$W$1000,21,0)/100,""),"")))</f>
        <v/>
      </c>
      <c r="F279" s="14" t="str">
        <f t="array" ref="F279">IF($A279="","",IFERROR(IF(INDEX('Maliyet Giris'!$G$2:$G$550,MATCH($A279,'Maliyet Giris'!$A$2:$A$550,0))="","",IF(INDEX('Maliyet Giris'!$G$2:$G$550,MATCH($A279,'Maliyet Giris'!$A$2:$A$550,0))&lt;=2,86.4,IF(INDEX('Maliyet Giris'!$G$2:$G$550,MATCH($A279,'Maliyet Giris'!$A$2:$A$550,0))&lt;=3,90,IF(INDEX('Maliyet Giris'!$G$2:$G$550,MATCH($A279,'Maliyet Giris'!$A$2:$A$550,0))&lt;=5,102,IF(INDEX('Maliyet Giris'!$G$2:$G$550,MATCH($A279,'Maliyet Giris'!$A$2:$A$550,0))&lt;=10,159.74,IF(INDEX('Maliyet Giris'!$G$2:$G$550,MATCH($A279,'Maliyet Giris'!$A$2:$A$550,0))&lt;=15,187.5,IF(INDEX('Maliyet Giris'!$G$2:$G$550,MATCH($A279,'Maliyet Giris'!$A$2:$A$550,0))&lt;=20,225,299))))))),""))</f>
        <v/>
      </c>
      <c r="G279" s="14" t="str">
        <f t="array" ref="G279">IF($A279="","",IFERROR(INDEX('Maliyet Giris'!$F$2:$F$550,MATCH($A279,'Maliyet Giris'!$A$2:$A$550,0)),""))</f>
        <v/>
      </c>
      <c r="H279" s="14" t="str">
        <f t="shared" si="1"/>
        <v/>
      </c>
      <c r="I279" s="14" t="str">
        <f t="shared" si="2"/>
        <v/>
      </c>
      <c r="J279" s="14" t="str">
        <f t="shared" si="3"/>
        <v/>
      </c>
      <c r="K279" s="14" t="str">
        <f t="shared" si="4"/>
        <v/>
      </c>
      <c r="L279" s="15" t="str">
        <f t="shared" si="5"/>
        <v/>
      </c>
      <c r="M279" s="17" t="str">
        <f t="shared" si="6"/>
        <v/>
      </c>
      <c r="N279" s="17" t="str">
        <f t="shared" si="7"/>
        <v/>
      </c>
      <c r="O279" s="17" t="str">
        <f t="array" ref="O279">IF($A279="","",IFERROR(INDEX('Maliyet Giris'!$G$2:$G$550,MATCH($A279,'Maliyet Giris'!$A$2:$A$550,0)),""))</f>
        <v/>
      </c>
      <c r="P279" s="17" t="str">
        <f t="shared" si="8"/>
        <v/>
      </c>
      <c r="Q279" s="17" t="str">
        <f t="shared" si="9"/>
        <v/>
      </c>
      <c r="R279" s="14" t="str">
        <f t="shared" si="10"/>
        <v/>
      </c>
      <c r="S279" s="14" t="str">
        <f t="shared" si="11"/>
        <v/>
      </c>
      <c r="T279" s="17" t="str">
        <f t="shared" si="12"/>
        <v/>
      </c>
      <c r="U279" s="17" t="str">
        <f t="shared" si="13"/>
        <v/>
      </c>
    </row>
    <row r="280">
      <c r="A280" s="2"/>
      <c r="C280" s="28"/>
      <c r="D280" s="14"/>
      <c r="E280" s="14" t="str">
        <f t="array" ref="E280">IF($A280="","",IFERROR($D280*IF($D280&gt;=INDEX('Komisyon Tarifesi'!$I$2:$I$1000,MATCH($A280,'Komisyon Tarifesi'!$B$2:$B$1000,0)),INDEX('Komisyon Tarifesi'!$O$2:$O$1000,MATCH($A280,'Komisyon Tarifesi'!$B$2:$B$1000,0)),IF($D280&gt;=INDEX('Komisyon Tarifesi'!$K$2:$K$1000,MATCH($A280,'Komisyon Tarifesi'!$B$2:$B$1000,0)),INDEX('Komisyon Tarifesi'!$P$2:$P$1000,MATCH($A280,'Komisyon Tarifesi'!$B$2:$B$1000,0)),IF($D280&gt;=INDEX('Komisyon Tarifesi'!$M$2:$M$1000,MATCH($A280,'Komisyon Tarifesi'!$B$2:$B$1000,0)),INDEX('Komisyon Tarifesi'!$Q$2:$Q$1000,MATCH($A280,'Komisyon Tarifesi'!$B$2:$B$1000,0)),INDEX('Komisyon Tarifesi'!$R$2:$R$1000,MATCH($A280,'Komisyon Tarifesi'!$B$2:$B$1000,0)))))/100,IFERROR(IF(VLOOKUP($A280,Products!$A$2:$W$1000,21,0)&lt;&gt;"",$D280*VLOOKUP($A280,Products!$A$2:$W$1000,21,0)/100,""),"")))</f>
        <v/>
      </c>
      <c r="F280" s="14" t="str">
        <f t="array" ref="F280">IF($A280="","",IFERROR(IF(INDEX('Maliyet Giris'!$G$2:$G$550,MATCH($A280,'Maliyet Giris'!$A$2:$A$550,0))="","",IF(INDEX('Maliyet Giris'!$G$2:$G$550,MATCH($A280,'Maliyet Giris'!$A$2:$A$550,0))&lt;=2,86.4,IF(INDEX('Maliyet Giris'!$G$2:$G$550,MATCH($A280,'Maliyet Giris'!$A$2:$A$550,0))&lt;=3,90,IF(INDEX('Maliyet Giris'!$G$2:$G$550,MATCH($A280,'Maliyet Giris'!$A$2:$A$550,0))&lt;=5,102,IF(INDEX('Maliyet Giris'!$G$2:$G$550,MATCH($A280,'Maliyet Giris'!$A$2:$A$550,0))&lt;=10,159.74,IF(INDEX('Maliyet Giris'!$G$2:$G$550,MATCH($A280,'Maliyet Giris'!$A$2:$A$550,0))&lt;=15,187.5,IF(INDEX('Maliyet Giris'!$G$2:$G$550,MATCH($A280,'Maliyet Giris'!$A$2:$A$550,0))&lt;=20,225,299))))))),""))</f>
        <v/>
      </c>
      <c r="G280" s="14" t="str">
        <f t="array" ref="G280">IF($A280="","",IFERROR(INDEX('Maliyet Giris'!$F$2:$F$550,MATCH($A280,'Maliyet Giris'!$A$2:$A$550,0)),""))</f>
        <v/>
      </c>
      <c r="H280" s="14" t="str">
        <f t="shared" si="1"/>
        <v/>
      </c>
      <c r="I280" s="14" t="str">
        <f t="shared" si="2"/>
        <v/>
      </c>
      <c r="J280" s="14" t="str">
        <f t="shared" si="3"/>
        <v/>
      </c>
      <c r="K280" s="14" t="str">
        <f t="shared" si="4"/>
        <v/>
      </c>
      <c r="L280" s="15" t="str">
        <f t="shared" si="5"/>
        <v/>
      </c>
      <c r="M280" s="17" t="str">
        <f t="shared" si="6"/>
        <v/>
      </c>
      <c r="N280" s="17" t="str">
        <f t="shared" si="7"/>
        <v/>
      </c>
      <c r="O280" s="17" t="str">
        <f t="array" ref="O280">IF($A280="","",IFERROR(INDEX('Maliyet Giris'!$G$2:$G$550,MATCH($A280,'Maliyet Giris'!$A$2:$A$550,0)),""))</f>
        <v/>
      </c>
      <c r="P280" s="17" t="str">
        <f t="shared" si="8"/>
        <v/>
      </c>
      <c r="Q280" s="17" t="str">
        <f t="shared" si="9"/>
        <v/>
      </c>
      <c r="R280" s="14" t="str">
        <f t="shared" si="10"/>
        <v/>
      </c>
      <c r="S280" s="14" t="str">
        <f t="shared" si="11"/>
        <v/>
      </c>
      <c r="T280" s="17" t="str">
        <f t="shared" si="12"/>
        <v/>
      </c>
      <c r="U280" s="17" t="str">
        <f t="shared" si="13"/>
        <v/>
      </c>
    </row>
    <row r="281">
      <c r="A281" s="2"/>
      <c r="C281" s="28"/>
      <c r="D281" s="14"/>
      <c r="E281" s="14" t="str">
        <f t="array" ref="E281">IF($A281="","",IFERROR($D281*IF($D281&gt;=INDEX('Komisyon Tarifesi'!$I$2:$I$1000,MATCH($A281,'Komisyon Tarifesi'!$B$2:$B$1000,0)),INDEX('Komisyon Tarifesi'!$O$2:$O$1000,MATCH($A281,'Komisyon Tarifesi'!$B$2:$B$1000,0)),IF($D281&gt;=INDEX('Komisyon Tarifesi'!$K$2:$K$1000,MATCH($A281,'Komisyon Tarifesi'!$B$2:$B$1000,0)),INDEX('Komisyon Tarifesi'!$P$2:$P$1000,MATCH($A281,'Komisyon Tarifesi'!$B$2:$B$1000,0)),IF($D281&gt;=INDEX('Komisyon Tarifesi'!$M$2:$M$1000,MATCH($A281,'Komisyon Tarifesi'!$B$2:$B$1000,0)),INDEX('Komisyon Tarifesi'!$Q$2:$Q$1000,MATCH($A281,'Komisyon Tarifesi'!$B$2:$B$1000,0)),INDEX('Komisyon Tarifesi'!$R$2:$R$1000,MATCH($A281,'Komisyon Tarifesi'!$B$2:$B$1000,0)))))/100,IFERROR(IF(VLOOKUP($A281,Products!$A$2:$W$1000,21,0)&lt;&gt;"",$D281*VLOOKUP($A281,Products!$A$2:$W$1000,21,0)/100,""),"")))</f>
        <v/>
      </c>
      <c r="F281" s="14" t="str">
        <f t="array" ref="F281">IF($A281="","",IFERROR(IF(INDEX('Maliyet Giris'!$G$2:$G$550,MATCH($A281,'Maliyet Giris'!$A$2:$A$550,0))="","",IF(INDEX('Maliyet Giris'!$G$2:$G$550,MATCH($A281,'Maliyet Giris'!$A$2:$A$550,0))&lt;=2,86.4,IF(INDEX('Maliyet Giris'!$G$2:$G$550,MATCH($A281,'Maliyet Giris'!$A$2:$A$550,0))&lt;=3,90,IF(INDEX('Maliyet Giris'!$G$2:$G$550,MATCH($A281,'Maliyet Giris'!$A$2:$A$550,0))&lt;=5,102,IF(INDEX('Maliyet Giris'!$G$2:$G$550,MATCH($A281,'Maliyet Giris'!$A$2:$A$550,0))&lt;=10,159.74,IF(INDEX('Maliyet Giris'!$G$2:$G$550,MATCH($A281,'Maliyet Giris'!$A$2:$A$550,0))&lt;=15,187.5,IF(INDEX('Maliyet Giris'!$G$2:$G$550,MATCH($A281,'Maliyet Giris'!$A$2:$A$550,0))&lt;=20,225,299))))))),""))</f>
        <v/>
      </c>
      <c r="G281" s="14" t="str">
        <f t="array" ref="G281">IF($A281="","",IFERROR(INDEX('Maliyet Giris'!$F$2:$F$550,MATCH($A281,'Maliyet Giris'!$A$2:$A$550,0)),""))</f>
        <v/>
      </c>
      <c r="H281" s="14" t="str">
        <f t="shared" si="1"/>
        <v/>
      </c>
      <c r="I281" s="14" t="str">
        <f t="shared" si="2"/>
        <v/>
      </c>
      <c r="J281" s="14" t="str">
        <f t="shared" si="3"/>
        <v/>
      </c>
      <c r="K281" s="14" t="str">
        <f t="shared" si="4"/>
        <v/>
      </c>
      <c r="L281" s="15" t="str">
        <f t="shared" si="5"/>
        <v/>
      </c>
      <c r="M281" s="17" t="str">
        <f t="shared" si="6"/>
        <v/>
      </c>
      <c r="N281" s="17" t="str">
        <f t="shared" si="7"/>
        <v/>
      </c>
      <c r="O281" s="17" t="str">
        <f t="array" ref="O281">IF($A281="","",IFERROR(INDEX('Maliyet Giris'!$G$2:$G$550,MATCH($A281,'Maliyet Giris'!$A$2:$A$550,0)),""))</f>
        <v/>
      </c>
      <c r="P281" s="17" t="str">
        <f t="shared" si="8"/>
        <v/>
      </c>
      <c r="Q281" s="17" t="str">
        <f t="shared" si="9"/>
        <v/>
      </c>
      <c r="R281" s="14" t="str">
        <f t="shared" si="10"/>
        <v/>
      </c>
      <c r="S281" s="14" t="str">
        <f t="shared" si="11"/>
        <v/>
      </c>
      <c r="T281" s="17" t="str">
        <f t="shared" si="12"/>
        <v/>
      </c>
      <c r="U281" s="17" t="str">
        <f t="shared" si="13"/>
        <v/>
      </c>
    </row>
    <row r="282">
      <c r="A282" s="2"/>
      <c r="C282" s="28"/>
      <c r="D282" s="14"/>
      <c r="E282" s="14" t="str">
        <f t="array" ref="E282">IF($A282="","",IFERROR($D282*IF($D282&gt;=INDEX('Komisyon Tarifesi'!$I$2:$I$1000,MATCH($A282,'Komisyon Tarifesi'!$B$2:$B$1000,0)),INDEX('Komisyon Tarifesi'!$O$2:$O$1000,MATCH($A282,'Komisyon Tarifesi'!$B$2:$B$1000,0)),IF($D282&gt;=INDEX('Komisyon Tarifesi'!$K$2:$K$1000,MATCH($A282,'Komisyon Tarifesi'!$B$2:$B$1000,0)),INDEX('Komisyon Tarifesi'!$P$2:$P$1000,MATCH($A282,'Komisyon Tarifesi'!$B$2:$B$1000,0)),IF($D282&gt;=INDEX('Komisyon Tarifesi'!$M$2:$M$1000,MATCH($A282,'Komisyon Tarifesi'!$B$2:$B$1000,0)),INDEX('Komisyon Tarifesi'!$Q$2:$Q$1000,MATCH($A282,'Komisyon Tarifesi'!$B$2:$B$1000,0)),INDEX('Komisyon Tarifesi'!$R$2:$R$1000,MATCH($A282,'Komisyon Tarifesi'!$B$2:$B$1000,0)))))/100,IFERROR(IF(VLOOKUP($A282,Products!$A$2:$W$1000,21,0)&lt;&gt;"",$D282*VLOOKUP($A282,Products!$A$2:$W$1000,21,0)/100,""),"")))</f>
        <v/>
      </c>
      <c r="F282" s="14" t="str">
        <f t="array" ref="F282">IF($A282="","",IFERROR(IF(INDEX('Maliyet Giris'!$G$2:$G$550,MATCH($A282,'Maliyet Giris'!$A$2:$A$550,0))="","",IF(INDEX('Maliyet Giris'!$G$2:$G$550,MATCH($A282,'Maliyet Giris'!$A$2:$A$550,0))&lt;=2,86.4,IF(INDEX('Maliyet Giris'!$G$2:$G$550,MATCH($A282,'Maliyet Giris'!$A$2:$A$550,0))&lt;=3,90,IF(INDEX('Maliyet Giris'!$G$2:$G$550,MATCH($A282,'Maliyet Giris'!$A$2:$A$550,0))&lt;=5,102,IF(INDEX('Maliyet Giris'!$G$2:$G$550,MATCH($A282,'Maliyet Giris'!$A$2:$A$550,0))&lt;=10,159.74,IF(INDEX('Maliyet Giris'!$G$2:$G$550,MATCH($A282,'Maliyet Giris'!$A$2:$A$550,0))&lt;=15,187.5,IF(INDEX('Maliyet Giris'!$G$2:$G$550,MATCH($A282,'Maliyet Giris'!$A$2:$A$550,0))&lt;=20,225,299))))))),""))</f>
        <v/>
      </c>
      <c r="G282" s="14" t="str">
        <f t="array" ref="G282">IF($A282="","",IFERROR(INDEX('Maliyet Giris'!$F$2:$F$550,MATCH($A282,'Maliyet Giris'!$A$2:$A$550,0)),""))</f>
        <v/>
      </c>
      <c r="H282" s="14" t="str">
        <f t="shared" si="1"/>
        <v/>
      </c>
      <c r="I282" s="14" t="str">
        <f t="shared" si="2"/>
        <v/>
      </c>
      <c r="J282" s="14" t="str">
        <f t="shared" si="3"/>
        <v/>
      </c>
      <c r="K282" s="14" t="str">
        <f t="shared" si="4"/>
        <v/>
      </c>
      <c r="L282" s="15" t="str">
        <f t="shared" si="5"/>
        <v/>
      </c>
      <c r="M282" s="17" t="str">
        <f t="shared" si="6"/>
        <v/>
      </c>
      <c r="N282" s="17" t="str">
        <f t="shared" si="7"/>
        <v/>
      </c>
      <c r="O282" s="17" t="str">
        <f t="array" ref="O282">IF($A282="","",IFERROR(INDEX('Maliyet Giris'!$G$2:$G$550,MATCH($A282,'Maliyet Giris'!$A$2:$A$550,0)),""))</f>
        <v/>
      </c>
      <c r="P282" s="17" t="str">
        <f t="shared" si="8"/>
        <v/>
      </c>
      <c r="Q282" s="17" t="str">
        <f t="shared" si="9"/>
        <v/>
      </c>
      <c r="R282" s="14" t="str">
        <f t="shared" si="10"/>
        <v/>
      </c>
      <c r="S282" s="14" t="str">
        <f t="shared" si="11"/>
        <v/>
      </c>
      <c r="T282" s="17" t="str">
        <f t="shared" si="12"/>
        <v/>
      </c>
      <c r="U282" s="17" t="str">
        <f t="shared" si="13"/>
        <v/>
      </c>
    </row>
    <row r="283">
      <c r="A283" s="2"/>
      <c r="C283" s="28"/>
      <c r="D283" s="14"/>
      <c r="E283" s="14" t="str">
        <f t="array" ref="E283">IF($A283="","",IFERROR($D283*IF($D283&gt;=INDEX('Komisyon Tarifesi'!$I$2:$I$1000,MATCH($A283,'Komisyon Tarifesi'!$B$2:$B$1000,0)),INDEX('Komisyon Tarifesi'!$O$2:$O$1000,MATCH($A283,'Komisyon Tarifesi'!$B$2:$B$1000,0)),IF($D283&gt;=INDEX('Komisyon Tarifesi'!$K$2:$K$1000,MATCH($A283,'Komisyon Tarifesi'!$B$2:$B$1000,0)),INDEX('Komisyon Tarifesi'!$P$2:$P$1000,MATCH($A283,'Komisyon Tarifesi'!$B$2:$B$1000,0)),IF($D283&gt;=INDEX('Komisyon Tarifesi'!$M$2:$M$1000,MATCH($A283,'Komisyon Tarifesi'!$B$2:$B$1000,0)),INDEX('Komisyon Tarifesi'!$Q$2:$Q$1000,MATCH($A283,'Komisyon Tarifesi'!$B$2:$B$1000,0)),INDEX('Komisyon Tarifesi'!$R$2:$R$1000,MATCH($A283,'Komisyon Tarifesi'!$B$2:$B$1000,0)))))/100,IFERROR(IF(VLOOKUP($A283,Products!$A$2:$W$1000,21,0)&lt;&gt;"",$D283*VLOOKUP($A283,Products!$A$2:$W$1000,21,0)/100,""),"")))</f>
        <v/>
      </c>
      <c r="F283" s="14" t="str">
        <f t="array" ref="F283">IF($A283="","",IFERROR(IF(INDEX('Maliyet Giris'!$G$2:$G$550,MATCH($A283,'Maliyet Giris'!$A$2:$A$550,0))="","",IF(INDEX('Maliyet Giris'!$G$2:$G$550,MATCH($A283,'Maliyet Giris'!$A$2:$A$550,0))&lt;=2,86.4,IF(INDEX('Maliyet Giris'!$G$2:$G$550,MATCH($A283,'Maliyet Giris'!$A$2:$A$550,0))&lt;=3,90,IF(INDEX('Maliyet Giris'!$G$2:$G$550,MATCH($A283,'Maliyet Giris'!$A$2:$A$550,0))&lt;=5,102,IF(INDEX('Maliyet Giris'!$G$2:$G$550,MATCH($A283,'Maliyet Giris'!$A$2:$A$550,0))&lt;=10,159.74,IF(INDEX('Maliyet Giris'!$G$2:$G$550,MATCH($A283,'Maliyet Giris'!$A$2:$A$550,0))&lt;=15,187.5,IF(INDEX('Maliyet Giris'!$G$2:$G$550,MATCH($A283,'Maliyet Giris'!$A$2:$A$550,0))&lt;=20,225,299))))))),""))</f>
        <v/>
      </c>
      <c r="G283" s="14" t="str">
        <f t="array" ref="G283">IF($A283="","",IFERROR(INDEX('Maliyet Giris'!$F$2:$F$550,MATCH($A283,'Maliyet Giris'!$A$2:$A$550,0)),""))</f>
        <v/>
      </c>
      <c r="H283" s="14" t="str">
        <f t="shared" si="1"/>
        <v/>
      </c>
      <c r="I283" s="14" t="str">
        <f t="shared" si="2"/>
        <v/>
      </c>
      <c r="J283" s="14" t="str">
        <f t="shared" si="3"/>
        <v/>
      </c>
      <c r="K283" s="14" t="str">
        <f t="shared" si="4"/>
        <v/>
      </c>
      <c r="L283" s="15" t="str">
        <f t="shared" si="5"/>
        <v/>
      </c>
      <c r="M283" s="17" t="str">
        <f t="shared" si="6"/>
        <v/>
      </c>
      <c r="N283" s="17" t="str">
        <f t="shared" si="7"/>
        <v/>
      </c>
      <c r="O283" s="17" t="str">
        <f t="array" ref="O283">IF($A283="","",IFERROR(INDEX('Maliyet Giris'!$G$2:$G$550,MATCH($A283,'Maliyet Giris'!$A$2:$A$550,0)),""))</f>
        <v/>
      </c>
      <c r="P283" s="17" t="str">
        <f t="shared" si="8"/>
        <v/>
      </c>
      <c r="Q283" s="17" t="str">
        <f t="shared" si="9"/>
        <v/>
      </c>
      <c r="R283" s="14" t="str">
        <f t="shared" si="10"/>
        <v/>
      </c>
      <c r="S283" s="14" t="str">
        <f t="shared" si="11"/>
        <v/>
      </c>
      <c r="T283" s="17" t="str">
        <f t="shared" si="12"/>
        <v/>
      </c>
      <c r="U283" s="17" t="str">
        <f t="shared" si="13"/>
        <v/>
      </c>
    </row>
    <row r="284">
      <c r="A284" s="2"/>
      <c r="C284" s="28"/>
      <c r="D284" s="14"/>
      <c r="E284" s="14" t="str">
        <f t="array" ref="E284">IF($A284="","",IFERROR($D284*IF($D284&gt;=INDEX('Komisyon Tarifesi'!$I$2:$I$1000,MATCH($A284,'Komisyon Tarifesi'!$B$2:$B$1000,0)),INDEX('Komisyon Tarifesi'!$O$2:$O$1000,MATCH($A284,'Komisyon Tarifesi'!$B$2:$B$1000,0)),IF($D284&gt;=INDEX('Komisyon Tarifesi'!$K$2:$K$1000,MATCH($A284,'Komisyon Tarifesi'!$B$2:$B$1000,0)),INDEX('Komisyon Tarifesi'!$P$2:$P$1000,MATCH($A284,'Komisyon Tarifesi'!$B$2:$B$1000,0)),IF($D284&gt;=INDEX('Komisyon Tarifesi'!$M$2:$M$1000,MATCH($A284,'Komisyon Tarifesi'!$B$2:$B$1000,0)),INDEX('Komisyon Tarifesi'!$Q$2:$Q$1000,MATCH($A284,'Komisyon Tarifesi'!$B$2:$B$1000,0)),INDEX('Komisyon Tarifesi'!$R$2:$R$1000,MATCH($A284,'Komisyon Tarifesi'!$B$2:$B$1000,0)))))/100,IFERROR(IF(VLOOKUP($A284,Products!$A$2:$W$1000,21,0)&lt;&gt;"",$D284*VLOOKUP($A284,Products!$A$2:$W$1000,21,0)/100,""),"")))</f>
        <v/>
      </c>
      <c r="F284" s="14" t="str">
        <f t="array" ref="F284">IF($A284="","",IFERROR(IF(INDEX('Maliyet Giris'!$G$2:$G$550,MATCH($A284,'Maliyet Giris'!$A$2:$A$550,0))="","",IF(INDEX('Maliyet Giris'!$G$2:$G$550,MATCH($A284,'Maliyet Giris'!$A$2:$A$550,0))&lt;=2,86.4,IF(INDEX('Maliyet Giris'!$G$2:$G$550,MATCH($A284,'Maliyet Giris'!$A$2:$A$550,0))&lt;=3,90,IF(INDEX('Maliyet Giris'!$G$2:$G$550,MATCH($A284,'Maliyet Giris'!$A$2:$A$550,0))&lt;=5,102,IF(INDEX('Maliyet Giris'!$G$2:$G$550,MATCH($A284,'Maliyet Giris'!$A$2:$A$550,0))&lt;=10,159.74,IF(INDEX('Maliyet Giris'!$G$2:$G$550,MATCH($A284,'Maliyet Giris'!$A$2:$A$550,0))&lt;=15,187.5,IF(INDEX('Maliyet Giris'!$G$2:$G$550,MATCH($A284,'Maliyet Giris'!$A$2:$A$550,0))&lt;=20,225,299))))))),""))</f>
        <v/>
      </c>
      <c r="G284" s="14" t="str">
        <f t="array" ref="G284">IF($A284="","",IFERROR(INDEX('Maliyet Giris'!$F$2:$F$550,MATCH($A284,'Maliyet Giris'!$A$2:$A$550,0)),""))</f>
        <v/>
      </c>
      <c r="H284" s="14" t="str">
        <f t="shared" si="1"/>
        <v/>
      </c>
      <c r="I284" s="14" t="str">
        <f t="shared" si="2"/>
        <v/>
      </c>
      <c r="J284" s="14" t="str">
        <f t="shared" si="3"/>
        <v/>
      </c>
      <c r="K284" s="14" t="str">
        <f t="shared" si="4"/>
        <v/>
      </c>
      <c r="L284" s="15" t="str">
        <f t="shared" si="5"/>
        <v/>
      </c>
      <c r="M284" s="17" t="str">
        <f t="shared" si="6"/>
        <v/>
      </c>
      <c r="N284" s="17" t="str">
        <f t="shared" si="7"/>
        <v/>
      </c>
      <c r="O284" s="17" t="str">
        <f t="array" ref="O284">IF($A284="","",IFERROR(INDEX('Maliyet Giris'!$G$2:$G$550,MATCH($A284,'Maliyet Giris'!$A$2:$A$550,0)),""))</f>
        <v/>
      </c>
      <c r="P284" s="17" t="str">
        <f t="shared" si="8"/>
        <v/>
      </c>
      <c r="Q284" s="17" t="str">
        <f t="shared" si="9"/>
        <v/>
      </c>
      <c r="R284" s="14" t="str">
        <f t="shared" si="10"/>
        <v/>
      </c>
      <c r="S284" s="14" t="str">
        <f t="shared" si="11"/>
        <v/>
      </c>
      <c r="T284" s="17" t="str">
        <f t="shared" si="12"/>
        <v/>
      </c>
      <c r="U284" s="17" t="str">
        <f t="shared" si="13"/>
        <v/>
      </c>
    </row>
    <row r="285">
      <c r="A285" s="2"/>
      <c r="C285" s="28"/>
      <c r="D285" s="14"/>
      <c r="E285" s="14" t="str">
        <f t="array" ref="E285">IF($A285="","",IFERROR($D285*IF($D285&gt;=INDEX('Komisyon Tarifesi'!$I$2:$I$1000,MATCH($A285,'Komisyon Tarifesi'!$B$2:$B$1000,0)),INDEX('Komisyon Tarifesi'!$O$2:$O$1000,MATCH($A285,'Komisyon Tarifesi'!$B$2:$B$1000,0)),IF($D285&gt;=INDEX('Komisyon Tarifesi'!$K$2:$K$1000,MATCH($A285,'Komisyon Tarifesi'!$B$2:$B$1000,0)),INDEX('Komisyon Tarifesi'!$P$2:$P$1000,MATCH($A285,'Komisyon Tarifesi'!$B$2:$B$1000,0)),IF($D285&gt;=INDEX('Komisyon Tarifesi'!$M$2:$M$1000,MATCH($A285,'Komisyon Tarifesi'!$B$2:$B$1000,0)),INDEX('Komisyon Tarifesi'!$Q$2:$Q$1000,MATCH($A285,'Komisyon Tarifesi'!$B$2:$B$1000,0)),INDEX('Komisyon Tarifesi'!$R$2:$R$1000,MATCH($A285,'Komisyon Tarifesi'!$B$2:$B$1000,0)))))/100,IFERROR(IF(VLOOKUP($A285,Products!$A$2:$W$1000,21,0)&lt;&gt;"",$D285*VLOOKUP($A285,Products!$A$2:$W$1000,21,0)/100,""),"")))</f>
        <v/>
      </c>
      <c r="F285" s="14" t="str">
        <f t="array" ref="F285">IF($A285="","",IFERROR(IF(INDEX('Maliyet Giris'!$G$2:$G$550,MATCH($A285,'Maliyet Giris'!$A$2:$A$550,0))="","",IF(INDEX('Maliyet Giris'!$G$2:$G$550,MATCH($A285,'Maliyet Giris'!$A$2:$A$550,0))&lt;=2,86.4,IF(INDEX('Maliyet Giris'!$G$2:$G$550,MATCH($A285,'Maliyet Giris'!$A$2:$A$550,0))&lt;=3,90,IF(INDEX('Maliyet Giris'!$G$2:$G$550,MATCH($A285,'Maliyet Giris'!$A$2:$A$550,0))&lt;=5,102,IF(INDEX('Maliyet Giris'!$G$2:$G$550,MATCH($A285,'Maliyet Giris'!$A$2:$A$550,0))&lt;=10,159.74,IF(INDEX('Maliyet Giris'!$G$2:$G$550,MATCH($A285,'Maliyet Giris'!$A$2:$A$550,0))&lt;=15,187.5,IF(INDEX('Maliyet Giris'!$G$2:$G$550,MATCH($A285,'Maliyet Giris'!$A$2:$A$550,0))&lt;=20,225,299))))))),""))</f>
        <v/>
      </c>
      <c r="G285" s="14" t="str">
        <f t="array" ref="G285">IF($A285="","",IFERROR(INDEX('Maliyet Giris'!$F$2:$F$550,MATCH($A285,'Maliyet Giris'!$A$2:$A$550,0)),""))</f>
        <v/>
      </c>
      <c r="H285" s="14" t="str">
        <f t="shared" si="1"/>
        <v/>
      </c>
      <c r="I285" s="14" t="str">
        <f t="shared" si="2"/>
        <v/>
      </c>
      <c r="J285" s="14" t="str">
        <f t="shared" si="3"/>
        <v/>
      </c>
      <c r="K285" s="14" t="str">
        <f t="shared" si="4"/>
        <v/>
      </c>
      <c r="L285" s="15" t="str">
        <f t="shared" si="5"/>
        <v/>
      </c>
      <c r="M285" s="17" t="str">
        <f t="shared" si="6"/>
        <v/>
      </c>
      <c r="N285" s="17" t="str">
        <f t="shared" si="7"/>
        <v/>
      </c>
      <c r="O285" s="17" t="str">
        <f t="array" ref="O285">IF($A285="","",IFERROR(INDEX('Maliyet Giris'!$G$2:$G$550,MATCH($A285,'Maliyet Giris'!$A$2:$A$550,0)),""))</f>
        <v/>
      </c>
      <c r="P285" s="17" t="str">
        <f t="shared" si="8"/>
        <v/>
      </c>
      <c r="Q285" s="17" t="str">
        <f t="shared" si="9"/>
        <v/>
      </c>
      <c r="R285" s="14" t="str">
        <f t="shared" si="10"/>
        <v/>
      </c>
      <c r="S285" s="14" t="str">
        <f t="shared" si="11"/>
        <v/>
      </c>
      <c r="T285" s="17" t="str">
        <f t="shared" si="12"/>
        <v/>
      </c>
      <c r="U285" s="17" t="str">
        <f t="shared" si="13"/>
        <v/>
      </c>
    </row>
    <row r="286">
      <c r="A286" s="2"/>
      <c r="C286" s="28"/>
      <c r="D286" s="14"/>
      <c r="E286" s="14" t="str">
        <f t="array" ref="E286">IF($A286="","",IFERROR($D286*IF($D286&gt;=INDEX('Komisyon Tarifesi'!$I$2:$I$1000,MATCH($A286,'Komisyon Tarifesi'!$B$2:$B$1000,0)),INDEX('Komisyon Tarifesi'!$O$2:$O$1000,MATCH($A286,'Komisyon Tarifesi'!$B$2:$B$1000,0)),IF($D286&gt;=INDEX('Komisyon Tarifesi'!$K$2:$K$1000,MATCH($A286,'Komisyon Tarifesi'!$B$2:$B$1000,0)),INDEX('Komisyon Tarifesi'!$P$2:$P$1000,MATCH($A286,'Komisyon Tarifesi'!$B$2:$B$1000,0)),IF($D286&gt;=INDEX('Komisyon Tarifesi'!$M$2:$M$1000,MATCH($A286,'Komisyon Tarifesi'!$B$2:$B$1000,0)),INDEX('Komisyon Tarifesi'!$Q$2:$Q$1000,MATCH($A286,'Komisyon Tarifesi'!$B$2:$B$1000,0)),INDEX('Komisyon Tarifesi'!$R$2:$R$1000,MATCH($A286,'Komisyon Tarifesi'!$B$2:$B$1000,0)))))/100,IFERROR(IF(VLOOKUP($A286,Products!$A$2:$W$1000,21,0)&lt;&gt;"",$D286*VLOOKUP($A286,Products!$A$2:$W$1000,21,0)/100,""),"")))</f>
        <v/>
      </c>
      <c r="F286" s="14" t="str">
        <f t="array" ref="F286">IF($A286="","",IFERROR(IF(INDEX('Maliyet Giris'!$G$2:$G$550,MATCH($A286,'Maliyet Giris'!$A$2:$A$550,0))="","",IF(INDEX('Maliyet Giris'!$G$2:$G$550,MATCH($A286,'Maliyet Giris'!$A$2:$A$550,0))&lt;=2,86.4,IF(INDEX('Maliyet Giris'!$G$2:$G$550,MATCH($A286,'Maliyet Giris'!$A$2:$A$550,0))&lt;=3,90,IF(INDEX('Maliyet Giris'!$G$2:$G$550,MATCH($A286,'Maliyet Giris'!$A$2:$A$550,0))&lt;=5,102,IF(INDEX('Maliyet Giris'!$G$2:$G$550,MATCH($A286,'Maliyet Giris'!$A$2:$A$550,0))&lt;=10,159.74,IF(INDEX('Maliyet Giris'!$G$2:$G$550,MATCH($A286,'Maliyet Giris'!$A$2:$A$550,0))&lt;=15,187.5,IF(INDEX('Maliyet Giris'!$G$2:$G$550,MATCH($A286,'Maliyet Giris'!$A$2:$A$550,0))&lt;=20,225,299))))))),""))</f>
        <v/>
      </c>
      <c r="G286" s="14" t="str">
        <f t="array" ref="G286">IF($A286="","",IFERROR(INDEX('Maliyet Giris'!$F$2:$F$550,MATCH($A286,'Maliyet Giris'!$A$2:$A$550,0)),""))</f>
        <v/>
      </c>
      <c r="H286" s="14" t="str">
        <f t="shared" si="1"/>
        <v/>
      </c>
      <c r="I286" s="14" t="str">
        <f t="shared" si="2"/>
        <v/>
      </c>
      <c r="J286" s="14" t="str">
        <f t="shared" si="3"/>
        <v/>
      </c>
      <c r="K286" s="14" t="str">
        <f t="shared" si="4"/>
        <v/>
      </c>
      <c r="L286" s="15" t="str">
        <f t="shared" si="5"/>
        <v/>
      </c>
      <c r="M286" s="17" t="str">
        <f t="shared" si="6"/>
        <v/>
      </c>
      <c r="N286" s="17" t="str">
        <f t="shared" si="7"/>
        <v/>
      </c>
      <c r="O286" s="17" t="str">
        <f t="array" ref="O286">IF($A286="","",IFERROR(INDEX('Maliyet Giris'!$G$2:$G$550,MATCH($A286,'Maliyet Giris'!$A$2:$A$550,0)),""))</f>
        <v/>
      </c>
      <c r="P286" s="17" t="str">
        <f t="shared" si="8"/>
        <v/>
      </c>
      <c r="Q286" s="17" t="str">
        <f t="shared" si="9"/>
        <v/>
      </c>
      <c r="R286" s="14" t="str">
        <f t="shared" si="10"/>
        <v/>
      </c>
      <c r="S286" s="14" t="str">
        <f t="shared" si="11"/>
        <v/>
      </c>
      <c r="T286" s="17" t="str">
        <f t="shared" si="12"/>
        <v/>
      </c>
      <c r="U286" s="17" t="str">
        <f t="shared" si="13"/>
        <v/>
      </c>
    </row>
    <row r="287">
      <c r="A287" s="2"/>
      <c r="C287" s="28"/>
      <c r="D287" s="14"/>
      <c r="E287" s="14" t="str">
        <f t="array" ref="E287">IF($A287="","",IFERROR($D287*IF($D287&gt;=INDEX('Komisyon Tarifesi'!$I$2:$I$1000,MATCH($A287,'Komisyon Tarifesi'!$B$2:$B$1000,0)),INDEX('Komisyon Tarifesi'!$O$2:$O$1000,MATCH($A287,'Komisyon Tarifesi'!$B$2:$B$1000,0)),IF($D287&gt;=INDEX('Komisyon Tarifesi'!$K$2:$K$1000,MATCH($A287,'Komisyon Tarifesi'!$B$2:$B$1000,0)),INDEX('Komisyon Tarifesi'!$P$2:$P$1000,MATCH($A287,'Komisyon Tarifesi'!$B$2:$B$1000,0)),IF($D287&gt;=INDEX('Komisyon Tarifesi'!$M$2:$M$1000,MATCH($A287,'Komisyon Tarifesi'!$B$2:$B$1000,0)),INDEX('Komisyon Tarifesi'!$Q$2:$Q$1000,MATCH($A287,'Komisyon Tarifesi'!$B$2:$B$1000,0)),INDEX('Komisyon Tarifesi'!$R$2:$R$1000,MATCH($A287,'Komisyon Tarifesi'!$B$2:$B$1000,0)))))/100,IFERROR(IF(VLOOKUP($A287,Products!$A$2:$W$1000,21,0)&lt;&gt;"",$D287*VLOOKUP($A287,Products!$A$2:$W$1000,21,0)/100,""),"")))</f>
        <v/>
      </c>
      <c r="F287" s="14" t="str">
        <f t="array" ref="F287">IF($A287="","",IFERROR(IF(INDEX('Maliyet Giris'!$G$2:$G$550,MATCH($A287,'Maliyet Giris'!$A$2:$A$550,0))="","",IF(INDEX('Maliyet Giris'!$G$2:$G$550,MATCH($A287,'Maliyet Giris'!$A$2:$A$550,0))&lt;=2,86.4,IF(INDEX('Maliyet Giris'!$G$2:$G$550,MATCH($A287,'Maliyet Giris'!$A$2:$A$550,0))&lt;=3,90,IF(INDEX('Maliyet Giris'!$G$2:$G$550,MATCH($A287,'Maliyet Giris'!$A$2:$A$550,0))&lt;=5,102,IF(INDEX('Maliyet Giris'!$G$2:$G$550,MATCH($A287,'Maliyet Giris'!$A$2:$A$550,0))&lt;=10,159.74,IF(INDEX('Maliyet Giris'!$G$2:$G$550,MATCH($A287,'Maliyet Giris'!$A$2:$A$550,0))&lt;=15,187.5,IF(INDEX('Maliyet Giris'!$G$2:$G$550,MATCH($A287,'Maliyet Giris'!$A$2:$A$550,0))&lt;=20,225,299))))))),""))</f>
        <v/>
      </c>
      <c r="G287" s="14" t="str">
        <f t="array" ref="G287">IF($A287="","",IFERROR(INDEX('Maliyet Giris'!$F$2:$F$550,MATCH($A287,'Maliyet Giris'!$A$2:$A$550,0)),""))</f>
        <v/>
      </c>
      <c r="H287" s="14" t="str">
        <f t="shared" si="1"/>
        <v/>
      </c>
      <c r="I287" s="14" t="str">
        <f t="shared" si="2"/>
        <v/>
      </c>
      <c r="J287" s="14" t="str">
        <f t="shared" si="3"/>
        <v/>
      </c>
      <c r="K287" s="14" t="str">
        <f t="shared" si="4"/>
        <v/>
      </c>
      <c r="L287" s="15" t="str">
        <f t="shared" si="5"/>
        <v/>
      </c>
      <c r="M287" s="17" t="str">
        <f t="shared" si="6"/>
        <v/>
      </c>
      <c r="N287" s="17" t="str">
        <f t="shared" si="7"/>
        <v/>
      </c>
      <c r="O287" s="17" t="str">
        <f t="array" ref="O287">IF($A287="","",IFERROR(INDEX('Maliyet Giris'!$G$2:$G$550,MATCH($A287,'Maliyet Giris'!$A$2:$A$550,0)),""))</f>
        <v/>
      </c>
      <c r="P287" s="17" t="str">
        <f t="shared" si="8"/>
        <v/>
      </c>
      <c r="Q287" s="17" t="str">
        <f t="shared" si="9"/>
        <v/>
      </c>
      <c r="R287" s="14" t="str">
        <f t="shared" si="10"/>
        <v/>
      </c>
      <c r="S287" s="14" t="str">
        <f t="shared" si="11"/>
        <v/>
      </c>
      <c r="T287" s="17" t="str">
        <f t="shared" si="12"/>
        <v/>
      </c>
      <c r="U287" s="17" t="str">
        <f t="shared" si="13"/>
        <v/>
      </c>
    </row>
    <row r="288">
      <c r="A288" s="2"/>
      <c r="C288" s="28"/>
      <c r="D288" s="14"/>
      <c r="E288" s="14" t="str">
        <f t="array" ref="E288">IF($A288="","",IFERROR($D288*IF($D288&gt;=INDEX('Komisyon Tarifesi'!$I$2:$I$1000,MATCH($A288,'Komisyon Tarifesi'!$B$2:$B$1000,0)),INDEX('Komisyon Tarifesi'!$O$2:$O$1000,MATCH($A288,'Komisyon Tarifesi'!$B$2:$B$1000,0)),IF($D288&gt;=INDEX('Komisyon Tarifesi'!$K$2:$K$1000,MATCH($A288,'Komisyon Tarifesi'!$B$2:$B$1000,0)),INDEX('Komisyon Tarifesi'!$P$2:$P$1000,MATCH($A288,'Komisyon Tarifesi'!$B$2:$B$1000,0)),IF($D288&gt;=INDEX('Komisyon Tarifesi'!$M$2:$M$1000,MATCH($A288,'Komisyon Tarifesi'!$B$2:$B$1000,0)),INDEX('Komisyon Tarifesi'!$Q$2:$Q$1000,MATCH($A288,'Komisyon Tarifesi'!$B$2:$B$1000,0)),INDEX('Komisyon Tarifesi'!$R$2:$R$1000,MATCH($A288,'Komisyon Tarifesi'!$B$2:$B$1000,0)))))/100,IFERROR(IF(VLOOKUP($A288,Products!$A$2:$W$1000,21,0)&lt;&gt;"",$D288*VLOOKUP($A288,Products!$A$2:$W$1000,21,0)/100,""),"")))</f>
        <v/>
      </c>
      <c r="F288" s="14" t="str">
        <f t="array" ref="F288">IF($A288="","",IFERROR(IF(INDEX('Maliyet Giris'!$G$2:$G$550,MATCH($A288,'Maliyet Giris'!$A$2:$A$550,0))="","",IF(INDEX('Maliyet Giris'!$G$2:$G$550,MATCH($A288,'Maliyet Giris'!$A$2:$A$550,0))&lt;=2,86.4,IF(INDEX('Maliyet Giris'!$G$2:$G$550,MATCH($A288,'Maliyet Giris'!$A$2:$A$550,0))&lt;=3,90,IF(INDEX('Maliyet Giris'!$G$2:$G$550,MATCH($A288,'Maliyet Giris'!$A$2:$A$550,0))&lt;=5,102,IF(INDEX('Maliyet Giris'!$G$2:$G$550,MATCH($A288,'Maliyet Giris'!$A$2:$A$550,0))&lt;=10,159.74,IF(INDEX('Maliyet Giris'!$G$2:$G$550,MATCH($A288,'Maliyet Giris'!$A$2:$A$550,0))&lt;=15,187.5,IF(INDEX('Maliyet Giris'!$G$2:$G$550,MATCH($A288,'Maliyet Giris'!$A$2:$A$550,0))&lt;=20,225,299))))))),""))</f>
        <v/>
      </c>
      <c r="G288" s="14" t="str">
        <f t="array" ref="G288">IF($A288="","",IFERROR(INDEX('Maliyet Giris'!$F$2:$F$550,MATCH($A288,'Maliyet Giris'!$A$2:$A$550,0)),""))</f>
        <v/>
      </c>
      <c r="H288" s="14" t="str">
        <f t="shared" si="1"/>
        <v/>
      </c>
      <c r="I288" s="14" t="str">
        <f t="shared" si="2"/>
        <v/>
      </c>
      <c r="J288" s="14" t="str">
        <f t="shared" si="3"/>
        <v/>
      </c>
      <c r="K288" s="14" t="str">
        <f t="shared" si="4"/>
        <v/>
      </c>
      <c r="L288" s="15" t="str">
        <f t="shared" si="5"/>
        <v/>
      </c>
      <c r="M288" s="17" t="str">
        <f t="shared" si="6"/>
        <v/>
      </c>
      <c r="N288" s="17" t="str">
        <f t="shared" si="7"/>
        <v/>
      </c>
      <c r="O288" s="17" t="str">
        <f t="array" ref="O288">IF($A288="","",IFERROR(INDEX('Maliyet Giris'!$G$2:$G$550,MATCH($A288,'Maliyet Giris'!$A$2:$A$550,0)),""))</f>
        <v/>
      </c>
      <c r="P288" s="17" t="str">
        <f t="shared" si="8"/>
        <v/>
      </c>
      <c r="Q288" s="17" t="str">
        <f t="shared" si="9"/>
        <v/>
      </c>
      <c r="R288" s="14" t="str">
        <f t="shared" si="10"/>
        <v/>
      </c>
      <c r="S288" s="14" t="str">
        <f t="shared" si="11"/>
        <v/>
      </c>
      <c r="T288" s="17" t="str">
        <f t="shared" si="12"/>
        <v/>
      </c>
      <c r="U288" s="17" t="str">
        <f t="shared" si="13"/>
        <v/>
      </c>
    </row>
    <row r="289">
      <c r="A289" s="2"/>
      <c r="C289" s="28"/>
      <c r="D289" s="14"/>
      <c r="E289" s="14" t="str">
        <f t="array" ref="E289">IF($A289="","",IFERROR($D289*IF($D289&gt;=INDEX('Komisyon Tarifesi'!$I$2:$I$1000,MATCH($A289,'Komisyon Tarifesi'!$B$2:$B$1000,0)),INDEX('Komisyon Tarifesi'!$O$2:$O$1000,MATCH($A289,'Komisyon Tarifesi'!$B$2:$B$1000,0)),IF($D289&gt;=INDEX('Komisyon Tarifesi'!$K$2:$K$1000,MATCH($A289,'Komisyon Tarifesi'!$B$2:$B$1000,0)),INDEX('Komisyon Tarifesi'!$P$2:$P$1000,MATCH($A289,'Komisyon Tarifesi'!$B$2:$B$1000,0)),IF($D289&gt;=INDEX('Komisyon Tarifesi'!$M$2:$M$1000,MATCH($A289,'Komisyon Tarifesi'!$B$2:$B$1000,0)),INDEX('Komisyon Tarifesi'!$Q$2:$Q$1000,MATCH($A289,'Komisyon Tarifesi'!$B$2:$B$1000,0)),INDEX('Komisyon Tarifesi'!$R$2:$R$1000,MATCH($A289,'Komisyon Tarifesi'!$B$2:$B$1000,0)))))/100,IFERROR(IF(VLOOKUP($A289,Products!$A$2:$W$1000,21,0)&lt;&gt;"",$D289*VLOOKUP($A289,Products!$A$2:$W$1000,21,0)/100,""),"")))</f>
        <v/>
      </c>
      <c r="F289" s="14" t="str">
        <f t="array" ref="F289">IF($A289="","",IFERROR(IF(INDEX('Maliyet Giris'!$G$2:$G$550,MATCH($A289,'Maliyet Giris'!$A$2:$A$550,0))="","",IF(INDEX('Maliyet Giris'!$G$2:$G$550,MATCH($A289,'Maliyet Giris'!$A$2:$A$550,0))&lt;=2,86.4,IF(INDEX('Maliyet Giris'!$G$2:$G$550,MATCH($A289,'Maliyet Giris'!$A$2:$A$550,0))&lt;=3,90,IF(INDEX('Maliyet Giris'!$G$2:$G$550,MATCH($A289,'Maliyet Giris'!$A$2:$A$550,0))&lt;=5,102,IF(INDEX('Maliyet Giris'!$G$2:$G$550,MATCH($A289,'Maliyet Giris'!$A$2:$A$550,0))&lt;=10,159.74,IF(INDEX('Maliyet Giris'!$G$2:$G$550,MATCH($A289,'Maliyet Giris'!$A$2:$A$550,0))&lt;=15,187.5,IF(INDEX('Maliyet Giris'!$G$2:$G$550,MATCH($A289,'Maliyet Giris'!$A$2:$A$550,0))&lt;=20,225,299))))))),""))</f>
        <v/>
      </c>
      <c r="G289" s="14" t="str">
        <f t="array" ref="G289">IF($A289="","",IFERROR(INDEX('Maliyet Giris'!$F$2:$F$550,MATCH($A289,'Maliyet Giris'!$A$2:$A$550,0)),""))</f>
        <v/>
      </c>
      <c r="H289" s="14" t="str">
        <f t="shared" si="1"/>
        <v/>
      </c>
      <c r="I289" s="14" t="str">
        <f t="shared" si="2"/>
        <v/>
      </c>
      <c r="J289" s="14" t="str">
        <f t="shared" si="3"/>
        <v/>
      </c>
      <c r="K289" s="14" t="str">
        <f t="shared" si="4"/>
        <v/>
      </c>
      <c r="L289" s="15" t="str">
        <f t="shared" si="5"/>
        <v/>
      </c>
      <c r="M289" s="17" t="str">
        <f t="shared" si="6"/>
        <v/>
      </c>
      <c r="N289" s="17" t="str">
        <f t="shared" si="7"/>
        <v/>
      </c>
      <c r="O289" s="17" t="str">
        <f t="array" ref="O289">IF($A289="","",IFERROR(INDEX('Maliyet Giris'!$G$2:$G$550,MATCH($A289,'Maliyet Giris'!$A$2:$A$550,0)),""))</f>
        <v/>
      </c>
      <c r="P289" s="17" t="str">
        <f t="shared" si="8"/>
        <v/>
      </c>
      <c r="Q289" s="17" t="str">
        <f t="shared" si="9"/>
        <v/>
      </c>
      <c r="R289" s="14" t="str">
        <f t="shared" si="10"/>
        <v/>
      </c>
      <c r="S289" s="14" t="str">
        <f t="shared" si="11"/>
        <v/>
      </c>
      <c r="T289" s="17" t="str">
        <f t="shared" si="12"/>
        <v/>
      </c>
      <c r="U289" s="17" t="str">
        <f t="shared" si="13"/>
        <v/>
      </c>
    </row>
    <row r="290">
      <c r="A290" s="2"/>
      <c r="C290" s="28"/>
      <c r="D290" s="14"/>
      <c r="E290" s="14" t="str">
        <f t="array" ref="E290">IF($A290="","",IFERROR($D290*IF($D290&gt;=INDEX('Komisyon Tarifesi'!$I$2:$I$1000,MATCH($A290,'Komisyon Tarifesi'!$B$2:$B$1000,0)),INDEX('Komisyon Tarifesi'!$O$2:$O$1000,MATCH($A290,'Komisyon Tarifesi'!$B$2:$B$1000,0)),IF($D290&gt;=INDEX('Komisyon Tarifesi'!$K$2:$K$1000,MATCH($A290,'Komisyon Tarifesi'!$B$2:$B$1000,0)),INDEX('Komisyon Tarifesi'!$P$2:$P$1000,MATCH($A290,'Komisyon Tarifesi'!$B$2:$B$1000,0)),IF($D290&gt;=INDEX('Komisyon Tarifesi'!$M$2:$M$1000,MATCH($A290,'Komisyon Tarifesi'!$B$2:$B$1000,0)),INDEX('Komisyon Tarifesi'!$Q$2:$Q$1000,MATCH($A290,'Komisyon Tarifesi'!$B$2:$B$1000,0)),INDEX('Komisyon Tarifesi'!$R$2:$R$1000,MATCH($A290,'Komisyon Tarifesi'!$B$2:$B$1000,0)))))/100,IFERROR(IF(VLOOKUP($A290,Products!$A$2:$W$1000,21,0)&lt;&gt;"",$D290*VLOOKUP($A290,Products!$A$2:$W$1000,21,0)/100,""),"")))</f>
        <v/>
      </c>
      <c r="F290" s="14" t="str">
        <f t="array" ref="F290">IF($A290="","",IFERROR(IF(INDEX('Maliyet Giris'!$G$2:$G$550,MATCH($A290,'Maliyet Giris'!$A$2:$A$550,0))="","",IF(INDEX('Maliyet Giris'!$G$2:$G$550,MATCH($A290,'Maliyet Giris'!$A$2:$A$550,0))&lt;=2,86.4,IF(INDEX('Maliyet Giris'!$G$2:$G$550,MATCH($A290,'Maliyet Giris'!$A$2:$A$550,0))&lt;=3,90,IF(INDEX('Maliyet Giris'!$G$2:$G$550,MATCH($A290,'Maliyet Giris'!$A$2:$A$550,0))&lt;=5,102,IF(INDEX('Maliyet Giris'!$G$2:$G$550,MATCH($A290,'Maliyet Giris'!$A$2:$A$550,0))&lt;=10,159.74,IF(INDEX('Maliyet Giris'!$G$2:$G$550,MATCH($A290,'Maliyet Giris'!$A$2:$A$550,0))&lt;=15,187.5,IF(INDEX('Maliyet Giris'!$G$2:$G$550,MATCH($A290,'Maliyet Giris'!$A$2:$A$550,0))&lt;=20,225,299))))))),""))</f>
        <v/>
      </c>
      <c r="G290" s="14" t="str">
        <f t="array" ref="G290">IF($A290="","",IFERROR(INDEX('Maliyet Giris'!$F$2:$F$550,MATCH($A290,'Maliyet Giris'!$A$2:$A$550,0)),""))</f>
        <v/>
      </c>
      <c r="H290" s="14" t="str">
        <f t="shared" si="1"/>
        <v/>
      </c>
      <c r="I290" s="14" t="str">
        <f t="shared" si="2"/>
        <v/>
      </c>
      <c r="J290" s="14" t="str">
        <f t="shared" si="3"/>
        <v/>
      </c>
      <c r="K290" s="14" t="str">
        <f t="shared" si="4"/>
        <v/>
      </c>
      <c r="L290" s="15" t="str">
        <f t="shared" si="5"/>
        <v/>
      </c>
      <c r="M290" s="17" t="str">
        <f t="shared" si="6"/>
        <v/>
      </c>
      <c r="N290" s="17" t="str">
        <f t="shared" si="7"/>
        <v/>
      </c>
      <c r="O290" s="17" t="str">
        <f t="array" ref="O290">IF($A290="","",IFERROR(INDEX('Maliyet Giris'!$G$2:$G$550,MATCH($A290,'Maliyet Giris'!$A$2:$A$550,0)),""))</f>
        <v/>
      </c>
      <c r="P290" s="17" t="str">
        <f t="shared" si="8"/>
        <v/>
      </c>
      <c r="Q290" s="17" t="str">
        <f t="shared" si="9"/>
        <v/>
      </c>
      <c r="R290" s="14" t="str">
        <f t="shared" si="10"/>
        <v/>
      </c>
      <c r="S290" s="14" t="str">
        <f t="shared" si="11"/>
        <v/>
      </c>
      <c r="T290" s="17" t="str">
        <f t="shared" si="12"/>
        <v/>
      </c>
      <c r="U290" s="17" t="str">
        <f t="shared" si="13"/>
        <v/>
      </c>
    </row>
    <row r="291">
      <c r="A291" s="2"/>
      <c r="C291" s="28"/>
      <c r="D291" s="14"/>
      <c r="E291" s="14" t="str">
        <f t="array" ref="E291">IF($A291="","",IFERROR($D291*IF($D291&gt;=INDEX('Komisyon Tarifesi'!$I$2:$I$1000,MATCH($A291,'Komisyon Tarifesi'!$B$2:$B$1000,0)),INDEX('Komisyon Tarifesi'!$O$2:$O$1000,MATCH($A291,'Komisyon Tarifesi'!$B$2:$B$1000,0)),IF($D291&gt;=INDEX('Komisyon Tarifesi'!$K$2:$K$1000,MATCH($A291,'Komisyon Tarifesi'!$B$2:$B$1000,0)),INDEX('Komisyon Tarifesi'!$P$2:$P$1000,MATCH($A291,'Komisyon Tarifesi'!$B$2:$B$1000,0)),IF($D291&gt;=INDEX('Komisyon Tarifesi'!$M$2:$M$1000,MATCH($A291,'Komisyon Tarifesi'!$B$2:$B$1000,0)),INDEX('Komisyon Tarifesi'!$Q$2:$Q$1000,MATCH($A291,'Komisyon Tarifesi'!$B$2:$B$1000,0)),INDEX('Komisyon Tarifesi'!$R$2:$R$1000,MATCH($A291,'Komisyon Tarifesi'!$B$2:$B$1000,0)))))/100,IFERROR(IF(VLOOKUP($A291,Products!$A$2:$W$1000,21,0)&lt;&gt;"",$D291*VLOOKUP($A291,Products!$A$2:$W$1000,21,0)/100,""),"")))</f>
        <v/>
      </c>
      <c r="F291" s="14" t="str">
        <f t="array" ref="F291">IF($A291="","",IFERROR(IF(INDEX('Maliyet Giris'!$G$2:$G$550,MATCH($A291,'Maliyet Giris'!$A$2:$A$550,0))="","",IF(INDEX('Maliyet Giris'!$G$2:$G$550,MATCH($A291,'Maliyet Giris'!$A$2:$A$550,0))&lt;=2,86.4,IF(INDEX('Maliyet Giris'!$G$2:$G$550,MATCH($A291,'Maliyet Giris'!$A$2:$A$550,0))&lt;=3,90,IF(INDEX('Maliyet Giris'!$G$2:$G$550,MATCH($A291,'Maliyet Giris'!$A$2:$A$550,0))&lt;=5,102,IF(INDEX('Maliyet Giris'!$G$2:$G$550,MATCH($A291,'Maliyet Giris'!$A$2:$A$550,0))&lt;=10,159.74,IF(INDEX('Maliyet Giris'!$G$2:$G$550,MATCH($A291,'Maliyet Giris'!$A$2:$A$550,0))&lt;=15,187.5,IF(INDEX('Maliyet Giris'!$G$2:$G$550,MATCH($A291,'Maliyet Giris'!$A$2:$A$550,0))&lt;=20,225,299))))))),""))</f>
        <v/>
      </c>
      <c r="G291" s="14" t="str">
        <f t="array" ref="G291">IF($A291="","",IFERROR(INDEX('Maliyet Giris'!$F$2:$F$550,MATCH($A291,'Maliyet Giris'!$A$2:$A$550,0)),""))</f>
        <v/>
      </c>
      <c r="H291" s="14" t="str">
        <f t="shared" si="1"/>
        <v/>
      </c>
      <c r="I291" s="14" t="str">
        <f t="shared" si="2"/>
        <v/>
      </c>
      <c r="J291" s="14" t="str">
        <f t="shared" si="3"/>
        <v/>
      </c>
      <c r="K291" s="14" t="str">
        <f t="shared" si="4"/>
        <v/>
      </c>
      <c r="L291" s="15" t="str">
        <f t="shared" si="5"/>
        <v/>
      </c>
      <c r="M291" s="17" t="str">
        <f t="shared" si="6"/>
        <v/>
      </c>
      <c r="N291" s="17" t="str">
        <f t="shared" si="7"/>
        <v/>
      </c>
      <c r="O291" s="17" t="str">
        <f t="array" ref="O291">IF($A291="","",IFERROR(INDEX('Maliyet Giris'!$G$2:$G$550,MATCH($A291,'Maliyet Giris'!$A$2:$A$550,0)),""))</f>
        <v/>
      </c>
      <c r="P291" s="17" t="str">
        <f t="shared" si="8"/>
        <v/>
      </c>
      <c r="Q291" s="17" t="str">
        <f t="shared" si="9"/>
        <v/>
      </c>
      <c r="R291" s="14" t="str">
        <f t="shared" si="10"/>
        <v/>
      </c>
      <c r="S291" s="14" t="str">
        <f t="shared" si="11"/>
        <v/>
      </c>
      <c r="T291" s="17" t="str">
        <f t="shared" si="12"/>
        <v/>
      </c>
      <c r="U291" s="17" t="str">
        <f t="shared" si="13"/>
        <v/>
      </c>
    </row>
    <row r="292">
      <c r="A292" s="2"/>
      <c r="C292" s="28"/>
      <c r="D292" s="14"/>
      <c r="E292" s="14" t="str">
        <f t="array" ref="E292">IF($A292="","",IFERROR($D292*IF($D292&gt;=INDEX('Komisyon Tarifesi'!$I$2:$I$1000,MATCH($A292,'Komisyon Tarifesi'!$B$2:$B$1000,0)),INDEX('Komisyon Tarifesi'!$O$2:$O$1000,MATCH($A292,'Komisyon Tarifesi'!$B$2:$B$1000,0)),IF($D292&gt;=INDEX('Komisyon Tarifesi'!$K$2:$K$1000,MATCH($A292,'Komisyon Tarifesi'!$B$2:$B$1000,0)),INDEX('Komisyon Tarifesi'!$P$2:$P$1000,MATCH($A292,'Komisyon Tarifesi'!$B$2:$B$1000,0)),IF($D292&gt;=INDEX('Komisyon Tarifesi'!$M$2:$M$1000,MATCH($A292,'Komisyon Tarifesi'!$B$2:$B$1000,0)),INDEX('Komisyon Tarifesi'!$Q$2:$Q$1000,MATCH($A292,'Komisyon Tarifesi'!$B$2:$B$1000,0)),INDEX('Komisyon Tarifesi'!$R$2:$R$1000,MATCH($A292,'Komisyon Tarifesi'!$B$2:$B$1000,0)))))/100,IFERROR(IF(VLOOKUP($A292,Products!$A$2:$W$1000,21,0)&lt;&gt;"",$D292*VLOOKUP($A292,Products!$A$2:$W$1000,21,0)/100,""),"")))</f>
        <v/>
      </c>
      <c r="F292" s="14" t="str">
        <f t="array" ref="F292">IF($A292="","",IFERROR(IF(INDEX('Maliyet Giris'!$G$2:$G$550,MATCH($A292,'Maliyet Giris'!$A$2:$A$550,0))="","",IF(INDEX('Maliyet Giris'!$G$2:$G$550,MATCH($A292,'Maliyet Giris'!$A$2:$A$550,0))&lt;=2,86.4,IF(INDEX('Maliyet Giris'!$G$2:$G$550,MATCH($A292,'Maliyet Giris'!$A$2:$A$550,0))&lt;=3,90,IF(INDEX('Maliyet Giris'!$G$2:$G$550,MATCH($A292,'Maliyet Giris'!$A$2:$A$550,0))&lt;=5,102,IF(INDEX('Maliyet Giris'!$G$2:$G$550,MATCH($A292,'Maliyet Giris'!$A$2:$A$550,0))&lt;=10,159.74,IF(INDEX('Maliyet Giris'!$G$2:$G$550,MATCH($A292,'Maliyet Giris'!$A$2:$A$550,0))&lt;=15,187.5,IF(INDEX('Maliyet Giris'!$G$2:$G$550,MATCH($A292,'Maliyet Giris'!$A$2:$A$550,0))&lt;=20,225,299))))))),""))</f>
        <v/>
      </c>
      <c r="G292" s="14" t="str">
        <f t="array" ref="G292">IF($A292="","",IFERROR(INDEX('Maliyet Giris'!$F$2:$F$550,MATCH($A292,'Maliyet Giris'!$A$2:$A$550,0)),""))</f>
        <v/>
      </c>
      <c r="H292" s="14" t="str">
        <f t="shared" si="1"/>
        <v/>
      </c>
      <c r="I292" s="14" t="str">
        <f t="shared" si="2"/>
        <v/>
      </c>
      <c r="J292" s="14" t="str">
        <f t="shared" si="3"/>
        <v/>
      </c>
      <c r="K292" s="14" t="str">
        <f t="shared" si="4"/>
        <v/>
      </c>
      <c r="L292" s="15" t="str">
        <f t="shared" si="5"/>
        <v/>
      </c>
      <c r="M292" s="17" t="str">
        <f t="shared" si="6"/>
        <v/>
      </c>
      <c r="N292" s="17" t="str">
        <f t="shared" si="7"/>
        <v/>
      </c>
      <c r="O292" s="17" t="str">
        <f t="array" ref="O292">IF($A292="","",IFERROR(INDEX('Maliyet Giris'!$G$2:$G$550,MATCH($A292,'Maliyet Giris'!$A$2:$A$550,0)),""))</f>
        <v/>
      </c>
      <c r="P292" s="17" t="str">
        <f t="shared" si="8"/>
        <v/>
      </c>
      <c r="Q292" s="17" t="str">
        <f t="shared" si="9"/>
        <v/>
      </c>
      <c r="R292" s="14" t="str">
        <f t="shared" si="10"/>
        <v/>
      </c>
      <c r="S292" s="14" t="str">
        <f t="shared" si="11"/>
        <v/>
      </c>
      <c r="T292" s="17" t="str">
        <f t="shared" si="12"/>
        <v/>
      </c>
      <c r="U292" s="17" t="str">
        <f t="shared" si="13"/>
        <v/>
      </c>
    </row>
    <row r="293">
      <c r="A293" s="2"/>
      <c r="C293" s="28"/>
      <c r="D293" s="14"/>
      <c r="E293" s="14" t="str">
        <f t="array" ref="E293">IF($A293="","",IFERROR($D293*IF($D293&gt;=INDEX('Komisyon Tarifesi'!$I$2:$I$1000,MATCH($A293,'Komisyon Tarifesi'!$B$2:$B$1000,0)),INDEX('Komisyon Tarifesi'!$O$2:$O$1000,MATCH($A293,'Komisyon Tarifesi'!$B$2:$B$1000,0)),IF($D293&gt;=INDEX('Komisyon Tarifesi'!$K$2:$K$1000,MATCH($A293,'Komisyon Tarifesi'!$B$2:$B$1000,0)),INDEX('Komisyon Tarifesi'!$P$2:$P$1000,MATCH($A293,'Komisyon Tarifesi'!$B$2:$B$1000,0)),IF($D293&gt;=INDEX('Komisyon Tarifesi'!$M$2:$M$1000,MATCH($A293,'Komisyon Tarifesi'!$B$2:$B$1000,0)),INDEX('Komisyon Tarifesi'!$Q$2:$Q$1000,MATCH($A293,'Komisyon Tarifesi'!$B$2:$B$1000,0)),INDEX('Komisyon Tarifesi'!$R$2:$R$1000,MATCH($A293,'Komisyon Tarifesi'!$B$2:$B$1000,0)))))/100,IFERROR(IF(VLOOKUP($A293,Products!$A$2:$W$1000,21,0)&lt;&gt;"",$D293*VLOOKUP($A293,Products!$A$2:$W$1000,21,0)/100,""),"")))</f>
        <v/>
      </c>
      <c r="F293" s="14" t="str">
        <f t="array" ref="F293">IF($A293="","",IFERROR(IF(INDEX('Maliyet Giris'!$G$2:$G$550,MATCH($A293,'Maliyet Giris'!$A$2:$A$550,0))="","",IF(INDEX('Maliyet Giris'!$G$2:$G$550,MATCH($A293,'Maliyet Giris'!$A$2:$A$550,0))&lt;=2,86.4,IF(INDEX('Maliyet Giris'!$G$2:$G$550,MATCH($A293,'Maliyet Giris'!$A$2:$A$550,0))&lt;=3,90,IF(INDEX('Maliyet Giris'!$G$2:$G$550,MATCH($A293,'Maliyet Giris'!$A$2:$A$550,0))&lt;=5,102,IF(INDEX('Maliyet Giris'!$G$2:$G$550,MATCH($A293,'Maliyet Giris'!$A$2:$A$550,0))&lt;=10,159.74,IF(INDEX('Maliyet Giris'!$G$2:$G$550,MATCH($A293,'Maliyet Giris'!$A$2:$A$550,0))&lt;=15,187.5,IF(INDEX('Maliyet Giris'!$G$2:$G$550,MATCH($A293,'Maliyet Giris'!$A$2:$A$550,0))&lt;=20,225,299))))))),""))</f>
        <v/>
      </c>
      <c r="G293" s="14" t="str">
        <f t="array" ref="G293">IF($A293="","",IFERROR(INDEX('Maliyet Giris'!$F$2:$F$550,MATCH($A293,'Maliyet Giris'!$A$2:$A$550,0)),""))</f>
        <v/>
      </c>
      <c r="H293" s="14" t="str">
        <f t="shared" si="1"/>
        <v/>
      </c>
      <c r="I293" s="14" t="str">
        <f t="shared" si="2"/>
        <v/>
      </c>
      <c r="J293" s="14" t="str">
        <f t="shared" si="3"/>
        <v/>
      </c>
      <c r="K293" s="14" t="str">
        <f t="shared" si="4"/>
        <v/>
      </c>
      <c r="L293" s="15" t="str">
        <f t="shared" si="5"/>
        <v/>
      </c>
      <c r="M293" s="17" t="str">
        <f t="shared" si="6"/>
        <v/>
      </c>
      <c r="N293" s="17" t="str">
        <f t="shared" si="7"/>
        <v/>
      </c>
      <c r="O293" s="17" t="str">
        <f t="array" ref="O293">IF($A293="","",IFERROR(INDEX('Maliyet Giris'!$G$2:$G$550,MATCH($A293,'Maliyet Giris'!$A$2:$A$550,0)),""))</f>
        <v/>
      </c>
      <c r="P293" s="17" t="str">
        <f t="shared" si="8"/>
        <v/>
      </c>
      <c r="Q293" s="17" t="str">
        <f t="shared" si="9"/>
        <v/>
      </c>
      <c r="R293" s="14" t="str">
        <f t="shared" si="10"/>
        <v/>
      </c>
      <c r="S293" s="14" t="str">
        <f t="shared" si="11"/>
        <v/>
      </c>
      <c r="T293" s="17" t="str">
        <f t="shared" si="12"/>
        <v/>
      </c>
      <c r="U293" s="17" t="str">
        <f t="shared" si="13"/>
        <v/>
      </c>
    </row>
    <row r="294">
      <c r="A294" s="2"/>
      <c r="C294" s="28"/>
      <c r="D294" s="14"/>
      <c r="E294" s="14" t="str">
        <f t="array" ref="E294">IF($A294="","",IFERROR($D294*IF($D294&gt;=INDEX('Komisyon Tarifesi'!$I$2:$I$1000,MATCH($A294,'Komisyon Tarifesi'!$B$2:$B$1000,0)),INDEX('Komisyon Tarifesi'!$O$2:$O$1000,MATCH($A294,'Komisyon Tarifesi'!$B$2:$B$1000,0)),IF($D294&gt;=INDEX('Komisyon Tarifesi'!$K$2:$K$1000,MATCH($A294,'Komisyon Tarifesi'!$B$2:$B$1000,0)),INDEX('Komisyon Tarifesi'!$P$2:$P$1000,MATCH($A294,'Komisyon Tarifesi'!$B$2:$B$1000,0)),IF($D294&gt;=INDEX('Komisyon Tarifesi'!$M$2:$M$1000,MATCH($A294,'Komisyon Tarifesi'!$B$2:$B$1000,0)),INDEX('Komisyon Tarifesi'!$Q$2:$Q$1000,MATCH($A294,'Komisyon Tarifesi'!$B$2:$B$1000,0)),INDEX('Komisyon Tarifesi'!$R$2:$R$1000,MATCH($A294,'Komisyon Tarifesi'!$B$2:$B$1000,0)))))/100,IFERROR(IF(VLOOKUP($A294,Products!$A$2:$W$1000,21,0)&lt;&gt;"",$D294*VLOOKUP($A294,Products!$A$2:$W$1000,21,0)/100,""),"")))</f>
        <v/>
      </c>
      <c r="F294" s="14" t="str">
        <f t="array" ref="F294">IF($A294="","",IFERROR(IF(INDEX('Maliyet Giris'!$G$2:$G$550,MATCH($A294,'Maliyet Giris'!$A$2:$A$550,0))="","",IF(INDEX('Maliyet Giris'!$G$2:$G$550,MATCH($A294,'Maliyet Giris'!$A$2:$A$550,0))&lt;=2,86.4,IF(INDEX('Maliyet Giris'!$G$2:$G$550,MATCH($A294,'Maliyet Giris'!$A$2:$A$550,0))&lt;=3,90,IF(INDEX('Maliyet Giris'!$G$2:$G$550,MATCH($A294,'Maliyet Giris'!$A$2:$A$550,0))&lt;=5,102,IF(INDEX('Maliyet Giris'!$G$2:$G$550,MATCH($A294,'Maliyet Giris'!$A$2:$A$550,0))&lt;=10,159.74,IF(INDEX('Maliyet Giris'!$G$2:$G$550,MATCH($A294,'Maliyet Giris'!$A$2:$A$550,0))&lt;=15,187.5,IF(INDEX('Maliyet Giris'!$G$2:$G$550,MATCH($A294,'Maliyet Giris'!$A$2:$A$550,0))&lt;=20,225,299))))))),""))</f>
        <v/>
      </c>
      <c r="G294" s="14" t="str">
        <f t="array" ref="G294">IF($A294="","",IFERROR(INDEX('Maliyet Giris'!$F$2:$F$550,MATCH($A294,'Maliyet Giris'!$A$2:$A$550,0)),""))</f>
        <v/>
      </c>
      <c r="H294" s="14" t="str">
        <f t="shared" si="1"/>
        <v/>
      </c>
      <c r="I294" s="14" t="str">
        <f t="shared" si="2"/>
        <v/>
      </c>
      <c r="J294" s="14" t="str">
        <f t="shared" si="3"/>
        <v/>
      </c>
      <c r="K294" s="14" t="str">
        <f t="shared" si="4"/>
        <v/>
      </c>
      <c r="L294" s="15" t="str">
        <f t="shared" si="5"/>
        <v/>
      </c>
      <c r="M294" s="17" t="str">
        <f t="shared" si="6"/>
        <v/>
      </c>
      <c r="N294" s="17" t="str">
        <f t="shared" si="7"/>
        <v/>
      </c>
      <c r="O294" s="17" t="str">
        <f t="array" ref="O294">IF($A294="","",IFERROR(INDEX('Maliyet Giris'!$G$2:$G$550,MATCH($A294,'Maliyet Giris'!$A$2:$A$550,0)),""))</f>
        <v/>
      </c>
      <c r="P294" s="17" t="str">
        <f t="shared" si="8"/>
        <v/>
      </c>
      <c r="Q294" s="17" t="str">
        <f t="shared" si="9"/>
        <v/>
      </c>
      <c r="R294" s="14" t="str">
        <f t="shared" si="10"/>
        <v/>
      </c>
      <c r="S294" s="14" t="str">
        <f t="shared" si="11"/>
        <v/>
      </c>
      <c r="T294" s="17" t="str">
        <f t="shared" si="12"/>
        <v/>
      </c>
      <c r="U294" s="17" t="str">
        <f t="shared" si="13"/>
        <v/>
      </c>
    </row>
    <row r="295">
      <c r="A295" s="2"/>
      <c r="C295" s="28"/>
      <c r="D295" s="14"/>
      <c r="E295" s="14" t="str">
        <f t="array" ref="E295">IF($A295="","",IFERROR($D295*IF($D295&gt;=INDEX('Komisyon Tarifesi'!$I$2:$I$1000,MATCH($A295,'Komisyon Tarifesi'!$B$2:$B$1000,0)),INDEX('Komisyon Tarifesi'!$O$2:$O$1000,MATCH($A295,'Komisyon Tarifesi'!$B$2:$B$1000,0)),IF($D295&gt;=INDEX('Komisyon Tarifesi'!$K$2:$K$1000,MATCH($A295,'Komisyon Tarifesi'!$B$2:$B$1000,0)),INDEX('Komisyon Tarifesi'!$P$2:$P$1000,MATCH($A295,'Komisyon Tarifesi'!$B$2:$B$1000,0)),IF($D295&gt;=INDEX('Komisyon Tarifesi'!$M$2:$M$1000,MATCH($A295,'Komisyon Tarifesi'!$B$2:$B$1000,0)),INDEX('Komisyon Tarifesi'!$Q$2:$Q$1000,MATCH($A295,'Komisyon Tarifesi'!$B$2:$B$1000,0)),INDEX('Komisyon Tarifesi'!$R$2:$R$1000,MATCH($A295,'Komisyon Tarifesi'!$B$2:$B$1000,0)))))/100,IFERROR(IF(VLOOKUP($A295,Products!$A$2:$W$1000,21,0)&lt;&gt;"",$D295*VLOOKUP($A295,Products!$A$2:$W$1000,21,0)/100,""),"")))</f>
        <v/>
      </c>
      <c r="F295" s="14" t="str">
        <f t="array" ref="F295">IF($A295="","",IFERROR(IF(INDEX('Maliyet Giris'!$G$2:$G$550,MATCH($A295,'Maliyet Giris'!$A$2:$A$550,0))="","",IF(INDEX('Maliyet Giris'!$G$2:$G$550,MATCH($A295,'Maliyet Giris'!$A$2:$A$550,0))&lt;=2,86.4,IF(INDEX('Maliyet Giris'!$G$2:$G$550,MATCH($A295,'Maliyet Giris'!$A$2:$A$550,0))&lt;=3,90,IF(INDEX('Maliyet Giris'!$G$2:$G$550,MATCH($A295,'Maliyet Giris'!$A$2:$A$550,0))&lt;=5,102,IF(INDEX('Maliyet Giris'!$G$2:$G$550,MATCH($A295,'Maliyet Giris'!$A$2:$A$550,0))&lt;=10,159.74,IF(INDEX('Maliyet Giris'!$G$2:$G$550,MATCH($A295,'Maliyet Giris'!$A$2:$A$550,0))&lt;=15,187.5,IF(INDEX('Maliyet Giris'!$G$2:$G$550,MATCH($A295,'Maliyet Giris'!$A$2:$A$550,0))&lt;=20,225,299))))))),""))</f>
        <v/>
      </c>
      <c r="G295" s="14" t="str">
        <f t="array" ref="G295">IF($A295="","",IFERROR(INDEX('Maliyet Giris'!$F$2:$F$550,MATCH($A295,'Maliyet Giris'!$A$2:$A$550,0)),""))</f>
        <v/>
      </c>
      <c r="H295" s="14" t="str">
        <f t="shared" si="1"/>
        <v/>
      </c>
      <c r="I295" s="14" t="str">
        <f t="shared" si="2"/>
        <v/>
      </c>
      <c r="J295" s="14" t="str">
        <f t="shared" si="3"/>
        <v/>
      </c>
      <c r="K295" s="14" t="str">
        <f t="shared" si="4"/>
        <v/>
      </c>
      <c r="L295" s="15" t="str">
        <f t="shared" si="5"/>
        <v/>
      </c>
      <c r="M295" s="17" t="str">
        <f t="shared" si="6"/>
        <v/>
      </c>
      <c r="N295" s="17" t="str">
        <f t="shared" si="7"/>
        <v/>
      </c>
      <c r="O295" s="17" t="str">
        <f t="array" ref="O295">IF($A295="","",IFERROR(INDEX('Maliyet Giris'!$G$2:$G$550,MATCH($A295,'Maliyet Giris'!$A$2:$A$550,0)),""))</f>
        <v/>
      </c>
      <c r="P295" s="17" t="str">
        <f t="shared" si="8"/>
        <v/>
      </c>
      <c r="Q295" s="17" t="str">
        <f t="shared" si="9"/>
        <v/>
      </c>
      <c r="R295" s="14" t="str">
        <f t="shared" si="10"/>
        <v/>
      </c>
      <c r="S295" s="14" t="str">
        <f t="shared" si="11"/>
        <v/>
      </c>
      <c r="T295" s="17" t="str">
        <f t="shared" si="12"/>
        <v/>
      </c>
      <c r="U295" s="17" t="str">
        <f t="shared" si="13"/>
        <v/>
      </c>
    </row>
    <row r="296">
      <c r="A296" s="2"/>
      <c r="C296" s="28"/>
      <c r="D296" s="14"/>
      <c r="E296" s="14" t="str">
        <f t="array" ref="E296">IF($A296="","",IFERROR($D296*IF($D296&gt;=INDEX('Komisyon Tarifesi'!$I$2:$I$1000,MATCH($A296,'Komisyon Tarifesi'!$B$2:$B$1000,0)),INDEX('Komisyon Tarifesi'!$O$2:$O$1000,MATCH($A296,'Komisyon Tarifesi'!$B$2:$B$1000,0)),IF($D296&gt;=INDEX('Komisyon Tarifesi'!$K$2:$K$1000,MATCH($A296,'Komisyon Tarifesi'!$B$2:$B$1000,0)),INDEX('Komisyon Tarifesi'!$P$2:$P$1000,MATCH($A296,'Komisyon Tarifesi'!$B$2:$B$1000,0)),IF($D296&gt;=INDEX('Komisyon Tarifesi'!$M$2:$M$1000,MATCH($A296,'Komisyon Tarifesi'!$B$2:$B$1000,0)),INDEX('Komisyon Tarifesi'!$Q$2:$Q$1000,MATCH($A296,'Komisyon Tarifesi'!$B$2:$B$1000,0)),INDEX('Komisyon Tarifesi'!$R$2:$R$1000,MATCH($A296,'Komisyon Tarifesi'!$B$2:$B$1000,0)))))/100,IFERROR(IF(VLOOKUP($A296,Products!$A$2:$W$1000,21,0)&lt;&gt;"",$D296*VLOOKUP($A296,Products!$A$2:$W$1000,21,0)/100,""),"")))</f>
        <v/>
      </c>
      <c r="F296" s="14" t="str">
        <f t="array" ref="F296">IF($A296="","",IFERROR(IF(INDEX('Maliyet Giris'!$G$2:$G$550,MATCH($A296,'Maliyet Giris'!$A$2:$A$550,0))="","",IF(INDEX('Maliyet Giris'!$G$2:$G$550,MATCH($A296,'Maliyet Giris'!$A$2:$A$550,0))&lt;=2,86.4,IF(INDEX('Maliyet Giris'!$G$2:$G$550,MATCH($A296,'Maliyet Giris'!$A$2:$A$550,0))&lt;=3,90,IF(INDEX('Maliyet Giris'!$G$2:$G$550,MATCH($A296,'Maliyet Giris'!$A$2:$A$550,0))&lt;=5,102,IF(INDEX('Maliyet Giris'!$G$2:$G$550,MATCH($A296,'Maliyet Giris'!$A$2:$A$550,0))&lt;=10,159.74,IF(INDEX('Maliyet Giris'!$G$2:$G$550,MATCH($A296,'Maliyet Giris'!$A$2:$A$550,0))&lt;=15,187.5,IF(INDEX('Maliyet Giris'!$G$2:$G$550,MATCH($A296,'Maliyet Giris'!$A$2:$A$550,0))&lt;=20,225,299))))))),""))</f>
        <v/>
      </c>
      <c r="G296" s="14" t="str">
        <f t="array" ref="G296">IF($A296="","",IFERROR(INDEX('Maliyet Giris'!$F$2:$F$550,MATCH($A296,'Maliyet Giris'!$A$2:$A$550,0)),""))</f>
        <v/>
      </c>
      <c r="H296" s="14" t="str">
        <f t="shared" si="1"/>
        <v/>
      </c>
      <c r="I296" s="14" t="str">
        <f t="shared" si="2"/>
        <v/>
      </c>
      <c r="J296" s="14" t="str">
        <f t="shared" si="3"/>
        <v/>
      </c>
      <c r="K296" s="14" t="str">
        <f t="shared" si="4"/>
        <v/>
      </c>
      <c r="L296" s="15" t="str">
        <f t="shared" si="5"/>
        <v/>
      </c>
      <c r="M296" s="17" t="str">
        <f t="shared" si="6"/>
        <v/>
      </c>
      <c r="N296" s="17" t="str">
        <f t="shared" si="7"/>
        <v/>
      </c>
      <c r="O296" s="17" t="str">
        <f t="array" ref="O296">IF($A296="","",IFERROR(INDEX('Maliyet Giris'!$G$2:$G$550,MATCH($A296,'Maliyet Giris'!$A$2:$A$550,0)),""))</f>
        <v/>
      </c>
      <c r="P296" s="17" t="str">
        <f t="shared" si="8"/>
        <v/>
      </c>
      <c r="Q296" s="17" t="str">
        <f t="shared" si="9"/>
        <v/>
      </c>
      <c r="R296" s="14" t="str">
        <f t="shared" si="10"/>
        <v/>
      </c>
      <c r="S296" s="14" t="str">
        <f t="shared" si="11"/>
        <v/>
      </c>
      <c r="T296" s="17" t="str">
        <f t="shared" si="12"/>
        <v/>
      </c>
      <c r="U296" s="17" t="str">
        <f t="shared" si="13"/>
        <v/>
      </c>
    </row>
    <row r="297">
      <c r="A297" s="2"/>
      <c r="C297" s="28"/>
      <c r="D297" s="14"/>
      <c r="E297" s="14" t="str">
        <f t="array" ref="E297">IF($A297="","",IFERROR($D297*IF($D297&gt;=INDEX('Komisyon Tarifesi'!$I$2:$I$1000,MATCH($A297,'Komisyon Tarifesi'!$B$2:$B$1000,0)),INDEX('Komisyon Tarifesi'!$O$2:$O$1000,MATCH($A297,'Komisyon Tarifesi'!$B$2:$B$1000,0)),IF($D297&gt;=INDEX('Komisyon Tarifesi'!$K$2:$K$1000,MATCH($A297,'Komisyon Tarifesi'!$B$2:$B$1000,0)),INDEX('Komisyon Tarifesi'!$P$2:$P$1000,MATCH($A297,'Komisyon Tarifesi'!$B$2:$B$1000,0)),IF($D297&gt;=INDEX('Komisyon Tarifesi'!$M$2:$M$1000,MATCH($A297,'Komisyon Tarifesi'!$B$2:$B$1000,0)),INDEX('Komisyon Tarifesi'!$Q$2:$Q$1000,MATCH($A297,'Komisyon Tarifesi'!$B$2:$B$1000,0)),INDEX('Komisyon Tarifesi'!$R$2:$R$1000,MATCH($A297,'Komisyon Tarifesi'!$B$2:$B$1000,0)))))/100,IFERROR(IF(VLOOKUP($A297,Products!$A$2:$W$1000,21,0)&lt;&gt;"",$D297*VLOOKUP($A297,Products!$A$2:$W$1000,21,0)/100,""),"")))</f>
        <v/>
      </c>
      <c r="F297" s="14" t="str">
        <f t="array" ref="F297">IF($A297="","",IFERROR(IF(INDEX('Maliyet Giris'!$G$2:$G$550,MATCH($A297,'Maliyet Giris'!$A$2:$A$550,0))="","",IF(INDEX('Maliyet Giris'!$G$2:$G$550,MATCH($A297,'Maliyet Giris'!$A$2:$A$550,0))&lt;=2,86.4,IF(INDEX('Maliyet Giris'!$G$2:$G$550,MATCH($A297,'Maliyet Giris'!$A$2:$A$550,0))&lt;=3,90,IF(INDEX('Maliyet Giris'!$G$2:$G$550,MATCH($A297,'Maliyet Giris'!$A$2:$A$550,0))&lt;=5,102,IF(INDEX('Maliyet Giris'!$G$2:$G$550,MATCH($A297,'Maliyet Giris'!$A$2:$A$550,0))&lt;=10,159.74,IF(INDEX('Maliyet Giris'!$G$2:$G$550,MATCH($A297,'Maliyet Giris'!$A$2:$A$550,0))&lt;=15,187.5,IF(INDEX('Maliyet Giris'!$G$2:$G$550,MATCH($A297,'Maliyet Giris'!$A$2:$A$550,0))&lt;=20,225,299))))))),""))</f>
        <v/>
      </c>
      <c r="G297" s="14" t="str">
        <f t="array" ref="G297">IF($A297="","",IFERROR(INDEX('Maliyet Giris'!$F$2:$F$550,MATCH($A297,'Maliyet Giris'!$A$2:$A$550,0)),""))</f>
        <v/>
      </c>
      <c r="H297" s="14" t="str">
        <f t="shared" si="1"/>
        <v/>
      </c>
      <c r="I297" s="14" t="str">
        <f t="shared" si="2"/>
        <v/>
      </c>
      <c r="J297" s="14" t="str">
        <f t="shared" si="3"/>
        <v/>
      </c>
      <c r="K297" s="14" t="str">
        <f t="shared" si="4"/>
        <v/>
      </c>
      <c r="L297" s="15" t="str">
        <f t="shared" si="5"/>
        <v/>
      </c>
      <c r="M297" s="17" t="str">
        <f t="shared" si="6"/>
        <v/>
      </c>
      <c r="N297" s="17" t="str">
        <f t="shared" si="7"/>
        <v/>
      </c>
      <c r="O297" s="17" t="str">
        <f t="array" ref="O297">IF($A297="","",IFERROR(INDEX('Maliyet Giris'!$G$2:$G$550,MATCH($A297,'Maliyet Giris'!$A$2:$A$550,0)),""))</f>
        <v/>
      </c>
      <c r="P297" s="17" t="str">
        <f t="shared" si="8"/>
        <v/>
      </c>
      <c r="Q297" s="17" t="str">
        <f t="shared" si="9"/>
        <v/>
      </c>
      <c r="R297" s="14" t="str">
        <f t="shared" si="10"/>
        <v/>
      </c>
      <c r="S297" s="14" t="str">
        <f t="shared" si="11"/>
        <v/>
      </c>
      <c r="T297" s="17" t="str">
        <f t="shared" si="12"/>
        <v/>
      </c>
      <c r="U297" s="17" t="str">
        <f t="shared" si="13"/>
        <v/>
      </c>
    </row>
    <row r="298">
      <c r="A298" s="2"/>
      <c r="C298" s="28"/>
      <c r="D298" s="14"/>
      <c r="E298" s="14" t="str">
        <f t="array" ref="E298">IF($A298="","",IFERROR($D298*IF($D298&gt;=INDEX('Komisyon Tarifesi'!$I$2:$I$1000,MATCH($A298,'Komisyon Tarifesi'!$B$2:$B$1000,0)),INDEX('Komisyon Tarifesi'!$O$2:$O$1000,MATCH($A298,'Komisyon Tarifesi'!$B$2:$B$1000,0)),IF($D298&gt;=INDEX('Komisyon Tarifesi'!$K$2:$K$1000,MATCH($A298,'Komisyon Tarifesi'!$B$2:$B$1000,0)),INDEX('Komisyon Tarifesi'!$P$2:$P$1000,MATCH($A298,'Komisyon Tarifesi'!$B$2:$B$1000,0)),IF($D298&gt;=INDEX('Komisyon Tarifesi'!$M$2:$M$1000,MATCH($A298,'Komisyon Tarifesi'!$B$2:$B$1000,0)),INDEX('Komisyon Tarifesi'!$Q$2:$Q$1000,MATCH($A298,'Komisyon Tarifesi'!$B$2:$B$1000,0)),INDEX('Komisyon Tarifesi'!$R$2:$R$1000,MATCH($A298,'Komisyon Tarifesi'!$B$2:$B$1000,0)))))/100,IFERROR(IF(VLOOKUP($A298,Products!$A$2:$W$1000,21,0)&lt;&gt;"",$D298*VLOOKUP($A298,Products!$A$2:$W$1000,21,0)/100,""),"")))</f>
        <v/>
      </c>
      <c r="F298" s="14" t="str">
        <f t="array" ref="F298">IF($A298="","",IFERROR(IF(INDEX('Maliyet Giris'!$G$2:$G$550,MATCH($A298,'Maliyet Giris'!$A$2:$A$550,0))="","",IF(INDEX('Maliyet Giris'!$G$2:$G$550,MATCH($A298,'Maliyet Giris'!$A$2:$A$550,0))&lt;=2,86.4,IF(INDEX('Maliyet Giris'!$G$2:$G$550,MATCH($A298,'Maliyet Giris'!$A$2:$A$550,0))&lt;=3,90,IF(INDEX('Maliyet Giris'!$G$2:$G$550,MATCH($A298,'Maliyet Giris'!$A$2:$A$550,0))&lt;=5,102,IF(INDEX('Maliyet Giris'!$G$2:$G$550,MATCH($A298,'Maliyet Giris'!$A$2:$A$550,0))&lt;=10,159.74,IF(INDEX('Maliyet Giris'!$G$2:$G$550,MATCH($A298,'Maliyet Giris'!$A$2:$A$550,0))&lt;=15,187.5,IF(INDEX('Maliyet Giris'!$G$2:$G$550,MATCH($A298,'Maliyet Giris'!$A$2:$A$550,0))&lt;=20,225,299))))))),""))</f>
        <v/>
      </c>
      <c r="G298" s="14" t="str">
        <f t="array" ref="G298">IF($A298="","",IFERROR(INDEX('Maliyet Giris'!$F$2:$F$550,MATCH($A298,'Maliyet Giris'!$A$2:$A$550,0)),""))</f>
        <v/>
      </c>
      <c r="H298" s="14" t="str">
        <f t="shared" si="1"/>
        <v/>
      </c>
      <c r="I298" s="14" t="str">
        <f t="shared" si="2"/>
        <v/>
      </c>
      <c r="J298" s="14" t="str">
        <f t="shared" si="3"/>
        <v/>
      </c>
      <c r="K298" s="14" t="str">
        <f t="shared" si="4"/>
        <v/>
      </c>
      <c r="L298" s="15" t="str">
        <f t="shared" si="5"/>
        <v/>
      </c>
      <c r="M298" s="17" t="str">
        <f t="shared" si="6"/>
        <v/>
      </c>
      <c r="N298" s="17" t="str">
        <f t="shared" si="7"/>
        <v/>
      </c>
      <c r="O298" s="17" t="str">
        <f t="array" ref="O298">IF($A298="","",IFERROR(INDEX('Maliyet Giris'!$G$2:$G$550,MATCH($A298,'Maliyet Giris'!$A$2:$A$550,0)),""))</f>
        <v/>
      </c>
      <c r="P298" s="17" t="str">
        <f t="shared" si="8"/>
        <v/>
      </c>
      <c r="Q298" s="17" t="str">
        <f t="shared" si="9"/>
        <v/>
      </c>
      <c r="R298" s="14" t="str">
        <f t="shared" si="10"/>
        <v/>
      </c>
      <c r="S298" s="14" t="str">
        <f t="shared" si="11"/>
        <v/>
      </c>
      <c r="T298" s="17" t="str">
        <f t="shared" si="12"/>
        <v/>
      </c>
      <c r="U298" s="17" t="str">
        <f t="shared" si="13"/>
        <v/>
      </c>
    </row>
    <row r="299">
      <c r="A299" s="2"/>
      <c r="C299" s="28"/>
      <c r="D299" s="14"/>
      <c r="E299" s="14" t="str">
        <f t="array" ref="E299">IF($A299="","",IFERROR($D299*IF($D299&gt;=INDEX('Komisyon Tarifesi'!$I$2:$I$1000,MATCH($A299,'Komisyon Tarifesi'!$B$2:$B$1000,0)),INDEX('Komisyon Tarifesi'!$O$2:$O$1000,MATCH($A299,'Komisyon Tarifesi'!$B$2:$B$1000,0)),IF($D299&gt;=INDEX('Komisyon Tarifesi'!$K$2:$K$1000,MATCH($A299,'Komisyon Tarifesi'!$B$2:$B$1000,0)),INDEX('Komisyon Tarifesi'!$P$2:$P$1000,MATCH($A299,'Komisyon Tarifesi'!$B$2:$B$1000,0)),IF($D299&gt;=INDEX('Komisyon Tarifesi'!$M$2:$M$1000,MATCH($A299,'Komisyon Tarifesi'!$B$2:$B$1000,0)),INDEX('Komisyon Tarifesi'!$Q$2:$Q$1000,MATCH($A299,'Komisyon Tarifesi'!$B$2:$B$1000,0)),INDEX('Komisyon Tarifesi'!$R$2:$R$1000,MATCH($A299,'Komisyon Tarifesi'!$B$2:$B$1000,0)))))/100,IFERROR(IF(VLOOKUP($A299,Products!$A$2:$W$1000,21,0)&lt;&gt;"",$D299*VLOOKUP($A299,Products!$A$2:$W$1000,21,0)/100,""),"")))</f>
        <v/>
      </c>
      <c r="F299" s="14" t="str">
        <f t="array" ref="F299">IF($A299="","",IFERROR(IF(INDEX('Maliyet Giris'!$G$2:$G$550,MATCH($A299,'Maliyet Giris'!$A$2:$A$550,0))="","",IF(INDEX('Maliyet Giris'!$G$2:$G$550,MATCH($A299,'Maliyet Giris'!$A$2:$A$550,0))&lt;=2,86.4,IF(INDEX('Maliyet Giris'!$G$2:$G$550,MATCH($A299,'Maliyet Giris'!$A$2:$A$550,0))&lt;=3,90,IF(INDEX('Maliyet Giris'!$G$2:$G$550,MATCH($A299,'Maliyet Giris'!$A$2:$A$550,0))&lt;=5,102,IF(INDEX('Maliyet Giris'!$G$2:$G$550,MATCH($A299,'Maliyet Giris'!$A$2:$A$550,0))&lt;=10,159.74,IF(INDEX('Maliyet Giris'!$G$2:$G$550,MATCH($A299,'Maliyet Giris'!$A$2:$A$550,0))&lt;=15,187.5,IF(INDEX('Maliyet Giris'!$G$2:$G$550,MATCH($A299,'Maliyet Giris'!$A$2:$A$550,0))&lt;=20,225,299))))))),""))</f>
        <v/>
      </c>
      <c r="G299" s="14" t="str">
        <f t="array" ref="G299">IF($A299="","",IFERROR(INDEX('Maliyet Giris'!$F$2:$F$550,MATCH($A299,'Maliyet Giris'!$A$2:$A$550,0)),""))</f>
        <v/>
      </c>
      <c r="H299" s="14" t="str">
        <f t="shared" si="1"/>
        <v/>
      </c>
      <c r="I299" s="14" t="str">
        <f t="shared" si="2"/>
        <v/>
      </c>
      <c r="J299" s="14" t="str">
        <f t="shared" si="3"/>
        <v/>
      </c>
      <c r="K299" s="14" t="str">
        <f t="shared" si="4"/>
        <v/>
      </c>
      <c r="L299" s="15" t="str">
        <f t="shared" si="5"/>
        <v/>
      </c>
      <c r="M299" s="17" t="str">
        <f t="shared" si="6"/>
        <v/>
      </c>
      <c r="N299" s="17" t="str">
        <f t="shared" si="7"/>
        <v/>
      </c>
      <c r="O299" s="17" t="str">
        <f t="array" ref="O299">IF($A299="","",IFERROR(INDEX('Maliyet Giris'!$G$2:$G$550,MATCH($A299,'Maliyet Giris'!$A$2:$A$550,0)),""))</f>
        <v/>
      </c>
      <c r="P299" s="17" t="str">
        <f t="shared" si="8"/>
        <v/>
      </c>
      <c r="Q299" s="17" t="str">
        <f t="shared" si="9"/>
        <v/>
      </c>
      <c r="R299" s="14" t="str">
        <f t="shared" si="10"/>
        <v/>
      </c>
      <c r="S299" s="14" t="str">
        <f t="shared" si="11"/>
        <v/>
      </c>
      <c r="T299" s="17" t="str">
        <f t="shared" si="12"/>
        <v/>
      </c>
      <c r="U299" s="17" t="str">
        <f t="shared" si="13"/>
        <v/>
      </c>
    </row>
    <row r="300">
      <c r="A300" s="2"/>
      <c r="C300" s="28"/>
      <c r="D300" s="14"/>
      <c r="E300" s="14" t="str">
        <f t="array" ref="E300">IF($A300="","",IFERROR($D300*IF($D300&gt;=INDEX('Komisyon Tarifesi'!$I$2:$I$1000,MATCH($A300,'Komisyon Tarifesi'!$B$2:$B$1000,0)),INDEX('Komisyon Tarifesi'!$O$2:$O$1000,MATCH($A300,'Komisyon Tarifesi'!$B$2:$B$1000,0)),IF($D300&gt;=INDEX('Komisyon Tarifesi'!$K$2:$K$1000,MATCH($A300,'Komisyon Tarifesi'!$B$2:$B$1000,0)),INDEX('Komisyon Tarifesi'!$P$2:$P$1000,MATCH($A300,'Komisyon Tarifesi'!$B$2:$B$1000,0)),IF($D300&gt;=INDEX('Komisyon Tarifesi'!$M$2:$M$1000,MATCH($A300,'Komisyon Tarifesi'!$B$2:$B$1000,0)),INDEX('Komisyon Tarifesi'!$Q$2:$Q$1000,MATCH($A300,'Komisyon Tarifesi'!$B$2:$B$1000,0)),INDEX('Komisyon Tarifesi'!$R$2:$R$1000,MATCH($A300,'Komisyon Tarifesi'!$B$2:$B$1000,0)))))/100,IFERROR(IF(VLOOKUP($A300,Products!$A$2:$W$1000,21,0)&lt;&gt;"",$D300*VLOOKUP($A300,Products!$A$2:$W$1000,21,0)/100,""),"")))</f>
        <v/>
      </c>
      <c r="F300" s="14" t="str">
        <f t="array" ref="F300">IF($A300="","",IFERROR(IF(INDEX('Maliyet Giris'!$G$2:$G$550,MATCH($A300,'Maliyet Giris'!$A$2:$A$550,0))="","",IF(INDEX('Maliyet Giris'!$G$2:$G$550,MATCH($A300,'Maliyet Giris'!$A$2:$A$550,0))&lt;=2,86.4,IF(INDEX('Maliyet Giris'!$G$2:$G$550,MATCH($A300,'Maliyet Giris'!$A$2:$A$550,0))&lt;=3,90,IF(INDEX('Maliyet Giris'!$G$2:$G$550,MATCH($A300,'Maliyet Giris'!$A$2:$A$550,0))&lt;=5,102,IF(INDEX('Maliyet Giris'!$G$2:$G$550,MATCH($A300,'Maliyet Giris'!$A$2:$A$550,0))&lt;=10,159.74,IF(INDEX('Maliyet Giris'!$G$2:$G$550,MATCH($A300,'Maliyet Giris'!$A$2:$A$550,0))&lt;=15,187.5,IF(INDEX('Maliyet Giris'!$G$2:$G$550,MATCH($A300,'Maliyet Giris'!$A$2:$A$550,0))&lt;=20,225,299))))))),""))</f>
        <v/>
      </c>
      <c r="G300" s="14" t="str">
        <f t="array" ref="G300">IF($A300="","",IFERROR(INDEX('Maliyet Giris'!$F$2:$F$550,MATCH($A300,'Maliyet Giris'!$A$2:$A$550,0)),""))</f>
        <v/>
      </c>
      <c r="H300" s="14" t="str">
        <f t="shared" si="1"/>
        <v/>
      </c>
      <c r="I300" s="14" t="str">
        <f t="shared" si="2"/>
        <v/>
      </c>
      <c r="J300" s="14" t="str">
        <f t="shared" si="3"/>
        <v/>
      </c>
      <c r="K300" s="14" t="str">
        <f t="shared" si="4"/>
        <v/>
      </c>
      <c r="L300" s="15" t="str">
        <f t="shared" si="5"/>
        <v/>
      </c>
      <c r="M300" s="17" t="str">
        <f t="shared" si="6"/>
        <v/>
      </c>
      <c r="N300" s="17" t="str">
        <f t="shared" si="7"/>
        <v/>
      </c>
      <c r="O300" s="17" t="str">
        <f t="array" ref="O300">IF($A300="","",IFERROR(INDEX('Maliyet Giris'!$G$2:$G$550,MATCH($A300,'Maliyet Giris'!$A$2:$A$550,0)),""))</f>
        <v/>
      </c>
      <c r="P300" s="17" t="str">
        <f t="shared" si="8"/>
        <v/>
      </c>
      <c r="Q300" s="17" t="str">
        <f t="shared" si="9"/>
        <v/>
      </c>
      <c r="R300" s="14" t="str">
        <f t="shared" si="10"/>
        <v/>
      </c>
      <c r="S300" s="14" t="str">
        <f t="shared" si="11"/>
        <v/>
      </c>
      <c r="T300" s="17" t="str">
        <f t="shared" si="12"/>
        <v/>
      </c>
      <c r="U300" s="17" t="str">
        <f t="shared" si="13"/>
        <v/>
      </c>
    </row>
    <row r="301">
      <c r="A301" s="2"/>
      <c r="B301" s="17"/>
      <c r="C301" s="28"/>
      <c r="D301" s="14"/>
      <c r="E301" s="14"/>
      <c r="F301" s="14"/>
      <c r="G301" s="14"/>
      <c r="H301" s="14"/>
      <c r="I301" s="14"/>
      <c r="J301" s="14"/>
      <c r="K301" s="14"/>
      <c r="L301" s="15"/>
      <c r="R301" s="14"/>
      <c r="S301" s="14"/>
    </row>
    <row r="302">
      <c r="A302" s="2"/>
      <c r="B302" s="17"/>
      <c r="C302" s="28"/>
      <c r="D302" s="14"/>
      <c r="E302" s="14"/>
      <c r="F302" s="14"/>
      <c r="G302" s="14"/>
      <c r="H302" s="14"/>
      <c r="I302" s="14"/>
      <c r="J302" s="14"/>
      <c r="K302" s="14"/>
      <c r="L302" s="15"/>
      <c r="R302" s="14"/>
      <c r="S302" s="14"/>
    </row>
    <row r="303">
      <c r="A303" s="2"/>
      <c r="B303" s="17"/>
      <c r="C303" s="28"/>
      <c r="D303" s="14"/>
      <c r="E303" s="14"/>
      <c r="F303" s="14"/>
      <c r="G303" s="14"/>
      <c r="H303" s="14"/>
      <c r="I303" s="14"/>
      <c r="J303" s="14"/>
      <c r="K303" s="14"/>
      <c r="L303" s="15"/>
      <c r="R303" s="14"/>
      <c r="S303" s="14"/>
    </row>
    <row r="304">
      <c r="A304" s="2"/>
      <c r="B304" s="17"/>
      <c r="C304" s="28"/>
      <c r="D304" s="14"/>
      <c r="E304" s="14"/>
      <c r="F304" s="14"/>
      <c r="G304" s="14"/>
      <c r="H304" s="14"/>
      <c r="I304" s="14"/>
      <c r="J304" s="14"/>
      <c r="K304" s="14"/>
      <c r="L304" s="15"/>
      <c r="R304" s="14"/>
      <c r="S304" s="14"/>
    </row>
    <row r="305">
      <c r="A305" s="2"/>
      <c r="B305" s="17"/>
      <c r="C305" s="28"/>
      <c r="D305" s="14"/>
      <c r="E305" s="14"/>
      <c r="F305" s="14"/>
      <c r="G305" s="14"/>
      <c r="H305" s="14"/>
      <c r="I305" s="14"/>
      <c r="J305" s="14"/>
      <c r="K305" s="14"/>
      <c r="L305" s="15"/>
      <c r="R305" s="14"/>
      <c r="S305" s="14"/>
    </row>
    <row r="306">
      <c r="A306" s="2"/>
      <c r="B306" s="17"/>
      <c r="C306" s="28"/>
      <c r="D306" s="14"/>
      <c r="E306" s="14"/>
      <c r="F306" s="14"/>
      <c r="G306" s="14"/>
      <c r="H306" s="14"/>
      <c r="I306" s="14"/>
      <c r="J306" s="14"/>
      <c r="K306" s="14"/>
      <c r="L306" s="15"/>
      <c r="R306" s="14"/>
      <c r="S306" s="14"/>
    </row>
    <row r="307">
      <c r="A307" s="2"/>
      <c r="B307" s="17"/>
      <c r="C307" s="28"/>
      <c r="D307" s="14"/>
      <c r="E307" s="14"/>
      <c r="F307" s="14"/>
      <c r="G307" s="14"/>
      <c r="H307" s="14"/>
      <c r="I307" s="14"/>
      <c r="J307" s="14"/>
      <c r="K307" s="14"/>
      <c r="L307" s="15"/>
      <c r="R307" s="14"/>
      <c r="S307" s="14"/>
    </row>
    <row r="308">
      <c r="A308" s="2"/>
      <c r="B308" s="17"/>
      <c r="C308" s="28"/>
      <c r="D308" s="14"/>
      <c r="E308" s="14"/>
      <c r="F308" s="14"/>
      <c r="G308" s="14"/>
      <c r="H308" s="14"/>
      <c r="I308" s="14"/>
      <c r="J308" s="14"/>
      <c r="K308" s="14"/>
      <c r="L308" s="15"/>
      <c r="R308" s="14"/>
      <c r="S308" s="14"/>
    </row>
    <row r="309">
      <c r="A309" s="2"/>
      <c r="B309" s="17"/>
      <c r="C309" s="28"/>
      <c r="D309" s="14"/>
      <c r="E309" s="14"/>
      <c r="F309" s="14"/>
      <c r="G309" s="14"/>
      <c r="H309" s="14"/>
      <c r="I309" s="14"/>
      <c r="J309" s="14"/>
      <c r="K309" s="14"/>
      <c r="L309" s="15"/>
      <c r="R309" s="14"/>
      <c r="S309" s="14"/>
    </row>
    <row r="310">
      <c r="A310" s="2"/>
      <c r="B310" s="17"/>
      <c r="C310" s="28"/>
      <c r="D310" s="14"/>
      <c r="E310" s="14"/>
      <c r="F310" s="14"/>
      <c r="G310" s="14"/>
      <c r="H310" s="14"/>
      <c r="I310" s="14"/>
      <c r="J310" s="14"/>
      <c r="K310" s="14"/>
      <c r="L310" s="15"/>
      <c r="R310" s="14"/>
      <c r="S310" s="14"/>
    </row>
    <row r="311">
      <c r="A311" s="2"/>
      <c r="B311" s="17"/>
      <c r="C311" s="28"/>
      <c r="D311" s="14"/>
      <c r="E311" s="14"/>
      <c r="F311" s="14"/>
      <c r="G311" s="14"/>
      <c r="H311" s="14"/>
      <c r="I311" s="14"/>
      <c r="J311" s="14"/>
      <c r="K311" s="14"/>
      <c r="L311" s="15"/>
      <c r="R311" s="14"/>
      <c r="S311" s="14"/>
    </row>
    <row r="312">
      <c r="A312" s="2"/>
      <c r="B312" s="17"/>
      <c r="C312" s="28"/>
      <c r="D312" s="14"/>
      <c r="E312" s="14"/>
      <c r="F312" s="14"/>
      <c r="G312" s="14"/>
      <c r="H312" s="14"/>
      <c r="I312" s="14"/>
      <c r="J312" s="14"/>
      <c r="K312" s="14"/>
      <c r="L312" s="15"/>
      <c r="R312" s="14"/>
      <c r="S312" s="14"/>
    </row>
    <row r="313">
      <c r="A313" s="2"/>
      <c r="B313" s="17"/>
      <c r="C313" s="28"/>
      <c r="D313" s="14"/>
      <c r="E313" s="14"/>
      <c r="F313" s="14"/>
      <c r="G313" s="14"/>
      <c r="H313" s="14"/>
      <c r="I313" s="14"/>
      <c r="J313" s="14"/>
      <c r="K313" s="14"/>
      <c r="L313" s="15"/>
      <c r="R313" s="14"/>
      <c r="S313" s="14"/>
    </row>
    <row r="314">
      <c r="A314" s="2"/>
      <c r="B314" s="17"/>
      <c r="C314" s="28"/>
      <c r="D314" s="14"/>
      <c r="E314" s="14"/>
      <c r="F314" s="14"/>
      <c r="G314" s="14"/>
      <c r="H314" s="14"/>
      <c r="I314" s="14"/>
      <c r="J314" s="14"/>
      <c r="K314" s="14"/>
      <c r="L314" s="15"/>
      <c r="R314" s="14"/>
      <c r="S314" s="14"/>
    </row>
    <row r="315">
      <c r="A315" s="2"/>
      <c r="B315" s="17"/>
      <c r="C315" s="28"/>
      <c r="D315" s="14"/>
      <c r="E315" s="14"/>
      <c r="F315" s="14"/>
      <c r="G315" s="14"/>
      <c r="H315" s="14"/>
      <c r="I315" s="14"/>
      <c r="J315" s="14"/>
      <c r="K315" s="14"/>
      <c r="L315" s="15"/>
      <c r="R315" s="14"/>
      <c r="S315" s="14"/>
    </row>
    <row r="316">
      <c r="A316" s="2"/>
      <c r="B316" s="17"/>
      <c r="C316" s="28"/>
      <c r="D316" s="14"/>
      <c r="E316" s="14"/>
      <c r="F316" s="14"/>
      <c r="G316" s="14"/>
      <c r="H316" s="14"/>
      <c r="I316" s="14"/>
      <c r="J316" s="14"/>
      <c r="K316" s="14"/>
      <c r="L316" s="15"/>
      <c r="R316" s="14"/>
      <c r="S316" s="14"/>
    </row>
    <row r="317">
      <c r="A317" s="2"/>
      <c r="B317" s="17"/>
      <c r="C317" s="28"/>
      <c r="D317" s="14"/>
      <c r="E317" s="14"/>
      <c r="F317" s="14"/>
      <c r="G317" s="14"/>
      <c r="H317" s="14"/>
      <c r="I317" s="14"/>
      <c r="J317" s="14"/>
      <c r="K317" s="14"/>
      <c r="L317" s="15"/>
      <c r="R317" s="14"/>
      <c r="S317" s="14"/>
    </row>
    <row r="318">
      <c r="A318" s="2"/>
      <c r="B318" s="17"/>
      <c r="C318" s="28"/>
      <c r="D318" s="14"/>
      <c r="E318" s="14"/>
      <c r="F318" s="14"/>
      <c r="G318" s="14"/>
      <c r="H318" s="14"/>
      <c r="I318" s="14"/>
      <c r="J318" s="14"/>
      <c r="K318" s="14"/>
      <c r="L318" s="15"/>
      <c r="R318" s="14"/>
      <c r="S318" s="14"/>
    </row>
    <row r="319">
      <c r="A319" s="2"/>
      <c r="B319" s="17"/>
      <c r="C319" s="28"/>
      <c r="D319" s="14"/>
      <c r="E319" s="14"/>
      <c r="F319" s="14"/>
      <c r="G319" s="14"/>
      <c r="H319" s="14"/>
      <c r="I319" s="14"/>
      <c r="J319" s="14"/>
      <c r="K319" s="14"/>
      <c r="L319" s="15"/>
      <c r="R319" s="14"/>
      <c r="S319" s="14"/>
    </row>
    <row r="320">
      <c r="A320" s="2"/>
      <c r="B320" s="17"/>
      <c r="C320" s="28"/>
      <c r="D320" s="14"/>
      <c r="E320" s="14"/>
      <c r="F320" s="14"/>
      <c r="G320" s="14"/>
      <c r="H320" s="14"/>
      <c r="I320" s="14"/>
      <c r="J320" s="14"/>
      <c r="K320" s="14"/>
      <c r="L320" s="15"/>
      <c r="R320" s="14"/>
      <c r="S320" s="14"/>
    </row>
    <row r="321">
      <c r="A321" s="2"/>
      <c r="B321" s="17"/>
      <c r="C321" s="28"/>
      <c r="D321" s="14"/>
      <c r="E321" s="14"/>
      <c r="F321" s="14"/>
      <c r="G321" s="14"/>
      <c r="H321" s="14"/>
      <c r="I321" s="14"/>
      <c r="J321" s="14"/>
      <c r="K321" s="14"/>
      <c r="L321" s="15"/>
      <c r="R321" s="14"/>
      <c r="S321" s="14"/>
    </row>
    <row r="322">
      <c r="A322" s="2"/>
      <c r="B322" s="17"/>
      <c r="C322" s="28"/>
      <c r="D322" s="14"/>
      <c r="E322" s="14"/>
      <c r="F322" s="14"/>
      <c r="G322" s="14"/>
      <c r="H322" s="14"/>
      <c r="I322" s="14"/>
      <c r="J322" s="14"/>
      <c r="K322" s="14"/>
      <c r="L322" s="15"/>
      <c r="R322" s="14"/>
      <c r="S322" s="14"/>
    </row>
    <row r="323">
      <c r="A323" s="2"/>
      <c r="B323" s="17"/>
      <c r="C323" s="28"/>
      <c r="D323" s="14"/>
      <c r="E323" s="14"/>
      <c r="F323" s="14"/>
      <c r="G323" s="14"/>
      <c r="H323" s="14"/>
      <c r="I323" s="14"/>
      <c r="J323" s="14"/>
      <c r="K323" s="14"/>
      <c r="L323" s="15"/>
      <c r="R323" s="14"/>
      <c r="S323" s="14"/>
    </row>
    <row r="324">
      <c r="A324" s="2"/>
      <c r="B324" s="17"/>
      <c r="C324" s="28"/>
      <c r="D324" s="14"/>
      <c r="E324" s="14"/>
      <c r="F324" s="14"/>
      <c r="G324" s="14"/>
      <c r="H324" s="14"/>
      <c r="I324" s="14"/>
      <c r="J324" s="14"/>
      <c r="K324" s="14"/>
      <c r="L324" s="15"/>
      <c r="R324" s="14"/>
      <c r="S324" s="14"/>
    </row>
    <row r="325">
      <c r="A325" s="2"/>
      <c r="B325" s="17"/>
      <c r="C325" s="28"/>
      <c r="D325" s="14"/>
      <c r="E325" s="14"/>
      <c r="F325" s="14"/>
      <c r="G325" s="14"/>
      <c r="H325" s="14"/>
      <c r="I325" s="14"/>
      <c r="J325" s="14"/>
      <c r="K325" s="14"/>
      <c r="L325" s="15"/>
      <c r="R325" s="14"/>
      <c r="S325" s="14"/>
    </row>
    <row r="326">
      <c r="A326" s="2"/>
      <c r="B326" s="17"/>
      <c r="C326" s="28"/>
      <c r="D326" s="14"/>
      <c r="E326" s="14"/>
      <c r="F326" s="14"/>
      <c r="G326" s="14"/>
      <c r="H326" s="14"/>
      <c r="I326" s="14"/>
      <c r="J326" s="14"/>
      <c r="K326" s="14"/>
      <c r="L326" s="15"/>
      <c r="R326" s="14"/>
      <c r="S326" s="14"/>
    </row>
    <row r="327">
      <c r="A327" s="2"/>
      <c r="B327" s="17"/>
      <c r="C327" s="28"/>
      <c r="D327" s="14"/>
      <c r="E327" s="14"/>
      <c r="F327" s="14"/>
      <c r="G327" s="14"/>
      <c r="H327" s="14"/>
      <c r="I327" s="14"/>
      <c r="J327" s="14"/>
      <c r="K327" s="14"/>
      <c r="L327" s="15"/>
      <c r="R327" s="14"/>
      <c r="S327" s="14"/>
    </row>
    <row r="328">
      <c r="A328" s="2"/>
      <c r="B328" s="17"/>
      <c r="C328" s="28"/>
      <c r="D328" s="14"/>
      <c r="E328" s="14"/>
      <c r="F328" s="14"/>
      <c r="G328" s="14"/>
      <c r="H328" s="14"/>
      <c r="I328" s="14"/>
      <c r="J328" s="14"/>
      <c r="K328" s="14"/>
      <c r="L328" s="15"/>
      <c r="R328" s="14"/>
      <c r="S328" s="14"/>
    </row>
    <row r="329">
      <c r="A329" s="2"/>
      <c r="B329" s="17"/>
      <c r="C329" s="28"/>
      <c r="D329" s="14"/>
      <c r="E329" s="14"/>
      <c r="F329" s="14"/>
      <c r="G329" s="14"/>
      <c r="H329" s="14"/>
      <c r="I329" s="14"/>
      <c r="J329" s="14"/>
      <c r="K329" s="14"/>
      <c r="L329" s="15"/>
      <c r="R329" s="14"/>
      <c r="S329" s="14"/>
    </row>
    <row r="330">
      <c r="A330" s="2"/>
      <c r="B330" s="17"/>
      <c r="C330" s="28"/>
      <c r="D330" s="14"/>
      <c r="E330" s="14"/>
      <c r="F330" s="14"/>
      <c r="G330" s="14"/>
      <c r="H330" s="14"/>
      <c r="I330" s="14"/>
      <c r="J330" s="14"/>
      <c r="K330" s="14"/>
      <c r="L330" s="15"/>
      <c r="R330" s="14"/>
      <c r="S330" s="14"/>
    </row>
    <row r="331">
      <c r="A331" s="2"/>
      <c r="B331" s="17"/>
      <c r="C331" s="28"/>
      <c r="D331" s="14"/>
      <c r="E331" s="14"/>
      <c r="F331" s="14"/>
      <c r="G331" s="14"/>
      <c r="H331" s="14"/>
      <c r="I331" s="14"/>
      <c r="J331" s="14"/>
      <c r="K331" s="14"/>
      <c r="L331" s="15"/>
      <c r="R331" s="14"/>
      <c r="S331" s="14"/>
    </row>
    <row r="332">
      <c r="A332" s="2"/>
      <c r="B332" s="17"/>
      <c r="C332" s="28"/>
      <c r="D332" s="14"/>
      <c r="E332" s="14"/>
      <c r="F332" s="14"/>
      <c r="G332" s="14"/>
      <c r="H332" s="14"/>
      <c r="I332" s="14"/>
      <c r="J332" s="14"/>
      <c r="K332" s="14"/>
      <c r="L332" s="15"/>
      <c r="R332" s="14"/>
      <c r="S332" s="14"/>
    </row>
    <row r="333">
      <c r="A333" s="2"/>
      <c r="B333" s="17"/>
      <c r="C333" s="28"/>
      <c r="D333" s="14"/>
      <c r="E333" s="14"/>
      <c r="F333" s="14"/>
      <c r="G333" s="14"/>
      <c r="H333" s="14"/>
      <c r="I333" s="14"/>
      <c r="J333" s="14"/>
      <c r="K333" s="14"/>
      <c r="L333" s="15"/>
      <c r="R333" s="14"/>
      <c r="S333" s="14"/>
    </row>
    <row r="334">
      <c r="A334" s="2"/>
      <c r="B334" s="17"/>
      <c r="C334" s="28"/>
      <c r="D334" s="14"/>
      <c r="E334" s="14"/>
      <c r="F334" s="14"/>
      <c r="G334" s="14"/>
      <c r="H334" s="14"/>
      <c r="I334" s="14"/>
      <c r="J334" s="14"/>
      <c r="K334" s="14"/>
      <c r="L334" s="15"/>
      <c r="R334" s="14"/>
      <c r="S334" s="14"/>
    </row>
    <row r="335">
      <c r="A335" s="2"/>
      <c r="B335" s="17"/>
      <c r="C335" s="28"/>
      <c r="D335" s="14"/>
      <c r="E335" s="14"/>
      <c r="F335" s="14"/>
      <c r="G335" s="14"/>
      <c r="H335" s="14"/>
      <c r="I335" s="14"/>
      <c r="J335" s="14"/>
      <c r="K335" s="14"/>
      <c r="L335" s="15"/>
      <c r="R335" s="14"/>
      <c r="S335" s="14"/>
    </row>
    <row r="336">
      <c r="A336" s="2"/>
      <c r="B336" s="17"/>
      <c r="C336" s="28"/>
      <c r="D336" s="14"/>
      <c r="E336" s="14"/>
      <c r="F336" s="14"/>
      <c r="G336" s="14"/>
      <c r="H336" s="14"/>
      <c r="I336" s="14"/>
      <c r="J336" s="14"/>
      <c r="K336" s="14"/>
      <c r="L336" s="15"/>
      <c r="R336" s="14"/>
      <c r="S336" s="14"/>
    </row>
    <row r="337">
      <c r="A337" s="2"/>
      <c r="B337" s="17"/>
      <c r="C337" s="28"/>
      <c r="D337" s="14"/>
      <c r="E337" s="14"/>
      <c r="F337" s="14"/>
      <c r="G337" s="14"/>
      <c r="H337" s="14"/>
      <c r="I337" s="14"/>
      <c r="J337" s="14"/>
      <c r="K337" s="14"/>
      <c r="L337" s="15"/>
      <c r="R337" s="14"/>
      <c r="S337" s="14"/>
    </row>
    <row r="338">
      <c r="A338" s="2"/>
      <c r="B338" s="17"/>
      <c r="C338" s="28"/>
      <c r="D338" s="14"/>
      <c r="E338" s="14"/>
      <c r="F338" s="14"/>
      <c r="G338" s="14"/>
      <c r="H338" s="14"/>
      <c r="I338" s="14"/>
      <c r="J338" s="14"/>
      <c r="K338" s="14"/>
      <c r="L338" s="15"/>
      <c r="R338" s="14"/>
      <c r="S338" s="14"/>
    </row>
    <row r="339">
      <c r="A339" s="2"/>
      <c r="B339" s="17"/>
      <c r="C339" s="28"/>
      <c r="D339" s="14"/>
      <c r="E339" s="14"/>
      <c r="F339" s="14"/>
      <c r="G339" s="14"/>
      <c r="H339" s="14"/>
      <c r="I339" s="14"/>
      <c r="J339" s="14"/>
      <c r="K339" s="14"/>
      <c r="L339" s="15"/>
      <c r="R339" s="14"/>
      <c r="S339" s="14"/>
    </row>
    <row r="340">
      <c r="A340" s="2"/>
      <c r="B340" s="17"/>
      <c r="C340" s="28"/>
      <c r="D340" s="14"/>
      <c r="E340" s="14"/>
      <c r="F340" s="14"/>
      <c r="G340" s="14"/>
      <c r="H340" s="14"/>
      <c r="I340" s="14"/>
      <c r="J340" s="14"/>
      <c r="K340" s="14"/>
      <c r="L340" s="15"/>
      <c r="R340" s="14"/>
      <c r="S340" s="14"/>
    </row>
    <row r="341">
      <c r="A341" s="2"/>
      <c r="B341" s="17"/>
      <c r="C341" s="28"/>
      <c r="D341" s="14"/>
      <c r="E341" s="14"/>
      <c r="F341" s="14"/>
      <c r="G341" s="14"/>
      <c r="H341" s="14"/>
      <c r="I341" s="14"/>
      <c r="J341" s="14"/>
      <c r="K341" s="14"/>
      <c r="L341" s="15"/>
      <c r="R341" s="14"/>
      <c r="S341" s="14"/>
    </row>
    <row r="342">
      <c r="A342" s="2"/>
      <c r="B342" s="17"/>
      <c r="C342" s="28"/>
      <c r="D342" s="14"/>
      <c r="E342" s="14"/>
      <c r="F342" s="14"/>
      <c r="G342" s="14"/>
      <c r="H342" s="14"/>
      <c r="I342" s="14"/>
      <c r="J342" s="14"/>
      <c r="K342" s="14"/>
      <c r="L342" s="15"/>
      <c r="R342" s="14"/>
      <c r="S342" s="14"/>
    </row>
    <row r="343">
      <c r="A343" s="2"/>
      <c r="B343" s="17"/>
      <c r="C343" s="28"/>
      <c r="D343" s="14"/>
      <c r="E343" s="14"/>
      <c r="F343" s="14"/>
      <c r="G343" s="14"/>
      <c r="H343" s="14"/>
      <c r="I343" s="14"/>
      <c r="J343" s="14"/>
      <c r="K343" s="14"/>
      <c r="L343" s="15"/>
      <c r="R343" s="14"/>
      <c r="S343" s="14"/>
    </row>
    <row r="344">
      <c r="A344" s="2"/>
      <c r="B344" s="17"/>
      <c r="C344" s="28"/>
      <c r="D344" s="14"/>
      <c r="E344" s="14"/>
      <c r="F344" s="14"/>
      <c r="G344" s="14"/>
      <c r="H344" s="14"/>
      <c r="I344" s="14"/>
      <c r="J344" s="14"/>
      <c r="K344" s="14"/>
      <c r="L344" s="15"/>
      <c r="R344" s="14"/>
      <c r="S344" s="14"/>
    </row>
    <row r="345">
      <c r="A345" s="2"/>
      <c r="B345" s="17"/>
      <c r="C345" s="28"/>
      <c r="D345" s="14"/>
      <c r="E345" s="14"/>
      <c r="F345" s="14"/>
      <c r="G345" s="14"/>
      <c r="H345" s="14"/>
      <c r="I345" s="14"/>
      <c r="J345" s="14"/>
      <c r="K345" s="14"/>
      <c r="L345" s="15"/>
      <c r="R345" s="14"/>
      <c r="S345" s="14"/>
    </row>
    <row r="346">
      <c r="A346" s="2"/>
      <c r="B346" s="17"/>
      <c r="C346" s="28"/>
      <c r="D346" s="14"/>
      <c r="E346" s="14"/>
      <c r="F346" s="14"/>
      <c r="G346" s="14"/>
      <c r="H346" s="14"/>
      <c r="I346" s="14"/>
      <c r="J346" s="14"/>
      <c r="K346" s="14"/>
      <c r="L346" s="15"/>
      <c r="R346" s="14"/>
      <c r="S346" s="14"/>
    </row>
    <row r="347">
      <c r="A347" s="2"/>
      <c r="B347" s="17"/>
      <c r="C347" s="28"/>
      <c r="D347" s="14"/>
      <c r="E347" s="14"/>
      <c r="F347" s="14"/>
      <c r="G347" s="14"/>
      <c r="H347" s="14"/>
      <c r="I347" s="14"/>
      <c r="J347" s="14"/>
      <c r="K347" s="14"/>
      <c r="L347" s="15"/>
      <c r="R347" s="14"/>
      <c r="S347" s="14"/>
    </row>
    <row r="348">
      <c r="A348" s="2"/>
      <c r="B348" s="17"/>
      <c r="C348" s="28"/>
      <c r="D348" s="14"/>
      <c r="E348" s="14"/>
      <c r="F348" s="14"/>
      <c r="G348" s="14"/>
      <c r="H348" s="14"/>
      <c r="I348" s="14"/>
      <c r="J348" s="14"/>
      <c r="K348" s="14"/>
      <c r="L348" s="15"/>
      <c r="R348" s="14"/>
      <c r="S348" s="14"/>
    </row>
    <row r="349">
      <c r="A349" s="2"/>
      <c r="B349" s="17"/>
      <c r="C349" s="28"/>
      <c r="D349" s="14"/>
      <c r="E349" s="14"/>
      <c r="F349" s="14"/>
      <c r="G349" s="14"/>
      <c r="H349" s="14"/>
      <c r="I349" s="14"/>
      <c r="J349" s="14"/>
      <c r="K349" s="14"/>
      <c r="L349" s="15"/>
      <c r="R349" s="14"/>
      <c r="S349" s="14"/>
    </row>
    <row r="350">
      <c r="A350" s="2"/>
      <c r="B350" s="17"/>
      <c r="C350" s="28"/>
      <c r="D350" s="14"/>
      <c r="E350" s="14"/>
      <c r="F350" s="14"/>
      <c r="G350" s="14"/>
      <c r="H350" s="14"/>
      <c r="I350" s="14"/>
      <c r="J350" s="14"/>
      <c r="K350" s="14"/>
      <c r="L350" s="15"/>
      <c r="R350" s="14"/>
      <c r="S350" s="14"/>
    </row>
    <row r="351">
      <c r="A351" s="2"/>
      <c r="B351" s="17"/>
      <c r="C351" s="28"/>
      <c r="D351" s="14"/>
      <c r="E351" s="14"/>
      <c r="F351" s="14"/>
      <c r="G351" s="14"/>
      <c r="H351" s="14"/>
      <c r="I351" s="14"/>
      <c r="J351" s="14"/>
      <c r="K351" s="14"/>
      <c r="L351" s="15"/>
      <c r="R351" s="14"/>
      <c r="S351" s="14"/>
    </row>
    <row r="352">
      <c r="A352" s="2"/>
      <c r="B352" s="17"/>
      <c r="C352" s="28"/>
      <c r="D352" s="14"/>
      <c r="E352" s="14"/>
      <c r="F352" s="14"/>
      <c r="G352" s="14"/>
      <c r="H352" s="14"/>
      <c r="I352" s="14"/>
      <c r="J352" s="14"/>
      <c r="K352" s="14"/>
      <c r="L352" s="15"/>
      <c r="R352" s="14"/>
      <c r="S352" s="14"/>
    </row>
    <row r="353">
      <c r="A353" s="2"/>
      <c r="B353" s="17"/>
      <c r="C353" s="28"/>
      <c r="D353" s="14"/>
      <c r="E353" s="14"/>
      <c r="F353" s="14"/>
      <c r="G353" s="14"/>
      <c r="H353" s="14"/>
      <c r="I353" s="14"/>
      <c r="J353" s="14"/>
      <c r="K353" s="14"/>
      <c r="L353" s="15"/>
      <c r="R353" s="14"/>
      <c r="S353" s="14"/>
    </row>
    <row r="354">
      <c r="A354" s="2"/>
      <c r="B354" s="17"/>
      <c r="C354" s="28"/>
      <c r="D354" s="14"/>
      <c r="E354" s="14"/>
      <c r="F354" s="14"/>
      <c r="G354" s="14"/>
      <c r="H354" s="14"/>
      <c r="I354" s="14"/>
      <c r="J354" s="14"/>
      <c r="K354" s="14"/>
      <c r="L354" s="15"/>
      <c r="R354" s="14"/>
      <c r="S354" s="14"/>
    </row>
    <row r="355">
      <c r="A355" s="2"/>
      <c r="B355" s="17"/>
      <c r="C355" s="28"/>
      <c r="D355" s="14"/>
      <c r="E355" s="14"/>
      <c r="F355" s="14"/>
      <c r="G355" s="14"/>
      <c r="H355" s="14"/>
      <c r="I355" s="14"/>
      <c r="J355" s="14"/>
      <c r="K355" s="14"/>
      <c r="L355" s="15"/>
      <c r="R355" s="14"/>
      <c r="S355" s="14"/>
    </row>
    <row r="356">
      <c r="A356" s="2"/>
      <c r="B356" s="17"/>
      <c r="C356" s="28"/>
      <c r="D356" s="14"/>
      <c r="E356" s="14"/>
      <c r="F356" s="14"/>
      <c r="G356" s="14"/>
      <c r="H356" s="14"/>
      <c r="I356" s="14"/>
      <c r="J356" s="14"/>
      <c r="K356" s="14"/>
      <c r="L356" s="15"/>
      <c r="R356" s="14"/>
      <c r="S356" s="14"/>
    </row>
    <row r="357">
      <c r="A357" s="2"/>
      <c r="B357" s="17"/>
      <c r="C357" s="28"/>
      <c r="D357" s="14"/>
      <c r="E357" s="14"/>
      <c r="F357" s="14"/>
      <c r="G357" s="14"/>
      <c r="H357" s="14"/>
      <c r="I357" s="14"/>
      <c r="J357" s="14"/>
      <c r="K357" s="14"/>
      <c r="L357" s="15"/>
      <c r="R357" s="14"/>
      <c r="S357" s="14"/>
    </row>
    <row r="358">
      <c r="A358" s="2"/>
      <c r="B358" s="17"/>
      <c r="C358" s="28"/>
      <c r="D358" s="14"/>
      <c r="E358" s="14"/>
      <c r="F358" s="14"/>
      <c r="G358" s="14"/>
      <c r="H358" s="14"/>
      <c r="I358" s="14"/>
      <c r="J358" s="14"/>
      <c r="K358" s="14"/>
      <c r="L358" s="15"/>
      <c r="R358" s="14"/>
      <c r="S358" s="14"/>
    </row>
    <row r="359">
      <c r="A359" s="2"/>
      <c r="B359" s="17"/>
      <c r="C359" s="28"/>
      <c r="D359" s="14"/>
      <c r="E359" s="14"/>
      <c r="F359" s="14"/>
      <c r="G359" s="14"/>
      <c r="H359" s="14"/>
      <c r="I359" s="14"/>
      <c r="J359" s="14"/>
      <c r="K359" s="14"/>
      <c r="L359" s="15"/>
      <c r="R359" s="14"/>
      <c r="S359" s="14"/>
    </row>
    <row r="360">
      <c r="A360" s="2"/>
      <c r="B360" s="17"/>
      <c r="C360" s="28"/>
      <c r="D360" s="14"/>
      <c r="E360" s="14"/>
      <c r="F360" s="14"/>
      <c r="G360" s="14"/>
      <c r="H360" s="14"/>
      <c r="I360" s="14"/>
      <c r="J360" s="14"/>
      <c r="K360" s="14"/>
      <c r="L360" s="15"/>
      <c r="R360" s="14"/>
      <c r="S360" s="14"/>
    </row>
    <row r="361">
      <c r="A361" s="2"/>
      <c r="B361" s="17"/>
      <c r="C361" s="28"/>
      <c r="D361" s="14"/>
      <c r="E361" s="14"/>
      <c r="F361" s="14"/>
      <c r="G361" s="14"/>
      <c r="H361" s="14"/>
      <c r="I361" s="14"/>
      <c r="J361" s="14"/>
      <c r="K361" s="14"/>
      <c r="L361" s="15"/>
      <c r="R361" s="14"/>
      <c r="S361" s="14"/>
    </row>
    <row r="362">
      <c r="A362" s="2"/>
      <c r="B362" s="17"/>
      <c r="C362" s="28"/>
      <c r="D362" s="14"/>
      <c r="E362" s="14"/>
      <c r="F362" s="14"/>
      <c r="G362" s="14"/>
      <c r="H362" s="14"/>
      <c r="I362" s="14"/>
      <c r="J362" s="14"/>
      <c r="K362" s="14"/>
      <c r="L362" s="15"/>
      <c r="R362" s="14"/>
      <c r="S362" s="14"/>
    </row>
    <row r="363">
      <c r="A363" s="2"/>
      <c r="B363" s="17"/>
      <c r="C363" s="28"/>
      <c r="D363" s="14"/>
      <c r="E363" s="14"/>
      <c r="F363" s="14"/>
      <c r="G363" s="14"/>
      <c r="H363" s="14"/>
      <c r="I363" s="14"/>
      <c r="J363" s="14"/>
      <c r="K363" s="14"/>
      <c r="L363" s="15"/>
      <c r="R363" s="14"/>
      <c r="S363" s="14"/>
    </row>
    <row r="364">
      <c r="A364" s="2"/>
      <c r="B364" s="17"/>
      <c r="C364" s="28"/>
      <c r="D364" s="14"/>
      <c r="E364" s="14"/>
      <c r="F364" s="14"/>
      <c r="G364" s="14"/>
      <c r="H364" s="14"/>
      <c r="I364" s="14"/>
      <c r="J364" s="14"/>
      <c r="K364" s="14"/>
      <c r="L364" s="15"/>
      <c r="R364" s="14"/>
      <c r="S364" s="14"/>
    </row>
    <row r="365">
      <c r="A365" s="2"/>
      <c r="B365" s="17"/>
      <c r="C365" s="28"/>
      <c r="D365" s="14"/>
      <c r="E365" s="14"/>
      <c r="F365" s="14"/>
      <c r="G365" s="14"/>
      <c r="H365" s="14"/>
      <c r="I365" s="14"/>
      <c r="J365" s="14"/>
      <c r="K365" s="14"/>
      <c r="L365" s="15"/>
      <c r="R365" s="14"/>
      <c r="S365" s="14"/>
    </row>
    <row r="366">
      <c r="A366" s="2"/>
      <c r="B366" s="17"/>
      <c r="C366" s="28"/>
      <c r="D366" s="14"/>
      <c r="E366" s="14"/>
      <c r="F366" s="14"/>
      <c r="G366" s="14"/>
      <c r="H366" s="14"/>
      <c r="I366" s="14"/>
      <c r="J366" s="14"/>
      <c r="K366" s="14"/>
      <c r="L366" s="15"/>
      <c r="R366" s="14"/>
      <c r="S366" s="14"/>
    </row>
    <row r="367">
      <c r="A367" s="2"/>
      <c r="B367" s="17"/>
      <c r="C367" s="28"/>
      <c r="D367" s="14"/>
      <c r="E367" s="14"/>
      <c r="F367" s="14"/>
      <c r="G367" s="14"/>
      <c r="H367" s="14"/>
      <c r="I367" s="14"/>
      <c r="J367" s="14"/>
      <c r="K367" s="14"/>
      <c r="L367" s="15"/>
      <c r="R367" s="14"/>
      <c r="S367" s="14"/>
    </row>
    <row r="368">
      <c r="A368" s="2"/>
      <c r="B368" s="17"/>
      <c r="C368" s="28"/>
      <c r="D368" s="14"/>
      <c r="E368" s="14"/>
      <c r="F368" s="14"/>
      <c r="G368" s="14"/>
      <c r="H368" s="14"/>
      <c r="I368" s="14"/>
      <c r="J368" s="14"/>
      <c r="K368" s="14"/>
      <c r="L368" s="15"/>
      <c r="R368" s="14"/>
      <c r="S368" s="14"/>
    </row>
    <row r="369">
      <c r="A369" s="2"/>
      <c r="B369" s="17"/>
      <c r="C369" s="28"/>
      <c r="D369" s="14"/>
      <c r="E369" s="14"/>
      <c r="F369" s="14"/>
      <c r="G369" s="14"/>
      <c r="H369" s="14"/>
      <c r="I369" s="14"/>
      <c r="J369" s="14"/>
      <c r="K369" s="14"/>
      <c r="L369" s="15"/>
      <c r="R369" s="14"/>
      <c r="S369" s="14"/>
    </row>
    <row r="370">
      <c r="A370" s="2"/>
      <c r="B370" s="17"/>
      <c r="C370" s="28"/>
      <c r="D370" s="14"/>
      <c r="E370" s="14"/>
      <c r="F370" s="14"/>
      <c r="G370" s="14"/>
      <c r="H370" s="14"/>
      <c r="I370" s="14"/>
      <c r="J370" s="14"/>
      <c r="K370" s="14"/>
      <c r="L370" s="15"/>
      <c r="R370" s="14"/>
      <c r="S370" s="14"/>
    </row>
    <row r="371">
      <c r="A371" s="2"/>
      <c r="B371" s="17"/>
      <c r="C371" s="28"/>
      <c r="D371" s="14"/>
      <c r="E371" s="14"/>
      <c r="F371" s="14"/>
      <c r="G371" s="14"/>
      <c r="H371" s="14"/>
      <c r="I371" s="14"/>
      <c r="J371" s="14"/>
      <c r="K371" s="14"/>
      <c r="L371" s="15"/>
      <c r="R371" s="14"/>
      <c r="S371" s="14"/>
    </row>
    <row r="372">
      <c r="A372" s="2"/>
      <c r="B372" s="17"/>
      <c r="C372" s="28"/>
      <c r="D372" s="14"/>
      <c r="E372" s="14"/>
      <c r="F372" s="14"/>
      <c r="G372" s="14"/>
      <c r="H372" s="14"/>
      <c r="I372" s="14"/>
      <c r="J372" s="14"/>
      <c r="K372" s="14"/>
      <c r="L372" s="15"/>
      <c r="R372" s="14"/>
      <c r="S372" s="14"/>
    </row>
    <row r="373">
      <c r="A373" s="2"/>
      <c r="B373" s="17"/>
      <c r="C373" s="28"/>
      <c r="D373" s="14"/>
      <c r="E373" s="14"/>
      <c r="F373" s="14"/>
      <c r="G373" s="14"/>
      <c r="H373" s="14"/>
      <c r="I373" s="14"/>
      <c r="J373" s="14"/>
      <c r="K373" s="14"/>
      <c r="L373" s="15"/>
      <c r="R373" s="14"/>
      <c r="S373" s="14"/>
    </row>
    <row r="374">
      <c r="A374" s="2"/>
      <c r="B374" s="17"/>
      <c r="C374" s="28"/>
      <c r="D374" s="14"/>
      <c r="E374" s="14"/>
      <c r="F374" s="14"/>
      <c r="G374" s="14"/>
      <c r="H374" s="14"/>
      <c r="I374" s="14"/>
      <c r="J374" s="14"/>
      <c r="K374" s="14"/>
      <c r="L374" s="15"/>
      <c r="R374" s="14"/>
      <c r="S374" s="14"/>
    </row>
    <row r="375">
      <c r="A375" s="2"/>
      <c r="B375" s="17"/>
      <c r="C375" s="28"/>
      <c r="D375" s="14"/>
      <c r="E375" s="14"/>
      <c r="F375" s="14"/>
      <c r="G375" s="14"/>
      <c r="H375" s="14"/>
      <c r="I375" s="14"/>
      <c r="J375" s="14"/>
      <c r="K375" s="14"/>
      <c r="L375" s="15"/>
      <c r="R375" s="14"/>
      <c r="S375" s="14"/>
    </row>
    <row r="376">
      <c r="A376" s="2"/>
      <c r="B376" s="17"/>
      <c r="C376" s="28"/>
      <c r="D376" s="14"/>
      <c r="E376" s="14"/>
      <c r="F376" s="14"/>
      <c r="G376" s="14"/>
      <c r="H376" s="14"/>
      <c r="I376" s="14"/>
      <c r="J376" s="14"/>
      <c r="K376" s="14"/>
      <c r="L376" s="15"/>
      <c r="R376" s="14"/>
      <c r="S376" s="14"/>
    </row>
    <row r="377">
      <c r="A377" s="2"/>
      <c r="B377" s="17"/>
      <c r="C377" s="28"/>
      <c r="D377" s="14"/>
      <c r="E377" s="14"/>
      <c r="F377" s="14"/>
      <c r="G377" s="14"/>
      <c r="H377" s="14"/>
      <c r="I377" s="14"/>
      <c r="J377" s="14"/>
      <c r="K377" s="14"/>
      <c r="L377" s="15"/>
      <c r="R377" s="14"/>
      <c r="S377" s="14"/>
    </row>
    <row r="378">
      <c r="A378" s="2"/>
      <c r="B378" s="17"/>
      <c r="C378" s="28"/>
      <c r="D378" s="14"/>
      <c r="E378" s="14"/>
      <c r="F378" s="14"/>
      <c r="G378" s="14"/>
      <c r="H378" s="14"/>
      <c r="I378" s="14"/>
      <c r="J378" s="14"/>
      <c r="K378" s="14"/>
      <c r="L378" s="15"/>
      <c r="R378" s="14"/>
      <c r="S378" s="14"/>
    </row>
    <row r="379">
      <c r="A379" s="2"/>
      <c r="B379" s="17"/>
      <c r="C379" s="28"/>
      <c r="D379" s="14"/>
      <c r="E379" s="14"/>
      <c r="F379" s="14"/>
      <c r="G379" s="14"/>
      <c r="H379" s="14"/>
      <c r="I379" s="14"/>
      <c r="J379" s="14"/>
      <c r="K379" s="14"/>
      <c r="L379" s="15"/>
      <c r="R379" s="14"/>
      <c r="S379" s="14"/>
    </row>
    <row r="380">
      <c r="A380" s="2"/>
      <c r="B380" s="17"/>
      <c r="C380" s="28"/>
      <c r="D380" s="14"/>
      <c r="E380" s="14"/>
      <c r="F380" s="14"/>
      <c r="G380" s="14"/>
      <c r="H380" s="14"/>
      <c r="I380" s="14"/>
      <c r="J380" s="14"/>
      <c r="K380" s="14"/>
      <c r="L380" s="15"/>
      <c r="R380" s="14"/>
      <c r="S380" s="14"/>
    </row>
    <row r="381">
      <c r="A381" s="2"/>
      <c r="B381" s="17"/>
      <c r="C381" s="28"/>
      <c r="D381" s="14"/>
      <c r="E381" s="14"/>
      <c r="F381" s="14"/>
      <c r="G381" s="14"/>
      <c r="H381" s="14"/>
      <c r="I381" s="14"/>
      <c r="J381" s="14"/>
      <c r="K381" s="14"/>
      <c r="L381" s="15"/>
      <c r="R381" s="14"/>
      <c r="S381" s="14"/>
    </row>
    <row r="382">
      <c r="A382" s="2"/>
      <c r="B382" s="17"/>
      <c r="C382" s="28"/>
      <c r="D382" s="14"/>
      <c r="E382" s="14"/>
      <c r="F382" s="14"/>
      <c r="G382" s="14"/>
      <c r="H382" s="14"/>
      <c r="I382" s="14"/>
      <c r="J382" s="14"/>
      <c r="K382" s="14"/>
      <c r="L382" s="15"/>
      <c r="R382" s="14"/>
      <c r="S382" s="14"/>
    </row>
    <row r="383">
      <c r="A383" s="2"/>
      <c r="B383" s="17"/>
      <c r="C383" s="28"/>
      <c r="D383" s="14"/>
      <c r="E383" s="14"/>
      <c r="F383" s="14"/>
      <c r="G383" s="14"/>
      <c r="H383" s="14"/>
      <c r="I383" s="14"/>
      <c r="J383" s="14"/>
      <c r="K383" s="14"/>
      <c r="L383" s="15"/>
      <c r="R383" s="14"/>
      <c r="S383" s="14"/>
    </row>
    <row r="384">
      <c r="A384" s="2"/>
      <c r="B384" s="17"/>
      <c r="C384" s="28"/>
      <c r="D384" s="14"/>
      <c r="E384" s="14"/>
      <c r="F384" s="14"/>
      <c r="G384" s="14"/>
      <c r="H384" s="14"/>
      <c r="I384" s="14"/>
      <c r="J384" s="14"/>
      <c r="K384" s="14"/>
      <c r="L384" s="15"/>
      <c r="R384" s="14"/>
      <c r="S384" s="14"/>
    </row>
    <row r="385">
      <c r="A385" s="2"/>
      <c r="B385" s="17"/>
      <c r="C385" s="28"/>
      <c r="D385" s="14"/>
      <c r="E385" s="14"/>
      <c r="F385" s="14"/>
      <c r="G385" s="14"/>
      <c r="H385" s="14"/>
      <c r="I385" s="14"/>
      <c r="J385" s="14"/>
      <c r="K385" s="14"/>
      <c r="L385" s="15"/>
      <c r="R385" s="14"/>
      <c r="S385" s="14"/>
    </row>
    <row r="386">
      <c r="A386" s="2"/>
      <c r="B386" s="17"/>
      <c r="C386" s="28"/>
      <c r="D386" s="14"/>
      <c r="E386" s="14"/>
      <c r="F386" s="14"/>
      <c r="G386" s="14"/>
      <c r="H386" s="14"/>
      <c r="I386" s="14"/>
      <c r="J386" s="14"/>
      <c r="K386" s="14"/>
      <c r="L386" s="15"/>
      <c r="R386" s="14"/>
      <c r="S386" s="14"/>
    </row>
    <row r="387">
      <c r="A387" s="2"/>
      <c r="B387" s="17"/>
      <c r="C387" s="28"/>
      <c r="D387" s="14"/>
      <c r="E387" s="14"/>
      <c r="F387" s="14"/>
      <c r="G387" s="14"/>
      <c r="H387" s="14"/>
      <c r="I387" s="14"/>
      <c r="J387" s="14"/>
      <c r="K387" s="14"/>
      <c r="L387" s="15"/>
      <c r="R387" s="14"/>
      <c r="S387" s="14"/>
    </row>
    <row r="388">
      <c r="A388" s="2"/>
      <c r="B388" s="17"/>
      <c r="C388" s="28"/>
      <c r="D388" s="14"/>
      <c r="E388" s="14"/>
      <c r="F388" s="14"/>
      <c r="G388" s="14"/>
      <c r="H388" s="14"/>
      <c r="I388" s="14"/>
      <c r="J388" s="14"/>
      <c r="K388" s="14"/>
      <c r="L388" s="15"/>
      <c r="R388" s="14"/>
      <c r="S388" s="14"/>
    </row>
    <row r="389">
      <c r="A389" s="2"/>
      <c r="B389" s="17"/>
      <c r="C389" s="28"/>
      <c r="D389" s="14"/>
      <c r="E389" s="14"/>
      <c r="F389" s="14"/>
      <c r="G389" s="14"/>
      <c r="H389" s="14"/>
      <c r="I389" s="14"/>
      <c r="J389" s="14"/>
      <c r="K389" s="14"/>
      <c r="L389" s="15"/>
      <c r="R389" s="14"/>
      <c r="S389" s="14"/>
    </row>
    <row r="390">
      <c r="A390" s="2"/>
      <c r="B390" s="17"/>
      <c r="C390" s="28"/>
      <c r="D390" s="14"/>
      <c r="E390" s="14"/>
      <c r="F390" s="14"/>
      <c r="G390" s="14"/>
      <c r="H390" s="14"/>
      <c r="I390" s="14"/>
      <c r="J390" s="14"/>
      <c r="K390" s="14"/>
      <c r="L390" s="15"/>
      <c r="R390" s="14"/>
      <c r="S390" s="14"/>
    </row>
    <row r="391">
      <c r="A391" s="2"/>
      <c r="B391" s="17"/>
      <c r="C391" s="28"/>
      <c r="D391" s="14"/>
      <c r="E391" s="14"/>
      <c r="F391" s="14"/>
      <c r="G391" s="14"/>
      <c r="H391" s="14"/>
      <c r="I391" s="14"/>
      <c r="J391" s="14"/>
      <c r="K391" s="14"/>
      <c r="L391" s="15"/>
      <c r="R391" s="14"/>
      <c r="S391" s="14"/>
    </row>
    <row r="392">
      <c r="A392" s="2"/>
      <c r="B392" s="17"/>
      <c r="C392" s="28"/>
      <c r="D392" s="14"/>
      <c r="E392" s="14"/>
      <c r="F392" s="14"/>
      <c r="G392" s="14"/>
      <c r="H392" s="14"/>
      <c r="I392" s="14"/>
      <c r="J392" s="14"/>
      <c r="K392" s="14"/>
      <c r="L392" s="15"/>
      <c r="R392" s="14"/>
      <c r="S392" s="14"/>
    </row>
    <row r="393">
      <c r="A393" s="2"/>
      <c r="B393" s="17"/>
      <c r="C393" s="28"/>
      <c r="D393" s="14"/>
      <c r="E393" s="14"/>
      <c r="F393" s="14"/>
      <c r="G393" s="14"/>
      <c r="H393" s="14"/>
      <c r="I393" s="14"/>
      <c r="J393" s="14"/>
      <c r="K393" s="14"/>
      <c r="L393" s="15"/>
      <c r="R393" s="14"/>
      <c r="S393" s="14"/>
    </row>
    <row r="394">
      <c r="A394" s="2"/>
      <c r="B394" s="17"/>
      <c r="C394" s="28"/>
      <c r="D394" s="14"/>
      <c r="E394" s="14"/>
      <c r="F394" s="14"/>
      <c r="G394" s="14"/>
      <c r="H394" s="14"/>
      <c r="I394" s="14"/>
      <c r="J394" s="14"/>
      <c r="K394" s="14"/>
      <c r="L394" s="15"/>
      <c r="R394" s="14"/>
      <c r="S394" s="14"/>
    </row>
    <row r="395">
      <c r="A395" s="2"/>
      <c r="B395" s="17"/>
      <c r="C395" s="28"/>
      <c r="D395" s="14"/>
      <c r="E395" s="14"/>
      <c r="F395" s="14"/>
      <c r="G395" s="14"/>
      <c r="H395" s="14"/>
      <c r="I395" s="14"/>
      <c r="J395" s="14"/>
      <c r="K395" s="14"/>
      <c r="L395" s="15"/>
      <c r="R395" s="14"/>
      <c r="S395" s="14"/>
    </row>
    <row r="396">
      <c r="A396" s="2"/>
      <c r="B396" s="17"/>
      <c r="C396" s="28"/>
      <c r="D396" s="14"/>
      <c r="E396" s="14"/>
      <c r="F396" s="14"/>
      <c r="G396" s="14"/>
      <c r="H396" s="14"/>
      <c r="I396" s="14"/>
      <c r="J396" s="14"/>
      <c r="K396" s="14"/>
      <c r="L396" s="15"/>
      <c r="R396" s="14"/>
      <c r="S396" s="14"/>
    </row>
    <row r="397">
      <c r="A397" s="2"/>
      <c r="B397" s="17"/>
      <c r="C397" s="28"/>
      <c r="D397" s="14"/>
      <c r="E397" s="14"/>
      <c r="F397" s="14"/>
      <c r="G397" s="14"/>
      <c r="H397" s="14"/>
      <c r="I397" s="14"/>
      <c r="J397" s="14"/>
      <c r="K397" s="14"/>
      <c r="L397" s="15"/>
      <c r="R397" s="14"/>
      <c r="S397" s="14"/>
    </row>
    <row r="398">
      <c r="A398" s="2"/>
      <c r="B398" s="17"/>
      <c r="C398" s="28"/>
      <c r="D398" s="14"/>
      <c r="E398" s="14"/>
      <c r="F398" s="14"/>
      <c r="G398" s="14"/>
      <c r="H398" s="14"/>
      <c r="I398" s="14"/>
      <c r="J398" s="14"/>
      <c r="K398" s="14"/>
      <c r="L398" s="15"/>
      <c r="R398" s="14"/>
      <c r="S398" s="14"/>
    </row>
    <row r="399">
      <c r="A399" s="2"/>
      <c r="B399" s="17"/>
      <c r="C399" s="28"/>
      <c r="D399" s="14"/>
      <c r="E399" s="14"/>
      <c r="F399" s="14"/>
      <c r="G399" s="14"/>
      <c r="H399" s="14"/>
      <c r="I399" s="14"/>
      <c r="J399" s="14"/>
      <c r="K399" s="14"/>
      <c r="L399" s="15"/>
      <c r="R399" s="14"/>
      <c r="S399" s="14"/>
    </row>
    <row r="400">
      <c r="A400" s="2"/>
      <c r="B400" s="17"/>
      <c r="C400" s="28"/>
      <c r="D400" s="14"/>
      <c r="E400" s="14"/>
      <c r="F400" s="14"/>
      <c r="G400" s="14"/>
      <c r="H400" s="14"/>
      <c r="I400" s="14"/>
      <c r="J400" s="14"/>
      <c r="K400" s="14"/>
      <c r="L400" s="15"/>
      <c r="R400" s="14"/>
      <c r="S400" s="14"/>
    </row>
    <row r="401">
      <c r="A401" s="2"/>
      <c r="B401" s="17"/>
      <c r="C401" s="28"/>
      <c r="D401" s="14"/>
      <c r="E401" s="14"/>
      <c r="F401" s="14"/>
      <c r="G401" s="14"/>
      <c r="H401" s="14"/>
      <c r="I401" s="14"/>
      <c r="J401" s="14"/>
      <c r="K401" s="14"/>
      <c r="L401" s="15"/>
      <c r="R401" s="14"/>
      <c r="S401" s="14"/>
    </row>
    <row r="402">
      <c r="A402" s="2"/>
      <c r="B402" s="17"/>
      <c r="C402" s="28"/>
      <c r="D402" s="14"/>
      <c r="E402" s="14"/>
      <c r="F402" s="14"/>
      <c r="G402" s="14"/>
      <c r="H402" s="14"/>
      <c r="I402" s="14"/>
      <c r="J402" s="14"/>
      <c r="K402" s="14"/>
      <c r="L402" s="15"/>
      <c r="R402" s="14"/>
      <c r="S402" s="14"/>
    </row>
    <row r="403">
      <c r="A403" s="2"/>
      <c r="B403" s="17"/>
      <c r="C403" s="28"/>
      <c r="D403" s="14"/>
      <c r="E403" s="14"/>
      <c r="F403" s="14"/>
      <c r="G403" s="14"/>
      <c r="H403" s="14"/>
      <c r="I403" s="14"/>
      <c r="J403" s="14"/>
      <c r="K403" s="14"/>
      <c r="L403" s="15"/>
      <c r="R403" s="14"/>
      <c r="S403" s="14"/>
    </row>
    <row r="404">
      <c r="A404" s="2"/>
      <c r="B404" s="17"/>
      <c r="C404" s="28"/>
      <c r="D404" s="14"/>
      <c r="E404" s="14"/>
      <c r="F404" s="14"/>
      <c r="G404" s="14"/>
      <c r="H404" s="14"/>
      <c r="I404" s="14"/>
      <c r="J404" s="14"/>
      <c r="K404" s="14"/>
      <c r="L404" s="15"/>
      <c r="R404" s="14"/>
      <c r="S404" s="14"/>
    </row>
    <row r="405">
      <c r="A405" s="2"/>
      <c r="B405" s="17"/>
      <c r="C405" s="28"/>
      <c r="D405" s="14"/>
      <c r="E405" s="14"/>
      <c r="F405" s="14"/>
      <c r="G405" s="14"/>
      <c r="H405" s="14"/>
      <c r="I405" s="14"/>
      <c r="J405" s="14"/>
      <c r="K405" s="14"/>
      <c r="L405" s="15"/>
      <c r="R405" s="14"/>
      <c r="S405" s="14"/>
    </row>
    <row r="406">
      <c r="A406" s="2"/>
      <c r="B406" s="17"/>
      <c r="C406" s="28"/>
      <c r="D406" s="14"/>
      <c r="E406" s="14"/>
      <c r="F406" s="14"/>
      <c r="G406" s="14"/>
      <c r="H406" s="14"/>
      <c r="I406" s="14"/>
      <c r="J406" s="14"/>
      <c r="K406" s="14"/>
      <c r="L406" s="15"/>
      <c r="R406" s="14"/>
      <c r="S406" s="14"/>
    </row>
    <row r="407">
      <c r="A407" s="2"/>
      <c r="B407" s="17"/>
      <c r="C407" s="28"/>
      <c r="D407" s="14"/>
      <c r="E407" s="14"/>
      <c r="F407" s="14"/>
      <c r="G407" s="14"/>
      <c r="H407" s="14"/>
      <c r="I407" s="14"/>
      <c r="J407" s="14"/>
      <c r="K407" s="14"/>
      <c r="L407" s="15"/>
      <c r="R407" s="14"/>
      <c r="S407" s="14"/>
    </row>
    <row r="408">
      <c r="A408" s="2"/>
      <c r="B408" s="17"/>
      <c r="C408" s="28"/>
      <c r="D408" s="14"/>
      <c r="E408" s="14"/>
      <c r="F408" s="14"/>
      <c r="G408" s="14"/>
      <c r="H408" s="14"/>
      <c r="I408" s="14"/>
      <c r="J408" s="14"/>
      <c r="K408" s="14"/>
      <c r="L408" s="15"/>
      <c r="R408" s="14"/>
      <c r="S408" s="14"/>
    </row>
    <row r="409">
      <c r="A409" s="2"/>
      <c r="B409" s="17"/>
      <c r="C409" s="28"/>
      <c r="D409" s="14"/>
      <c r="E409" s="14"/>
      <c r="F409" s="14"/>
      <c r="G409" s="14"/>
      <c r="H409" s="14"/>
      <c r="I409" s="14"/>
      <c r="J409" s="14"/>
      <c r="K409" s="14"/>
      <c r="L409" s="15"/>
      <c r="R409" s="14"/>
      <c r="S409" s="14"/>
    </row>
    <row r="410">
      <c r="A410" s="2"/>
      <c r="B410" s="17"/>
      <c r="C410" s="28"/>
      <c r="D410" s="14"/>
      <c r="E410" s="14"/>
      <c r="F410" s="14"/>
      <c r="G410" s="14"/>
      <c r="H410" s="14"/>
      <c r="I410" s="14"/>
      <c r="J410" s="14"/>
      <c r="K410" s="14"/>
      <c r="L410" s="15"/>
      <c r="R410" s="14"/>
      <c r="S410" s="14"/>
    </row>
    <row r="411">
      <c r="A411" s="2"/>
      <c r="B411" s="17"/>
      <c r="C411" s="28"/>
      <c r="D411" s="14"/>
      <c r="E411" s="14"/>
      <c r="F411" s="14"/>
      <c r="G411" s="14"/>
      <c r="H411" s="14"/>
      <c r="I411" s="14"/>
      <c r="J411" s="14"/>
      <c r="K411" s="14"/>
      <c r="L411" s="15"/>
      <c r="R411" s="14"/>
      <c r="S411" s="14"/>
    </row>
    <row r="412">
      <c r="A412" s="2"/>
      <c r="B412" s="17"/>
      <c r="C412" s="28"/>
      <c r="D412" s="14"/>
      <c r="E412" s="14"/>
      <c r="F412" s="14"/>
      <c r="G412" s="14"/>
      <c r="H412" s="14"/>
      <c r="I412" s="14"/>
      <c r="J412" s="14"/>
      <c r="K412" s="14"/>
      <c r="L412" s="15"/>
      <c r="R412" s="14"/>
      <c r="S412" s="14"/>
    </row>
    <row r="413">
      <c r="A413" s="2"/>
      <c r="B413" s="17"/>
      <c r="C413" s="28"/>
      <c r="D413" s="14"/>
      <c r="E413" s="14"/>
      <c r="F413" s="14"/>
      <c r="G413" s="14"/>
      <c r="H413" s="14"/>
      <c r="I413" s="14"/>
      <c r="J413" s="14"/>
      <c r="K413" s="14"/>
      <c r="L413" s="15"/>
      <c r="R413" s="14"/>
      <c r="S413" s="14"/>
    </row>
    <row r="414">
      <c r="A414" s="2"/>
      <c r="B414" s="17"/>
      <c r="C414" s="28"/>
      <c r="D414" s="14"/>
      <c r="E414" s="14"/>
      <c r="F414" s="14"/>
      <c r="G414" s="14"/>
      <c r="H414" s="14"/>
      <c r="I414" s="14"/>
      <c r="J414" s="14"/>
      <c r="K414" s="14"/>
      <c r="L414" s="15"/>
      <c r="R414" s="14"/>
      <c r="S414" s="14"/>
    </row>
    <row r="415">
      <c r="A415" s="2"/>
      <c r="B415" s="17"/>
      <c r="C415" s="28"/>
      <c r="D415" s="14"/>
      <c r="E415" s="14"/>
      <c r="F415" s="14"/>
      <c r="G415" s="14"/>
      <c r="H415" s="14"/>
      <c r="I415" s="14"/>
      <c r="J415" s="14"/>
      <c r="K415" s="14"/>
      <c r="L415" s="15"/>
      <c r="R415" s="14"/>
      <c r="S415" s="14"/>
    </row>
    <row r="416">
      <c r="A416" s="2"/>
      <c r="B416" s="17"/>
      <c r="C416" s="28"/>
      <c r="D416" s="14"/>
      <c r="E416" s="14"/>
      <c r="F416" s="14"/>
      <c r="G416" s="14"/>
      <c r="H416" s="14"/>
      <c r="I416" s="14"/>
      <c r="J416" s="14"/>
      <c r="K416" s="14"/>
      <c r="L416" s="15"/>
      <c r="R416" s="14"/>
      <c r="S416" s="14"/>
    </row>
    <row r="417">
      <c r="A417" s="2"/>
      <c r="B417" s="17"/>
      <c r="C417" s="28"/>
      <c r="D417" s="14"/>
      <c r="E417" s="14"/>
      <c r="F417" s="14"/>
      <c r="G417" s="14"/>
      <c r="H417" s="14"/>
      <c r="I417" s="14"/>
      <c r="J417" s="14"/>
      <c r="K417" s="14"/>
      <c r="L417" s="15"/>
      <c r="R417" s="14"/>
      <c r="S417" s="14"/>
    </row>
    <row r="418">
      <c r="A418" s="2"/>
      <c r="B418" s="17"/>
      <c r="C418" s="28"/>
      <c r="D418" s="14"/>
      <c r="E418" s="14"/>
      <c r="F418" s="14"/>
      <c r="G418" s="14"/>
      <c r="H418" s="14"/>
      <c r="I418" s="14"/>
      <c r="J418" s="14"/>
      <c r="K418" s="14"/>
      <c r="L418" s="15"/>
      <c r="R418" s="14"/>
      <c r="S418" s="14"/>
    </row>
    <row r="419">
      <c r="A419" s="2"/>
      <c r="B419" s="17"/>
      <c r="C419" s="28"/>
      <c r="D419" s="14"/>
      <c r="E419" s="14"/>
      <c r="F419" s="14"/>
      <c r="G419" s="14"/>
      <c r="H419" s="14"/>
      <c r="I419" s="14"/>
      <c r="J419" s="14"/>
      <c r="K419" s="14"/>
      <c r="L419" s="15"/>
      <c r="R419" s="14"/>
      <c r="S419" s="14"/>
    </row>
    <row r="420">
      <c r="A420" s="2"/>
      <c r="B420" s="17"/>
      <c r="C420" s="28"/>
      <c r="D420" s="14"/>
      <c r="E420" s="14"/>
      <c r="F420" s="14"/>
      <c r="G420" s="14"/>
      <c r="H420" s="14"/>
      <c r="I420" s="14"/>
      <c r="J420" s="14"/>
      <c r="K420" s="14"/>
      <c r="L420" s="15"/>
      <c r="R420" s="14"/>
      <c r="S420" s="14"/>
    </row>
    <row r="421">
      <c r="A421" s="2"/>
      <c r="B421" s="17"/>
      <c r="C421" s="28"/>
      <c r="D421" s="14"/>
      <c r="E421" s="14"/>
      <c r="F421" s="14"/>
      <c r="G421" s="14"/>
      <c r="H421" s="14"/>
      <c r="I421" s="14"/>
      <c r="J421" s="14"/>
      <c r="K421" s="14"/>
      <c r="L421" s="15"/>
      <c r="R421" s="14"/>
      <c r="S421" s="14"/>
    </row>
    <row r="422">
      <c r="A422" s="2"/>
      <c r="B422" s="17"/>
      <c r="C422" s="28"/>
      <c r="D422" s="14"/>
      <c r="E422" s="14"/>
      <c r="F422" s="14"/>
      <c r="G422" s="14"/>
      <c r="H422" s="14"/>
      <c r="I422" s="14"/>
      <c r="J422" s="14"/>
      <c r="K422" s="14"/>
      <c r="L422" s="15"/>
      <c r="R422" s="14"/>
      <c r="S422" s="14"/>
    </row>
    <row r="423">
      <c r="A423" s="2"/>
      <c r="B423" s="17"/>
      <c r="C423" s="28"/>
      <c r="D423" s="14"/>
      <c r="E423" s="14"/>
      <c r="F423" s="14"/>
      <c r="G423" s="14"/>
      <c r="H423" s="14"/>
      <c r="I423" s="14"/>
      <c r="J423" s="14"/>
      <c r="K423" s="14"/>
      <c r="L423" s="15"/>
      <c r="R423" s="14"/>
      <c r="S423" s="14"/>
    </row>
    <row r="424">
      <c r="A424" s="2"/>
      <c r="B424" s="17"/>
      <c r="C424" s="28"/>
      <c r="D424" s="14"/>
      <c r="E424" s="14"/>
      <c r="F424" s="14"/>
      <c r="G424" s="14"/>
      <c r="H424" s="14"/>
      <c r="I424" s="14"/>
      <c r="J424" s="14"/>
      <c r="K424" s="14"/>
      <c r="L424" s="15"/>
      <c r="R424" s="14"/>
      <c r="S424" s="14"/>
    </row>
    <row r="425">
      <c r="A425" s="2"/>
      <c r="B425" s="17"/>
      <c r="C425" s="28"/>
      <c r="D425" s="14"/>
      <c r="E425" s="14"/>
      <c r="F425" s="14"/>
      <c r="G425" s="14"/>
      <c r="H425" s="14"/>
      <c r="I425" s="14"/>
      <c r="J425" s="14"/>
      <c r="K425" s="14"/>
      <c r="L425" s="15"/>
      <c r="R425" s="14"/>
      <c r="S425" s="14"/>
    </row>
    <row r="426">
      <c r="A426" s="2"/>
      <c r="B426" s="17"/>
      <c r="C426" s="28"/>
      <c r="D426" s="14"/>
      <c r="E426" s="14"/>
      <c r="F426" s="14"/>
      <c r="G426" s="14"/>
      <c r="H426" s="14"/>
      <c r="I426" s="14"/>
      <c r="J426" s="14"/>
      <c r="K426" s="14"/>
      <c r="L426" s="15"/>
      <c r="R426" s="14"/>
      <c r="S426" s="14"/>
    </row>
    <row r="427">
      <c r="A427" s="2"/>
      <c r="B427" s="17"/>
      <c r="C427" s="28"/>
      <c r="D427" s="14"/>
      <c r="E427" s="14"/>
      <c r="F427" s="14"/>
      <c r="G427" s="14"/>
      <c r="H427" s="14"/>
      <c r="I427" s="14"/>
      <c r="J427" s="14"/>
      <c r="K427" s="14"/>
      <c r="L427" s="15"/>
      <c r="R427" s="14"/>
      <c r="S427" s="14"/>
    </row>
    <row r="428">
      <c r="A428" s="2"/>
      <c r="B428" s="17"/>
      <c r="C428" s="28"/>
      <c r="D428" s="14"/>
      <c r="E428" s="14"/>
      <c r="F428" s="14"/>
      <c r="G428" s="14"/>
      <c r="H428" s="14"/>
      <c r="I428" s="14"/>
      <c r="J428" s="14"/>
      <c r="K428" s="14"/>
      <c r="L428" s="15"/>
      <c r="R428" s="14"/>
      <c r="S428" s="14"/>
    </row>
    <row r="429">
      <c r="A429" s="2"/>
      <c r="B429" s="17"/>
      <c r="C429" s="28"/>
      <c r="D429" s="14"/>
      <c r="E429" s="14"/>
      <c r="F429" s="14"/>
      <c r="G429" s="14"/>
      <c r="H429" s="14"/>
      <c r="I429" s="14"/>
      <c r="J429" s="14"/>
      <c r="K429" s="14"/>
      <c r="L429" s="15"/>
      <c r="R429" s="14"/>
      <c r="S429" s="14"/>
    </row>
    <row r="430">
      <c r="A430" s="2"/>
      <c r="B430" s="17"/>
      <c r="C430" s="28"/>
      <c r="D430" s="14"/>
      <c r="E430" s="14"/>
      <c r="F430" s="14"/>
      <c r="G430" s="14"/>
      <c r="H430" s="14"/>
      <c r="I430" s="14"/>
      <c r="J430" s="14"/>
      <c r="K430" s="14"/>
      <c r="L430" s="15"/>
      <c r="R430" s="14"/>
      <c r="S430" s="14"/>
    </row>
    <row r="431">
      <c r="A431" s="2"/>
      <c r="B431" s="17"/>
      <c r="C431" s="28"/>
      <c r="D431" s="14"/>
      <c r="E431" s="14"/>
      <c r="F431" s="14"/>
      <c r="G431" s="14"/>
      <c r="H431" s="14"/>
      <c r="I431" s="14"/>
      <c r="J431" s="14"/>
      <c r="K431" s="14"/>
      <c r="L431" s="15"/>
      <c r="R431" s="14"/>
      <c r="S431" s="14"/>
    </row>
    <row r="432">
      <c r="A432" s="2"/>
      <c r="B432" s="17"/>
      <c r="C432" s="28"/>
      <c r="D432" s="14"/>
      <c r="E432" s="14"/>
      <c r="F432" s="14"/>
      <c r="G432" s="14"/>
      <c r="H432" s="14"/>
      <c r="I432" s="14"/>
      <c r="J432" s="14"/>
      <c r="K432" s="14"/>
      <c r="L432" s="15"/>
      <c r="R432" s="14"/>
      <c r="S432" s="14"/>
    </row>
    <row r="433">
      <c r="A433" s="2"/>
      <c r="B433" s="17"/>
      <c r="C433" s="28"/>
      <c r="D433" s="14"/>
      <c r="E433" s="14"/>
      <c r="F433" s="14"/>
      <c r="G433" s="14"/>
      <c r="H433" s="14"/>
      <c r="I433" s="14"/>
      <c r="J433" s="14"/>
      <c r="K433" s="14"/>
      <c r="L433" s="15"/>
      <c r="R433" s="14"/>
      <c r="S433" s="14"/>
    </row>
    <row r="434">
      <c r="A434" s="2"/>
      <c r="B434" s="17"/>
      <c r="C434" s="28"/>
      <c r="D434" s="14"/>
      <c r="E434" s="14"/>
      <c r="F434" s="14"/>
      <c r="G434" s="14"/>
      <c r="H434" s="14"/>
      <c r="I434" s="14"/>
      <c r="J434" s="14"/>
      <c r="K434" s="14"/>
      <c r="L434" s="15"/>
      <c r="R434" s="14"/>
      <c r="S434" s="14"/>
    </row>
    <row r="435">
      <c r="A435" s="2"/>
      <c r="B435" s="17"/>
      <c r="C435" s="28"/>
      <c r="D435" s="14"/>
      <c r="E435" s="14"/>
      <c r="F435" s="14"/>
      <c r="G435" s="14"/>
      <c r="H435" s="14"/>
      <c r="I435" s="14"/>
      <c r="J435" s="14"/>
      <c r="K435" s="14"/>
      <c r="L435" s="15"/>
      <c r="R435" s="14"/>
      <c r="S435" s="14"/>
    </row>
    <row r="436">
      <c r="A436" s="2"/>
      <c r="B436" s="17"/>
      <c r="C436" s="28"/>
      <c r="D436" s="14"/>
      <c r="E436" s="14"/>
      <c r="F436" s="14"/>
      <c r="G436" s="14"/>
      <c r="H436" s="14"/>
      <c r="I436" s="14"/>
      <c r="J436" s="14"/>
      <c r="K436" s="14"/>
      <c r="L436" s="15"/>
      <c r="R436" s="14"/>
      <c r="S436" s="14"/>
    </row>
    <row r="437">
      <c r="A437" s="2"/>
      <c r="B437" s="17"/>
      <c r="C437" s="28"/>
      <c r="D437" s="14"/>
      <c r="E437" s="14"/>
      <c r="F437" s="14"/>
      <c r="G437" s="14"/>
      <c r="H437" s="14"/>
      <c r="I437" s="14"/>
      <c r="J437" s="14"/>
      <c r="K437" s="14"/>
      <c r="L437" s="15"/>
      <c r="R437" s="14"/>
      <c r="S437" s="14"/>
    </row>
    <row r="438">
      <c r="A438" s="2"/>
      <c r="B438" s="17"/>
      <c r="C438" s="28"/>
      <c r="D438" s="14"/>
      <c r="E438" s="14"/>
      <c r="F438" s="14"/>
      <c r="G438" s="14"/>
      <c r="H438" s="14"/>
      <c r="I438" s="14"/>
      <c r="J438" s="14"/>
      <c r="K438" s="14"/>
      <c r="L438" s="15"/>
      <c r="R438" s="14"/>
      <c r="S438" s="14"/>
    </row>
    <row r="439">
      <c r="A439" s="2"/>
      <c r="B439" s="17"/>
      <c r="C439" s="28"/>
      <c r="D439" s="14"/>
      <c r="E439" s="14"/>
      <c r="F439" s="14"/>
      <c r="G439" s="14"/>
      <c r="H439" s="14"/>
      <c r="I439" s="14"/>
      <c r="J439" s="14"/>
      <c r="K439" s="14"/>
      <c r="L439" s="15"/>
      <c r="R439" s="14"/>
      <c r="S439" s="14"/>
    </row>
    <row r="440">
      <c r="A440" s="2"/>
      <c r="B440" s="17"/>
      <c r="C440" s="28"/>
      <c r="D440" s="14"/>
      <c r="E440" s="14"/>
      <c r="F440" s="14"/>
      <c r="G440" s="14"/>
      <c r="H440" s="14"/>
      <c r="I440" s="14"/>
      <c r="J440" s="14"/>
      <c r="K440" s="14"/>
      <c r="L440" s="15"/>
      <c r="R440" s="14"/>
      <c r="S440" s="14"/>
    </row>
    <row r="441">
      <c r="A441" s="2"/>
      <c r="B441" s="17"/>
      <c r="C441" s="28"/>
      <c r="D441" s="14"/>
      <c r="E441" s="14"/>
      <c r="F441" s="14"/>
      <c r="G441" s="14"/>
      <c r="H441" s="14"/>
      <c r="I441" s="14"/>
      <c r="J441" s="14"/>
      <c r="K441" s="14"/>
      <c r="L441" s="15"/>
      <c r="R441" s="14"/>
      <c r="S441" s="14"/>
    </row>
    <row r="442">
      <c r="A442" s="2"/>
      <c r="B442" s="17"/>
      <c r="C442" s="28"/>
      <c r="D442" s="14"/>
      <c r="E442" s="14"/>
      <c r="F442" s="14"/>
      <c r="G442" s="14"/>
      <c r="H442" s="14"/>
      <c r="I442" s="14"/>
      <c r="J442" s="14"/>
      <c r="K442" s="14"/>
      <c r="L442" s="15"/>
      <c r="R442" s="14"/>
      <c r="S442" s="14"/>
    </row>
    <row r="443">
      <c r="A443" s="2"/>
      <c r="B443" s="17"/>
      <c r="C443" s="28"/>
      <c r="D443" s="14"/>
      <c r="E443" s="14"/>
      <c r="F443" s="14"/>
      <c r="G443" s="14"/>
      <c r="H443" s="14"/>
      <c r="I443" s="14"/>
      <c r="J443" s="14"/>
      <c r="K443" s="14"/>
      <c r="L443" s="15"/>
      <c r="R443" s="14"/>
      <c r="S443" s="14"/>
    </row>
    <row r="444">
      <c r="A444" s="2"/>
      <c r="B444" s="17"/>
      <c r="C444" s="28"/>
      <c r="D444" s="14"/>
      <c r="E444" s="14"/>
      <c r="F444" s="14"/>
      <c r="G444" s="14"/>
      <c r="H444" s="14"/>
      <c r="I444" s="14"/>
      <c r="J444" s="14"/>
      <c r="K444" s="14"/>
      <c r="L444" s="15"/>
      <c r="R444" s="14"/>
      <c r="S444" s="14"/>
    </row>
    <row r="445">
      <c r="A445" s="2"/>
      <c r="B445" s="17"/>
      <c r="C445" s="28"/>
      <c r="D445" s="14"/>
      <c r="E445" s="14"/>
      <c r="F445" s="14"/>
      <c r="G445" s="14"/>
      <c r="H445" s="14"/>
      <c r="I445" s="14"/>
      <c r="J445" s="14"/>
      <c r="K445" s="14"/>
      <c r="L445" s="15"/>
      <c r="R445" s="14"/>
      <c r="S445" s="14"/>
    </row>
    <row r="446">
      <c r="A446" s="2"/>
      <c r="B446" s="17"/>
      <c r="C446" s="28"/>
      <c r="D446" s="14"/>
      <c r="E446" s="14"/>
      <c r="F446" s="14"/>
      <c r="G446" s="14"/>
      <c r="H446" s="14"/>
      <c r="I446" s="14"/>
      <c r="J446" s="14"/>
      <c r="K446" s="14"/>
      <c r="L446" s="15"/>
      <c r="R446" s="14"/>
      <c r="S446" s="14"/>
    </row>
    <row r="447">
      <c r="A447" s="2"/>
      <c r="C447" s="28"/>
      <c r="D447" s="14"/>
      <c r="E447" s="14"/>
      <c r="F447" s="14"/>
      <c r="G447" s="14"/>
      <c r="H447" s="14"/>
      <c r="I447" s="14"/>
      <c r="J447" s="14"/>
      <c r="K447" s="14"/>
      <c r="L447" s="15"/>
      <c r="R447" s="14"/>
      <c r="S447" s="14"/>
    </row>
    <row r="448">
      <c r="A448" s="2"/>
      <c r="C448" s="28"/>
      <c r="D448" s="14"/>
      <c r="E448" s="14"/>
      <c r="F448" s="14"/>
      <c r="G448" s="14"/>
      <c r="H448" s="14"/>
      <c r="I448" s="14"/>
      <c r="J448" s="14"/>
      <c r="K448" s="14"/>
      <c r="L448" s="15"/>
      <c r="R448" s="14"/>
      <c r="S448" s="14"/>
    </row>
    <row r="449">
      <c r="A449" s="2"/>
      <c r="C449" s="28"/>
      <c r="D449" s="14"/>
      <c r="E449" s="14"/>
      <c r="F449" s="14"/>
      <c r="G449" s="14"/>
      <c r="H449" s="14"/>
      <c r="I449" s="14"/>
      <c r="J449" s="14"/>
      <c r="K449" s="14"/>
      <c r="L449" s="15"/>
      <c r="R449" s="14"/>
      <c r="S449" s="14"/>
    </row>
    <row r="450">
      <c r="A450" s="2"/>
      <c r="C450" s="28"/>
      <c r="D450" s="14"/>
      <c r="E450" s="14"/>
      <c r="F450" s="14"/>
      <c r="G450" s="14"/>
      <c r="H450" s="14"/>
      <c r="I450" s="14"/>
      <c r="J450" s="14"/>
      <c r="K450" s="14"/>
      <c r="L450" s="15"/>
      <c r="R450" s="14"/>
      <c r="S450" s="14"/>
    </row>
    <row r="451">
      <c r="A451" s="2"/>
      <c r="C451" s="28"/>
      <c r="D451" s="14"/>
      <c r="E451" s="14"/>
      <c r="F451" s="14"/>
      <c r="G451" s="14"/>
      <c r="H451" s="14"/>
      <c r="I451" s="14"/>
      <c r="J451" s="14"/>
      <c r="K451" s="14"/>
      <c r="L451" s="15"/>
      <c r="R451" s="14"/>
      <c r="S451" s="14"/>
    </row>
    <row r="452">
      <c r="A452" s="2"/>
      <c r="C452" s="28"/>
      <c r="D452" s="14"/>
      <c r="E452" s="14"/>
      <c r="F452" s="14"/>
      <c r="G452" s="14"/>
      <c r="H452" s="14"/>
      <c r="I452" s="14"/>
      <c r="J452" s="14"/>
      <c r="K452" s="14"/>
      <c r="L452" s="15"/>
      <c r="R452" s="14"/>
      <c r="S452" s="14"/>
    </row>
    <row r="453">
      <c r="A453" s="2"/>
      <c r="C453" s="28"/>
      <c r="D453" s="14"/>
      <c r="E453" s="14"/>
      <c r="F453" s="14"/>
      <c r="G453" s="14"/>
      <c r="H453" s="14"/>
      <c r="I453" s="14"/>
      <c r="J453" s="14"/>
      <c r="K453" s="14"/>
      <c r="L453" s="15"/>
      <c r="R453" s="14"/>
      <c r="S453" s="14"/>
    </row>
    <row r="454">
      <c r="A454" s="2"/>
      <c r="C454" s="28"/>
      <c r="D454" s="14"/>
      <c r="E454" s="14"/>
      <c r="F454" s="14"/>
      <c r="G454" s="14"/>
      <c r="H454" s="14"/>
      <c r="I454" s="14"/>
      <c r="J454" s="14"/>
      <c r="K454" s="14"/>
      <c r="L454" s="15"/>
      <c r="R454" s="14"/>
      <c r="S454" s="14"/>
    </row>
    <row r="455">
      <c r="A455" s="2"/>
      <c r="C455" s="28"/>
      <c r="D455" s="14"/>
      <c r="E455" s="14"/>
      <c r="F455" s="14"/>
      <c r="G455" s="14"/>
      <c r="H455" s="14"/>
      <c r="I455" s="14"/>
      <c r="J455" s="14"/>
      <c r="K455" s="14"/>
      <c r="L455" s="15"/>
      <c r="R455" s="14"/>
      <c r="S455" s="14"/>
    </row>
    <row r="456">
      <c r="A456" s="2"/>
      <c r="C456" s="28"/>
      <c r="D456" s="14"/>
      <c r="E456" s="14"/>
      <c r="F456" s="14"/>
      <c r="G456" s="14"/>
      <c r="H456" s="14"/>
      <c r="I456" s="14"/>
      <c r="J456" s="14"/>
      <c r="K456" s="14"/>
      <c r="L456" s="15"/>
      <c r="R456" s="14"/>
      <c r="S456" s="14"/>
    </row>
    <row r="457">
      <c r="A457" s="2"/>
      <c r="C457" s="28"/>
      <c r="D457" s="14"/>
      <c r="E457" s="14"/>
      <c r="F457" s="14"/>
      <c r="G457" s="14"/>
      <c r="H457" s="14"/>
      <c r="I457" s="14"/>
      <c r="J457" s="14"/>
      <c r="K457" s="14"/>
      <c r="L457" s="15"/>
      <c r="R457" s="14"/>
      <c r="S457" s="14"/>
    </row>
    <row r="458">
      <c r="A458" s="2"/>
      <c r="C458" s="28"/>
      <c r="D458" s="14"/>
      <c r="E458" s="14"/>
      <c r="F458" s="14"/>
      <c r="G458" s="14"/>
      <c r="H458" s="14"/>
      <c r="I458" s="14"/>
      <c r="J458" s="14"/>
      <c r="K458" s="14"/>
      <c r="L458" s="15"/>
      <c r="R458" s="14"/>
      <c r="S458" s="14"/>
    </row>
    <row r="459">
      <c r="A459" s="2"/>
      <c r="C459" s="28"/>
      <c r="D459" s="14"/>
      <c r="E459" s="14"/>
      <c r="F459" s="14"/>
      <c r="G459" s="14"/>
      <c r="H459" s="14"/>
      <c r="I459" s="14"/>
      <c r="J459" s="14"/>
      <c r="K459" s="14"/>
      <c r="L459" s="15"/>
      <c r="R459" s="14"/>
      <c r="S459" s="14"/>
    </row>
    <row r="460">
      <c r="A460" s="2"/>
      <c r="C460" s="28"/>
      <c r="D460" s="14"/>
      <c r="E460" s="14"/>
      <c r="F460" s="14"/>
      <c r="G460" s="14"/>
      <c r="H460" s="14"/>
      <c r="I460" s="14"/>
      <c r="J460" s="14"/>
      <c r="K460" s="14"/>
      <c r="L460" s="15"/>
      <c r="R460" s="14"/>
      <c r="S460" s="14"/>
    </row>
    <row r="461">
      <c r="A461" s="2"/>
      <c r="C461" s="28"/>
      <c r="D461" s="14"/>
      <c r="E461" s="14"/>
      <c r="F461" s="14"/>
      <c r="G461" s="14"/>
      <c r="H461" s="14"/>
      <c r="I461" s="14"/>
      <c r="J461" s="14"/>
      <c r="K461" s="14"/>
      <c r="L461" s="15"/>
      <c r="R461" s="14"/>
      <c r="S461" s="14"/>
    </row>
    <row r="462">
      <c r="A462" s="2"/>
      <c r="C462" s="28"/>
      <c r="D462" s="14"/>
      <c r="E462" s="14"/>
      <c r="F462" s="14"/>
      <c r="G462" s="14"/>
      <c r="H462" s="14"/>
      <c r="I462" s="14"/>
      <c r="J462" s="14"/>
      <c r="K462" s="14"/>
      <c r="L462" s="15"/>
      <c r="R462" s="14"/>
      <c r="S462" s="14"/>
    </row>
    <row r="463">
      <c r="A463" s="2"/>
      <c r="C463" s="28"/>
      <c r="D463" s="14"/>
      <c r="E463" s="14"/>
      <c r="F463" s="14"/>
      <c r="G463" s="14"/>
      <c r="H463" s="14"/>
      <c r="I463" s="14"/>
      <c r="J463" s="14"/>
      <c r="K463" s="14"/>
      <c r="L463" s="15"/>
      <c r="R463" s="14"/>
      <c r="S463" s="14"/>
    </row>
    <row r="464">
      <c r="A464" s="2"/>
      <c r="C464" s="28"/>
      <c r="D464" s="14"/>
      <c r="E464" s="14"/>
      <c r="F464" s="14"/>
      <c r="G464" s="14"/>
      <c r="H464" s="14"/>
      <c r="I464" s="14"/>
      <c r="J464" s="14"/>
      <c r="K464" s="14"/>
      <c r="L464" s="15"/>
      <c r="R464" s="14"/>
      <c r="S464" s="14"/>
    </row>
    <row r="465">
      <c r="A465" s="2"/>
      <c r="C465" s="28"/>
      <c r="D465" s="14"/>
      <c r="E465" s="14"/>
      <c r="F465" s="14"/>
      <c r="G465" s="14"/>
      <c r="H465" s="14"/>
      <c r="I465" s="14"/>
      <c r="J465" s="14"/>
      <c r="K465" s="14"/>
      <c r="L465" s="15"/>
      <c r="R465" s="14"/>
      <c r="S465" s="14"/>
    </row>
    <row r="466">
      <c r="A466" s="2"/>
      <c r="C466" s="28"/>
      <c r="D466" s="14"/>
      <c r="E466" s="14"/>
      <c r="F466" s="14"/>
      <c r="G466" s="14"/>
      <c r="H466" s="14"/>
      <c r="I466" s="14"/>
      <c r="J466" s="14"/>
      <c r="K466" s="14"/>
      <c r="L466" s="15"/>
      <c r="R466" s="14"/>
      <c r="S466" s="14"/>
    </row>
    <row r="467">
      <c r="A467" s="2"/>
      <c r="C467" s="28"/>
      <c r="D467" s="14"/>
      <c r="E467" s="14"/>
      <c r="F467" s="14"/>
      <c r="G467" s="14"/>
      <c r="H467" s="14"/>
      <c r="I467" s="14"/>
      <c r="J467" s="14"/>
      <c r="K467" s="14"/>
      <c r="L467" s="15"/>
      <c r="R467" s="14"/>
      <c r="S467" s="14"/>
    </row>
    <row r="468">
      <c r="A468" s="2"/>
      <c r="C468" s="28"/>
      <c r="D468" s="14"/>
      <c r="E468" s="14"/>
      <c r="F468" s="14"/>
      <c r="G468" s="14"/>
      <c r="H468" s="14"/>
      <c r="I468" s="14"/>
      <c r="J468" s="14"/>
      <c r="K468" s="14"/>
      <c r="L468" s="15"/>
      <c r="R468" s="14"/>
      <c r="S468" s="14"/>
    </row>
    <row r="469">
      <c r="A469" s="2"/>
      <c r="C469" s="28"/>
      <c r="D469" s="14"/>
      <c r="E469" s="14"/>
      <c r="F469" s="14"/>
      <c r="G469" s="14"/>
      <c r="H469" s="14"/>
      <c r="I469" s="14"/>
      <c r="J469" s="14"/>
      <c r="K469" s="14"/>
      <c r="L469" s="15"/>
      <c r="R469" s="14"/>
      <c r="S469" s="14"/>
    </row>
    <row r="470">
      <c r="A470" s="2"/>
      <c r="C470" s="28"/>
      <c r="D470" s="14"/>
      <c r="E470" s="14"/>
      <c r="F470" s="14"/>
      <c r="G470" s="14"/>
      <c r="H470" s="14"/>
      <c r="I470" s="14"/>
      <c r="J470" s="14"/>
      <c r="K470" s="14"/>
      <c r="L470" s="15"/>
      <c r="R470" s="14"/>
      <c r="S470" s="14"/>
    </row>
    <row r="471">
      <c r="A471" s="2"/>
      <c r="C471" s="28"/>
      <c r="D471" s="14"/>
      <c r="E471" s="14"/>
      <c r="F471" s="14"/>
      <c r="G471" s="14"/>
      <c r="H471" s="14"/>
      <c r="I471" s="14"/>
      <c r="J471" s="14"/>
      <c r="K471" s="14"/>
      <c r="L471" s="15"/>
      <c r="R471" s="14"/>
      <c r="S471" s="14"/>
    </row>
    <row r="472">
      <c r="A472" s="2"/>
      <c r="C472" s="28"/>
      <c r="D472" s="14"/>
      <c r="E472" s="14"/>
      <c r="F472" s="14"/>
      <c r="G472" s="14"/>
      <c r="H472" s="14"/>
      <c r="I472" s="14"/>
      <c r="J472" s="14"/>
      <c r="K472" s="14"/>
      <c r="L472" s="15"/>
      <c r="R472" s="14"/>
      <c r="S472" s="14"/>
    </row>
    <row r="473">
      <c r="A473" s="2"/>
      <c r="C473" s="28"/>
      <c r="D473" s="14"/>
      <c r="E473" s="14"/>
      <c r="F473" s="14"/>
      <c r="G473" s="14"/>
      <c r="H473" s="14"/>
      <c r="I473" s="14"/>
      <c r="J473" s="14"/>
      <c r="K473" s="14"/>
      <c r="L473" s="15"/>
      <c r="R473" s="14"/>
      <c r="S473" s="14"/>
    </row>
    <row r="474">
      <c r="A474" s="2"/>
      <c r="C474" s="28"/>
      <c r="D474" s="14"/>
      <c r="E474" s="14"/>
      <c r="F474" s="14"/>
      <c r="G474" s="14"/>
      <c r="H474" s="14"/>
      <c r="I474" s="14"/>
      <c r="J474" s="14"/>
      <c r="K474" s="14"/>
      <c r="L474" s="15"/>
      <c r="R474" s="14"/>
      <c r="S474" s="14"/>
    </row>
    <row r="475">
      <c r="A475" s="2"/>
      <c r="C475" s="28"/>
      <c r="D475" s="14"/>
      <c r="E475" s="14"/>
      <c r="F475" s="14"/>
      <c r="G475" s="14"/>
      <c r="H475" s="14"/>
      <c r="I475" s="14"/>
      <c r="J475" s="14"/>
      <c r="K475" s="14"/>
      <c r="L475" s="15"/>
      <c r="R475" s="14"/>
      <c r="S475" s="14"/>
    </row>
    <row r="476">
      <c r="A476" s="2"/>
      <c r="C476" s="28"/>
      <c r="D476" s="14"/>
      <c r="E476" s="14"/>
      <c r="F476" s="14"/>
      <c r="G476" s="14"/>
      <c r="H476" s="14"/>
      <c r="I476" s="14"/>
      <c r="J476" s="14"/>
      <c r="K476" s="14"/>
      <c r="L476" s="15"/>
      <c r="R476" s="14"/>
      <c r="S476" s="14"/>
    </row>
    <row r="477">
      <c r="A477" s="2"/>
      <c r="C477" s="28"/>
      <c r="D477" s="14"/>
      <c r="E477" s="14"/>
      <c r="F477" s="14"/>
      <c r="G477" s="14"/>
      <c r="H477" s="14"/>
      <c r="I477" s="14"/>
      <c r="J477" s="14"/>
      <c r="K477" s="14"/>
      <c r="L477" s="15"/>
      <c r="R477" s="14"/>
      <c r="S477" s="14"/>
    </row>
    <row r="478">
      <c r="A478" s="2"/>
      <c r="C478" s="28"/>
      <c r="D478" s="14"/>
      <c r="E478" s="14"/>
      <c r="F478" s="14"/>
      <c r="G478" s="14"/>
      <c r="H478" s="14"/>
      <c r="I478" s="14"/>
      <c r="J478" s="14"/>
      <c r="K478" s="14"/>
      <c r="L478" s="15"/>
      <c r="R478" s="14"/>
      <c r="S478" s="14"/>
    </row>
    <row r="479">
      <c r="A479" s="2"/>
      <c r="C479" s="28"/>
      <c r="D479" s="14"/>
      <c r="E479" s="14"/>
      <c r="F479" s="14"/>
      <c r="G479" s="14"/>
      <c r="H479" s="14"/>
      <c r="I479" s="14"/>
      <c r="J479" s="14"/>
      <c r="K479" s="14"/>
      <c r="L479" s="15"/>
      <c r="R479" s="14"/>
      <c r="S479" s="14"/>
    </row>
    <row r="480">
      <c r="A480" s="2"/>
      <c r="C480" s="28"/>
      <c r="D480" s="14"/>
      <c r="E480" s="14"/>
      <c r="F480" s="14"/>
      <c r="G480" s="14"/>
      <c r="H480" s="14"/>
      <c r="I480" s="14"/>
      <c r="J480" s="14"/>
      <c r="K480" s="14"/>
      <c r="L480" s="15"/>
      <c r="R480" s="14"/>
      <c r="S480" s="14"/>
    </row>
    <row r="481">
      <c r="A481" s="2"/>
      <c r="C481" s="28"/>
      <c r="D481" s="14"/>
      <c r="E481" s="14"/>
      <c r="F481" s="14"/>
      <c r="G481" s="14"/>
      <c r="H481" s="14"/>
      <c r="I481" s="14"/>
      <c r="J481" s="14"/>
      <c r="K481" s="14"/>
      <c r="L481" s="15"/>
      <c r="R481" s="14"/>
      <c r="S481" s="14"/>
    </row>
    <row r="482">
      <c r="A482" s="2"/>
      <c r="C482" s="28"/>
      <c r="D482" s="14"/>
      <c r="E482" s="14"/>
      <c r="F482" s="14"/>
      <c r="G482" s="14"/>
      <c r="H482" s="14"/>
      <c r="I482" s="14"/>
      <c r="J482" s="14"/>
      <c r="K482" s="14"/>
      <c r="L482" s="15"/>
      <c r="R482" s="14"/>
      <c r="S482" s="14"/>
    </row>
    <row r="483">
      <c r="A483" s="2"/>
      <c r="C483" s="28"/>
      <c r="D483" s="14"/>
      <c r="E483" s="14"/>
      <c r="F483" s="14"/>
      <c r="G483" s="14"/>
      <c r="H483" s="14"/>
      <c r="I483" s="14"/>
      <c r="J483" s="14"/>
      <c r="K483" s="14"/>
      <c r="L483" s="15"/>
      <c r="R483" s="14"/>
      <c r="S483" s="14"/>
    </row>
    <row r="484">
      <c r="A484" s="2"/>
      <c r="C484" s="28"/>
      <c r="D484" s="14"/>
      <c r="E484" s="14"/>
      <c r="F484" s="14"/>
      <c r="G484" s="14"/>
      <c r="H484" s="14"/>
      <c r="I484" s="14"/>
      <c r="J484" s="14"/>
      <c r="K484" s="14"/>
      <c r="L484" s="15"/>
      <c r="R484" s="14"/>
      <c r="S484" s="14"/>
    </row>
    <row r="485">
      <c r="A485" s="2"/>
      <c r="C485" s="28"/>
      <c r="D485" s="14"/>
      <c r="E485" s="14"/>
      <c r="F485" s="14"/>
      <c r="G485" s="14"/>
      <c r="H485" s="14"/>
      <c r="I485" s="14"/>
      <c r="J485" s="14"/>
      <c r="K485" s="14"/>
      <c r="L485" s="15"/>
      <c r="R485" s="14"/>
      <c r="S485" s="14"/>
    </row>
    <row r="486">
      <c r="A486" s="2"/>
      <c r="C486" s="28"/>
      <c r="D486" s="14"/>
      <c r="E486" s="14"/>
      <c r="F486" s="14"/>
      <c r="G486" s="14"/>
      <c r="H486" s="14"/>
      <c r="I486" s="14"/>
      <c r="J486" s="14"/>
      <c r="K486" s="14"/>
      <c r="L486" s="15"/>
      <c r="R486" s="14"/>
      <c r="S486" s="14"/>
    </row>
    <row r="487">
      <c r="A487" s="2"/>
      <c r="C487" s="28"/>
      <c r="D487" s="14"/>
      <c r="E487" s="14"/>
      <c r="F487" s="14"/>
      <c r="G487" s="14"/>
      <c r="H487" s="14"/>
      <c r="I487" s="14"/>
      <c r="J487" s="14"/>
      <c r="K487" s="14"/>
      <c r="L487" s="15"/>
      <c r="R487" s="14"/>
      <c r="S487" s="14"/>
    </row>
    <row r="488">
      <c r="A488" s="2"/>
      <c r="C488" s="28"/>
      <c r="D488" s="14"/>
      <c r="E488" s="14"/>
      <c r="F488" s="14"/>
      <c r="G488" s="14"/>
      <c r="H488" s="14"/>
      <c r="I488" s="14"/>
      <c r="J488" s="14"/>
      <c r="K488" s="14"/>
      <c r="L488" s="15"/>
      <c r="R488" s="14"/>
      <c r="S488" s="14"/>
    </row>
    <row r="489">
      <c r="A489" s="2"/>
      <c r="C489" s="28"/>
      <c r="D489" s="14"/>
      <c r="E489" s="14"/>
      <c r="F489" s="14"/>
      <c r="G489" s="14"/>
      <c r="H489" s="14"/>
      <c r="I489" s="14"/>
      <c r="J489" s="14"/>
      <c r="K489" s="14"/>
      <c r="L489" s="15"/>
      <c r="R489" s="14"/>
      <c r="S489" s="14"/>
    </row>
    <row r="490">
      <c r="A490" s="2"/>
      <c r="C490" s="28"/>
      <c r="D490" s="14"/>
      <c r="E490" s="14"/>
      <c r="F490" s="14"/>
      <c r="G490" s="14"/>
      <c r="H490" s="14"/>
      <c r="I490" s="14"/>
      <c r="J490" s="14"/>
      <c r="K490" s="14"/>
      <c r="L490" s="15"/>
      <c r="R490" s="14"/>
      <c r="S490" s="14"/>
    </row>
    <row r="491">
      <c r="A491" s="2"/>
      <c r="C491" s="28"/>
      <c r="D491" s="14"/>
      <c r="E491" s="14"/>
      <c r="F491" s="14"/>
      <c r="G491" s="14"/>
      <c r="H491" s="14"/>
      <c r="I491" s="14"/>
      <c r="J491" s="14"/>
      <c r="K491" s="14"/>
      <c r="L491" s="15"/>
      <c r="R491" s="14"/>
      <c r="S491" s="14"/>
    </row>
    <row r="492">
      <c r="A492" s="2"/>
      <c r="C492" s="28"/>
      <c r="D492" s="14"/>
      <c r="E492" s="14"/>
      <c r="F492" s="14"/>
      <c r="G492" s="14"/>
      <c r="H492" s="14"/>
      <c r="I492" s="14"/>
      <c r="J492" s="14"/>
      <c r="K492" s="14"/>
      <c r="L492" s="15"/>
      <c r="R492" s="14"/>
      <c r="S492" s="14"/>
    </row>
    <row r="493">
      <c r="A493" s="2"/>
      <c r="C493" s="28"/>
      <c r="D493" s="14"/>
      <c r="E493" s="14"/>
      <c r="F493" s="14"/>
      <c r="G493" s="14"/>
      <c r="H493" s="14"/>
      <c r="I493" s="14"/>
      <c r="J493" s="14"/>
      <c r="K493" s="14"/>
      <c r="L493" s="15"/>
      <c r="R493" s="14"/>
      <c r="S493" s="14"/>
    </row>
    <row r="494">
      <c r="A494" s="2"/>
      <c r="C494" s="28"/>
      <c r="D494" s="14"/>
      <c r="E494" s="14"/>
      <c r="F494" s="14"/>
      <c r="G494" s="14"/>
      <c r="H494" s="14"/>
      <c r="I494" s="14"/>
      <c r="J494" s="14"/>
      <c r="K494" s="14"/>
      <c r="L494" s="15"/>
      <c r="R494" s="14"/>
      <c r="S494" s="14"/>
    </row>
    <row r="495">
      <c r="A495" s="2"/>
      <c r="C495" s="28"/>
      <c r="D495" s="14"/>
      <c r="E495" s="14"/>
      <c r="F495" s="14"/>
      <c r="G495" s="14"/>
      <c r="H495" s="14"/>
      <c r="I495" s="14"/>
      <c r="J495" s="14"/>
      <c r="K495" s="14"/>
      <c r="L495" s="15"/>
      <c r="R495" s="14"/>
      <c r="S495" s="14"/>
    </row>
    <row r="496">
      <c r="A496" s="2"/>
      <c r="C496" s="28"/>
      <c r="D496" s="14"/>
      <c r="E496" s="14"/>
      <c r="F496" s="14"/>
      <c r="G496" s="14"/>
      <c r="H496" s="14"/>
      <c r="I496" s="14"/>
      <c r="J496" s="14"/>
      <c r="K496" s="14"/>
      <c r="L496" s="15"/>
      <c r="R496" s="14"/>
      <c r="S496" s="14"/>
    </row>
    <row r="497">
      <c r="A497" s="2"/>
      <c r="C497" s="28"/>
      <c r="D497" s="14"/>
      <c r="E497" s="14"/>
      <c r="F497" s="14"/>
      <c r="G497" s="14"/>
      <c r="H497" s="14"/>
      <c r="I497" s="14"/>
      <c r="J497" s="14"/>
      <c r="K497" s="14"/>
      <c r="L497" s="15"/>
      <c r="R497" s="14"/>
      <c r="S497" s="14"/>
    </row>
    <row r="498">
      <c r="A498" s="2"/>
      <c r="C498" s="28"/>
      <c r="D498" s="14"/>
      <c r="E498" s="14"/>
      <c r="F498" s="14"/>
      <c r="G498" s="14"/>
      <c r="H498" s="14"/>
      <c r="I498" s="14"/>
      <c r="J498" s="14"/>
      <c r="K498" s="14"/>
      <c r="L498" s="15"/>
      <c r="R498" s="14"/>
      <c r="S498" s="14"/>
    </row>
    <row r="499">
      <c r="A499" s="2"/>
      <c r="C499" s="28"/>
      <c r="D499" s="14"/>
      <c r="E499" s="14"/>
      <c r="F499" s="14"/>
      <c r="G499" s="14"/>
      <c r="H499" s="14"/>
      <c r="I499" s="14"/>
      <c r="J499" s="14"/>
      <c r="K499" s="14"/>
      <c r="L499" s="15"/>
      <c r="R499" s="14"/>
      <c r="S499" s="14"/>
    </row>
    <row r="500">
      <c r="A500" s="2"/>
      <c r="C500" s="28"/>
      <c r="D500" s="14"/>
      <c r="E500" s="14"/>
      <c r="F500" s="14"/>
      <c r="G500" s="14"/>
      <c r="H500" s="14"/>
      <c r="I500" s="14"/>
      <c r="J500" s="14"/>
      <c r="K500" s="14"/>
      <c r="L500" s="15"/>
      <c r="R500" s="14"/>
      <c r="S500" s="14"/>
    </row>
    <row r="501">
      <c r="A501" s="2"/>
      <c r="C501" s="28"/>
      <c r="D501" s="14"/>
      <c r="E501" s="14"/>
      <c r="F501" s="14"/>
      <c r="G501" s="14"/>
      <c r="H501" s="14"/>
      <c r="I501" s="14"/>
      <c r="J501" s="14"/>
      <c r="K501" s="14"/>
      <c r="L501" s="15"/>
      <c r="R501" s="14"/>
      <c r="S501" s="14"/>
    </row>
    <row r="502">
      <c r="A502" s="2"/>
      <c r="C502" s="28"/>
      <c r="D502" s="14"/>
      <c r="E502" s="14"/>
      <c r="F502" s="14"/>
      <c r="G502" s="14"/>
      <c r="H502" s="14"/>
      <c r="I502" s="14"/>
      <c r="J502" s="14"/>
      <c r="K502" s="14"/>
      <c r="L502" s="15"/>
      <c r="R502" s="14"/>
      <c r="S502" s="14"/>
    </row>
    <row r="503">
      <c r="A503" s="2"/>
      <c r="C503" s="28"/>
      <c r="D503" s="14"/>
      <c r="E503" s="14"/>
      <c r="F503" s="14"/>
      <c r="G503" s="14"/>
      <c r="H503" s="14"/>
      <c r="I503" s="14"/>
      <c r="J503" s="14"/>
      <c r="K503" s="14"/>
      <c r="L503" s="15"/>
      <c r="R503" s="14"/>
      <c r="S503" s="14"/>
    </row>
    <row r="504">
      <c r="A504" s="2"/>
      <c r="C504" s="28"/>
      <c r="D504" s="14"/>
      <c r="E504" s="14"/>
      <c r="F504" s="14"/>
      <c r="G504" s="14"/>
      <c r="H504" s="14"/>
      <c r="I504" s="14"/>
      <c r="J504" s="14"/>
      <c r="K504" s="14"/>
      <c r="L504" s="15"/>
      <c r="R504" s="14"/>
      <c r="S504" s="14"/>
    </row>
    <row r="505">
      <c r="A505" s="2"/>
      <c r="C505" s="28"/>
      <c r="D505" s="14"/>
      <c r="E505" s="14"/>
      <c r="F505" s="14"/>
      <c r="G505" s="14"/>
      <c r="H505" s="14"/>
      <c r="I505" s="14"/>
      <c r="J505" s="14"/>
      <c r="K505" s="14"/>
      <c r="L505" s="15"/>
      <c r="R505" s="14"/>
      <c r="S505" s="14"/>
    </row>
    <row r="506">
      <c r="A506" s="2"/>
      <c r="C506" s="28"/>
      <c r="D506" s="14"/>
      <c r="E506" s="14"/>
      <c r="F506" s="14"/>
      <c r="G506" s="14"/>
      <c r="H506" s="14"/>
      <c r="I506" s="14"/>
      <c r="J506" s="14"/>
      <c r="K506" s="14"/>
      <c r="L506" s="15"/>
      <c r="R506" s="14"/>
      <c r="S506" s="14"/>
    </row>
    <row r="507">
      <c r="A507" s="2"/>
      <c r="C507" s="28"/>
      <c r="D507" s="14"/>
      <c r="E507" s="14"/>
      <c r="F507" s="14"/>
      <c r="G507" s="14"/>
      <c r="H507" s="14"/>
      <c r="I507" s="14"/>
      <c r="J507" s="14"/>
      <c r="K507" s="14"/>
      <c r="L507" s="15"/>
      <c r="R507" s="14"/>
      <c r="S507" s="14"/>
    </row>
    <row r="508">
      <c r="A508" s="2"/>
      <c r="C508" s="28"/>
      <c r="D508" s="14"/>
      <c r="E508" s="14"/>
      <c r="F508" s="14"/>
      <c r="G508" s="14"/>
      <c r="H508" s="14"/>
      <c r="I508" s="14"/>
      <c r="J508" s="14"/>
      <c r="K508" s="14"/>
      <c r="L508" s="15"/>
      <c r="R508" s="14"/>
      <c r="S508" s="14"/>
    </row>
    <row r="509">
      <c r="A509" s="2"/>
      <c r="C509" s="28"/>
      <c r="D509" s="14"/>
      <c r="E509" s="14"/>
      <c r="F509" s="14"/>
      <c r="G509" s="14"/>
      <c r="H509" s="14"/>
      <c r="I509" s="14"/>
      <c r="J509" s="14"/>
      <c r="K509" s="14"/>
      <c r="L509" s="15"/>
      <c r="R509" s="14"/>
      <c r="S509" s="14"/>
    </row>
    <row r="510">
      <c r="A510" s="2"/>
      <c r="C510" s="28"/>
      <c r="D510" s="14"/>
      <c r="E510" s="14"/>
      <c r="F510" s="14"/>
      <c r="G510" s="14"/>
      <c r="H510" s="14"/>
      <c r="I510" s="14"/>
      <c r="J510" s="14"/>
      <c r="K510" s="14"/>
      <c r="L510" s="15"/>
      <c r="R510" s="14"/>
      <c r="S510" s="14"/>
    </row>
    <row r="511">
      <c r="A511" s="2"/>
      <c r="C511" s="28"/>
      <c r="D511" s="14"/>
      <c r="E511" s="14"/>
      <c r="F511" s="14"/>
      <c r="G511" s="14"/>
      <c r="H511" s="14"/>
      <c r="I511" s="14"/>
      <c r="J511" s="14"/>
      <c r="K511" s="14"/>
      <c r="L511" s="15"/>
      <c r="R511" s="14"/>
      <c r="S511" s="14"/>
    </row>
    <row r="512">
      <c r="A512" s="2"/>
      <c r="C512" s="28"/>
      <c r="D512" s="14"/>
      <c r="E512" s="14"/>
      <c r="F512" s="14"/>
      <c r="G512" s="14"/>
      <c r="H512" s="14"/>
      <c r="I512" s="14"/>
      <c r="J512" s="14"/>
      <c r="K512" s="14"/>
      <c r="L512" s="15"/>
      <c r="R512" s="14"/>
      <c r="S512" s="14"/>
    </row>
    <row r="513">
      <c r="A513" s="2"/>
      <c r="C513" s="28"/>
      <c r="D513" s="14"/>
      <c r="E513" s="14"/>
      <c r="F513" s="14"/>
      <c r="G513" s="14"/>
      <c r="H513" s="14"/>
      <c r="I513" s="14"/>
      <c r="J513" s="14"/>
      <c r="K513" s="14"/>
      <c r="L513" s="15"/>
      <c r="R513" s="14"/>
      <c r="S513" s="14"/>
    </row>
    <row r="514">
      <c r="A514" s="2"/>
      <c r="C514" s="28"/>
      <c r="D514" s="14"/>
      <c r="E514" s="14"/>
      <c r="F514" s="14"/>
      <c r="G514" s="14"/>
      <c r="H514" s="14"/>
      <c r="I514" s="14"/>
      <c r="J514" s="14"/>
      <c r="K514" s="14"/>
      <c r="L514" s="15"/>
      <c r="R514" s="14"/>
      <c r="S514" s="14"/>
    </row>
    <row r="515">
      <c r="A515" s="2"/>
      <c r="C515" s="28"/>
      <c r="D515" s="14"/>
      <c r="E515" s="14"/>
      <c r="F515" s="14"/>
      <c r="G515" s="14"/>
      <c r="H515" s="14"/>
      <c r="I515" s="14"/>
      <c r="J515" s="14"/>
      <c r="K515" s="14"/>
      <c r="L515" s="15"/>
      <c r="R515" s="14"/>
      <c r="S515" s="14"/>
    </row>
    <row r="516">
      <c r="A516" s="2"/>
      <c r="C516" s="28"/>
      <c r="D516" s="14"/>
      <c r="E516" s="14"/>
      <c r="F516" s="14"/>
      <c r="G516" s="14"/>
      <c r="H516" s="14"/>
      <c r="I516" s="14"/>
      <c r="J516" s="14"/>
      <c r="K516" s="14"/>
      <c r="L516" s="15"/>
      <c r="R516" s="14"/>
      <c r="S516" s="14"/>
    </row>
    <row r="517">
      <c r="A517" s="2"/>
      <c r="C517" s="28"/>
      <c r="D517" s="14"/>
      <c r="E517" s="14"/>
      <c r="F517" s="14"/>
      <c r="G517" s="14"/>
      <c r="H517" s="14"/>
      <c r="I517" s="14"/>
      <c r="J517" s="14"/>
      <c r="K517" s="14"/>
      <c r="L517" s="15"/>
      <c r="R517" s="14"/>
      <c r="S517" s="14"/>
    </row>
    <row r="518">
      <c r="A518" s="2"/>
      <c r="C518" s="28"/>
      <c r="D518" s="14"/>
      <c r="E518" s="14"/>
      <c r="F518" s="14"/>
      <c r="G518" s="14"/>
      <c r="H518" s="14"/>
      <c r="I518" s="14"/>
      <c r="J518" s="14"/>
      <c r="K518" s="14"/>
      <c r="L518" s="15"/>
      <c r="R518" s="14"/>
      <c r="S518" s="14"/>
    </row>
    <row r="519">
      <c r="A519" s="2"/>
      <c r="C519" s="28"/>
      <c r="D519" s="14"/>
      <c r="E519" s="14"/>
      <c r="F519" s="14"/>
      <c r="G519" s="14"/>
      <c r="H519" s="14"/>
      <c r="I519" s="14"/>
      <c r="J519" s="14"/>
      <c r="K519" s="14"/>
      <c r="L519" s="15"/>
      <c r="R519" s="14"/>
      <c r="S519" s="14"/>
    </row>
    <row r="520">
      <c r="A520" s="2"/>
      <c r="C520" s="28"/>
      <c r="D520" s="14"/>
      <c r="E520" s="14"/>
      <c r="F520" s="14"/>
      <c r="G520" s="14"/>
      <c r="H520" s="14"/>
      <c r="I520" s="14"/>
      <c r="J520" s="14"/>
      <c r="K520" s="14"/>
      <c r="L520" s="15"/>
      <c r="R520" s="14"/>
      <c r="S520" s="14"/>
    </row>
    <row r="521">
      <c r="A521" s="2"/>
      <c r="C521" s="28"/>
      <c r="D521" s="14"/>
      <c r="E521" s="14"/>
      <c r="F521" s="14"/>
      <c r="G521" s="14"/>
      <c r="H521" s="14"/>
      <c r="I521" s="14"/>
      <c r="J521" s="14"/>
      <c r="K521" s="14"/>
      <c r="L521" s="15"/>
      <c r="R521" s="14"/>
      <c r="S521" s="14"/>
    </row>
    <row r="522">
      <c r="A522" s="2"/>
      <c r="C522" s="28"/>
      <c r="D522" s="14"/>
      <c r="E522" s="14"/>
      <c r="F522" s="14"/>
      <c r="G522" s="14"/>
      <c r="H522" s="14"/>
      <c r="I522" s="14"/>
      <c r="J522" s="14"/>
      <c r="K522" s="14"/>
      <c r="L522" s="15"/>
      <c r="R522" s="14"/>
      <c r="S522" s="14"/>
    </row>
    <row r="523">
      <c r="A523" s="2"/>
      <c r="C523" s="28"/>
      <c r="D523" s="14"/>
      <c r="E523" s="14"/>
      <c r="F523" s="14"/>
      <c r="G523" s="14"/>
      <c r="H523" s="14"/>
      <c r="I523" s="14"/>
      <c r="J523" s="14"/>
      <c r="K523" s="14"/>
      <c r="L523" s="15"/>
      <c r="R523" s="14"/>
      <c r="S523" s="14"/>
    </row>
    <row r="524">
      <c r="A524" s="2"/>
      <c r="C524" s="28"/>
      <c r="D524" s="14"/>
      <c r="E524" s="14"/>
      <c r="F524" s="14"/>
      <c r="G524" s="14"/>
      <c r="H524" s="14"/>
      <c r="I524" s="14"/>
      <c r="J524" s="14"/>
      <c r="K524" s="14"/>
      <c r="L524" s="15"/>
      <c r="R524" s="14"/>
      <c r="S524" s="14"/>
    </row>
    <row r="525">
      <c r="A525" s="2"/>
      <c r="C525" s="28"/>
      <c r="D525" s="14"/>
      <c r="E525" s="14"/>
      <c r="F525" s="14"/>
      <c r="G525" s="14"/>
      <c r="H525" s="14"/>
      <c r="I525" s="14"/>
      <c r="J525" s="14"/>
      <c r="K525" s="14"/>
      <c r="L525" s="15"/>
      <c r="R525" s="14"/>
      <c r="S525" s="14"/>
    </row>
    <row r="526">
      <c r="A526" s="2"/>
      <c r="C526" s="28"/>
      <c r="D526" s="14"/>
      <c r="E526" s="14"/>
      <c r="F526" s="14"/>
      <c r="G526" s="14"/>
      <c r="H526" s="14"/>
      <c r="I526" s="14"/>
      <c r="J526" s="14"/>
      <c r="K526" s="14"/>
      <c r="L526" s="15"/>
      <c r="R526" s="14"/>
      <c r="S526" s="14"/>
    </row>
    <row r="527">
      <c r="A527" s="2"/>
      <c r="C527" s="28"/>
      <c r="D527" s="14"/>
      <c r="E527" s="14"/>
      <c r="F527" s="14"/>
      <c r="G527" s="14"/>
      <c r="H527" s="14"/>
      <c r="I527" s="14"/>
      <c r="J527" s="14"/>
      <c r="K527" s="14"/>
      <c r="L527" s="15"/>
      <c r="R527" s="14"/>
      <c r="S527" s="14"/>
    </row>
    <row r="528">
      <c r="A528" s="2"/>
      <c r="C528" s="28"/>
      <c r="D528" s="14"/>
      <c r="E528" s="14"/>
      <c r="F528" s="14"/>
      <c r="G528" s="14"/>
      <c r="H528" s="14"/>
      <c r="I528" s="14"/>
      <c r="J528" s="14"/>
      <c r="K528" s="14"/>
      <c r="L528" s="15"/>
      <c r="R528" s="14"/>
      <c r="S528" s="14"/>
    </row>
    <row r="529">
      <c r="A529" s="2"/>
      <c r="C529" s="28"/>
      <c r="D529" s="14"/>
      <c r="E529" s="14"/>
      <c r="F529" s="14"/>
      <c r="G529" s="14"/>
      <c r="H529" s="14"/>
      <c r="I529" s="14"/>
      <c r="J529" s="14"/>
      <c r="K529" s="14"/>
      <c r="L529" s="15"/>
      <c r="R529" s="14"/>
      <c r="S529" s="14"/>
    </row>
    <row r="530">
      <c r="A530" s="2"/>
      <c r="C530" s="28"/>
      <c r="D530" s="14"/>
      <c r="E530" s="14"/>
      <c r="F530" s="14"/>
      <c r="G530" s="14"/>
      <c r="H530" s="14"/>
      <c r="I530" s="14"/>
      <c r="J530" s="14"/>
      <c r="K530" s="14"/>
      <c r="L530" s="15"/>
      <c r="R530" s="14"/>
      <c r="S530" s="14"/>
    </row>
    <row r="531">
      <c r="A531" s="2"/>
      <c r="C531" s="28"/>
      <c r="D531" s="14"/>
      <c r="E531" s="14"/>
      <c r="F531" s="14"/>
      <c r="G531" s="14"/>
      <c r="H531" s="14"/>
      <c r="I531" s="14"/>
      <c r="J531" s="14"/>
      <c r="K531" s="14"/>
      <c r="L531" s="15"/>
      <c r="R531" s="14"/>
      <c r="S531" s="14"/>
    </row>
    <row r="532">
      <c r="A532" s="2"/>
      <c r="C532" s="28"/>
      <c r="D532" s="14"/>
      <c r="E532" s="14"/>
      <c r="F532" s="14"/>
      <c r="G532" s="14"/>
      <c r="H532" s="14"/>
      <c r="I532" s="14"/>
      <c r="J532" s="14"/>
      <c r="K532" s="14"/>
      <c r="L532" s="15"/>
      <c r="R532" s="14"/>
      <c r="S532" s="14"/>
    </row>
    <row r="533">
      <c r="A533" s="2"/>
      <c r="C533" s="28"/>
      <c r="D533" s="14"/>
      <c r="E533" s="14"/>
      <c r="F533" s="14"/>
      <c r="G533" s="14"/>
      <c r="H533" s="14"/>
      <c r="I533" s="14"/>
      <c r="J533" s="14"/>
      <c r="K533" s="14"/>
      <c r="L533" s="15"/>
      <c r="R533" s="14"/>
      <c r="S533" s="14"/>
    </row>
    <row r="534">
      <c r="A534" s="2"/>
      <c r="C534" s="28"/>
      <c r="D534" s="14"/>
      <c r="E534" s="14"/>
      <c r="F534" s="14"/>
      <c r="G534" s="14"/>
      <c r="H534" s="14"/>
      <c r="I534" s="14"/>
      <c r="J534" s="14"/>
      <c r="K534" s="14"/>
      <c r="L534" s="15"/>
      <c r="R534" s="14"/>
      <c r="S534" s="14"/>
    </row>
    <row r="535">
      <c r="A535" s="2"/>
      <c r="C535" s="28"/>
      <c r="D535" s="14"/>
      <c r="E535" s="14"/>
      <c r="F535" s="14"/>
      <c r="G535" s="14"/>
      <c r="H535" s="14"/>
      <c r="I535" s="14"/>
      <c r="J535" s="14"/>
      <c r="K535" s="14"/>
      <c r="L535" s="15"/>
      <c r="R535" s="14"/>
      <c r="S535" s="14"/>
    </row>
    <row r="536">
      <c r="A536" s="2"/>
      <c r="C536" s="28"/>
      <c r="D536" s="14"/>
      <c r="E536" s="14"/>
      <c r="F536" s="14"/>
      <c r="G536" s="14"/>
      <c r="H536" s="14"/>
      <c r="I536" s="14"/>
      <c r="J536" s="14"/>
      <c r="K536" s="14"/>
      <c r="L536" s="15"/>
      <c r="R536" s="14"/>
      <c r="S536" s="14"/>
    </row>
    <row r="537">
      <c r="A537" s="2"/>
      <c r="C537" s="28"/>
      <c r="D537" s="14"/>
      <c r="E537" s="14"/>
      <c r="F537" s="14"/>
      <c r="G537" s="14"/>
      <c r="H537" s="14"/>
      <c r="I537" s="14"/>
      <c r="J537" s="14"/>
      <c r="K537" s="14"/>
      <c r="L537" s="15"/>
      <c r="R537" s="14"/>
      <c r="S537" s="14"/>
    </row>
    <row r="538">
      <c r="A538" s="2"/>
      <c r="C538" s="28"/>
      <c r="D538" s="14"/>
      <c r="E538" s="14"/>
      <c r="F538" s="14"/>
      <c r="G538" s="14"/>
      <c r="H538" s="14"/>
      <c r="I538" s="14"/>
      <c r="J538" s="14"/>
      <c r="K538" s="14"/>
      <c r="L538" s="15"/>
      <c r="R538" s="14"/>
      <c r="S538" s="14"/>
    </row>
    <row r="539">
      <c r="A539" s="2"/>
      <c r="C539" s="28"/>
      <c r="D539" s="14"/>
      <c r="E539" s="14"/>
      <c r="F539" s="14"/>
      <c r="G539" s="14"/>
      <c r="H539" s="14"/>
      <c r="I539" s="14"/>
      <c r="J539" s="14"/>
      <c r="K539" s="14"/>
      <c r="L539" s="15"/>
      <c r="R539" s="14"/>
      <c r="S539" s="14"/>
    </row>
    <row r="540">
      <c r="A540" s="2"/>
      <c r="C540" s="28"/>
      <c r="D540" s="14"/>
      <c r="E540" s="14"/>
      <c r="F540" s="14"/>
      <c r="G540" s="14"/>
      <c r="H540" s="14"/>
      <c r="I540" s="14"/>
      <c r="J540" s="14"/>
      <c r="K540" s="14"/>
      <c r="L540" s="15"/>
      <c r="R540" s="14"/>
      <c r="S540" s="14"/>
    </row>
    <row r="541">
      <c r="A541" s="2"/>
      <c r="C541" s="28"/>
      <c r="D541" s="14"/>
      <c r="E541" s="14"/>
      <c r="F541" s="14"/>
      <c r="G541" s="14"/>
      <c r="H541" s="14"/>
      <c r="I541" s="14"/>
      <c r="J541" s="14"/>
      <c r="K541" s="14"/>
      <c r="L541" s="15"/>
      <c r="R541" s="14"/>
      <c r="S541" s="14"/>
    </row>
    <row r="542">
      <c r="A542" s="2"/>
      <c r="C542" s="28"/>
      <c r="D542" s="14"/>
      <c r="E542" s="14"/>
      <c r="F542" s="14"/>
      <c r="G542" s="14"/>
      <c r="H542" s="14"/>
      <c r="I542" s="14"/>
      <c r="J542" s="14"/>
      <c r="K542" s="14"/>
      <c r="L542" s="15"/>
      <c r="R542" s="14"/>
      <c r="S542" s="14"/>
    </row>
    <row r="543">
      <c r="A543" s="2"/>
      <c r="C543" s="28"/>
      <c r="D543" s="14"/>
      <c r="E543" s="14"/>
      <c r="F543" s="14"/>
      <c r="G543" s="14"/>
      <c r="H543" s="14"/>
      <c r="I543" s="14"/>
      <c r="J543" s="14"/>
      <c r="K543" s="14"/>
      <c r="L543" s="15"/>
      <c r="R543" s="14"/>
      <c r="S543" s="14"/>
    </row>
    <row r="544">
      <c r="A544" s="2"/>
      <c r="C544" s="28"/>
      <c r="D544" s="14"/>
      <c r="E544" s="14"/>
      <c r="F544" s="14"/>
      <c r="G544" s="14"/>
      <c r="H544" s="14"/>
      <c r="I544" s="14"/>
      <c r="J544" s="14"/>
      <c r="K544" s="14"/>
      <c r="L544" s="15"/>
      <c r="R544" s="14"/>
      <c r="S544" s="14"/>
    </row>
    <row r="545">
      <c r="A545" s="2"/>
      <c r="C545" s="28"/>
      <c r="D545" s="14"/>
      <c r="E545" s="14"/>
      <c r="F545" s="14"/>
      <c r="G545" s="14"/>
      <c r="H545" s="14"/>
      <c r="I545" s="14"/>
      <c r="J545" s="14"/>
      <c r="K545" s="14"/>
      <c r="L545" s="15"/>
      <c r="R545" s="14"/>
      <c r="S545" s="14"/>
    </row>
    <row r="546">
      <c r="A546" s="2"/>
      <c r="C546" s="28"/>
      <c r="D546" s="14"/>
      <c r="E546" s="14"/>
      <c r="F546" s="14"/>
      <c r="G546" s="14"/>
      <c r="H546" s="14"/>
      <c r="I546" s="14"/>
      <c r="J546" s="14"/>
      <c r="K546" s="14"/>
      <c r="L546" s="15"/>
      <c r="R546" s="14"/>
      <c r="S546" s="14"/>
    </row>
    <row r="547">
      <c r="A547" s="2"/>
      <c r="C547" s="28"/>
      <c r="D547" s="14"/>
      <c r="E547" s="14"/>
      <c r="F547" s="14"/>
      <c r="G547" s="14"/>
      <c r="H547" s="14"/>
      <c r="I547" s="14"/>
      <c r="J547" s="14"/>
      <c r="K547" s="14"/>
      <c r="L547" s="15"/>
      <c r="R547" s="14"/>
      <c r="S547" s="14"/>
    </row>
    <row r="548">
      <c r="A548" s="2"/>
      <c r="C548" s="28"/>
      <c r="D548" s="14"/>
      <c r="E548" s="14"/>
      <c r="F548" s="14"/>
      <c r="G548" s="14"/>
      <c r="H548" s="14"/>
      <c r="I548" s="14"/>
      <c r="J548" s="14"/>
      <c r="K548" s="14"/>
      <c r="L548" s="15"/>
      <c r="R548" s="14"/>
      <c r="S548" s="14"/>
    </row>
    <row r="549">
      <c r="A549" s="2"/>
      <c r="C549" s="28"/>
      <c r="D549" s="14"/>
      <c r="E549" s="14"/>
      <c r="F549" s="14"/>
      <c r="G549" s="14"/>
      <c r="H549" s="14"/>
      <c r="I549" s="14"/>
      <c r="J549" s="14"/>
      <c r="K549" s="14"/>
      <c r="L549" s="15"/>
      <c r="R549" s="14"/>
      <c r="S549" s="14"/>
    </row>
    <row r="550">
      <c r="A550" s="2"/>
      <c r="C550" s="28"/>
      <c r="D550" s="14"/>
      <c r="E550" s="14"/>
      <c r="F550" s="14"/>
      <c r="G550" s="14"/>
      <c r="H550" s="14"/>
      <c r="I550" s="14"/>
      <c r="J550" s="14"/>
      <c r="K550" s="14"/>
      <c r="L550" s="15"/>
      <c r="R550" s="14"/>
      <c r="S550" s="14"/>
    </row>
    <row r="551">
      <c r="A551" s="2"/>
      <c r="C551" s="28"/>
      <c r="D551" s="14"/>
      <c r="E551" s="14"/>
      <c r="F551" s="14"/>
      <c r="G551" s="14"/>
      <c r="H551" s="14"/>
      <c r="I551" s="14"/>
      <c r="J551" s="14"/>
      <c r="K551" s="14"/>
      <c r="L551" s="15"/>
      <c r="R551" s="14"/>
      <c r="S551" s="14"/>
    </row>
    <row r="552">
      <c r="A552" s="2"/>
      <c r="C552" s="28"/>
      <c r="D552" s="14"/>
      <c r="E552" s="14"/>
      <c r="F552" s="14"/>
      <c r="G552" s="14"/>
      <c r="H552" s="14"/>
      <c r="I552" s="14"/>
      <c r="J552" s="14"/>
      <c r="K552" s="14"/>
      <c r="L552" s="15"/>
      <c r="R552" s="14"/>
      <c r="S552" s="14"/>
    </row>
    <row r="553">
      <c r="A553" s="2"/>
      <c r="C553" s="28"/>
      <c r="D553" s="14"/>
      <c r="E553" s="14"/>
      <c r="F553" s="14"/>
      <c r="G553" s="14"/>
      <c r="H553" s="14"/>
      <c r="I553" s="14"/>
      <c r="J553" s="14"/>
      <c r="K553" s="14"/>
      <c r="L553" s="15"/>
      <c r="R553" s="14"/>
      <c r="S553" s="14"/>
    </row>
    <row r="554">
      <c r="A554" s="2"/>
      <c r="C554" s="28"/>
      <c r="D554" s="14"/>
      <c r="E554" s="14"/>
      <c r="F554" s="14"/>
      <c r="G554" s="14"/>
      <c r="H554" s="14"/>
      <c r="I554" s="14"/>
      <c r="J554" s="14"/>
      <c r="K554" s="14"/>
      <c r="L554" s="15"/>
      <c r="R554" s="14"/>
      <c r="S554" s="14"/>
    </row>
    <row r="555">
      <c r="A555" s="2"/>
      <c r="C555" s="28"/>
      <c r="D555" s="14"/>
      <c r="E555" s="14"/>
      <c r="F555" s="14"/>
      <c r="G555" s="14"/>
      <c r="H555" s="14"/>
      <c r="I555" s="14"/>
      <c r="J555" s="14"/>
      <c r="K555" s="14"/>
      <c r="L555" s="15"/>
      <c r="R555" s="14"/>
      <c r="S555" s="14"/>
    </row>
    <row r="556">
      <c r="A556" s="2"/>
      <c r="C556" s="28"/>
      <c r="D556" s="14"/>
      <c r="E556" s="14"/>
      <c r="F556" s="14"/>
      <c r="G556" s="14"/>
      <c r="H556" s="14"/>
      <c r="I556" s="14"/>
      <c r="J556" s="14"/>
      <c r="K556" s="14"/>
      <c r="L556" s="15"/>
      <c r="R556" s="14"/>
      <c r="S556" s="14"/>
    </row>
    <row r="557">
      <c r="A557" s="2"/>
      <c r="C557" s="28"/>
      <c r="D557" s="14"/>
      <c r="E557" s="14"/>
      <c r="F557" s="14"/>
      <c r="G557" s="14"/>
      <c r="H557" s="14"/>
      <c r="I557" s="14"/>
      <c r="J557" s="14"/>
      <c r="K557" s="14"/>
      <c r="L557" s="15"/>
      <c r="R557" s="14"/>
      <c r="S557" s="14"/>
    </row>
    <row r="558">
      <c r="A558" s="2"/>
      <c r="C558" s="28"/>
      <c r="D558" s="14"/>
      <c r="E558" s="14"/>
      <c r="F558" s="14"/>
      <c r="G558" s="14"/>
      <c r="H558" s="14"/>
      <c r="I558" s="14"/>
      <c r="J558" s="14"/>
      <c r="K558" s="14"/>
      <c r="L558" s="15"/>
      <c r="R558" s="14"/>
      <c r="S558" s="14"/>
    </row>
    <row r="559">
      <c r="A559" s="2"/>
      <c r="C559" s="28"/>
      <c r="D559" s="14"/>
      <c r="E559" s="14"/>
      <c r="F559" s="14"/>
      <c r="G559" s="14"/>
      <c r="H559" s="14"/>
      <c r="I559" s="14"/>
      <c r="J559" s="14"/>
      <c r="K559" s="14"/>
      <c r="L559" s="15"/>
      <c r="R559" s="14"/>
      <c r="S559" s="14"/>
    </row>
    <row r="560">
      <c r="A560" s="2"/>
      <c r="C560" s="28"/>
      <c r="D560" s="14"/>
      <c r="E560" s="14"/>
      <c r="F560" s="14"/>
      <c r="G560" s="14"/>
      <c r="H560" s="14"/>
      <c r="I560" s="14"/>
      <c r="J560" s="14"/>
      <c r="K560" s="14"/>
      <c r="L560" s="15"/>
      <c r="R560" s="14"/>
      <c r="S560" s="14"/>
    </row>
    <row r="561">
      <c r="A561" s="2"/>
      <c r="C561" s="28"/>
      <c r="D561" s="14"/>
      <c r="E561" s="14"/>
      <c r="F561" s="14"/>
      <c r="G561" s="14"/>
      <c r="H561" s="14"/>
      <c r="I561" s="14"/>
      <c r="J561" s="14"/>
      <c r="K561" s="14"/>
      <c r="L561" s="15"/>
      <c r="R561" s="14"/>
      <c r="S561" s="14"/>
    </row>
    <row r="562">
      <c r="A562" s="2"/>
      <c r="C562" s="28"/>
      <c r="D562" s="14"/>
      <c r="E562" s="14"/>
      <c r="F562" s="14"/>
      <c r="G562" s="14"/>
      <c r="H562" s="14"/>
      <c r="I562" s="14"/>
      <c r="J562" s="14"/>
      <c r="K562" s="14"/>
      <c r="L562" s="15"/>
      <c r="R562" s="14"/>
      <c r="S562" s="14"/>
    </row>
    <row r="563">
      <c r="A563" s="2"/>
      <c r="C563" s="28"/>
      <c r="D563" s="14"/>
      <c r="E563" s="14"/>
      <c r="F563" s="14"/>
      <c r="G563" s="14"/>
      <c r="H563" s="14"/>
      <c r="I563" s="14"/>
      <c r="J563" s="14"/>
      <c r="K563" s="14"/>
      <c r="L563" s="15"/>
      <c r="R563" s="14"/>
      <c r="S563" s="14"/>
    </row>
    <row r="564">
      <c r="A564" s="2"/>
      <c r="C564" s="28"/>
      <c r="D564" s="14"/>
      <c r="E564" s="14"/>
      <c r="F564" s="14"/>
      <c r="G564" s="14"/>
      <c r="H564" s="14"/>
      <c r="I564" s="14"/>
      <c r="J564" s="14"/>
      <c r="K564" s="14"/>
      <c r="L564" s="15"/>
      <c r="R564" s="14"/>
      <c r="S564" s="14"/>
    </row>
    <row r="565">
      <c r="A565" s="2"/>
      <c r="C565" s="28"/>
      <c r="D565" s="14"/>
      <c r="E565" s="14"/>
      <c r="F565" s="14"/>
      <c r="G565" s="14"/>
      <c r="H565" s="14"/>
      <c r="I565" s="14"/>
      <c r="J565" s="14"/>
      <c r="K565" s="14"/>
      <c r="L565" s="15"/>
      <c r="R565" s="14"/>
      <c r="S565" s="14"/>
    </row>
    <row r="566">
      <c r="A566" s="2"/>
      <c r="C566" s="28"/>
      <c r="D566" s="14"/>
      <c r="E566" s="14"/>
      <c r="F566" s="14"/>
      <c r="G566" s="14"/>
      <c r="H566" s="14"/>
      <c r="I566" s="14"/>
      <c r="J566" s="14"/>
      <c r="K566" s="14"/>
      <c r="L566" s="15"/>
      <c r="R566" s="14"/>
      <c r="S566" s="14"/>
    </row>
    <row r="567">
      <c r="A567" s="2"/>
      <c r="C567" s="28"/>
      <c r="D567" s="14"/>
      <c r="E567" s="14"/>
      <c r="F567" s="14"/>
      <c r="G567" s="14"/>
      <c r="H567" s="14"/>
      <c r="I567" s="14"/>
      <c r="J567" s="14"/>
      <c r="K567" s="14"/>
      <c r="L567" s="15"/>
      <c r="R567" s="14"/>
      <c r="S567" s="14"/>
    </row>
    <row r="568">
      <c r="A568" s="2"/>
      <c r="C568" s="28"/>
      <c r="D568" s="14"/>
      <c r="E568" s="14"/>
      <c r="F568" s="14"/>
      <c r="G568" s="14"/>
      <c r="H568" s="14"/>
      <c r="I568" s="14"/>
      <c r="J568" s="14"/>
      <c r="K568" s="14"/>
      <c r="L568" s="15"/>
      <c r="R568" s="14"/>
      <c r="S568" s="14"/>
    </row>
    <row r="569">
      <c r="A569" s="2"/>
      <c r="C569" s="28"/>
      <c r="D569" s="14"/>
      <c r="E569" s="14"/>
      <c r="F569" s="14"/>
      <c r="G569" s="14"/>
      <c r="H569" s="14"/>
      <c r="I569" s="14"/>
      <c r="J569" s="14"/>
      <c r="K569" s="14"/>
      <c r="L569" s="15"/>
      <c r="R569" s="14"/>
      <c r="S569" s="14"/>
    </row>
    <row r="570">
      <c r="A570" s="2"/>
      <c r="C570" s="28"/>
      <c r="D570" s="14"/>
      <c r="E570" s="14"/>
      <c r="F570" s="14"/>
      <c r="G570" s="14"/>
      <c r="H570" s="14"/>
      <c r="I570" s="14"/>
      <c r="J570" s="14"/>
      <c r="K570" s="14"/>
      <c r="L570" s="15"/>
      <c r="R570" s="14"/>
      <c r="S570" s="14"/>
    </row>
    <row r="571">
      <c r="A571" s="2"/>
      <c r="C571" s="28"/>
      <c r="D571" s="14"/>
      <c r="E571" s="14"/>
      <c r="F571" s="14"/>
      <c r="G571" s="14"/>
      <c r="H571" s="14"/>
      <c r="I571" s="14"/>
      <c r="J571" s="14"/>
      <c r="K571" s="14"/>
      <c r="L571" s="15"/>
      <c r="R571" s="14"/>
      <c r="S571" s="14"/>
    </row>
    <row r="572">
      <c r="A572" s="2"/>
      <c r="C572" s="28"/>
      <c r="D572" s="14"/>
      <c r="E572" s="14"/>
      <c r="F572" s="14"/>
      <c r="G572" s="14"/>
      <c r="H572" s="14"/>
      <c r="I572" s="14"/>
      <c r="J572" s="14"/>
      <c r="K572" s="14"/>
      <c r="L572" s="15"/>
      <c r="R572" s="14"/>
      <c r="S572" s="14"/>
    </row>
    <row r="573">
      <c r="A573" s="2"/>
      <c r="C573" s="28"/>
      <c r="D573" s="14"/>
      <c r="E573" s="14"/>
      <c r="F573" s="14"/>
      <c r="G573" s="14"/>
      <c r="H573" s="14"/>
      <c r="I573" s="14"/>
      <c r="J573" s="14"/>
      <c r="K573" s="14"/>
      <c r="L573" s="15"/>
      <c r="R573" s="14"/>
      <c r="S573" s="14"/>
    </row>
    <row r="574">
      <c r="A574" s="2"/>
      <c r="C574" s="28"/>
      <c r="D574" s="14"/>
      <c r="E574" s="14"/>
      <c r="F574" s="14"/>
      <c r="G574" s="14"/>
      <c r="H574" s="14"/>
      <c r="I574" s="14"/>
      <c r="J574" s="14"/>
      <c r="K574" s="14"/>
      <c r="L574" s="15"/>
      <c r="R574" s="14"/>
      <c r="S574" s="14"/>
    </row>
    <row r="575">
      <c r="A575" s="2"/>
      <c r="C575" s="28"/>
      <c r="D575" s="14"/>
      <c r="E575" s="14"/>
      <c r="F575" s="14"/>
      <c r="G575" s="14"/>
      <c r="H575" s="14"/>
      <c r="I575" s="14"/>
      <c r="J575" s="14"/>
      <c r="K575" s="14"/>
      <c r="L575" s="15"/>
      <c r="R575" s="14"/>
      <c r="S575" s="14"/>
    </row>
    <row r="576">
      <c r="A576" s="2"/>
      <c r="C576" s="28"/>
      <c r="D576" s="14"/>
      <c r="E576" s="14"/>
      <c r="F576" s="14"/>
      <c r="G576" s="14"/>
      <c r="H576" s="14"/>
      <c r="I576" s="14"/>
      <c r="J576" s="14"/>
      <c r="K576" s="14"/>
      <c r="L576" s="15"/>
      <c r="R576" s="14"/>
      <c r="S576" s="14"/>
    </row>
    <row r="577">
      <c r="A577" s="2"/>
      <c r="C577" s="28"/>
      <c r="D577" s="14"/>
      <c r="E577" s="14"/>
      <c r="F577" s="14"/>
      <c r="G577" s="14"/>
      <c r="H577" s="14"/>
      <c r="I577" s="14"/>
      <c r="J577" s="14"/>
      <c r="K577" s="14"/>
      <c r="L577" s="15"/>
      <c r="R577" s="14"/>
      <c r="S577" s="14"/>
    </row>
    <row r="578">
      <c r="A578" s="2"/>
      <c r="C578" s="28"/>
      <c r="D578" s="14"/>
      <c r="E578" s="14"/>
      <c r="F578" s="14"/>
      <c r="G578" s="14"/>
      <c r="H578" s="14"/>
      <c r="I578" s="14"/>
      <c r="J578" s="14"/>
      <c r="K578" s="14"/>
      <c r="L578" s="15"/>
      <c r="R578" s="14"/>
      <c r="S578" s="14"/>
    </row>
    <row r="579">
      <c r="A579" s="2"/>
      <c r="C579" s="28"/>
      <c r="D579" s="14"/>
      <c r="E579" s="14"/>
      <c r="F579" s="14"/>
      <c r="G579" s="14"/>
      <c r="H579" s="14"/>
      <c r="I579" s="14"/>
      <c r="J579" s="14"/>
      <c r="K579" s="14"/>
      <c r="L579" s="15"/>
      <c r="R579" s="14"/>
      <c r="S579" s="14"/>
    </row>
    <row r="580">
      <c r="A580" s="2"/>
      <c r="C580" s="28"/>
      <c r="D580" s="14"/>
      <c r="E580" s="14"/>
      <c r="F580" s="14"/>
      <c r="G580" s="14"/>
      <c r="H580" s="14"/>
      <c r="I580" s="14"/>
      <c r="J580" s="14"/>
      <c r="K580" s="14"/>
      <c r="L580" s="15"/>
      <c r="R580" s="14"/>
      <c r="S580" s="14"/>
    </row>
    <row r="581">
      <c r="A581" s="2"/>
      <c r="C581" s="28"/>
      <c r="D581" s="14"/>
      <c r="E581" s="14"/>
      <c r="F581" s="14"/>
      <c r="G581" s="14"/>
      <c r="H581" s="14"/>
      <c r="I581" s="14"/>
      <c r="J581" s="14"/>
      <c r="K581" s="14"/>
      <c r="L581" s="15"/>
      <c r="R581" s="14"/>
      <c r="S581" s="14"/>
    </row>
    <row r="582">
      <c r="A582" s="2"/>
      <c r="C582" s="28"/>
      <c r="D582" s="14"/>
      <c r="E582" s="14"/>
      <c r="F582" s="14"/>
      <c r="G582" s="14"/>
      <c r="H582" s="14"/>
      <c r="I582" s="14"/>
      <c r="J582" s="14"/>
      <c r="K582" s="14"/>
      <c r="L582" s="15"/>
      <c r="R582" s="14"/>
      <c r="S582" s="14"/>
    </row>
    <row r="583">
      <c r="A583" s="2"/>
      <c r="C583" s="28"/>
      <c r="D583" s="14"/>
      <c r="E583" s="14"/>
      <c r="F583" s="14"/>
      <c r="G583" s="14"/>
      <c r="H583" s="14"/>
      <c r="I583" s="14"/>
      <c r="J583" s="14"/>
      <c r="K583" s="14"/>
      <c r="L583" s="15"/>
      <c r="R583" s="14"/>
      <c r="S583" s="14"/>
    </row>
    <row r="584">
      <c r="A584" s="2"/>
      <c r="C584" s="28"/>
      <c r="D584" s="14"/>
      <c r="E584" s="14"/>
      <c r="F584" s="14"/>
      <c r="G584" s="14"/>
      <c r="H584" s="14"/>
      <c r="I584" s="14"/>
      <c r="J584" s="14"/>
      <c r="K584" s="14"/>
      <c r="L584" s="15"/>
      <c r="R584" s="14"/>
      <c r="S584" s="14"/>
    </row>
    <row r="585">
      <c r="A585" s="2"/>
      <c r="C585" s="28"/>
      <c r="D585" s="14"/>
      <c r="E585" s="14"/>
      <c r="F585" s="14"/>
      <c r="G585" s="14"/>
      <c r="H585" s="14"/>
      <c r="I585" s="14"/>
      <c r="J585" s="14"/>
      <c r="K585" s="14"/>
      <c r="L585" s="15"/>
      <c r="R585" s="14"/>
      <c r="S585" s="14"/>
    </row>
    <row r="586">
      <c r="A586" s="2"/>
      <c r="C586" s="28"/>
      <c r="D586" s="14"/>
      <c r="E586" s="14"/>
      <c r="F586" s="14"/>
      <c r="G586" s="14"/>
      <c r="H586" s="14"/>
      <c r="I586" s="14"/>
      <c r="J586" s="14"/>
      <c r="K586" s="14"/>
      <c r="L586" s="15"/>
      <c r="R586" s="14"/>
      <c r="S586" s="14"/>
    </row>
    <row r="587">
      <c r="A587" s="2"/>
      <c r="C587" s="28"/>
      <c r="D587" s="14"/>
      <c r="E587" s="14"/>
      <c r="F587" s="14"/>
      <c r="G587" s="14"/>
      <c r="H587" s="14"/>
      <c r="I587" s="14"/>
      <c r="J587" s="14"/>
      <c r="K587" s="14"/>
      <c r="L587" s="15"/>
      <c r="R587" s="14"/>
      <c r="S587" s="14"/>
    </row>
    <row r="588">
      <c r="A588" s="2"/>
      <c r="C588" s="28"/>
      <c r="D588" s="14"/>
      <c r="E588" s="14"/>
      <c r="F588" s="14"/>
      <c r="G588" s="14"/>
      <c r="H588" s="14"/>
      <c r="I588" s="14"/>
      <c r="J588" s="14"/>
      <c r="K588" s="14"/>
      <c r="L588" s="15"/>
      <c r="R588" s="14"/>
      <c r="S588" s="14"/>
    </row>
    <row r="589">
      <c r="A589" s="2"/>
      <c r="C589" s="28"/>
      <c r="D589" s="14"/>
      <c r="E589" s="14"/>
      <c r="F589" s="14"/>
      <c r="G589" s="14"/>
      <c r="H589" s="14"/>
      <c r="I589" s="14"/>
      <c r="J589" s="14"/>
      <c r="K589" s="14"/>
      <c r="L589" s="15"/>
      <c r="R589" s="14"/>
      <c r="S589" s="14"/>
    </row>
    <row r="590">
      <c r="A590" s="2"/>
      <c r="C590" s="28"/>
      <c r="D590" s="14"/>
      <c r="E590" s="14"/>
      <c r="F590" s="14"/>
      <c r="G590" s="14"/>
      <c r="H590" s="14"/>
      <c r="I590" s="14"/>
      <c r="J590" s="14"/>
      <c r="K590" s="14"/>
      <c r="L590" s="15"/>
      <c r="R590" s="14"/>
      <c r="S590" s="14"/>
    </row>
    <row r="591">
      <c r="A591" s="2"/>
      <c r="C591" s="28"/>
      <c r="D591" s="14"/>
      <c r="E591" s="14"/>
      <c r="F591" s="14"/>
      <c r="G591" s="14"/>
      <c r="H591" s="14"/>
      <c r="I591" s="14"/>
      <c r="J591" s="14"/>
      <c r="K591" s="14"/>
      <c r="L591" s="15"/>
      <c r="R591" s="14"/>
      <c r="S591" s="14"/>
    </row>
    <row r="592">
      <c r="A592" s="2"/>
      <c r="C592" s="28"/>
      <c r="D592" s="14"/>
      <c r="E592" s="14"/>
      <c r="F592" s="14"/>
      <c r="G592" s="14"/>
      <c r="H592" s="14"/>
      <c r="I592" s="14"/>
      <c r="J592" s="14"/>
      <c r="K592" s="14"/>
      <c r="L592" s="15"/>
      <c r="R592" s="14"/>
      <c r="S592" s="14"/>
    </row>
    <row r="593">
      <c r="A593" s="2"/>
      <c r="C593" s="28"/>
      <c r="D593" s="14"/>
      <c r="E593" s="14"/>
      <c r="F593" s="14"/>
      <c r="G593" s="14"/>
      <c r="H593" s="14"/>
      <c r="I593" s="14"/>
      <c r="J593" s="14"/>
      <c r="K593" s="14"/>
      <c r="L593" s="15"/>
      <c r="R593" s="14"/>
      <c r="S593" s="14"/>
    </row>
    <row r="594">
      <c r="A594" s="2"/>
      <c r="C594" s="28"/>
      <c r="D594" s="14"/>
      <c r="E594" s="14"/>
      <c r="F594" s="14"/>
      <c r="G594" s="14"/>
      <c r="H594" s="14"/>
      <c r="I594" s="14"/>
      <c r="J594" s="14"/>
      <c r="K594" s="14"/>
      <c r="L594" s="15"/>
      <c r="R594" s="14"/>
      <c r="S594" s="14"/>
    </row>
    <row r="595">
      <c r="A595" s="2"/>
      <c r="C595" s="28"/>
      <c r="D595" s="14"/>
      <c r="E595" s="14"/>
      <c r="F595" s="14"/>
      <c r="G595" s="14"/>
      <c r="H595" s="14"/>
      <c r="I595" s="14"/>
      <c r="J595" s="14"/>
      <c r="K595" s="14"/>
      <c r="L595" s="15"/>
      <c r="R595" s="14"/>
      <c r="S595" s="14"/>
    </row>
    <row r="596">
      <c r="A596" s="2"/>
      <c r="C596" s="28"/>
      <c r="D596" s="14"/>
      <c r="E596" s="14"/>
      <c r="F596" s="14"/>
      <c r="G596" s="14"/>
      <c r="H596" s="14"/>
      <c r="I596" s="14"/>
      <c r="J596" s="14"/>
      <c r="K596" s="14"/>
      <c r="L596" s="15"/>
      <c r="R596" s="14"/>
      <c r="S596" s="14"/>
    </row>
    <row r="597">
      <c r="A597" s="2"/>
      <c r="C597" s="28"/>
      <c r="D597" s="14"/>
      <c r="E597" s="14"/>
      <c r="F597" s="14"/>
      <c r="G597" s="14"/>
      <c r="H597" s="14"/>
      <c r="I597" s="14"/>
      <c r="J597" s="14"/>
      <c r="K597" s="14"/>
      <c r="L597" s="15"/>
      <c r="R597" s="14"/>
      <c r="S597" s="14"/>
    </row>
    <row r="598">
      <c r="A598" s="2"/>
      <c r="C598" s="28"/>
      <c r="D598" s="14"/>
      <c r="E598" s="14"/>
      <c r="F598" s="14"/>
      <c r="G598" s="14"/>
      <c r="H598" s="14"/>
      <c r="I598" s="14"/>
      <c r="J598" s="14"/>
      <c r="K598" s="14"/>
      <c r="L598" s="15"/>
      <c r="R598" s="14"/>
      <c r="S598" s="14"/>
    </row>
    <row r="599">
      <c r="A599" s="2"/>
      <c r="C599" s="28"/>
      <c r="D599" s="14"/>
      <c r="E599" s="14"/>
      <c r="F599" s="14"/>
      <c r="G599" s="14"/>
      <c r="H599" s="14"/>
      <c r="I599" s="14"/>
      <c r="J599" s="14"/>
      <c r="K599" s="14"/>
      <c r="L599" s="15"/>
      <c r="R599" s="14"/>
      <c r="S599" s="14"/>
    </row>
    <row r="600">
      <c r="A600" s="2"/>
      <c r="C600" s="28"/>
      <c r="D600" s="14"/>
      <c r="E600" s="14"/>
      <c r="F600" s="14"/>
      <c r="G600" s="14"/>
      <c r="H600" s="14"/>
      <c r="I600" s="14"/>
      <c r="J600" s="14"/>
      <c r="K600" s="14"/>
      <c r="L600" s="15"/>
      <c r="R600" s="14"/>
      <c r="S600" s="14"/>
    </row>
    <row r="601">
      <c r="A601" s="2"/>
      <c r="C601" s="28"/>
      <c r="D601" s="14"/>
      <c r="E601" s="14"/>
      <c r="F601" s="14"/>
      <c r="G601" s="14"/>
      <c r="H601" s="14"/>
      <c r="I601" s="14"/>
      <c r="J601" s="14"/>
      <c r="K601" s="14"/>
      <c r="L601" s="15"/>
      <c r="R601" s="14"/>
      <c r="S601" s="14"/>
    </row>
    <row r="602">
      <c r="A602" s="2"/>
      <c r="C602" s="28"/>
      <c r="D602" s="14"/>
      <c r="E602" s="14"/>
      <c r="F602" s="14"/>
      <c r="G602" s="14"/>
      <c r="H602" s="14"/>
      <c r="I602" s="14"/>
      <c r="J602" s="14"/>
      <c r="K602" s="14"/>
      <c r="L602" s="15"/>
      <c r="R602" s="14"/>
      <c r="S602" s="14"/>
    </row>
    <row r="603">
      <c r="A603" s="2"/>
      <c r="C603" s="28"/>
      <c r="D603" s="14"/>
      <c r="E603" s="14"/>
      <c r="F603" s="14"/>
      <c r="G603" s="14"/>
      <c r="H603" s="14"/>
      <c r="I603" s="14"/>
      <c r="J603" s="14"/>
      <c r="K603" s="14"/>
      <c r="L603" s="15"/>
      <c r="R603" s="14"/>
      <c r="S603" s="14"/>
    </row>
    <row r="604">
      <c r="A604" s="2"/>
      <c r="C604" s="28"/>
      <c r="D604" s="14"/>
      <c r="E604" s="14"/>
      <c r="F604" s="14"/>
      <c r="G604" s="14"/>
      <c r="H604" s="14"/>
      <c r="I604" s="14"/>
      <c r="J604" s="14"/>
      <c r="K604" s="14"/>
      <c r="L604" s="15"/>
      <c r="R604" s="14"/>
      <c r="S604" s="14"/>
    </row>
    <row r="605">
      <c r="A605" s="2"/>
      <c r="C605" s="28"/>
      <c r="D605" s="14"/>
      <c r="E605" s="14"/>
      <c r="F605" s="14"/>
      <c r="G605" s="14"/>
      <c r="H605" s="14"/>
      <c r="I605" s="14"/>
      <c r="J605" s="14"/>
      <c r="K605" s="14"/>
      <c r="L605" s="15"/>
      <c r="R605" s="14"/>
      <c r="S605" s="14"/>
    </row>
    <row r="606">
      <c r="A606" s="2"/>
      <c r="C606" s="28"/>
      <c r="D606" s="14"/>
      <c r="E606" s="14"/>
      <c r="F606" s="14"/>
      <c r="G606" s="14"/>
      <c r="H606" s="14"/>
      <c r="I606" s="14"/>
      <c r="J606" s="14"/>
      <c r="K606" s="14"/>
      <c r="L606" s="15"/>
      <c r="R606" s="14"/>
      <c r="S606" s="14"/>
    </row>
    <row r="607">
      <c r="A607" s="2"/>
      <c r="C607" s="28"/>
      <c r="D607" s="14"/>
      <c r="E607" s="14"/>
      <c r="F607" s="14"/>
      <c r="G607" s="14"/>
      <c r="H607" s="14"/>
      <c r="I607" s="14"/>
      <c r="J607" s="14"/>
      <c r="K607" s="14"/>
      <c r="L607" s="15"/>
      <c r="R607" s="14"/>
      <c r="S607" s="14"/>
    </row>
    <row r="608">
      <c r="A608" s="2"/>
      <c r="C608" s="28"/>
      <c r="D608" s="14"/>
      <c r="E608" s="14"/>
      <c r="F608" s="14"/>
      <c r="G608" s="14"/>
      <c r="H608" s="14"/>
      <c r="I608" s="14"/>
      <c r="J608" s="14"/>
      <c r="K608" s="14"/>
      <c r="L608" s="15"/>
      <c r="R608" s="14"/>
      <c r="S608" s="14"/>
    </row>
    <row r="609">
      <c r="A609" s="2"/>
      <c r="C609" s="28"/>
      <c r="D609" s="14"/>
      <c r="E609" s="14"/>
      <c r="F609" s="14"/>
      <c r="G609" s="14"/>
      <c r="H609" s="14"/>
      <c r="I609" s="14"/>
      <c r="J609" s="14"/>
      <c r="K609" s="14"/>
      <c r="L609" s="15"/>
      <c r="R609" s="14"/>
      <c r="S609" s="14"/>
    </row>
    <row r="610">
      <c r="A610" s="2"/>
      <c r="C610" s="28"/>
      <c r="D610" s="14"/>
      <c r="E610" s="14"/>
      <c r="F610" s="14"/>
      <c r="G610" s="14"/>
      <c r="H610" s="14"/>
      <c r="I610" s="14"/>
      <c r="J610" s="14"/>
      <c r="K610" s="14"/>
      <c r="L610" s="15"/>
      <c r="R610" s="14"/>
      <c r="S610" s="14"/>
    </row>
    <row r="611">
      <c r="A611" s="2"/>
      <c r="C611" s="28"/>
      <c r="D611" s="14"/>
      <c r="E611" s="14"/>
      <c r="F611" s="14"/>
      <c r="G611" s="14"/>
      <c r="H611" s="14"/>
      <c r="I611" s="14"/>
      <c r="J611" s="14"/>
      <c r="K611" s="14"/>
      <c r="L611" s="15"/>
      <c r="R611" s="14"/>
      <c r="S611" s="14"/>
    </row>
    <row r="612">
      <c r="A612" s="2"/>
      <c r="C612" s="28"/>
      <c r="D612" s="14"/>
      <c r="E612" s="14"/>
      <c r="F612" s="14"/>
      <c r="G612" s="14"/>
      <c r="H612" s="14"/>
      <c r="I612" s="14"/>
      <c r="J612" s="14"/>
      <c r="K612" s="14"/>
      <c r="L612" s="15"/>
      <c r="R612" s="14"/>
      <c r="S612" s="14"/>
    </row>
    <row r="613">
      <c r="A613" s="2"/>
      <c r="C613" s="28"/>
      <c r="D613" s="14"/>
      <c r="E613" s="14"/>
      <c r="F613" s="14"/>
      <c r="G613" s="14"/>
      <c r="H613" s="14"/>
      <c r="I613" s="14"/>
      <c r="J613" s="14"/>
      <c r="K613" s="14"/>
      <c r="L613" s="15"/>
      <c r="R613" s="14"/>
      <c r="S613" s="14"/>
    </row>
    <row r="614">
      <c r="A614" s="2"/>
      <c r="C614" s="28"/>
      <c r="D614" s="14"/>
      <c r="E614" s="14"/>
      <c r="F614" s="14"/>
      <c r="G614" s="14"/>
      <c r="H614" s="14"/>
      <c r="I614" s="14"/>
      <c r="J614" s="14"/>
      <c r="K614" s="14"/>
      <c r="L614" s="15"/>
      <c r="R614" s="14"/>
      <c r="S614" s="14"/>
    </row>
    <row r="615">
      <c r="A615" s="2"/>
      <c r="C615" s="28"/>
      <c r="D615" s="14"/>
      <c r="E615" s="14"/>
      <c r="F615" s="14"/>
      <c r="G615" s="14"/>
      <c r="H615" s="14"/>
      <c r="I615" s="14"/>
      <c r="J615" s="14"/>
      <c r="K615" s="14"/>
      <c r="L615" s="15"/>
      <c r="R615" s="14"/>
      <c r="S615" s="14"/>
    </row>
    <row r="616">
      <c r="A616" s="2"/>
      <c r="C616" s="28"/>
      <c r="D616" s="14"/>
      <c r="E616" s="14"/>
      <c r="F616" s="14"/>
      <c r="G616" s="14"/>
      <c r="H616" s="14"/>
      <c r="I616" s="14"/>
      <c r="J616" s="14"/>
      <c r="K616" s="14"/>
      <c r="L616" s="15"/>
      <c r="R616" s="14"/>
      <c r="S616" s="14"/>
    </row>
    <row r="617">
      <c r="A617" s="2"/>
      <c r="C617" s="28"/>
      <c r="D617" s="14"/>
      <c r="E617" s="14"/>
      <c r="F617" s="14"/>
      <c r="G617" s="14"/>
      <c r="H617" s="14"/>
      <c r="I617" s="14"/>
      <c r="J617" s="14"/>
      <c r="K617" s="14"/>
      <c r="L617" s="15"/>
      <c r="R617" s="14"/>
      <c r="S617" s="14"/>
    </row>
    <row r="618">
      <c r="A618" s="2"/>
      <c r="C618" s="28"/>
      <c r="D618" s="14"/>
      <c r="E618" s="14"/>
      <c r="F618" s="14"/>
      <c r="G618" s="14"/>
      <c r="H618" s="14"/>
      <c r="I618" s="14"/>
      <c r="J618" s="14"/>
      <c r="K618" s="14"/>
      <c r="L618" s="15"/>
      <c r="R618" s="14"/>
      <c r="S618" s="14"/>
    </row>
    <row r="619">
      <c r="A619" s="2"/>
      <c r="C619" s="28"/>
      <c r="D619" s="14"/>
      <c r="E619" s="14"/>
      <c r="F619" s="14"/>
      <c r="G619" s="14"/>
      <c r="H619" s="14"/>
      <c r="I619" s="14"/>
      <c r="J619" s="14"/>
      <c r="K619" s="14"/>
      <c r="L619" s="15"/>
      <c r="R619" s="14"/>
      <c r="S619" s="14"/>
    </row>
    <row r="620">
      <c r="A620" s="2"/>
      <c r="C620" s="28"/>
      <c r="D620" s="14"/>
      <c r="E620" s="14"/>
      <c r="F620" s="14"/>
      <c r="G620" s="14"/>
      <c r="H620" s="14"/>
      <c r="I620" s="14"/>
      <c r="J620" s="14"/>
      <c r="K620" s="14"/>
      <c r="L620" s="15"/>
      <c r="R620" s="14"/>
      <c r="S620" s="14"/>
    </row>
    <row r="621">
      <c r="A621" s="2"/>
      <c r="C621" s="28"/>
      <c r="D621" s="14"/>
      <c r="E621" s="14"/>
      <c r="F621" s="14"/>
      <c r="G621" s="14"/>
      <c r="H621" s="14"/>
      <c r="I621" s="14"/>
      <c r="J621" s="14"/>
      <c r="K621" s="14"/>
      <c r="L621" s="15"/>
      <c r="R621" s="14"/>
      <c r="S621" s="14"/>
    </row>
    <row r="622">
      <c r="A622" s="2"/>
      <c r="C622" s="28"/>
      <c r="D622" s="14"/>
      <c r="E622" s="14"/>
      <c r="F622" s="14"/>
      <c r="G622" s="14"/>
      <c r="H622" s="14"/>
      <c r="I622" s="14"/>
      <c r="J622" s="14"/>
      <c r="K622" s="14"/>
      <c r="L622" s="15"/>
      <c r="R622" s="14"/>
      <c r="S622" s="14"/>
    </row>
    <row r="623">
      <c r="A623" s="2"/>
      <c r="C623" s="28"/>
      <c r="D623" s="14"/>
      <c r="E623" s="14"/>
      <c r="F623" s="14"/>
      <c r="G623" s="14"/>
      <c r="H623" s="14"/>
      <c r="I623" s="14"/>
      <c r="J623" s="14"/>
      <c r="K623" s="14"/>
      <c r="L623" s="15"/>
      <c r="R623" s="14"/>
      <c r="S623" s="14"/>
    </row>
    <row r="624">
      <c r="A624" s="2"/>
      <c r="C624" s="28"/>
      <c r="D624" s="14"/>
      <c r="E624" s="14"/>
      <c r="F624" s="14"/>
      <c r="G624" s="14"/>
      <c r="H624" s="14"/>
      <c r="I624" s="14"/>
      <c r="J624" s="14"/>
      <c r="K624" s="14"/>
      <c r="L624" s="15"/>
      <c r="R624" s="14"/>
      <c r="S624" s="14"/>
    </row>
    <row r="625">
      <c r="A625" s="2"/>
      <c r="C625" s="28"/>
      <c r="D625" s="14"/>
      <c r="E625" s="14"/>
      <c r="F625" s="14"/>
      <c r="G625" s="14"/>
      <c r="H625" s="14"/>
      <c r="I625" s="14"/>
      <c r="J625" s="14"/>
      <c r="K625" s="14"/>
      <c r="L625" s="15"/>
      <c r="R625" s="14"/>
      <c r="S625" s="14"/>
    </row>
    <row r="626">
      <c r="A626" s="2"/>
      <c r="C626" s="28"/>
      <c r="D626" s="14"/>
      <c r="E626" s="14"/>
      <c r="F626" s="14"/>
      <c r="G626" s="14"/>
      <c r="H626" s="14"/>
      <c r="I626" s="14"/>
      <c r="J626" s="14"/>
      <c r="K626" s="14"/>
      <c r="L626" s="15"/>
      <c r="R626" s="14"/>
      <c r="S626" s="14"/>
    </row>
    <row r="627">
      <c r="A627" s="2"/>
      <c r="C627" s="28"/>
      <c r="D627" s="14"/>
      <c r="E627" s="14"/>
      <c r="F627" s="14"/>
      <c r="G627" s="14"/>
      <c r="H627" s="14"/>
      <c r="I627" s="14"/>
      <c r="J627" s="14"/>
      <c r="K627" s="14"/>
      <c r="L627" s="15"/>
      <c r="R627" s="14"/>
      <c r="S627" s="14"/>
    </row>
    <row r="628">
      <c r="A628" s="2"/>
      <c r="C628" s="28"/>
      <c r="D628" s="14"/>
      <c r="E628" s="14"/>
      <c r="F628" s="14"/>
      <c r="G628" s="14"/>
      <c r="H628" s="14"/>
      <c r="I628" s="14"/>
      <c r="J628" s="14"/>
      <c r="K628" s="14"/>
      <c r="L628" s="15"/>
      <c r="R628" s="14"/>
      <c r="S628" s="14"/>
    </row>
    <row r="629">
      <c r="A629" s="2"/>
      <c r="C629" s="28"/>
      <c r="D629" s="14"/>
      <c r="E629" s="14"/>
      <c r="F629" s="14"/>
      <c r="G629" s="14"/>
      <c r="H629" s="14"/>
      <c r="I629" s="14"/>
      <c r="J629" s="14"/>
      <c r="K629" s="14"/>
      <c r="L629" s="15"/>
      <c r="R629" s="14"/>
      <c r="S629" s="14"/>
    </row>
    <row r="630">
      <c r="A630" s="2"/>
      <c r="C630" s="28"/>
      <c r="D630" s="14"/>
      <c r="E630" s="14"/>
      <c r="F630" s="14"/>
      <c r="G630" s="14"/>
      <c r="H630" s="14"/>
      <c r="I630" s="14"/>
      <c r="J630" s="14"/>
      <c r="K630" s="14"/>
      <c r="L630" s="15"/>
      <c r="R630" s="14"/>
      <c r="S630" s="14"/>
    </row>
    <row r="631">
      <c r="A631" s="2"/>
      <c r="C631" s="28"/>
      <c r="D631" s="14"/>
      <c r="E631" s="14"/>
      <c r="F631" s="14"/>
      <c r="G631" s="14"/>
      <c r="H631" s="14"/>
      <c r="I631" s="14"/>
      <c r="J631" s="14"/>
      <c r="K631" s="14"/>
      <c r="L631" s="15"/>
      <c r="R631" s="14"/>
      <c r="S631" s="14"/>
    </row>
    <row r="632">
      <c r="A632" s="2"/>
      <c r="C632" s="28"/>
      <c r="D632" s="14"/>
      <c r="E632" s="14"/>
      <c r="F632" s="14"/>
      <c r="G632" s="14"/>
      <c r="H632" s="14"/>
      <c r="I632" s="14"/>
      <c r="J632" s="14"/>
      <c r="K632" s="14"/>
      <c r="L632" s="15"/>
      <c r="R632" s="14"/>
      <c r="S632" s="14"/>
    </row>
    <row r="633">
      <c r="A633" s="2"/>
      <c r="C633" s="28"/>
      <c r="D633" s="14"/>
      <c r="E633" s="14"/>
      <c r="F633" s="14"/>
      <c r="G633" s="14"/>
      <c r="H633" s="14"/>
      <c r="I633" s="14"/>
      <c r="J633" s="14"/>
      <c r="K633" s="14"/>
      <c r="L633" s="15"/>
      <c r="R633" s="14"/>
      <c r="S633" s="14"/>
    </row>
    <row r="634">
      <c r="A634" s="2"/>
      <c r="C634" s="28"/>
      <c r="D634" s="14"/>
      <c r="E634" s="14"/>
      <c r="F634" s="14"/>
      <c r="G634" s="14"/>
      <c r="H634" s="14"/>
      <c r="I634" s="14"/>
      <c r="J634" s="14"/>
      <c r="K634" s="14"/>
      <c r="L634" s="15"/>
      <c r="R634" s="14"/>
      <c r="S634" s="14"/>
    </row>
    <row r="635">
      <c r="A635" s="2"/>
      <c r="C635" s="28"/>
      <c r="D635" s="14"/>
      <c r="E635" s="14"/>
      <c r="F635" s="14"/>
      <c r="G635" s="14"/>
      <c r="H635" s="14"/>
      <c r="I635" s="14"/>
      <c r="J635" s="14"/>
      <c r="K635" s="14"/>
      <c r="L635" s="15"/>
      <c r="R635" s="14"/>
      <c r="S635" s="14"/>
    </row>
    <row r="636">
      <c r="A636" s="2"/>
      <c r="C636" s="28"/>
      <c r="D636" s="14"/>
      <c r="E636" s="14"/>
      <c r="F636" s="14"/>
      <c r="G636" s="14"/>
      <c r="H636" s="14"/>
      <c r="I636" s="14"/>
      <c r="J636" s="14"/>
      <c r="K636" s="14"/>
      <c r="L636" s="15"/>
      <c r="R636" s="14"/>
      <c r="S636" s="14"/>
    </row>
    <row r="637">
      <c r="A637" s="2"/>
      <c r="C637" s="28"/>
      <c r="D637" s="14"/>
      <c r="E637" s="14"/>
      <c r="F637" s="14"/>
      <c r="G637" s="14"/>
      <c r="H637" s="14"/>
      <c r="I637" s="14"/>
      <c r="J637" s="14"/>
      <c r="K637" s="14"/>
      <c r="L637" s="15"/>
      <c r="R637" s="14"/>
      <c r="S637" s="14"/>
    </row>
    <row r="638">
      <c r="A638" s="2"/>
      <c r="C638" s="28"/>
      <c r="D638" s="14"/>
      <c r="E638" s="14"/>
      <c r="F638" s="14"/>
      <c r="G638" s="14"/>
      <c r="H638" s="14"/>
      <c r="I638" s="14"/>
      <c r="J638" s="14"/>
      <c r="K638" s="14"/>
      <c r="L638" s="15"/>
      <c r="R638" s="14"/>
      <c r="S638" s="14"/>
    </row>
    <row r="639">
      <c r="A639" s="2"/>
      <c r="C639" s="28"/>
      <c r="D639" s="14"/>
      <c r="E639" s="14"/>
      <c r="F639" s="14"/>
      <c r="G639" s="14"/>
      <c r="H639" s="14"/>
      <c r="I639" s="14"/>
      <c r="J639" s="14"/>
      <c r="K639" s="14"/>
      <c r="L639" s="15"/>
      <c r="R639" s="14"/>
      <c r="S639" s="14"/>
    </row>
    <row r="640">
      <c r="A640" s="2"/>
      <c r="C640" s="28"/>
      <c r="D640" s="14"/>
      <c r="E640" s="14"/>
      <c r="F640" s="14"/>
      <c r="G640" s="14"/>
      <c r="H640" s="14"/>
      <c r="I640" s="14"/>
      <c r="J640" s="14"/>
      <c r="K640" s="14"/>
      <c r="L640" s="15"/>
      <c r="R640" s="14"/>
      <c r="S640" s="14"/>
    </row>
    <row r="641">
      <c r="A641" s="2"/>
      <c r="C641" s="28"/>
      <c r="D641" s="14"/>
      <c r="E641" s="14"/>
      <c r="F641" s="14"/>
      <c r="G641" s="14"/>
      <c r="H641" s="14"/>
      <c r="I641" s="14"/>
      <c r="J641" s="14"/>
      <c r="K641" s="14"/>
      <c r="L641" s="15"/>
      <c r="R641" s="14"/>
      <c r="S641" s="14"/>
    </row>
    <row r="642">
      <c r="A642" s="2"/>
      <c r="C642" s="28"/>
      <c r="D642" s="14"/>
      <c r="E642" s="14"/>
      <c r="F642" s="14"/>
      <c r="G642" s="14"/>
      <c r="H642" s="14"/>
      <c r="I642" s="14"/>
      <c r="J642" s="14"/>
      <c r="K642" s="14"/>
      <c r="L642" s="15"/>
      <c r="R642" s="14"/>
      <c r="S642" s="14"/>
    </row>
    <row r="643">
      <c r="A643" s="2"/>
      <c r="C643" s="28"/>
      <c r="D643" s="14"/>
      <c r="E643" s="14"/>
      <c r="F643" s="14"/>
      <c r="G643" s="14"/>
      <c r="H643" s="14"/>
      <c r="I643" s="14"/>
      <c r="J643" s="14"/>
      <c r="K643" s="14"/>
      <c r="L643" s="15"/>
      <c r="R643" s="14"/>
      <c r="S643" s="14"/>
    </row>
    <row r="644">
      <c r="A644" s="2"/>
      <c r="C644" s="28"/>
      <c r="D644" s="14"/>
      <c r="E644" s="14"/>
      <c r="F644" s="14"/>
      <c r="G644" s="14"/>
      <c r="H644" s="14"/>
      <c r="I644" s="14"/>
      <c r="J644" s="14"/>
      <c r="K644" s="14"/>
      <c r="L644" s="15"/>
      <c r="R644" s="14"/>
      <c r="S644" s="14"/>
    </row>
    <row r="645">
      <c r="A645" s="2"/>
      <c r="C645" s="28"/>
      <c r="D645" s="14"/>
      <c r="E645" s="14"/>
      <c r="F645" s="14"/>
      <c r="G645" s="14"/>
      <c r="H645" s="14"/>
      <c r="I645" s="14"/>
      <c r="J645" s="14"/>
      <c r="K645" s="14"/>
      <c r="L645" s="15"/>
      <c r="R645" s="14"/>
      <c r="S645" s="14"/>
    </row>
    <row r="646">
      <c r="A646" s="2"/>
      <c r="C646" s="28"/>
      <c r="D646" s="14"/>
      <c r="E646" s="14"/>
      <c r="F646" s="14"/>
      <c r="G646" s="14"/>
      <c r="H646" s="14"/>
      <c r="I646" s="14"/>
      <c r="J646" s="14"/>
      <c r="K646" s="14"/>
      <c r="L646" s="15"/>
      <c r="R646" s="14"/>
      <c r="S646" s="14"/>
    </row>
    <row r="647">
      <c r="A647" s="2"/>
      <c r="C647" s="28"/>
      <c r="D647" s="14"/>
      <c r="E647" s="14"/>
      <c r="F647" s="14"/>
      <c r="G647" s="14"/>
      <c r="H647" s="14"/>
      <c r="I647" s="14"/>
      <c r="J647" s="14"/>
      <c r="K647" s="14"/>
      <c r="L647" s="15"/>
      <c r="R647" s="14"/>
      <c r="S647" s="14"/>
    </row>
    <row r="648">
      <c r="A648" s="2"/>
      <c r="C648" s="28"/>
      <c r="D648" s="14"/>
      <c r="E648" s="14"/>
      <c r="F648" s="14"/>
      <c r="G648" s="14"/>
      <c r="H648" s="14"/>
      <c r="I648" s="14"/>
      <c r="J648" s="14"/>
      <c r="K648" s="14"/>
      <c r="L648" s="15"/>
      <c r="R648" s="14"/>
      <c r="S648" s="14"/>
    </row>
    <row r="649">
      <c r="A649" s="2"/>
      <c r="C649" s="28"/>
      <c r="D649" s="14"/>
      <c r="E649" s="14"/>
      <c r="F649" s="14"/>
      <c r="G649" s="14"/>
      <c r="H649" s="14"/>
      <c r="I649" s="14"/>
      <c r="J649" s="14"/>
      <c r="K649" s="14"/>
      <c r="L649" s="15"/>
      <c r="R649" s="14"/>
      <c r="S649" s="14"/>
    </row>
    <row r="650">
      <c r="A650" s="2"/>
      <c r="C650" s="28"/>
      <c r="D650" s="14"/>
      <c r="E650" s="14"/>
      <c r="F650" s="14"/>
      <c r="G650" s="14"/>
      <c r="H650" s="14"/>
      <c r="I650" s="14"/>
      <c r="J650" s="14"/>
      <c r="K650" s="14"/>
      <c r="L650" s="15"/>
      <c r="R650" s="14"/>
      <c r="S650" s="14"/>
    </row>
    <row r="651">
      <c r="A651" s="2"/>
      <c r="C651" s="28"/>
      <c r="D651" s="14"/>
      <c r="E651" s="14"/>
      <c r="F651" s="14"/>
      <c r="G651" s="14"/>
      <c r="H651" s="14"/>
      <c r="I651" s="14"/>
      <c r="J651" s="14"/>
      <c r="K651" s="14"/>
      <c r="L651" s="15"/>
      <c r="R651" s="14"/>
      <c r="S651" s="14"/>
    </row>
    <row r="652">
      <c r="A652" s="2"/>
      <c r="C652" s="28"/>
      <c r="D652" s="14"/>
      <c r="E652" s="14"/>
      <c r="F652" s="14"/>
      <c r="G652" s="14"/>
      <c r="H652" s="14"/>
      <c r="I652" s="14"/>
      <c r="J652" s="14"/>
      <c r="K652" s="14"/>
      <c r="L652" s="15"/>
      <c r="R652" s="14"/>
      <c r="S652" s="14"/>
    </row>
    <row r="653">
      <c r="A653" s="2"/>
      <c r="C653" s="28"/>
      <c r="D653" s="14"/>
      <c r="E653" s="14"/>
      <c r="F653" s="14"/>
      <c r="G653" s="14"/>
      <c r="H653" s="14"/>
      <c r="I653" s="14"/>
      <c r="J653" s="14"/>
      <c r="K653" s="14"/>
      <c r="L653" s="15"/>
      <c r="R653" s="14"/>
      <c r="S653" s="14"/>
    </row>
    <row r="654">
      <c r="A654" s="2"/>
      <c r="C654" s="28"/>
      <c r="D654" s="14"/>
      <c r="E654" s="14"/>
      <c r="F654" s="14"/>
      <c r="G654" s="14"/>
      <c r="H654" s="14"/>
      <c r="I654" s="14"/>
      <c r="J654" s="14"/>
      <c r="K654" s="14"/>
      <c r="L654" s="15"/>
      <c r="R654" s="14"/>
      <c r="S654" s="14"/>
    </row>
    <row r="655">
      <c r="A655" s="2"/>
      <c r="C655" s="28"/>
      <c r="D655" s="14"/>
      <c r="E655" s="14"/>
      <c r="F655" s="14"/>
      <c r="G655" s="14"/>
      <c r="H655" s="14"/>
      <c r="I655" s="14"/>
      <c r="J655" s="14"/>
      <c r="K655" s="14"/>
      <c r="L655" s="15"/>
      <c r="R655" s="14"/>
      <c r="S655" s="14"/>
    </row>
    <row r="656">
      <c r="A656" s="2"/>
      <c r="C656" s="28"/>
      <c r="D656" s="14"/>
      <c r="E656" s="14"/>
      <c r="F656" s="14"/>
      <c r="G656" s="14"/>
      <c r="H656" s="14"/>
      <c r="I656" s="14"/>
      <c r="J656" s="14"/>
      <c r="K656" s="14"/>
      <c r="L656" s="15"/>
      <c r="R656" s="14"/>
      <c r="S656" s="14"/>
    </row>
    <row r="657">
      <c r="A657" s="2"/>
      <c r="C657" s="28"/>
      <c r="D657" s="14"/>
      <c r="E657" s="14"/>
      <c r="F657" s="14"/>
      <c r="G657" s="14"/>
      <c r="H657" s="14"/>
      <c r="I657" s="14"/>
      <c r="J657" s="14"/>
      <c r="K657" s="14"/>
      <c r="L657" s="15"/>
      <c r="R657" s="14"/>
      <c r="S657" s="14"/>
    </row>
    <row r="658">
      <c r="A658" s="2"/>
      <c r="C658" s="28"/>
      <c r="D658" s="14"/>
      <c r="E658" s="14"/>
      <c r="F658" s="14"/>
      <c r="G658" s="14"/>
      <c r="H658" s="14"/>
      <c r="I658" s="14"/>
      <c r="J658" s="14"/>
      <c r="K658" s="14"/>
      <c r="L658" s="15"/>
      <c r="R658" s="14"/>
      <c r="S658" s="14"/>
    </row>
    <row r="659">
      <c r="A659" s="2"/>
      <c r="C659" s="28"/>
      <c r="D659" s="14"/>
      <c r="E659" s="14"/>
      <c r="F659" s="14"/>
      <c r="G659" s="14"/>
      <c r="H659" s="14"/>
      <c r="I659" s="14"/>
      <c r="J659" s="14"/>
      <c r="K659" s="14"/>
      <c r="L659" s="15"/>
      <c r="R659" s="14"/>
      <c r="S659" s="14"/>
    </row>
    <row r="660">
      <c r="A660" s="2"/>
      <c r="C660" s="28"/>
      <c r="D660" s="14"/>
      <c r="E660" s="14"/>
      <c r="F660" s="14"/>
      <c r="G660" s="14"/>
      <c r="H660" s="14"/>
      <c r="I660" s="14"/>
      <c r="J660" s="14"/>
      <c r="K660" s="14"/>
      <c r="L660" s="15"/>
      <c r="R660" s="14"/>
      <c r="S660" s="14"/>
    </row>
    <row r="661">
      <c r="A661" s="2"/>
      <c r="C661" s="28"/>
      <c r="D661" s="14"/>
      <c r="E661" s="14"/>
      <c r="F661" s="14"/>
      <c r="G661" s="14"/>
      <c r="H661" s="14"/>
      <c r="I661" s="14"/>
      <c r="J661" s="14"/>
      <c r="K661" s="14"/>
      <c r="L661" s="15"/>
      <c r="R661" s="14"/>
      <c r="S661" s="14"/>
    </row>
    <row r="662">
      <c r="A662" s="2"/>
      <c r="C662" s="28"/>
      <c r="D662" s="14"/>
      <c r="E662" s="14"/>
      <c r="F662" s="14"/>
      <c r="G662" s="14"/>
      <c r="H662" s="14"/>
      <c r="I662" s="14"/>
      <c r="J662" s="14"/>
      <c r="K662" s="14"/>
      <c r="L662" s="15"/>
      <c r="R662" s="14"/>
      <c r="S662" s="14"/>
    </row>
    <row r="663">
      <c r="A663" s="2"/>
      <c r="C663" s="28"/>
      <c r="D663" s="14"/>
      <c r="E663" s="14"/>
      <c r="F663" s="14"/>
      <c r="G663" s="14"/>
      <c r="H663" s="14"/>
      <c r="I663" s="14"/>
      <c r="J663" s="14"/>
      <c r="K663" s="14"/>
      <c r="L663" s="15"/>
      <c r="R663" s="14"/>
      <c r="S663" s="14"/>
    </row>
    <row r="664">
      <c r="A664" s="2"/>
      <c r="C664" s="28"/>
      <c r="D664" s="14"/>
      <c r="E664" s="14"/>
      <c r="F664" s="14"/>
      <c r="G664" s="14"/>
      <c r="H664" s="14"/>
      <c r="I664" s="14"/>
      <c r="J664" s="14"/>
      <c r="K664" s="14"/>
      <c r="L664" s="15"/>
      <c r="R664" s="14"/>
      <c r="S664" s="14"/>
    </row>
    <row r="665">
      <c r="A665" s="2"/>
      <c r="C665" s="28"/>
      <c r="D665" s="14"/>
      <c r="E665" s="14"/>
      <c r="F665" s="14"/>
      <c r="G665" s="14"/>
      <c r="H665" s="14"/>
      <c r="I665" s="14"/>
      <c r="J665" s="14"/>
      <c r="K665" s="14"/>
      <c r="L665" s="15"/>
      <c r="R665" s="14"/>
      <c r="S665" s="14"/>
    </row>
    <row r="666">
      <c r="A666" s="2"/>
      <c r="C666" s="28"/>
      <c r="D666" s="14"/>
      <c r="E666" s="14"/>
      <c r="F666" s="14"/>
      <c r="G666" s="14"/>
      <c r="H666" s="14"/>
      <c r="I666" s="14"/>
      <c r="J666" s="14"/>
      <c r="K666" s="14"/>
      <c r="L666" s="15"/>
      <c r="R666" s="14"/>
      <c r="S666" s="14"/>
    </row>
    <row r="667">
      <c r="A667" s="2"/>
      <c r="C667" s="28"/>
      <c r="D667" s="14"/>
      <c r="E667" s="14"/>
      <c r="F667" s="14"/>
      <c r="G667" s="14"/>
      <c r="H667" s="14"/>
      <c r="I667" s="14"/>
      <c r="J667" s="14"/>
      <c r="K667" s="14"/>
      <c r="L667" s="15"/>
      <c r="R667" s="14"/>
      <c r="S667" s="14"/>
    </row>
    <row r="668">
      <c r="A668" s="2"/>
      <c r="C668" s="28"/>
      <c r="D668" s="14"/>
      <c r="E668" s="14"/>
      <c r="F668" s="14"/>
      <c r="G668" s="14"/>
      <c r="H668" s="14"/>
      <c r="I668" s="14"/>
      <c r="J668" s="14"/>
      <c r="K668" s="14"/>
      <c r="L668" s="15"/>
      <c r="R668" s="14"/>
      <c r="S668" s="14"/>
    </row>
    <row r="669">
      <c r="A669" s="2"/>
      <c r="C669" s="28"/>
      <c r="D669" s="14"/>
      <c r="E669" s="14"/>
      <c r="F669" s="14"/>
      <c r="G669" s="14"/>
      <c r="H669" s="14"/>
      <c r="I669" s="14"/>
      <c r="J669" s="14"/>
      <c r="K669" s="14"/>
      <c r="L669" s="15"/>
      <c r="R669" s="14"/>
      <c r="S669" s="14"/>
    </row>
    <row r="670">
      <c r="A670" s="2"/>
      <c r="C670" s="28"/>
      <c r="D670" s="14"/>
      <c r="E670" s="14"/>
      <c r="F670" s="14"/>
      <c r="G670" s="14"/>
      <c r="H670" s="14"/>
      <c r="I670" s="14"/>
      <c r="J670" s="14"/>
      <c r="K670" s="14"/>
      <c r="L670" s="15"/>
      <c r="R670" s="14"/>
      <c r="S670" s="14"/>
    </row>
    <row r="671">
      <c r="A671" s="2"/>
      <c r="C671" s="28"/>
      <c r="D671" s="14"/>
      <c r="E671" s="14"/>
      <c r="F671" s="14"/>
      <c r="G671" s="14"/>
      <c r="H671" s="14"/>
      <c r="I671" s="14"/>
      <c r="J671" s="14"/>
      <c r="K671" s="14"/>
      <c r="L671" s="15"/>
      <c r="R671" s="14"/>
      <c r="S671" s="14"/>
    </row>
    <row r="672">
      <c r="A672" s="2"/>
      <c r="C672" s="28"/>
      <c r="D672" s="14"/>
      <c r="E672" s="14"/>
      <c r="F672" s="14"/>
      <c r="G672" s="14"/>
      <c r="H672" s="14"/>
      <c r="I672" s="14"/>
      <c r="J672" s="14"/>
      <c r="K672" s="14"/>
      <c r="L672" s="15"/>
      <c r="R672" s="14"/>
      <c r="S672" s="14"/>
    </row>
    <row r="673">
      <c r="A673" s="2"/>
      <c r="C673" s="28"/>
      <c r="D673" s="14"/>
      <c r="E673" s="14"/>
      <c r="F673" s="14"/>
      <c r="G673" s="14"/>
      <c r="H673" s="14"/>
      <c r="I673" s="14"/>
      <c r="J673" s="14"/>
      <c r="K673" s="14"/>
      <c r="L673" s="15"/>
      <c r="R673" s="14"/>
      <c r="S673" s="14"/>
    </row>
    <row r="674">
      <c r="A674" s="2"/>
      <c r="C674" s="28"/>
      <c r="D674" s="14"/>
      <c r="E674" s="14"/>
      <c r="F674" s="14"/>
      <c r="G674" s="14"/>
      <c r="H674" s="14"/>
      <c r="I674" s="14"/>
      <c r="J674" s="14"/>
      <c r="K674" s="14"/>
      <c r="L674" s="15"/>
      <c r="R674" s="14"/>
      <c r="S674" s="14"/>
    </row>
    <row r="675">
      <c r="A675" s="2"/>
      <c r="C675" s="28"/>
      <c r="D675" s="14"/>
      <c r="E675" s="14"/>
      <c r="F675" s="14"/>
      <c r="G675" s="14"/>
      <c r="H675" s="14"/>
      <c r="I675" s="14"/>
      <c r="J675" s="14"/>
      <c r="K675" s="14"/>
      <c r="L675" s="15"/>
      <c r="R675" s="14"/>
      <c r="S675" s="14"/>
    </row>
    <row r="676">
      <c r="A676" s="2"/>
      <c r="C676" s="28"/>
      <c r="D676" s="14"/>
      <c r="E676" s="14"/>
      <c r="F676" s="14"/>
      <c r="G676" s="14"/>
      <c r="H676" s="14"/>
      <c r="I676" s="14"/>
      <c r="J676" s="14"/>
      <c r="K676" s="14"/>
      <c r="L676" s="15"/>
      <c r="R676" s="14"/>
      <c r="S676" s="14"/>
    </row>
    <row r="677">
      <c r="A677" s="2"/>
      <c r="C677" s="28"/>
      <c r="D677" s="14"/>
      <c r="E677" s="14"/>
      <c r="F677" s="14"/>
      <c r="G677" s="14"/>
      <c r="H677" s="14"/>
      <c r="I677" s="14"/>
      <c r="J677" s="14"/>
      <c r="K677" s="14"/>
      <c r="L677" s="15"/>
      <c r="R677" s="14"/>
      <c r="S677" s="14"/>
    </row>
    <row r="678">
      <c r="A678" s="2"/>
      <c r="C678" s="28"/>
      <c r="D678" s="14"/>
      <c r="E678" s="14"/>
      <c r="F678" s="14"/>
      <c r="G678" s="14"/>
      <c r="H678" s="14"/>
      <c r="I678" s="14"/>
      <c r="J678" s="14"/>
      <c r="K678" s="14"/>
      <c r="L678" s="15"/>
      <c r="R678" s="14"/>
      <c r="S678" s="14"/>
    </row>
    <row r="679">
      <c r="A679" s="2"/>
      <c r="C679" s="28"/>
      <c r="D679" s="14"/>
      <c r="E679" s="14"/>
      <c r="F679" s="14"/>
      <c r="G679" s="14"/>
      <c r="H679" s="14"/>
      <c r="I679" s="14"/>
      <c r="J679" s="14"/>
      <c r="K679" s="14"/>
      <c r="L679" s="15"/>
      <c r="R679" s="14"/>
      <c r="S679" s="14"/>
    </row>
    <row r="680">
      <c r="A680" s="2"/>
      <c r="C680" s="28"/>
      <c r="D680" s="14"/>
      <c r="E680" s="14"/>
      <c r="F680" s="14"/>
      <c r="G680" s="14"/>
      <c r="H680" s="14"/>
      <c r="I680" s="14"/>
      <c r="J680" s="14"/>
      <c r="K680" s="14"/>
      <c r="L680" s="15"/>
      <c r="R680" s="14"/>
      <c r="S680" s="14"/>
    </row>
    <row r="681">
      <c r="A681" s="2"/>
      <c r="C681" s="28"/>
      <c r="D681" s="14"/>
      <c r="E681" s="14"/>
      <c r="F681" s="14"/>
      <c r="G681" s="14"/>
      <c r="H681" s="14"/>
      <c r="I681" s="14"/>
      <c r="J681" s="14"/>
      <c r="K681" s="14"/>
      <c r="L681" s="15"/>
      <c r="R681" s="14"/>
      <c r="S681" s="14"/>
    </row>
    <row r="682">
      <c r="A682" s="2"/>
      <c r="C682" s="28"/>
      <c r="D682" s="14"/>
      <c r="E682" s="14"/>
      <c r="F682" s="14"/>
      <c r="G682" s="14"/>
      <c r="H682" s="14"/>
      <c r="I682" s="14"/>
      <c r="J682" s="14"/>
      <c r="K682" s="14"/>
      <c r="L682" s="15"/>
      <c r="R682" s="14"/>
      <c r="S682" s="14"/>
    </row>
    <row r="683">
      <c r="A683" s="2"/>
      <c r="C683" s="28"/>
      <c r="D683" s="14"/>
      <c r="E683" s="14"/>
      <c r="F683" s="14"/>
      <c r="G683" s="14"/>
      <c r="H683" s="14"/>
      <c r="I683" s="14"/>
      <c r="J683" s="14"/>
      <c r="K683" s="14"/>
      <c r="L683" s="15"/>
      <c r="R683" s="14"/>
      <c r="S683" s="14"/>
    </row>
    <row r="684">
      <c r="A684" s="2"/>
      <c r="C684" s="28"/>
      <c r="D684" s="14"/>
      <c r="E684" s="14"/>
      <c r="F684" s="14"/>
      <c r="G684" s="14"/>
      <c r="H684" s="14"/>
      <c r="I684" s="14"/>
      <c r="J684" s="14"/>
      <c r="K684" s="14"/>
      <c r="L684" s="15"/>
      <c r="R684" s="14"/>
      <c r="S684" s="14"/>
    </row>
    <row r="685">
      <c r="A685" s="2"/>
      <c r="C685" s="28"/>
      <c r="D685" s="14"/>
      <c r="E685" s="14"/>
      <c r="F685" s="14"/>
      <c r="G685" s="14"/>
      <c r="H685" s="14"/>
      <c r="I685" s="14"/>
      <c r="J685" s="14"/>
      <c r="K685" s="14"/>
      <c r="L685" s="15"/>
      <c r="R685" s="14"/>
      <c r="S685" s="14"/>
    </row>
    <row r="686">
      <c r="A686" s="2"/>
      <c r="C686" s="28"/>
      <c r="D686" s="14"/>
      <c r="E686" s="14"/>
      <c r="F686" s="14"/>
      <c r="G686" s="14"/>
      <c r="H686" s="14"/>
      <c r="I686" s="14"/>
      <c r="J686" s="14"/>
      <c r="K686" s="14"/>
      <c r="L686" s="15"/>
      <c r="R686" s="14"/>
      <c r="S686" s="14"/>
    </row>
    <row r="687">
      <c r="A687" s="2"/>
      <c r="C687" s="28"/>
      <c r="D687" s="14"/>
      <c r="E687" s="14"/>
      <c r="F687" s="14"/>
      <c r="G687" s="14"/>
      <c r="H687" s="14"/>
      <c r="I687" s="14"/>
      <c r="J687" s="14"/>
      <c r="K687" s="14"/>
      <c r="L687" s="15"/>
      <c r="R687" s="14"/>
      <c r="S687" s="14"/>
    </row>
    <row r="688">
      <c r="A688" s="2"/>
      <c r="C688" s="28"/>
      <c r="D688" s="14"/>
      <c r="E688" s="14"/>
      <c r="F688" s="14"/>
      <c r="G688" s="14"/>
      <c r="H688" s="14"/>
      <c r="I688" s="14"/>
      <c r="J688" s="14"/>
      <c r="K688" s="14"/>
      <c r="L688" s="15"/>
      <c r="R688" s="14"/>
      <c r="S688" s="14"/>
    </row>
    <row r="689">
      <c r="A689" s="2"/>
      <c r="C689" s="28"/>
      <c r="D689" s="14"/>
      <c r="E689" s="14"/>
      <c r="F689" s="14"/>
      <c r="G689" s="14"/>
      <c r="H689" s="14"/>
      <c r="I689" s="14"/>
      <c r="J689" s="14"/>
      <c r="K689" s="14"/>
      <c r="L689" s="15"/>
      <c r="R689" s="14"/>
      <c r="S689" s="14"/>
    </row>
    <row r="690">
      <c r="A690" s="2"/>
      <c r="C690" s="28"/>
      <c r="D690" s="14"/>
      <c r="E690" s="14"/>
      <c r="F690" s="14"/>
      <c r="G690" s="14"/>
      <c r="H690" s="14"/>
      <c r="I690" s="14"/>
      <c r="J690" s="14"/>
      <c r="K690" s="14"/>
      <c r="L690" s="15"/>
      <c r="R690" s="14"/>
      <c r="S690" s="14"/>
    </row>
    <row r="691">
      <c r="A691" s="2"/>
      <c r="C691" s="28"/>
      <c r="D691" s="14"/>
      <c r="E691" s="14"/>
      <c r="F691" s="14"/>
      <c r="G691" s="14"/>
      <c r="H691" s="14"/>
      <c r="I691" s="14"/>
      <c r="J691" s="14"/>
      <c r="K691" s="14"/>
      <c r="L691" s="15"/>
      <c r="R691" s="14"/>
      <c r="S691" s="14"/>
    </row>
    <row r="692">
      <c r="A692" s="2"/>
      <c r="C692" s="28"/>
      <c r="D692" s="14"/>
      <c r="E692" s="14"/>
      <c r="F692" s="14"/>
      <c r="G692" s="14"/>
      <c r="H692" s="14"/>
      <c r="I692" s="14"/>
      <c r="J692" s="14"/>
      <c r="K692" s="14"/>
      <c r="L692" s="15"/>
      <c r="R692" s="14"/>
      <c r="S692" s="14"/>
    </row>
    <row r="693">
      <c r="A693" s="2"/>
      <c r="C693" s="28"/>
      <c r="D693" s="14"/>
      <c r="E693" s="14"/>
      <c r="F693" s="14"/>
      <c r="G693" s="14"/>
      <c r="H693" s="14"/>
      <c r="I693" s="14"/>
      <c r="J693" s="14"/>
      <c r="K693" s="14"/>
      <c r="L693" s="15"/>
      <c r="R693" s="14"/>
      <c r="S693" s="14"/>
    </row>
    <row r="694">
      <c r="A694" s="2"/>
      <c r="C694" s="28"/>
      <c r="D694" s="14"/>
      <c r="E694" s="14"/>
      <c r="F694" s="14"/>
      <c r="G694" s="14"/>
      <c r="H694" s="14"/>
      <c r="I694" s="14"/>
      <c r="J694" s="14"/>
      <c r="K694" s="14"/>
      <c r="L694" s="15"/>
      <c r="R694" s="14"/>
      <c r="S694" s="14"/>
    </row>
    <row r="695">
      <c r="A695" s="2"/>
      <c r="C695" s="28"/>
      <c r="D695" s="14"/>
      <c r="E695" s="14"/>
      <c r="F695" s="14"/>
      <c r="G695" s="14"/>
      <c r="H695" s="14"/>
      <c r="I695" s="14"/>
      <c r="J695" s="14"/>
      <c r="K695" s="14"/>
      <c r="L695" s="15"/>
      <c r="R695" s="14"/>
      <c r="S695" s="14"/>
    </row>
    <row r="696">
      <c r="A696" s="2"/>
      <c r="C696" s="28"/>
      <c r="D696" s="14"/>
      <c r="E696" s="14"/>
      <c r="F696" s="14"/>
      <c r="G696" s="14"/>
      <c r="H696" s="14"/>
      <c r="I696" s="14"/>
      <c r="J696" s="14"/>
      <c r="K696" s="14"/>
      <c r="L696" s="15"/>
      <c r="R696" s="14"/>
      <c r="S696" s="14"/>
    </row>
    <row r="697">
      <c r="A697" s="2"/>
      <c r="C697" s="28"/>
      <c r="D697" s="14"/>
      <c r="E697" s="14"/>
      <c r="F697" s="14"/>
      <c r="G697" s="14"/>
      <c r="H697" s="14"/>
      <c r="I697" s="14"/>
      <c r="J697" s="14"/>
      <c r="K697" s="14"/>
      <c r="L697" s="15"/>
      <c r="R697" s="14"/>
      <c r="S697" s="14"/>
    </row>
    <row r="698">
      <c r="A698" s="2"/>
      <c r="C698" s="28"/>
      <c r="D698" s="14"/>
      <c r="E698" s="14"/>
      <c r="F698" s="14"/>
      <c r="G698" s="14"/>
      <c r="H698" s="14"/>
      <c r="I698" s="14"/>
      <c r="J698" s="14"/>
      <c r="K698" s="14"/>
      <c r="L698" s="15"/>
      <c r="R698" s="14"/>
      <c r="S698" s="14"/>
    </row>
    <row r="699">
      <c r="A699" s="2"/>
      <c r="C699" s="28"/>
      <c r="D699" s="14"/>
      <c r="E699" s="14"/>
      <c r="F699" s="14"/>
      <c r="G699" s="14"/>
      <c r="H699" s="14"/>
      <c r="I699" s="14"/>
      <c r="J699" s="14"/>
      <c r="K699" s="14"/>
      <c r="L699" s="15"/>
      <c r="R699" s="14"/>
      <c r="S699" s="14"/>
    </row>
    <row r="700">
      <c r="A700" s="2"/>
      <c r="C700" s="28"/>
      <c r="D700" s="14"/>
      <c r="E700" s="14"/>
      <c r="F700" s="14"/>
      <c r="G700" s="14"/>
      <c r="H700" s="14"/>
      <c r="I700" s="14"/>
      <c r="J700" s="14"/>
      <c r="K700" s="14"/>
      <c r="L700" s="15"/>
      <c r="R700" s="14"/>
      <c r="S700" s="14"/>
    </row>
    <row r="701">
      <c r="A701" s="2"/>
      <c r="C701" s="28"/>
      <c r="D701" s="14"/>
      <c r="E701" s="14"/>
      <c r="F701" s="14"/>
      <c r="G701" s="14"/>
      <c r="H701" s="14"/>
      <c r="I701" s="14"/>
      <c r="J701" s="14"/>
      <c r="K701" s="14"/>
      <c r="L701" s="15"/>
      <c r="R701" s="14"/>
      <c r="S701" s="14"/>
    </row>
    <row r="702">
      <c r="A702" s="2"/>
      <c r="C702" s="28"/>
      <c r="D702" s="14"/>
      <c r="E702" s="14"/>
      <c r="F702" s="14"/>
      <c r="G702" s="14"/>
      <c r="H702" s="14"/>
      <c r="I702" s="14"/>
      <c r="J702" s="14"/>
      <c r="K702" s="14"/>
      <c r="L702" s="15"/>
      <c r="R702" s="14"/>
      <c r="S702" s="14"/>
    </row>
    <row r="703">
      <c r="A703" s="2"/>
      <c r="C703" s="28"/>
      <c r="D703" s="14"/>
      <c r="E703" s="14"/>
      <c r="F703" s="14"/>
      <c r="G703" s="14"/>
      <c r="H703" s="14"/>
      <c r="I703" s="14"/>
      <c r="J703" s="14"/>
      <c r="K703" s="14"/>
      <c r="L703" s="15"/>
      <c r="R703" s="14"/>
      <c r="S703" s="14"/>
    </row>
    <row r="704">
      <c r="A704" s="2"/>
      <c r="C704" s="28"/>
      <c r="D704" s="14"/>
      <c r="E704" s="14"/>
      <c r="F704" s="14"/>
      <c r="G704" s="14"/>
      <c r="H704" s="14"/>
      <c r="I704" s="14"/>
      <c r="J704" s="14"/>
      <c r="K704" s="14"/>
      <c r="L704" s="15"/>
      <c r="R704" s="14"/>
      <c r="S704" s="14"/>
    </row>
    <row r="705">
      <c r="A705" s="2"/>
      <c r="C705" s="28"/>
      <c r="D705" s="14"/>
      <c r="E705" s="14"/>
      <c r="F705" s="14"/>
      <c r="G705" s="14"/>
      <c r="H705" s="14"/>
      <c r="I705" s="14"/>
      <c r="J705" s="14"/>
      <c r="K705" s="14"/>
      <c r="L705" s="15"/>
      <c r="R705" s="14"/>
      <c r="S705" s="14"/>
    </row>
    <row r="706">
      <c r="A706" s="2"/>
      <c r="C706" s="28"/>
      <c r="D706" s="14"/>
      <c r="E706" s="14"/>
      <c r="F706" s="14"/>
      <c r="G706" s="14"/>
      <c r="H706" s="14"/>
      <c r="I706" s="14"/>
      <c r="J706" s="14"/>
      <c r="K706" s="14"/>
      <c r="L706" s="15"/>
      <c r="R706" s="14"/>
      <c r="S706" s="14"/>
    </row>
    <row r="707">
      <c r="A707" s="2"/>
      <c r="C707" s="28"/>
      <c r="D707" s="14"/>
      <c r="E707" s="14"/>
      <c r="F707" s="14"/>
      <c r="G707" s="14"/>
      <c r="H707" s="14"/>
      <c r="I707" s="14"/>
      <c r="J707" s="14"/>
      <c r="K707" s="14"/>
      <c r="L707" s="15"/>
      <c r="R707" s="14"/>
      <c r="S707" s="14"/>
    </row>
    <row r="708">
      <c r="A708" s="2"/>
      <c r="C708" s="28"/>
      <c r="D708" s="14"/>
      <c r="E708" s="14"/>
      <c r="F708" s="14"/>
      <c r="G708" s="14"/>
      <c r="H708" s="14"/>
      <c r="I708" s="14"/>
      <c r="J708" s="14"/>
      <c r="K708" s="14"/>
      <c r="L708" s="15"/>
      <c r="R708" s="14"/>
      <c r="S708" s="14"/>
    </row>
    <row r="709">
      <c r="A709" s="2"/>
      <c r="C709" s="28"/>
      <c r="D709" s="14"/>
      <c r="E709" s="14"/>
      <c r="F709" s="14"/>
      <c r="G709" s="14"/>
      <c r="H709" s="14"/>
      <c r="I709" s="14"/>
      <c r="J709" s="14"/>
      <c r="K709" s="14"/>
      <c r="L709" s="15"/>
      <c r="R709" s="14"/>
      <c r="S709" s="14"/>
    </row>
    <row r="710">
      <c r="A710" s="2"/>
      <c r="C710" s="28"/>
      <c r="D710" s="14"/>
      <c r="E710" s="14"/>
      <c r="F710" s="14"/>
      <c r="G710" s="14"/>
      <c r="H710" s="14"/>
      <c r="I710" s="14"/>
      <c r="J710" s="14"/>
      <c r="K710" s="14"/>
      <c r="L710" s="15"/>
      <c r="R710" s="14"/>
      <c r="S710" s="14"/>
    </row>
    <row r="711">
      <c r="A711" s="2"/>
      <c r="C711" s="28"/>
      <c r="D711" s="14"/>
      <c r="E711" s="14"/>
      <c r="F711" s="14"/>
      <c r="G711" s="14"/>
      <c r="H711" s="14"/>
      <c r="I711" s="14"/>
      <c r="J711" s="14"/>
      <c r="K711" s="14"/>
      <c r="L711" s="15"/>
      <c r="R711" s="14"/>
      <c r="S711" s="14"/>
    </row>
    <row r="712">
      <c r="A712" s="2"/>
      <c r="C712" s="28"/>
      <c r="D712" s="14"/>
      <c r="E712" s="14"/>
      <c r="F712" s="14"/>
      <c r="G712" s="14"/>
      <c r="H712" s="14"/>
      <c r="I712" s="14"/>
      <c r="J712" s="14"/>
      <c r="K712" s="14"/>
      <c r="L712" s="15"/>
      <c r="R712" s="14"/>
      <c r="S712" s="14"/>
    </row>
    <row r="713">
      <c r="A713" s="2"/>
      <c r="C713" s="28"/>
      <c r="D713" s="14"/>
      <c r="E713" s="14"/>
      <c r="F713" s="14"/>
      <c r="G713" s="14"/>
      <c r="H713" s="14"/>
      <c r="I713" s="14"/>
      <c r="J713" s="14"/>
      <c r="K713" s="14"/>
      <c r="L713" s="15"/>
      <c r="R713" s="14"/>
      <c r="S713" s="14"/>
    </row>
    <row r="714">
      <c r="A714" s="2"/>
      <c r="C714" s="28"/>
      <c r="D714" s="14"/>
      <c r="E714" s="14"/>
      <c r="F714" s="14"/>
      <c r="G714" s="14"/>
      <c r="H714" s="14"/>
      <c r="I714" s="14"/>
      <c r="J714" s="14"/>
      <c r="K714" s="14"/>
      <c r="L714" s="15"/>
      <c r="R714" s="14"/>
      <c r="S714" s="14"/>
    </row>
    <row r="715">
      <c r="A715" s="2"/>
      <c r="C715" s="28"/>
      <c r="D715" s="14"/>
      <c r="E715" s="14"/>
      <c r="F715" s="14"/>
      <c r="G715" s="14"/>
      <c r="H715" s="14"/>
      <c r="I715" s="14"/>
      <c r="J715" s="14"/>
      <c r="K715" s="14"/>
      <c r="L715" s="15"/>
      <c r="R715" s="14"/>
      <c r="S715" s="14"/>
    </row>
    <row r="716">
      <c r="A716" s="2"/>
      <c r="C716" s="28"/>
      <c r="D716" s="14"/>
      <c r="E716" s="14"/>
      <c r="F716" s="14"/>
      <c r="G716" s="14"/>
      <c r="H716" s="14"/>
      <c r="I716" s="14"/>
      <c r="J716" s="14"/>
      <c r="K716" s="14"/>
      <c r="L716" s="15"/>
      <c r="R716" s="14"/>
      <c r="S716" s="14"/>
    </row>
    <row r="717">
      <c r="A717" s="2"/>
      <c r="C717" s="28"/>
      <c r="D717" s="14"/>
      <c r="E717" s="14"/>
      <c r="F717" s="14"/>
      <c r="G717" s="14"/>
      <c r="H717" s="14"/>
      <c r="I717" s="14"/>
      <c r="J717" s="14"/>
      <c r="K717" s="14"/>
      <c r="L717" s="15"/>
      <c r="R717" s="14"/>
      <c r="S717" s="14"/>
    </row>
    <row r="718">
      <c r="A718" s="2"/>
      <c r="C718" s="28"/>
      <c r="D718" s="14"/>
      <c r="E718" s="14"/>
      <c r="F718" s="14"/>
      <c r="G718" s="14"/>
      <c r="H718" s="14"/>
      <c r="I718" s="14"/>
      <c r="J718" s="14"/>
      <c r="K718" s="14"/>
      <c r="L718" s="15"/>
      <c r="R718" s="14"/>
      <c r="S718" s="14"/>
    </row>
    <row r="719">
      <c r="A719" s="2"/>
      <c r="C719" s="28"/>
      <c r="D719" s="14"/>
      <c r="E719" s="14"/>
      <c r="F719" s="14"/>
      <c r="G719" s="14"/>
      <c r="H719" s="14"/>
      <c r="I719" s="14"/>
      <c r="J719" s="14"/>
      <c r="K719" s="14"/>
      <c r="L719" s="15"/>
      <c r="R719" s="14"/>
      <c r="S719" s="14"/>
    </row>
    <row r="720">
      <c r="A720" s="2"/>
      <c r="C720" s="28"/>
      <c r="D720" s="14"/>
      <c r="E720" s="14"/>
      <c r="F720" s="14"/>
      <c r="G720" s="14"/>
      <c r="H720" s="14"/>
      <c r="I720" s="14"/>
      <c r="J720" s="14"/>
      <c r="K720" s="14"/>
      <c r="L720" s="15"/>
      <c r="R720" s="14"/>
      <c r="S720" s="14"/>
    </row>
    <row r="721">
      <c r="A721" s="2"/>
      <c r="C721" s="28"/>
      <c r="D721" s="14"/>
      <c r="E721" s="14"/>
      <c r="F721" s="14"/>
      <c r="G721" s="14"/>
      <c r="H721" s="14"/>
      <c r="I721" s="14"/>
      <c r="J721" s="14"/>
      <c r="K721" s="14"/>
      <c r="L721" s="15"/>
      <c r="R721" s="14"/>
      <c r="S721" s="14"/>
    </row>
    <row r="722">
      <c r="A722" s="2"/>
      <c r="C722" s="28"/>
      <c r="D722" s="14"/>
      <c r="E722" s="14"/>
      <c r="F722" s="14"/>
      <c r="G722" s="14"/>
      <c r="H722" s="14"/>
      <c r="I722" s="14"/>
      <c r="J722" s="14"/>
      <c r="K722" s="14"/>
      <c r="L722" s="15"/>
      <c r="R722" s="14"/>
      <c r="S722" s="14"/>
    </row>
    <row r="723">
      <c r="A723" s="2"/>
      <c r="C723" s="28"/>
      <c r="D723" s="14"/>
      <c r="E723" s="14"/>
      <c r="F723" s="14"/>
      <c r="G723" s="14"/>
      <c r="H723" s="14"/>
      <c r="I723" s="14"/>
      <c r="J723" s="14"/>
      <c r="K723" s="14"/>
      <c r="L723" s="15"/>
      <c r="R723" s="14"/>
      <c r="S723" s="14"/>
    </row>
    <row r="724">
      <c r="A724" s="2"/>
      <c r="C724" s="28"/>
      <c r="D724" s="14"/>
      <c r="E724" s="14"/>
      <c r="F724" s="14"/>
      <c r="G724" s="14"/>
      <c r="H724" s="14"/>
      <c r="I724" s="14"/>
      <c r="J724" s="14"/>
      <c r="K724" s="14"/>
      <c r="L724" s="15"/>
      <c r="R724" s="14"/>
      <c r="S724" s="14"/>
    </row>
    <row r="725">
      <c r="A725" s="2"/>
      <c r="C725" s="28"/>
      <c r="D725" s="14"/>
      <c r="E725" s="14"/>
      <c r="F725" s="14"/>
      <c r="G725" s="14"/>
      <c r="H725" s="14"/>
      <c r="I725" s="14"/>
      <c r="J725" s="14"/>
      <c r="K725" s="14"/>
      <c r="L725" s="15"/>
      <c r="R725" s="14"/>
      <c r="S725" s="14"/>
    </row>
    <row r="726">
      <c r="A726" s="2"/>
      <c r="C726" s="28"/>
      <c r="D726" s="14"/>
      <c r="E726" s="14"/>
      <c r="F726" s="14"/>
      <c r="G726" s="14"/>
      <c r="H726" s="14"/>
      <c r="I726" s="14"/>
      <c r="J726" s="14"/>
      <c r="K726" s="14"/>
      <c r="L726" s="15"/>
      <c r="R726" s="14"/>
      <c r="S726" s="14"/>
    </row>
    <row r="727">
      <c r="A727" s="2"/>
      <c r="C727" s="28"/>
      <c r="D727" s="14"/>
      <c r="E727" s="14"/>
      <c r="F727" s="14"/>
      <c r="G727" s="14"/>
      <c r="H727" s="14"/>
      <c r="I727" s="14"/>
      <c r="J727" s="14"/>
      <c r="K727" s="14"/>
      <c r="L727" s="15"/>
      <c r="R727" s="14"/>
      <c r="S727" s="14"/>
    </row>
    <row r="728">
      <c r="A728" s="2"/>
      <c r="C728" s="28"/>
      <c r="D728" s="14"/>
      <c r="E728" s="14"/>
      <c r="F728" s="14"/>
      <c r="G728" s="14"/>
      <c r="H728" s="14"/>
      <c r="I728" s="14"/>
      <c r="J728" s="14"/>
      <c r="K728" s="14"/>
      <c r="L728" s="15"/>
      <c r="R728" s="14"/>
      <c r="S728" s="14"/>
    </row>
    <row r="729">
      <c r="A729" s="2"/>
      <c r="C729" s="28"/>
      <c r="D729" s="14"/>
      <c r="E729" s="14"/>
      <c r="F729" s="14"/>
      <c r="G729" s="14"/>
      <c r="H729" s="14"/>
      <c r="I729" s="14"/>
      <c r="J729" s="14"/>
      <c r="K729" s="14"/>
      <c r="L729" s="15"/>
      <c r="R729" s="14"/>
      <c r="S729" s="14"/>
    </row>
    <row r="730">
      <c r="A730" s="2"/>
      <c r="C730" s="28"/>
      <c r="D730" s="14"/>
      <c r="E730" s="14"/>
      <c r="F730" s="14"/>
      <c r="G730" s="14"/>
      <c r="H730" s="14"/>
      <c r="I730" s="14"/>
      <c r="J730" s="14"/>
      <c r="K730" s="14"/>
      <c r="L730" s="15"/>
      <c r="R730" s="14"/>
      <c r="S730" s="14"/>
    </row>
    <row r="731">
      <c r="A731" s="2"/>
      <c r="C731" s="28"/>
      <c r="D731" s="14"/>
      <c r="E731" s="14"/>
      <c r="F731" s="14"/>
      <c r="G731" s="14"/>
      <c r="H731" s="14"/>
      <c r="I731" s="14"/>
      <c r="J731" s="14"/>
      <c r="K731" s="14"/>
      <c r="L731" s="15"/>
      <c r="R731" s="14"/>
      <c r="S731" s="14"/>
    </row>
    <row r="732">
      <c r="A732" s="2"/>
      <c r="C732" s="28"/>
      <c r="D732" s="14"/>
      <c r="E732" s="14"/>
      <c r="F732" s="14"/>
      <c r="G732" s="14"/>
      <c r="H732" s="14"/>
      <c r="I732" s="14"/>
      <c r="J732" s="14"/>
      <c r="K732" s="14"/>
      <c r="L732" s="15"/>
      <c r="R732" s="14"/>
      <c r="S732" s="14"/>
    </row>
    <row r="733">
      <c r="A733" s="2"/>
      <c r="C733" s="28"/>
      <c r="D733" s="14"/>
      <c r="E733" s="14"/>
      <c r="F733" s="14"/>
      <c r="G733" s="14"/>
      <c r="H733" s="14"/>
      <c r="I733" s="14"/>
      <c r="J733" s="14"/>
      <c r="K733" s="14"/>
      <c r="L733" s="15"/>
      <c r="R733" s="14"/>
      <c r="S733" s="14"/>
    </row>
    <row r="734">
      <c r="A734" s="2"/>
      <c r="C734" s="28"/>
      <c r="D734" s="14"/>
      <c r="E734" s="14"/>
      <c r="F734" s="14"/>
      <c r="G734" s="14"/>
      <c r="H734" s="14"/>
      <c r="I734" s="14"/>
      <c r="J734" s="14"/>
      <c r="K734" s="14"/>
      <c r="L734" s="15"/>
      <c r="R734" s="14"/>
      <c r="S734" s="14"/>
    </row>
    <row r="735">
      <c r="A735" s="2"/>
      <c r="C735" s="28"/>
      <c r="D735" s="14"/>
      <c r="E735" s="14"/>
      <c r="F735" s="14"/>
      <c r="G735" s="14"/>
      <c r="H735" s="14"/>
      <c r="I735" s="14"/>
      <c r="J735" s="14"/>
      <c r="K735" s="14"/>
      <c r="L735" s="15"/>
      <c r="R735" s="14"/>
      <c r="S735" s="14"/>
    </row>
    <row r="736">
      <c r="A736" s="2"/>
      <c r="C736" s="28"/>
      <c r="D736" s="14"/>
      <c r="E736" s="14"/>
      <c r="F736" s="14"/>
      <c r="G736" s="14"/>
      <c r="H736" s="14"/>
      <c r="I736" s="14"/>
      <c r="J736" s="14"/>
      <c r="K736" s="14"/>
      <c r="L736" s="15"/>
      <c r="R736" s="14"/>
      <c r="S736" s="14"/>
    </row>
    <row r="737">
      <c r="A737" s="2"/>
      <c r="C737" s="28"/>
      <c r="D737" s="14"/>
      <c r="E737" s="14"/>
      <c r="F737" s="14"/>
      <c r="G737" s="14"/>
      <c r="H737" s="14"/>
      <c r="I737" s="14"/>
      <c r="J737" s="14"/>
      <c r="K737" s="14"/>
      <c r="L737" s="15"/>
      <c r="R737" s="14"/>
      <c r="S737" s="14"/>
    </row>
    <row r="738">
      <c r="A738" s="2"/>
      <c r="C738" s="28"/>
      <c r="D738" s="14"/>
      <c r="E738" s="14"/>
      <c r="F738" s="14"/>
      <c r="G738" s="14"/>
      <c r="H738" s="14"/>
      <c r="I738" s="14"/>
      <c r="J738" s="14"/>
      <c r="K738" s="14"/>
      <c r="L738" s="15"/>
      <c r="R738" s="14"/>
      <c r="S738" s="14"/>
    </row>
    <row r="739">
      <c r="A739" s="2"/>
      <c r="C739" s="28"/>
      <c r="D739" s="14"/>
      <c r="E739" s="14"/>
      <c r="F739" s="14"/>
      <c r="G739" s="14"/>
      <c r="H739" s="14"/>
      <c r="I739" s="14"/>
      <c r="J739" s="14"/>
      <c r="K739" s="14"/>
      <c r="L739" s="15"/>
      <c r="R739" s="14"/>
      <c r="S739" s="14"/>
    </row>
    <row r="740">
      <c r="A740" s="2"/>
      <c r="C740" s="28"/>
      <c r="D740" s="14"/>
      <c r="E740" s="14"/>
      <c r="F740" s="14"/>
      <c r="G740" s="14"/>
      <c r="H740" s="14"/>
      <c r="I740" s="14"/>
      <c r="J740" s="14"/>
      <c r="K740" s="14"/>
      <c r="L740" s="15"/>
      <c r="R740" s="14"/>
      <c r="S740" s="14"/>
    </row>
    <row r="741">
      <c r="A741" s="2"/>
      <c r="C741" s="28"/>
      <c r="D741" s="14"/>
      <c r="E741" s="14"/>
      <c r="F741" s="14"/>
      <c r="G741" s="14"/>
      <c r="H741" s="14"/>
      <c r="I741" s="14"/>
      <c r="J741" s="14"/>
      <c r="K741" s="14"/>
      <c r="L741" s="15"/>
      <c r="R741" s="14"/>
      <c r="S741" s="14"/>
    </row>
    <row r="742">
      <c r="A742" s="2"/>
      <c r="C742" s="28"/>
      <c r="D742" s="14"/>
      <c r="E742" s="14"/>
      <c r="F742" s="14"/>
      <c r="G742" s="14"/>
      <c r="H742" s="14"/>
      <c r="I742" s="14"/>
      <c r="J742" s="14"/>
      <c r="K742" s="14"/>
      <c r="L742" s="15"/>
      <c r="R742" s="14"/>
      <c r="S742" s="14"/>
    </row>
    <row r="743">
      <c r="A743" s="2"/>
      <c r="C743" s="28"/>
      <c r="D743" s="14"/>
      <c r="E743" s="14"/>
      <c r="F743" s="14"/>
      <c r="G743" s="14"/>
      <c r="H743" s="14"/>
      <c r="I743" s="14"/>
      <c r="J743" s="14"/>
      <c r="K743" s="14"/>
      <c r="L743" s="15"/>
      <c r="R743" s="14"/>
      <c r="S743" s="14"/>
    </row>
    <row r="744">
      <c r="A744" s="2"/>
      <c r="C744" s="28"/>
      <c r="D744" s="14"/>
      <c r="E744" s="14"/>
      <c r="F744" s="14"/>
      <c r="G744" s="14"/>
      <c r="H744" s="14"/>
      <c r="I744" s="14"/>
      <c r="J744" s="14"/>
      <c r="K744" s="14"/>
      <c r="L744" s="15"/>
      <c r="R744" s="14"/>
      <c r="S744" s="14"/>
    </row>
    <row r="745">
      <c r="A745" s="2"/>
      <c r="C745" s="28"/>
      <c r="D745" s="14"/>
      <c r="E745" s="14"/>
      <c r="F745" s="14"/>
      <c r="G745" s="14"/>
      <c r="H745" s="14"/>
      <c r="I745" s="14"/>
      <c r="J745" s="14"/>
      <c r="K745" s="14"/>
      <c r="L745" s="15"/>
      <c r="R745" s="14"/>
      <c r="S745" s="14"/>
    </row>
    <row r="746">
      <c r="A746" s="2"/>
      <c r="C746" s="28"/>
      <c r="D746" s="14"/>
      <c r="E746" s="14"/>
      <c r="F746" s="14"/>
      <c r="G746" s="14"/>
      <c r="H746" s="14"/>
      <c r="I746" s="14"/>
      <c r="J746" s="14"/>
      <c r="K746" s="14"/>
      <c r="L746" s="15"/>
      <c r="R746" s="14"/>
      <c r="S746" s="14"/>
    </row>
    <row r="747">
      <c r="A747" s="2"/>
      <c r="C747" s="28"/>
      <c r="D747" s="14"/>
      <c r="E747" s="14"/>
      <c r="F747" s="14"/>
      <c r="G747" s="14"/>
      <c r="H747" s="14"/>
      <c r="I747" s="14"/>
      <c r="J747" s="14"/>
      <c r="K747" s="14"/>
      <c r="L747" s="15"/>
      <c r="R747" s="14"/>
      <c r="S747" s="14"/>
    </row>
    <row r="748">
      <c r="A748" s="2"/>
      <c r="C748" s="28"/>
      <c r="D748" s="14"/>
      <c r="E748" s="14"/>
      <c r="F748" s="14"/>
      <c r="G748" s="14"/>
      <c r="H748" s="14"/>
      <c r="I748" s="14"/>
      <c r="J748" s="14"/>
      <c r="K748" s="14"/>
      <c r="L748" s="15"/>
      <c r="R748" s="14"/>
      <c r="S748" s="14"/>
    </row>
    <row r="749">
      <c r="A749" s="2"/>
      <c r="C749" s="28"/>
      <c r="D749" s="14"/>
      <c r="E749" s="14"/>
      <c r="F749" s="14"/>
      <c r="G749" s="14"/>
      <c r="H749" s="14"/>
      <c r="I749" s="14"/>
      <c r="J749" s="14"/>
      <c r="K749" s="14"/>
      <c r="L749" s="15"/>
      <c r="R749" s="14"/>
      <c r="S749" s="14"/>
    </row>
    <row r="750">
      <c r="A750" s="2"/>
      <c r="C750" s="28"/>
      <c r="D750" s="14"/>
      <c r="E750" s="14"/>
      <c r="F750" s="14"/>
      <c r="G750" s="14"/>
      <c r="H750" s="14"/>
      <c r="I750" s="14"/>
      <c r="J750" s="14"/>
      <c r="K750" s="14"/>
      <c r="L750" s="15"/>
      <c r="R750" s="14"/>
      <c r="S750" s="14"/>
    </row>
    <row r="751">
      <c r="A751" s="2"/>
      <c r="C751" s="28"/>
      <c r="D751" s="14"/>
      <c r="E751" s="14"/>
      <c r="F751" s="14"/>
      <c r="G751" s="14"/>
      <c r="H751" s="14"/>
      <c r="I751" s="14"/>
      <c r="J751" s="14"/>
      <c r="K751" s="14"/>
      <c r="L751" s="15"/>
      <c r="R751" s="14"/>
      <c r="S751" s="14"/>
    </row>
    <row r="752">
      <c r="A752" s="2"/>
      <c r="C752" s="28"/>
      <c r="D752" s="14"/>
      <c r="E752" s="14"/>
      <c r="F752" s="14"/>
      <c r="G752" s="14"/>
      <c r="H752" s="14"/>
      <c r="I752" s="14"/>
      <c r="J752" s="14"/>
      <c r="K752" s="14"/>
      <c r="L752" s="15"/>
      <c r="R752" s="14"/>
      <c r="S752" s="14"/>
    </row>
    <row r="753">
      <c r="A753" s="2"/>
      <c r="C753" s="28"/>
      <c r="D753" s="14"/>
      <c r="E753" s="14"/>
      <c r="F753" s="14"/>
      <c r="G753" s="14"/>
      <c r="H753" s="14"/>
      <c r="I753" s="14"/>
      <c r="J753" s="14"/>
      <c r="K753" s="14"/>
      <c r="L753" s="15"/>
      <c r="R753" s="14"/>
      <c r="S753" s="14"/>
    </row>
    <row r="754">
      <c r="A754" s="2"/>
      <c r="C754" s="28"/>
      <c r="D754" s="14"/>
      <c r="E754" s="14"/>
      <c r="F754" s="14"/>
      <c r="G754" s="14"/>
      <c r="H754" s="14"/>
      <c r="I754" s="14"/>
      <c r="J754" s="14"/>
      <c r="K754" s="14"/>
      <c r="L754" s="15"/>
      <c r="R754" s="14"/>
      <c r="S754" s="14"/>
    </row>
    <row r="755">
      <c r="A755" s="2"/>
      <c r="C755" s="28"/>
      <c r="D755" s="14"/>
      <c r="E755" s="14"/>
      <c r="F755" s="14"/>
      <c r="G755" s="14"/>
      <c r="H755" s="14"/>
      <c r="I755" s="14"/>
      <c r="J755" s="14"/>
      <c r="K755" s="14"/>
      <c r="L755" s="15"/>
      <c r="R755" s="14"/>
      <c r="S755" s="14"/>
    </row>
    <row r="756">
      <c r="A756" s="2"/>
      <c r="C756" s="28"/>
      <c r="D756" s="14"/>
      <c r="E756" s="14"/>
      <c r="F756" s="14"/>
      <c r="G756" s="14"/>
      <c r="H756" s="14"/>
      <c r="I756" s="14"/>
      <c r="J756" s="14"/>
      <c r="K756" s="14"/>
      <c r="L756" s="15"/>
      <c r="R756" s="14"/>
      <c r="S756" s="14"/>
    </row>
    <row r="757">
      <c r="A757" s="2"/>
      <c r="C757" s="28"/>
      <c r="D757" s="14"/>
      <c r="E757" s="14"/>
      <c r="F757" s="14"/>
      <c r="G757" s="14"/>
      <c r="H757" s="14"/>
      <c r="I757" s="14"/>
      <c r="J757" s="14"/>
      <c r="K757" s="14"/>
      <c r="L757" s="15"/>
      <c r="R757" s="14"/>
      <c r="S757" s="14"/>
    </row>
    <row r="758">
      <c r="A758" s="2"/>
      <c r="C758" s="28"/>
      <c r="D758" s="14"/>
      <c r="E758" s="14"/>
      <c r="F758" s="14"/>
      <c r="G758" s="14"/>
      <c r="H758" s="14"/>
      <c r="I758" s="14"/>
      <c r="J758" s="14"/>
      <c r="K758" s="14"/>
      <c r="L758" s="15"/>
      <c r="R758" s="14"/>
      <c r="S758" s="14"/>
    </row>
    <row r="759">
      <c r="A759" s="2"/>
      <c r="C759" s="28"/>
      <c r="D759" s="14"/>
      <c r="E759" s="14"/>
      <c r="F759" s="14"/>
      <c r="G759" s="14"/>
      <c r="H759" s="14"/>
      <c r="I759" s="14"/>
      <c r="J759" s="14"/>
      <c r="K759" s="14"/>
      <c r="L759" s="15"/>
      <c r="R759" s="14"/>
      <c r="S759" s="14"/>
    </row>
    <row r="760">
      <c r="A760" s="2"/>
      <c r="C760" s="28"/>
      <c r="D760" s="14"/>
      <c r="E760" s="14"/>
      <c r="F760" s="14"/>
      <c r="G760" s="14"/>
      <c r="H760" s="14"/>
      <c r="I760" s="14"/>
      <c r="J760" s="14"/>
      <c r="K760" s="14"/>
      <c r="L760" s="15"/>
      <c r="R760" s="14"/>
      <c r="S760" s="14"/>
    </row>
    <row r="761">
      <c r="A761" s="2"/>
      <c r="C761" s="28"/>
      <c r="D761" s="14"/>
      <c r="E761" s="14"/>
      <c r="F761" s="14"/>
      <c r="G761" s="14"/>
      <c r="H761" s="14"/>
      <c r="I761" s="14"/>
      <c r="J761" s="14"/>
      <c r="K761" s="14"/>
      <c r="L761" s="15"/>
      <c r="R761" s="14"/>
      <c r="S761" s="14"/>
    </row>
    <row r="762">
      <c r="A762" s="2"/>
      <c r="C762" s="28"/>
      <c r="D762" s="14"/>
      <c r="E762" s="14"/>
      <c r="F762" s="14"/>
      <c r="G762" s="14"/>
      <c r="H762" s="14"/>
      <c r="I762" s="14"/>
      <c r="J762" s="14"/>
      <c r="K762" s="14"/>
      <c r="L762" s="15"/>
      <c r="R762" s="14"/>
      <c r="S762" s="14"/>
    </row>
    <row r="763">
      <c r="A763" s="2"/>
      <c r="C763" s="28"/>
      <c r="D763" s="14"/>
      <c r="E763" s="14"/>
      <c r="F763" s="14"/>
      <c r="G763" s="14"/>
      <c r="H763" s="14"/>
      <c r="I763" s="14"/>
      <c r="J763" s="14"/>
      <c r="K763" s="14"/>
      <c r="L763" s="15"/>
      <c r="R763" s="14"/>
      <c r="S763" s="14"/>
    </row>
    <row r="764">
      <c r="A764" s="2"/>
      <c r="C764" s="28"/>
      <c r="D764" s="14"/>
      <c r="E764" s="14"/>
      <c r="F764" s="14"/>
      <c r="G764" s="14"/>
      <c r="H764" s="14"/>
      <c r="I764" s="14"/>
      <c r="J764" s="14"/>
      <c r="K764" s="14"/>
      <c r="L764" s="15"/>
      <c r="R764" s="14"/>
      <c r="S764" s="14"/>
    </row>
    <row r="765">
      <c r="A765" s="2"/>
      <c r="C765" s="28"/>
      <c r="D765" s="14"/>
      <c r="E765" s="14"/>
      <c r="F765" s="14"/>
      <c r="G765" s="14"/>
      <c r="H765" s="14"/>
      <c r="I765" s="14"/>
      <c r="J765" s="14"/>
      <c r="K765" s="14"/>
      <c r="L765" s="15"/>
      <c r="R765" s="14"/>
      <c r="S765" s="14"/>
    </row>
    <row r="766">
      <c r="A766" s="2"/>
      <c r="C766" s="28"/>
      <c r="D766" s="14"/>
      <c r="E766" s="14"/>
      <c r="F766" s="14"/>
      <c r="G766" s="14"/>
      <c r="H766" s="14"/>
      <c r="I766" s="14"/>
      <c r="J766" s="14"/>
      <c r="K766" s="14"/>
      <c r="L766" s="15"/>
      <c r="R766" s="14"/>
      <c r="S766" s="14"/>
    </row>
    <row r="767">
      <c r="A767" s="2"/>
      <c r="C767" s="28"/>
      <c r="D767" s="14"/>
      <c r="E767" s="14"/>
      <c r="F767" s="14"/>
      <c r="G767" s="14"/>
      <c r="H767" s="14"/>
      <c r="I767" s="14"/>
      <c r="J767" s="14"/>
      <c r="K767" s="14"/>
      <c r="L767" s="15"/>
      <c r="R767" s="14"/>
      <c r="S767" s="14"/>
    </row>
    <row r="768">
      <c r="A768" s="2"/>
      <c r="C768" s="28"/>
      <c r="D768" s="14"/>
      <c r="E768" s="14"/>
      <c r="F768" s="14"/>
      <c r="G768" s="14"/>
      <c r="H768" s="14"/>
      <c r="I768" s="14"/>
      <c r="J768" s="14"/>
      <c r="K768" s="14"/>
      <c r="L768" s="15"/>
      <c r="R768" s="14"/>
      <c r="S768" s="14"/>
    </row>
    <row r="769">
      <c r="A769" s="2"/>
      <c r="C769" s="28"/>
      <c r="D769" s="14"/>
      <c r="E769" s="14"/>
      <c r="F769" s="14"/>
      <c r="G769" s="14"/>
      <c r="H769" s="14"/>
      <c r="I769" s="14"/>
      <c r="J769" s="14"/>
      <c r="K769" s="14"/>
      <c r="L769" s="15"/>
      <c r="R769" s="14"/>
      <c r="S769" s="14"/>
    </row>
    <row r="770">
      <c r="A770" s="2"/>
      <c r="C770" s="28"/>
      <c r="D770" s="14"/>
      <c r="E770" s="14"/>
      <c r="F770" s="14"/>
      <c r="G770" s="14"/>
      <c r="H770" s="14"/>
      <c r="I770" s="14"/>
      <c r="J770" s="14"/>
      <c r="K770" s="14"/>
      <c r="L770" s="15"/>
      <c r="R770" s="14"/>
      <c r="S770" s="14"/>
    </row>
    <row r="771">
      <c r="A771" s="2"/>
      <c r="C771" s="28"/>
      <c r="D771" s="14"/>
      <c r="E771" s="14"/>
      <c r="F771" s="14"/>
      <c r="G771" s="14"/>
      <c r="H771" s="14"/>
      <c r="I771" s="14"/>
      <c r="J771" s="14"/>
      <c r="K771" s="14"/>
      <c r="L771" s="15"/>
      <c r="R771" s="14"/>
      <c r="S771" s="14"/>
    </row>
    <row r="772">
      <c r="A772" s="2"/>
      <c r="C772" s="28"/>
      <c r="D772" s="14"/>
      <c r="E772" s="14"/>
      <c r="F772" s="14"/>
      <c r="G772" s="14"/>
      <c r="H772" s="14"/>
      <c r="I772" s="14"/>
      <c r="J772" s="14"/>
      <c r="K772" s="14"/>
      <c r="L772" s="15"/>
      <c r="R772" s="14"/>
      <c r="S772" s="14"/>
    </row>
    <row r="773">
      <c r="A773" s="2"/>
      <c r="C773" s="28"/>
      <c r="D773" s="14"/>
      <c r="E773" s="14"/>
      <c r="F773" s="14"/>
      <c r="G773" s="14"/>
      <c r="H773" s="14"/>
      <c r="I773" s="14"/>
      <c r="J773" s="14"/>
      <c r="K773" s="14"/>
      <c r="L773" s="15"/>
      <c r="R773" s="14"/>
      <c r="S773" s="14"/>
    </row>
    <row r="774">
      <c r="A774" s="2"/>
      <c r="C774" s="28"/>
      <c r="D774" s="14"/>
      <c r="E774" s="14"/>
      <c r="F774" s="14"/>
      <c r="G774" s="14"/>
      <c r="H774" s="14"/>
      <c r="I774" s="14"/>
      <c r="J774" s="14"/>
      <c r="K774" s="14"/>
      <c r="L774" s="15"/>
      <c r="R774" s="14"/>
      <c r="S774" s="14"/>
    </row>
    <row r="775">
      <c r="A775" s="2"/>
      <c r="C775" s="28"/>
      <c r="D775" s="14"/>
      <c r="E775" s="14"/>
      <c r="F775" s="14"/>
      <c r="G775" s="14"/>
      <c r="H775" s="14"/>
      <c r="I775" s="14"/>
      <c r="J775" s="14"/>
      <c r="K775" s="14"/>
      <c r="L775" s="15"/>
      <c r="R775" s="14"/>
      <c r="S775" s="14"/>
    </row>
    <row r="776">
      <c r="A776" s="2"/>
      <c r="C776" s="28"/>
      <c r="D776" s="14"/>
      <c r="E776" s="14"/>
      <c r="F776" s="14"/>
      <c r="G776" s="14"/>
      <c r="H776" s="14"/>
      <c r="I776" s="14"/>
      <c r="J776" s="14"/>
      <c r="K776" s="14"/>
      <c r="L776" s="15"/>
      <c r="R776" s="14"/>
      <c r="S776" s="14"/>
    </row>
    <row r="777">
      <c r="A777" s="2"/>
      <c r="C777" s="28"/>
      <c r="D777" s="14"/>
      <c r="E777" s="14"/>
      <c r="F777" s="14"/>
      <c r="G777" s="14"/>
      <c r="H777" s="14"/>
      <c r="I777" s="14"/>
      <c r="J777" s="14"/>
      <c r="K777" s="14"/>
      <c r="L777" s="15"/>
      <c r="R777" s="14"/>
      <c r="S777" s="14"/>
    </row>
    <row r="778">
      <c r="A778" s="2"/>
      <c r="C778" s="28"/>
      <c r="D778" s="14"/>
      <c r="E778" s="14"/>
      <c r="F778" s="14"/>
      <c r="G778" s="14"/>
      <c r="H778" s="14"/>
      <c r="I778" s="14"/>
      <c r="J778" s="14"/>
      <c r="K778" s="14"/>
      <c r="L778" s="15"/>
      <c r="R778" s="14"/>
      <c r="S778" s="14"/>
    </row>
    <row r="779">
      <c r="A779" s="2"/>
      <c r="C779" s="28"/>
      <c r="D779" s="14"/>
      <c r="E779" s="14"/>
      <c r="F779" s="14"/>
      <c r="G779" s="14"/>
      <c r="H779" s="14"/>
      <c r="I779" s="14"/>
      <c r="J779" s="14"/>
      <c r="K779" s="14"/>
      <c r="L779" s="15"/>
      <c r="R779" s="14"/>
      <c r="S779" s="14"/>
    </row>
    <row r="780">
      <c r="A780" s="2"/>
      <c r="C780" s="28"/>
      <c r="D780" s="14"/>
      <c r="E780" s="14"/>
      <c r="F780" s="14"/>
      <c r="G780" s="14"/>
      <c r="H780" s="14"/>
      <c r="I780" s="14"/>
      <c r="J780" s="14"/>
      <c r="K780" s="14"/>
      <c r="L780" s="15"/>
      <c r="R780" s="14"/>
      <c r="S780" s="14"/>
    </row>
    <row r="781">
      <c r="A781" s="2"/>
      <c r="C781" s="28"/>
      <c r="D781" s="14"/>
      <c r="E781" s="14"/>
      <c r="F781" s="14"/>
      <c r="G781" s="14"/>
      <c r="H781" s="14"/>
      <c r="I781" s="14"/>
      <c r="J781" s="14"/>
      <c r="K781" s="14"/>
      <c r="L781" s="15"/>
      <c r="R781" s="14"/>
      <c r="S781" s="14"/>
    </row>
    <row r="782">
      <c r="A782" s="2"/>
      <c r="C782" s="28"/>
      <c r="D782" s="14"/>
      <c r="E782" s="14"/>
      <c r="F782" s="14"/>
      <c r="G782" s="14"/>
      <c r="H782" s="14"/>
      <c r="I782" s="14"/>
      <c r="J782" s="14"/>
      <c r="K782" s="14"/>
      <c r="L782" s="15"/>
      <c r="R782" s="14"/>
      <c r="S782" s="14"/>
    </row>
    <row r="783">
      <c r="A783" s="2"/>
      <c r="C783" s="28"/>
      <c r="D783" s="14"/>
      <c r="E783" s="14"/>
      <c r="F783" s="14"/>
      <c r="G783" s="14"/>
      <c r="H783" s="14"/>
      <c r="I783" s="14"/>
      <c r="J783" s="14"/>
      <c r="K783" s="14"/>
      <c r="L783" s="15"/>
      <c r="R783" s="14"/>
      <c r="S783" s="14"/>
    </row>
    <row r="784">
      <c r="A784" s="2"/>
      <c r="C784" s="28"/>
      <c r="D784" s="14"/>
      <c r="E784" s="14"/>
      <c r="F784" s="14"/>
      <c r="G784" s="14"/>
      <c r="H784" s="14"/>
      <c r="I784" s="14"/>
      <c r="J784" s="14"/>
      <c r="K784" s="14"/>
      <c r="L784" s="15"/>
      <c r="R784" s="14"/>
      <c r="S784" s="14"/>
    </row>
    <row r="785">
      <c r="A785" s="2"/>
      <c r="C785" s="28"/>
      <c r="D785" s="14"/>
      <c r="E785" s="14"/>
      <c r="F785" s="14"/>
      <c r="G785" s="14"/>
      <c r="H785" s="14"/>
      <c r="I785" s="14"/>
      <c r="J785" s="14"/>
      <c r="K785" s="14"/>
      <c r="L785" s="15"/>
      <c r="R785" s="14"/>
      <c r="S785" s="14"/>
    </row>
    <row r="786">
      <c r="A786" s="2"/>
      <c r="C786" s="28"/>
      <c r="D786" s="14"/>
      <c r="E786" s="14"/>
      <c r="F786" s="14"/>
      <c r="G786" s="14"/>
      <c r="H786" s="14"/>
      <c r="I786" s="14"/>
      <c r="J786" s="14"/>
      <c r="K786" s="14"/>
      <c r="L786" s="15"/>
      <c r="R786" s="14"/>
      <c r="S786" s="14"/>
    </row>
    <row r="787">
      <c r="A787" s="2"/>
      <c r="C787" s="28"/>
      <c r="D787" s="14"/>
      <c r="E787" s="14"/>
      <c r="F787" s="14"/>
      <c r="G787" s="14"/>
      <c r="H787" s="14"/>
      <c r="I787" s="14"/>
      <c r="J787" s="14"/>
      <c r="K787" s="14"/>
      <c r="L787" s="15"/>
      <c r="R787" s="14"/>
      <c r="S787" s="14"/>
    </row>
    <row r="788">
      <c r="A788" s="2"/>
      <c r="C788" s="28"/>
      <c r="D788" s="14"/>
      <c r="E788" s="14"/>
      <c r="F788" s="14"/>
      <c r="G788" s="14"/>
      <c r="H788" s="14"/>
      <c r="I788" s="14"/>
      <c r="J788" s="14"/>
      <c r="K788" s="14"/>
      <c r="L788" s="15"/>
      <c r="R788" s="14"/>
      <c r="S788" s="14"/>
    </row>
    <row r="789">
      <c r="A789" s="2"/>
      <c r="C789" s="28"/>
      <c r="D789" s="14"/>
      <c r="E789" s="14"/>
      <c r="F789" s="14"/>
      <c r="G789" s="14"/>
      <c r="H789" s="14"/>
      <c r="I789" s="14"/>
      <c r="J789" s="14"/>
      <c r="K789" s="14"/>
      <c r="L789" s="15"/>
      <c r="R789" s="14"/>
      <c r="S789" s="14"/>
    </row>
    <row r="790">
      <c r="A790" s="2"/>
      <c r="C790" s="28"/>
      <c r="D790" s="14"/>
      <c r="E790" s="14"/>
      <c r="F790" s="14"/>
      <c r="G790" s="14"/>
      <c r="H790" s="14"/>
      <c r="I790" s="14"/>
      <c r="J790" s="14"/>
      <c r="K790" s="14"/>
      <c r="L790" s="15"/>
      <c r="R790" s="14"/>
      <c r="S790" s="14"/>
    </row>
    <row r="791">
      <c r="A791" s="2"/>
      <c r="C791" s="28"/>
      <c r="D791" s="14"/>
      <c r="E791" s="14"/>
      <c r="F791" s="14"/>
      <c r="G791" s="14"/>
      <c r="H791" s="14"/>
      <c r="I791" s="14"/>
      <c r="J791" s="14"/>
      <c r="K791" s="14"/>
      <c r="L791" s="15"/>
      <c r="R791" s="14"/>
      <c r="S791" s="14"/>
    </row>
    <row r="792">
      <c r="A792" s="2"/>
      <c r="C792" s="28"/>
      <c r="D792" s="14"/>
      <c r="E792" s="14"/>
      <c r="F792" s="14"/>
      <c r="G792" s="14"/>
      <c r="H792" s="14"/>
      <c r="I792" s="14"/>
      <c r="J792" s="14"/>
      <c r="K792" s="14"/>
      <c r="L792" s="15"/>
      <c r="R792" s="14"/>
      <c r="S792" s="14"/>
    </row>
    <row r="793">
      <c r="A793" s="2"/>
      <c r="C793" s="28"/>
      <c r="D793" s="14"/>
      <c r="E793" s="14"/>
      <c r="F793" s="14"/>
      <c r="G793" s="14"/>
      <c r="H793" s="14"/>
      <c r="I793" s="14"/>
      <c r="J793" s="14"/>
      <c r="K793" s="14"/>
      <c r="L793" s="15"/>
      <c r="R793" s="14"/>
      <c r="S793" s="14"/>
    </row>
    <row r="794">
      <c r="A794" s="2"/>
      <c r="C794" s="28"/>
      <c r="D794" s="14"/>
      <c r="E794" s="14"/>
      <c r="F794" s="14"/>
      <c r="G794" s="14"/>
      <c r="H794" s="14"/>
      <c r="I794" s="14"/>
      <c r="J794" s="14"/>
      <c r="K794" s="14"/>
      <c r="L794" s="15"/>
      <c r="R794" s="14"/>
      <c r="S794" s="14"/>
    </row>
    <row r="795">
      <c r="A795" s="2"/>
      <c r="C795" s="28"/>
      <c r="D795" s="14"/>
      <c r="E795" s="14"/>
      <c r="F795" s="14"/>
      <c r="G795" s="14"/>
      <c r="H795" s="14"/>
      <c r="I795" s="14"/>
      <c r="J795" s="14"/>
      <c r="K795" s="14"/>
      <c r="L795" s="15"/>
      <c r="R795" s="14"/>
      <c r="S795" s="14"/>
    </row>
    <row r="796">
      <c r="A796" s="2"/>
      <c r="C796" s="28"/>
      <c r="D796" s="14"/>
      <c r="E796" s="14"/>
      <c r="F796" s="14"/>
      <c r="G796" s="14"/>
      <c r="H796" s="14"/>
      <c r="I796" s="14"/>
      <c r="J796" s="14"/>
      <c r="K796" s="14"/>
      <c r="L796" s="15"/>
      <c r="R796" s="14"/>
      <c r="S796" s="14"/>
    </row>
    <row r="797">
      <c r="A797" s="2"/>
      <c r="C797" s="28"/>
      <c r="D797" s="14"/>
      <c r="E797" s="14"/>
      <c r="F797" s="14"/>
      <c r="G797" s="14"/>
      <c r="H797" s="14"/>
      <c r="I797" s="14"/>
      <c r="J797" s="14"/>
      <c r="K797" s="14"/>
      <c r="L797" s="15"/>
      <c r="R797" s="14"/>
      <c r="S797" s="14"/>
    </row>
    <row r="798">
      <c r="A798" s="2"/>
      <c r="C798" s="28"/>
      <c r="D798" s="14"/>
      <c r="E798" s="14"/>
      <c r="F798" s="14"/>
      <c r="G798" s="14"/>
      <c r="H798" s="14"/>
      <c r="I798" s="14"/>
      <c r="J798" s="14"/>
      <c r="K798" s="14"/>
      <c r="L798" s="15"/>
      <c r="R798" s="14"/>
      <c r="S798" s="14"/>
    </row>
    <row r="799">
      <c r="A799" s="2"/>
      <c r="C799" s="28"/>
      <c r="D799" s="14"/>
      <c r="E799" s="14"/>
      <c r="F799" s="14"/>
      <c r="G799" s="14"/>
      <c r="H799" s="14"/>
      <c r="I799" s="14"/>
      <c r="J799" s="14"/>
      <c r="K799" s="14"/>
      <c r="L799" s="15"/>
      <c r="R799" s="14"/>
      <c r="S799" s="14"/>
    </row>
    <row r="800">
      <c r="A800" s="2"/>
      <c r="C800" s="28"/>
      <c r="D800" s="14"/>
      <c r="E800" s="14"/>
      <c r="F800" s="14"/>
      <c r="G800" s="14"/>
      <c r="H800" s="14"/>
      <c r="I800" s="14"/>
      <c r="J800" s="14"/>
      <c r="K800" s="14"/>
      <c r="L800" s="15"/>
      <c r="R800" s="14"/>
      <c r="S800" s="14"/>
    </row>
    <row r="801">
      <c r="A801" s="2"/>
      <c r="C801" s="28"/>
      <c r="D801" s="14"/>
      <c r="E801" s="14"/>
      <c r="F801" s="14"/>
      <c r="G801" s="14"/>
      <c r="H801" s="14"/>
      <c r="I801" s="14"/>
      <c r="J801" s="14"/>
      <c r="K801" s="14"/>
      <c r="L801" s="15"/>
      <c r="R801" s="14"/>
      <c r="S801" s="14"/>
    </row>
    <row r="802">
      <c r="A802" s="2"/>
      <c r="C802" s="28"/>
      <c r="D802" s="14"/>
      <c r="E802" s="14"/>
      <c r="F802" s="14"/>
      <c r="G802" s="14"/>
      <c r="H802" s="14"/>
      <c r="I802" s="14"/>
      <c r="J802" s="14"/>
      <c r="K802" s="14"/>
      <c r="L802" s="15"/>
      <c r="R802" s="14"/>
      <c r="S802" s="14"/>
    </row>
    <row r="803">
      <c r="A803" s="2"/>
      <c r="C803" s="28"/>
      <c r="D803" s="14"/>
      <c r="E803" s="14"/>
      <c r="F803" s="14"/>
      <c r="G803" s="14"/>
      <c r="H803" s="14"/>
      <c r="I803" s="14"/>
      <c r="J803" s="14"/>
      <c r="K803" s="14"/>
      <c r="L803" s="15"/>
      <c r="R803" s="14"/>
      <c r="S803" s="14"/>
    </row>
    <row r="804">
      <c r="A804" s="2"/>
      <c r="C804" s="28"/>
      <c r="D804" s="14"/>
      <c r="E804" s="14"/>
      <c r="F804" s="14"/>
      <c r="G804" s="14"/>
      <c r="H804" s="14"/>
      <c r="I804" s="14"/>
      <c r="J804" s="14"/>
      <c r="K804" s="14"/>
      <c r="L804" s="15"/>
      <c r="R804" s="14"/>
      <c r="S804" s="14"/>
    </row>
    <row r="805">
      <c r="A805" s="2"/>
      <c r="C805" s="28"/>
      <c r="D805" s="14"/>
      <c r="E805" s="14"/>
      <c r="F805" s="14"/>
      <c r="G805" s="14"/>
      <c r="H805" s="14"/>
      <c r="I805" s="14"/>
      <c r="J805" s="14"/>
      <c r="K805" s="14"/>
      <c r="L805" s="15"/>
      <c r="R805" s="14"/>
      <c r="S805" s="14"/>
    </row>
    <row r="806">
      <c r="A806" s="2"/>
      <c r="C806" s="28"/>
      <c r="D806" s="14"/>
      <c r="E806" s="14"/>
      <c r="F806" s="14"/>
      <c r="G806" s="14"/>
      <c r="H806" s="14"/>
      <c r="I806" s="14"/>
      <c r="J806" s="14"/>
      <c r="K806" s="14"/>
      <c r="L806" s="15"/>
      <c r="R806" s="14"/>
      <c r="S806" s="14"/>
    </row>
    <row r="807">
      <c r="A807" s="2"/>
      <c r="C807" s="28"/>
      <c r="D807" s="14"/>
      <c r="E807" s="14"/>
      <c r="F807" s="14"/>
      <c r="G807" s="14"/>
      <c r="H807" s="14"/>
      <c r="I807" s="14"/>
      <c r="J807" s="14"/>
      <c r="K807" s="14"/>
      <c r="L807" s="15"/>
      <c r="R807" s="14"/>
      <c r="S807" s="14"/>
    </row>
    <row r="808">
      <c r="A808" s="2"/>
      <c r="C808" s="28"/>
      <c r="D808" s="14"/>
      <c r="E808" s="14"/>
      <c r="F808" s="14"/>
      <c r="G808" s="14"/>
      <c r="H808" s="14"/>
      <c r="I808" s="14"/>
      <c r="J808" s="14"/>
      <c r="K808" s="14"/>
      <c r="L808" s="15"/>
      <c r="R808" s="14"/>
      <c r="S808" s="14"/>
    </row>
    <row r="809">
      <c r="A809" s="2"/>
      <c r="C809" s="28"/>
      <c r="D809" s="14"/>
      <c r="E809" s="14"/>
      <c r="F809" s="14"/>
      <c r="G809" s="14"/>
      <c r="H809" s="14"/>
      <c r="I809" s="14"/>
      <c r="J809" s="14"/>
      <c r="K809" s="14"/>
      <c r="L809" s="15"/>
      <c r="R809" s="14"/>
      <c r="S809" s="14"/>
    </row>
    <row r="810">
      <c r="A810" s="2"/>
      <c r="C810" s="28"/>
      <c r="D810" s="14"/>
      <c r="E810" s="14"/>
      <c r="F810" s="14"/>
      <c r="G810" s="14"/>
      <c r="H810" s="14"/>
      <c r="I810" s="14"/>
      <c r="J810" s="14"/>
      <c r="K810" s="14"/>
      <c r="L810" s="15"/>
      <c r="R810" s="14"/>
      <c r="S810" s="14"/>
    </row>
    <row r="811">
      <c r="A811" s="2"/>
      <c r="C811" s="28"/>
      <c r="D811" s="14"/>
      <c r="E811" s="14"/>
      <c r="F811" s="14"/>
      <c r="G811" s="14"/>
      <c r="H811" s="14"/>
      <c r="I811" s="14"/>
      <c r="J811" s="14"/>
      <c r="K811" s="14"/>
      <c r="L811" s="15"/>
      <c r="R811" s="14"/>
      <c r="S811" s="14"/>
    </row>
    <row r="812">
      <c r="A812" s="2"/>
      <c r="C812" s="28"/>
      <c r="D812" s="14"/>
      <c r="E812" s="14"/>
      <c r="F812" s="14"/>
      <c r="G812" s="14"/>
      <c r="H812" s="14"/>
      <c r="I812" s="14"/>
      <c r="J812" s="14"/>
      <c r="K812" s="14"/>
      <c r="L812" s="15"/>
      <c r="R812" s="14"/>
      <c r="S812" s="14"/>
    </row>
    <row r="813">
      <c r="A813" s="2"/>
      <c r="C813" s="28"/>
      <c r="D813" s="14"/>
      <c r="E813" s="14"/>
      <c r="F813" s="14"/>
      <c r="G813" s="14"/>
      <c r="H813" s="14"/>
      <c r="I813" s="14"/>
      <c r="J813" s="14"/>
      <c r="K813" s="14"/>
      <c r="L813" s="15"/>
      <c r="R813" s="14"/>
      <c r="S813" s="14"/>
    </row>
    <row r="814">
      <c r="A814" s="2"/>
      <c r="C814" s="28"/>
      <c r="D814" s="14"/>
      <c r="E814" s="14"/>
      <c r="F814" s="14"/>
      <c r="G814" s="14"/>
      <c r="H814" s="14"/>
      <c r="I814" s="14"/>
      <c r="J814" s="14"/>
      <c r="K814" s="14"/>
      <c r="L814" s="15"/>
      <c r="R814" s="14"/>
      <c r="S814" s="14"/>
    </row>
    <row r="815">
      <c r="A815" s="2"/>
      <c r="C815" s="28"/>
      <c r="D815" s="14"/>
      <c r="E815" s="14"/>
      <c r="F815" s="14"/>
      <c r="G815" s="14"/>
      <c r="H815" s="14"/>
      <c r="I815" s="14"/>
      <c r="J815" s="14"/>
      <c r="K815" s="14"/>
      <c r="L815" s="15"/>
      <c r="R815" s="14"/>
      <c r="S815" s="14"/>
    </row>
    <row r="816">
      <c r="A816" s="2"/>
      <c r="C816" s="28"/>
      <c r="D816" s="14"/>
      <c r="E816" s="14"/>
      <c r="F816" s="14"/>
      <c r="G816" s="14"/>
      <c r="H816" s="14"/>
      <c r="I816" s="14"/>
      <c r="J816" s="14"/>
      <c r="K816" s="14"/>
      <c r="L816" s="15"/>
      <c r="R816" s="14"/>
      <c r="S816" s="14"/>
    </row>
    <row r="817">
      <c r="A817" s="2"/>
      <c r="C817" s="28"/>
      <c r="D817" s="14"/>
      <c r="E817" s="14"/>
      <c r="F817" s="14"/>
      <c r="G817" s="14"/>
      <c r="H817" s="14"/>
      <c r="I817" s="14"/>
      <c r="J817" s="14"/>
      <c r="K817" s="14"/>
      <c r="L817" s="15"/>
      <c r="R817" s="14"/>
      <c r="S817" s="14"/>
    </row>
    <row r="818">
      <c r="A818" s="2"/>
      <c r="C818" s="28"/>
      <c r="D818" s="14"/>
      <c r="E818" s="14"/>
      <c r="F818" s="14"/>
      <c r="G818" s="14"/>
      <c r="H818" s="14"/>
      <c r="I818" s="14"/>
      <c r="J818" s="14"/>
      <c r="K818" s="14"/>
      <c r="L818" s="15"/>
      <c r="R818" s="14"/>
      <c r="S818" s="14"/>
    </row>
    <row r="819">
      <c r="A819" s="2"/>
      <c r="C819" s="28"/>
      <c r="D819" s="14"/>
      <c r="E819" s="14"/>
      <c r="F819" s="14"/>
      <c r="G819" s="14"/>
      <c r="H819" s="14"/>
      <c r="I819" s="14"/>
      <c r="J819" s="14"/>
      <c r="K819" s="14"/>
      <c r="L819" s="15"/>
      <c r="R819" s="14"/>
      <c r="S819" s="14"/>
    </row>
    <row r="820">
      <c r="A820" s="2"/>
      <c r="C820" s="28"/>
      <c r="D820" s="14"/>
      <c r="E820" s="14"/>
      <c r="F820" s="14"/>
      <c r="G820" s="14"/>
      <c r="H820" s="14"/>
      <c r="I820" s="14"/>
      <c r="J820" s="14"/>
      <c r="K820" s="14"/>
      <c r="L820" s="15"/>
      <c r="R820" s="14"/>
      <c r="S820" s="14"/>
    </row>
    <row r="821">
      <c r="A821" s="2"/>
      <c r="C821" s="28"/>
      <c r="D821" s="14"/>
      <c r="E821" s="14"/>
      <c r="F821" s="14"/>
      <c r="G821" s="14"/>
      <c r="H821" s="14"/>
      <c r="I821" s="14"/>
      <c r="J821" s="14"/>
      <c r="K821" s="14"/>
      <c r="L821" s="15"/>
      <c r="R821" s="14"/>
      <c r="S821" s="14"/>
    </row>
    <row r="822">
      <c r="A822" s="2"/>
      <c r="C822" s="28"/>
      <c r="D822" s="14"/>
      <c r="E822" s="14"/>
      <c r="F822" s="14"/>
      <c r="G822" s="14"/>
      <c r="H822" s="14"/>
      <c r="I822" s="14"/>
      <c r="J822" s="14"/>
      <c r="K822" s="14"/>
      <c r="L822" s="15"/>
      <c r="R822" s="14"/>
      <c r="S822" s="14"/>
    </row>
    <row r="823">
      <c r="A823" s="2"/>
      <c r="C823" s="28"/>
      <c r="D823" s="14"/>
      <c r="E823" s="14"/>
      <c r="F823" s="14"/>
      <c r="G823" s="14"/>
      <c r="H823" s="14"/>
      <c r="I823" s="14"/>
      <c r="J823" s="14"/>
      <c r="K823" s="14"/>
      <c r="L823" s="15"/>
      <c r="R823" s="14"/>
      <c r="S823" s="14"/>
    </row>
    <row r="824">
      <c r="A824" s="2"/>
      <c r="C824" s="28"/>
      <c r="D824" s="14"/>
      <c r="E824" s="14"/>
      <c r="F824" s="14"/>
      <c r="G824" s="14"/>
      <c r="H824" s="14"/>
      <c r="I824" s="14"/>
      <c r="J824" s="14"/>
      <c r="K824" s="14"/>
      <c r="L824" s="15"/>
      <c r="R824" s="14"/>
      <c r="S824" s="14"/>
    </row>
    <row r="825">
      <c r="A825" s="2"/>
      <c r="C825" s="28"/>
      <c r="D825" s="14"/>
      <c r="E825" s="14"/>
      <c r="F825" s="14"/>
      <c r="G825" s="14"/>
      <c r="H825" s="14"/>
      <c r="I825" s="14"/>
      <c r="J825" s="14"/>
      <c r="K825" s="14"/>
      <c r="L825" s="15"/>
      <c r="R825" s="14"/>
      <c r="S825" s="14"/>
    </row>
    <row r="826">
      <c r="A826" s="2"/>
      <c r="C826" s="28"/>
      <c r="D826" s="14"/>
      <c r="E826" s="14"/>
      <c r="F826" s="14"/>
      <c r="G826" s="14"/>
      <c r="H826" s="14"/>
      <c r="I826" s="14"/>
      <c r="J826" s="14"/>
      <c r="K826" s="14"/>
      <c r="L826" s="15"/>
      <c r="R826" s="14"/>
      <c r="S826" s="14"/>
    </row>
    <row r="827">
      <c r="A827" s="2"/>
      <c r="C827" s="28"/>
      <c r="D827" s="14"/>
      <c r="E827" s="14"/>
      <c r="F827" s="14"/>
      <c r="G827" s="14"/>
      <c r="H827" s="14"/>
      <c r="I827" s="14"/>
      <c r="J827" s="14"/>
      <c r="K827" s="14"/>
      <c r="L827" s="15"/>
      <c r="R827" s="14"/>
      <c r="S827" s="14"/>
    </row>
    <row r="828">
      <c r="A828" s="2"/>
      <c r="C828" s="28"/>
      <c r="D828" s="14"/>
      <c r="E828" s="14"/>
      <c r="F828" s="14"/>
      <c r="G828" s="14"/>
      <c r="H828" s="14"/>
      <c r="I828" s="14"/>
      <c r="J828" s="14"/>
      <c r="K828" s="14"/>
      <c r="L828" s="15"/>
      <c r="R828" s="14"/>
      <c r="S828" s="14"/>
    </row>
    <row r="829">
      <c r="A829" s="2"/>
      <c r="C829" s="28"/>
      <c r="D829" s="14"/>
      <c r="E829" s="14"/>
      <c r="F829" s="14"/>
      <c r="G829" s="14"/>
      <c r="H829" s="14"/>
      <c r="I829" s="14"/>
      <c r="J829" s="14"/>
      <c r="K829" s="14"/>
      <c r="L829" s="15"/>
      <c r="R829" s="14"/>
      <c r="S829" s="14"/>
    </row>
    <row r="830">
      <c r="A830" s="2"/>
      <c r="C830" s="28"/>
      <c r="D830" s="14"/>
      <c r="E830" s="14"/>
      <c r="F830" s="14"/>
      <c r="G830" s="14"/>
      <c r="H830" s="14"/>
      <c r="I830" s="14"/>
      <c r="J830" s="14"/>
      <c r="K830" s="14"/>
      <c r="L830" s="15"/>
      <c r="R830" s="14"/>
      <c r="S830" s="14"/>
    </row>
    <row r="831">
      <c r="A831" s="2"/>
      <c r="C831" s="28"/>
      <c r="D831" s="14"/>
      <c r="E831" s="14"/>
      <c r="F831" s="14"/>
      <c r="G831" s="14"/>
      <c r="H831" s="14"/>
      <c r="I831" s="14"/>
      <c r="J831" s="14"/>
      <c r="K831" s="14"/>
      <c r="L831" s="15"/>
      <c r="R831" s="14"/>
      <c r="S831" s="14"/>
    </row>
    <row r="832">
      <c r="A832" s="2"/>
      <c r="C832" s="28"/>
      <c r="D832" s="14"/>
      <c r="E832" s="14"/>
      <c r="F832" s="14"/>
      <c r="G832" s="14"/>
      <c r="H832" s="14"/>
      <c r="I832" s="14"/>
      <c r="J832" s="14"/>
      <c r="K832" s="14"/>
      <c r="L832" s="15"/>
      <c r="R832" s="14"/>
      <c r="S832" s="14"/>
    </row>
    <row r="833">
      <c r="A833" s="2"/>
      <c r="C833" s="28"/>
      <c r="D833" s="14"/>
      <c r="E833" s="14"/>
      <c r="F833" s="14"/>
      <c r="G833" s="14"/>
      <c r="H833" s="14"/>
      <c r="I833" s="14"/>
      <c r="J833" s="14"/>
      <c r="K833" s="14"/>
      <c r="L833" s="15"/>
      <c r="R833" s="14"/>
      <c r="S833" s="14"/>
    </row>
    <row r="834">
      <c r="A834" s="2"/>
      <c r="C834" s="28"/>
      <c r="D834" s="14"/>
      <c r="E834" s="14"/>
      <c r="F834" s="14"/>
      <c r="G834" s="14"/>
      <c r="H834" s="14"/>
      <c r="I834" s="14"/>
      <c r="J834" s="14"/>
      <c r="K834" s="14"/>
      <c r="L834" s="15"/>
      <c r="R834" s="14"/>
      <c r="S834" s="14"/>
    </row>
    <row r="835">
      <c r="A835" s="2"/>
      <c r="C835" s="28"/>
      <c r="D835" s="14"/>
      <c r="E835" s="14"/>
      <c r="F835" s="14"/>
      <c r="G835" s="14"/>
      <c r="H835" s="14"/>
      <c r="I835" s="14"/>
      <c r="J835" s="14"/>
      <c r="K835" s="14"/>
      <c r="L835" s="15"/>
      <c r="R835" s="14"/>
      <c r="S835" s="14"/>
    </row>
    <row r="836">
      <c r="A836" s="2"/>
      <c r="C836" s="28"/>
      <c r="D836" s="14"/>
      <c r="E836" s="14"/>
      <c r="F836" s="14"/>
      <c r="G836" s="14"/>
      <c r="H836" s="14"/>
      <c r="I836" s="14"/>
      <c r="J836" s="14"/>
      <c r="K836" s="14"/>
      <c r="L836" s="15"/>
      <c r="R836" s="14"/>
      <c r="S836" s="14"/>
    </row>
    <row r="837">
      <c r="A837" s="2"/>
      <c r="C837" s="28"/>
      <c r="D837" s="14"/>
      <c r="E837" s="14"/>
      <c r="F837" s="14"/>
      <c r="G837" s="14"/>
      <c r="H837" s="14"/>
      <c r="I837" s="14"/>
      <c r="J837" s="14"/>
      <c r="K837" s="14"/>
      <c r="L837" s="15"/>
      <c r="R837" s="14"/>
      <c r="S837" s="14"/>
    </row>
    <row r="838">
      <c r="A838" s="2"/>
      <c r="C838" s="28"/>
      <c r="D838" s="14"/>
      <c r="E838" s="14"/>
      <c r="F838" s="14"/>
      <c r="G838" s="14"/>
      <c r="H838" s="14"/>
      <c r="I838" s="14"/>
      <c r="J838" s="14"/>
      <c r="K838" s="14"/>
      <c r="L838" s="15"/>
      <c r="R838" s="14"/>
      <c r="S838" s="14"/>
    </row>
    <row r="839">
      <c r="A839" s="2"/>
      <c r="C839" s="28"/>
      <c r="D839" s="14"/>
      <c r="E839" s="14"/>
      <c r="F839" s="14"/>
      <c r="G839" s="14"/>
      <c r="H839" s="14"/>
      <c r="I839" s="14"/>
      <c r="J839" s="14"/>
      <c r="K839" s="14"/>
      <c r="L839" s="15"/>
      <c r="R839" s="14"/>
      <c r="S839" s="14"/>
    </row>
    <row r="840">
      <c r="A840" s="2"/>
      <c r="C840" s="28"/>
      <c r="D840" s="14"/>
      <c r="E840" s="14"/>
      <c r="F840" s="14"/>
      <c r="G840" s="14"/>
      <c r="H840" s="14"/>
      <c r="I840" s="14"/>
      <c r="J840" s="14"/>
      <c r="K840" s="14"/>
      <c r="L840" s="15"/>
      <c r="R840" s="14"/>
      <c r="S840" s="14"/>
    </row>
    <row r="841">
      <c r="A841" s="2"/>
      <c r="C841" s="28"/>
      <c r="D841" s="14"/>
      <c r="E841" s="14"/>
      <c r="F841" s="14"/>
      <c r="G841" s="14"/>
      <c r="H841" s="14"/>
      <c r="I841" s="14"/>
      <c r="J841" s="14"/>
      <c r="K841" s="14"/>
      <c r="L841" s="15"/>
      <c r="R841" s="14"/>
      <c r="S841" s="14"/>
    </row>
    <row r="842">
      <c r="A842" s="2"/>
      <c r="C842" s="28"/>
      <c r="D842" s="14"/>
      <c r="E842" s="14"/>
      <c r="F842" s="14"/>
      <c r="G842" s="14"/>
      <c r="H842" s="14"/>
      <c r="I842" s="14"/>
      <c r="J842" s="14"/>
      <c r="K842" s="14"/>
      <c r="L842" s="15"/>
      <c r="R842" s="14"/>
      <c r="S842" s="14"/>
    </row>
    <row r="843">
      <c r="A843" s="2"/>
      <c r="C843" s="28"/>
      <c r="D843" s="14"/>
      <c r="E843" s="14"/>
      <c r="F843" s="14"/>
      <c r="G843" s="14"/>
      <c r="H843" s="14"/>
      <c r="I843" s="14"/>
      <c r="J843" s="14"/>
      <c r="K843" s="14"/>
      <c r="L843" s="15"/>
      <c r="R843" s="14"/>
      <c r="S843" s="14"/>
    </row>
    <row r="844">
      <c r="A844" s="2"/>
      <c r="C844" s="28"/>
      <c r="D844" s="14"/>
      <c r="E844" s="14"/>
      <c r="F844" s="14"/>
      <c r="G844" s="14"/>
      <c r="H844" s="14"/>
      <c r="I844" s="14"/>
      <c r="J844" s="14"/>
      <c r="K844" s="14"/>
      <c r="L844" s="15"/>
      <c r="R844" s="14"/>
      <c r="S844" s="14"/>
    </row>
    <row r="845">
      <c r="A845" s="2"/>
      <c r="C845" s="28"/>
      <c r="D845" s="14"/>
      <c r="E845" s="14"/>
      <c r="F845" s="14"/>
      <c r="G845" s="14"/>
      <c r="H845" s="14"/>
      <c r="I845" s="14"/>
      <c r="J845" s="14"/>
      <c r="K845" s="14"/>
      <c r="L845" s="15"/>
      <c r="R845" s="14"/>
      <c r="S845" s="14"/>
    </row>
    <row r="846">
      <c r="A846" s="2"/>
      <c r="C846" s="28"/>
      <c r="D846" s="14"/>
      <c r="E846" s="14"/>
      <c r="F846" s="14"/>
      <c r="G846" s="14"/>
      <c r="H846" s="14"/>
      <c r="I846" s="14"/>
      <c r="J846" s="14"/>
      <c r="K846" s="14"/>
      <c r="L846" s="15"/>
      <c r="R846" s="14"/>
      <c r="S846" s="14"/>
    </row>
    <row r="847">
      <c r="A847" s="2"/>
      <c r="C847" s="28"/>
      <c r="D847" s="14"/>
      <c r="E847" s="14"/>
      <c r="F847" s="14"/>
      <c r="G847" s="14"/>
      <c r="H847" s="14"/>
      <c r="I847" s="14"/>
      <c r="J847" s="14"/>
      <c r="K847" s="14"/>
      <c r="L847" s="15"/>
      <c r="R847" s="14"/>
      <c r="S847" s="14"/>
    </row>
    <row r="848">
      <c r="A848" s="2"/>
      <c r="C848" s="28"/>
      <c r="D848" s="14"/>
      <c r="E848" s="14"/>
      <c r="F848" s="14"/>
      <c r="G848" s="14"/>
      <c r="H848" s="14"/>
      <c r="I848" s="14"/>
      <c r="J848" s="14"/>
      <c r="K848" s="14"/>
      <c r="L848" s="15"/>
      <c r="R848" s="14"/>
      <c r="S848" s="14"/>
    </row>
    <row r="849">
      <c r="A849" s="2"/>
      <c r="C849" s="28"/>
      <c r="D849" s="14"/>
      <c r="E849" s="14"/>
      <c r="F849" s="14"/>
      <c r="G849" s="14"/>
      <c r="H849" s="14"/>
      <c r="I849" s="14"/>
      <c r="J849" s="14"/>
      <c r="K849" s="14"/>
      <c r="L849" s="15"/>
      <c r="R849" s="14"/>
      <c r="S849" s="14"/>
    </row>
    <row r="850">
      <c r="A850" s="2"/>
      <c r="C850" s="28"/>
      <c r="D850" s="14"/>
      <c r="E850" s="14"/>
      <c r="F850" s="14"/>
      <c r="G850" s="14"/>
      <c r="H850" s="14"/>
      <c r="I850" s="14"/>
      <c r="J850" s="14"/>
      <c r="K850" s="14"/>
      <c r="L850" s="15"/>
      <c r="R850" s="14"/>
      <c r="S850" s="14"/>
    </row>
    <row r="851">
      <c r="A851" s="2"/>
      <c r="C851" s="28"/>
      <c r="D851" s="14"/>
      <c r="E851" s="14"/>
      <c r="F851" s="14"/>
      <c r="G851" s="14"/>
      <c r="H851" s="14"/>
      <c r="I851" s="14"/>
      <c r="J851" s="14"/>
      <c r="K851" s="14"/>
      <c r="L851" s="15"/>
      <c r="R851" s="14"/>
      <c r="S851" s="14"/>
    </row>
    <row r="852">
      <c r="A852" s="2"/>
      <c r="C852" s="28"/>
      <c r="D852" s="14"/>
      <c r="E852" s="14"/>
      <c r="F852" s="14"/>
      <c r="G852" s="14"/>
      <c r="H852" s="14"/>
      <c r="I852" s="14"/>
      <c r="J852" s="14"/>
      <c r="K852" s="14"/>
      <c r="L852" s="15"/>
      <c r="R852" s="14"/>
      <c r="S852" s="14"/>
    </row>
    <row r="853">
      <c r="A853" s="2"/>
      <c r="C853" s="28"/>
      <c r="D853" s="14"/>
      <c r="E853" s="14"/>
      <c r="F853" s="14"/>
      <c r="G853" s="14"/>
      <c r="H853" s="14"/>
      <c r="I853" s="14"/>
      <c r="J853" s="14"/>
      <c r="K853" s="14"/>
      <c r="L853" s="15"/>
      <c r="R853" s="14"/>
      <c r="S853" s="14"/>
    </row>
    <row r="854">
      <c r="A854" s="2"/>
      <c r="C854" s="28"/>
      <c r="D854" s="14"/>
      <c r="E854" s="14"/>
      <c r="F854" s="14"/>
      <c r="G854" s="14"/>
      <c r="H854" s="14"/>
      <c r="I854" s="14"/>
      <c r="J854" s="14"/>
      <c r="K854" s="14"/>
      <c r="L854" s="15"/>
      <c r="R854" s="14"/>
      <c r="S854" s="14"/>
    </row>
    <row r="855">
      <c r="A855" s="2"/>
      <c r="C855" s="28"/>
      <c r="D855" s="14"/>
      <c r="E855" s="14"/>
      <c r="F855" s="14"/>
      <c r="G855" s="14"/>
      <c r="H855" s="14"/>
      <c r="I855" s="14"/>
      <c r="J855" s="14"/>
      <c r="K855" s="14"/>
      <c r="L855" s="15"/>
      <c r="R855" s="14"/>
      <c r="S855" s="14"/>
    </row>
    <row r="856">
      <c r="A856" s="2"/>
      <c r="C856" s="28"/>
      <c r="D856" s="14"/>
      <c r="E856" s="14"/>
      <c r="F856" s="14"/>
      <c r="G856" s="14"/>
      <c r="H856" s="14"/>
      <c r="I856" s="14"/>
      <c r="J856" s="14"/>
      <c r="K856" s="14"/>
      <c r="L856" s="15"/>
      <c r="R856" s="14"/>
      <c r="S856" s="14"/>
    </row>
    <row r="857">
      <c r="A857" s="2"/>
      <c r="C857" s="28"/>
      <c r="D857" s="14"/>
      <c r="E857" s="14"/>
      <c r="F857" s="14"/>
      <c r="G857" s="14"/>
      <c r="H857" s="14"/>
      <c r="I857" s="14"/>
      <c r="J857" s="14"/>
      <c r="K857" s="14"/>
      <c r="L857" s="15"/>
      <c r="R857" s="14"/>
      <c r="S857" s="14"/>
    </row>
    <row r="858">
      <c r="A858" s="2"/>
      <c r="C858" s="28"/>
      <c r="D858" s="14"/>
      <c r="E858" s="14"/>
      <c r="F858" s="14"/>
      <c r="G858" s="14"/>
      <c r="H858" s="14"/>
      <c r="I858" s="14"/>
      <c r="J858" s="14"/>
      <c r="K858" s="14"/>
      <c r="L858" s="15"/>
      <c r="R858" s="14"/>
      <c r="S858" s="14"/>
    </row>
    <row r="859">
      <c r="A859" s="2"/>
      <c r="C859" s="28"/>
      <c r="D859" s="14"/>
      <c r="E859" s="14"/>
      <c r="F859" s="14"/>
      <c r="G859" s="14"/>
      <c r="H859" s="14"/>
      <c r="I859" s="14"/>
      <c r="J859" s="14"/>
      <c r="K859" s="14"/>
      <c r="L859" s="15"/>
      <c r="R859" s="14"/>
      <c r="S859" s="14"/>
    </row>
    <row r="860">
      <c r="A860" s="2"/>
      <c r="C860" s="28"/>
      <c r="D860" s="14"/>
      <c r="E860" s="14"/>
      <c r="F860" s="14"/>
      <c r="G860" s="14"/>
      <c r="H860" s="14"/>
      <c r="I860" s="14"/>
      <c r="J860" s="14"/>
      <c r="K860" s="14"/>
      <c r="L860" s="15"/>
      <c r="R860" s="14"/>
      <c r="S860" s="14"/>
    </row>
    <row r="861">
      <c r="A861" s="2"/>
      <c r="C861" s="28"/>
      <c r="D861" s="14"/>
      <c r="E861" s="14"/>
      <c r="F861" s="14"/>
      <c r="G861" s="14"/>
      <c r="H861" s="14"/>
      <c r="I861" s="14"/>
      <c r="J861" s="14"/>
      <c r="K861" s="14"/>
      <c r="L861" s="15"/>
      <c r="R861" s="14"/>
      <c r="S861" s="14"/>
    </row>
    <row r="862">
      <c r="A862" s="2"/>
      <c r="C862" s="28"/>
      <c r="D862" s="14"/>
      <c r="E862" s="14"/>
      <c r="F862" s="14"/>
      <c r="G862" s="14"/>
      <c r="H862" s="14"/>
      <c r="I862" s="14"/>
      <c r="J862" s="14"/>
      <c r="K862" s="14"/>
      <c r="L862" s="15"/>
      <c r="R862" s="14"/>
      <c r="S862" s="14"/>
    </row>
    <row r="863">
      <c r="A863" s="2"/>
      <c r="C863" s="28"/>
      <c r="D863" s="14"/>
      <c r="E863" s="14"/>
      <c r="F863" s="14"/>
      <c r="G863" s="14"/>
      <c r="H863" s="14"/>
      <c r="I863" s="14"/>
      <c r="J863" s="14"/>
      <c r="K863" s="14"/>
      <c r="L863" s="15"/>
      <c r="R863" s="14"/>
      <c r="S863" s="14"/>
    </row>
    <row r="864">
      <c r="A864" s="2"/>
      <c r="C864" s="28"/>
      <c r="D864" s="14"/>
      <c r="E864" s="14"/>
      <c r="F864" s="14"/>
      <c r="G864" s="14"/>
      <c r="H864" s="14"/>
      <c r="I864" s="14"/>
      <c r="J864" s="14"/>
      <c r="K864" s="14"/>
      <c r="L864" s="15"/>
      <c r="R864" s="14"/>
      <c r="S864" s="14"/>
    </row>
    <row r="865">
      <c r="A865" s="2"/>
      <c r="C865" s="28"/>
      <c r="D865" s="14"/>
      <c r="E865" s="14"/>
      <c r="F865" s="14"/>
      <c r="G865" s="14"/>
      <c r="H865" s="14"/>
      <c r="I865" s="14"/>
      <c r="J865" s="14"/>
      <c r="K865" s="14"/>
      <c r="L865" s="15"/>
      <c r="R865" s="14"/>
      <c r="S865" s="14"/>
    </row>
    <row r="866">
      <c r="A866" s="2"/>
      <c r="C866" s="28"/>
      <c r="D866" s="14"/>
      <c r="E866" s="14"/>
      <c r="F866" s="14"/>
      <c r="G866" s="14"/>
      <c r="H866" s="14"/>
      <c r="I866" s="14"/>
      <c r="J866" s="14"/>
      <c r="K866" s="14"/>
      <c r="L866" s="15"/>
      <c r="R866" s="14"/>
      <c r="S866" s="14"/>
    </row>
    <row r="867">
      <c r="A867" s="2"/>
      <c r="C867" s="28"/>
      <c r="D867" s="14"/>
      <c r="E867" s="14"/>
      <c r="F867" s="14"/>
      <c r="G867" s="14"/>
      <c r="H867" s="14"/>
      <c r="I867" s="14"/>
      <c r="J867" s="14"/>
      <c r="K867" s="14"/>
      <c r="L867" s="15"/>
      <c r="R867" s="14"/>
      <c r="S867" s="14"/>
    </row>
    <row r="868">
      <c r="A868" s="2"/>
      <c r="C868" s="28"/>
      <c r="D868" s="14"/>
      <c r="E868" s="14"/>
      <c r="F868" s="14"/>
      <c r="G868" s="14"/>
      <c r="H868" s="14"/>
      <c r="I868" s="14"/>
      <c r="J868" s="14"/>
      <c r="K868" s="14"/>
      <c r="L868" s="15"/>
      <c r="R868" s="14"/>
      <c r="S868" s="14"/>
    </row>
    <row r="869">
      <c r="A869" s="2"/>
      <c r="C869" s="28"/>
      <c r="D869" s="14"/>
      <c r="E869" s="14"/>
      <c r="F869" s="14"/>
      <c r="G869" s="14"/>
      <c r="H869" s="14"/>
      <c r="I869" s="14"/>
      <c r="J869" s="14"/>
      <c r="K869" s="14"/>
      <c r="L869" s="15"/>
      <c r="R869" s="14"/>
      <c r="S869" s="14"/>
    </row>
    <row r="870">
      <c r="A870" s="2"/>
      <c r="C870" s="28"/>
      <c r="D870" s="14"/>
      <c r="E870" s="14"/>
      <c r="F870" s="14"/>
      <c r="G870" s="14"/>
      <c r="H870" s="14"/>
      <c r="I870" s="14"/>
      <c r="J870" s="14"/>
      <c r="K870" s="14"/>
      <c r="L870" s="15"/>
      <c r="R870" s="14"/>
      <c r="S870" s="14"/>
    </row>
    <row r="871">
      <c r="A871" s="2"/>
      <c r="C871" s="28"/>
      <c r="D871" s="14"/>
      <c r="E871" s="14"/>
      <c r="F871" s="14"/>
      <c r="G871" s="14"/>
      <c r="H871" s="14"/>
      <c r="I871" s="14"/>
      <c r="J871" s="14"/>
      <c r="K871" s="14"/>
      <c r="L871" s="15"/>
      <c r="R871" s="14"/>
      <c r="S871" s="14"/>
    </row>
    <row r="872">
      <c r="A872" s="2"/>
      <c r="C872" s="28"/>
      <c r="D872" s="14"/>
      <c r="E872" s="14"/>
      <c r="F872" s="14"/>
      <c r="G872" s="14"/>
      <c r="H872" s="14"/>
      <c r="I872" s="14"/>
      <c r="J872" s="14"/>
      <c r="K872" s="14"/>
      <c r="L872" s="15"/>
      <c r="R872" s="14"/>
      <c r="S872" s="14"/>
    </row>
    <row r="873">
      <c r="A873" s="2"/>
      <c r="C873" s="28"/>
      <c r="D873" s="14"/>
      <c r="E873" s="14"/>
      <c r="F873" s="14"/>
      <c r="G873" s="14"/>
      <c r="H873" s="14"/>
      <c r="I873" s="14"/>
      <c r="J873" s="14"/>
      <c r="K873" s="14"/>
      <c r="L873" s="15"/>
      <c r="R873" s="14"/>
      <c r="S873" s="14"/>
    </row>
    <row r="874">
      <c r="A874" s="2"/>
      <c r="C874" s="28"/>
      <c r="D874" s="14"/>
      <c r="E874" s="14"/>
      <c r="F874" s="14"/>
      <c r="G874" s="14"/>
      <c r="H874" s="14"/>
      <c r="I874" s="14"/>
      <c r="J874" s="14"/>
      <c r="K874" s="14"/>
      <c r="L874" s="15"/>
      <c r="R874" s="14"/>
      <c r="S874" s="14"/>
    </row>
    <row r="875">
      <c r="A875" s="2"/>
      <c r="C875" s="28"/>
      <c r="D875" s="14"/>
      <c r="E875" s="14"/>
      <c r="F875" s="14"/>
      <c r="G875" s="14"/>
      <c r="H875" s="14"/>
      <c r="I875" s="14"/>
      <c r="J875" s="14"/>
      <c r="K875" s="14"/>
      <c r="L875" s="15"/>
      <c r="R875" s="14"/>
      <c r="S875" s="14"/>
    </row>
    <row r="876">
      <c r="A876" s="2"/>
      <c r="C876" s="28"/>
      <c r="D876" s="14"/>
      <c r="E876" s="14"/>
      <c r="F876" s="14"/>
      <c r="G876" s="14"/>
      <c r="H876" s="14"/>
      <c r="I876" s="14"/>
      <c r="J876" s="14"/>
      <c r="K876" s="14"/>
      <c r="L876" s="15"/>
      <c r="R876" s="14"/>
      <c r="S876" s="14"/>
    </row>
    <row r="877">
      <c r="A877" s="2"/>
      <c r="C877" s="28"/>
      <c r="D877" s="14"/>
      <c r="E877" s="14"/>
      <c r="F877" s="14"/>
      <c r="G877" s="14"/>
      <c r="H877" s="14"/>
      <c r="I877" s="14"/>
      <c r="J877" s="14"/>
      <c r="K877" s="14"/>
      <c r="L877" s="15"/>
      <c r="R877" s="14"/>
      <c r="S877" s="14"/>
    </row>
    <row r="878">
      <c r="A878" s="2"/>
      <c r="C878" s="28"/>
      <c r="D878" s="14"/>
      <c r="E878" s="14"/>
      <c r="F878" s="14"/>
      <c r="G878" s="14"/>
      <c r="H878" s="14"/>
      <c r="I878" s="14"/>
      <c r="J878" s="14"/>
      <c r="K878" s="14"/>
      <c r="L878" s="15"/>
      <c r="R878" s="14"/>
      <c r="S878" s="14"/>
    </row>
    <row r="879">
      <c r="A879" s="2"/>
      <c r="C879" s="28"/>
      <c r="D879" s="14"/>
      <c r="E879" s="14"/>
      <c r="F879" s="14"/>
      <c r="G879" s="14"/>
      <c r="H879" s="14"/>
      <c r="I879" s="14"/>
      <c r="J879" s="14"/>
      <c r="K879" s="14"/>
      <c r="L879" s="15"/>
      <c r="R879" s="14"/>
      <c r="S879" s="14"/>
    </row>
    <row r="880">
      <c r="A880" s="2"/>
      <c r="C880" s="28"/>
      <c r="D880" s="14"/>
      <c r="E880" s="14"/>
      <c r="F880" s="14"/>
      <c r="G880" s="14"/>
      <c r="H880" s="14"/>
      <c r="I880" s="14"/>
      <c r="J880" s="14"/>
      <c r="K880" s="14"/>
      <c r="L880" s="15"/>
      <c r="R880" s="14"/>
      <c r="S880" s="14"/>
    </row>
    <row r="881">
      <c r="A881" s="2"/>
      <c r="C881" s="28"/>
      <c r="D881" s="14"/>
      <c r="E881" s="14"/>
      <c r="F881" s="14"/>
      <c r="G881" s="14"/>
      <c r="H881" s="14"/>
      <c r="I881" s="14"/>
      <c r="J881" s="14"/>
      <c r="K881" s="14"/>
      <c r="L881" s="15"/>
      <c r="R881" s="14"/>
      <c r="S881" s="14"/>
    </row>
    <row r="882">
      <c r="A882" s="2"/>
      <c r="C882" s="28"/>
      <c r="D882" s="14"/>
      <c r="E882" s="14"/>
      <c r="F882" s="14"/>
      <c r="G882" s="14"/>
      <c r="H882" s="14"/>
      <c r="I882" s="14"/>
      <c r="J882" s="14"/>
      <c r="K882" s="14"/>
      <c r="L882" s="15"/>
      <c r="R882" s="14"/>
      <c r="S882" s="14"/>
    </row>
    <row r="883">
      <c r="A883" s="2"/>
      <c r="C883" s="28"/>
      <c r="D883" s="14"/>
      <c r="E883" s="14"/>
      <c r="F883" s="14"/>
      <c r="G883" s="14"/>
      <c r="H883" s="14"/>
      <c r="I883" s="14"/>
      <c r="J883" s="14"/>
      <c r="K883" s="14"/>
      <c r="L883" s="15"/>
      <c r="R883" s="14"/>
      <c r="S883" s="14"/>
    </row>
    <row r="884">
      <c r="A884" s="2"/>
      <c r="C884" s="28"/>
      <c r="D884" s="14"/>
      <c r="E884" s="14"/>
      <c r="F884" s="14"/>
      <c r="G884" s="14"/>
      <c r="H884" s="14"/>
      <c r="I884" s="14"/>
      <c r="J884" s="14"/>
      <c r="K884" s="14"/>
      <c r="L884" s="15"/>
      <c r="R884" s="14"/>
      <c r="S884" s="14"/>
    </row>
    <row r="885">
      <c r="A885" s="2"/>
      <c r="C885" s="28"/>
      <c r="D885" s="14"/>
      <c r="E885" s="14"/>
      <c r="F885" s="14"/>
      <c r="G885" s="14"/>
      <c r="H885" s="14"/>
      <c r="I885" s="14"/>
      <c r="J885" s="14"/>
      <c r="K885" s="14"/>
      <c r="L885" s="15"/>
      <c r="R885" s="14"/>
      <c r="S885" s="14"/>
    </row>
    <row r="886">
      <c r="A886" s="2"/>
      <c r="C886" s="28"/>
      <c r="D886" s="14"/>
      <c r="E886" s="14"/>
      <c r="F886" s="14"/>
      <c r="G886" s="14"/>
      <c r="H886" s="14"/>
      <c r="I886" s="14"/>
      <c r="J886" s="14"/>
      <c r="K886" s="14"/>
      <c r="L886" s="15"/>
      <c r="R886" s="14"/>
      <c r="S886" s="14"/>
    </row>
    <row r="887">
      <c r="A887" s="2"/>
      <c r="C887" s="28"/>
      <c r="D887" s="14"/>
      <c r="E887" s="14"/>
      <c r="F887" s="14"/>
      <c r="G887" s="14"/>
      <c r="H887" s="14"/>
      <c r="I887" s="14"/>
      <c r="J887" s="14"/>
      <c r="K887" s="14"/>
      <c r="L887" s="15"/>
      <c r="R887" s="14"/>
      <c r="S887" s="14"/>
    </row>
    <row r="888">
      <c r="A888" s="2"/>
      <c r="C888" s="28"/>
      <c r="D888" s="14"/>
      <c r="E888" s="14"/>
      <c r="F888" s="14"/>
      <c r="G888" s="14"/>
      <c r="H888" s="14"/>
      <c r="I888" s="14"/>
      <c r="J888" s="14"/>
      <c r="K888" s="14"/>
      <c r="L888" s="15"/>
      <c r="R888" s="14"/>
      <c r="S888" s="14"/>
    </row>
    <row r="889">
      <c r="A889" s="2"/>
      <c r="C889" s="28"/>
      <c r="D889" s="14"/>
      <c r="E889" s="14"/>
      <c r="F889" s="14"/>
      <c r="G889" s="14"/>
      <c r="H889" s="14"/>
      <c r="I889" s="14"/>
      <c r="J889" s="14"/>
      <c r="K889" s="14"/>
      <c r="L889" s="15"/>
      <c r="R889" s="14"/>
      <c r="S889" s="14"/>
    </row>
    <row r="890">
      <c r="A890" s="2"/>
      <c r="C890" s="28"/>
      <c r="D890" s="14"/>
      <c r="E890" s="14"/>
      <c r="F890" s="14"/>
      <c r="G890" s="14"/>
      <c r="H890" s="14"/>
      <c r="I890" s="14"/>
      <c r="J890" s="14"/>
      <c r="K890" s="14"/>
      <c r="L890" s="15"/>
      <c r="R890" s="14"/>
      <c r="S890" s="14"/>
    </row>
    <row r="891">
      <c r="A891" s="2"/>
      <c r="C891" s="28"/>
      <c r="D891" s="14"/>
      <c r="E891" s="14"/>
      <c r="F891" s="14"/>
      <c r="G891" s="14"/>
      <c r="H891" s="14"/>
      <c r="I891" s="14"/>
      <c r="J891" s="14"/>
      <c r="K891" s="14"/>
      <c r="L891" s="15"/>
      <c r="R891" s="14"/>
      <c r="S891" s="14"/>
    </row>
    <row r="892">
      <c r="A892" s="2"/>
      <c r="C892" s="28"/>
      <c r="D892" s="14"/>
      <c r="E892" s="14"/>
      <c r="F892" s="14"/>
      <c r="G892" s="14"/>
      <c r="H892" s="14"/>
      <c r="I892" s="14"/>
      <c r="J892" s="14"/>
      <c r="K892" s="14"/>
      <c r="L892" s="15"/>
      <c r="R892" s="14"/>
      <c r="S892" s="14"/>
    </row>
    <row r="893">
      <c r="A893" s="2"/>
      <c r="C893" s="28"/>
      <c r="D893" s="14"/>
      <c r="E893" s="14"/>
      <c r="F893" s="14"/>
      <c r="G893" s="14"/>
      <c r="H893" s="14"/>
      <c r="I893" s="14"/>
      <c r="J893" s="14"/>
      <c r="K893" s="14"/>
      <c r="L893" s="15"/>
      <c r="R893" s="14"/>
      <c r="S893" s="14"/>
    </row>
    <row r="894">
      <c r="A894" s="2"/>
      <c r="C894" s="28"/>
      <c r="D894" s="14"/>
      <c r="E894" s="14"/>
      <c r="F894" s="14"/>
      <c r="G894" s="14"/>
      <c r="H894" s="14"/>
      <c r="I894" s="14"/>
      <c r="J894" s="14"/>
      <c r="K894" s="14"/>
      <c r="L894" s="15"/>
      <c r="R894" s="14"/>
      <c r="S894" s="14"/>
    </row>
    <row r="895">
      <c r="A895" s="2"/>
      <c r="C895" s="28"/>
      <c r="D895" s="14"/>
      <c r="E895" s="14"/>
      <c r="F895" s="14"/>
      <c r="G895" s="14"/>
      <c r="H895" s="14"/>
      <c r="I895" s="14"/>
      <c r="J895" s="14"/>
      <c r="K895" s="14"/>
      <c r="L895" s="15"/>
      <c r="R895" s="14"/>
      <c r="S895" s="14"/>
    </row>
    <row r="896">
      <c r="A896" s="2"/>
      <c r="C896" s="28"/>
      <c r="D896" s="14"/>
      <c r="E896" s="14"/>
      <c r="F896" s="14"/>
      <c r="G896" s="14"/>
      <c r="H896" s="14"/>
      <c r="I896" s="14"/>
      <c r="J896" s="14"/>
      <c r="K896" s="14"/>
      <c r="L896" s="15"/>
      <c r="R896" s="14"/>
      <c r="S896" s="14"/>
    </row>
    <row r="897">
      <c r="A897" s="2"/>
      <c r="C897" s="28"/>
      <c r="D897" s="14"/>
      <c r="E897" s="14"/>
      <c r="F897" s="14"/>
      <c r="G897" s="14"/>
      <c r="H897" s="14"/>
      <c r="I897" s="14"/>
      <c r="J897" s="14"/>
      <c r="K897" s="14"/>
      <c r="L897" s="15"/>
      <c r="R897" s="14"/>
      <c r="S897" s="14"/>
    </row>
    <row r="898">
      <c r="A898" s="2"/>
      <c r="C898" s="28"/>
      <c r="D898" s="14"/>
      <c r="E898" s="14"/>
      <c r="F898" s="14"/>
      <c r="G898" s="14"/>
      <c r="H898" s="14"/>
      <c r="I898" s="14"/>
      <c r="J898" s="14"/>
      <c r="K898" s="14"/>
      <c r="L898" s="15"/>
      <c r="R898" s="14"/>
      <c r="S898" s="14"/>
    </row>
    <row r="899">
      <c r="A899" s="2"/>
      <c r="C899" s="28"/>
      <c r="D899" s="14"/>
      <c r="E899" s="14"/>
      <c r="F899" s="14"/>
      <c r="G899" s="14"/>
      <c r="H899" s="14"/>
      <c r="I899" s="14"/>
      <c r="J899" s="14"/>
      <c r="K899" s="14"/>
      <c r="L899" s="15"/>
      <c r="R899" s="14"/>
      <c r="S899" s="14"/>
    </row>
    <row r="900">
      <c r="A900" s="2"/>
      <c r="C900" s="28"/>
      <c r="D900" s="14"/>
      <c r="E900" s="14"/>
      <c r="F900" s="14"/>
      <c r="G900" s="14"/>
      <c r="H900" s="14"/>
      <c r="I900" s="14"/>
      <c r="J900" s="14"/>
      <c r="K900" s="14"/>
      <c r="L900" s="15"/>
      <c r="R900" s="14"/>
      <c r="S900" s="14"/>
    </row>
    <row r="901">
      <c r="A901" s="2"/>
      <c r="C901" s="28"/>
      <c r="D901" s="14"/>
      <c r="E901" s="14"/>
      <c r="F901" s="14"/>
      <c r="G901" s="14"/>
      <c r="H901" s="14"/>
      <c r="I901" s="14"/>
      <c r="J901" s="14"/>
      <c r="K901" s="14"/>
      <c r="L901" s="15"/>
      <c r="R901" s="14"/>
      <c r="S901" s="14"/>
    </row>
    <row r="902">
      <c r="A902" s="2"/>
      <c r="C902" s="28"/>
      <c r="D902" s="14"/>
      <c r="E902" s="14"/>
      <c r="F902" s="14"/>
      <c r="G902" s="14"/>
      <c r="H902" s="14"/>
      <c r="I902" s="14"/>
      <c r="J902" s="14"/>
      <c r="K902" s="14"/>
      <c r="L902" s="15"/>
      <c r="R902" s="14"/>
      <c r="S902" s="14"/>
    </row>
    <row r="903">
      <c r="A903" s="2"/>
      <c r="C903" s="28"/>
      <c r="D903" s="14"/>
      <c r="E903" s="14"/>
      <c r="F903" s="14"/>
      <c r="G903" s="14"/>
      <c r="H903" s="14"/>
      <c r="I903" s="14"/>
      <c r="J903" s="14"/>
      <c r="K903" s="14"/>
      <c r="L903" s="15"/>
      <c r="R903" s="14"/>
      <c r="S903" s="14"/>
    </row>
    <row r="904">
      <c r="A904" s="2"/>
      <c r="C904" s="28"/>
      <c r="D904" s="14"/>
      <c r="E904" s="14"/>
      <c r="F904" s="14"/>
      <c r="G904" s="14"/>
      <c r="H904" s="14"/>
      <c r="I904" s="14"/>
      <c r="J904" s="14"/>
      <c r="K904" s="14"/>
      <c r="L904" s="15"/>
      <c r="R904" s="14"/>
      <c r="S904" s="14"/>
    </row>
    <row r="905">
      <c r="A905" s="2"/>
      <c r="C905" s="28"/>
      <c r="D905" s="14"/>
      <c r="E905" s="14"/>
      <c r="F905" s="14"/>
      <c r="G905" s="14"/>
      <c r="H905" s="14"/>
      <c r="I905" s="14"/>
      <c r="J905" s="14"/>
      <c r="K905" s="14"/>
      <c r="L905" s="15"/>
      <c r="R905" s="14"/>
      <c r="S905" s="14"/>
    </row>
    <row r="906">
      <c r="A906" s="2"/>
      <c r="C906" s="28"/>
      <c r="D906" s="14"/>
      <c r="E906" s="14"/>
      <c r="F906" s="14"/>
      <c r="G906" s="14"/>
      <c r="H906" s="14"/>
      <c r="I906" s="14"/>
      <c r="J906" s="14"/>
      <c r="K906" s="14"/>
      <c r="L906" s="15"/>
      <c r="R906" s="14"/>
      <c r="S906" s="14"/>
    </row>
    <row r="907">
      <c r="A907" s="2"/>
      <c r="C907" s="28"/>
      <c r="D907" s="14"/>
      <c r="E907" s="14"/>
      <c r="F907" s="14"/>
      <c r="G907" s="14"/>
      <c r="H907" s="14"/>
      <c r="I907" s="14"/>
      <c r="J907" s="14"/>
      <c r="K907" s="14"/>
      <c r="L907" s="15"/>
      <c r="R907" s="14"/>
      <c r="S907" s="14"/>
    </row>
    <row r="908">
      <c r="A908" s="2"/>
      <c r="C908" s="28"/>
      <c r="D908" s="14"/>
      <c r="E908" s="14"/>
      <c r="F908" s="14"/>
      <c r="G908" s="14"/>
      <c r="H908" s="14"/>
      <c r="I908" s="14"/>
      <c r="J908" s="14"/>
      <c r="K908" s="14"/>
      <c r="L908" s="15"/>
      <c r="R908" s="14"/>
      <c r="S908" s="14"/>
    </row>
    <row r="909">
      <c r="A909" s="2"/>
      <c r="C909" s="28"/>
      <c r="D909" s="14"/>
      <c r="E909" s="14"/>
      <c r="F909" s="14"/>
      <c r="G909" s="14"/>
      <c r="H909" s="14"/>
      <c r="I909" s="14"/>
      <c r="J909" s="14"/>
      <c r="K909" s="14"/>
      <c r="L909" s="15"/>
      <c r="R909" s="14"/>
      <c r="S909" s="14"/>
    </row>
    <row r="910">
      <c r="A910" s="2"/>
      <c r="C910" s="28"/>
      <c r="D910" s="14"/>
      <c r="E910" s="14"/>
      <c r="F910" s="14"/>
      <c r="G910" s="14"/>
      <c r="H910" s="14"/>
      <c r="I910" s="14"/>
      <c r="J910" s="14"/>
      <c r="K910" s="14"/>
      <c r="L910" s="15"/>
      <c r="R910" s="14"/>
      <c r="S910" s="14"/>
    </row>
    <row r="911">
      <c r="A911" s="2"/>
      <c r="C911" s="28"/>
      <c r="D911" s="14"/>
      <c r="E911" s="14"/>
      <c r="F911" s="14"/>
      <c r="G911" s="14"/>
      <c r="H911" s="14"/>
      <c r="I911" s="14"/>
      <c r="J911" s="14"/>
      <c r="K911" s="14"/>
      <c r="L911" s="15"/>
      <c r="R911" s="14"/>
      <c r="S911" s="14"/>
    </row>
    <row r="912">
      <c r="A912" s="2"/>
      <c r="C912" s="28"/>
      <c r="D912" s="14"/>
      <c r="E912" s="14"/>
      <c r="F912" s="14"/>
      <c r="G912" s="14"/>
      <c r="H912" s="14"/>
      <c r="I912" s="14"/>
      <c r="J912" s="14"/>
      <c r="K912" s="14"/>
      <c r="L912" s="15"/>
      <c r="R912" s="14"/>
      <c r="S912" s="14"/>
    </row>
    <row r="913">
      <c r="A913" s="2"/>
      <c r="C913" s="28"/>
      <c r="D913" s="14"/>
      <c r="E913" s="14"/>
      <c r="F913" s="14"/>
      <c r="G913" s="14"/>
      <c r="H913" s="14"/>
      <c r="I913" s="14"/>
      <c r="J913" s="14"/>
      <c r="K913" s="14"/>
      <c r="L913" s="15"/>
      <c r="R913" s="14"/>
      <c r="S913" s="14"/>
    </row>
    <row r="914">
      <c r="A914" s="2"/>
      <c r="C914" s="28"/>
      <c r="D914" s="14"/>
      <c r="E914" s="14"/>
      <c r="F914" s="14"/>
      <c r="G914" s="14"/>
      <c r="H914" s="14"/>
      <c r="I914" s="14"/>
      <c r="J914" s="14"/>
      <c r="K914" s="14"/>
      <c r="L914" s="15"/>
      <c r="R914" s="14"/>
      <c r="S914" s="14"/>
    </row>
    <row r="915">
      <c r="A915" s="2"/>
      <c r="C915" s="28"/>
      <c r="D915" s="14"/>
      <c r="E915" s="14"/>
      <c r="F915" s="14"/>
      <c r="G915" s="14"/>
      <c r="H915" s="14"/>
      <c r="I915" s="14"/>
      <c r="J915" s="14"/>
      <c r="K915" s="14"/>
      <c r="L915" s="15"/>
      <c r="R915" s="14"/>
      <c r="S915" s="14"/>
    </row>
    <row r="916">
      <c r="A916" s="2"/>
      <c r="C916" s="28"/>
      <c r="D916" s="14"/>
      <c r="E916" s="14"/>
      <c r="F916" s="14"/>
      <c r="G916" s="14"/>
      <c r="H916" s="14"/>
      <c r="I916" s="14"/>
      <c r="J916" s="14"/>
      <c r="K916" s="14"/>
      <c r="L916" s="15"/>
      <c r="R916" s="14"/>
      <c r="S916" s="14"/>
    </row>
    <row r="917">
      <c r="A917" s="2"/>
      <c r="C917" s="28"/>
      <c r="D917" s="14"/>
      <c r="E917" s="14"/>
      <c r="F917" s="14"/>
      <c r="G917" s="14"/>
      <c r="H917" s="14"/>
      <c r="I917" s="14"/>
      <c r="J917" s="14"/>
      <c r="K917" s="14"/>
      <c r="L917" s="15"/>
      <c r="R917" s="14"/>
      <c r="S917" s="14"/>
    </row>
    <row r="918">
      <c r="A918" s="2"/>
      <c r="C918" s="28"/>
      <c r="D918" s="14"/>
      <c r="E918" s="14"/>
      <c r="F918" s="14"/>
      <c r="G918" s="14"/>
      <c r="H918" s="14"/>
      <c r="I918" s="14"/>
      <c r="J918" s="14"/>
      <c r="K918" s="14"/>
      <c r="L918" s="15"/>
      <c r="R918" s="14"/>
      <c r="S918" s="14"/>
    </row>
    <row r="919">
      <c r="A919" s="2"/>
      <c r="C919" s="28"/>
      <c r="D919" s="14"/>
      <c r="E919" s="14"/>
      <c r="F919" s="14"/>
      <c r="G919" s="14"/>
      <c r="H919" s="14"/>
      <c r="I919" s="14"/>
      <c r="J919" s="14"/>
      <c r="K919" s="14"/>
      <c r="L919" s="15"/>
      <c r="R919" s="14"/>
      <c r="S919" s="14"/>
    </row>
    <row r="920">
      <c r="A920" s="2"/>
      <c r="C920" s="28"/>
      <c r="D920" s="14"/>
      <c r="E920" s="14"/>
      <c r="F920" s="14"/>
      <c r="G920" s="14"/>
      <c r="H920" s="14"/>
      <c r="I920" s="14"/>
      <c r="J920" s="14"/>
      <c r="K920" s="14"/>
      <c r="L920" s="15"/>
      <c r="R920" s="14"/>
      <c r="S920" s="14"/>
    </row>
    <row r="921">
      <c r="A921" s="2"/>
      <c r="C921" s="28"/>
      <c r="D921" s="14"/>
      <c r="E921" s="14"/>
      <c r="F921" s="14"/>
      <c r="G921" s="14"/>
      <c r="H921" s="14"/>
      <c r="I921" s="14"/>
      <c r="J921" s="14"/>
      <c r="K921" s="14"/>
      <c r="L921" s="15"/>
      <c r="R921" s="14"/>
      <c r="S921" s="14"/>
    </row>
    <row r="922">
      <c r="A922" s="2"/>
      <c r="C922" s="28"/>
      <c r="D922" s="14"/>
      <c r="E922" s="14"/>
      <c r="F922" s="14"/>
      <c r="G922" s="14"/>
      <c r="H922" s="14"/>
      <c r="I922" s="14"/>
      <c r="J922" s="14"/>
      <c r="K922" s="14"/>
      <c r="L922" s="15"/>
      <c r="R922" s="14"/>
      <c r="S922" s="14"/>
    </row>
    <row r="923">
      <c r="A923" s="2"/>
      <c r="C923" s="28"/>
      <c r="D923" s="14"/>
      <c r="E923" s="14"/>
      <c r="F923" s="14"/>
      <c r="G923" s="14"/>
      <c r="H923" s="14"/>
      <c r="I923" s="14"/>
      <c r="J923" s="14"/>
      <c r="K923" s="14"/>
      <c r="L923" s="15"/>
      <c r="R923" s="14"/>
      <c r="S923" s="14"/>
    </row>
    <row r="924">
      <c r="A924" s="2"/>
      <c r="C924" s="28"/>
      <c r="D924" s="14"/>
      <c r="E924" s="14"/>
      <c r="F924" s="14"/>
      <c r="G924" s="14"/>
      <c r="H924" s="14"/>
      <c r="I924" s="14"/>
      <c r="J924" s="14"/>
      <c r="K924" s="14"/>
      <c r="L924" s="15"/>
      <c r="R924" s="14"/>
      <c r="S924" s="14"/>
    </row>
    <row r="925">
      <c r="A925" s="2"/>
      <c r="C925" s="28"/>
      <c r="D925" s="14"/>
      <c r="E925" s="14"/>
      <c r="F925" s="14"/>
      <c r="G925" s="14"/>
      <c r="H925" s="14"/>
      <c r="I925" s="14"/>
      <c r="J925" s="14"/>
      <c r="K925" s="14"/>
      <c r="L925" s="15"/>
      <c r="R925" s="14"/>
      <c r="S925" s="14"/>
    </row>
    <row r="926">
      <c r="A926" s="2"/>
      <c r="C926" s="28"/>
      <c r="D926" s="14"/>
      <c r="E926" s="14"/>
      <c r="F926" s="14"/>
      <c r="G926" s="14"/>
      <c r="H926" s="14"/>
      <c r="I926" s="14"/>
      <c r="J926" s="14"/>
      <c r="K926" s="14"/>
      <c r="L926" s="15"/>
      <c r="R926" s="14"/>
      <c r="S926" s="14"/>
    </row>
    <row r="927">
      <c r="A927" s="2"/>
      <c r="C927" s="28"/>
      <c r="D927" s="14"/>
      <c r="E927" s="14"/>
      <c r="F927" s="14"/>
      <c r="G927" s="14"/>
      <c r="H927" s="14"/>
      <c r="I927" s="14"/>
      <c r="J927" s="14"/>
      <c r="K927" s="14"/>
      <c r="L927" s="15"/>
      <c r="R927" s="14"/>
      <c r="S927" s="14"/>
    </row>
    <row r="928">
      <c r="A928" s="2"/>
      <c r="C928" s="28"/>
      <c r="D928" s="14"/>
      <c r="E928" s="14"/>
      <c r="F928" s="14"/>
      <c r="G928" s="14"/>
      <c r="H928" s="14"/>
      <c r="I928" s="14"/>
      <c r="J928" s="14"/>
      <c r="K928" s="14"/>
      <c r="L928" s="15"/>
      <c r="R928" s="14"/>
      <c r="S928" s="14"/>
    </row>
    <row r="929">
      <c r="A929" s="2"/>
      <c r="C929" s="28"/>
      <c r="D929" s="14"/>
      <c r="E929" s="14"/>
      <c r="F929" s="14"/>
      <c r="G929" s="14"/>
      <c r="H929" s="14"/>
      <c r="I929" s="14"/>
      <c r="J929" s="14"/>
      <c r="K929" s="14"/>
      <c r="L929" s="15"/>
      <c r="R929" s="14"/>
      <c r="S929" s="14"/>
    </row>
    <row r="930">
      <c r="A930" s="2"/>
      <c r="C930" s="28"/>
      <c r="D930" s="14"/>
      <c r="E930" s="14"/>
      <c r="F930" s="14"/>
      <c r="G930" s="14"/>
      <c r="H930" s="14"/>
      <c r="I930" s="14"/>
      <c r="J930" s="14"/>
      <c r="K930" s="14"/>
      <c r="L930" s="15"/>
      <c r="R930" s="14"/>
      <c r="S930" s="14"/>
    </row>
    <row r="931">
      <c r="A931" s="2"/>
      <c r="C931" s="28"/>
      <c r="D931" s="14"/>
      <c r="E931" s="14"/>
      <c r="F931" s="14"/>
      <c r="G931" s="14"/>
      <c r="H931" s="14"/>
      <c r="I931" s="14"/>
      <c r="J931" s="14"/>
      <c r="K931" s="14"/>
      <c r="L931" s="15"/>
      <c r="R931" s="14"/>
      <c r="S931" s="14"/>
    </row>
    <row r="932">
      <c r="A932" s="2"/>
      <c r="C932" s="28"/>
      <c r="D932" s="14"/>
      <c r="E932" s="14"/>
      <c r="F932" s="14"/>
      <c r="G932" s="14"/>
      <c r="H932" s="14"/>
      <c r="I932" s="14"/>
      <c r="J932" s="14"/>
      <c r="K932" s="14"/>
      <c r="L932" s="15"/>
      <c r="R932" s="14"/>
      <c r="S932" s="14"/>
    </row>
    <row r="933">
      <c r="A933" s="2"/>
      <c r="C933" s="28"/>
      <c r="D933" s="14"/>
      <c r="E933" s="14"/>
      <c r="F933" s="14"/>
      <c r="G933" s="14"/>
      <c r="H933" s="14"/>
      <c r="I933" s="14"/>
      <c r="J933" s="14"/>
      <c r="K933" s="14"/>
      <c r="L933" s="15"/>
      <c r="R933" s="14"/>
      <c r="S933" s="14"/>
    </row>
    <row r="934">
      <c r="A934" s="2"/>
      <c r="C934" s="28"/>
      <c r="D934" s="14"/>
      <c r="E934" s="14"/>
      <c r="F934" s="14"/>
      <c r="G934" s="14"/>
      <c r="H934" s="14"/>
      <c r="I934" s="14"/>
      <c r="J934" s="14"/>
      <c r="K934" s="14"/>
      <c r="L934" s="15"/>
      <c r="R934" s="14"/>
      <c r="S934" s="14"/>
    </row>
    <row r="935">
      <c r="A935" s="2"/>
      <c r="C935" s="28"/>
      <c r="D935" s="14"/>
      <c r="E935" s="14"/>
      <c r="F935" s="14"/>
      <c r="G935" s="14"/>
      <c r="H935" s="14"/>
      <c r="I935" s="14"/>
      <c r="J935" s="14"/>
      <c r="K935" s="14"/>
      <c r="L935" s="15"/>
      <c r="R935" s="14"/>
      <c r="S935" s="14"/>
    </row>
    <row r="936">
      <c r="A936" s="2"/>
      <c r="C936" s="28"/>
      <c r="D936" s="14"/>
      <c r="E936" s="14"/>
      <c r="F936" s="14"/>
      <c r="G936" s="14"/>
      <c r="H936" s="14"/>
      <c r="I936" s="14"/>
      <c r="J936" s="14"/>
      <c r="K936" s="14"/>
      <c r="L936" s="15"/>
      <c r="R936" s="14"/>
      <c r="S936" s="14"/>
    </row>
    <row r="937">
      <c r="A937" s="2"/>
      <c r="C937" s="28"/>
      <c r="D937" s="14"/>
      <c r="E937" s="14"/>
      <c r="F937" s="14"/>
      <c r="G937" s="14"/>
      <c r="H937" s="14"/>
      <c r="I937" s="14"/>
      <c r="J937" s="14"/>
      <c r="K937" s="14"/>
      <c r="L937" s="15"/>
      <c r="R937" s="14"/>
      <c r="S937" s="14"/>
    </row>
    <row r="938">
      <c r="A938" s="2"/>
      <c r="C938" s="28"/>
      <c r="D938" s="14"/>
      <c r="E938" s="14"/>
      <c r="F938" s="14"/>
      <c r="G938" s="14"/>
      <c r="H938" s="14"/>
      <c r="I938" s="14"/>
      <c r="J938" s="14"/>
      <c r="K938" s="14"/>
      <c r="L938" s="15"/>
      <c r="R938" s="14"/>
      <c r="S938" s="14"/>
    </row>
    <row r="939">
      <c r="A939" s="2"/>
      <c r="C939" s="28"/>
      <c r="D939" s="14"/>
      <c r="E939" s="14"/>
      <c r="F939" s="14"/>
      <c r="G939" s="14"/>
      <c r="H939" s="14"/>
      <c r="I939" s="14"/>
      <c r="J939" s="14"/>
      <c r="K939" s="14"/>
      <c r="L939" s="15"/>
      <c r="R939" s="14"/>
      <c r="S939" s="14"/>
    </row>
    <row r="940">
      <c r="A940" s="2"/>
      <c r="C940" s="28"/>
      <c r="D940" s="14"/>
      <c r="E940" s="14"/>
      <c r="F940" s="14"/>
      <c r="G940" s="14"/>
      <c r="H940" s="14"/>
      <c r="I940" s="14"/>
      <c r="J940" s="14"/>
      <c r="K940" s="14"/>
      <c r="L940" s="15"/>
      <c r="R940" s="14"/>
      <c r="S940" s="14"/>
    </row>
    <row r="941">
      <c r="A941" s="2"/>
      <c r="C941" s="28"/>
      <c r="D941" s="14"/>
      <c r="E941" s="14"/>
      <c r="F941" s="14"/>
      <c r="G941" s="14"/>
      <c r="H941" s="14"/>
      <c r="I941" s="14"/>
      <c r="J941" s="14"/>
      <c r="K941" s="14"/>
      <c r="L941" s="15"/>
      <c r="R941" s="14"/>
      <c r="S941" s="14"/>
    </row>
    <row r="942">
      <c r="A942" s="2"/>
      <c r="C942" s="28"/>
      <c r="D942" s="14"/>
      <c r="E942" s="14"/>
      <c r="F942" s="14"/>
      <c r="G942" s="14"/>
      <c r="H942" s="14"/>
      <c r="I942" s="14"/>
      <c r="J942" s="14"/>
      <c r="K942" s="14"/>
      <c r="L942" s="15"/>
      <c r="R942" s="14"/>
      <c r="S942" s="14"/>
    </row>
    <row r="943">
      <c r="A943" s="2"/>
      <c r="C943" s="28"/>
      <c r="D943" s="14"/>
      <c r="E943" s="14"/>
      <c r="F943" s="14"/>
      <c r="G943" s="14"/>
      <c r="H943" s="14"/>
      <c r="I943" s="14"/>
      <c r="J943" s="14"/>
      <c r="K943" s="14"/>
      <c r="L943" s="15"/>
      <c r="R943" s="14"/>
      <c r="S943" s="14"/>
    </row>
    <row r="944">
      <c r="A944" s="2"/>
      <c r="C944" s="28"/>
      <c r="D944" s="14"/>
      <c r="E944" s="14"/>
      <c r="F944" s="14"/>
      <c r="G944" s="14"/>
      <c r="H944" s="14"/>
      <c r="I944" s="14"/>
      <c r="J944" s="14"/>
      <c r="K944" s="14"/>
      <c r="L944" s="15"/>
      <c r="R944" s="14"/>
      <c r="S944" s="14"/>
    </row>
    <row r="945">
      <c r="A945" s="2"/>
      <c r="C945" s="28"/>
      <c r="D945" s="14"/>
      <c r="E945" s="14"/>
      <c r="F945" s="14"/>
      <c r="G945" s="14"/>
      <c r="H945" s="14"/>
      <c r="I945" s="14"/>
      <c r="J945" s="14"/>
      <c r="K945" s="14"/>
      <c r="L945" s="15"/>
      <c r="R945" s="14"/>
      <c r="S945" s="14"/>
    </row>
    <row r="946">
      <c r="A946" s="2"/>
      <c r="C946" s="28"/>
      <c r="D946" s="14"/>
      <c r="E946" s="14"/>
      <c r="F946" s="14"/>
      <c r="G946" s="14"/>
      <c r="H946" s="14"/>
      <c r="I946" s="14"/>
      <c r="J946" s="14"/>
      <c r="K946" s="14"/>
      <c r="L946" s="15"/>
      <c r="R946" s="14"/>
      <c r="S946" s="14"/>
    </row>
  </sheetData>
  <autoFilter ref="$A$1:$Q$300"/>
  <conditionalFormatting sqref="K2:L946">
    <cfRule type="cellIs" dxfId="0" priority="1" stopIfTrue="1" operator="lessThan">
      <formula>0</formula>
    </cfRule>
  </conditionalFormatting>
  <conditionalFormatting sqref="K2:L946">
    <cfRule type="cellIs" dxfId="1" priority="2" stopIfTrue="1" operator="greaterThan">
      <formula>0</formula>
    </cfRule>
  </conditionalFormatting>
  <conditionalFormatting sqref="T2:T946">
    <cfRule type="cellIs" dxfId="0" priority="3" stopIfTrue="1" operator="equal">
      <formula>"ZARAR"</formula>
    </cfRule>
  </conditionalFormatting>
  <conditionalFormatting sqref="T2:T946">
    <cfRule type="cellIs" dxfId="2" priority="4" stopIfTrue="1" operator="equal">
      <formula>"RİSKLİ"</formula>
    </cfRule>
  </conditionalFormatting>
  <conditionalFormatting sqref="T2:T946">
    <cfRule type="cellIs" dxfId="1" priority="5" stopIfTrue="1" operator="equal">
      <formula>"ÇOK KÂRLI"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8.13"/>
    <col customWidth="1" min="3" max="3" width="74.13"/>
    <col customWidth="1" min="4" max="4" width="13.38"/>
    <col customWidth="1" min="5" max="5" width="10.63"/>
    <col customWidth="1" min="6" max="6" width="12.5"/>
    <col customWidth="1" min="7" max="7" width="13.13"/>
    <col customWidth="1" min="8" max="8" width="13.63"/>
    <col customWidth="1" min="9" max="9" width="14.75"/>
    <col customWidth="1" min="10" max="11" width="14.25"/>
    <col customWidth="1" min="12" max="12" width="11.88"/>
    <col customWidth="1" min="13" max="13" width="8.25"/>
    <col customWidth="1" min="14" max="14" width="15.0"/>
    <col customWidth="1" min="15" max="15" width="15.88"/>
    <col customWidth="1" min="16" max="16" width="17.5"/>
    <col customWidth="1" min="17" max="21" width="21.13"/>
  </cols>
  <sheetData>
    <row r="1">
      <c r="A1" s="38" t="s">
        <v>19</v>
      </c>
      <c r="B1" s="38" t="s">
        <v>20</v>
      </c>
      <c r="C1" s="38" t="s">
        <v>21</v>
      </c>
      <c r="D1" s="38" t="s">
        <v>22</v>
      </c>
      <c r="E1" s="38" t="s">
        <v>23</v>
      </c>
      <c r="F1" s="38" t="s">
        <v>1660</v>
      </c>
      <c r="G1" s="38" t="s">
        <v>1661</v>
      </c>
      <c r="H1" s="38" t="s">
        <v>1662</v>
      </c>
      <c r="I1" s="38" t="s">
        <v>1663</v>
      </c>
      <c r="J1" s="38" t="s">
        <v>1664</v>
      </c>
      <c r="K1" s="38" t="s">
        <v>40</v>
      </c>
      <c r="L1" s="38" t="s">
        <v>41</v>
      </c>
      <c r="M1" s="38" t="s">
        <v>1494</v>
      </c>
      <c r="N1" s="38" t="s">
        <v>34</v>
      </c>
      <c r="O1" s="38" t="s">
        <v>47</v>
      </c>
      <c r="P1" s="38" t="s">
        <v>36</v>
      </c>
      <c r="Q1" s="38" t="s">
        <v>37</v>
      </c>
      <c r="R1" s="38" t="s">
        <v>31</v>
      </c>
      <c r="S1" s="38" t="s">
        <v>1665</v>
      </c>
      <c r="T1" s="38" t="s">
        <v>1666</v>
      </c>
      <c r="U1" s="38" t="s">
        <v>1667</v>
      </c>
    </row>
    <row r="2">
      <c r="A2" s="2">
        <f>IFERROR(__xludf.DUMMYFUNCTION("FILTER('BuyBox Karlilik'!A2:U300,'BuyBox Karlilik'!M2:M300=""EKSİK VERİ"")"),8.40134695853E11)</f>
        <v>840134695853</v>
      </c>
      <c r="B2" s="17" t="str">
        <f>IFERROR(__xludf.DUMMYFUNCTION("""COMPUTED_VALUE"""),"BARK")</f>
        <v>BARK</v>
      </c>
      <c r="C2" s="17" t="str">
        <f>IFERROR(__xludf.DUMMYFUNCTION("""COMPUTED_VALUE"""),"Starbark Beyaz Bardak Köpek Çiğneme Oyuncak - M/L Boy (Ödül Doldurulabilir)")</f>
        <v>Starbark Beyaz Bardak Köpek Çiğneme Oyuncak - M/L Boy (Ödül Doldurulabilir)</v>
      </c>
      <c r="D2" s="14">
        <f>IFERROR(__xludf.DUMMYFUNCTION("""COMPUTED_VALUE"""),1592.91)</f>
        <v>1592.91</v>
      </c>
      <c r="E2" s="14">
        <f>IFERROR(__xludf.DUMMYFUNCTION("""COMPUTED_VALUE"""),318.582)</f>
        <v>318.582</v>
      </c>
      <c r="F2" s="14">
        <f>IFERROR(__xludf.DUMMYFUNCTION("""COMPUTED_VALUE"""),86.4)</f>
        <v>86.4</v>
      </c>
      <c r="G2" s="14"/>
      <c r="H2" s="14">
        <f>IFERROR(__xludf.DUMMYFUNCTION("""COMPUTED_VALUE"""),13.19)</f>
        <v>13.19</v>
      </c>
      <c r="I2" s="14">
        <f>IFERROR(__xludf.DUMMYFUNCTION("""COMPUTED_VALUE"""),13.274250000000002)</f>
        <v>13.27425</v>
      </c>
      <c r="J2" s="14" t="str">
        <f>IFERROR(__xludf.DUMMYFUNCTION("""COMPUTED_VALUE"""),"")</f>
        <v/>
      </c>
      <c r="K2" s="14" t="str">
        <f>IFERROR(__xludf.DUMMYFUNCTION("""COMPUTED_VALUE"""),"")</f>
        <v/>
      </c>
      <c r="L2" s="15" t="str">
        <f>IFERROR(__xludf.DUMMYFUNCTION("""COMPUTED_VALUE"""),"")</f>
        <v/>
      </c>
      <c r="M2" s="17" t="str">
        <f>IFERROR(__xludf.DUMMYFUNCTION("""COMPUTED_VALUE"""),"EKSİK VERİ")</f>
        <v>EKSİK VERİ</v>
      </c>
      <c r="N2" s="17" t="str">
        <f>IFERROR(__xludf.DUMMYFUNCTION("""COMPUTED_VALUE"""),"")</f>
        <v/>
      </c>
      <c r="O2" s="17">
        <f>IFERROR(__xludf.DUMMYFUNCTION("""COMPUTED_VALUE"""),1.0)</f>
        <v>1</v>
      </c>
      <c r="P2" s="17" t="str">
        <f>IFERROR(__xludf.DUMMYFUNCTION("""COMPUTED_VALUE"""),"Maliyet eksik")</f>
        <v>Maliyet eksik</v>
      </c>
      <c r="Q2" s="17" t="str">
        <f>IFERROR(__xludf.DUMMYFUNCTION("""COMPUTED_VALUE"""),"")</f>
        <v/>
      </c>
      <c r="R2" s="14" t="str">
        <f>IFERROR(__xludf.DUMMYFUNCTION("""COMPUTED_VALUE"""),"")</f>
        <v/>
      </c>
      <c r="S2" s="14" t="str">
        <f>IFERROR(__xludf.DUMMYFUNCTION("""COMPUTED_VALUE"""),"")</f>
        <v/>
      </c>
      <c r="T2" s="17" t="str">
        <f>IFERROR(__xludf.DUMMYFUNCTION("""COMPUTED_VALUE"""),"EKSİK VERİ")</f>
        <v>EKSİK VERİ</v>
      </c>
      <c r="U2" s="17" t="str">
        <f>IFERROR(__xludf.DUMMYFUNCTION("""COMPUTED_VALUE"""),"Maliyet/desi/komisyon tamamla")</f>
        <v>Maliyet/desi/komisyon tamamla</v>
      </c>
    </row>
    <row r="3">
      <c r="A3" s="2">
        <f>IFERROR(__xludf.DUMMYFUNCTION("""COMPUTED_VALUE"""),8.40134695921E11)</f>
        <v>840134695921</v>
      </c>
      <c r="B3" s="17" t="str">
        <f>IFERROR(__xludf.DUMMYFUNCTION("""COMPUTED_VALUE"""),"BARK")</f>
        <v>BARK</v>
      </c>
      <c r="C3" s="17" t="str">
        <f>IFERROR(__xludf.DUMMYFUNCTION("""COMPUTED_VALUE"""),"Flingray Sesli Vatos Köpek Oyuncağı")</f>
        <v>Flingray Sesli Vatos Köpek Oyuncağı</v>
      </c>
      <c r="D3" s="14">
        <f>IFERROR(__xludf.DUMMYFUNCTION("""COMPUTED_VALUE"""),2126.52)</f>
        <v>2126.52</v>
      </c>
      <c r="E3" s="14">
        <f>IFERROR(__xludf.DUMMYFUNCTION("""COMPUTED_VALUE"""),425.30400000000003)</f>
        <v>425.304</v>
      </c>
      <c r="F3" s="14">
        <f>IFERROR(__xludf.DUMMYFUNCTION("""COMPUTED_VALUE"""),86.4)</f>
        <v>86.4</v>
      </c>
      <c r="G3" s="14"/>
      <c r="H3" s="14">
        <f>IFERROR(__xludf.DUMMYFUNCTION("""COMPUTED_VALUE"""),13.19)</f>
        <v>13.19</v>
      </c>
      <c r="I3" s="14">
        <f>IFERROR(__xludf.DUMMYFUNCTION("""COMPUTED_VALUE"""),17.721)</f>
        <v>17.721</v>
      </c>
      <c r="J3" s="14" t="str">
        <f>IFERROR(__xludf.DUMMYFUNCTION("""COMPUTED_VALUE"""),"")</f>
        <v/>
      </c>
      <c r="K3" s="14" t="str">
        <f>IFERROR(__xludf.DUMMYFUNCTION("""COMPUTED_VALUE"""),"")</f>
        <v/>
      </c>
      <c r="L3" s="15" t="str">
        <f>IFERROR(__xludf.DUMMYFUNCTION("""COMPUTED_VALUE"""),"")</f>
        <v/>
      </c>
      <c r="M3" s="17" t="str">
        <f>IFERROR(__xludf.DUMMYFUNCTION("""COMPUTED_VALUE"""),"EKSİK VERİ")</f>
        <v>EKSİK VERİ</v>
      </c>
      <c r="N3" s="17" t="str">
        <f>IFERROR(__xludf.DUMMYFUNCTION("""COMPUTED_VALUE"""),"")</f>
        <v/>
      </c>
      <c r="O3" s="17">
        <f>IFERROR(__xludf.DUMMYFUNCTION("""COMPUTED_VALUE"""),1.0)</f>
        <v>1</v>
      </c>
      <c r="P3" s="17" t="str">
        <f>IFERROR(__xludf.DUMMYFUNCTION("""COMPUTED_VALUE"""),"Maliyet eksik")</f>
        <v>Maliyet eksik</v>
      </c>
      <c r="Q3" s="17" t="str">
        <f>IFERROR(__xludf.DUMMYFUNCTION("""COMPUTED_VALUE"""),"")</f>
        <v/>
      </c>
      <c r="R3" s="14" t="str">
        <f>IFERROR(__xludf.DUMMYFUNCTION("""COMPUTED_VALUE"""),"")</f>
        <v/>
      </c>
      <c r="S3" s="14" t="str">
        <f>IFERROR(__xludf.DUMMYFUNCTION("""COMPUTED_VALUE"""),"")</f>
        <v/>
      </c>
      <c r="T3" s="17" t="str">
        <f>IFERROR(__xludf.DUMMYFUNCTION("""COMPUTED_VALUE"""),"EKSİK VERİ")</f>
        <v>EKSİK VERİ</v>
      </c>
      <c r="U3" s="17" t="str">
        <f>IFERROR(__xludf.DUMMYFUNCTION("""COMPUTED_VALUE"""),"Maliyet/desi/komisyon tamamla")</f>
        <v>Maliyet/desi/komisyon tamamla</v>
      </c>
    </row>
    <row r="4">
      <c r="A4" s="2">
        <f>IFERROR(__xludf.DUMMYFUNCTION("""COMPUTED_VALUE"""),8.40134695938E11)</f>
        <v>840134695938</v>
      </c>
      <c r="B4" s="17" t="str">
        <f>IFERROR(__xludf.DUMMYFUNCTION("""COMPUTED_VALUE"""),"BARK")</f>
        <v>BARK</v>
      </c>
      <c r="C4" s="17" t="str">
        <f>IFERROR(__xludf.DUMMYFUNCTION("""COMPUTED_VALUE"""),"Hambone Çiğneme Köpek Oyuncağı")</f>
        <v>Hambone Çiğneme Köpek Oyuncağı</v>
      </c>
      <c r="D4" s="14">
        <f>IFERROR(__xludf.DUMMYFUNCTION("""COMPUTED_VALUE"""),1914.66)</f>
        <v>1914.66</v>
      </c>
      <c r="E4" s="14">
        <f>IFERROR(__xludf.DUMMYFUNCTION("""COMPUTED_VALUE"""),382.932)</f>
        <v>382.932</v>
      </c>
      <c r="F4" s="14">
        <f>IFERROR(__xludf.DUMMYFUNCTION("""COMPUTED_VALUE"""),86.4)</f>
        <v>86.4</v>
      </c>
      <c r="G4" s="14"/>
      <c r="H4" s="14">
        <f>IFERROR(__xludf.DUMMYFUNCTION("""COMPUTED_VALUE"""),13.19)</f>
        <v>13.19</v>
      </c>
      <c r="I4" s="14">
        <f>IFERROR(__xludf.DUMMYFUNCTION("""COMPUTED_VALUE"""),15.955500000000002)</f>
        <v>15.9555</v>
      </c>
      <c r="J4" s="14" t="str">
        <f>IFERROR(__xludf.DUMMYFUNCTION("""COMPUTED_VALUE"""),"")</f>
        <v/>
      </c>
      <c r="K4" s="14" t="str">
        <f>IFERROR(__xludf.DUMMYFUNCTION("""COMPUTED_VALUE"""),"")</f>
        <v/>
      </c>
      <c r="L4" s="15" t="str">
        <f>IFERROR(__xludf.DUMMYFUNCTION("""COMPUTED_VALUE"""),"")</f>
        <v/>
      </c>
      <c r="M4" s="17" t="str">
        <f>IFERROR(__xludf.DUMMYFUNCTION("""COMPUTED_VALUE"""),"EKSİK VERİ")</f>
        <v>EKSİK VERİ</v>
      </c>
      <c r="N4" s="17" t="str">
        <f>IFERROR(__xludf.DUMMYFUNCTION("""COMPUTED_VALUE"""),"")</f>
        <v/>
      </c>
      <c r="O4" s="17">
        <f>IFERROR(__xludf.DUMMYFUNCTION("""COMPUTED_VALUE"""),1.0)</f>
        <v>1</v>
      </c>
      <c r="P4" s="17" t="str">
        <f>IFERROR(__xludf.DUMMYFUNCTION("""COMPUTED_VALUE"""),"Maliyet eksik")</f>
        <v>Maliyet eksik</v>
      </c>
      <c r="Q4" s="17" t="str">
        <f>IFERROR(__xludf.DUMMYFUNCTION("""COMPUTED_VALUE"""),"")</f>
        <v/>
      </c>
      <c r="R4" s="14" t="str">
        <f>IFERROR(__xludf.DUMMYFUNCTION("""COMPUTED_VALUE"""),"")</f>
        <v/>
      </c>
      <c r="S4" s="14" t="str">
        <f>IFERROR(__xludf.DUMMYFUNCTION("""COMPUTED_VALUE"""),"")</f>
        <v/>
      </c>
      <c r="T4" s="17" t="str">
        <f>IFERROR(__xludf.DUMMYFUNCTION("""COMPUTED_VALUE"""),"EKSİK VERİ")</f>
        <v>EKSİK VERİ</v>
      </c>
      <c r="U4" s="17" t="str">
        <f>IFERROR(__xludf.DUMMYFUNCTION("""COMPUTED_VALUE"""),"Maliyet/desi/komisyon tamamla")</f>
        <v>Maliyet/desi/komisyon tamamla</v>
      </c>
    </row>
    <row r="5">
      <c r="A5" s="2">
        <f>IFERROR(__xludf.DUMMYFUNCTION("""COMPUTED_VALUE"""),8.40134695983E11)</f>
        <v>840134695983</v>
      </c>
      <c r="B5" s="17" t="str">
        <f>IFERROR(__xludf.DUMMYFUNCTION("""COMPUTED_VALUE"""),"BARK")</f>
        <v>BARK</v>
      </c>
      <c r="C5" s="17" t="str">
        <f>IFERROR(__xludf.DUMMYFUNCTION("""COMPUTED_VALUE"""),"Brtha Sesli Ejderha Köpek Oyuncağı")</f>
        <v>Brtha Sesli Ejderha Köpek Oyuncağı</v>
      </c>
      <c r="D5" s="14">
        <f>IFERROR(__xludf.DUMMYFUNCTION("""COMPUTED_VALUE"""),1286.01)</f>
        <v>1286.01</v>
      </c>
      <c r="E5" s="14">
        <f>IFERROR(__xludf.DUMMYFUNCTION("""COMPUTED_VALUE"""),257.202)</f>
        <v>257.202</v>
      </c>
      <c r="F5" s="14">
        <f>IFERROR(__xludf.DUMMYFUNCTION("""COMPUTED_VALUE"""),86.4)</f>
        <v>86.4</v>
      </c>
      <c r="G5" s="14"/>
      <c r="H5" s="14">
        <f>IFERROR(__xludf.DUMMYFUNCTION("""COMPUTED_VALUE"""),13.19)</f>
        <v>13.19</v>
      </c>
      <c r="I5" s="14">
        <f>IFERROR(__xludf.DUMMYFUNCTION("""COMPUTED_VALUE"""),10.71675)</f>
        <v>10.71675</v>
      </c>
      <c r="J5" s="14" t="str">
        <f>IFERROR(__xludf.DUMMYFUNCTION("""COMPUTED_VALUE"""),"")</f>
        <v/>
      </c>
      <c r="K5" s="14" t="str">
        <f>IFERROR(__xludf.DUMMYFUNCTION("""COMPUTED_VALUE"""),"")</f>
        <v/>
      </c>
      <c r="L5" s="15" t="str">
        <f>IFERROR(__xludf.DUMMYFUNCTION("""COMPUTED_VALUE"""),"")</f>
        <v/>
      </c>
      <c r="M5" s="17" t="str">
        <f>IFERROR(__xludf.DUMMYFUNCTION("""COMPUTED_VALUE"""),"EKSİK VERİ")</f>
        <v>EKSİK VERİ</v>
      </c>
      <c r="N5" s="17" t="str">
        <f>IFERROR(__xludf.DUMMYFUNCTION("""COMPUTED_VALUE"""),"")</f>
        <v/>
      </c>
      <c r="O5" s="17">
        <f>IFERROR(__xludf.DUMMYFUNCTION("""COMPUTED_VALUE"""),1.0)</f>
        <v>1</v>
      </c>
      <c r="P5" s="17" t="str">
        <f>IFERROR(__xludf.DUMMYFUNCTION("""COMPUTED_VALUE"""),"Maliyet eksik")</f>
        <v>Maliyet eksik</v>
      </c>
      <c r="Q5" s="17" t="str">
        <f>IFERROR(__xludf.DUMMYFUNCTION("""COMPUTED_VALUE"""),"")</f>
        <v/>
      </c>
      <c r="R5" s="14" t="str">
        <f>IFERROR(__xludf.DUMMYFUNCTION("""COMPUTED_VALUE"""),"")</f>
        <v/>
      </c>
      <c r="S5" s="14" t="str">
        <f>IFERROR(__xludf.DUMMYFUNCTION("""COMPUTED_VALUE"""),"")</f>
        <v/>
      </c>
      <c r="T5" s="17" t="str">
        <f>IFERROR(__xludf.DUMMYFUNCTION("""COMPUTED_VALUE"""),"EKSİK VERİ")</f>
        <v>EKSİK VERİ</v>
      </c>
      <c r="U5" s="17" t="str">
        <f>IFERROR(__xludf.DUMMYFUNCTION("""COMPUTED_VALUE"""),"Maliyet/desi/komisyon tamamla")</f>
        <v>Maliyet/desi/komisyon tamamla</v>
      </c>
    </row>
    <row r="6">
      <c r="A6" s="2">
        <f>IFERROR(__xludf.DUMMYFUNCTION("""COMPUTED_VALUE"""),8.4013469599E11)</f>
        <v>840134695990</v>
      </c>
      <c r="B6" s="17" t="str">
        <f>IFERROR(__xludf.DUMMYFUNCTION("""COMPUTED_VALUE"""),"BARK")</f>
        <v>BARK</v>
      </c>
      <c r="C6" s="17" t="str">
        <f>IFERROR(__xludf.DUMMYFUNCTION("""COMPUTED_VALUE"""),"Acornucopia Çiğneme Köpek Oyuncağı")</f>
        <v>Acornucopia Çiğneme Köpek Oyuncağı</v>
      </c>
      <c r="D6" s="14">
        <f>IFERROR(__xludf.DUMMYFUNCTION("""COMPUTED_VALUE"""),1583.01)</f>
        <v>1583.01</v>
      </c>
      <c r="E6" s="14">
        <f>IFERROR(__xludf.DUMMYFUNCTION("""COMPUTED_VALUE"""),316.60200000000003)</f>
        <v>316.602</v>
      </c>
      <c r="F6" s="14">
        <f>IFERROR(__xludf.DUMMYFUNCTION("""COMPUTED_VALUE"""),86.4)</f>
        <v>86.4</v>
      </c>
      <c r="G6" s="14"/>
      <c r="H6" s="14">
        <f>IFERROR(__xludf.DUMMYFUNCTION("""COMPUTED_VALUE"""),13.19)</f>
        <v>13.19</v>
      </c>
      <c r="I6" s="14">
        <f>IFERROR(__xludf.DUMMYFUNCTION("""COMPUTED_VALUE"""),13.191749999999999)</f>
        <v>13.19175</v>
      </c>
      <c r="J6" s="14" t="str">
        <f>IFERROR(__xludf.DUMMYFUNCTION("""COMPUTED_VALUE"""),"")</f>
        <v/>
      </c>
      <c r="K6" s="14" t="str">
        <f>IFERROR(__xludf.DUMMYFUNCTION("""COMPUTED_VALUE"""),"")</f>
        <v/>
      </c>
      <c r="L6" s="15" t="str">
        <f>IFERROR(__xludf.DUMMYFUNCTION("""COMPUTED_VALUE"""),"")</f>
        <v/>
      </c>
      <c r="M6" s="17" t="str">
        <f>IFERROR(__xludf.DUMMYFUNCTION("""COMPUTED_VALUE"""),"EKSİK VERİ")</f>
        <v>EKSİK VERİ</v>
      </c>
      <c r="N6" s="17" t="str">
        <f>IFERROR(__xludf.DUMMYFUNCTION("""COMPUTED_VALUE"""),"")</f>
        <v/>
      </c>
      <c r="O6" s="17">
        <f>IFERROR(__xludf.DUMMYFUNCTION("""COMPUTED_VALUE"""),1.0)</f>
        <v>1</v>
      </c>
      <c r="P6" s="17" t="str">
        <f>IFERROR(__xludf.DUMMYFUNCTION("""COMPUTED_VALUE"""),"Maliyet eksik")</f>
        <v>Maliyet eksik</v>
      </c>
      <c r="Q6" s="17" t="str">
        <f>IFERROR(__xludf.DUMMYFUNCTION("""COMPUTED_VALUE"""),"")</f>
        <v/>
      </c>
      <c r="R6" s="14" t="str">
        <f>IFERROR(__xludf.DUMMYFUNCTION("""COMPUTED_VALUE"""),"")</f>
        <v/>
      </c>
      <c r="S6" s="14" t="str">
        <f>IFERROR(__xludf.DUMMYFUNCTION("""COMPUTED_VALUE"""),"")</f>
        <v/>
      </c>
      <c r="T6" s="17" t="str">
        <f>IFERROR(__xludf.DUMMYFUNCTION("""COMPUTED_VALUE"""),"EKSİK VERİ")</f>
        <v>EKSİK VERİ</v>
      </c>
      <c r="U6" s="17" t="str">
        <f>IFERROR(__xludf.DUMMYFUNCTION("""COMPUTED_VALUE"""),"Maliyet/desi/komisyon tamamla")</f>
        <v>Maliyet/desi/komisyon tamamla</v>
      </c>
    </row>
    <row r="7">
      <c r="A7" s="2">
        <f>IFERROR(__xludf.DUMMYFUNCTION("""COMPUTED_VALUE"""),8.40134696355E11)</f>
        <v>840134696355</v>
      </c>
      <c r="B7" s="17" t="str">
        <f>IFERROR(__xludf.DUMMYFUNCTION("""COMPUTED_VALUE"""),"BARK")</f>
        <v>BARK</v>
      </c>
      <c r="C7" s="17" t="str">
        <f>IFERROR(__xludf.DUMMYFUNCTION("""COMPUTED_VALUE"""),"Turnt Turp Köpek Oyuncağı")</f>
        <v>Turnt Turp Köpek Oyuncağı</v>
      </c>
      <c r="D7" s="14">
        <f>IFERROR(__xludf.DUMMYFUNCTION("""COMPUTED_VALUE"""),1999.0)</f>
        <v>1999</v>
      </c>
      <c r="E7" s="14">
        <f>IFERROR(__xludf.DUMMYFUNCTION("""COMPUTED_VALUE"""),399.8)</f>
        <v>399.8</v>
      </c>
      <c r="F7" s="14">
        <f>IFERROR(__xludf.DUMMYFUNCTION("""COMPUTED_VALUE"""),86.4)</f>
        <v>86.4</v>
      </c>
      <c r="G7" s="14"/>
      <c r="H7" s="14">
        <f>IFERROR(__xludf.DUMMYFUNCTION("""COMPUTED_VALUE"""),13.19)</f>
        <v>13.19</v>
      </c>
      <c r="I7" s="14">
        <f>IFERROR(__xludf.DUMMYFUNCTION("""COMPUTED_VALUE"""),16.658333333333335)</f>
        <v>16.65833333</v>
      </c>
      <c r="J7" s="14" t="str">
        <f>IFERROR(__xludf.DUMMYFUNCTION("""COMPUTED_VALUE"""),"")</f>
        <v/>
      </c>
      <c r="K7" s="14" t="str">
        <f>IFERROR(__xludf.DUMMYFUNCTION("""COMPUTED_VALUE"""),"")</f>
        <v/>
      </c>
      <c r="L7" s="15" t="str">
        <f>IFERROR(__xludf.DUMMYFUNCTION("""COMPUTED_VALUE"""),"")</f>
        <v/>
      </c>
      <c r="M7" s="17" t="str">
        <f>IFERROR(__xludf.DUMMYFUNCTION("""COMPUTED_VALUE"""),"EKSİK VERİ")</f>
        <v>EKSİK VERİ</v>
      </c>
      <c r="N7" s="17" t="str">
        <f>IFERROR(__xludf.DUMMYFUNCTION("""COMPUTED_VALUE"""),"")</f>
        <v/>
      </c>
      <c r="O7" s="17">
        <f>IFERROR(__xludf.DUMMYFUNCTION("""COMPUTED_VALUE"""),1.0)</f>
        <v>1</v>
      </c>
      <c r="P7" s="17" t="str">
        <f>IFERROR(__xludf.DUMMYFUNCTION("""COMPUTED_VALUE"""),"Maliyet eksik")</f>
        <v>Maliyet eksik</v>
      </c>
      <c r="Q7" s="17" t="str">
        <f>IFERROR(__xludf.DUMMYFUNCTION("""COMPUTED_VALUE"""),"")</f>
        <v/>
      </c>
      <c r="R7" s="14" t="str">
        <f>IFERROR(__xludf.DUMMYFUNCTION("""COMPUTED_VALUE"""),"")</f>
        <v/>
      </c>
      <c r="S7" s="14" t="str">
        <f>IFERROR(__xludf.DUMMYFUNCTION("""COMPUTED_VALUE"""),"")</f>
        <v/>
      </c>
      <c r="T7" s="17" t="str">
        <f>IFERROR(__xludf.DUMMYFUNCTION("""COMPUTED_VALUE"""),"EKSİK VERİ")</f>
        <v>EKSİK VERİ</v>
      </c>
      <c r="U7" s="17" t="str">
        <f>IFERROR(__xludf.DUMMYFUNCTION("""COMPUTED_VALUE"""),"Maliyet/desi/komisyon tamamla")</f>
        <v>Maliyet/desi/komisyon tamamla</v>
      </c>
    </row>
    <row r="8">
      <c r="A8" s="2">
        <f>IFERROR(__xludf.DUMMYFUNCTION("""COMPUTED_VALUE"""),8.40134696461E11)</f>
        <v>840134696461</v>
      </c>
      <c r="B8" s="17" t="str">
        <f>IFERROR(__xludf.DUMMYFUNCTION("""COMPUTED_VALUE"""),"BARK")</f>
        <v>BARK</v>
      </c>
      <c r="C8" s="17" t="str">
        <f>IFERROR(__xludf.DUMMYFUNCTION("""COMPUTED_VALUE"""),"Fetch Dal Köpek Oyuncağı")</f>
        <v>Fetch Dal Köpek Oyuncağı</v>
      </c>
      <c r="D8" s="14">
        <f>IFERROR(__xludf.DUMMYFUNCTION("""COMPUTED_VALUE"""),1484.01)</f>
        <v>1484.01</v>
      </c>
      <c r="E8" s="14">
        <f>IFERROR(__xludf.DUMMYFUNCTION("""COMPUTED_VALUE"""),296.802)</f>
        <v>296.802</v>
      </c>
      <c r="F8" s="14">
        <f>IFERROR(__xludf.DUMMYFUNCTION("""COMPUTED_VALUE"""),86.4)</f>
        <v>86.4</v>
      </c>
      <c r="G8" s="14"/>
      <c r="H8" s="14">
        <f>IFERROR(__xludf.DUMMYFUNCTION("""COMPUTED_VALUE"""),13.19)</f>
        <v>13.19</v>
      </c>
      <c r="I8" s="14">
        <f>IFERROR(__xludf.DUMMYFUNCTION("""COMPUTED_VALUE"""),12.36675)</f>
        <v>12.36675</v>
      </c>
      <c r="J8" s="14" t="str">
        <f>IFERROR(__xludf.DUMMYFUNCTION("""COMPUTED_VALUE"""),"")</f>
        <v/>
      </c>
      <c r="K8" s="14" t="str">
        <f>IFERROR(__xludf.DUMMYFUNCTION("""COMPUTED_VALUE"""),"")</f>
        <v/>
      </c>
      <c r="L8" s="15" t="str">
        <f>IFERROR(__xludf.DUMMYFUNCTION("""COMPUTED_VALUE"""),"")</f>
        <v/>
      </c>
      <c r="M8" s="17" t="str">
        <f>IFERROR(__xludf.DUMMYFUNCTION("""COMPUTED_VALUE"""),"EKSİK VERİ")</f>
        <v>EKSİK VERİ</v>
      </c>
      <c r="N8" s="17" t="str">
        <f>IFERROR(__xludf.DUMMYFUNCTION("""COMPUTED_VALUE"""),"")</f>
        <v/>
      </c>
      <c r="O8" s="17">
        <f>IFERROR(__xludf.DUMMYFUNCTION("""COMPUTED_VALUE"""),1.0)</f>
        <v>1</v>
      </c>
      <c r="P8" s="17" t="str">
        <f>IFERROR(__xludf.DUMMYFUNCTION("""COMPUTED_VALUE"""),"Maliyet eksik")</f>
        <v>Maliyet eksik</v>
      </c>
      <c r="Q8" s="17" t="str">
        <f>IFERROR(__xludf.DUMMYFUNCTION("""COMPUTED_VALUE"""),"")</f>
        <v/>
      </c>
      <c r="R8" s="14" t="str">
        <f>IFERROR(__xludf.DUMMYFUNCTION("""COMPUTED_VALUE"""),"")</f>
        <v/>
      </c>
      <c r="S8" s="14" t="str">
        <f>IFERROR(__xludf.DUMMYFUNCTION("""COMPUTED_VALUE"""),"")</f>
        <v/>
      </c>
      <c r="T8" s="17" t="str">
        <f>IFERROR(__xludf.DUMMYFUNCTION("""COMPUTED_VALUE"""),"EKSİK VERİ")</f>
        <v>EKSİK VERİ</v>
      </c>
      <c r="U8" s="17" t="str">
        <f>IFERROR(__xludf.DUMMYFUNCTION("""COMPUTED_VALUE"""),"Maliyet/desi/komisyon tamamla")</f>
        <v>Maliyet/desi/komisyon tamamla</v>
      </c>
    </row>
    <row r="9">
      <c r="A9" s="2">
        <f>IFERROR(__xludf.DUMMYFUNCTION("""COMPUTED_VALUE"""),8.40134696485E11)</f>
        <v>840134696485</v>
      </c>
      <c r="B9" s="17" t="str">
        <f>IFERROR(__xludf.DUMMYFUNCTION("""COMPUTED_VALUE"""),"BARK")</f>
        <v>BARK</v>
      </c>
      <c r="C9" s="17" t="str">
        <f>IFERROR(__xludf.DUMMYFUNCTION("""COMPUTED_VALUE"""),"Beaver Kunduz Köpek Oyuncağı")</f>
        <v>Beaver Kunduz Köpek Oyuncağı</v>
      </c>
      <c r="D9" s="14">
        <f>IFERROR(__xludf.DUMMYFUNCTION("""COMPUTED_VALUE"""),1557.27)</f>
        <v>1557.27</v>
      </c>
      <c r="E9" s="14">
        <f>IFERROR(__xludf.DUMMYFUNCTION("""COMPUTED_VALUE"""),311.454)</f>
        <v>311.454</v>
      </c>
      <c r="F9" s="14">
        <f>IFERROR(__xludf.DUMMYFUNCTION("""COMPUTED_VALUE"""),86.4)</f>
        <v>86.4</v>
      </c>
      <c r="G9" s="14"/>
      <c r="H9" s="14">
        <f>IFERROR(__xludf.DUMMYFUNCTION("""COMPUTED_VALUE"""),13.19)</f>
        <v>13.19</v>
      </c>
      <c r="I9" s="14">
        <f>IFERROR(__xludf.DUMMYFUNCTION("""COMPUTED_VALUE"""),12.977250000000002)</f>
        <v>12.97725</v>
      </c>
      <c r="J9" s="14" t="str">
        <f>IFERROR(__xludf.DUMMYFUNCTION("""COMPUTED_VALUE"""),"")</f>
        <v/>
      </c>
      <c r="K9" s="14" t="str">
        <f>IFERROR(__xludf.DUMMYFUNCTION("""COMPUTED_VALUE"""),"")</f>
        <v/>
      </c>
      <c r="L9" s="15" t="str">
        <f>IFERROR(__xludf.DUMMYFUNCTION("""COMPUTED_VALUE"""),"")</f>
        <v/>
      </c>
      <c r="M9" s="17" t="str">
        <f>IFERROR(__xludf.DUMMYFUNCTION("""COMPUTED_VALUE"""),"EKSİK VERİ")</f>
        <v>EKSİK VERİ</v>
      </c>
      <c r="N9" s="17" t="str">
        <f>IFERROR(__xludf.DUMMYFUNCTION("""COMPUTED_VALUE"""),"")</f>
        <v/>
      </c>
      <c r="O9" s="17">
        <f>IFERROR(__xludf.DUMMYFUNCTION("""COMPUTED_VALUE"""),1.0)</f>
        <v>1</v>
      </c>
      <c r="P9" s="17" t="str">
        <f>IFERROR(__xludf.DUMMYFUNCTION("""COMPUTED_VALUE"""),"Maliyet eksik")</f>
        <v>Maliyet eksik</v>
      </c>
      <c r="Q9" s="17" t="str">
        <f>IFERROR(__xludf.DUMMYFUNCTION("""COMPUTED_VALUE"""),"")</f>
        <v/>
      </c>
      <c r="R9" s="14" t="str">
        <f>IFERROR(__xludf.DUMMYFUNCTION("""COMPUTED_VALUE"""),"")</f>
        <v/>
      </c>
      <c r="S9" s="14" t="str">
        <f>IFERROR(__xludf.DUMMYFUNCTION("""COMPUTED_VALUE"""),"")</f>
        <v/>
      </c>
      <c r="T9" s="17" t="str">
        <f>IFERROR(__xludf.DUMMYFUNCTION("""COMPUTED_VALUE"""),"EKSİK VERİ")</f>
        <v>EKSİK VERİ</v>
      </c>
      <c r="U9" s="17" t="str">
        <f>IFERROR(__xludf.DUMMYFUNCTION("""COMPUTED_VALUE"""),"Maliyet/desi/komisyon tamamla")</f>
        <v>Maliyet/desi/komisyon tamamla</v>
      </c>
    </row>
    <row r="10">
      <c r="A10" s="2">
        <f>IFERROR(__xludf.DUMMYFUNCTION("""COMPUTED_VALUE"""),5.060412212489E12)</f>
        <v>5060412212489</v>
      </c>
      <c r="B10" s="17" t="str">
        <f>IFERROR(__xludf.DUMMYFUNCTION("""COMPUTED_VALUE"""),"Ever Clean")</f>
        <v>Ever Clean</v>
      </c>
      <c r="C10" s="17" t="str">
        <f>IFERROR(__xludf.DUMMYFUNCTION("""COMPUTED_VALUE"""),"Fast Acting 10 lt.")</f>
        <v>Fast Acting 10 lt.</v>
      </c>
      <c r="D10" s="14">
        <f>IFERROR(__xludf.DUMMYFUNCTION("""COMPUTED_VALUE"""),1169.1)</f>
        <v>1169.1</v>
      </c>
      <c r="E10" s="14">
        <f>IFERROR(__xludf.DUMMYFUNCTION("""COMPUTED_VALUE"""),169.51949999999997)</f>
        <v>169.5195</v>
      </c>
      <c r="F10" s="14">
        <f>IFERROR(__xludf.DUMMYFUNCTION("""COMPUTED_VALUE"""),86.4)</f>
        <v>86.4</v>
      </c>
      <c r="G10" s="14"/>
      <c r="H10" s="14">
        <f>IFERROR(__xludf.DUMMYFUNCTION("""COMPUTED_VALUE"""),13.19)</f>
        <v>13.19</v>
      </c>
      <c r="I10" s="14">
        <f>IFERROR(__xludf.DUMMYFUNCTION("""COMPUTED_VALUE"""),9.7425)</f>
        <v>9.7425</v>
      </c>
      <c r="J10" s="14" t="str">
        <f>IFERROR(__xludf.DUMMYFUNCTION("""COMPUTED_VALUE"""),"")</f>
        <v/>
      </c>
      <c r="K10" s="14" t="str">
        <f>IFERROR(__xludf.DUMMYFUNCTION("""COMPUTED_VALUE"""),"")</f>
        <v/>
      </c>
      <c r="L10" s="15" t="str">
        <f>IFERROR(__xludf.DUMMYFUNCTION("""COMPUTED_VALUE"""),"")</f>
        <v/>
      </c>
      <c r="M10" s="17" t="str">
        <f>IFERROR(__xludf.DUMMYFUNCTION("""COMPUTED_VALUE"""),"EKSİK VERİ")</f>
        <v>EKSİK VERİ</v>
      </c>
      <c r="N10" s="17" t="str">
        <f>IFERROR(__xludf.DUMMYFUNCTION("""COMPUTED_VALUE"""),"")</f>
        <v/>
      </c>
      <c r="O10" s="17">
        <f>IFERROR(__xludf.DUMMYFUNCTION("""COMPUTED_VALUE"""),2.0)</f>
        <v>2</v>
      </c>
      <c r="P10" s="17" t="str">
        <f>IFERROR(__xludf.DUMMYFUNCTION("""COMPUTED_VALUE"""),"Maliyet eksik")</f>
        <v>Maliyet eksik</v>
      </c>
      <c r="Q10" s="17" t="str">
        <f>IFERROR(__xludf.DUMMYFUNCTION("""COMPUTED_VALUE"""),"")</f>
        <v/>
      </c>
      <c r="R10" s="14" t="str">
        <f>IFERROR(__xludf.DUMMYFUNCTION("""COMPUTED_VALUE"""),"")</f>
        <v/>
      </c>
      <c r="S10" s="14" t="str">
        <f>IFERROR(__xludf.DUMMYFUNCTION("""COMPUTED_VALUE"""),"")</f>
        <v/>
      </c>
      <c r="T10" s="17" t="str">
        <f>IFERROR(__xludf.DUMMYFUNCTION("""COMPUTED_VALUE"""),"EKSİK VERİ")</f>
        <v>EKSİK VERİ</v>
      </c>
      <c r="U10" s="17" t="str">
        <f>IFERROR(__xludf.DUMMYFUNCTION("""COMPUTED_VALUE"""),"Maliyet/desi/komisyon tamamla")</f>
        <v>Maliyet/desi/komisyon tamamla</v>
      </c>
    </row>
    <row r="11">
      <c r="A11" s="2">
        <f>IFERROR(__xludf.DUMMYFUNCTION("""COMPUTED_VALUE"""),5.060255492253E12)</f>
        <v>5060255492253</v>
      </c>
      <c r="B11" s="17" t="str">
        <f>IFERROR(__xludf.DUMMYFUNCTION("""COMPUTED_VALUE"""),"Ever Clean")</f>
        <v>Ever Clean</v>
      </c>
      <c r="C11" s="17" t="str">
        <f>IFERROR(__xludf.DUMMYFUNCTION("""COMPUTED_VALUE"""),"Multiple Cat Kedi Kumu 10 Lt")</f>
        <v>Multiple Cat Kedi Kumu 10 Lt</v>
      </c>
      <c r="D11" s="14">
        <f>IFERROR(__xludf.DUMMYFUNCTION("""COMPUTED_VALUE"""),1124.1)</f>
        <v>1124.1</v>
      </c>
      <c r="E11" s="14">
        <f>IFERROR(__xludf.DUMMYFUNCTION("""COMPUTED_VALUE"""),149.50529999999998)</f>
        <v>149.5053</v>
      </c>
      <c r="F11" s="14">
        <f>IFERROR(__xludf.DUMMYFUNCTION("""COMPUTED_VALUE"""),86.4)</f>
        <v>86.4</v>
      </c>
      <c r="G11" s="14"/>
      <c r="H11" s="14">
        <f>IFERROR(__xludf.DUMMYFUNCTION("""COMPUTED_VALUE"""),13.19)</f>
        <v>13.19</v>
      </c>
      <c r="I11" s="14">
        <f>IFERROR(__xludf.DUMMYFUNCTION("""COMPUTED_VALUE"""),9.3675)</f>
        <v>9.3675</v>
      </c>
      <c r="J11" s="14" t="str">
        <f>IFERROR(__xludf.DUMMYFUNCTION("""COMPUTED_VALUE"""),"")</f>
        <v/>
      </c>
      <c r="K11" s="14" t="str">
        <f>IFERROR(__xludf.DUMMYFUNCTION("""COMPUTED_VALUE"""),"")</f>
        <v/>
      </c>
      <c r="L11" s="15" t="str">
        <f>IFERROR(__xludf.DUMMYFUNCTION("""COMPUTED_VALUE"""),"")</f>
        <v/>
      </c>
      <c r="M11" s="17" t="str">
        <f>IFERROR(__xludf.DUMMYFUNCTION("""COMPUTED_VALUE"""),"EKSİK VERİ")</f>
        <v>EKSİK VERİ</v>
      </c>
      <c r="N11" s="17" t="str">
        <f>IFERROR(__xludf.DUMMYFUNCTION("""COMPUTED_VALUE"""),"")</f>
        <v/>
      </c>
      <c r="O11" s="17">
        <f>IFERROR(__xludf.DUMMYFUNCTION("""COMPUTED_VALUE"""),2.0)</f>
        <v>2</v>
      </c>
      <c r="P11" s="17" t="str">
        <f>IFERROR(__xludf.DUMMYFUNCTION("""COMPUTED_VALUE"""),"Maliyet eksik")</f>
        <v>Maliyet eksik</v>
      </c>
      <c r="Q11" s="17" t="str">
        <f>IFERROR(__xludf.DUMMYFUNCTION("""COMPUTED_VALUE"""),"")</f>
        <v/>
      </c>
      <c r="R11" s="14" t="str">
        <f>IFERROR(__xludf.DUMMYFUNCTION("""COMPUTED_VALUE"""),"")</f>
        <v/>
      </c>
      <c r="S11" s="14" t="str">
        <f>IFERROR(__xludf.DUMMYFUNCTION("""COMPUTED_VALUE"""),"")</f>
        <v/>
      </c>
      <c r="T11" s="17" t="str">
        <f>IFERROR(__xludf.DUMMYFUNCTION("""COMPUTED_VALUE"""),"EKSİK VERİ")</f>
        <v>EKSİK VERİ</v>
      </c>
      <c r="U11" s="17" t="str">
        <f>IFERROR(__xludf.DUMMYFUNCTION("""COMPUTED_VALUE"""),"Maliyet/desi/komisyon tamamla")</f>
        <v>Maliyet/desi/komisyon tamamla</v>
      </c>
    </row>
    <row r="12">
      <c r="A12" s="2">
        <f>IFERROR(__xludf.DUMMYFUNCTION("""COMPUTED_VALUE"""),5.060255492291E12)</f>
        <v>5060255492291</v>
      </c>
      <c r="B12" s="17" t="str">
        <f>IFERROR(__xludf.DUMMYFUNCTION("""COMPUTED_VALUE"""),"Ever Clean")</f>
        <v>Ever Clean</v>
      </c>
      <c r="C12" s="17" t="str">
        <f>IFERROR(__xludf.DUMMYFUNCTION("""COMPUTED_VALUE"""),"Lavender Lavanta Kokulu Ince Taneli Topaklaşan Kedi Kumu 10 L")</f>
        <v>Lavender Lavanta Kokulu Ince Taneli Topaklaşan Kedi Kumu 10 L</v>
      </c>
      <c r="D12" s="14">
        <f>IFERROR(__xludf.DUMMYFUNCTION("""COMPUTED_VALUE"""),1048.5)</f>
        <v>1048.5</v>
      </c>
      <c r="E12" s="14">
        <f>IFERROR(__xludf.DUMMYFUNCTION("""COMPUTED_VALUE"""),152.0325)</f>
        <v>152.0325</v>
      </c>
      <c r="F12" s="14">
        <f>IFERROR(__xludf.DUMMYFUNCTION("""COMPUTED_VALUE"""),86.4)</f>
        <v>86.4</v>
      </c>
      <c r="G12" s="14"/>
      <c r="H12" s="14">
        <f>IFERROR(__xludf.DUMMYFUNCTION("""COMPUTED_VALUE"""),13.19)</f>
        <v>13.19</v>
      </c>
      <c r="I12" s="14">
        <f>IFERROR(__xludf.DUMMYFUNCTION("""COMPUTED_VALUE"""),8.7375)</f>
        <v>8.7375</v>
      </c>
      <c r="J12" s="14" t="str">
        <f>IFERROR(__xludf.DUMMYFUNCTION("""COMPUTED_VALUE"""),"")</f>
        <v/>
      </c>
      <c r="K12" s="14" t="str">
        <f>IFERROR(__xludf.DUMMYFUNCTION("""COMPUTED_VALUE"""),"")</f>
        <v/>
      </c>
      <c r="L12" s="15" t="str">
        <f>IFERROR(__xludf.DUMMYFUNCTION("""COMPUTED_VALUE"""),"")</f>
        <v/>
      </c>
      <c r="M12" s="17" t="str">
        <f>IFERROR(__xludf.DUMMYFUNCTION("""COMPUTED_VALUE"""),"EKSİK VERİ")</f>
        <v>EKSİK VERİ</v>
      </c>
      <c r="N12" s="17" t="str">
        <f>IFERROR(__xludf.DUMMYFUNCTION("""COMPUTED_VALUE"""),"")</f>
        <v/>
      </c>
      <c r="O12" s="17">
        <f>IFERROR(__xludf.DUMMYFUNCTION("""COMPUTED_VALUE"""),2.0)</f>
        <v>2</v>
      </c>
      <c r="P12" s="17" t="str">
        <f>IFERROR(__xludf.DUMMYFUNCTION("""COMPUTED_VALUE"""),"Maliyet eksik")</f>
        <v>Maliyet eksik</v>
      </c>
      <c r="Q12" s="17" t="str">
        <f>IFERROR(__xludf.DUMMYFUNCTION("""COMPUTED_VALUE"""),"")</f>
        <v/>
      </c>
      <c r="R12" s="14" t="str">
        <f>IFERROR(__xludf.DUMMYFUNCTION("""COMPUTED_VALUE"""),"")</f>
        <v/>
      </c>
      <c r="S12" s="14" t="str">
        <f>IFERROR(__xludf.DUMMYFUNCTION("""COMPUTED_VALUE"""),"")</f>
        <v/>
      </c>
      <c r="T12" s="17" t="str">
        <f>IFERROR(__xludf.DUMMYFUNCTION("""COMPUTED_VALUE"""),"EKSİK VERİ")</f>
        <v>EKSİK VERİ</v>
      </c>
      <c r="U12" s="17" t="str">
        <f>IFERROR(__xludf.DUMMYFUNCTION("""COMPUTED_VALUE"""),"Maliyet/desi/komisyon tamamla")</f>
        <v>Maliyet/desi/komisyon tamamla</v>
      </c>
    </row>
    <row r="13">
      <c r="A13" s="2" t="str">
        <f>IFERROR(__xludf.DUMMYFUNCTION("""COMPUTED_VALUE"""),"AK73LD91")</f>
        <v>AK73LD91</v>
      </c>
      <c r="B13" s="17" t="str">
        <f>IFERROR(__xludf.DUMMYFUNCTION("""COMPUTED_VALUE"""),"Ever Clean")</f>
        <v>Ever Clean</v>
      </c>
      <c r="C13" s="17" t="str">
        <f>IFERROR(__xludf.DUMMYFUNCTION("""COMPUTED_VALUE"""),"Less Trail (patilere Yapışmayan) Kedi Kumu 10 Lt X 2 Adet")</f>
        <v>Less Trail (patilere Yapışmayan) Kedi Kumu 10 Lt X 2 Adet</v>
      </c>
      <c r="D13" s="14">
        <f>IFERROR(__xludf.DUMMYFUNCTION("""COMPUTED_VALUE"""),2119.5)</f>
        <v>2119.5</v>
      </c>
      <c r="E13" s="14">
        <f>IFERROR(__xludf.DUMMYFUNCTION("""COMPUTED_VALUE"""),307.3275)</f>
        <v>307.3275</v>
      </c>
      <c r="F13" s="14">
        <f>IFERROR(__xludf.DUMMYFUNCTION("""COMPUTED_VALUE"""),86.4)</f>
        <v>86.4</v>
      </c>
      <c r="G13" s="14"/>
      <c r="H13" s="14">
        <f>IFERROR(__xludf.DUMMYFUNCTION("""COMPUTED_VALUE"""),13.19)</f>
        <v>13.19</v>
      </c>
      <c r="I13" s="14">
        <f>IFERROR(__xludf.DUMMYFUNCTION("""COMPUTED_VALUE"""),17.6625)</f>
        <v>17.6625</v>
      </c>
      <c r="J13" s="14" t="str">
        <f>IFERROR(__xludf.DUMMYFUNCTION("""COMPUTED_VALUE"""),"")</f>
        <v/>
      </c>
      <c r="K13" s="14" t="str">
        <f>IFERROR(__xludf.DUMMYFUNCTION("""COMPUTED_VALUE"""),"")</f>
        <v/>
      </c>
      <c r="L13" s="15" t="str">
        <f>IFERROR(__xludf.DUMMYFUNCTION("""COMPUTED_VALUE"""),"")</f>
        <v/>
      </c>
      <c r="M13" s="17" t="str">
        <f>IFERROR(__xludf.DUMMYFUNCTION("""COMPUTED_VALUE"""),"EKSİK VERİ")</f>
        <v>EKSİK VERİ</v>
      </c>
      <c r="N13" s="17" t="str">
        <f>IFERROR(__xludf.DUMMYFUNCTION("""COMPUTED_VALUE"""),"")</f>
        <v/>
      </c>
      <c r="O13" s="17">
        <f>IFERROR(__xludf.DUMMYFUNCTION("""COMPUTED_VALUE"""),2.0)</f>
        <v>2</v>
      </c>
      <c r="P13" s="17" t="str">
        <f>IFERROR(__xludf.DUMMYFUNCTION("""COMPUTED_VALUE"""),"Maliyet eksik")</f>
        <v>Maliyet eksik</v>
      </c>
      <c r="Q13" s="17" t="str">
        <f>IFERROR(__xludf.DUMMYFUNCTION("""COMPUTED_VALUE"""),"")</f>
        <v/>
      </c>
      <c r="R13" s="14" t="str">
        <f>IFERROR(__xludf.DUMMYFUNCTION("""COMPUTED_VALUE"""),"")</f>
        <v/>
      </c>
      <c r="S13" s="14" t="str">
        <f>IFERROR(__xludf.DUMMYFUNCTION("""COMPUTED_VALUE"""),"")</f>
        <v/>
      </c>
      <c r="T13" s="17" t="str">
        <f>IFERROR(__xludf.DUMMYFUNCTION("""COMPUTED_VALUE"""),"EKSİK VERİ")</f>
        <v>EKSİK VERİ</v>
      </c>
      <c r="U13" s="17" t="str">
        <f>IFERROR(__xludf.DUMMYFUNCTION("""COMPUTED_VALUE"""),"Maliyet/desi/komisyon tamamla")</f>
        <v>Maliyet/desi/komisyon tamamla</v>
      </c>
    </row>
    <row r="14">
      <c r="A14" s="2" t="str">
        <f>IFERROR(__xludf.DUMMYFUNCTION("""COMPUTED_VALUE"""),"TYBUAJE2I9OWF7YM95")</f>
        <v>TYBUAJE2I9OWF7YM95</v>
      </c>
      <c r="B14" s="17" t="str">
        <f>IFERROR(__xludf.DUMMYFUNCTION("""COMPUTED_VALUE"""),"Ever Clean")</f>
        <v>Ever Clean</v>
      </c>
      <c r="C14" s="17" t="str">
        <f>IFERROR(__xludf.DUMMYFUNCTION("""COMPUTED_VALUE"""),"Litter Free Paws Patilere Yapışmayan Kedi Kumu 2 X 10 L")</f>
        <v>Litter Free Paws Patilere Yapışmayan Kedi Kumu 2 X 10 L</v>
      </c>
      <c r="D14" s="14">
        <f>IFERROR(__xludf.DUMMYFUNCTION("""COMPUTED_VALUE"""),2016.0)</f>
        <v>2016</v>
      </c>
      <c r="E14" s="14">
        <f>IFERROR(__xludf.DUMMYFUNCTION("""COMPUTED_VALUE"""),292.32)</f>
        <v>292.32</v>
      </c>
      <c r="F14" s="14">
        <f>IFERROR(__xludf.DUMMYFUNCTION("""COMPUTED_VALUE"""),86.4)</f>
        <v>86.4</v>
      </c>
      <c r="G14" s="14"/>
      <c r="H14" s="14">
        <f>IFERROR(__xludf.DUMMYFUNCTION("""COMPUTED_VALUE"""),13.19)</f>
        <v>13.19</v>
      </c>
      <c r="I14" s="14">
        <f>IFERROR(__xludf.DUMMYFUNCTION("""COMPUTED_VALUE"""),16.8)</f>
        <v>16.8</v>
      </c>
      <c r="J14" s="14" t="str">
        <f>IFERROR(__xludf.DUMMYFUNCTION("""COMPUTED_VALUE"""),"")</f>
        <v/>
      </c>
      <c r="K14" s="14" t="str">
        <f>IFERROR(__xludf.DUMMYFUNCTION("""COMPUTED_VALUE"""),"")</f>
        <v/>
      </c>
      <c r="L14" s="15" t="str">
        <f>IFERROR(__xludf.DUMMYFUNCTION("""COMPUTED_VALUE"""),"")</f>
        <v/>
      </c>
      <c r="M14" s="17" t="str">
        <f>IFERROR(__xludf.DUMMYFUNCTION("""COMPUTED_VALUE"""),"EKSİK VERİ")</f>
        <v>EKSİK VERİ</v>
      </c>
      <c r="N14" s="17" t="str">
        <f>IFERROR(__xludf.DUMMYFUNCTION("""COMPUTED_VALUE"""),"")</f>
        <v/>
      </c>
      <c r="O14" s="17">
        <f>IFERROR(__xludf.DUMMYFUNCTION("""COMPUTED_VALUE"""),2.0)</f>
        <v>2</v>
      </c>
      <c r="P14" s="17" t="str">
        <f>IFERROR(__xludf.DUMMYFUNCTION("""COMPUTED_VALUE"""),"Maliyet eksik")</f>
        <v>Maliyet eksik</v>
      </c>
      <c r="Q14" s="17" t="str">
        <f>IFERROR(__xludf.DUMMYFUNCTION("""COMPUTED_VALUE"""),"")</f>
        <v/>
      </c>
      <c r="R14" s="14" t="str">
        <f>IFERROR(__xludf.DUMMYFUNCTION("""COMPUTED_VALUE"""),"")</f>
        <v/>
      </c>
      <c r="S14" s="14" t="str">
        <f>IFERROR(__xludf.DUMMYFUNCTION("""COMPUTED_VALUE"""),"")</f>
        <v/>
      </c>
      <c r="T14" s="17" t="str">
        <f>IFERROR(__xludf.DUMMYFUNCTION("""COMPUTED_VALUE"""),"EKSİK VERİ")</f>
        <v>EKSİK VERİ</v>
      </c>
      <c r="U14" s="17" t="str">
        <f>IFERROR(__xludf.DUMMYFUNCTION("""COMPUTED_VALUE"""),"Maliyet/desi/komisyon tamamla")</f>
        <v>Maliyet/desi/komisyon tamamla</v>
      </c>
    </row>
    <row r="15">
      <c r="A15" s="2">
        <f>IFERROR(__xludf.DUMMYFUNCTION("""COMPUTED_VALUE"""),5.060255492192E12)</f>
        <v>5060255492192</v>
      </c>
      <c r="B15" s="17" t="str">
        <f>IFERROR(__xludf.DUMMYFUNCTION("""COMPUTED_VALUE"""),"Ever Clean")</f>
        <v>Ever Clean</v>
      </c>
      <c r="C15" s="17" t="str">
        <f>IFERROR(__xludf.DUMMYFUNCTION("""COMPUTED_VALUE"""),"Less Pass(PATİLERE YAPIŞMAYAN) Kedi Kumu 10 Lt")</f>
        <v>Less Pass(PATİLERE YAPIŞMAYAN) Kedi Kumu 10 Lt</v>
      </c>
      <c r="D15" s="14">
        <f>IFERROR(__xludf.DUMMYFUNCTION("""COMPUTED_VALUE"""),1000.0)</f>
        <v>1000</v>
      </c>
      <c r="E15" s="14">
        <f>IFERROR(__xludf.DUMMYFUNCTION("""COMPUTED_VALUE"""),128.0)</f>
        <v>128</v>
      </c>
      <c r="F15" s="14">
        <f>IFERROR(__xludf.DUMMYFUNCTION("""COMPUTED_VALUE"""),86.4)</f>
        <v>86.4</v>
      </c>
      <c r="G15" s="14"/>
      <c r="H15" s="14">
        <f>IFERROR(__xludf.DUMMYFUNCTION("""COMPUTED_VALUE"""),13.19)</f>
        <v>13.19</v>
      </c>
      <c r="I15" s="14">
        <f>IFERROR(__xludf.DUMMYFUNCTION("""COMPUTED_VALUE"""),8.333333333333334)</f>
        <v>8.333333333</v>
      </c>
      <c r="J15" s="14" t="str">
        <f>IFERROR(__xludf.DUMMYFUNCTION("""COMPUTED_VALUE"""),"")</f>
        <v/>
      </c>
      <c r="K15" s="14" t="str">
        <f>IFERROR(__xludf.DUMMYFUNCTION("""COMPUTED_VALUE"""),"")</f>
        <v/>
      </c>
      <c r="L15" s="15" t="str">
        <f>IFERROR(__xludf.DUMMYFUNCTION("""COMPUTED_VALUE"""),"")</f>
        <v/>
      </c>
      <c r="M15" s="17" t="str">
        <f>IFERROR(__xludf.DUMMYFUNCTION("""COMPUTED_VALUE"""),"EKSİK VERİ")</f>
        <v>EKSİK VERİ</v>
      </c>
      <c r="N15" s="17" t="str">
        <f>IFERROR(__xludf.DUMMYFUNCTION("""COMPUTED_VALUE"""),"")</f>
        <v/>
      </c>
      <c r="O15" s="17">
        <f>IFERROR(__xludf.DUMMYFUNCTION("""COMPUTED_VALUE"""),2.0)</f>
        <v>2</v>
      </c>
      <c r="P15" s="17" t="str">
        <f>IFERROR(__xludf.DUMMYFUNCTION("""COMPUTED_VALUE"""),"Maliyet eksik")</f>
        <v>Maliyet eksik</v>
      </c>
      <c r="Q15" s="17" t="str">
        <f>IFERROR(__xludf.DUMMYFUNCTION("""COMPUTED_VALUE"""),"")</f>
        <v/>
      </c>
      <c r="R15" s="14" t="str">
        <f>IFERROR(__xludf.DUMMYFUNCTION("""COMPUTED_VALUE"""),"")</f>
        <v/>
      </c>
      <c r="S15" s="14" t="str">
        <f>IFERROR(__xludf.DUMMYFUNCTION("""COMPUTED_VALUE"""),"")</f>
        <v/>
      </c>
      <c r="T15" s="17" t="str">
        <f>IFERROR(__xludf.DUMMYFUNCTION("""COMPUTED_VALUE"""),"EKSİK VERİ")</f>
        <v>EKSİK VERİ</v>
      </c>
      <c r="U15" s="17" t="str">
        <f>IFERROR(__xludf.DUMMYFUNCTION("""COMPUTED_VALUE"""),"Maliyet/desi/komisyon tamamla")</f>
        <v>Maliyet/desi/komisyon tamamla</v>
      </c>
    </row>
    <row r="16">
      <c r="A16" s="2">
        <f>IFERROR(__xludf.DUMMYFUNCTION("""COMPUTED_VALUE"""),5.060412214117E12)</f>
        <v>5060412214117</v>
      </c>
      <c r="B16" s="17" t="str">
        <f>IFERROR(__xludf.DUMMYFUNCTION("""COMPUTED_VALUE"""),"Ever Clean")</f>
        <v>Ever Clean</v>
      </c>
      <c r="C16" s="17" t="str">
        <f>IFERROR(__xludf.DUMMYFUNCTION("""COMPUTED_VALUE"""),"LitterFree Paws 10 Lt")</f>
        <v>LitterFree Paws 10 Lt</v>
      </c>
      <c r="D16" s="14">
        <f>IFERROR(__xludf.DUMMYFUNCTION("""COMPUTED_VALUE"""),1047.6)</f>
        <v>1047.6</v>
      </c>
      <c r="E16" s="14">
        <f>IFERROR(__xludf.DUMMYFUNCTION("""COMPUTED_VALUE"""),151.902)</f>
        <v>151.902</v>
      </c>
      <c r="F16" s="14">
        <f>IFERROR(__xludf.DUMMYFUNCTION("""COMPUTED_VALUE"""),86.4)</f>
        <v>86.4</v>
      </c>
      <c r="G16" s="14"/>
      <c r="H16" s="14">
        <f>IFERROR(__xludf.DUMMYFUNCTION("""COMPUTED_VALUE"""),13.19)</f>
        <v>13.19</v>
      </c>
      <c r="I16" s="14">
        <f>IFERROR(__xludf.DUMMYFUNCTION("""COMPUTED_VALUE"""),8.73)</f>
        <v>8.73</v>
      </c>
      <c r="J16" s="14" t="str">
        <f>IFERROR(__xludf.DUMMYFUNCTION("""COMPUTED_VALUE"""),"")</f>
        <v/>
      </c>
      <c r="K16" s="14" t="str">
        <f>IFERROR(__xludf.DUMMYFUNCTION("""COMPUTED_VALUE"""),"")</f>
        <v/>
      </c>
      <c r="L16" s="15" t="str">
        <f>IFERROR(__xludf.DUMMYFUNCTION("""COMPUTED_VALUE"""),"")</f>
        <v/>
      </c>
      <c r="M16" s="17" t="str">
        <f>IFERROR(__xludf.DUMMYFUNCTION("""COMPUTED_VALUE"""),"EKSİK VERİ")</f>
        <v>EKSİK VERİ</v>
      </c>
      <c r="N16" s="17" t="str">
        <f>IFERROR(__xludf.DUMMYFUNCTION("""COMPUTED_VALUE"""),"")</f>
        <v/>
      </c>
      <c r="O16" s="17">
        <f>IFERROR(__xludf.DUMMYFUNCTION("""COMPUTED_VALUE"""),2.0)</f>
        <v>2</v>
      </c>
      <c r="P16" s="17" t="str">
        <f>IFERROR(__xludf.DUMMYFUNCTION("""COMPUTED_VALUE"""),"Maliyet eksik")</f>
        <v>Maliyet eksik</v>
      </c>
      <c r="Q16" s="17" t="str">
        <f>IFERROR(__xludf.DUMMYFUNCTION("""COMPUTED_VALUE"""),"")</f>
        <v/>
      </c>
      <c r="R16" s="14" t="str">
        <f>IFERROR(__xludf.DUMMYFUNCTION("""COMPUTED_VALUE"""),"")</f>
        <v/>
      </c>
      <c r="S16" s="14" t="str">
        <f>IFERROR(__xludf.DUMMYFUNCTION("""COMPUTED_VALUE"""),"")</f>
        <v/>
      </c>
      <c r="T16" s="17" t="str">
        <f>IFERROR(__xludf.DUMMYFUNCTION("""COMPUTED_VALUE"""),"EKSİK VERİ")</f>
        <v>EKSİK VERİ</v>
      </c>
      <c r="U16" s="17" t="str">
        <f>IFERROR(__xludf.DUMMYFUNCTION("""COMPUTED_VALUE"""),"Maliyet/desi/komisyon tamamla")</f>
        <v>Maliyet/desi/komisyon tamamla</v>
      </c>
    </row>
    <row r="17">
      <c r="A17" s="2">
        <f>IFERROR(__xludf.DUMMYFUNCTION("""COMPUTED_VALUE"""),8.005852171108E12)</f>
        <v>8005852171108</v>
      </c>
      <c r="B17" s="17" t="str">
        <f>IFERROR(__xludf.DUMMYFUNCTION("""COMPUTED_VALUE"""),"Schesir")</f>
        <v>Schesir</v>
      </c>
      <c r="C17" s="17" t="str">
        <f>IFERROR(__xludf.DUMMYFUNCTION("""COMPUTED_VALUE"""),"Jelly Ton Balıklı Tavuk Ve Karidesli Kedi Yaş Maması 85gr Skt:09/2024")</f>
        <v>Jelly Ton Balıklı Tavuk Ve Karidesli Kedi Yaş Maması 85gr Skt:09/2024</v>
      </c>
      <c r="D17" s="14">
        <f>IFERROR(__xludf.DUMMYFUNCTION("""COMPUTED_VALUE"""),175.0)</f>
        <v>175</v>
      </c>
      <c r="E17" s="14">
        <f>IFERROR(__xludf.DUMMYFUNCTION("""COMPUTED_VALUE"""),28.875)</f>
        <v>28.875</v>
      </c>
      <c r="F17" s="14">
        <f>IFERROR(__xludf.DUMMYFUNCTION("""COMPUTED_VALUE"""),90.0)</f>
        <v>90</v>
      </c>
      <c r="G17" s="14"/>
      <c r="H17" s="14">
        <f>IFERROR(__xludf.DUMMYFUNCTION("""COMPUTED_VALUE"""),13.19)</f>
        <v>13.19</v>
      </c>
      <c r="I17" s="14">
        <f>IFERROR(__xludf.DUMMYFUNCTION("""COMPUTED_VALUE"""),1.4583333333333335)</f>
        <v>1.458333333</v>
      </c>
      <c r="J17" s="14" t="str">
        <f>IFERROR(__xludf.DUMMYFUNCTION("""COMPUTED_VALUE"""),"")</f>
        <v/>
      </c>
      <c r="K17" s="14" t="str">
        <f>IFERROR(__xludf.DUMMYFUNCTION("""COMPUTED_VALUE"""),"")</f>
        <v/>
      </c>
      <c r="L17" s="15" t="str">
        <f>IFERROR(__xludf.DUMMYFUNCTION("""COMPUTED_VALUE"""),"")</f>
        <v/>
      </c>
      <c r="M17" s="17" t="str">
        <f>IFERROR(__xludf.DUMMYFUNCTION("""COMPUTED_VALUE"""),"EKSİK VERİ")</f>
        <v>EKSİK VERİ</v>
      </c>
      <c r="N17" s="17" t="str">
        <f>IFERROR(__xludf.DUMMYFUNCTION("""COMPUTED_VALUE"""),"")</f>
        <v/>
      </c>
      <c r="O17" s="17">
        <f>IFERROR(__xludf.DUMMYFUNCTION("""COMPUTED_VALUE"""),3.0)</f>
        <v>3</v>
      </c>
      <c r="P17" s="17" t="str">
        <f>IFERROR(__xludf.DUMMYFUNCTION("""COMPUTED_VALUE"""),"Maliyet eksik")</f>
        <v>Maliyet eksik</v>
      </c>
      <c r="Q17" s="17" t="str">
        <f>IFERROR(__xludf.DUMMYFUNCTION("""COMPUTED_VALUE"""),"")</f>
        <v/>
      </c>
      <c r="R17" s="14" t="str">
        <f>IFERROR(__xludf.DUMMYFUNCTION("""COMPUTED_VALUE"""),"")</f>
        <v/>
      </c>
      <c r="S17" s="14" t="str">
        <f>IFERROR(__xludf.DUMMYFUNCTION("""COMPUTED_VALUE"""),"")</f>
        <v/>
      </c>
      <c r="T17" s="17" t="str">
        <f>IFERROR(__xludf.DUMMYFUNCTION("""COMPUTED_VALUE"""),"EKSİK VERİ")</f>
        <v>EKSİK VERİ</v>
      </c>
      <c r="U17" s="17" t="str">
        <f>IFERROR(__xludf.DUMMYFUNCTION("""COMPUTED_VALUE"""),"Maliyet/desi/komisyon tamamla")</f>
        <v>Maliyet/desi/komisyon tamamla</v>
      </c>
    </row>
    <row r="18">
      <c r="A18" s="2">
        <f>IFERROR(__xludf.DUMMYFUNCTION("""COMPUTED_VALUE"""),8.005852171054E12)</f>
        <v>8005852171054</v>
      </c>
      <c r="B18" s="17" t="str">
        <f>IFERROR(__xludf.DUMMYFUNCTION("""COMPUTED_VALUE"""),"Schesir")</f>
        <v>Schesir</v>
      </c>
      <c r="C18" s="17" t="str">
        <f>IFERROR(__xludf.DUMMYFUNCTION("""COMPUTED_VALUE"""),"Jelly Ton Balıklı ve Levrekli Pouch Kedi Konservesi 85 Gr")</f>
        <v>Jelly Ton Balıklı ve Levrekli Pouch Kedi Konservesi 85 Gr</v>
      </c>
      <c r="D18" s="14">
        <f>IFERROR(__xludf.DUMMYFUNCTION("""COMPUTED_VALUE"""),259.0)</f>
        <v>259</v>
      </c>
      <c r="E18" s="14">
        <f>IFERROR(__xludf.DUMMYFUNCTION("""COMPUTED_VALUE"""),42.735)</f>
        <v>42.735</v>
      </c>
      <c r="F18" s="14">
        <f>IFERROR(__xludf.DUMMYFUNCTION("""COMPUTED_VALUE"""),90.0)</f>
        <v>90</v>
      </c>
      <c r="G18" s="14"/>
      <c r="H18" s="14">
        <f>IFERROR(__xludf.DUMMYFUNCTION("""COMPUTED_VALUE"""),13.19)</f>
        <v>13.19</v>
      </c>
      <c r="I18" s="14">
        <f>IFERROR(__xludf.DUMMYFUNCTION("""COMPUTED_VALUE"""),2.1583333333333337)</f>
        <v>2.158333333</v>
      </c>
      <c r="J18" s="14" t="str">
        <f>IFERROR(__xludf.DUMMYFUNCTION("""COMPUTED_VALUE"""),"")</f>
        <v/>
      </c>
      <c r="K18" s="14" t="str">
        <f>IFERROR(__xludf.DUMMYFUNCTION("""COMPUTED_VALUE"""),"")</f>
        <v/>
      </c>
      <c r="L18" s="15" t="str">
        <f>IFERROR(__xludf.DUMMYFUNCTION("""COMPUTED_VALUE"""),"")</f>
        <v/>
      </c>
      <c r="M18" s="17" t="str">
        <f>IFERROR(__xludf.DUMMYFUNCTION("""COMPUTED_VALUE"""),"EKSİK VERİ")</f>
        <v>EKSİK VERİ</v>
      </c>
      <c r="N18" s="17" t="str">
        <f>IFERROR(__xludf.DUMMYFUNCTION("""COMPUTED_VALUE"""),"")</f>
        <v/>
      </c>
      <c r="O18" s="17">
        <f>IFERROR(__xludf.DUMMYFUNCTION("""COMPUTED_VALUE"""),3.0)</f>
        <v>3</v>
      </c>
      <c r="P18" s="17" t="str">
        <f>IFERROR(__xludf.DUMMYFUNCTION("""COMPUTED_VALUE"""),"Maliyet eksik")</f>
        <v>Maliyet eksik</v>
      </c>
      <c r="Q18" s="17" t="str">
        <f>IFERROR(__xludf.DUMMYFUNCTION("""COMPUTED_VALUE"""),"")</f>
        <v/>
      </c>
      <c r="R18" s="14" t="str">
        <f>IFERROR(__xludf.DUMMYFUNCTION("""COMPUTED_VALUE"""),"")</f>
        <v/>
      </c>
      <c r="S18" s="14" t="str">
        <f>IFERROR(__xludf.DUMMYFUNCTION("""COMPUTED_VALUE"""),"")</f>
        <v/>
      </c>
      <c r="T18" s="17" t="str">
        <f>IFERROR(__xludf.DUMMYFUNCTION("""COMPUTED_VALUE"""),"EKSİK VERİ")</f>
        <v>EKSİK VERİ</v>
      </c>
      <c r="U18" s="17" t="str">
        <f>IFERROR(__xludf.DUMMYFUNCTION("""COMPUTED_VALUE"""),"Maliyet/desi/komisyon tamamla")</f>
        <v>Maliyet/desi/komisyon tamamla</v>
      </c>
    </row>
    <row r="19">
      <c r="A19" s="2">
        <f>IFERROR(__xludf.DUMMYFUNCTION("""COMPUTED_VALUE"""),8.005852171115E12)</f>
        <v>8005852171115</v>
      </c>
      <c r="B19" s="17" t="str">
        <f>IFERROR(__xludf.DUMMYFUNCTION("""COMPUTED_VALUE"""),"Schesir")</f>
        <v>Schesir</v>
      </c>
      <c r="C19" s="17" t="str">
        <f>IFERROR(__xludf.DUMMYFUNCTION("""COMPUTED_VALUE"""),"Pouch Gravy Tavuklu Kıyılmış Kedi Yaş Maması 85 Gr")</f>
        <v>Pouch Gravy Tavuklu Kıyılmış Kedi Yaş Maması 85 Gr</v>
      </c>
      <c r="D19" s="14">
        <f>IFERROR(__xludf.DUMMYFUNCTION("""COMPUTED_VALUE"""),138.18)</f>
        <v>138.18</v>
      </c>
      <c r="E19" s="14">
        <f>IFERROR(__xludf.DUMMYFUNCTION("""COMPUTED_VALUE"""),22.7997)</f>
        <v>22.7997</v>
      </c>
      <c r="F19" s="14">
        <f>IFERROR(__xludf.DUMMYFUNCTION("""COMPUTED_VALUE"""),90.0)</f>
        <v>90</v>
      </c>
      <c r="G19" s="14"/>
      <c r="H19" s="14">
        <f>IFERROR(__xludf.DUMMYFUNCTION("""COMPUTED_VALUE"""),13.19)</f>
        <v>13.19</v>
      </c>
      <c r="I19" s="14">
        <f>IFERROR(__xludf.DUMMYFUNCTION("""COMPUTED_VALUE"""),1.1515000000000002)</f>
        <v>1.1515</v>
      </c>
      <c r="J19" s="14" t="str">
        <f>IFERROR(__xludf.DUMMYFUNCTION("""COMPUTED_VALUE"""),"")</f>
        <v/>
      </c>
      <c r="K19" s="14" t="str">
        <f>IFERROR(__xludf.DUMMYFUNCTION("""COMPUTED_VALUE"""),"")</f>
        <v/>
      </c>
      <c r="L19" s="15" t="str">
        <f>IFERROR(__xludf.DUMMYFUNCTION("""COMPUTED_VALUE"""),"")</f>
        <v/>
      </c>
      <c r="M19" s="17" t="str">
        <f>IFERROR(__xludf.DUMMYFUNCTION("""COMPUTED_VALUE"""),"EKSİK VERİ")</f>
        <v>EKSİK VERİ</v>
      </c>
      <c r="N19" s="17" t="str">
        <f>IFERROR(__xludf.DUMMYFUNCTION("""COMPUTED_VALUE"""),"")</f>
        <v/>
      </c>
      <c r="O19" s="17">
        <f>IFERROR(__xludf.DUMMYFUNCTION("""COMPUTED_VALUE"""),3.0)</f>
        <v>3</v>
      </c>
      <c r="P19" s="17" t="str">
        <f>IFERROR(__xludf.DUMMYFUNCTION("""COMPUTED_VALUE"""),"Maliyet eksik")</f>
        <v>Maliyet eksik</v>
      </c>
      <c r="Q19" s="17" t="str">
        <f>IFERROR(__xludf.DUMMYFUNCTION("""COMPUTED_VALUE"""),"")</f>
        <v/>
      </c>
      <c r="R19" s="14" t="str">
        <f>IFERROR(__xludf.DUMMYFUNCTION("""COMPUTED_VALUE"""),"")</f>
        <v/>
      </c>
      <c r="S19" s="14" t="str">
        <f>IFERROR(__xludf.DUMMYFUNCTION("""COMPUTED_VALUE"""),"")</f>
        <v/>
      </c>
      <c r="T19" s="17" t="str">
        <f>IFERROR(__xludf.DUMMYFUNCTION("""COMPUTED_VALUE"""),"EKSİK VERİ")</f>
        <v>EKSİK VERİ</v>
      </c>
      <c r="U19" s="17" t="str">
        <f>IFERROR(__xludf.DUMMYFUNCTION("""COMPUTED_VALUE"""),"Maliyet/desi/komisyon tamamla")</f>
        <v>Maliyet/desi/komisyon tamamla</v>
      </c>
    </row>
    <row r="20">
      <c r="A20" s="2">
        <f>IFERROR(__xludf.DUMMYFUNCTION("""COMPUTED_VALUE"""),8.681002995178E12)</f>
        <v>8681002995178</v>
      </c>
      <c r="B20" s="17" t="str">
        <f>IFERROR(__xludf.DUMMYFUNCTION("""COMPUTED_VALUE"""),"Whiskas")</f>
        <v>Whiskas</v>
      </c>
      <c r="C20" s="17" t="str">
        <f>IFERROR(__xludf.DUMMYFUNCTION("""COMPUTED_VALUE"""),"Tavuklu Konserve Kedi Maması 400 gr 24x")</f>
        <v>Tavuklu Konserve Kedi Maması 400 gr 24x</v>
      </c>
      <c r="D20" s="14">
        <f>IFERROR(__xludf.DUMMYFUNCTION("""COMPUTED_VALUE"""),2065.0)</f>
        <v>2065</v>
      </c>
      <c r="E20" s="14">
        <f>IFERROR(__xludf.DUMMYFUNCTION("""COMPUTED_VALUE"""),278.775)</f>
        <v>278.775</v>
      </c>
      <c r="F20" s="14">
        <f>IFERROR(__xludf.DUMMYFUNCTION("""COMPUTED_VALUE"""),90.0)</f>
        <v>90</v>
      </c>
      <c r="G20" s="14"/>
      <c r="H20" s="14">
        <f>IFERROR(__xludf.DUMMYFUNCTION("""COMPUTED_VALUE"""),13.19)</f>
        <v>13.19</v>
      </c>
      <c r="I20" s="14">
        <f>IFERROR(__xludf.DUMMYFUNCTION("""COMPUTED_VALUE"""),17.208333333333336)</f>
        <v>17.20833333</v>
      </c>
      <c r="J20" s="14" t="str">
        <f>IFERROR(__xludf.DUMMYFUNCTION("""COMPUTED_VALUE"""),"")</f>
        <v/>
      </c>
      <c r="K20" s="14" t="str">
        <f>IFERROR(__xludf.DUMMYFUNCTION("""COMPUTED_VALUE"""),"")</f>
        <v/>
      </c>
      <c r="L20" s="15" t="str">
        <f>IFERROR(__xludf.DUMMYFUNCTION("""COMPUTED_VALUE"""),"")</f>
        <v/>
      </c>
      <c r="M20" s="17" t="str">
        <f>IFERROR(__xludf.DUMMYFUNCTION("""COMPUTED_VALUE"""),"EKSİK VERİ")</f>
        <v>EKSİK VERİ</v>
      </c>
      <c r="N20" s="17" t="str">
        <f>IFERROR(__xludf.DUMMYFUNCTION("""COMPUTED_VALUE"""),"")</f>
        <v/>
      </c>
      <c r="O20" s="17">
        <f>IFERROR(__xludf.DUMMYFUNCTION("""COMPUTED_VALUE"""),3.0)</f>
        <v>3</v>
      </c>
      <c r="P20" s="17" t="str">
        <f>IFERROR(__xludf.DUMMYFUNCTION("""COMPUTED_VALUE"""),"Maliyet eksik")</f>
        <v>Maliyet eksik</v>
      </c>
      <c r="Q20" s="17" t="str">
        <f>IFERROR(__xludf.DUMMYFUNCTION("""COMPUTED_VALUE"""),"")</f>
        <v/>
      </c>
      <c r="R20" s="14" t="str">
        <f>IFERROR(__xludf.DUMMYFUNCTION("""COMPUTED_VALUE"""),"")</f>
        <v/>
      </c>
      <c r="S20" s="14" t="str">
        <f>IFERROR(__xludf.DUMMYFUNCTION("""COMPUTED_VALUE"""),"")</f>
        <v/>
      </c>
      <c r="T20" s="17" t="str">
        <f>IFERROR(__xludf.DUMMYFUNCTION("""COMPUTED_VALUE"""),"EKSİK VERİ")</f>
        <v>EKSİK VERİ</v>
      </c>
      <c r="U20" s="17" t="str">
        <f>IFERROR(__xludf.DUMMYFUNCTION("""COMPUTED_VALUE"""),"Maliyet/desi/komisyon tamamla")</f>
        <v>Maliyet/desi/komisyon tamamla</v>
      </c>
    </row>
    <row r="21">
      <c r="A21" s="2">
        <f>IFERROR(__xludf.DUMMYFUNCTION("""COMPUTED_VALUE"""),4.53481343543E11)</f>
        <v>453481343543</v>
      </c>
      <c r="B21" s="17" t="str">
        <f>IFERROR(__xludf.DUMMYFUNCTION("""COMPUTED_VALUE"""),"Mito")</f>
        <v>Mito</v>
      </c>
      <c r="C21" s="17" t="str">
        <f>IFERROR(__xludf.DUMMYFUNCTION("""COMPUTED_VALUE"""),"La Adult Cat Tavuklu Yetişkin Kedi Maması 15 Kg")</f>
        <v>La Adult Cat Tavuklu Yetişkin Kedi Maması 15 Kg</v>
      </c>
      <c r="D21" s="14">
        <f>IFERROR(__xludf.DUMMYFUNCTION("""COMPUTED_VALUE"""),1700.0)</f>
        <v>1700</v>
      </c>
      <c r="E21" s="14">
        <f>IFERROR(__xludf.DUMMYFUNCTION("""COMPUTED_VALUE"""),280.5)</f>
        <v>280.5</v>
      </c>
      <c r="F21" s="14" t="str">
        <f>IFERROR(__xludf.DUMMYFUNCTION("""COMPUTED_VALUE"""),"")</f>
        <v/>
      </c>
      <c r="G21" s="14" t="str">
        <f>IFERROR(__xludf.DUMMYFUNCTION("""COMPUTED_VALUE"""),"")</f>
        <v/>
      </c>
      <c r="H21" s="14">
        <f>IFERROR(__xludf.DUMMYFUNCTION("""COMPUTED_VALUE"""),13.19)</f>
        <v>13.19</v>
      </c>
      <c r="I21" s="14">
        <f>IFERROR(__xludf.DUMMYFUNCTION("""COMPUTED_VALUE"""),14.166666666666668)</f>
        <v>14.16666667</v>
      </c>
      <c r="J21" s="14" t="str">
        <f>IFERROR(__xludf.DUMMYFUNCTION("""COMPUTED_VALUE"""),"")</f>
        <v/>
      </c>
      <c r="K21" s="14" t="str">
        <f>IFERROR(__xludf.DUMMYFUNCTION("""COMPUTED_VALUE"""),"")</f>
        <v/>
      </c>
      <c r="L21" s="15" t="str">
        <f>IFERROR(__xludf.DUMMYFUNCTION("""COMPUTED_VALUE"""),"")</f>
        <v/>
      </c>
      <c r="M21" s="17" t="str">
        <f>IFERROR(__xludf.DUMMYFUNCTION("""COMPUTED_VALUE"""),"EKSİK VERİ")</f>
        <v>EKSİK VERİ</v>
      </c>
      <c r="N21" s="17" t="str">
        <f>IFERROR(__xludf.DUMMYFUNCTION("""COMPUTED_VALUE"""),"")</f>
        <v/>
      </c>
      <c r="O21" s="17" t="str">
        <f>IFERROR(__xludf.DUMMYFUNCTION("""COMPUTED_VALUE"""),"")</f>
        <v/>
      </c>
      <c r="P21" s="17" t="str">
        <f>IFERROR(__xludf.DUMMYFUNCTION("""COMPUTED_VALUE"""),"Maliyet eksik")</f>
        <v>Maliyet eksik</v>
      </c>
      <c r="Q21" s="17" t="str">
        <f>IFERROR(__xludf.DUMMYFUNCTION("""COMPUTED_VALUE"""),"Desi eksik")</f>
        <v>Desi eksik</v>
      </c>
      <c r="R21" s="14" t="str">
        <f>IFERROR(__xludf.DUMMYFUNCTION("""COMPUTED_VALUE"""),"")</f>
        <v/>
      </c>
      <c r="S21" s="14" t="str">
        <f>IFERROR(__xludf.DUMMYFUNCTION("""COMPUTED_VALUE"""),"")</f>
        <v/>
      </c>
      <c r="T21" s="17" t="str">
        <f>IFERROR(__xludf.DUMMYFUNCTION("""COMPUTED_VALUE"""),"EKSİK VERİ")</f>
        <v>EKSİK VERİ</v>
      </c>
      <c r="U21" s="17" t="str">
        <f>IFERROR(__xludf.DUMMYFUNCTION("""COMPUTED_VALUE"""),"Maliyet/desi/komisyon tamamla")</f>
        <v>Maliyet/desi/komisyon tamamla</v>
      </c>
    </row>
  </sheetData>
  <autoFilter ref="$A$1:$Q$15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19</v>
      </c>
      <c r="B1" s="36" t="s">
        <v>20</v>
      </c>
      <c r="C1" s="36" t="s">
        <v>21</v>
      </c>
      <c r="D1" s="36" t="s">
        <v>22</v>
      </c>
      <c r="E1" s="36" t="s">
        <v>23</v>
      </c>
      <c r="F1" s="36" t="s">
        <v>1660</v>
      </c>
      <c r="G1" s="36" t="s">
        <v>1661</v>
      </c>
      <c r="H1" s="36" t="s">
        <v>1662</v>
      </c>
      <c r="I1" s="36" t="s">
        <v>1663</v>
      </c>
      <c r="J1" s="36" t="s">
        <v>1664</v>
      </c>
      <c r="K1" s="36" t="s">
        <v>40</v>
      </c>
      <c r="L1" s="36" t="s">
        <v>41</v>
      </c>
      <c r="M1" s="36" t="s">
        <v>1494</v>
      </c>
      <c r="N1" s="36" t="s">
        <v>34</v>
      </c>
      <c r="O1" s="36" t="s">
        <v>47</v>
      </c>
      <c r="P1" s="36" t="s">
        <v>36</v>
      </c>
      <c r="Q1" s="36" t="s">
        <v>37</v>
      </c>
      <c r="R1" s="36" t="s">
        <v>31</v>
      </c>
      <c r="S1" s="36" t="s">
        <v>1665</v>
      </c>
      <c r="T1" s="36" t="s">
        <v>1666</v>
      </c>
      <c r="U1" s="36" t="s">
        <v>1667</v>
      </c>
    </row>
    <row r="2">
      <c r="A2" s="2" t="str">
        <f>IFERROR(__xludf.DUMMYFUNCTION("SORT(FILTER('BuyBox Karlilik'!A2:U300,'BuyBox Karlilik'!K2:K300&lt;&gt;""""),11,FALSE)"),"H22HBCV000075VENA")</f>
        <v>H22HBCV000075VENA</v>
      </c>
      <c r="B2" s="17" t="str">
        <f>IFERROR(__xludf.DUMMYFUNCTION("""COMPUTED_VALUE"""),"Orqinel")</f>
        <v>Orqinel</v>
      </c>
      <c r="C2" s="17" t="str">
        <f>IFERROR(__xludf.DUMMYFUNCTION("""COMPUTED_VALUE"""),"Virbac Adult Cat Salmon Neutered &amp; Entire 7 kg")</f>
        <v>Virbac Adult Cat Salmon Neutered &amp; Entire 7 kg</v>
      </c>
      <c r="D2" s="14">
        <f>IFERROR(__xludf.DUMMYFUNCTION("""COMPUTED_VALUE"""),4620.0)</f>
        <v>4620</v>
      </c>
      <c r="E2" s="14">
        <f>IFERROR(__xludf.DUMMYFUNCTION("""COMPUTED_VALUE"""),762.3)</f>
        <v>762.3</v>
      </c>
      <c r="F2" s="14">
        <f>IFERROR(__xludf.DUMMYFUNCTION("""COMPUTED_VALUE"""),90.0)</f>
        <v>90</v>
      </c>
      <c r="G2" s="14">
        <f>IFERROR(__xludf.DUMMYFUNCTION("""COMPUTED_VALUE"""),10.0)</f>
        <v>10</v>
      </c>
      <c r="H2" s="14">
        <f>IFERROR(__xludf.DUMMYFUNCTION("""COMPUTED_VALUE"""),13.19)</f>
        <v>13.19</v>
      </c>
      <c r="I2" s="14">
        <f>IFERROR(__xludf.DUMMYFUNCTION("""COMPUTED_VALUE"""),38.5)</f>
        <v>38.5</v>
      </c>
      <c r="J2" s="14">
        <f>IFERROR(__xludf.DUMMYFUNCTION("""COMPUTED_VALUE"""),624.085)</f>
        <v>624.085</v>
      </c>
      <c r="K2" s="14">
        <f>IFERROR(__xludf.DUMMYFUNCTION("""COMPUTED_VALUE"""),3081.9249999999997)</f>
        <v>3081.925</v>
      </c>
      <c r="L2" s="15">
        <f>IFERROR(__xludf.DUMMYFUNCTION("""COMPUTED_VALUE"""),0.6670833333333333)</f>
        <v>0.6670833333</v>
      </c>
      <c r="M2" s="17" t="str">
        <f>IFERROR(__xludf.DUMMYFUNCTION("""COMPUTED_VALUE"""),"KÂRLI")</f>
        <v>KÂRLI</v>
      </c>
      <c r="N2" s="17" t="str">
        <f>IFERROR(__xludf.DUMMYFUNCTION("""COMPUTED_VALUE"""),"")</f>
        <v/>
      </c>
      <c r="O2" s="17">
        <f>IFERROR(__xludf.DUMMYFUNCTION("""COMPUTED_VALUE"""),3.0)</f>
        <v>3</v>
      </c>
      <c r="P2" s="17" t="str">
        <f>IFERROR(__xludf.DUMMYFUNCTION("""COMPUTED_VALUE"""),"")</f>
        <v/>
      </c>
      <c r="Q2" s="17" t="str">
        <f>IFERROR(__xludf.DUMMYFUNCTION("""COMPUTED_VALUE"""),"")</f>
        <v/>
      </c>
      <c r="R2" s="14">
        <f>IFERROR(__xludf.DUMMYFUNCTION("""COMPUTED_VALUE"""),163.66783291103368)</f>
        <v>163.6678329</v>
      </c>
      <c r="S2" s="14">
        <f>IFERROR(__xludf.DUMMYFUNCTION("""COMPUTED_VALUE"""),4456.332167088966)</f>
        <v>4456.332167</v>
      </c>
      <c r="T2" s="17" t="str">
        <f>IFERROR(__xludf.DUMMYFUNCTION("""COMPUTED_VALUE"""),"ÇOK KÂRLI")</f>
        <v>ÇOK KÂRLI</v>
      </c>
      <c r="U2" s="17" t="str">
        <f>IFERROR(__xludf.DUMMYFUNCTION("""COMPUTED_VALUE"""),"Stok ve BuyBox takibini artır")</f>
        <v>Stok ve BuyBox takibini artır</v>
      </c>
    </row>
    <row r="3">
      <c r="A3" s="2">
        <f>IFERROR(__xludf.DUMMYFUNCTION("""COMPUTED_VALUE"""),3.5585356426E10)</f>
        <v>35585356426</v>
      </c>
      <c r="B3" s="17" t="str">
        <f>IFERROR(__xludf.DUMMYFUNCTION("""COMPUTED_VALUE"""),"Kong")</f>
        <v>Kong</v>
      </c>
      <c r="C3" s="17" t="str">
        <f>IFERROR(__xludf.DUMMYFUNCTION("""COMPUTED_VALUE"""),"EXTREMETOP ŞEKLİNDESESLİ VE İPSALLANTILI KÖPEKOYUNCAĞI ULTRASERT L")</f>
        <v>EXTREMETOP ŞEKLİNDESESLİ VE İPSALLANTILI KÖPEKOYUNCAĞI ULTRASERT L</v>
      </c>
      <c r="D3" s="14">
        <f>IFERROR(__xludf.DUMMYFUNCTION("""COMPUTED_VALUE"""),2179.0)</f>
        <v>2179</v>
      </c>
      <c r="E3" s="14">
        <f>IFERROR(__xludf.DUMMYFUNCTION("""COMPUTED_VALUE"""),435.8)</f>
        <v>435.8</v>
      </c>
      <c r="F3" s="14">
        <f>IFERROR(__xludf.DUMMYFUNCTION("""COMPUTED_VALUE"""),86.4)</f>
        <v>86.4</v>
      </c>
      <c r="G3" s="14">
        <f>IFERROR(__xludf.DUMMYFUNCTION("""COMPUTED_VALUE"""),347.76)</f>
        <v>347.76</v>
      </c>
      <c r="H3" s="14">
        <f>IFERROR(__xludf.DUMMYFUNCTION("""COMPUTED_VALUE"""),13.19)</f>
        <v>13.19</v>
      </c>
      <c r="I3" s="14">
        <f>IFERROR(__xludf.DUMMYFUNCTION("""COMPUTED_VALUE"""),18.158333333333335)</f>
        <v>18.15833333</v>
      </c>
      <c r="J3" s="14">
        <f>IFERROR(__xludf.DUMMYFUNCTION("""COMPUTED_VALUE"""),215.9749999999999)</f>
        <v>215.975</v>
      </c>
      <c r="K3" s="14">
        <f>IFERROR(__xludf.DUMMYFUNCTION("""COMPUTED_VALUE"""),1061.7166666666667)</f>
        <v>1061.716667</v>
      </c>
      <c r="L3" s="15">
        <f>IFERROR(__xludf.DUMMYFUNCTION("""COMPUTED_VALUE"""),0.48724950283004437)</f>
        <v>0.4872495028</v>
      </c>
      <c r="M3" s="17" t="str">
        <f>IFERROR(__xludf.DUMMYFUNCTION("""COMPUTED_VALUE"""),"KÂRLI")</f>
        <v>KÂRLI</v>
      </c>
      <c r="N3" s="17" t="str">
        <f>IFERROR(__xludf.DUMMYFUNCTION("""COMPUTED_VALUE"""),"")</f>
        <v/>
      </c>
      <c r="O3" s="17">
        <f>IFERROR(__xludf.DUMMYFUNCTION("""COMPUTED_VALUE"""),1.0)</f>
        <v>1</v>
      </c>
      <c r="P3" s="17" t="str">
        <f>IFERROR(__xludf.DUMMYFUNCTION("""COMPUTED_VALUE"""),"")</f>
        <v/>
      </c>
      <c r="Q3" s="17" t="str">
        <f>IFERROR(__xludf.DUMMYFUNCTION("""COMPUTED_VALUE"""),"")</f>
        <v/>
      </c>
      <c r="R3" s="14">
        <f>IFERROR(__xludf.DUMMYFUNCTION("""COMPUTED_VALUE"""),645.9457374280433)</f>
        <v>645.9457374</v>
      </c>
      <c r="S3" s="14">
        <f>IFERROR(__xludf.DUMMYFUNCTION("""COMPUTED_VALUE"""),1533.0542625719568)</f>
        <v>1533.054263</v>
      </c>
      <c r="T3" s="17" t="str">
        <f>IFERROR(__xludf.DUMMYFUNCTION("""COMPUTED_VALUE"""),"ÇOK KÂRLI")</f>
        <v>ÇOK KÂRLI</v>
      </c>
      <c r="U3" s="17" t="str">
        <f>IFERROR(__xludf.DUMMYFUNCTION("""COMPUTED_VALUE"""),"Stok ve BuyBox takibini artır")</f>
        <v>Stok ve BuyBox takibini artır</v>
      </c>
    </row>
    <row r="4">
      <c r="A4" s="2">
        <f>IFERROR(__xludf.DUMMYFUNCTION("""COMPUTED_VALUE"""),4.49531020003577E14)</f>
        <v>449531020003577</v>
      </c>
      <c r="B4" s="17" t="str">
        <f>IFERROR(__xludf.DUMMYFUNCTION("""COMPUTED_VALUE"""),"Royal Canin")</f>
        <v>Royal Canin</v>
      </c>
      <c r="C4" s="17" t="str">
        <f>IFERROR(__xludf.DUMMYFUNCTION("""COMPUTED_VALUE"""),"Gravy Ageing +12 Kedi Yaş Mama 85 Gr. X 24 Adet")</f>
        <v>Gravy Ageing +12 Kedi Yaş Mama 85 Gr. X 24 Adet</v>
      </c>
      <c r="D4" s="14">
        <f>IFERROR(__xludf.DUMMYFUNCTION("""COMPUTED_VALUE"""),1799.0)</f>
        <v>1799</v>
      </c>
      <c r="E4" s="14">
        <f>IFERROR(__xludf.DUMMYFUNCTION("""COMPUTED_VALUE"""),224.875)</f>
        <v>224.875</v>
      </c>
      <c r="F4" s="14">
        <f>IFERROR(__xludf.DUMMYFUNCTION("""COMPUTED_VALUE"""),90.0)</f>
        <v>90</v>
      </c>
      <c r="G4" s="14">
        <f>IFERROR(__xludf.DUMMYFUNCTION("""COMPUTED_VALUE"""),465.0)</f>
        <v>465</v>
      </c>
      <c r="H4" s="14">
        <f>IFERROR(__xludf.DUMMYFUNCTION("""COMPUTED_VALUE"""),13.19)</f>
        <v>13.19</v>
      </c>
      <c r="I4" s="14">
        <f>IFERROR(__xludf.DUMMYFUNCTION("""COMPUTED_VALUE"""),14.991666666666667)</f>
        <v>14.99166667</v>
      </c>
      <c r="J4" s="14">
        <f>IFERROR(__xludf.DUMMYFUNCTION("""COMPUTED_VALUE"""),167.65583333333328)</f>
        <v>167.6558333</v>
      </c>
      <c r="K4" s="14">
        <f>IFERROR(__xludf.DUMMYFUNCTION("""COMPUTED_VALUE"""),823.2875)</f>
        <v>823.2875</v>
      </c>
      <c r="L4" s="15">
        <f>IFERROR(__xludf.DUMMYFUNCTION("""COMPUTED_VALUE"""),0.45763618677042806)</f>
        <v>0.4576361868</v>
      </c>
      <c r="M4" s="17" t="str">
        <f>IFERROR(__xludf.DUMMYFUNCTION("""COMPUTED_VALUE"""),"KÂRLI")</f>
        <v>KÂRLI</v>
      </c>
      <c r="N4" s="17" t="str">
        <f>IFERROR(__xludf.DUMMYFUNCTION("""COMPUTED_VALUE"""),"")</f>
        <v/>
      </c>
      <c r="O4" s="17">
        <f>IFERROR(__xludf.DUMMYFUNCTION("""COMPUTED_VALUE"""),3.0)</f>
        <v>3</v>
      </c>
      <c r="P4" s="17" t="str">
        <f>IFERROR(__xludf.DUMMYFUNCTION("""COMPUTED_VALUE"""),"")</f>
        <v/>
      </c>
      <c r="Q4" s="17" t="str">
        <f>IFERROR(__xludf.DUMMYFUNCTION("""COMPUTED_VALUE"""),"")</f>
        <v/>
      </c>
      <c r="R4" s="14">
        <f>IFERROR(__xludf.DUMMYFUNCTION("""COMPUTED_VALUE"""),734.5956865902995)</f>
        <v>734.5956866</v>
      </c>
      <c r="S4" s="14">
        <f>IFERROR(__xludf.DUMMYFUNCTION("""COMPUTED_VALUE"""),1064.4043134097005)</f>
        <v>1064.404313</v>
      </c>
      <c r="T4" s="17" t="str">
        <f>IFERROR(__xludf.DUMMYFUNCTION("""COMPUTED_VALUE"""),"ÇOK KÂRLI")</f>
        <v>ÇOK KÂRLI</v>
      </c>
      <c r="U4" s="17" t="str">
        <f>IFERROR(__xludf.DUMMYFUNCTION("""COMPUTED_VALUE"""),"Stok ve BuyBox takibini artır")</f>
        <v>Stok ve BuyBox takibini artır</v>
      </c>
    </row>
    <row r="5">
      <c r="A5" s="2">
        <f>IFERROR(__xludf.DUMMYFUNCTION("""COMPUTED_VALUE"""),8.681002997592E12)</f>
        <v>8681002997592</v>
      </c>
      <c r="B5" s="17" t="str">
        <f>IFERROR(__xludf.DUMMYFUNCTION("""COMPUTED_VALUE"""),"Dreamies")</f>
        <v>Dreamies</v>
      </c>
      <c r="C5" s="17" t="str">
        <f>IFERROR(__xludf.DUMMYFUNCTION("""COMPUTED_VALUE"""),"Kedi Ödül Maması Karışık Paket 60 Gr X 36 Adet")</f>
        <v>Kedi Ödül Maması Karışık Paket 60 Gr X 36 Adet</v>
      </c>
      <c r="D5" s="14">
        <f>IFERROR(__xludf.DUMMYFUNCTION("""COMPUTED_VALUE"""),1455.0)</f>
        <v>1455</v>
      </c>
      <c r="E5" s="14">
        <f>IFERROR(__xludf.DUMMYFUNCTION("""COMPUTED_VALUE"""),291.0)</f>
        <v>291</v>
      </c>
      <c r="F5" s="14">
        <f>IFERROR(__xludf.DUMMYFUNCTION("""COMPUTED_VALUE"""),86.4)</f>
        <v>86.4</v>
      </c>
      <c r="G5" s="14">
        <f>IFERROR(__xludf.DUMMYFUNCTION("""COMPUTED_VALUE"""),100.0)</f>
        <v>100</v>
      </c>
      <c r="H5" s="14">
        <f>IFERROR(__xludf.DUMMYFUNCTION("""COMPUTED_VALUE"""),13.19)</f>
        <v>13.19</v>
      </c>
      <c r="I5" s="14">
        <f>IFERROR(__xludf.DUMMYFUNCTION("""COMPUTED_VALUE"""),12.125)</f>
        <v>12.125</v>
      </c>
      <c r="J5" s="14">
        <f>IFERROR(__xludf.DUMMYFUNCTION("""COMPUTED_VALUE"""),160.735)</f>
        <v>160.735</v>
      </c>
      <c r="K5" s="14">
        <f>IFERROR(__xludf.DUMMYFUNCTION("""COMPUTED_VALUE"""),791.5499999999998)</f>
        <v>791.55</v>
      </c>
      <c r="L5" s="15">
        <f>IFERROR(__xludf.DUMMYFUNCTION("""COMPUTED_VALUE"""),0.5440206185567009)</f>
        <v>0.5440206186</v>
      </c>
      <c r="M5" s="17" t="str">
        <f>IFERROR(__xludf.DUMMYFUNCTION("""COMPUTED_VALUE"""),"KÂRLI")</f>
        <v>KÂRLI</v>
      </c>
      <c r="N5" s="17" t="str">
        <f>IFERROR(__xludf.DUMMYFUNCTION("""COMPUTED_VALUE"""),"")</f>
        <v/>
      </c>
      <c r="O5" s="17">
        <f>IFERROR(__xludf.DUMMYFUNCTION("""COMPUTED_VALUE"""),0.5)</f>
        <v>0.5</v>
      </c>
      <c r="P5" s="17" t="str">
        <f>IFERROR(__xludf.DUMMYFUNCTION("""COMPUTED_VALUE"""),"")</f>
        <v/>
      </c>
      <c r="Q5" s="17" t="str">
        <f>IFERROR(__xludf.DUMMYFUNCTION("""COMPUTED_VALUE"""),"")</f>
        <v/>
      </c>
      <c r="R5" s="14">
        <f>IFERROR(__xludf.DUMMYFUNCTION("""COMPUTED_VALUE"""),292.99928152970165)</f>
        <v>292.9992815</v>
      </c>
      <c r="S5" s="14">
        <f>IFERROR(__xludf.DUMMYFUNCTION("""COMPUTED_VALUE"""),1162.0007184702984)</f>
        <v>1162.000718</v>
      </c>
      <c r="T5" s="17" t="str">
        <f>IFERROR(__xludf.DUMMYFUNCTION("""COMPUTED_VALUE"""),"ÇOK KÂRLI")</f>
        <v>ÇOK KÂRLI</v>
      </c>
      <c r="U5" s="17" t="str">
        <f>IFERROR(__xludf.DUMMYFUNCTION("""COMPUTED_VALUE"""),"Stok ve BuyBox takibini artır")</f>
        <v>Stok ve BuyBox takibini artır</v>
      </c>
    </row>
    <row r="6">
      <c r="A6" s="2">
        <f>IFERROR(__xludf.DUMMYFUNCTION("""COMPUTED_VALUE"""),3.5585356389E10)</f>
        <v>35585356389</v>
      </c>
      <c r="B6" s="17" t="str">
        <f>IFERROR(__xludf.DUMMYFUNCTION("""COMPUTED_VALUE"""),"Kong")</f>
        <v>Kong</v>
      </c>
      <c r="C6" s="17" t="str">
        <f>IFERROR(__xludf.DUMMYFUNCTION("""COMPUTED_VALUE"""),"EXTREMEÇOKLU TOPŞEKLİNDE KÖPEKOYUNCAĞI ULTRASERT L")</f>
        <v>EXTREMEÇOKLU TOPŞEKLİNDE KÖPEKOYUNCAĞI ULTRASERT L</v>
      </c>
      <c r="D6" s="14">
        <f>IFERROR(__xludf.DUMMYFUNCTION("""COMPUTED_VALUE"""),2340.0)</f>
        <v>2340</v>
      </c>
      <c r="E6" s="14">
        <f>IFERROR(__xludf.DUMMYFUNCTION("""COMPUTED_VALUE"""),468.0)</f>
        <v>468</v>
      </c>
      <c r="F6" s="14">
        <f>IFERROR(__xludf.DUMMYFUNCTION("""COMPUTED_VALUE"""),86.4)</f>
        <v>86.4</v>
      </c>
      <c r="G6" s="14">
        <f>IFERROR(__xludf.DUMMYFUNCTION("""COMPUTED_VALUE"""),925.2)</f>
        <v>925.2</v>
      </c>
      <c r="H6" s="14">
        <f>IFERROR(__xludf.DUMMYFUNCTION("""COMPUTED_VALUE"""),13.19)</f>
        <v>13.19</v>
      </c>
      <c r="I6" s="14">
        <f>IFERROR(__xludf.DUMMYFUNCTION("""COMPUTED_VALUE"""),19.5)</f>
        <v>19.5</v>
      </c>
      <c r="J6" s="14">
        <f>IFERROR(__xludf.DUMMYFUNCTION("""COMPUTED_VALUE"""),141.20166666666677)</f>
        <v>141.2016667</v>
      </c>
      <c r="K6" s="14">
        <f>IFERROR(__xludf.DUMMYFUNCTION("""COMPUTED_VALUE"""),686.508333333333)</f>
        <v>686.5083333</v>
      </c>
      <c r="L6" s="15">
        <f>IFERROR(__xludf.DUMMYFUNCTION("""COMPUTED_VALUE"""),0.2933796296296295)</f>
        <v>0.2933796296</v>
      </c>
      <c r="M6" s="17" t="str">
        <f>IFERROR(__xludf.DUMMYFUNCTION("""COMPUTED_VALUE"""),"KÂRLI")</f>
        <v>KÂRLI</v>
      </c>
      <c r="N6" s="17" t="str">
        <f>IFERROR(__xludf.DUMMYFUNCTION("""COMPUTED_VALUE"""),"")</f>
        <v/>
      </c>
      <c r="O6" s="17">
        <f>IFERROR(__xludf.DUMMYFUNCTION("""COMPUTED_VALUE"""),1.0)</f>
        <v>1</v>
      </c>
      <c r="P6" s="17" t="str">
        <f>IFERROR(__xludf.DUMMYFUNCTION("""COMPUTED_VALUE"""),"")</f>
        <v/>
      </c>
      <c r="Q6" s="17" t="str">
        <f>IFERROR(__xludf.DUMMYFUNCTION("""COMPUTED_VALUE"""),"")</f>
        <v/>
      </c>
      <c r="R6" s="14">
        <f>IFERROR(__xludf.DUMMYFUNCTION("""COMPUTED_VALUE"""),1401.2796368070735)</f>
        <v>1401.279637</v>
      </c>
      <c r="S6" s="14">
        <f>IFERROR(__xludf.DUMMYFUNCTION("""COMPUTED_VALUE"""),938.7203631929265)</f>
        <v>938.7203632</v>
      </c>
      <c r="T6" s="17" t="str">
        <f>IFERROR(__xludf.DUMMYFUNCTION("""COMPUTED_VALUE"""),"ÇOK KÂRLI")</f>
        <v>ÇOK KÂRLI</v>
      </c>
      <c r="U6" s="17" t="str">
        <f>IFERROR(__xludf.DUMMYFUNCTION("""COMPUTED_VALUE"""),"Stok ve BuyBox takibini artır")</f>
        <v>Stok ve BuyBox takibini artır</v>
      </c>
    </row>
    <row r="7">
      <c r="A7" s="2">
        <f>IFERROR(__xludf.DUMMYFUNCTION("""COMPUTED_VALUE"""),3.5585356242E10)</f>
        <v>35585356242</v>
      </c>
      <c r="B7" s="17" t="str">
        <f>IFERROR(__xludf.DUMMYFUNCTION("""COMPUTED_VALUE"""),"Kong")</f>
        <v>Kong</v>
      </c>
      <c r="C7" s="17" t="str">
        <f>IFERROR(__xludf.DUMMYFUNCTION("""COMPUTED_VALUE"""),"GOODİERİBBON ÇOKLUTOP ŞEKLİNDEKÖPEKOYUNCAĞI L")</f>
        <v>GOODİERİBBON ÇOKLUTOP ŞEKLİNDEKÖPEKOYUNCAĞI L</v>
      </c>
      <c r="D7" s="14">
        <f>IFERROR(__xludf.DUMMYFUNCTION("""COMPUTED_VALUE"""),2329.0)</f>
        <v>2329</v>
      </c>
      <c r="E7" s="14">
        <f>IFERROR(__xludf.DUMMYFUNCTION("""COMPUTED_VALUE"""),465.8)</f>
        <v>465.8</v>
      </c>
      <c r="F7" s="14">
        <f>IFERROR(__xludf.DUMMYFUNCTION("""COMPUTED_VALUE"""),86.4)</f>
        <v>86.4</v>
      </c>
      <c r="G7" s="14">
        <f>IFERROR(__xludf.DUMMYFUNCTION("""COMPUTED_VALUE"""),919.44)</f>
        <v>919.44</v>
      </c>
      <c r="H7" s="14">
        <f>IFERROR(__xludf.DUMMYFUNCTION("""COMPUTED_VALUE"""),13.19)</f>
        <v>13.19</v>
      </c>
      <c r="I7" s="14">
        <f>IFERROR(__xludf.DUMMYFUNCTION("""COMPUTED_VALUE"""),19.408333333333335)</f>
        <v>19.40833333</v>
      </c>
      <c r="J7" s="14">
        <f>IFERROR(__xludf.DUMMYFUNCTION("""COMPUTED_VALUE"""),140.69499999999988)</f>
        <v>140.695</v>
      </c>
      <c r="K7" s="14">
        <f>IFERROR(__xludf.DUMMYFUNCTION("""COMPUTED_VALUE"""),684.0666666666666)</f>
        <v>684.0666667</v>
      </c>
      <c r="L7" s="15">
        <f>IFERROR(__xludf.DUMMYFUNCTION("""COMPUTED_VALUE"""),0.29371690281952195)</f>
        <v>0.2937169028</v>
      </c>
      <c r="M7" s="17" t="str">
        <f>IFERROR(__xludf.DUMMYFUNCTION("""COMPUTED_VALUE"""),"KÂRLI")</f>
        <v>KÂRLI</v>
      </c>
      <c r="N7" s="17" t="str">
        <f>IFERROR(__xludf.DUMMYFUNCTION("""COMPUTED_VALUE"""),"")</f>
        <v/>
      </c>
      <c r="O7" s="17">
        <f>IFERROR(__xludf.DUMMYFUNCTION("""COMPUTED_VALUE"""),1.0)</f>
        <v>1</v>
      </c>
      <c r="P7" s="17" t="str">
        <f>IFERROR(__xludf.DUMMYFUNCTION("""COMPUTED_VALUE"""),"")</f>
        <v/>
      </c>
      <c r="Q7" s="17" t="str">
        <f>IFERROR(__xludf.DUMMYFUNCTION("""COMPUTED_VALUE"""),"")</f>
        <v/>
      </c>
      <c r="R7" s="14">
        <f>IFERROR(__xludf.DUMMYFUNCTION("""COMPUTED_VALUE"""),1393.5320493579063)</f>
        <v>1393.532049</v>
      </c>
      <c r="S7" s="14">
        <f>IFERROR(__xludf.DUMMYFUNCTION("""COMPUTED_VALUE"""),935.4679506420937)</f>
        <v>935.4679506</v>
      </c>
      <c r="T7" s="17" t="str">
        <f>IFERROR(__xludf.DUMMYFUNCTION("""COMPUTED_VALUE"""),"ÇOK KÂRLI")</f>
        <v>ÇOK KÂRLI</v>
      </c>
      <c r="U7" s="17" t="str">
        <f>IFERROR(__xludf.DUMMYFUNCTION("""COMPUTED_VALUE"""),"Stok ve BuyBox takibini artır")</f>
        <v>Stok ve BuyBox takibini artır</v>
      </c>
    </row>
    <row r="8">
      <c r="A8" s="2">
        <f>IFERROR(__xludf.DUMMYFUNCTION("""COMPUTED_VALUE"""),6.2420056724154E13)</f>
        <v>62420056724154</v>
      </c>
      <c r="B8" s="17" t="str">
        <f>IFERROR(__xludf.DUMMYFUNCTION("""COMPUTED_VALUE"""),"Dreamies")</f>
        <v>Dreamies</v>
      </c>
      <c r="C8" s="17" t="str">
        <f>IFERROR(__xludf.DUMMYFUNCTION("""COMPUTED_VALUE"""),"Kedi Ödül Maması Karışık 60 gr X 24 Adet")</f>
        <v>Kedi Ödül Maması Karışık 60 gr X 24 Adet</v>
      </c>
      <c r="D8" s="14">
        <f>IFERROR(__xludf.DUMMYFUNCTION("""COMPUTED_VALUE"""),1019.08)</f>
        <v>1019.08</v>
      </c>
      <c r="E8" s="14">
        <f>IFERROR(__xludf.DUMMYFUNCTION("""COMPUTED_VALUE"""),89.67904)</f>
        <v>89.67904</v>
      </c>
      <c r="F8" s="14">
        <f>IFERROR(__xludf.DUMMYFUNCTION("""COMPUTED_VALUE"""),90.0)</f>
        <v>90</v>
      </c>
      <c r="G8" s="14">
        <f>IFERROR(__xludf.DUMMYFUNCTION("""COMPUTED_VALUE"""),10.0)</f>
        <v>10</v>
      </c>
      <c r="H8" s="14">
        <f>IFERROR(__xludf.DUMMYFUNCTION("""COMPUTED_VALUE"""),13.19)</f>
        <v>13.19</v>
      </c>
      <c r="I8" s="14">
        <f>IFERROR(__xludf.DUMMYFUNCTION("""COMPUTED_VALUE"""),8.492333333333333)</f>
        <v>8.492333333</v>
      </c>
      <c r="J8" s="14">
        <f>IFERROR(__xludf.DUMMYFUNCTION("""COMPUTED_VALUE"""),136.03516000000005)</f>
        <v>136.03516</v>
      </c>
      <c r="K8" s="14">
        <f>IFERROR(__xludf.DUMMYFUNCTION("""COMPUTED_VALUE"""),671.6834666666666)</f>
        <v>671.6834667</v>
      </c>
      <c r="L8" s="15">
        <f>IFERROR(__xludf.DUMMYFUNCTION("""COMPUTED_VALUE"""),0.659107691905117)</f>
        <v>0.6591076919</v>
      </c>
      <c r="M8" s="17" t="str">
        <f>IFERROR(__xludf.DUMMYFUNCTION("""COMPUTED_VALUE"""),"KÂRLI")</f>
        <v>KÂRLI</v>
      </c>
      <c r="N8" s="17" t="str">
        <f>IFERROR(__xludf.DUMMYFUNCTION("""COMPUTED_VALUE"""),"")</f>
        <v/>
      </c>
      <c r="O8" s="17">
        <f>IFERROR(__xludf.DUMMYFUNCTION("""COMPUTED_VALUE"""),3.0)</f>
        <v>3</v>
      </c>
      <c r="P8" s="17" t="str">
        <f>IFERROR(__xludf.DUMMYFUNCTION("""COMPUTED_VALUE"""),"")</f>
        <v/>
      </c>
      <c r="Q8" s="17" t="str">
        <f>IFERROR(__xludf.DUMMYFUNCTION("""COMPUTED_VALUE"""),"")</f>
        <v/>
      </c>
      <c r="R8" s="14">
        <f>IFERROR(__xludf.DUMMYFUNCTION("""COMPUTED_VALUE"""),146.96587434221533)</f>
        <v>146.9658743</v>
      </c>
      <c r="S8" s="14">
        <f>IFERROR(__xludf.DUMMYFUNCTION("""COMPUTED_VALUE"""),872.1141256577847)</f>
        <v>872.1141257</v>
      </c>
      <c r="T8" s="17" t="str">
        <f>IFERROR(__xludf.DUMMYFUNCTION("""COMPUTED_VALUE"""),"ÇOK KÂRLI")</f>
        <v>ÇOK KÂRLI</v>
      </c>
      <c r="U8" s="17" t="str">
        <f>IFERROR(__xludf.DUMMYFUNCTION("""COMPUTED_VALUE"""),"Stok ve BuyBox takibini artır")</f>
        <v>Stok ve BuyBox takibini artır</v>
      </c>
    </row>
    <row r="9">
      <c r="A9" s="2">
        <f>IFERROR(__xludf.DUMMYFUNCTION("""COMPUTED_VALUE"""),3.5585509006E10)</f>
        <v>35585509006</v>
      </c>
      <c r="B9" s="17" t="str">
        <f>IFERROR(__xludf.DUMMYFUNCTION("""COMPUTED_VALUE"""),"Kong")</f>
        <v>Kong</v>
      </c>
      <c r="C9" s="17" t="str">
        <f>IFERROR(__xludf.DUMMYFUNCTION("""COMPUTED_VALUE"""),"REWARDSTİNKER KÖPEKLERİÇİN ÖDÜLMAMASIDAĞITMAOYUNCAĞI M/L")</f>
        <v>REWARDSTİNKER KÖPEKLERİÇİN ÖDÜLMAMASIDAĞITMAOYUNCAĞI M/L</v>
      </c>
      <c r="D9" s="14">
        <f>IFERROR(__xludf.DUMMYFUNCTION("""COMPUTED_VALUE"""),2197.0)</f>
        <v>2197</v>
      </c>
      <c r="E9" s="14">
        <f>IFERROR(__xludf.DUMMYFUNCTION("""COMPUTED_VALUE"""),439.4)</f>
        <v>439.4</v>
      </c>
      <c r="F9" s="14">
        <f>IFERROR(__xludf.DUMMYFUNCTION("""COMPUTED_VALUE"""),86.4)</f>
        <v>86.4</v>
      </c>
      <c r="G9" s="14">
        <f>IFERROR(__xludf.DUMMYFUNCTION("""COMPUTED_VALUE"""),868.32)</f>
        <v>868.32</v>
      </c>
      <c r="H9" s="14">
        <f>IFERROR(__xludf.DUMMYFUNCTION("""COMPUTED_VALUE"""),13.19)</f>
        <v>13.19</v>
      </c>
      <c r="I9" s="14">
        <f>IFERROR(__xludf.DUMMYFUNCTION("""COMPUTED_VALUE"""),18.308333333333334)</f>
        <v>18.30833333</v>
      </c>
      <c r="J9" s="14">
        <f>IFERROR(__xludf.DUMMYFUNCTION("""COMPUTED_VALUE"""),131.6149999999999)</f>
        <v>131.615</v>
      </c>
      <c r="K9" s="14">
        <f>IFERROR(__xludf.DUMMYFUNCTION("""COMPUTED_VALUE"""),639.7666666666665)</f>
        <v>639.7666667</v>
      </c>
      <c r="L9" s="15">
        <f>IFERROR(__xludf.DUMMYFUNCTION("""COMPUTED_VALUE"""),0.2912001213776361)</f>
        <v>0.2912001214</v>
      </c>
      <c r="M9" s="17" t="str">
        <f>IFERROR(__xludf.DUMMYFUNCTION("""COMPUTED_VALUE"""),"KÂRLI")</f>
        <v>KÂRLI</v>
      </c>
      <c r="N9" s="17" t="str">
        <f>IFERROR(__xludf.DUMMYFUNCTION("""COMPUTED_VALUE"""),"")</f>
        <v/>
      </c>
      <c r="O9" s="17">
        <f>IFERROR(__xludf.DUMMYFUNCTION("""COMPUTED_VALUE"""),1.0)</f>
        <v>1</v>
      </c>
      <c r="P9" s="17" t="str">
        <f>IFERROR(__xludf.DUMMYFUNCTION("""COMPUTED_VALUE"""),"")</f>
        <v/>
      </c>
      <c r="Q9" s="17" t="str">
        <f>IFERROR(__xludf.DUMMYFUNCTION("""COMPUTED_VALUE"""),"")</f>
        <v/>
      </c>
      <c r="R9" s="14">
        <f>IFERROR(__xludf.DUMMYFUNCTION("""COMPUTED_VALUE"""),1322.7145391996644)</f>
        <v>1322.714539</v>
      </c>
      <c r="S9" s="14">
        <f>IFERROR(__xludf.DUMMYFUNCTION("""COMPUTED_VALUE"""),874.2854608003356)</f>
        <v>874.2854608</v>
      </c>
      <c r="T9" s="17" t="str">
        <f>IFERROR(__xludf.DUMMYFUNCTION("""COMPUTED_VALUE"""),"ÇOK KÂRLI")</f>
        <v>ÇOK KÂRLI</v>
      </c>
      <c r="U9" s="17" t="str">
        <f>IFERROR(__xludf.DUMMYFUNCTION("""COMPUTED_VALUE"""),"Stok ve BuyBox takibini artır")</f>
        <v>Stok ve BuyBox takibini artır</v>
      </c>
    </row>
    <row r="10">
      <c r="A10" s="2">
        <f>IFERROR(__xludf.DUMMYFUNCTION("""COMPUTED_VALUE"""),3.5585356433E10)</f>
        <v>35585356433</v>
      </c>
      <c r="B10" s="17" t="str">
        <f>IFERROR(__xludf.DUMMYFUNCTION("""COMPUTED_VALUE"""),"Kong")</f>
        <v>Kong</v>
      </c>
      <c r="C10" s="17" t="str">
        <f>IFERROR(__xludf.DUMMYFUNCTION("""COMPUTED_VALUE"""),"EXTREMEDENTAL DİŞTEMİZLİĞİSAĞLAYANKÖPEKOYUNCAĞI ULTRASERT L")</f>
        <v>EXTREMEDENTAL DİŞTEMİZLİĞİSAĞLAYANKÖPEKOYUNCAĞI ULTRASERT L</v>
      </c>
      <c r="D10" s="14">
        <f>IFERROR(__xludf.DUMMYFUNCTION("""COMPUTED_VALUE"""),2179.0)</f>
        <v>2179</v>
      </c>
      <c r="E10" s="14">
        <f>IFERROR(__xludf.DUMMYFUNCTION("""COMPUTED_VALUE"""),435.8)</f>
        <v>435.8</v>
      </c>
      <c r="F10" s="14">
        <f>IFERROR(__xludf.DUMMYFUNCTION("""COMPUTED_VALUE"""),86.4)</f>
        <v>86.4</v>
      </c>
      <c r="G10" s="14">
        <f>IFERROR(__xludf.DUMMYFUNCTION("""COMPUTED_VALUE"""),860.4)</f>
        <v>860.4</v>
      </c>
      <c r="H10" s="14">
        <f>IFERROR(__xludf.DUMMYFUNCTION("""COMPUTED_VALUE"""),13.19)</f>
        <v>13.19</v>
      </c>
      <c r="I10" s="14">
        <f>IFERROR(__xludf.DUMMYFUNCTION("""COMPUTED_VALUE"""),18.158333333333335)</f>
        <v>18.15833333</v>
      </c>
      <c r="J10" s="14">
        <f>IFERROR(__xludf.DUMMYFUNCTION("""COMPUTED_VALUE"""),130.5349999999999)</f>
        <v>130.535</v>
      </c>
      <c r="K10" s="14">
        <f>IFERROR(__xludf.DUMMYFUNCTION("""COMPUTED_VALUE"""),634.5166666666667)</f>
        <v>634.5166667</v>
      </c>
      <c r="L10" s="15">
        <f>IFERROR(__xludf.DUMMYFUNCTION("""COMPUTED_VALUE"""),0.29119626740094845)</f>
        <v>0.2911962674</v>
      </c>
      <c r="M10" s="17" t="str">
        <f>IFERROR(__xludf.DUMMYFUNCTION("""COMPUTED_VALUE"""),"KÂRLI")</f>
        <v>KÂRLI</v>
      </c>
      <c r="N10" s="17" t="str">
        <f>IFERROR(__xludf.DUMMYFUNCTION("""COMPUTED_VALUE"""),"")</f>
        <v/>
      </c>
      <c r="O10" s="17">
        <f>IFERROR(__xludf.DUMMYFUNCTION("""COMPUTED_VALUE"""),1.0)</f>
        <v>1</v>
      </c>
      <c r="P10" s="17" t="str">
        <f>IFERROR(__xludf.DUMMYFUNCTION("""COMPUTED_VALUE"""),"")</f>
        <v/>
      </c>
      <c r="Q10" s="17" t="str">
        <f>IFERROR(__xludf.DUMMYFUNCTION("""COMPUTED_VALUE"""),"")</f>
        <v/>
      </c>
      <c r="R10" s="14">
        <f>IFERROR(__xludf.DUMMYFUNCTION("""COMPUTED_VALUE"""),1311.8899411713169)</f>
        <v>1311.889941</v>
      </c>
      <c r="S10" s="14">
        <f>IFERROR(__xludf.DUMMYFUNCTION("""COMPUTED_VALUE"""),867.1100588286831)</f>
        <v>867.1100588</v>
      </c>
      <c r="T10" s="17" t="str">
        <f>IFERROR(__xludf.DUMMYFUNCTION("""COMPUTED_VALUE"""),"ÇOK KÂRLI")</f>
        <v>ÇOK KÂRLI</v>
      </c>
      <c r="U10" s="17" t="str">
        <f>IFERROR(__xludf.DUMMYFUNCTION("""COMPUTED_VALUE"""),"Stok ve BuyBox takibini artır")</f>
        <v>Stok ve BuyBox takibini artır</v>
      </c>
    </row>
    <row r="11">
      <c r="A11" s="2" t="str">
        <f>IFERROR(__xludf.DUMMYFUNCTION("""COMPUTED_VALUE"""),"TYBT0G6C7YR9R8WA07")</f>
        <v>TYBT0G6C7YR9R8WA07</v>
      </c>
      <c r="B11" s="17" t="str">
        <f>IFERROR(__xludf.DUMMYFUNCTION("""COMPUTED_VALUE"""),"Royal Canin")</f>
        <v>Royal Canin</v>
      </c>
      <c r="C11" s="17" t="str">
        <f>IFERROR(__xludf.DUMMYFUNCTION("""COMPUTED_VALUE"""),"Orta Irklar için Yavru Yaş Köpek Maması 10 x 140g")</f>
        <v>Orta Irklar için Yavru Yaş Köpek Maması 10 x 140g</v>
      </c>
      <c r="D11" s="14">
        <f>IFERROR(__xludf.DUMMYFUNCTION("""COMPUTED_VALUE"""),999.0)</f>
        <v>999</v>
      </c>
      <c r="E11" s="14">
        <f>IFERROR(__xludf.DUMMYFUNCTION("""COMPUTED_VALUE"""),124.875)</f>
        <v>124.875</v>
      </c>
      <c r="F11" s="14">
        <f>IFERROR(__xludf.DUMMYFUNCTION("""COMPUTED_VALUE"""),90.0)</f>
        <v>90</v>
      </c>
      <c r="G11" s="14">
        <f>IFERROR(__xludf.DUMMYFUNCTION("""COMPUTED_VALUE"""),1.0)</f>
        <v>1</v>
      </c>
      <c r="H11" s="14">
        <f>IFERROR(__xludf.DUMMYFUNCTION("""COMPUTED_VALUE"""),13.19)</f>
        <v>13.19</v>
      </c>
      <c r="I11" s="14">
        <f>IFERROR(__xludf.DUMMYFUNCTION("""COMPUTED_VALUE"""),8.325)</f>
        <v>8.325</v>
      </c>
      <c r="J11" s="14">
        <f>IFERROR(__xludf.DUMMYFUNCTION("""COMPUTED_VALUE"""),128.32250000000002)</f>
        <v>128.3225</v>
      </c>
      <c r="K11" s="14">
        <f>IFERROR(__xludf.DUMMYFUNCTION("""COMPUTED_VALUE"""),633.2874999999999)</f>
        <v>633.2875</v>
      </c>
      <c r="L11" s="15">
        <f>IFERROR(__xludf.DUMMYFUNCTION("""COMPUTED_VALUE"""),0.6339214214214214)</f>
        <v>0.6339214214</v>
      </c>
      <c r="M11" s="17" t="str">
        <f>IFERROR(__xludf.DUMMYFUNCTION("""COMPUTED_VALUE"""),"KÂRLI")</f>
        <v>KÂRLI</v>
      </c>
      <c r="N11" s="17" t="str">
        <f>IFERROR(__xludf.DUMMYFUNCTION("""COMPUTED_VALUE"""),"")</f>
        <v/>
      </c>
      <c r="O11" s="17">
        <f>IFERROR(__xludf.DUMMYFUNCTION("""COMPUTED_VALUE"""),3.0)</f>
        <v>3</v>
      </c>
      <c r="P11" s="17" t="str">
        <f>IFERROR(__xludf.DUMMYFUNCTION("""COMPUTED_VALUE"""),"")</f>
        <v/>
      </c>
      <c r="Q11" s="17" t="str">
        <f>IFERROR(__xludf.DUMMYFUNCTION("""COMPUTED_VALUE"""),"")</f>
        <v/>
      </c>
      <c r="R11" s="14">
        <f>IFERROR(__xludf.DUMMYFUNCTION("""COMPUTED_VALUE"""),141.13754385889453)</f>
        <v>141.1375439</v>
      </c>
      <c r="S11" s="14">
        <f>IFERROR(__xludf.DUMMYFUNCTION("""COMPUTED_VALUE"""),857.8624561411054)</f>
        <v>857.8624561</v>
      </c>
      <c r="T11" s="17" t="str">
        <f>IFERROR(__xludf.DUMMYFUNCTION("""COMPUTED_VALUE"""),"ÇOK KÂRLI")</f>
        <v>ÇOK KÂRLI</v>
      </c>
      <c r="U11" s="17" t="str">
        <f>IFERROR(__xludf.DUMMYFUNCTION("""COMPUTED_VALUE"""),"Stok ve BuyBox takibini artır")</f>
        <v>Stok ve BuyBox takibini artır</v>
      </c>
    </row>
    <row r="12">
      <c r="A12" s="2" t="str">
        <f>IFERROR(__xludf.DUMMYFUNCTION("""COMPUTED_VALUE"""),"TYBBAP7AE4W8EI0838")</f>
        <v>TYBBAP7AE4W8EI0838</v>
      </c>
      <c r="B12" s="17" t="str">
        <f>IFERROR(__xludf.DUMMYFUNCTION("""COMPUTED_VALUE"""),"HPM")</f>
        <v>HPM</v>
      </c>
      <c r="C12" s="17" t="str">
        <f>IFERROR(__xludf.DUMMYFUNCTION("""COMPUTED_VALUE"""),"Virbac Adult Neutered&amp;Entire Salmon Somonlu Kısır Kedi Maması 3 kg")</f>
        <v>Virbac Adult Neutered&amp;Entire Salmon Somonlu Kısır Kedi Maması 3 kg</v>
      </c>
      <c r="D12" s="14">
        <f>IFERROR(__xludf.DUMMYFUNCTION("""COMPUTED_VALUE"""),2619.0)</f>
        <v>2619</v>
      </c>
      <c r="E12" s="14">
        <f>IFERROR(__xludf.DUMMYFUNCTION("""COMPUTED_VALUE"""),382.374)</f>
        <v>382.374</v>
      </c>
      <c r="F12" s="14">
        <f>IFERROR(__xludf.DUMMYFUNCTION("""COMPUTED_VALUE"""),90.0)</f>
        <v>90</v>
      </c>
      <c r="G12" s="14">
        <f>IFERROR(__xludf.DUMMYFUNCTION("""COMPUTED_VALUE"""),1350.0)</f>
        <v>1350</v>
      </c>
      <c r="H12" s="14">
        <f>IFERROR(__xludf.DUMMYFUNCTION("""COMPUTED_VALUE"""),13.19)</f>
        <v>13.19</v>
      </c>
      <c r="I12" s="14">
        <f>IFERROR(__xludf.DUMMYFUNCTION("""COMPUTED_VALUE"""),21.825)</f>
        <v>21.825</v>
      </c>
      <c r="J12" s="14">
        <f>IFERROR(__xludf.DUMMYFUNCTION("""COMPUTED_VALUE"""),130.5726666666667)</f>
        <v>130.5726667</v>
      </c>
      <c r="K12" s="14">
        <f>IFERROR(__xludf.DUMMYFUNCTION("""COMPUTED_VALUE"""),631.0383333333334)</f>
        <v>631.0383333</v>
      </c>
      <c r="L12" s="15">
        <f>IFERROR(__xludf.DUMMYFUNCTION("""COMPUTED_VALUE"""),0.24094628993254427)</f>
        <v>0.2409462899</v>
      </c>
      <c r="M12" s="17" t="str">
        <f>IFERROR(__xludf.DUMMYFUNCTION("""COMPUTED_VALUE"""),"KÂRLI")</f>
        <v>KÂRLI</v>
      </c>
      <c r="N12" s="17" t="str">
        <f>IFERROR(__xludf.DUMMYFUNCTION("""COMPUTED_VALUE"""),"")</f>
        <v/>
      </c>
      <c r="O12" s="17">
        <f>IFERROR(__xludf.DUMMYFUNCTION("""COMPUTED_VALUE"""),3.0)</f>
        <v>3</v>
      </c>
      <c r="P12" s="17" t="str">
        <f>IFERROR(__xludf.DUMMYFUNCTION("""COMPUTED_VALUE"""),"")</f>
        <v/>
      </c>
      <c r="Q12" s="17" t="str">
        <f>IFERROR(__xludf.DUMMYFUNCTION("""COMPUTED_VALUE"""),"")</f>
        <v/>
      </c>
      <c r="R12" s="14">
        <f>IFERROR(__xludf.DUMMYFUNCTION("""COMPUTED_VALUE"""),1826.04897697193)</f>
        <v>1826.048977</v>
      </c>
      <c r="S12" s="14">
        <f>IFERROR(__xludf.DUMMYFUNCTION("""COMPUTED_VALUE"""),792.95102302807)</f>
        <v>792.951023</v>
      </c>
      <c r="T12" s="17" t="str">
        <f>IFERROR(__xludf.DUMMYFUNCTION("""COMPUTED_VALUE"""),"SAĞLIKLI")</f>
        <v>SAĞLIKLI</v>
      </c>
      <c r="U12" s="17" t="str">
        <f>IFERROR(__xludf.DUMMYFUNCTION("""COMPUTED_VALUE"""),"Takip et")</f>
        <v>Takip et</v>
      </c>
    </row>
    <row r="13">
      <c r="A13" s="2">
        <f>IFERROR(__xludf.DUMMYFUNCTION("""COMPUTED_VALUE"""),9.00357931015112E14)</f>
        <v>900357931015112</v>
      </c>
      <c r="B13" s="17" t="str">
        <f>IFERROR(__xludf.DUMMYFUNCTION("""COMPUTED_VALUE"""),"Royal Canin")</f>
        <v>Royal Canin</v>
      </c>
      <c r="C13" s="17" t="str">
        <f>IFERROR(__xludf.DUMMYFUNCTION("""COMPUTED_VALUE"""),"Ageing +12 Gravy Yaşlı Kedi 85 Gr X 12 Adet")</f>
        <v>Ageing +12 Gravy Yaşlı Kedi 85 Gr X 12 Adet</v>
      </c>
      <c r="D13" s="14">
        <f>IFERROR(__xludf.DUMMYFUNCTION("""COMPUTED_VALUE"""),958.0)</f>
        <v>958</v>
      </c>
      <c r="E13" s="14">
        <f>IFERROR(__xludf.DUMMYFUNCTION("""COMPUTED_VALUE"""),119.75)</f>
        <v>119.75</v>
      </c>
      <c r="F13" s="14">
        <f>IFERROR(__xludf.DUMMYFUNCTION("""COMPUTED_VALUE"""),90.0)</f>
        <v>90</v>
      </c>
      <c r="G13" s="14">
        <f>IFERROR(__xludf.DUMMYFUNCTION("""COMPUTED_VALUE"""),1.0)</f>
        <v>1</v>
      </c>
      <c r="H13" s="14">
        <f>IFERROR(__xludf.DUMMYFUNCTION("""COMPUTED_VALUE"""),13.19)</f>
        <v>13.19</v>
      </c>
      <c r="I13" s="14">
        <f>IFERROR(__xludf.DUMMYFUNCTION("""COMPUTED_VALUE"""),7.983333333333334)</f>
        <v>7.983333333</v>
      </c>
      <c r="J13" s="14">
        <f>IFERROR(__xludf.DUMMYFUNCTION("""COMPUTED_VALUE"""),122.3433333333333)</f>
        <v>122.3433333</v>
      </c>
      <c r="K13" s="14">
        <f>IFERROR(__xludf.DUMMYFUNCTION("""COMPUTED_VALUE"""),603.7333333333333)</f>
        <v>603.7333333</v>
      </c>
      <c r="L13" s="15">
        <f>IFERROR(__xludf.DUMMYFUNCTION("""COMPUTED_VALUE"""),0.6302018093249826)</f>
        <v>0.6302018093</v>
      </c>
      <c r="M13" s="17" t="str">
        <f>IFERROR(__xludf.DUMMYFUNCTION("""COMPUTED_VALUE"""),"KÂRLI")</f>
        <v>KÂRLI</v>
      </c>
      <c r="N13" s="17" t="str">
        <f>IFERROR(__xludf.DUMMYFUNCTION("""COMPUTED_VALUE"""),"")</f>
        <v/>
      </c>
      <c r="O13" s="17">
        <f>IFERROR(__xludf.DUMMYFUNCTION("""COMPUTED_VALUE"""),3.0)</f>
        <v>3</v>
      </c>
      <c r="P13" s="17" t="str">
        <f>IFERROR(__xludf.DUMMYFUNCTION("""COMPUTED_VALUE"""),"")</f>
        <v/>
      </c>
      <c r="Q13" s="17" t="str">
        <f>IFERROR(__xludf.DUMMYFUNCTION("""COMPUTED_VALUE"""),"")</f>
        <v/>
      </c>
      <c r="R13" s="14">
        <f>IFERROR(__xludf.DUMMYFUNCTION("""COMPUTED_VALUE"""),140.99545851309264)</f>
        <v>140.9954585</v>
      </c>
      <c r="S13" s="14">
        <f>IFERROR(__xludf.DUMMYFUNCTION("""COMPUTED_VALUE"""),817.0045414869073)</f>
        <v>817.0045415</v>
      </c>
      <c r="T13" s="17" t="str">
        <f>IFERROR(__xludf.DUMMYFUNCTION("""COMPUTED_VALUE"""),"ÇOK KÂRLI")</f>
        <v>ÇOK KÂRLI</v>
      </c>
      <c r="U13" s="17" t="str">
        <f>IFERROR(__xludf.DUMMYFUNCTION("""COMPUTED_VALUE"""),"Stok ve BuyBox takibini artır")</f>
        <v>Stok ve BuyBox takibini artır</v>
      </c>
    </row>
    <row r="14">
      <c r="A14" s="2" t="str">
        <f>IFERROR(__xludf.DUMMYFUNCTION("""COMPUTED_VALUE"""),"TYBK5EN736FAN2SC21")</f>
        <v>TYBK5EN736FAN2SC21</v>
      </c>
      <c r="B14" s="17" t="str">
        <f>IFERROR(__xludf.DUMMYFUNCTION("""COMPUTED_VALUE"""),"HPM")</f>
        <v>HPM</v>
      </c>
      <c r="C14" s="17" t="str">
        <f>IFERROR(__xludf.DUMMYFUNCTION("""COMPUTED_VALUE"""),"Virbac Gastro (Digestive &amp; Support) Kedi Maması 3 KG")</f>
        <v>Virbac Gastro (Digestive &amp; Support) Kedi Maması 3 KG</v>
      </c>
      <c r="D14" s="14">
        <f>IFERROR(__xludf.DUMMYFUNCTION("""COMPUTED_VALUE"""),2740.0)</f>
        <v>2740</v>
      </c>
      <c r="E14" s="14">
        <f>IFERROR(__xludf.DUMMYFUNCTION("""COMPUTED_VALUE"""),452.1)</f>
        <v>452.1</v>
      </c>
      <c r="F14" s="14">
        <f>IFERROR(__xludf.DUMMYFUNCTION("""COMPUTED_VALUE"""),90.0)</f>
        <v>90</v>
      </c>
      <c r="G14" s="14">
        <f>IFERROR(__xludf.DUMMYFUNCTION("""COMPUTED_VALUE"""),1500.0)</f>
        <v>1500</v>
      </c>
      <c r="H14" s="14">
        <f>IFERROR(__xludf.DUMMYFUNCTION("""COMPUTED_VALUE"""),13.19)</f>
        <v>13.19</v>
      </c>
      <c r="I14" s="14">
        <f>IFERROR(__xludf.DUMMYFUNCTION("""COMPUTED_VALUE"""),22.833333333333336)</f>
        <v>22.83333333</v>
      </c>
      <c r="J14" s="14">
        <f>IFERROR(__xludf.DUMMYFUNCTION("""COMPUTED_VALUE"""),114.11833333333321)</f>
        <v>114.1183333</v>
      </c>
      <c r="K14" s="14">
        <f>IFERROR(__xludf.DUMMYFUNCTION("""COMPUTED_VALUE"""),547.7583333333334)</f>
        <v>547.7583333</v>
      </c>
      <c r="L14" s="15">
        <f>IFERROR(__xludf.DUMMYFUNCTION("""COMPUTED_VALUE"""),0.19991180048661805)</f>
        <v>0.1999118005</v>
      </c>
      <c r="M14" s="17" t="str">
        <f>IFERROR(__xludf.DUMMYFUNCTION("""COMPUTED_VALUE"""),"KÂRLI")</f>
        <v>KÂRLI</v>
      </c>
      <c r="N14" s="17" t="str">
        <f>IFERROR(__xludf.DUMMYFUNCTION("""COMPUTED_VALUE"""),"")</f>
        <v/>
      </c>
      <c r="O14" s="17">
        <f>IFERROR(__xludf.DUMMYFUNCTION("""COMPUTED_VALUE"""),3.0)</f>
        <v>3</v>
      </c>
      <c r="P14" s="17" t="str">
        <f>IFERROR(__xludf.DUMMYFUNCTION("""COMPUTED_VALUE"""),"")</f>
        <v/>
      </c>
      <c r="Q14" s="17" t="str">
        <f>IFERROR(__xludf.DUMMYFUNCTION("""COMPUTED_VALUE"""),"")</f>
        <v/>
      </c>
      <c r="R14" s="14">
        <f>IFERROR(__xludf.DUMMYFUNCTION("""COMPUTED_VALUE"""),2042.2334961215124)</f>
        <v>2042.233496</v>
      </c>
      <c r="S14" s="14">
        <f>IFERROR(__xludf.DUMMYFUNCTION("""COMPUTED_VALUE"""),697.7665038784876)</f>
        <v>697.7665039</v>
      </c>
      <c r="T14" s="17" t="str">
        <f>IFERROR(__xludf.DUMMYFUNCTION("""COMPUTED_VALUE"""),"SAĞLIKLI")</f>
        <v>SAĞLIKLI</v>
      </c>
      <c r="U14" s="17" t="str">
        <f>IFERROR(__xludf.DUMMYFUNCTION("""COMPUTED_VALUE"""),"Takip et")</f>
        <v>Takip et</v>
      </c>
    </row>
    <row r="15">
      <c r="A15" s="2">
        <f>IFERROR(__xludf.DUMMYFUNCTION("""COMPUTED_VALUE"""),3.5585356419E10)</f>
        <v>35585356419</v>
      </c>
      <c r="B15" s="17" t="str">
        <f>IFERROR(__xludf.DUMMYFUNCTION("""COMPUTED_VALUE"""),"Kong")</f>
        <v>Kong</v>
      </c>
      <c r="C15" s="17" t="str">
        <f>IFERROR(__xludf.DUMMYFUNCTION("""COMPUTED_VALUE"""),"EXTREMEDENTAL DİŞTEMİZLİĞİSAĞLAYAN İPSALLANTILI KÖPEKOYUNCAĞI ULTRASERT M")</f>
        <v>EXTREMEDENTAL DİŞTEMİZLİĞİSAĞLAYAN İPSALLANTILI KÖPEKOYUNCAĞI ULTRASERT M</v>
      </c>
      <c r="D15" s="14">
        <f>IFERROR(__xludf.DUMMYFUNCTION("""COMPUTED_VALUE"""),1900.0)</f>
        <v>1900</v>
      </c>
      <c r="E15" s="14">
        <f>IFERROR(__xludf.DUMMYFUNCTION("""COMPUTED_VALUE"""),380.0)</f>
        <v>380</v>
      </c>
      <c r="F15" s="14">
        <f>IFERROR(__xludf.DUMMYFUNCTION("""COMPUTED_VALUE"""),86.4)</f>
        <v>86.4</v>
      </c>
      <c r="G15" s="14">
        <f>IFERROR(__xludf.DUMMYFUNCTION("""COMPUTED_VALUE"""),762.48)</f>
        <v>762.48</v>
      </c>
      <c r="H15" s="14">
        <f>IFERROR(__xludf.DUMMYFUNCTION("""COMPUTED_VALUE"""),13.19)</f>
        <v>13.19</v>
      </c>
      <c r="I15" s="14">
        <f>IFERROR(__xludf.DUMMYFUNCTION("""COMPUTED_VALUE"""),15.833333333333336)</f>
        <v>15.83333333</v>
      </c>
      <c r="J15" s="14">
        <f>IFERROR(__xludf.DUMMYFUNCTION("""COMPUTED_VALUE"""),109.65499999999996)</f>
        <v>109.655</v>
      </c>
      <c r="K15" s="14">
        <f>IFERROR(__xludf.DUMMYFUNCTION("""COMPUTED_VALUE"""),532.4416666666665)</f>
        <v>532.4416667</v>
      </c>
      <c r="L15" s="15">
        <f>IFERROR(__xludf.DUMMYFUNCTION("""COMPUTED_VALUE"""),0.2802324561403508)</f>
        <v>0.2802324561</v>
      </c>
      <c r="M15" s="17" t="str">
        <f>IFERROR(__xludf.DUMMYFUNCTION("""COMPUTED_VALUE"""),"KÂRLI")</f>
        <v>KÂRLI</v>
      </c>
      <c r="N15" s="17" t="str">
        <f>IFERROR(__xludf.DUMMYFUNCTION("""COMPUTED_VALUE"""),"")</f>
        <v/>
      </c>
      <c r="O15" s="17">
        <f>IFERROR(__xludf.DUMMYFUNCTION("""COMPUTED_VALUE"""),1.0)</f>
        <v>1</v>
      </c>
      <c r="P15" s="17" t="str">
        <f>IFERROR(__xludf.DUMMYFUNCTION("""COMPUTED_VALUE"""),"")</f>
        <v/>
      </c>
      <c r="Q15" s="17" t="str">
        <f>IFERROR(__xludf.DUMMYFUNCTION("""COMPUTED_VALUE"""),"")</f>
        <v/>
      </c>
      <c r="R15" s="14">
        <f>IFERROR(__xludf.DUMMYFUNCTION("""COMPUTED_VALUE"""),1174.556151279555)</f>
        <v>1174.556151</v>
      </c>
      <c r="S15" s="14">
        <f>IFERROR(__xludf.DUMMYFUNCTION("""COMPUTED_VALUE"""),725.443848720445)</f>
        <v>725.4438487</v>
      </c>
      <c r="T15" s="17" t="str">
        <f>IFERROR(__xludf.DUMMYFUNCTION("""COMPUTED_VALUE"""),"ÇOK KÂRLI")</f>
        <v>ÇOK KÂRLI</v>
      </c>
      <c r="U15" s="17" t="str">
        <f>IFERROR(__xludf.DUMMYFUNCTION("""COMPUTED_VALUE"""),"Stok ve BuyBox takibini artır")</f>
        <v>Stok ve BuyBox takibini artır</v>
      </c>
    </row>
    <row r="16">
      <c r="A16" s="2">
        <f>IFERROR(__xludf.DUMMYFUNCTION("""COMPUTED_VALUE"""),4.77060823913824E14)</f>
        <v>477060823913824</v>
      </c>
      <c r="B16" s="17" t="str">
        <f>IFERROR(__xludf.DUMMYFUNCTION("""COMPUTED_VALUE"""),"Whiskas")</f>
        <v>Whiskas</v>
      </c>
      <c r="C16" s="17" t="str">
        <f>IFERROR(__xludf.DUMMYFUNCTION("""COMPUTED_VALUE"""),"Klasik Öğünler Sos Içinde Sığırlı Ve Tavuklu Yetişkin Kedi Maması 24 X 85 G")</f>
        <v>Klasik Öğünler Sos Içinde Sığırlı Ve Tavuklu Yetişkin Kedi Maması 24 X 85 G</v>
      </c>
      <c r="D16" s="14">
        <f>IFERROR(__xludf.DUMMYFUNCTION("""COMPUTED_VALUE"""),800.0)</f>
        <v>800</v>
      </c>
      <c r="E16" s="14">
        <f>IFERROR(__xludf.DUMMYFUNCTION("""COMPUTED_VALUE"""),108.0)</f>
        <v>108</v>
      </c>
      <c r="F16" s="14">
        <f>IFERROR(__xludf.DUMMYFUNCTION("""COMPUTED_VALUE"""),90.0)</f>
        <v>90</v>
      </c>
      <c r="G16" s="14">
        <f>IFERROR(__xludf.DUMMYFUNCTION("""COMPUTED_VALUE"""),1.0)</f>
        <v>1</v>
      </c>
      <c r="H16" s="14">
        <f>IFERROR(__xludf.DUMMYFUNCTION("""COMPUTED_VALUE"""),13.19)</f>
        <v>13.19</v>
      </c>
      <c r="I16" s="14">
        <f>IFERROR(__xludf.DUMMYFUNCTION("""COMPUTED_VALUE"""),6.666666666666668)</f>
        <v>6.666666667</v>
      </c>
      <c r="J16" s="14">
        <f>IFERROR(__xludf.DUMMYFUNCTION("""COMPUTED_VALUE"""),97.96833333333326)</f>
        <v>97.96833333</v>
      </c>
      <c r="K16" s="14">
        <f>IFERROR(__xludf.DUMMYFUNCTION("""COMPUTED_VALUE"""),483.17500000000007)</f>
        <v>483.175</v>
      </c>
      <c r="L16" s="15">
        <f>IFERROR(__xludf.DUMMYFUNCTION("""COMPUTED_VALUE"""),0.60396875)</f>
        <v>0.60396875</v>
      </c>
      <c r="M16" s="17" t="str">
        <f>IFERROR(__xludf.DUMMYFUNCTION("""COMPUTED_VALUE"""),"KÂRLI")</f>
        <v>KÂRLI</v>
      </c>
      <c r="N16" s="17" t="str">
        <f>IFERROR(__xludf.DUMMYFUNCTION("""COMPUTED_VALUE"""),"")</f>
        <v/>
      </c>
      <c r="O16" s="17">
        <f>IFERROR(__xludf.DUMMYFUNCTION("""COMPUTED_VALUE"""),3.0)</f>
        <v>3</v>
      </c>
      <c r="P16" s="17" t="str">
        <f>IFERROR(__xludf.DUMMYFUNCTION("""COMPUTED_VALUE"""),"")</f>
        <v/>
      </c>
      <c r="Q16" s="17" t="str">
        <f>IFERROR(__xludf.DUMMYFUNCTION("""COMPUTED_VALUE"""),"")</f>
        <v/>
      </c>
      <c r="R16" s="14">
        <f>IFERROR(__xludf.DUMMYFUNCTION("""COMPUTED_VALUE"""),141.9082889817909)</f>
        <v>141.908289</v>
      </c>
      <c r="S16" s="14">
        <f>IFERROR(__xludf.DUMMYFUNCTION("""COMPUTED_VALUE"""),658.0917110182091)</f>
        <v>658.091711</v>
      </c>
      <c r="T16" s="17" t="str">
        <f>IFERROR(__xludf.DUMMYFUNCTION("""COMPUTED_VALUE"""),"ÇOK KÂRLI")</f>
        <v>ÇOK KÂRLI</v>
      </c>
      <c r="U16" s="17" t="str">
        <f>IFERROR(__xludf.DUMMYFUNCTION("""COMPUTED_VALUE"""),"Stok ve BuyBox takibini artır")</f>
        <v>Stok ve BuyBox takibini artır</v>
      </c>
    </row>
    <row r="17">
      <c r="A17" s="2">
        <f>IFERROR(__xludf.DUMMYFUNCTION("""COMPUTED_VALUE"""),8.684207631578E12)</f>
        <v>8684207631578</v>
      </c>
      <c r="B17" s="17" t="str">
        <f>IFERROR(__xludf.DUMMYFUNCTION("""COMPUTED_VALUE"""),"Supreme Cat")</f>
        <v>Supreme Cat</v>
      </c>
      <c r="C17" s="17" t="str">
        <f>IFERROR(__xludf.DUMMYFUNCTION("""COMPUTED_VALUE"""),"Karışık Parça Etli Konserve Kedi Yaş Maması 85 gr")</f>
        <v>Karışık Parça Etli Konserve Kedi Yaş Maması 85 gr</v>
      </c>
      <c r="D17" s="14">
        <f>IFERROR(__xludf.DUMMYFUNCTION("""COMPUTED_VALUE"""),746.1)</f>
        <v>746.1</v>
      </c>
      <c r="E17" s="14">
        <f>IFERROR(__xludf.DUMMYFUNCTION("""COMPUTED_VALUE"""),123.1065)</f>
        <v>123.1065</v>
      </c>
      <c r="F17" s="14">
        <f>IFERROR(__xludf.DUMMYFUNCTION("""COMPUTED_VALUE"""),90.0)</f>
        <v>90</v>
      </c>
      <c r="G17" s="14">
        <f>IFERROR(__xludf.DUMMYFUNCTION("""COMPUTED_VALUE"""),1.0)</f>
        <v>1</v>
      </c>
      <c r="H17" s="14">
        <f>IFERROR(__xludf.DUMMYFUNCTION("""COMPUTED_VALUE"""),13.19)</f>
        <v>13.19</v>
      </c>
      <c r="I17" s="14">
        <f>IFERROR(__xludf.DUMMYFUNCTION("""COMPUTED_VALUE"""),6.2175)</f>
        <v>6.2175</v>
      </c>
      <c r="J17" s="14">
        <f>IFERROR(__xludf.DUMMYFUNCTION("""COMPUTED_VALUE"""),86.46725000000002)</f>
        <v>86.46725</v>
      </c>
      <c r="K17" s="14">
        <f>IFERROR(__xludf.DUMMYFUNCTION("""COMPUTED_VALUE"""),426.11875)</f>
        <v>426.11875</v>
      </c>
      <c r="L17" s="15">
        <f>IFERROR(__xludf.DUMMYFUNCTION("""COMPUTED_VALUE"""),0.5711281999731939)</f>
        <v>0.5711282</v>
      </c>
      <c r="M17" s="17" t="str">
        <f>IFERROR(__xludf.DUMMYFUNCTION("""COMPUTED_VALUE"""),"KÂRLI")</f>
        <v>KÂRLI</v>
      </c>
      <c r="N17" s="17" t="str">
        <f>IFERROR(__xludf.DUMMYFUNCTION("""COMPUTED_VALUE"""),"")</f>
        <v/>
      </c>
      <c r="O17" s="17">
        <f>IFERROR(__xludf.DUMMYFUNCTION("""COMPUTED_VALUE"""),3.0)</f>
        <v>3</v>
      </c>
      <c r="P17" s="17" t="str">
        <f>IFERROR(__xludf.DUMMYFUNCTION("""COMPUTED_VALUE"""),"")</f>
        <v/>
      </c>
      <c r="Q17" s="17" t="str">
        <f>IFERROR(__xludf.DUMMYFUNCTION("""COMPUTED_VALUE"""),"")</f>
        <v/>
      </c>
      <c r="R17" s="14">
        <f>IFERROR(__xludf.DUMMYFUNCTION("""COMPUTED_VALUE"""),146.58653575662964)</f>
        <v>146.5865358</v>
      </c>
      <c r="S17" s="14">
        <f>IFERROR(__xludf.DUMMYFUNCTION("""COMPUTED_VALUE"""),599.5134642433704)</f>
        <v>599.5134642</v>
      </c>
      <c r="T17" s="17" t="str">
        <f>IFERROR(__xludf.DUMMYFUNCTION("""COMPUTED_VALUE"""),"ÇOK KÂRLI")</f>
        <v>ÇOK KÂRLI</v>
      </c>
      <c r="U17" s="17" t="str">
        <f>IFERROR(__xludf.DUMMYFUNCTION("""COMPUTED_VALUE"""),"Stok ve BuyBox takibini artır")</f>
        <v>Stok ve BuyBox takibini artır</v>
      </c>
    </row>
    <row r="18">
      <c r="A18" s="2" t="str">
        <f>IFERROR(__xludf.DUMMYFUNCTION("""COMPUTED_VALUE"""),"WHS28850000")</f>
        <v>WHS28850000</v>
      </c>
      <c r="B18" s="17" t="str">
        <f>IFERROR(__xludf.DUMMYFUNCTION("""COMPUTED_VALUE"""),"Whiskas")</f>
        <v>Whiskas</v>
      </c>
      <c r="C18" s="17" t="str">
        <f>IFERROR(__xludf.DUMMYFUNCTION("""COMPUTED_VALUE"""),"Sığır - Tavuk - Somon - Ton Balıklı Karışık Yaş Kedi Maması 28 Adet 85 Gr.")</f>
        <v>Sığır - Tavuk - Somon - Ton Balıklı Karışık Yaş Kedi Maması 28 Adet 85 Gr.</v>
      </c>
      <c r="D18" s="14">
        <f>IFERROR(__xludf.DUMMYFUNCTION("""COMPUTED_VALUE"""),696.0)</f>
        <v>696</v>
      </c>
      <c r="E18" s="14">
        <f>IFERROR(__xludf.DUMMYFUNCTION("""COMPUTED_VALUE"""),93.96)</f>
        <v>93.96</v>
      </c>
      <c r="F18" s="14">
        <f>IFERROR(__xludf.DUMMYFUNCTION("""COMPUTED_VALUE"""),90.0)</f>
        <v>90</v>
      </c>
      <c r="G18" s="14">
        <f>IFERROR(__xludf.DUMMYFUNCTION("""COMPUTED_VALUE"""),1.0)</f>
        <v>1</v>
      </c>
      <c r="H18" s="14">
        <f>IFERROR(__xludf.DUMMYFUNCTION("""COMPUTED_VALUE"""),13.19)</f>
        <v>13.19</v>
      </c>
      <c r="I18" s="14">
        <f>IFERROR(__xludf.DUMMYFUNCTION("""COMPUTED_VALUE"""),5.8)</f>
        <v>5.8</v>
      </c>
      <c r="J18" s="14">
        <f>IFERROR(__xludf.DUMMYFUNCTION("""COMPUTED_VALUE"""),82.975)</f>
        <v>82.975</v>
      </c>
      <c r="K18" s="14">
        <f>IFERROR(__xludf.DUMMYFUNCTION("""COMPUTED_VALUE"""),409.07499999999993)</f>
        <v>409.075</v>
      </c>
      <c r="L18" s="15">
        <f>IFERROR(__xludf.DUMMYFUNCTION("""COMPUTED_VALUE"""),0.5877514367816091)</f>
        <v>0.5877514368</v>
      </c>
      <c r="M18" s="17" t="str">
        <f>IFERROR(__xludf.DUMMYFUNCTION("""COMPUTED_VALUE"""),"KÂRLI")</f>
        <v>KÂRLI</v>
      </c>
      <c r="N18" s="17" t="str">
        <f>IFERROR(__xludf.DUMMYFUNCTION("""COMPUTED_VALUE"""),"")</f>
        <v/>
      </c>
      <c r="O18" s="17">
        <f>IFERROR(__xludf.DUMMYFUNCTION("""COMPUTED_VALUE"""),3.0)</f>
        <v>3</v>
      </c>
      <c r="P18" s="17" t="str">
        <f>IFERROR(__xludf.DUMMYFUNCTION("""COMPUTED_VALUE"""),"")</f>
        <v/>
      </c>
      <c r="Q18" s="17" t="str">
        <f>IFERROR(__xludf.DUMMYFUNCTION("""COMPUTED_VALUE"""),"")</f>
        <v/>
      </c>
      <c r="R18" s="14">
        <f>IFERROR(__xludf.DUMMYFUNCTION("""COMPUTED_VALUE"""),141.28414604946394)</f>
        <v>141.284146</v>
      </c>
      <c r="S18" s="14">
        <f>IFERROR(__xludf.DUMMYFUNCTION("""COMPUTED_VALUE"""),554.715853950536)</f>
        <v>554.715854</v>
      </c>
      <c r="T18" s="17" t="str">
        <f>IFERROR(__xludf.DUMMYFUNCTION("""COMPUTED_VALUE"""),"ÇOK KÂRLI")</f>
        <v>ÇOK KÂRLI</v>
      </c>
      <c r="U18" s="17" t="str">
        <f>IFERROR(__xludf.DUMMYFUNCTION("""COMPUTED_VALUE"""),"Stok ve BuyBox takibini artır")</f>
        <v>Stok ve BuyBox takibini artır</v>
      </c>
    </row>
    <row r="19">
      <c r="A19" s="2" t="str">
        <f>IFERROR(__xludf.DUMMYFUNCTION("""COMPUTED_VALUE"""),"TYBPC0369DN0S47078")</f>
        <v>TYBPC0369DN0S47078</v>
      </c>
      <c r="B19" s="17" t="str">
        <f>IFERROR(__xludf.DUMMYFUNCTION("""COMPUTED_VALUE"""),"Whiskas")</f>
        <v>Whiskas</v>
      </c>
      <c r="C19" s="17" t="str">
        <f>IFERROR(__xludf.DUMMYFUNCTION("""COMPUTED_VALUE"""),"Sığır - Tavuk - Somon - Ton Balıklı Karışık Yaş Kedi Maması 28 Adet 85 Gr.")</f>
        <v>Sığır - Tavuk - Somon - Ton Balıklı Karışık Yaş Kedi Maması 28 Adet 85 Gr.</v>
      </c>
      <c r="D19" s="14">
        <f>IFERROR(__xludf.DUMMYFUNCTION("""COMPUTED_VALUE"""),690.0)</f>
        <v>690</v>
      </c>
      <c r="E19" s="14">
        <f>IFERROR(__xludf.DUMMYFUNCTION("""COMPUTED_VALUE"""),93.15)</f>
        <v>93.15</v>
      </c>
      <c r="F19" s="14">
        <f>IFERROR(__xludf.DUMMYFUNCTION("""COMPUTED_VALUE"""),90.0)</f>
        <v>90</v>
      </c>
      <c r="G19" s="14">
        <f>IFERROR(__xludf.DUMMYFUNCTION("""COMPUTED_VALUE"""),1.0)</f>
        <v>1</v>
      </c>
      <c r="H19" s="14">
        <f>IFERROR(__xludf.DUMMYFUNCTION("""COMPUTED_VALUE"""),13.19)</f>
        <v>13.19</v>
      </c>
      <c r="I19" s="14">
        <f>IFERROR(__xludf.DUMMYFUNCTION("""COMPUTED_VALUE"""),5.75)</f>
        <v>5.75</v>
      </c>
      <c r="J19" s="14">
        <f>IFERROR(__xludf.DUMMYFUNCTION("""COMPUTED_VALUE"""),82.11)</f>
        <v>82.11</v>
      </c>
      <c r="K19" s="14">
        <f>IFERROR(__xludf.DUMMYFUNCTION("""COMPUTED_VALUE"""),404.8)</f>
        <v>404.8</v>
      </c>
      <c r="L19" s="15">
        <f>IFERROR(__xludf.DUMMYFUNCTION("""COMPUTED_VALUE"""),0.5866666666666667)</f>
        <v>0.5866666667</v>
      </c>
      <c r="M19" s="17" t="str">
        <f>IFERROR(__xludf.DUMMYFUNCTION("""COMPUTED_VALUE"""),"KÂRLI")</f>
        <v>KÂRLI</v>
      </c>
      <c r="N19" s="17" t="str">
        <f>IFERROR(__xludf.DUMMYFUNCTION("""COMPUTED_VALUE"""),"")</f>
        <v/>
      </c>
      <c r="O19" s="17">
        <f>IFERROR(__xludf.DUMMYFUNCTION("""COMPUTED_VALUE"""),3.0)</f>
        <v>3</v>
      </c>
      <c r="P19" s="17" t="str">
        <f>IFERROR(__xludf.DUMMYFUNCTION("""COMPUTED_VALUE"""),"")</f>
        <v/>
      </c>
      <c r="Q19" s="17" t="str">
        <f>IFERROR(__xludf.DUMMYFUNCTION("""COMPUTED_VALUE"""),"")</f>
        <v/>
      </c>
      <c r="R19" s="14">
        <f>IFERROR(__xludf.DUMMYFUNCTION("""COMPUTED_VALUE"""),141.24259320262396)</f>
        <v>141.2425932</v>
      </c>
      <c r="S19" s="14">
        <f>IFERROR(__xludf.DUMMYFUNCTION("""COMPUTED_VALUE"""),548.757406797376)</f>
        <v>548.7574068</v>
      </c>
      <c r="T19" s="17" t="str">
        <f>IFERROR(__xludf.DUMMYFUNCTION("""COMPUTED_VALUE"""),"ÇOK KÂRLI")</f>
        <v>ÇOK KÂRLI</v>
      </c>
      <c r="U19" s="17" t="str">
        <f>IFERROR(__xludf.DUMMYFUNCTION("""COMPUTED_VALUE"""),"Stok ve BuyBox takibini artır")</f>
        <v>Stok ve BuyBox takibini artır</v>
      </c>
    </row>
    <row r="20">
      <c r="A20" s="2" t="str">
        <f>IFERROR(__xludf.DUMMYFUNCTION("""COMPUTED_VALUE"""),"TYBR84FW8PZN0VMT75")</f>
        <v>TYBR84FW8PZN0VMT75</v>
      </c>
      <c r="B20" s="17" t="str">
        <f>IFERROR(__xludf.DUMMYFUNCTION("""COMPUTED_VALUE"""),"Supreme Cat")</f>
        <v>Supreme Cat</v>
      </c>
      <c r="C20" s="17" t="str">
        <f>IFERROR(__xludf.DUMMYFUNCTION("""COMPUTED_VALUE"""),"Ton Balığı Parça Etli Konserve Kedi Yaş Maması 85 gr")</f>
        <v>Ton Balığı Parça Etli Konserve Kedi Yaş Maması 85 gr</v>
      </c>
      <c r="D20" s="14">
        <f>IFERROR(__xludf.DUMMYFUNCTION("""COMPUTED_VALUE"""),657.0)</f>
        <v>657</v>
      </c>
      <c r="E20" s="14">
        <f>IFERROR(__xludf.DUMMYFUNCTION("""COMPUTED_VALUE"""),108.405)</f>
        <v>108.405</v>
      </c>
      <c r="F20" s="14">
        <f>IFERROR(__xludf.DUMMYFUNCTION("""COMPUTED_VALUE"""),90.0)</f>
        <v>90</v>
      </c>
      <c r="G20" s="14">
        <f>IFERROR(__xludf.DUMMYFUNCTION("""COMPUTED_VALUE"""),1.0)</f>
        <v>1</v>
      </c>
      <c r="H20" s="14">
        <f>IFERROR(__xludf.DUMMYFUNCTION("""COMPUTED_VALUE"""),13.19)</f>
        <v>13.19</v>
      </c>
      <c r="I20" s="14">
        <f>IFERROR(__xludf.DUMMYFUNCTION("""COMPUTED_VALUE"""),5.4750000000000005)</f>
        <v>5.475</v>
      </c>
      <c r="J20" s="14">
        <f>IFERROR(__xludf.DUMMYFUNCTION("""COMPUTED_VALUE"""),74.0675)</f>
        <v>74.0675</v>
      </c>
      <c r="K20" s="14">
        <f>IFERROR(__xludf.DUMMYFUNCTION("""COMPUTED_VALUE"""),364.8625)</f>
        <v>364.8625</v>
      </c>
      <c r="L20" s="15">
        <f>IFERROR(__xludf.DUMMYFUNCTION("""COMPUTED_VALUE"""),0.5553462709284628)</f>
        <v>0.5553462709</v>
      </c>
      <c r="M20" s="17" t="str">
        <f>IFERROR(__xludf.DUMMYFUNCTION("""COMPUTED_VALUE"""),"KÂRLI")</f>
        <v>KÂRLI</v>
      </c>
      <c r="N20" s="17" t="str">
        <f>IFERROR(__xludf.DUMMYFUNCTION("""COMPUTED_VALUE"""),"")</f>
        <v/>
      </c>
      <c r="O20" s="17">
        <f>IFERROR(__xludf.DUMMYFUNCTION("""COMPUTED_VALUE"""),3.0)</f>
        <v>3</v>
      </c>
      <c r="P20" s="17" t="str">
        <f>IFERROR(__xludf.DUMMYFUNCTION("""COMPUTED_VALUE"""),"")</f>
        <v/>
      </c>
      <c r="Q20" s="17" t="str">
        <f>IFERROR(__xludf.DUMMYFUNCTION("""COMPUTED_VALUE"""),"")</f>
        <v/>
      </c>
      <c r="R20" s="14">
        <f>IFERROR(__xludf.DUMMYFUNCTION("""COMPUTED_VALUE"""),145.93845686672162)</f>
        <v>145.9384569</v>
      </c>
      <c r="S20" s="14">
        <f>IFERROR(__xludf.DUMMYFUNCTION("""COMPUTED_VALUE"""),511.0615431332784)</f>
        <v>511.0615431</v>
      </c>
      <c r="T20" s="17" t="str">
        <f>IFERROR(__xludf.DUMMYFUNCTION("""COMPUTED_VALUE"""),"ÇOK KÂRLI")</f>
        <v>ÇOK KÂRLI</v>
      </c>
      <c r="U20" s="17" t="str">
        <f>IFERROR(__xludf.DUMMYFUNCTION("""COMPUTED_VALUE"""),"Stok ve BuyBox takibini artır")</f>
        <v>Stok ve BuyBox takibini artır</v>
      </c>
    </row>
    <row r="21">
      <c r="A21" s="2">
        <f>IFERROR(__xludf.DUMMYFUNCTION("""COMPUTED_VALUE"""),3.5585401058E10)</f>
        <v>35585401058</v>
      </c>
      <c r="B21" s="17" t="str">
        <f>IFERROR(__xludf.DUMMYFUNCTION("""COMPUTED_VALUE"""),"Kong")</f>
        <v>Kong</v>
      </c>
      <c r="C21" s="17" t="str">
        <f>IFERROR(__xludf.DUMMYFUNCTION("""COMPUTED_VALUE"""),"DOTZTRİANGLE ÜÇGENŞEKLİNDE KÖPEKOYUNCAĞI L")</f>
        <v>DOTZTRİANGLE ÜÇGENŞEKLİNDE KÖPEKOYUNCAĞI L</v>
      </c>
      <c r="D21" s="14">
        <f>IFERROR(__xludf.DUMMYFUNCTION("""COMPUTED_VALUE"""),1300.0)</f>
        <v>1300</v>
      </c>
      <c r="E21" s="14">
        <f>IFERROR(__xludf.DUMMYFUNCTION("""COMPUTED_VALUE"""),260.0)</f>
        <v>260</v>
      </c>
      <c r="F21" s="14">
        <f>IFERROR(__xludf.DUMMYFUNCTION("""COMPUTED_VALUE"""),86.4)</f>
        <v>86.4</v>
      </c>
      <c r="G21" s="14">
        <f>IFERROR(__xludf.DUMMYFUNCTION("""COMPUTED_VALUE"""),511.92)</f>
        <v>511.92</v>
      </c>
      <c r="H21" s="14">
        <f>IFERROR(__xludf.DUMMYFUNCTION("""COMPUTED_VALUE"""),13.19)</f>
        <v>13.19</v>
      </c>
      <c r="I21" s="14">
        <f>IFERROR(__xludf.DUMMYFUNCTION("""COMPUTED_VALUE"""),10.833333333333336)</f>
        <v>10.83333333</v>
      </c>
      <c r="J21" s="14">
        <f>IFERROR(__xludf.DUMMYFUNCTION("""COMPUTED_VALUE"""),71.41499999999988)</f>
        <v>71.415</v>
      </c>
      <c r="K21" s="14">
        <f>IFERROR(__xludf.DUMMYFUNCTION("""COMPUTED_VALUE"""),346.2416666666668)</f>
        <v>346.2416667</v>
      </c>
      <c r="L21" s="15">
        <f>IFERROR(__xludf.DUMMYFUNCTION("""COMPUTED_VALUE"""),0.26633974358974366)</f>
        <v>0.2663397436</v>
      </c>
      <c r="M21" s="17" t="str">
        <f>IFERROR(__xludf.DUMMYFUNCTION("""COMPUTED_VALUE"""),"KÂRLI")</f>
        <v>KÂRLI</v>
      </c>
      <c r="N21" s="17" t="str">
        <f>IFERROR(__xludf.DUMMYFUNCTION("""COMPUTED_VALUE"""),"")</f>
        <v/>
      </c>
      <c r="O21" s="17">
        <f>IFERROR(__xludf.DUMMYFUNCTION("""COMPUTED_VALUE"""),1.0)</f>
        <v>1</v>
      </c>
      <c r="P21" s="17" t="str">
        <f>IFERROR(__xludf.DUMMYFUNCTION("""COMPUTED_VALUE"""),"")</f>
        <v/>
      </c>
      <c r="Q21" s="17" t="str">
        <f>IFERROR(__xludf.DUMMYFUNCTION("""COMPUTED_VALUE"""),"")</f>
        <v/>
      </c>
      <c r="R21" s="14">
        <f>IFERROR(__xludf.DUMMYFUNCTION("""COMPUTED_VALUE"""),830.0300255149532)</f>
        <v>830.0300255</v>
      </c>
      <c r="S21" s="14">
        <f>IFERROR(__xludf.DUMMYFUNCTION("""COMPUTED_VALUE"""),469.9699744850468)</f>
        <v>469.9699745</v>
      </c>
      <c r="T21" s="17" t="str">
        <f>IFERROR(__xludf.DUMMYFUNCTION("""COMPUTED_VALUE"""),"ÇOK KÂRLI")</f>
        <v>ÇOK KÂRLI</v>
      </c>
      <c r="U21" s="17" t="str">
        <f>IFERROR(__xludf.DUMMYFUNCTION("""COMPUTED_VALUE"""),"Stok ve BuyBox takibini artır")</f>
        <v>Stok ve BuyBox takibini artır</v>
      </c>
    </row>
    <row r="22">
      <c r="A22" s="2">
        <f>IFERROR(__xludf.DUMMYFUNCTION("""COMPUTED_VALUE"""),3.5585356259E10)</f>
        <v>35585356259</v>
      </c>
      <c r="B22" s="17" t="str">
        <f>IFERROR(__xludf.DUMMYFUNCTION("""COMPUTED_VALUE"""),"Kong")</f>
        <v>Kong</v>
      </c>
      <c r="C22" s="17" t="str">
        <f>IFERROR(__xludf.DUMMYFUNCTION("""COMPUTED_VALUE"""),"GOODİERİBBON ÇOKLUTOP ŞEKLİNDEKÖPEKOYUNCAĞI M")</f>
        <v>GOODİERİBBON ÇOKLUTOP ŞEKLİNDEKÖPEKOYUNCAĞI M</v>
      </c>
      <c r="D22" s="14">
        <f>IFERROR(__xludf.DUMMYFUNCTION("""COMPUTED_VALUE"""),1300.0)</f>
        <v>1300</v>
      </c>
      <c r="E22" s="14">
        <f>IFERROR(__xludf.DUMMYFUNCTION("""COMPUTED_VALUE"""),260.0)</f>
        <v>260</v>
      </c>
      <c r="F22" s="14">
        <f>IFERROR(__xludf.DUMMYFUNCTION("""COMPUTED_VALUE"""),86.4)</f>
        <v>86.4</v>
      </c>
      <c r="G22" s="14">
        <f>IFERROR(__xludf.DUMMYFUNCTION("""COMPUTED_VALUE"""),513.36)</f>
        <v>513.36</v>
      </c>
      <c r="H22" s="14">
        <f>IFERROR(__xludf.DUMMYFUNCTION("""COMPUTED_VALUE"""),13.19)</f>
        <v>13.19</v>
      </c>
      <c r="I22" s="14">
        <f>IFERROR(__xludf.DUMMYFUNCTION("""COMPUTED_VALUE"""),10.833333333333336)</f>
        <v>10.83333333</v>
      </c>
      <c r="J22" s="14">
        <f>IFERROR(__xludf.DUMMYFUNCTION("""COMPUTED_VALUE"""),71.17499999999987)</f>
        <v>71.175</v>
      </c>
      <c r="K22" s="14">
        <f>IFERROR(__xludf.DUMMYFUNCTION("""COMPUTED_VALUE"""),345.04166666666686)</f>
        <v>345.0416667</v>
      </c>
      <c r="L22" s="15">
        <f>IFERROR(__xludf.DUMMYFUNCTION("""COMPUTED_VALUE"""),0.2654166666666668)</f>
        <v>0.2654166667</v>
      </c>
      <c r="M22" s="17" t="str">
        <f>IFERROR(__xludf.DUMMYFUNCTION("""COMPUTED_VALUE"""),"KÂRLI")</f>
        <v>KÂRLI</v>
      </c>
      <c r="N22" s="17" t="str">
        <f>IFERROR(__xludf.DUMMYFUNCTION("""COMPUTED_VALUE"""),"")</f>
        <v/>
      </c>
      <c r="O22" s="17">
        <f>IFERROR(__xludf.DUMMYFUNCTION("""COMPUTED_VALUE"""),1.0)</f>
        <v>1</v>
      </c>
      <c r="P22" s="17" t="str">
        <f>IFERROR(__xludf.DUMMYFUNCTION("""COMPUTED_VALUE"""),"")</f>
        <v/>
      </c>
      <c r="Q22" s="17" t="str">
        <f>IFERROR(__xludf.DUMMYFUNCTION("""COMPUTED_VALUE"""),"")</f>
        <v/>
      </c>
      <c r="R22" s="14">
        <f>IFERROR(__xludf.DUMMYFUNCTION("""COMPUTED_VALUE"""),831.7761701792738)</f>
        <v>831.7761702</v>
      </c>
      <c r="S22" s="14">
        <f>IFERROR(__xludf.DUMMYFUNCTION("""COMPUTED_VALUE"""),468.2238298207262)</f>
        <v>468.2238298</v>
      </c>
      <c r="T22" s="17" t="str">
        <f>IFERROR(__xludf.DUMMYFUNCTION("""COMPUTED_VALUE"""),"ÇOK KÂRLI")</f>
        <v>ÇOK KÂRLI</v>
      </c>
      <c r="U22" s="17" t="str">
        <f>IFERROR(__xludf.DUMMYFUNCTION("""COMPUTED_VALUE"""),"Stok ve BuyBox takibini artır")</f>
        <v>Stok ve BuyBox takibini artır</v>
      </c>
    </row>
    <row r="23">
      <c r="A23" s="2">
        <f>IFERROR(__xludf.DUMMYFUNCTION("""COMPUTED_VALUE"""),3.5585780009E10)</f>
        <v>35585780009</v>
      </c>
      <c r="B23" s="17" t="str">
        <f>IFERROR(__xludf.DUMMYFUNCTION("""COMPUTED_VALUE"""),"Kong")</f>
        <v>Kong</v>
      </c>
      <c r="C23" s="17" t="str">
        <f>IFERROR(__xludf.DUMMYFUNCTION("""COMPUTED_VALUE"""),"GOODİEBONE KEMİKŞEKLİNDE ÇOKAMAÇLI İPSALLANTILI KÖPEKOYUNCAĞI M")</f>
        <v>GOODİEBONE KEMİKŞEKLİNDE ÇOKAMAÇLI İPSALLANTILI KÖPEKOYUNCAĞI M</v>
      </c>
      <c r="D23" s="14">
        <f>IFERROR(__xludf.DUMMYFUNCTION("""COMPUTED_VALUE"""),1242.0)</f>
        <v>1242</v>
      </c>
      <c r="E23" s="14">
        <f>IFERROR(__xludf.DUMMYFUNCTION("""COMPUTED_VALUE"""),248.4)</f>
        <v>248.4</v>
      </c>
      <c r="F23" s="14">
        <f>IFERROR(__xludf.DUMMYFUNCTION("""COMPUTED_VALUE"""),86.4)</f>
        <v>86.4</v>
      </c>
      <c r="G23" s="14">
        <f>IFERROR(__xludf.DUMMYFUNCTION("""COMPUTED_VALUE"""),490.32)</f>
        <v>490.32</v>
      </c>
      <c r="H23" s="14">
        <f>IFERROR(__xludf.DUMMYFUNCTION("""COMPUTED_VALUE"""),13.19)</f>
        <v>13.19</v>
      </c>
      <c r="I23" s="14">
        <f>IFERROR(__xludf.DUMMYFUNCTION("""COMPUTED_VALUE"""),10.35)</f>
        <v>10.35</v>
      </c>
      <c r="J23" s="14">
        <f>IFERROR(__xludf.DUMMYFUNCTION("""COMPUTED_VALUE"""),67.2816666666667)</f>
        <v>67.28166667</v>
      </c>
      <c r="K23" s="14">
        <f>IFERROR(__xludf.DUMMYFUNCTION("""COMPUTED_VALUE"""),326.05833333333334)</f>
        <v>326.0583333</v>
      </c>
      <c r="L23" s="15">
        <f>IFERROR(__xludf.DUMMYFUNCTION("""COMPUTED_VALUE"""),0.2625268384326355)</f>
        <v>0.2625268384</v>
      </c>
      <c r="M23" s="17" t="str">
        <f>IFERROR(__xludf.DUMMYFUNCTION("""COMPUTED_VALUE"""),"KÂRLI")</f>
        <v>KÂRLI</v>
      </c>
      <c r="N23" s="17" t="str">
        <f>IFERROR(__xludf.DUMMYFUNCTION("""COMPUTED_VALUE"""),"")</f>
        <v/>
      </c>
      <c r="O23" s="17">
        <f>IFERROR(__xludf.DUMMYFUNCTION("""COMPUTED_VALUE"""),1.0)</f>
        <v>1</v>
      </c>
      <c r="P23" s="17" t="str">
        <f>IFERROR(__xludf.DUMMYFUNCTION("""COMPUTED_VALUE"""),"")</f>
        <v/>
      </c>
      <c r="Q23" s="17" t="str">
        <f>IFERROR(__xludf.DUMMYFUNCTION("""COMPUTED_VALUE"""),"")</f>
        <v/>
      </c>
      <c r="R23" s="14">
        <f>IFERROR(__xludf.DUMMYFUNCTION("""COMPUTED_VALUE"""),799.8834262992298)</f>
        <v>799.8834263</v>
      </c>
      <c r="S23" s="14">
        <f>IFERROR(__xludf.DUMMYFUNCTION("""COMPUTED_VALUE"""),442.11657370077023)</f>
        <v>442.1165737</v>
      </c>
      <c r="T23" s="17" t="str">
        <f>IFERROR(__xludf.DUMMYFUNCTION("""COMPUTED_VALUE"""),"ÇOK KÂRLI")</f>
        <v>ÇOK KÂRLI</v>
      </c>
      <c r="U23" s="17" t="str">
        <f>IFERROR(__xludf.DUMMYFUNCTION("""COMPUTED_VALUE"""),"Stok ve BuyBox takibini artır")</f>
        <v>Stok ve BuyBox takibini artır</v>
      </c>
    </row>
    <row r="24">
      <c r="A24" s="2">
        <f>IFERROR(__xludf.DUMMYFUNCTION("""COMPUTED_VALUE"""),8.681002995109E12)</f>
        <v>8681002995109</v>
      </c>
      <c r="B24" s="17" t="str">
        <f>IFERROR(__xludf.DUMMYFUNCTION("""COMPUTED_VALUE"""),"Whiskas")</f>
        <v>Whiskas</v>
      </c>
      <c r="C24" s="17" t="str">
        <f>IFERROR(__xludf.DUMMYFUNCTION("""COMPUTED_VALUE"""),"Pouch Pure Delight Tavuklu Yetişkin Kedi Mama 24 X 85 G")</f>
        <v>Pouch Pure Delight Tavuklu Yetişkin Kedi Mama 24 X 85 G</v>
      </c>
      <c r="D24" s="14">
        <f>IFERROR(__xludf.DUMMYFUNCTION("""COMPUTED_VALUE"""),579.0)</f>
        <v>579</v>
      </c>
      <c r="E24" s="14">
        <f>IFERROR(__xludf.DUMMYFUNCTION("""COMPUTED_VALUE"""),78.165)</f>
        <v>78.165</v>
      </c>
      <c r="F24" s="14">
        <f>IFERROR(__xludf.DUMMYFUNCTION("""COMPUTED_VALUE"""),90.0)</f>
        <v>90</v>
      </c>
      <c r="G24" s="14">
        <f>IFERROR(__xludf.DUMMYFUNCTION("""COMPUTED_VALUE"""),1.0)</f>
        <v>1</v>
      </c>
      <c r="H24" s="14">
        <f>IFERROR(__xludf.DUMMYFUNCTION("""COMPUTED_VALUE"""),13.19)</f>
        <v>13.19</v>
      </c>
      <c r="I24" s="14">
        <f>IFERROR(__xludf.DUMMYFUNCTION("""COMPUTED_VALUE"""),4.825)</f>
        <v>4.825</v>
      </c>
      <c r="J24" s="14">
        <f>IFERROR(__xludf.DUMMYFUNCTION("""COMPUTED_VALUE"""),66.10749999999999)</f>
        <v>66.1075</v>
      </c>
      <c r="K24" s="14">
        <f>IFERROR(__xludf.DUMMYFUNCTION("""COMPUTED_VALUE"""),325.7125)</f>
        <v>325.7125</v>
      </c>
      <c r="L24" s="15">
        <f>IFERROR(__xludf.DUMMYFUNCTION("""COMPUTED_VALUE"""),0.5625431778929187)</f>
        <v>0.5625431779</v>
      </c>
      <c r="M24" s="17" t="str">
        <f>IFERROR(__xludf.DUMMYFUNCTION("""COMPUTED_VALUE"""),"KÂRLI")</f>
        <v>KÂRLI</v>
      </c>
      <c r="N24" s="17" t="str">
        <f>IFERROR(__xludf.DUMMYFUNCTION("""COMPUTED_VALUE"""),"")</f>
        <v/>
      </c>
      <c r="O24" s="17">
        <f>IFERROR(__xludf.DUMMYFUNCTION("""COMPUTED_VALUE"""),3.0)</f>
        <v>3</v>
      </c>
      <c r="P24" s="17" t="str">
        <f>IFERROR(__xludf.DUMMYFUNCTION("""COMPUTED_VALUE"""),"")</f>
        <v/>
      </c>
      <c r="Q24" s="17" t="str">
        <f>IFERROR(__xludf.DUMMYFUNCTION("""COMPUTED_VALUE"""),"")</f>
        <v/>
      </c>
      <c r="R24" s="14">
        <f>IFERROR(__xludf.DUMMYFUNCTION("""COMPUTED_VALUE"""),140.32480136150252)</f>
        <v>140.3248014</v>
      </c>
      <c r="S24" s="14">
        <f>IFERROR(__xludf.DUMMYFUNCTION("""COMPUTED_VALUE"""),438.6751986384975)</f>
        <v>438.6751986</v>
      </c>
      <c r="T24" s="17" t="str">
        <f>IFERROR(__xludf.DUMMYFUNCTION("""COMPUTED_VALUE"""),"ÇOK KÂRLI")</f>
        <v>ÇOK KÂRLI</v>
      </c>
      <c r="U24" s="17" t="str">
        <f>IFERROR(__xludf.DUMMYFUNCTION("""COMPUTED_VALUE"""),"Stok ve BuyBox takibini artır")</f>
        <v>Stok ve BuyBox takibini artır</v>
      </c>
    </row>
    <row r="25">
      <c r="A25" s="2">
        <f>IFERROR(__xludf.DUMMYFUNCTION("""COMPUTED_VALUE"""),8.684207638288E12)</f>
        <v>8684207638288</v>
      </c>
      <c r="B25" s="17" t="str">
        <f>IFERROR(__xludf.DUMMYFUNCTION("""COMPUTED_VALUE"""),"Supreme Cat")</f>
        <v>Supreme Cat</v>
      </c>
      <c r="C25" s="17" t="str">
        <f>IFERROR(__xludf.DUMMYFUNCTION("""COMPUTED_VALUE"""),"Karışık Kıyılmış Konserve Kedi Yaş Maması 85gr")</f>
        <v>Karışık Kıyılmış Konserve Kedi Yaş Maması 85gr</v>
      </c>
      <c r="D25" s="14">
        <f>IFERROR(__xludf.DUMMYFUNCTION("""COMPUTED_VALUE"""),585.0)</f>
        <v>585</v>
      </c>
      <c r="E25" s="14">
        <f>IFERROR(__xludf.DUMMYFUNCTION("""COMPUTED_VALUE"""),96.525)</f>
        <v>96.525</v>
      </c>
      <c r="F25" s="14">
        <f>IFERROR(__xludf.DUMMYFUNCTION("""COMPUTED_VALUE"""),90.0)</f>
        <v>90</v>
      </c>
      <c r="G25" s="14">
        <f>IFERROR(__xludf.DUMMYFUNCTION("""COMPUTED_VALUE"""),1.0)</f>
        <v>1</v>
      </c>
      <c r="H25" s="14">
        <f>IFERROR(__xludf.DUMMYFUNCTION("""COMPUTED_VALUE"""),13.19)</f>
        <v>13.19</v>
      </c>
      <c r="I25" s="14">
        <f>IFERROR(__xludf.DUMMYFUNCTION("""COMPUTED_VALUE"""),4.875)</f>
        <v>4.875</v>
      </c>
      <c r="J25" s="14">
        <f>IFERROR(__xludf.DUMMYFUNCTION("""COMPUTED_VALUE"""),64.0475)</f>
        <v>64.0475</v>
      </c>
      <c r="K25" s="14">
        <f>IFERROR(__xludf.DUMMYFUNCTION("""COMPUTED_VALUE"""),315.3625)</f>
        <v>315.3625</v>
      </c>
      <c r="L25" s="15">
        <f>IFERROR(__xludf.DUMMYFUNCTION("""COMPUTED_VALUE"""),0.5390811965811966)</f>
        <v>0.5390811966</v>
      </c>
      <c r="M25" s="17" t="str">
        <f>IFERROR(__xludf.DUMMYFUNCTION("""COMPUTED_VALUE"""),"KÂRLI")</f>
        <v>KÂRLI</v>
      </c>
      <c r="N25" s="17" t="str">
        <f>IFERROR(__xludf.DUMMYFUNCTION("""COMPUTED_VALUE"""),"")</f>
        <v/>
      </c>
      <c r="O25" s="17">
        <f>IFERROR(__xludf.DUMMYFUNCTION("""COMPUTED_VALUE"""),3.0)</f>
        <v>3</v>
      </c>
      <c r="P25" s="17" t="str">
        <f>IFERROR(__xludf.DUMMYFUNCTION("""COMPUTED_VALUE"""),"")</f>
        <v/>
      </c>
      <c r="Q25" s="17" t="str">
        <f>IFERROR(__xludf.DUMMYFUNCTION("""COMPUTED_VALUE"""),"")</f>
        <v/>
      </c>
      <c r="R25" s="14">
        <f>IFERROR(__xludf.DUMMYFUNCTION("""COMPUTED_VALUE"""),145.27650692364162)</f>
        <v>145.2765069</v>
      </c>
      <c r="S25" s="14">
        <f>IFERROR(__xludf.DUMMYFUNCTION("""COMPUTED_VALUE"""),439.7234930763584)</f>
        <v>439.7234931</v>
      </c>
      <c r="T25" s="17" t="str">
        <f>IFERROR(__xludf.DUMMYFUNCTION("""COMPUTED_VALUE"""),"ÇOK KÂRLI")</f>
        <v>ÇOK KÂRLI</v>
      </c>
      <c r="U25" s="17" t="str">
        <f>IFERROR(__xludf.DUMMYFUNCTION("""COMPUTED_VALUE"""),"Stok ve BuyBox takibini artır")</f>
        <v>Stok ve BuyBox takibini artır</v>
      </c>
    </row>
    <row r="26">
      <c r="A26" s="2">
        <f>IFERROR(__xludf.DUMMYFUNCTION("""COMPUTED_VALUE"""),7.7548176924615E13)</f>
        <v>77548176924615</v>
      </c>
      <c r="B26" s="17" t="str">
        <f>IFERROR(__xludf.DUMMYFUNCTION("""COMPUTED_VALUE"""),"Pro Plan")</f>
        <v>Pro Plan</v>
      </c>
      <c r="C26" s="17" t="str">
        <f>IFERROR(__xludf.DUMMYFUNCTION("""COMPUTED_VALUE"""),"Baby Kitten Yavru Kedi Ve Emziren Anne Yaş Kedi Maması 85 Gr. X 24 Adet")</f>
        <v>Baby Kitten Yavru Kedi Ve Emziren Anne Yaş Kedi Maması 85 Gr. X 24 Adet</v>
      </c>
      <c r="D26" s="14">
        <f>IFERROR(__xludf.DUMMYFUNCTION("""COMPUTED_VALUE"""),1191.94)</f>
        <v>1191.94</v>
      </c>
      <c r="E26" s="14">
        <f>IFERROR(__xludf.DUMMYFUNCTION("""COMPUTED_VALUE"""),148.9925)</f>
        <v>148.9925</v>
      </c>
      <c r="F26" s="14">
        <f>IFERROR(__xludf.DUMMYFUNCTION("""COMPUTED_VALUE"""),90.0)</f>
        <v>90</v>
      </c>
      <c r="G26" s="14">
        <f>IFERROR(__xludf.DUMMYFUNCTION("""COMPUTED_VALUE"""),570.0)</f>
        <v>570</v>
      </c>
      <c r="H26" s="14">
        <f>IFERROR(__xludf.DUMMYFUNCTION("""COMPUTED_VALUE"""),13.19)</f>
        <v>13.19</v>
      </c>
      <c r="I26" s="14">
        <f>IFERROR(__xludf.DUMMYFUNCTION("""COMPUTED_VALUE"""),9.932833333333335)</f>
        <v>9.932833333</v>
      </c>
      <c r="J26" s="14">
        <f>IFERROR(__xludf.DUMMYFUNCTION("""COMPUTED_VALUE"""),61.62624999999998)</f>
        <v>61.62625</v>
      </c>
      <c r="K26" s="14">
        <f>IFERROR(__xludf.DUMMYFUNCTION("""COMPUTED_VALUE"""),298.1984166666667)</f>
        <v>298.1984167</v>
      </c>
      <c r="L26" s="15">
        <f>IFERROR(__xludf.DUMMYFUNCTION("""COMPUTED_VALUE"""),0.25017904984031636)</f>
        <v>0.2501790498</v>
      </c>
      <c r="M26" s="17" t="str">
        <f>IFERROR(__xludf.DUMMYFUNCTION("""COMPUTED_VALUE"""),"KÂRLI")</f>
        <v>KÂRLI</v>
      </c>
      <c r="N26" s="17" t="str">
        <f>IFERROR(__xludf.DUMMYFUNCTION("""COMPUTED_VALUE"""),"")</f>
        <v/>
      </c>
      <c r="O26" s="17">
        <f>IFERROR(__xludf.DUMMYFUNCTION("""COMPUTED_VALUE"""),3.0)</f>
        <v>3</v>
      </c>
      <c r="P26" s="17" t="str">
        <f>IFERROR(__xludf.DUMMYFUNCTION("""COMPUTED_VALUE"""),"")</f>
        <v/>
      </c>
      <c r="Q26" s="17" t="str">
        <f>IFERROR(__xludf.DUMMYFUNCTION("""COMPUTED_VALUE"""),"")</f>
        <v/>
      </c>
      <c r="R26" s="14">
        <f>IFERROR(__xludf.DUMMYFUNCTION("""COMPUTED_VALUE"""),826.0359570256703)</f>
        <v>826.035957</v>
      </c>
      <c r="S26" s="14">
        <f>IFERROR(__xludf.DUMMYFUNCTION("""COMPUTED_VALUE"""),365.90404297432974)</f>
        <v>365.904043</v>
      </c>
      <c r="T26" s="17" t="str">
        <f>IFERROR(__xludf.DUMMYFUNCTION("""COMPUTED_VALUE"""),"ÇOK KÂRLI")</f>
        <v>ÇOK KÂRLI</v>
      </c>
      <c r="U26" s="17" t="str">
        <f>IFERROR(__xludf.DUMMYFUNCTION("""COMPUTED_VALUE"""),"Stok ve BuyBox takibini artır")</f>
        <v>Stok ve BuyBox takibini artır</v>
      </c>
    </row>
    <row r="27">
      <c r="A27" s="2">
        <f>IFERROR(__xludf.DUMMYFUNCTION("""COMPUTED_VALUE"""),3.5585502205E10)</f>
        <v>35585502205</v>
      </c>
      <c r="B27" s="17" t="str">
        <f>IFERROR(__xludf.DUMMYFUNCTION("""COMPUTED_VALUE"""),"Kong")</f>
        <v>Kong</v>
      </c>
      <c r="C27" s="17" t="str">
        <f>IFERROR(__xludf.DUMMYFUNCTION("""COMPUTED_VALUE"""),"AİRDOGYUVARLAKŞEKİLDE SESLİKÖPEKOYUNCAĞI M/L")</f>
        <v>AİRDOGYUVARLAKŞEKİLDE SESLİKÖPEKOYUNCAĞI M/L</v>
      </c>
      <c r="D27" s="14">
        <f>IFERROR(__xludf.DUMMYFUNCTION("""COMPUTED_VALUE"""),1130.0)</f>
        <v>1130</v>
      </c>
      <c r="E27" s="14">
        <f>IFERROR(__xludf.DUMMYFUNCTION("""COMPUTED_VALUE"""),226.0)</f>
        <v>226</v>
      </c>
      <c r="F27" s="14">
        <f>IFERROR(__xludf.DUMMYFUNCTION("""COMPUTED_VALUE"""),86.4)</f>
        <v>86.4</v>
      </c>
      <c r="G27" s="14">
        <f>IFERROR(__xludf.DUMMYFUNCTION("""COMPUTED_VALUE"""),453.6)</f>
        <v>453.6</v>
      </c>
      <c r="H27" s="14">
        <f>IFERROR(__xludf.DUMMYFUNCTION("""COMPUTED_VALUE"""),13.19)</f>
        <v>13.19</v>
      </c>
      <c r="I27" s="14">
        <f>IFERROR(__xludf.DUMMYFUNCTION("""COMPUTED_VALUE"""),9.416666666666668)</f>
        <v>9.416666667</v>
      </c>
      <c r="J27" s="14">
        <f>IFERROR(__xludf.DUMMYFUNCTION("""COMPUTED_VALUE"""),58.46833333333331)</f>
        <v>58.46833333</v>
      </c>
      <c r="K27" s="14">
        <f>IFERROR(__xludf.DUMMYFUNCTION("""COMPUTED_VALUE"""),282.925)</f>
        <v>282.925</v>
      </c>
      <c r="L27" s="15">
        <f>IFERROR(__xludf.DUMMYFUNCTION("""COMPUTED_VALUE"""),0.25037610619469025)</f>
        <v>0.2503761062</v>
      </c>
      <c r="M27" s="17" t="str">
        <f>IFERROR(__xludf.DUMMYFUNCTION("""COMPUTED_VALUE"""),"KÂRLI")</f>
        <v>KÂRLI</v>
      </c>
      <c r="N27" s="17" t="str">
        <f>IFERROR(__xludf.DUMMYFUNCTION("""COMPUTED_VALUE"""),"")</f>
        <v/>
      </c>
      <c r="O27" s="17">
        <f>IFERROR(__xludf.DUMMYFUNCTION("""COMPUTED_VALUE"""),1.0)</f>
        <v>1</v>
      </c>
      <c r="P27" s="17" t="str">
        <f>IFERROR(__xludf.DUMMYFUNCTION("""COMPUTED_VALUE"""),"")</f>
        <v/>
      </c>
      <c r="Q27" s="17" t="str">
        <f>IFERROR(__xludf.DUMMYFUNCTION("""COMPUTED_VALUE"""),"")</f>
        <v/>
      </c>
      <c r="R27" s="14">
        <f>IFERROR(__xludf.DUMMYFUNCTION("""COMPUTED_VALUE"""),747.6297140857511)</f>
        <v>747.6297141</v>
      </c>
      <c r="S27" s="14">
        <f>IFERROR(__xludf.DUMMYFUNCTION("""COMPUTED_VALUE"""),382.37028591424894)</f>
        <v>382.3702859</v>
      </c>
      <c r="T27" s="17" t="str">
        <f>IFERROR(__xludf.DUMMYFUNCTION("""COMPUTED_VALUE"""),"ÇOK KÂRLI")</f>
        <v>ÇOK KÂRLI</v>
      </c>
      <c r="U27" s="17" t="str">
        <f>IFERROR(__xludf.DUMMYFUNCTION("""COMPUTED_VALUE"""),"Stok ve BuyBox takibini artır")</f>
        <v>Stok ve BuyBox takibini artır</v>
      </c>
    </row>
    <row r="28">
      <c r="A28" s="2">
        <f>IFERROR(__xludf.DUMMYFUNCTION("""COMPUTED_VALUE"""),8.745236589541E12)</f>
        <v>8745236589541</v>
      </c>
      <c r="B28" s="17" t="str">
        <f>IFERROR(__xludf.DUMMYFUNCTION("""COMPUTED_VALUE"""),"FELIX")</f>
        <v>FELIX</v>
      </c>
      <c r="C28" s="17" t="str">
        <f>IFERROR(__xludf.DUMMYFUNCTION("""COMPUTED_VALUE"""),"Pouch Karışık Yaş Kedi Maması 100 Adet")</f>
        <v>Pouch Karışık Yaş Kedi Maması 100 Adet</v>
      </c>
      <c r="D28" s="14">
        <f>IFERROR(__xludf.DUMMYFUNCTION("""COMPUTED_VALUE"""),2247.0)</f>
        <v>2247</v>
      </c>
      <c r="E28" s="14">
        <f>IFERROR(__xludf.DUMMYFUNCTION("""COMPUTED_VALUE"""),303.345)</f>
        <v>303.345</v>
      </c>
      <c r="F28" s="14">
        <f>IFERROR(__xludf.DUMMYFUNCTION("""COMPUTED_VALUE"""),90.0)</f>
        <v>90</v>
      </c>
      <c r="G28" s="14">
        <f>IFERROR(__xludf.DUMMYFUNCTION("""COMPUTED_VALUE"""),1500.0)</f>
        <v>1500</v>
      </c>
      <c r="H28" s="14">
        <f>IFERROR(__xludf.DUMMYFUNCTION("""COMPUTED_VALUE"""),13.19)</f>
        <v>13.19</v>
      </c>
      <c r="I28" s="14">
        <f>IFERROR(__xludf.DUMMYFUNCTION("""COMPUTED_VALUE"""),18.725)</f>
        <v>18.725</v>
      </c>
      <c r="J28" s="14">
        <f>IFERROR(__xludf.DUMMYFUNCTION("""COMPUTED_VALUE"""),56.744166666666665)</f>
        <v>56.74416667</v>
      </c>
      <c r="K28" s="14">
        <f>IFERROR(__xludf.DUMMYFUNCTION("""COMPUTED_VALUE"""),264.9958333333333)</f>
        <v>264.9958333</v>
      </c>
      <c r="L28" s="15">
        <f>IFERROR(__xludf.DUMMYFUNCTION("""COMPUTED_VALUE"""),0.1179331701527963)</f>
        <v>0.1179331702</v>
      </c>
      <c r="M28" s="17" t="str">
        <f>IFERROR(__xludf.DUMMYFUNCTION("""COMPUTED_VALUE"""),"KÂRLI")</f>
        <v>KÂRLI</v>
      </c>
      <c r="N28" s="17" t="str">
        <f>IFERROR(__xludf.DUMMYFUNCTION("""COMPUTED_VALUE"""),"")</f>
        <v/>
      </c>
      <c r="O28" s="17">
        <f>IFERROR(__xludf.DUMMYFUNCTION("""COMPUTED_VALUE"""),3.0)</f>
        <v>3</v>
      </c>
      <c r="P28" s="17" t="str">
        <f>IFERROR(__xludf.DUMMYFUNCTION("""COMPUTED_VALUE"""),"")</f>
        <v/>
      </c>
      <c r="Q28" s="17" t="str">
        <f>IFERROR(__xludf.DUMMYFUNCTION("""COMPUTED_VALUE"""),"")</f>
        <v/>
      </c>
      <c r="R28" s="14">
        <f>IFERROR(__xludf.DUMMYFUNCTION("""COMPUTED_VALUE"""),1928.2698869942124)</f>
        <v>1928.269887</v>
      </c>
      <c r="S28" s="14">
        <f>IFERROR(__xludf.DUMMYFUNCTION("""COMPUTED_VALUE"""),318.73011300578764)</f>
        <v>318.730113</v>
      </c>
      <c r="T28" s="17" t="str">
        <f>IFERROR(__xludf.DUMMYFUNCTION("""COMPUTED_VALUE"""),"SAĞLIKLI")</f>
        <v>SAĞLIKLI</v>
      </c>
      <c r="U28" s="17" t="str">
        <f>IFERROR(__xludf.DUMMYFUNCTION("""COMPUTED_VALUE"""),"Takip et")</f>
        <v>Takip et</v>
      </c>
    </row>
    <row r="29">
      <c r="A29" s="2" t="str">
        <f>IFERROR(__xludf.DUMMYFUNCTION("""COMPUTED_VALUE"""),"TYBYANYA0A46XIAU46")</f>
        <v>TYBYANYA0A46XIAU46</v>
      </c>
      <c r="B29" s="17" t="str">
        <f>IFERROR(__xludf.DUMMYFUNCTION("""COMPUTED_VALUE"""),"Wanpy")</f>
        <v>Wanpy</v>
      </c>
      <c r="C29" s="17" t="str">
        <f>IFERROR(__xludf.DUMMYFUNCTION("""COMPUTED_VALUE"""),"Krema Kedi Ödül Maması 14gr (40 Adet) (Karışık Çeşitli)")</f>
        <v>Krema Kedi Ödül Maması 14gr (40 Adet) (Karışık Çeşitli)</v>
      </c>
      <c r="D29" s="14">
        <f>IFERROR(__xludf.DUMMYFUNCTION("""COMPUTED_VALUE"""),468.0)</f>
        <v>468</v>
      </c>
      <c r="E29" s="14">
        <f>IFERROR(__xludf.DUMMYFUNCTION("""COMPUTED_VALUE"""),58.5)</f>
        <v>58.5</v>
      </c>
      <c r="F29" s="14">
        <f>IFERROR(__xludf.DUMMYFUNCTION("""COMPUTED_VALUE"""),86.4)</f>
        <v>86.4</v>
      </c>
      <c r="G29" s="14">
        <f>IFERROR(__xludf.DUMMYFUNCTION("""COMPUTED_VALUE"""),1.0)</f>
        <v>1</v>
      </c>
      <c r="H29" s="14">
        <f>IFERROR(__xludf.DUMMYFUNCTION("""COMPUTED_VALUE"""),13.19)</f>
        <v>13.19</v>
      </c>
      <c r="I29" s="14">
        <f>IFERROR(__xludf.DUMMYFUNCTION("""COMPUTED_VALUE"""),3.9)</f>
        <v>3.9</v>
      </c>
      <c r="J29" s="14">
        <f>IFERROR(__xludf.DUMMYFUNCTION("""COMPUTED_VALUE"""),51.48500000000001)</f>
        <v>51.485</v>
      </c>
      <c r="K29" s="14">
        <f>IFERROR(__xludf.DUMMYFUNCTION("""COMPUTED_VALUE"""),253.52500000000003)</f>
        <v>253.525</v>
      </c>
      <c r="L29" s="15">
        <f>IFERROR(__xludf.DUMMYFUNCTION("""COMPUTED_VALUE"""),0.5417200854700855)</f>
        <v>0.5417200855</v>
      </c>
      <c r="M29" s="17" t="str">
        <f>IFERROR(__xludf.DUMMYFUNCTION("""COMPUTED_VALUE"""),"KÂRLI")</f>
        <v>KÂRLI</v>
      </c>
      <c r="N29" s="17" t="str">
        <f>IFERROR(__xludf.DUMMYFUNCTION("""COMPUTED_VALUE"""),"")</f>
        <v/>
      </c>
      <c r="O29" s="17">
        <f>IFERROR(__xludf.DUMMYFUNCTION("""COMPUTED_VALUE"""),0.5)</f>
        <v>0.5</v>
      </c>
      <c r="P29" s="17" t="str">
        <f>IFERROR(__xludf.DUMMYFUNCTION("""COMPUTED_VALUE"""),"")</f>
        <v/>
      </c>
      <c r="Q29" s="17" t="str">
        <f>IFERROR(__xludf.DUMMYFUNCTION("""COMPUTED_VALUE"""),"")</f>
        <v/>
      </c>
      <c r="R29" s="14">
        <f>IFERROR(__xludf.DUMMYFUNCTION("""COMPUTED_VALUE"""),132.94014447661766)</f>
        <v>132.9401445</v>
      </c>
      <c r="S29" s="14">
        <f>IFERROR(__xludf.DUMMYFUNCTION("""COMPUTED_VALUE"""),335.05985552338234)</f>
        <v>335.0598555</v>
      </c>
      <c r="T29" s="17" t="str">
        <f>IFERROR(__xludf.DUMMYFUNCTION("""COMPUTED_VALUE"""),"ÇOK KÂRLI")</f>
        <v>ÇOK KÂRLI</v>
      </c>
      <c r="U29" s="17" t="str">
        <f>IFERROR(__xludf.DUMMYFUNCTION("""COMPUTED_VALUE"""),"Stok ve BuyBox takibini artır")</f>
        <v>Stok ve BuyBox takibini artır</v>
      </c>
    </row>
    <row r="30">
      <c r="A30" s="2" t="str">
        <f>IFERROR(__xludf.DUMMYFUNCTION("""COMPUTED_VALUE"""),"TYB0E7Z1V7YN95FX85")</f>
        <v>TYB0E7Z1V7YN95FX85</v>
      </c>
      <c r="B30" s="17" t="str">
        <f>IFERROR(__xludf.DUMMYFUNCTION("""COMPUTED_VALUE"""),"Supreme Cat")</f>
        <v>Supreme Cat</v>
      </c>
      <c r="C30" s="17" t="str">
        <f>IFERROR(__xludf.DUMMYFUNCTION("""COMPUTED_VALUE"""),"Ton Balığı &amp; Karides Parça Etli Konserve Kedi Yaş Maması 85 gr")</f>
        <v>Ton Balığı &amp; Karides Parça Etli Konserve Kedi Yaş Maması 85 gr</v>
      </c>
      <c r="D30" s="14">
        <f>IFERROR(__xludf.DUMMYFUNCTION("""COMPUTED_VALUE"""),490.5)</f>
        <v>490.5</v>
      </c>
      <c r="E30" s="14">
        <f>IFERROR(__xludf.DUMMYFUNCTION("""COMPUTED_VALUE"""),80.9325)</f>
        <v>80.9325</v>
      </c>
      <c r="F30" s="14">
        <f>IFERROR(__xludf.DUMMYFUNCTION("""COMPUTED_VALUE"""),90.0)</f>
        <v>90</v>
      </c>
      <c r="G30" s="14">
        <f>IFERROR(__xludf.DUMMYFUNCTION("""COMPUTED_VALUE"""),1.0)</f>
        <v>1</v>
      </c>
      <c r="H30" s="14">
        <f>IFERROR(__xludf.DUMMYFUNCTION("""COMPUTED_VALUE"""),13.19)</f>
        <v>13.19</v>
      </c>
      <c r="I30" s="14">
        <f>IFERROR(__xludf.DUMMYFUNCTION("""COMPUTED_VALUE"""),4.0875)</f>
        <v>4.0875</v>
      </c>
      <c r="J30" s="14">
        <f>IFERROR(__xludf.DUMMYFUNCTION("""COMPUTED_VALUE"""),50.89625)</f>
        <v>50.89625</v>
      </c>
      <c r="K30" s="14">
        <f>IFERROR(__xludf.DUMMYFUNCTION("""COMPUTED_VALUE"""),250.39375)</f>
        <v>250.39375</v>
      </c>
      <c r="L30" s="15">
        <f>IFERROR(__xludf.DUMMYFUNCTION("""COMPUTED_VALUE"""),0.5104867482161061)</f>
        <v>0.5104867482</v>
      </c>
      <c r="M30" s="17" t="str">
        <f>IFERROR(__xludf.DUMMYFUNCTION("""COMPUTED_VALUE"""),"KÂRLI")</f>
        <v>KÂRLI</v>
      </c>
      <c r="N30" s="17" t="str">
        <f>IFERROR(__xludf.DUMMYFUNCTION("""COMPUTED_VALUE"""),"")</f>
        <v/>
      </c>
      <c r="O30" s="17">
        <f>IFERROR(__xludf.DUMMYFUNCTION("""COMPUTED_VALUE"""),3.0)</f>
        <v>3</v>
      </c>
      <c r="P30" s="17" t="str">
        <f>IFERROR(__xludf.DUMMYFUNCTION("""COMPUTED_VALUE"""),"")</f>
        <v/>
      </c>
      <c r="Q30" s="17" t="str">
        <f>IFERROR(__xludf.DUMMYFUNCTION("""COMPUTED_VALUE"""),"")</f>
        <v/>
      </c>
      <c r="R30" s="14">
        <f>IFERROR(__xludf.DUMMYFUNCTION("""COMPUTED_VALUE"""),144.1272236395462)</f>
        <v>144.1272236</v>
      </c>
      <c r="S30" s="14">
        <f>IFERROR(__xludf.DUMMYFUNCTION("""COMPUTED_VALUE"""),346.3727763604538)</f>
        <v>346.3727764</v>
      </c>
      <c r="T30" s="17" t="str">
        <f>IFERROR(__xludf.DUMMYFUNCTION("""COMPUTED_VALUE"""),"ÇOK KÂRLI")</f>
        <v>ÇOK KÂRLI</v>
      </c>
      <c r="U30" s="17" t="str">
        <f>IFERROR(__xludf.DUMMYFUNCTION("""COMPUTED_VALUE"""),"Stok ve BuyBox takibini artır")</f>
        <v>Stok ve BuyBox takibini artır</v>
      </c>
    </row>
    <row r="31">
      <c r="A31" s="2">
        <f>IFERROR(__xludf.DUMMYFUNCTION("""COMPUTED_VALUE"""),4.00049803251E12)</f>
        <v>4000498032510</v>
      </c>
      <c r="B31" s="17" t="str">
        <f>IFERROR(__xludf.DUMMYFUNCTION("""COMPUTED_VALUE"""),"Flexi")</f>
        <v>Flexi</v>
      </c>
      <c r="C31" s="17" t="str">
        <f>IFERROR(__xludf.DUMMYFUNCTION("""COMPUTED_VALUE"""),"Style Rose Şerit 5 Metre Medium Gezdirme Tasması")</f>
        <v>Style Rose Şerit 5 Metre Medium Gezdirme Tasması</v>
      </c>
      <c r="D31" s="14">
        <f>IFERROR(__xludf.DUMMYFUNCTION("""COMPUTED_VALUE"""),1740.0)</f>
        <v>1740</v>
      </c>
      <c r="E31" s="14">
        <f>IFERROR(__xludf.DUMMYFUNCTION("""COMPUTED_VALUE"""),348.0)</f>
        <v>348</v>
      </c>
      <c r="F31" s="14">
        <f>IFERROR(__xludf.DUMMYFUNCTION("""COMPUTED_VALUE"""),86.4)</f>
        <v>86.4</v>
      </c>
      <c r="G31" s="14">
        <f>IFERROR(__xludf.DUMMYFUNCTION("""COMPUTED_VALUE"""),985.57)</f>
        <v>985.57</v>
      </c>
      <c r="H31" s="14">
        <f>IFERROR(__xludf.DUMMYFUNCTION("""COMPUTED_VALUE"""),13.19)</f>
        <v>13.19</v>
      </c>
      <c r="I31" s="14">
        <f>IFERROR(__xludf.DUMMYFUNCTION("""COMPUTED_VALUE"""),14.5)</f>
        <v>14.5</v>
      </c>
      <c r="J31" s="14">
        <f>IFERROR(__xludf.DUMMYFUNCTION("""COMPUTED_VALUE"""),51.14000000000002)</f>
        <v>51.14</v>
      </c>
      <c r="K31" s="14">
        <f>IFERROR(__xludf.DUMMYFUNCTION("""COMPUTED_VALUE"""),241.19999999999985)</f>
        <v>241.2</v>
      </c>
      <c r="L31" s="15">
        <f>IFERROR(__xludf.DUMMYFUNCTION("""COMPUTED_VALUE"""),0.13862068965517232)</f>
        <v>0.1386206897</v>
      </c>
      <c r="M31" s="17" t="str">
        <f>IFERROR(__xludf.DUMMYFUNCTION("""COMPUTED_VALUE"""),"KÂRLI")</f>
        <v>KÂRLI</v>
      </c>
      <c r="N31" s="17" t="str">
        <f>IFERROR(__xludf.DUMMYFUNCTION("""COMPUTED_VALUE"""),"")</f>
        <v/>
      </c>
      <c r="O31" s="17">
        <f>IFERROR(__xludf.DUMMYFUNCTION("""COMPUTED_VALUE"""),0.5)</f>
        <v>0.5</v>
      </c>
      <c r="P31" s="17" t="str">
        <f>IFERROR(__xludf.DUMMYFUNCTION("""COMPUTED_VALUE"""),"")</f>
        <v/>
      </c>
      <c r="Q31" s="17" t="str">
        <f>IFERROR(__xludf.DUMMYFUNCTION("""COMPUTED_VALUE"""),"")</f>
        <v/>
      </c>
      <c r="R31" s="14">
        <f>IFERROR(__xludf.DUMMYFUNCTION("""COMPUTED_VALUE"""),1423.5784962788928)</f>
        <v>1423.578496</v>
      </c>
      <c r="S31" s="14">
        <f>IFERROR(__xludf.DUMMYFUNCTION("""COMPUTED_VALUE"""),316.42150372110723)</f>
        <v>316.4215037</v>
      </c>
      <c r="T31" s="17" t="str">
        <f>IFERROR(__xludf.DUMMYFUNCTION("""COMPUTED_VALUE"""),"SAĞLIKLI")</f>
        <v>SAĞLIKLI</v>
      </c>
      <c r="U31" s="17" t="str">
        <f>IFERROR(__xludf.DUMMYFUNCTION("""COMPUTED_VALUE"""),"Takip et")</f>
        <v>Takip et</v>
      </c>
    </row>
    <row r="32">
      <c r="A32" s="2">
        <f>IFERROR(__xludf.DUMMYFUNCTION("""COMPUTED_VALUE"""),6.923632570121E12)</f>
        <v>6923632570121</v>
      </c>
      <c r="B32" s="17" t="str">
        <f>IFERROR(__xludf.DUMMYFUNCTION("""COMPUTED_VALUE"""),"PetFix")</f>
        <v>PetFix</v>
      </c>
      <c r="C32" s="17" t="str">
        <f>IFERROR(__xludf.DUMMYFUNCTION("""COMPUTED_VALUE"""),"2'li Pabuçlu , Kedi ve Köpek Mama ve Su Kabı")</f>
        <v>2'li Pabuçlu , Kedi ve Köpek Mama ve Su Kabı</v>
      </c>
      <c r="D32" s="14">
        <f>IFERROR(__xludf.DUMMYFUNCTION("""COMPUTED_VALUE"""),852.0)</f>
        <v>852</v>
      </c>
      <c r="E32" s="14">
        <f>IFERROR(__xludf.DUMMYFUNCTION("""COMPUTED_VALUE"""),161.88)</f>
        <v>161.88</v>
      </c>
      <c r="F32" s="14">
        <f>IFERROR(__xludf.DUMMYFUNCTION("""COMPUTED_VALUE"""),86.4)</f>
        <v>86.4</v>
      </c>
      <c r="G32" s="14">
        <f>IFERROR(__xludf.DUMMYFUNCTION("""COMPUTED_VALUE"""),300.0)</f>
        <v>300</v>
      </c>
      <c r="H32" s="14">
        <f>IFERROR(__xludf.DUMMYFUNCTION("""COMPUTED_VALUE"""),13.19)</f>
        <v>13.19</v>
      </c>
      <c r="I32" s="14">
        <f>IFERROR(__xludf.DUMMYFUNCTION("""COMPUTED_VALUE"""),7.1000000000000005)</f>
        <v>7.1</v>
      </c>
      <c r="J32" s="14">
        <f>IFERROR(__xludf.DUMMYFUNCTION("""COMPUTED_VALUE"""),48.42166666666669)</f>
        <v>48.42166667</v>
      </c>
      <c r="K32" s="14">
        <f>IFERROR(__xludf.DUMMYFUNCTION("""COMPUTED_VALUE"""),235.00833333333333)</f>
        <v>235.0083333</v>
      </c>
      <c r="L32" s="15">
        <f>IFERROR(__xludf.DUMMYFUNCTION("""COMPUTED_VALUE"""),0.2758313771517997)</f>
        <v>0.2758313772</v>
      </c>
      <c r="M32" s="17" t="str">
        <f>IFERROR(__xludf.DUMMYFUNCTION("""COMPUTED_VALUE"""),"KÂRLI")</f>
        <v>KÂRLI</v>
      </c>
      <c r="N32" s="17" t="str">
        <f>IFERROR(__xludf.DUMMYFUNCTION("""COMPUTED_VALUE"""),"")</f>
        <v/>
      </c>
      <c r="O32" s="17">
        <f>IFERROR(__xludf.DUMMYFUNCTION("""COMPUTED_VALUE"""),1.0)</f>
        <v>1</v>
      </c>
      <c r="P32" s="17" t="str">
        <f>IFERROR(__xludf.DUMMYFUNCTION("""COMPUTED_VALUE"""),"")</f>
        <v/>
      </c>
      <c r="Q32" s="17" t="str">
        <f>IFERROR(__xludf.DUMMYFUNCTION("""COMPUTED_VALUE"""),"")</f>
        <v/>
      </c>
      <c r="R32" s="14">
        <f>IFERROR(__xludf.DUMMYFUNCTION("""COMPUTED_VALUE"""),536.4819126625557)</f>
        <v>536.4819127</v>
      </c>
      <c r="S32" s="14">
        <f>IFERROR(__xludf.DUMMYFUNCTION("""COMPUTED_VALUE"""),315.5180873374443)</f>
        <v>315.5180873</v>
      </c>
      <c r="T32" s="17" t="str">
        <f>IFERROR(__xludf.DUMMYFUNCTION("""COMPUTED_VALUE"""),"ÇOK KÂRLI")</f>
        <v>ÇOK KÂRLI</v>
      </c>
      <c r="U32" s="17" t="str">
        <f>IFERROR(__xludf.DUMMYFUNCTION("""COMPUTED_VALUE"""),"Stok ve BuyBox takibini artır")</f>
        <v>Stok ve BuyBox takibini artır</v>
      </c>
    </row>
    <row r="33">
      <c r="A33" s="2">
        <f>IFERROR(__xludf.DUMMYFUNCTION("""COMPUTED_VALUE"""),3.5585356266E10)</f>
        <v>35585356266</v>
      </c>
      <c r="B33" s="17" t="str">
        <f>IFERROR(__xludf.DUMMYFUNCTION("""COMPUTED_VALUE"""),"Kong")</f>
        <v>Kong</v>
      </c>
      <c r="C33" s="17" t="str">
        <f>IFERROR(__xludf.DUMMYFUNCTION("""COMPUTED_VALUE"""),"GOODİERİBBON ÇOKLUTOP ŞEKLİNDEKÖPEKOYUNCAĞI S")</f>
        <v>GOODİERİBBON ÇOKLUTOP ŞEKLİNDEKÖPEKOYUNCAĞI S</v>
      </c>
      <c r="D33" s="14">
        <f>IFERROR(__xludf.DUMMYFUNCTION("""COMPUTED_VALUE"""),949.0)</f>
        <v>949</v>
      </c>
      <c r="E33" s="14">
        <f>IFERROR(__xludf.DUMMYFUNCTION("""COMPUTED_VALUE"""),189.8)</f>
        <v>189.8</v>
      </c>
      <c r="F33" s="14">
        <f>IFERROR(__xludf.DUMMYFUNCTION("""COMPUTED_VALUE"""),86.4)</f>
        <v>86.4</v>
      </c>
      <c r="G33" s="14">
        <f>IFERROR(__xludf.DUMMYFUNCTION("""COMPUTED_VALUE"""),375.12)</f>
        <v>375.12</v>
      </c>
      <c r="H33" s="14">
        <f>IFERROR(__xludf.DUMMYFUNCTION("""COMPUTED_VALUE"""),13.19)</f>
        <v>13.19</v>
      </c>
      <c r="I33" s="14">
        <f>IFERROR(__xludf.DUMMYFUNCTION("""COMPUTED_VALUE"""),7.908333333333334)</f>
        <v>7.908333333</v>
      </c>
      <c r="J33" s="14">
        <f>IFERROR(__xludf.DUMMYFUNCTION("""COMPUTED_VALUE"""),47.415)</f>
        <v>47.415</v>
      </c>
      <c r="K33" s="14">
        <f>IFERROR(__xludf.DUMMYFUNCTION("""COMPUTED_VALUE"""),229.1666666666667)</f>
        <v>229.1666667</v>
      </c>
      <c r="L33" s="15">
        <f>IFERROR(__xludf.DUMMYFUNCTION("""COMPUTED_VALUE"""),0.24148226203020728)</f>
        <v>0.241482262</v>
      </c>
      <c r="M33" s="17" t="str">
        <f>IFERROR(__xludf.DUMMYFUNCTION("""COMPUTED_VALUE"""),"KÂRLI")</f>
        <v>KÂRLI</v>
      </c>
      <c r="N33" s="17" t="str">
        <f>IFERROR(__xludf.DUMMYFUNCTION("""COMPUTED_VALUE"""),"")</f>
        <v/>
      </c>
      <c r="O33" s="17">
        <f>IFERROR(__xludf.DUMMYFUNCTION("""COMPUTED_VALUE"""),1.0)</f>
        <v>1</v>
      </c>
      <c r="P33" s="17" t="str">
        <f>IFERROR(__xludf.DUMMYFUNCTION("""COMPUTED_VALUE"""),"")</f>
        <v/>
      </c>
      <c r="Q33" s="17" t="str">
        <f>IFERROR(__xludf.DUMMYFUNCTION("""COMPUTED_VALUE"""),"")</f>
        <v/>
      </c>
      <c r="R33" s="14">
        <f>IFERROR(__xludf.DUMMYFUNCTION("""COMPUTED_VALUE"""),640.0263126660585)</f>
        <v>640.0263127</v>
      </c>
      <c r="S33" s="14">
        <f>IFERROR(__xludf.DUMMYFUNCTION("""COMPUTED_VALUE"""),308.9736873339415)</f>
        <v>308.9736873</v>
      </c>
      <c r="T33" s="17" t="str">
        <f>IFERROR(__xludf.DUMMYFUNCTION("""COMPUTED_VALUE"""),"SAĞLIKLI")</f>
        <v>SAĞLIKLI</v>
      </c>
      <c r="U33" s="17" t="str">
        <f>IFERROR(__xludf.DUMMYFUNCTION("""COMPUTED_VALUE"""),"Takip et")</f>
        <v>Takip et</v>
      </c>
    </row>
    <row r="34">
      <c r="A34" s="2">
        <f>IFERROR(__xludf.DUMMYFUNCTION("""COMPUTED_VALUE"""),3.5585495354E10)</f>
        <v>35585495354</v>
      </c>
      <c r="B34" s="17" t="str">
        <f>IFERROR(__xludf.DUMMYFUNCTION("""COMPUTED_VALUE"""),"Kong")</f>
        <v>Kong</v>
      </c>
      <c r="C34" s="17" t="str">
        <f>IFERROR(__xludf.DUMMYFUNCTION("""COMPUTED_VALUE"""),"JAXXBRİGHTS SANDVİÇŞEKLİNDE İPUZANTILI KÖPEKOYUNCAĞI M")</f>
        <v>JAXXBRİGHTS SANDVİÇŞEKLİNDE İPUZANTILI KÖPEKOYUNCAĞI M</v>
      </c>
      <c r="D34" s="14">
        <f>IFERROR(__xludf.DUMMYFUNCTION("""COMPUTED_VALUE"""),886.0)</f>
        <v>886</v>
      </c>
      <c r="E34" s="14">
        <f>IFERROR(__xludf.DUMMYFUNCTION("""COMPUTED_VALUE"""),177.2)</f>
        <v>177.2</v>
      </c>
      <c r="F34" s="14">
        <f>IFERROR(__xludf.DUMMYFUNCTION("""COMPUTED_VALUE"""),86.4)</f>
        <v>86.4</v>
      </c>
      <c r="G34" s="14">
        <f>IFERROR(__xludf.DUMMYFUNCTION("""COMPUTED_VALUE"""),350.64)</f>
        <v>350.64</v>
      </c>
      <c r="H34" s="14">
        <f>IFERROR(__xludf.DUMMYFUNCTION("""COMPUTED_VALUE"""),13.19)</f>
        <v>13.19</v>
      </c>
      <c r="I34" s="14">
        <f>IFERROR(__xludf.DUMMYFUNCTION("""COMPUTED_VALUE"""),7.383333333333334)</f>
        <v>7.383333333</v>
      </c>
      <c r="J34" s="14">
        <f>IFERROR(__xludf.DUMMYFUNCTION("""COMPUTED_VALUE"""),43.09499999999998)</f>
        <v>43.095</v>
      </c>
      <c r="K34" s="14">
        <f>IFERROR(__xludf.DUMMYFUNCTION("""COMPUTED_VALUE"""),208.0916666666667)</f>
        <v>208.0916667</v>
      </c>
      <c r="L34" s="15">
        <f>IFERROR(__xludf.DUMMYFUNCTION("""COMPUTED_VALUE"""),0.23486644093303238)</f>
        <v>0.2348664409</v>
      </c>
      <c r="M34" s="17" t="str">
        <f>IFERROR(__xludf.DUMMYFUNCTION("""COMPUTED_VALUE"""),"KÂRLI")</f>
        <v>KÂRLI</v>
      </c>
      <c r="N34" s="17" t="str">
        <f>IFERROR(__xludf.DUMMYFUNCTION("""COMPUTED_VALUE"""),"")</f>
        <v/>
      </c>
      <c r="O34" s="17">
        <f>IFERROR(__xludf.DUMMYFUNCTION("""COMPUTED_VALUE"""),1.0)</f>
        <v>1</v>
      </c>
      <c r="P34" s="17" t="str">
        <f>IFERROR(__xludf.DUMMYFUNCTION("""COMPUTED_VALUE"""),"")</f>
        <v/>
      </c>
      <c r="Q34" s="17" t="str">
        <f>IFERROR(__xludf.DUMMYFUNCTION("""COMPUTED_VALUE"""),"")</f>
        <v/>
      </c>
      <c r="R34" s="14">
        <f>IFERROR(__xludf.DUMMYFUNCTION("""COMPUTED_VALUE"""),605.9402587574618)</f>
        <v>605.9402588</v>
      </c>
      <c r="S34" s="14">
        <f>IFERROR(__xludf.DUMMYFUNCTION("""COMPUTED_VALUE"""),280.05974124253817)</f>
        <v>280.0597412</v>
      </c>
      <c r="T34" s="17" t="str">
        <f>IFERROR(__xludf.DUMMYFUNCTION("""COMPUTED_VALUE"""),"SAĞLIKLI")</f>
        <v>SAĞLIKLI</v>
      </c>
      <c r="U34" s="17" t="str">
        <f>IFERROR(__xludf.DUMMYFUNCTION("""COMPUTED_VALUE"""),"Takip et")</f>
        <v>Takip et</v>
      </c>
    </row>
    <row r="35">
      <c r="A35" s="2">
        <f>IFERROR(__xludf.DUMMYFUNCTION("""COMPUTED_VALUE"""),3.5585509112E10)</f>
        <v>35585509112</v>
      </c>
      <c r="B35" s="17" t="str">
        <f>IFERROR(__xludf.DUMMYFUNCTION("""COMPUTED_VALUE"""),"Kong")</f>
        <v>Kong</v>
      </c>
      <c r="C35" s="17" t="str">
        <f>IFERROR(__xludf.DUMMYFUNCTION("""COMPUTED_VALUE"""),"COMFORTJUMBO BİRDFLAMİNGOŞEKLİNDE PELUŞKÖPEKOYUNCAĞI XL")</f>
        <v>COMFORTJUMBO BİRDFLAMİNGOŞEKLİNDE PELUŞKÖPEKOYUNCAĞI XL</v>
      </c>
      <c r="D35" s="14">
        <f>IFERROR(__xludf.DUMMYFUNCTION("""COMPUTED_VALUE"""),1207.8)</f>
        <v>1207.8</v>
      </c>
      <c r="E35" s="14">
        <f>IFERROR(__xludf.DUMMYFUNCTION("""COMPUTED_VALUE"""),241.56)</f>
        <v>241.56</v>
      </c>
      <c r="F35" s="14">
        <f>IFERROR(__xludf.DUMMYFUNCTION("""COMPUTED_VALUE"""),86.4)</f>
        <v>86.4</v>
      </c>
      <c r="G35" s="14">
        <f>IFERROR(__xludf.DUMMYFUNCTION("""COMPUTED_VALUE"""),622.08)</f>
        <v>622.08</v>
      </c>
      <c r="H35" s="14">
        <f>IFERROR(__xludf.DUMMYFUNCTION("""COMPUTED_VALUE"""),13.19)</f>
        <v>13.19</v>
      </c>
      <c r="I35" s="14">
        <f>IFERROR(__xludf.DUMMYFUNCTION("""COMPUTED_VALUE"""),10.065)</f>
        <v>10.065</v>
      </c>
      <c r="J35" s="14">
        <f>IFERROR(__xludf.DUMMYFUNCTION("""COMPUTED_VALUE"""),40.76166666666669)</f>
        <v>40.76166667</v>
      </c>
      <c r="K35" s="14">
        <f>IFERROR(__xludf.DUMMYFUNCTION("""COMPUTED_VALUE"""),193.7433333333333)</f>
        <v>193.7433333</v>
      </c>
      <c r="L35" s="15">
        <f>IFERROR(__xludf.DUMMYFUNCTION("""COMPUTED_VALUE"""),0.1604101120494563)</f>
        <v>0.160410112</v>
      </c>
      <c r="M35" s="17" t="str">
        <f>IFERROR(__xludf.DUMMYFUNCTION("""COMPUTED_VALUE"""),"KÂRLI")</f>
        <v>KÂRLI</v>
      </c>
      <c r="N35" s="17" t="str">
        <f>IFERROR(__xludf.DUMMYFUNCTION("""COMPUTED_VALUE"""),"")</f>
        <v/>
      </c>
      <c r="O35" s="17">
        <f>IFERROR(__xludf.DUMMYFUNCTION("""COMPUTED_VALUE"""),1.0)</f>
        <v>1</v>
      </c>
      <c r="P35" s="17" t="str">
        <f>IFERROR(__xludf.DUMMYFUNCTION("""COMPUTED_VALUE"""),"")</f>
        <v/>
      </c>
      <c r="Q35" s="17" t="str">
        <f>IFERROR(__xludf.DUMMYFUNCTION("""COMPUTED_VALUE"""),"")</f>
        <v/>
      </c>
      <c r="R35" s="14">
        <f>IFERROR(__xludf.DUMMYFUNCTION("""COMPUTED_VALUE"""),952.1738551490103)</f>
        <v>952.1738551</v>
      </c>
      <c r="S35" s="14">
        <f>IFERROR(__xludf.DUMMYFUNCTION("""COMPUTED_VALUE"""),255.6261448509897)</f>
        <v>255.6261449</v>
      </c>
      <c r="T35" s="17" t="str">
        <f>IFERROR(__xludf.DUMMYFUNCTION("""COMPUTED_VALUE"""),"SAĞLIKLI")</f>
        <v>SAĞLIKLI</v>
      </c>
      <c r="U35" s="17" t="str">
        <f>IFERROR(__xludf.DUMMYFUNCTION("""COMPUTED_VALUE"""),"Takip et")</f>
        <v>Takip et</v>
      </c>
    </row>
    <row r="36">
      <c r="A36" s="2">
        <f>IFERROR(__xludf.DUMMYFUNCTION("""COMPUTED_VALUE"""),3.569702998444E12)</f>
        <v>3569702998444</v>
      </c>
      <c r="B36" s="17" t="str">
        <f>IFERROR(__xludf.DUMMYFUNCTION("""COMPUTED_VALUE"""),"Royal Canin")</f>
        <v>Royal Canin</v>
      </c>
      <c r="C36" s="17" t="str">
        <f>IFERROR(__xludf.DUMMYFUNCTION("""COMPUTED_VALUE"""),"Sterilised Soslu Yaş Kedi Maması 85 Gr X 6 Adet")</f>
        <v>Sterilised Soslu Yaş Kedi Maması 85 Gr X 6 Adet</v>
      </c>
      <c r="D36" s="14">
        <f>IFERROR(__xludf.DUMMYFUNCTION("""COMPUTED_VALUE"""),349.0)</f>
        <v>349</v>
      </c>
      <c r="E36" s="14">
        <f>IFERROR(__xludf.DUMMYFUNCTION("""COMPUTED_VALUE"""),25.476999999999997)</f>
        <v>25.477</v>
      </c>
      <c r="F36" s="14">
        <f>IFERROR(__xludf.DUMMYFUNCTION("""COMPUTED_VALUE"""),90.0)</f>
        <v>90</v>
      </c>
      <c r="G36" s="14">
        <f>IFERROR(__xludf.DUMMYFUNCTION("""COMPUTED_VALUE"""),1.0)</f>
        <v>1</v>
      </c>
      <c r="H36" s="14">
        <f>IFERROR(__xludf.DUMMYFUNCTION("""COMPUTED_VALUE"""),13.19)</f>
        <v>13.19</v>
      </c>
      <c r="I36" s="14">
        <f>IFERROR(__xludf.DUMMYFUNCTION("""COMPUTED_VALUE"""),2.9083333333333337)</f>
        <v>2.908333333</v>
      </c>
      <c r="J36" s="14">
        <f>IFERROR(__xludf.DUMMYFUNCTION("""COMPUTED_VALUE"""),36.555499999999974)</f>
        <v>36.5555</v>
      </c>
      <c r="K36" s="14">
        <f>IFERROR(__xludf.DUMMYFUNCTION("""COMPUTED_VALUE"""),179.86916666666673)</f>
        <v>179.8691667</v>
      </c>
      <c r="L36" s="15">
        <f>IFERROR(__xludf.DUMMYFUNCTION("""COMPUTED_VALUE"""),0.5153844317096468)</f>
        <v>0.5153844317</v>
      </c>
      <c r="M36" s="17" t="str">
        <f>IFERROR(__xludf.DUMMYFUNCTION("""COMPUTED_VALUE"""),"KÂRLI")</f>
        <v>KÂRLI</v>
      </c>
      <c r="N36" s="17" t="str">
        <f>IFERROR(__xludf.DUMMYFUNCTION("""COMPUTED_VALUE"""),"")</f>
        <v/>
      </c>
      <c r="O36" s="17">
        <f>IFERROR(__xludf.DUMMYFUNCTION("""COMPUTED_VALUE"""),3.0)</f>
        <v>3</v>
      </c>
      <c r="P36" s="17" t="str">
        <f>IFERROR(__xludf.DUMMYFUNCTION("""COMPUTED_VALUE"""),"")</f>
        <v/>
      </c>
      <c r="Q36" s="17" t="str">
        <f>IFERROR(__xludf.DUMMYFUNCTION("""COMPUTED_VALUE"""),"")</f>
        <v/>
      </c>
      <c r="R36" s="14">
        <f>IFERROR(__xludf.DUMMYFUNCTION("""COMPUTED_VALUE"""),128.00958171819366)</f>
        <v>128.0095817</v>
      </c>
      <c r="S36" s="14">
        <f>IFERROR(__xludf.DUMMYFUNCTION("""COMPUTED_VALUE"""),220.99041828180634)</f>
        <v>220.9904183</v>
      </c>
      <c r="T36" s="17" t="str">
        <f>IFERROR(__xludf.DUMMYFUNCTION("""COMPUTED_VALUE"""),"ÇOK KÂRLI")</f>
        <v>ÇOK KÂRLI</v>
      </c>
      <c r="U36" s="17" t="str">
        <f>IFERROR(__xludf.DUMMYFUNCTION("""COMPUTED_VALUE"""),"Stok ve BuyBox takibini artır")</f>
        <v>Stok ve BuyBox takibini artır</v>
      </c>
    </row>
    <row r="37">
      <c r="A37" s="2">
        <f>IFERROR(__xludf.DUMMYFUNCTION("""COMPUTED_VALUE"""),3.5585181226E10)</f>
        <v>35585181226</v>
      </c>
      <c r="B37" s="17" t="str">
        <f>IFERROR(__xludf.DUMMYFUNCTION("""COMPUTED_VALUE"""),"Kong")</f>
        <v>Kong</v>
      </c>
      <c r="C37" s="17" t="str">
        <f>IFERROR(__xludf.DUMMYFUNCTION("""COMPUTED_VALUE"""),"DELİKLİTOP ŞEKLİNDEÇOK AMAÇLIKÖPEKOYUNCAĞI S")</f>
        <v>DELİKLİTOP ŞEKLİNDEÇOK AMAÇLIKÖPEKOYUNCAĞI S</v>
      </c>
      <c r="D37" s="14">
        <f>IFERROR(__xludf.DUMMYFUNCTION("""COMPUTED_VALUE"""),820.0)</f>
        <v>820</v>
      </c>
      <c r="E37" s="14">
        <f>IFERROR(__xludf.DUMMYFUNCTION("""COMPUTED_VALUE"""),164.0)</f>
        <v>164</v>
      </c>
      <c r="F37" s="14">
        <f>IFERROR(__xludf.DUMMYFUNCTION("""COMPUTED_VALUE"""),86.4)</f>
        <v>86.4</v>
      </c>
      <c r="G37" s="14">
        <f>IFERROR(__xludf.DUMMYFUNCTION("""COMPUTED_VALUE"""),332.64)</f>
        <v>332.64</v>
      </c>
      <c r="H37" s="14">
        <f>IFERROR(__xludf.DUMMYFUNCTION("""COMPUTED_VALUE"""),13.19)</f>
        <v>13.19</v>
      </c>
      <c r="I37" s="14">
        <f>IFERROR(__xludf.DUMMYFUNCTION("""COMPUTED_VALUE"""),6.833333333333334)</f>
        <v>6.833333333</v>
      </c>
      <c r="J37" s="14">
        <f>IFERROR(__xludf.DUMMYFUNCTION("""COMPUTED_VALUE"""),37.294999999999995)</f>
        <v>37.295</v>
      </c>
      <c r="K37" s="14">
        <f>IFERROR(__xludf.DUMMYFUNCTION("""COMPUTED_VALUE"""),179.6416666666667)</f>
        <v>179.6416667</v>
      </c>
      <c r="L37" s="15">
        <f>IFERROR(__xludf.DUMMYFUNCTION("""COMPUTED_VALUE"""),0.21907520325203256)</f>
        <v>0.2190752033</v>
      </c>
      <c r="M37" s="17" t="str">
        <f>IFERROR(__xludf.DUMMYFUNCTION("""COMPUTED_VALUE"""),"KÂRLI")</f>
        <v>KÂRLI</v>
      </c>
      <c r="N37" s="17" t="str">
        <f>IFERROR(__xludf.DUMMYFUNCTION("""COMPUTED_VALUE"""),"")</f>
        <v/>
      </c>
      <c r="O37" s="17">
        <f>IFERROR(__xludf.DUMMYFUNCTION("""COMPUTED_VALUE"""),1.0)</f>
        <v>1</v>
      </c>
      <c r="P37" s="17" t="str">
        <f>IFERROR(__xludf.DUMMYFUNCTION("""COMPUTED_VALUE"""),"")</f>
        <v/>
      </c>
      <c r="Q37" s="17" t="str">
        <f>IFERROR(__xludf.DUMMYFUNCTION("""COMPUTED_VALUE"""),"")</f>
        <v/>
      </c>
      <c r="R37" s="14">
        <f>IFERROR(__xludf.DUMMYFUNCTION("""COMPUTED_VALUE"""),579.252907070718)</f>
        <v>579.2529071</v>
      </c>
      <c r="S37" s="14">
        <f>IFERROR(__xludf.DUMMYFUNCTION("""COMPUTED_VALUE"""),240.74709292928196)</f>
        <v>240.7470929</v>
      </c>
      <c r="T37" s="17" t="str">
        <f>IFERROR(__xludf.DUMMYFUNCTION("""COMPUTED_VALUE"""),"SAĞLIKLI")</f>
        <v>SAĞLIKLI</v>
      </c>
      <c r="U37" s="17" t="str">
        <f>IFERROR(__xludf.DUMMYFUNCTION("""COMPUTED_VALUE"""),"Takip et")</f>
        <v>Takip et</v>
      </c>
    </row>
    <row r="38">
      <c r="A38" s="2">
        <f>IFERROR(__xludf.DUMMYFUNCTION("""COMPUTED_VALUE"""),1.613036962014E12)</f>
        <v>1613036962014</v>
      </c>
      <c r="B38" s="17" t="str">
        <f>IFERROR(__xludf.DUMMYFUNCTION("""COMPUTED_VALUE"""),"FELIX")</f>
        <v>FELIX</v>
      </c>
      <c r="C38" s="17" t="str">
        <f>IFERROR(__xludf.DUMMYFUNCTION("""COMPUTED_VALUE"""),"Somonlu Ton Balıklı Yaş Kedi Maması X 20 Adet")</f>
        <v>Somonlu Ton Balıklı Yaş Kedi Maması X 20 Adet</v>
      </c>
      <c r="D38" s="14">
        <f>IFERROR(__xludf.DUMMYFUNCTION("""COMPUTED_VALUE"""),725.0)</f>
        <v>725</v>
      </c>
      <c r="E38" s="14">
        <f>IFERROR(__xludf.DUMMYFUNCTION("""COMPUTED_VALUE"""),119.625)</f>
        <v>119.625</v>
      </c>
      <c r="F38" s="14">
        <f>IFERROR(__xludf.DUMMYFUNCTION("""COMPUTED_VALUE"""),90.0)</f>
        <v>90</v>
      </c>
      <c r="G38" s="14">
        <f>IFERROR(__xludf.DUMMYFUNCTION("""COMPUTED_VALUE"""),300.0)</f>
        <v>300</v>
      </c>
      <c r="H38" s="14">
        <f>IFERROR(__xludf.DUMMYFUNCTION("""COMPUTED_VALUE"""),13.19)</f>
        <v>13.19</v>
      </c>
      <c r="I38" s="14">
        <f>IFERROR(__xludf.DUMMYFUNCTION("""COMPUTED_VALUE"""),6.041666666666668)</f>
        <v>6.041666667</v>
      </c>
      <c r="J38" s="14">
        <f>IFERROR(__xludf.DUMMYFUNCTION("""COMPUTED_VALUE"""),33.69749999999993)</f>
        <v>33.6975</v>
      </c>
      <c r="K38" s="14">
        <f>IFERROR(__xludf.DUMMYFUNCTION("""COMPUTED_VALUE"""),162.4458333333334)</f>
        <v>162.4458333</v>
      </c>
      <c r="L38" s="15">
        <f>IFERROR(__xludf.DUMMYFUNCTION("""COMPUTED_VALUE"""),0.2240632183908047)</f>
        <v>0.2240632184</v>
      </c>
      <c r="M38" s="17" t="str">
        <f>IFERROR(__xludf.DUMMYFUNCTION("""COMPUTED_VALUE"""),"KÂRLI")</f>
        <v>KÂRLI</v>
      </c>
      <c r="N38" s="17" t="str">
        <f>IFERROR(__xludf.DUMMYFUNCTION("""COMPUTED_VALUE"""),"")</f>
        <v/>
      </c>
      <c r="O38" s="17">
        <f>IFERROR(__xludf.DUMMYFUNCTION("""COMPUTED_VALUE"""),3.0)</f>
        <v>3</v>
      </c>
      <c r="P38" s="17" t="str">
        <f>IFERROR(__xludf.DUMMYFUNCTION("""COMPUTED_VALUE"""),"")</f>
        <v/>
      </c>
      <c r="Q38" s="17" t="str">
        <f>IFERROR(__xludf.DUMMYFUNCTION("""COMPUTED_VALUE"""),"")</f>
        <v/>
      </c>
      <c r="R38" s="14">
        <f>IFERROR(__xludf.DUMMYFUNCTION("""COMPUTED_VALUE"""),516.7859033743559)</f>
        <v>516.7859034</v>
      </c>
      <c r="S38" s="14">
        <f>IFERROR(__xludf.DUMMYFUNCTION("""COMPUTED_VALUE"""),208.21409662564406)</f>
        <v>208.2140966</v>
      </c>
      <c r="T38" s="17" t="str">
        <f>IFERROR(__xludf.DUMMYFUNCTION("""COMPUTED_VALUE"""),"SAĞLIKLI")</f>
        <v>SAĞLIKLI</v>
      </c>
      <c r="U38" s="17" t="str">
        <f>IFERROR(__xludf.DUMMYFUNCTION("""COMPUTED_VALUE"""),"Takip et")</f>
        <v>Takip et</v>
      </c>
    </row>
    <row r="39">
      <c r="A39" s="2">
        <f>IFERROR(__xludf.DUMMYFUNCTION("""COMPUTED_VALUE"""),3.5585495347E10)</f>
        <v>35585495347</v>
      </c>
      <c r="B39" s="17" t="str">
        <f>IFERROR(__xludf.DUMMYFUNCTION("""COMPUTED_VALUE"""),"Kong")</f>
        <v>Kong</v>
      </c>
      <c r="C39" s="17" t="str">
        <f>IFERROR(__xludf.DUMMYFUNCTION("""COMPUTED_VALUE"""),"JAXXBRİGHTS SANDVİÇŞEKLİNDE KÖPEKOYUNCAĞI M")</f>
        <v>JAXXBRİGHTS SANDVİÇŞEKLİNDE KÖPEKOYUNCAĞI M</v>
      </c>
      <c r="D39" s="14">
        <f>IFERROR(__xludf.DUMMYFUNCTION("""COMPUTED_VALUE"""),725.0)</f>
        <v>725</v>
      </c>
      <c r="E39" s="14">
        <f>IFERROR(__xludf.DUMMYFUNCTION("""COMPUTED_VALUE"""),145.0)</f>
        <v>145</v>
      </c>
      <c r="F39" s="14">
        <f>IFERROR(__xludf.DUMMYFUNCTION("""COMPUTED_VALUE"""),86.4)</f>
        <v>86.4</v>
      </c>
      <c r="G39" s="14">
        <f>IFERROR(__xludf.DUMMYFUNCTION("""COMPUTED_VALUE"""),285.84)</f>
        <v>285.84</v>
      </c>
      <c r="H39" s="14">
        <f>IFERROR(__xludf.DUMMYFUNCTION("""COMPUTED_VALUE"""),13.19)</f>
        <v>13.19</v>
      </c>
      <c r="I39" s="14">
        <f>IFERROR(__xludf.DUMMYFUNCTION("""COMPUTED_VALUE"""),6.041666666666668)</f>
        <v>6.041666667</v>
      </c>
      <c r="J39" s="14">
        <f>IFERROR(__xludf.DUMMYFUNCTION("""COMPUTED_VALUE"""),32.42833333333329)</f>
        <v>32.42833333</v>
      </c>
      <c r="K39" s="14">
        <f>IFERROR(__xludf.DUMMYFUNCTION("""COMPUTED_VALUE"""),156.1000000000001)</f>
        <v>156.1</v>
      </c>
      <c r="L39" s="15">
        <f>IFERROR(__xludf.DUMMYFUNCTION("""COMPUTED_VALUE"""),0.21531034482758635)</f>
        <v>0.2153103448</v>
      </c>
      <c r="M39" s="17" t="str">
        <f>IFERROR(__xludf.DUMMYFUNCTION("""COMPUTED_VALUE"""),"KÂRLI")</f>
        <v>KÂRLI</v>
      </c>
      <c r="N39" s="17" t="str">
        <f>IFERROR(__xludf.DUMMYFUNCTION("""COMPUTED_VALUE"""),"")</f>
        <v/>
      </c>
      <c r="O39" s="17">
        <f>IFERROR(__xludf.DUMMYFUNCTION("""COMPUTED_VALUE"""),1.0)</f>
        <v>1</v>
      </c>
      <c r="P39" s="17" t="str">
        <f>IFERROR(__xludf.DUMMYFUNCTION("""COMPUTED_VALUE"""),"")</f>
        <v/>
      </c>
      <c r="Q39" s="17" t="str">
        <f>IFERROR(__xludf.DUMMYFUNCTION("""COMPUTED_VALUE"""),"")</f>
        <v/>
      </c>
      <c r="R39" s="14">
        <f>IFERROR(__xludf.DUMMYFUNCTION("""COMPUTED_VALUE"""),516.0131946463008)</f>
        <v>516.0131946</v>
      </c>
      <c r="S39" s="14">
        <f>IFERROR(__xludf.DUMMYFUNCTION("""COMPUTED_VALUE"""),208.9868053536992)</f>
        <v>208.9868054</v>
      </c>
      <c r="T39" s="17" t="str">
        <f>IFERROR(__xludf.DUMMYFUNCTION("""COMPUTED_VALUE"""),"SAĞLIKLI")</f>
        <v>SAĞLIKLI</v>
      </c>
      <c r="U39" s="17" t="str">
        <f>IFERROR(__xludf.DUMMYFUNCTION("""COMPUTED_VALUE"""),"Takip et")</f>
        <v>Takip et</v>
      </c>
    </row>
    <row r="40">
      <c r="A40" s="2" t="str">
        <f>IFERROR(__xludf.DUMMYFUNCTION("""COMPUTED_VALUE"""),"TYBJH953EK2C3Z3444")</f>
        <v>TYBJH953EK2C3Z3444</v>
      </c>
      <c r="B40" s="17" t="str">
        <f>IFERROR(__xludf.DUMMYFUNCTION("""COMPUTED_VALUE"""),"Dreamies")</f>
        <v>Dreamies</v>
      </c>
      <c r="C40" s="17" t="str">
        <f>IFERROR(__xludf.DUMMYFUNCTION("""COMPUTED_VALUE"""),"Kedi Ödülü Seti Sığırlı, Somonlu, Peynirli, Tavuklu, Somonlu Peynir, Ördekli 6 Adet")</f>
        <v>Kedi Ödülü Seti Sığırlı, Somonlu, Peynirli, Tavuklu, Somonlu Peynir, Ördekli 6 Adet</v>
      </c>
      <c r="D40" s="14">
        <f>IFERROR(__xludf.DUMMYFUNCTION("""COMPUTED_VALUE"""),374.0)</f>
        <v>374</v>
      </c>
      <c r="E40" s="14">
        <f>IFERROR(__xludf.DUMMYFUNCTION("""COMPUTED_VALUE"""),74.8)</f>
        <v>74.8</v>
      </c>
      <c r="F40" s="14">
        <f>IFERROR(__xludf.DUMMYFUNCTION("""COMPUTED_VALUE"""),86.4)</f>
        <v>86.4</v>
      </c>
      <c r="G40" s="14">
        <f>IFERROR(__xludf.DUMMYFUNCTION("""COMPUTED_VALUE"""),10.0)</f>
        <v>10</v>
      </c>
      <c r="H40" s="14">
        <f>IFERROR(__xludf.DUMMYFUNCTION("""COMPUTED_VALUE"""),13.19)</f>
        <v>13.19</v>
      </c>
      <c r="I40" s="14">
        <f>IFERROR(__xludf.DUMMYFUNCTION("""COMPUTED_VALUE"""),3.116666666666667)</f>
        <v>3.116666667</v>
      </c>
      <c r="J40" s="14">
        <f>IFERROR(__xludf.DUMMYFUNCTION("""COMPUTED_VALUE"""),31.601666666666667)</f>
        <v>31.60166667</v>
      </c>
      <c r="K40" s="14">
        <f>IFERROR(__xludf.DUMMYFUNCTION("""COMPUTED_VALUE"""),154.89166666666665)</f>
        <v>154.8916667</v>
      </c>
      <c r="L40" s="15">
        <f>IFERROR(__xludf.DUMMYFUNCTION("""COMPUTED_VALUE"""),0.4141488413547237)</f>
        <v>0.4141488414</v>
      </c>
      <c r="M40" s="17" t="str">
        <f>IFERROR(__xludf.DUMMYFUNCTION("""COMPUTED_VALUE"""),"KÂRLI")</f>
        <v>KÂRLI</v>
      </c>
      <c r="N40" s="17" t="str">
        <f>IFERROR(__xludf.DUMMYFUNCTION("""COMPUTED_VALUE"""),"")</f>
        <v/>
      </c>
      <c r="O40" s="17">
        <f>IFERROR(__xludf.DUMMYFUNCTION("""COMPUTED_VALUE"""),0.5)</f>
        <v>0.5</v>
      </c>
      <c r="P40" s="17" t="str">
        <f>IFERROR(__xludf.DUMMYFUNCTION("""COMPUTED_VALUE"""),"")</f>
        <v/>
      </c>
      <c r="Q40" s="17" t="str">
        <f>IFERROR(__xludf.DUMMYFUNCTION("""COMPUTED_VALUE"""),"")</f>
        <v/>
      </c>
      <c r="R40" s="14">
        <f>IFERROR(__xludf.DUMMYFUNCTION("""COMPUTED_VALUE"""),154.96968541151264)</f>
        <v>154.9696854</v>
      </c>
      <c r="S40" s="14">
        <f>IFERROR(__xludf.DUMMYFUNCTION("""COMPUTED_VALUE"""),219.03031458848736)</f>
        <v>219.0303146</v>
      </c>
      <c r="T40" s="17" t="str">
        <f>IFERROR(__xludf.DUMMYFUNCTION("""COMPUTED_VALUE"""),"ÇOK KÂRLI")</f>
        <v>ÇOK KÂRLI</v>
      </c>
      <c r="U40" s="17" t="str">
        <f>IFERROR(__xludf.DUMMYFUNCTION("""COMPUTED_VALUE"""),"Stok ve BuyBox takibini artır")</f>
        <v>Stok ve BuyBox takibini artır</v>
      </c>
    </row>
    <row r="41">
      <c r="A41" s="2">
        <f>IFERROR(__xludf.DUMMYFUNCTION("""COMPUTED_VALUE"""),4.0004872260361E15)</f>
        <v>4.00049E+15</v>
      </c>
      <c r="B41" s="17" t="str">
        <f>IFERROR(__xludf.DUMMYFUNCTION("""COMPUTED_VALUE"""),"FELIX")</f>
        <v>FELIX</v>
      </c>
      <c r="C41" s="17" t="str">
        <f>IFERROR(__xludf.DUMMYFUNCTION("""COMPUTED_VALUE"""),"Kedi Konservesi Karışık (poşet) X 100 Adet X 85 Gr")</f>
        <v>Kedi Konservesi Karışık (poşet) X 100 Adet X 85 Gr</v>
      </c>
      <c r="D41" s="14">
        <f>IFERROR(__xludf.DUMMYFUNCTION("""COMPUTED_VALUE"""),2249.0)</f>
        <v>2249</v>
      </c>
      <c r="E41" s="14">
        <f>IFERROR(__xludf.DUMMYFUNCTION("""COMPUTED_VALUE"""),371.085)</f>
        <v>371.085</v>
      </c>
      <c r="F41" s="14">
        <f>IFERROR(__xludf.DUMMYFUNCTION("""COMPUTED_VALUE"""),159.74)</f>
        <v>159.74</v>
      </c>
      <c r="G41" s="14">
        <f>IFERROR(__xludf.DUMMYFUNCTION("""COMPUTED_VALUE"""),1500.0)</f>
        <v>1500</v>
      </c>
      <c r="H41" s="14">
        <f>IFERROR(__xludf.DUMMYFUNCTION("""COMPUTED_VALUE"""),13.19)</f>
        <v>13.19</v>
      </c>
      <c r="I41" s="14">
        <f>IFERROR(__xludf.DUMMYFUNCTION("""COMPUTED_VALUE"""),18.741666666666667)</f>
        <v>18.74166667</v>
      </c>
      <c r="J41" s="14">
        <f>IFERROR(__xludf.DUMMYFUNCTION("""COMPUTED_VALUE"""),34.164166666666624)</f>
        <v>34.16416667</v>
      </c>
      <c r="K41" s="14">
        <f>IFERROR(__xludf.DUMMYFUNCTION("""COMPUTED_VALUE"""),152.07916666666665)</f>
        <v>152.0791667</v>
      </c>
      <c r="L41" s="15">
        <f>IFERROR(__xludf.DUMMYFUNCTION("""COMPUTED_VALUE"""),0.0676207944271528)</f>
        <v>0.06762079443</v>
      </c>
      <c r="M41" s="17" t="str">
        <f>IFERROR(__xludf.DUMMYFUNCTION("""COMPUTED_VALUE"""),"KÂRLI")</f>
        <v>KÂRLI</v>
      </c>
      <c r="N41" s="17" t="str">
        <f>IFERROR(__xludf.DUMMYFUNCTION("""COMPUTED_VALUE"""),"")</f>
        <v/>
      </c>
      <c r="O41" s="17">
        <f>IFERROR(__xludf.DUMMYFUNCTION("""COMPUTED_VALUE"""),6.0)</f>
        <v>6</v>
      </c>
      <c r="P41" s="17" t="str">
        <f>IFERROR(__xludf.DUMMYFUNCTION("""COMPUTED_VALUE"""),"")</f>
        <v/>
      </c>
      <c r="Q41" s="17" t="str">
        <f>IFERROR(__xludf.DUMMYFUNCTION("""COMPUTED_VALUE"""),"")</f>
        <v/>
      </c>
      <c r="R41" s="14">
        <f>IFERROR(__xludf.DUMMYFUNCTION("""COMPUTED_VALUE"""),2061.5885625208866)</f>
        <v>2061.588563</v>
      </c>
      <c r="S41" s="14">
        <f>IFERROR(__xludf.DUMMYFUNCTION("""COMPUTED_VALUE"""),187.41143747911337)</f>
        <v>187.4114375</v>
      </c>
      <c r="T41" s="17" t="str">
        <f>IFERROR(__xludf.DUMMYFUNCTION("""COMPUTED_VALUE"""),"DÜŞÜK KÂR")</f>
        <v>DÜŞÜK KÂR</v>
      </c>
      <c r="U41" s="17" t="str">
        <f>IFERROR(__xludf.DUMMYFUNCTION("""COMPUTED_VALUE"""),"Reklam/komisyon etkisini kontrol et")</f>
        <v>Reklam/komisyon etkisini kontrol et</v>
      </c>
    </row>
    <row r="42">
      <c r="A42" s="2">
        <f>IFERROR(__xludf.DUMMYFUNCTION("""COMPUTED_VALUE"""),2.06441287E9)</f>
        <v>2064412870</v>
      </c>
      <c r="B42" s="17" t="str">
        <f>IFERROR(__xludf.DUMMYFUNCTION("""COMPUTED_VALUE"""),"FELIX")</f>
        <v>FELIX</v>
      </c>
      <c r="C42" s="17" t="str">
        <f>IFERROR(__xludf.DUMMYFUNCTION("""COMPUTED_VALUE"""),"Purina Karışık Kedi Yaş Maması 100 Adet")</f>
        <v>Purina Karışık Kedi Yaş Maması 100 Adet</v>
      </c>
      <c r="D42" s="14">
        <f>IFERROR(__xludf.DUMMYFUNCTION("""COMPUTED_VALUE"""),2245.0)</f>
        <v>2245</v>
      </c>
      <c r="E42" s="14">
        <f>IFERROR(__xludf.DUMMYFUNCTION("""COMPUTED_VALUE"""),370.425)</f>
        <v>370.425</v>
      </c>
      <c r="F42" s="14">
        <f>IFERROR(__xludf.DUMMYFUNCTION("""COMPUTED_VALUE"""),159.74)</f>
        <v>159.74</v>
      </c>
      <c r="G42" s="14">
        <f>IFERROR(__xludf.DUMMYFUNCTION("""COMPUTED_VALUE"""),1500.0)</f>
        <v>1500</v>
      </c>
      <c r="H42" s="14">
        <f>IFERROR(__xludf.DUMMYFUNCTION("""COMPUTED_VALUE"""),13.19)</f>
        <v>13.19</v>
      </c>
      <c r="I42" s="14">
        <f>IFERROR(__xludf.DUMMYFUNCTION("""COMPUTED_VALUE"""),18.708333333333336)</f>
        <v>18.70833333</v>
      </c>
      <c r="J42" s="14">
        <f>IFERROR(__xludf.DUMMYFUNCTION("""COMPUTED_VALUE"""),33.60749999999984)</f>
        <v>33.6075</v>
      </c>
      <c r="K42" s="14">
        <f>IFERROR(__xludf.DUMMYFUNCTION("""COMPUTED_VALUE"""),149.32916666666685)</f>
        <v>149.3291667</v>
      </c>
      <c r="L42" s="15">
        <f>IFERROR(__xludf.DUMMYFUNCTION("""COMPUTED_VALUE"""),0.06651633259094292)</f>
        <v>0.06651633259</v>
      </c>
      <c r="M42" s="17" t="str">
        <f>IFERROR(__xludf.DUMMYFUNCTION("""COMPUTED_VALUE"""),"KÂRLI")</f>
        <v>KÂRLI</v>
      </c>
      <c r="N42" s="17" t="str">
        <f>IFERROR(__xludf.DUMMYFUNCTION("""COMPUTED_VALUE"""),"")</f>
        <v/>
      </c>
      <c r="O42" s="17">
        <f>IFERROR(__xludf.DUMMYFUNCTION("""COMPUTED_VALUE"""),8.0)</f>
        <v>8</v>
      </c>
      <c r="P42" s="17" t="str">
        <f>IFERROR(__xludf.DUMMYFUNCTION("""COMPUTED_VALUE"""),"")</f>
        <v/>
      </c>
      <c r="Q42" s="17" t="str">
        <f>IFERROR(__xludf.DUMMYFUNCTION("""COMPUTED_VALUE"""),"")</f>
        <v/>
      </c>
      <c r="R42" s="14">
        <f>IFERROR(__xludf.DUMMYFUNCTION("""COMPUTED_VALUE"""),2061.027529105254)</f>
        <v>2061.027529</v>
      </c>
      <c r="S42" s="14">
        <f>IFERROR(__xludf.DUMMYFUNCTION("""COMPUTED_VALUE"""),183.97247089474604)</f>
        <v>183.9724709</v>
      </c>
      <c r="T42" s="17" t="str">
        <f>IFERROR(__xludf.DUMMYFUNCTION("""COMPUTED_VALUE"""),"DÜŞÜK KÂR")</f>
        <v>DÜŞÜK KÂR</v>
      </c>
      <c r="U42" s="17" t="str">
        <f>IFERROR(__xludf.DUMMYFUNCTION("""COMPUTED_VALUE"""),"Reklam/komisyon etkisini kontrol et")</f>
        <v>Reklam/komisyon etkisini kontrol et</v>
      </c>
    </row>
    <row r="43">
      <c r="A43" s="2">
        <f>IFERROR(__xludf.DUMMYFUNCTION("""COMPUTED_VALUE"""),3.5585181202E10)</f>
        <v>35585181202</v>
      </c>
      <c r="B43" s="17" t="str">
        <f>IFERROR(__xludf.DUMMYFUNCTION("""COMPUTED_VALUE"""),"Kong")</f>
        <v>Kong</v>
      </c>
      <c r="C43" s="17" t="str">
        <f>IFERROR(__xludf.DUMMYFUNCTION("""COMPUTED_VALUE"""),"Köpek İpli Oyun Topu S 6,5Cm")</f>
        <v>Köpek İpli Oyun Topu S 6,5Cm</v>
      </c>
      <c r="D43" s="14">
        <f>IFERROR(__xludf.DUMMYFUNCTION("""COMPUTED_VALUE"""),992.0)</f>
        <v>992</v>
      </c>
      <c r="E43" s="14">
        <f>IFERROR(__xludf.DUMMYFUNCTION("""COMPUTED_VALUE"""),198.4)</f>
        <v>198.4</v>
      </c>
      <c r="F43" s="14">
        <f>IFERROR(__xludf.DUMMYFUNCTION("""COMPUTED_VALUE"""),86.4)</f>
        <v>86.4</v>
      </c>
      <c r="G43" s="14">
        <f>IFERROR(__xludf.DUMMYFUNCTION("""COMPUTED_VALUE"""),511.2)</f>
        <v>511.2</v>
      </c>
      <c r="H43" s="14">
        <f>IFERROR(__xludf.DUMMYFUNCTION("""COMPUTED_VALUE"""),13.19)</f>
        <v>13.19</v>
      </c>
      <c r="I43" s="14">
        <f>IFERROR(__xludf.DUMMYFUNCTION("""COMPUTED_VALUE"""),8.266666666666667)</f>
        <v>8.266666667</v>
      </c>
      <c r="J43" s="14">
        <f>IFERROR(__xludf.DUMMYFUNCTION("""COMPUTED_VALUE"""),30.468333333333284)</f>
        <v>30.46833333</v>
      </c>
      <c r="K43" s="14">
        <f>IFERROR(__xludf.DUMMYFUNCTION("""COMPUTED_VALUE"""),144.0750000000001)</f>
        <v>144.075</v>
      </c>
      <c r="L43" s="15">
        <f>IFERROR(__xludf.DUMMYFUNCTION("""COMPUTED_VALUE"""),0.14523689516129043)</f>
        <v>0.1452368952</v>
      </c>
      <c r="M43" s="17" t="str">
        <f>IFERROR(__xludf.DUMMYFUNCTION("""COMPUTED_VALUE"""),"KÂRLI")</f>
        <v>KÂRLI</v>
      </c>
      <c r="N43" s="17" t="str">
        <f>IFERROR(__xludf.DUMMYFUNCTION("""COMPUTED_VALUE"""),"")</f>
        <v/>
      </c>
      <c r="O43" s="17">
        <f>IFERROR(__xludf.DUMMYFUNCTION("""COMPUTED_VALUE"""),0.5)</f>
        <v>0.5</v>
      </c>
      <c r="P43" s="17" t="str">
        <f>IFERROR(__xludf.DUMMYFUNCTION("""COMPUTED_VALUE"""),"")</f>
        <v/>
      </c>
      <c r="Q43" s="17" t="str">
        <f>IFERROR(__xludf.DUMMYFUNCTION("""COMPUTED_VALUE"""),"")</f>
        <v/>
      </c>
      <c r="R43" s="14">
        <f>IFERROR(__xludf.DUMMYFUNCTION("""COMPUTED_VALUE"""),802.6646017308681)</f>
        <v>802.6646017</v>
      </c>
      <c r="S43" s="14">
        <f>IFERROR(__xludf.DUMMYFUNCTION("""COMPUTED_VALUE"""),189.33539826913193)</f>
        <v>189.3353983</v>
      </c>
      <c r="T43" s="17" t="str">
        <f>IFERROR(__xludf.DUMMYFUNCTION("""COMPUTED_VALUE"""),"SAĞLIKLI")</f>
        <v>SAĞLIKLI</v>
      </c>
      <c r="U43" s="17" t="str">
        <f>IFERROR(__xludf.DUMMYFUNCTION("""COMPUTED_VALUE"""),"Takip et")</f>
        <v>Takip et</v>
      </c>
    </row>
    <row r="44">
      <c r="A44" s="2" t="str">
        <f>IFERROR(__xludf.DUMMYFUNCTION("""COMPUTED_VALUE"""),"TYBDGW8SUMC70X2C14")</f>
        <v>TYBDGW8SUMC70X2C14</v>
      </c>
      <c r="B44" s="17" t="str">
        <f>IFERROR(__xludf.DUMMYFUNCTION("""COMPUTED_VALUE"""),"Gourmet Gold")</f>
        <v>Gourmet Gold</v>
      </c>
      <c r="C44" s="17" t="str">
        <f>IFERROR(__xludf.DUMMYFUNCTION("""COMPUTED_VALUE"""),"Kıyılmış Ton Balıklı Kedi Konservesi 24x85gr")</f>
        <v>Kıyılmış Ton Balıklı Kedi Konservesi 24x85gr</v>
      </c>
      <c r="D44" s="14">
        <f>IFERROR(__xludf.DUMMYFUNCTION("""COMPUTED_VALUE"""),1025.95)</f>
        <v>1025.95</v>
      </c>
      <c r="E44" s="14">
        <f>IFERROR(__xludf.DUMMYFUNCTION("""COMPUTED_VALUE"""),169.28175)</f>
        <v>169.28175</v>
      </c>
      <c r="F44" s="14">
        <f>IFERROR(__xludf.DUMMYFUNCTION("""COMPUTED_VALUE"""),90.0)</f>
        <v>90</v>
      </c>
      <c r="G44" s="14">
        <f>IFERROR(__xludf.DUMMYFUNCTION("""COMPUTED_VALUE"""),580.0)</f>
        <v>580</v>
      </c>
      <c r="H44" s="14">
        <f>IFERROR(__xludf.DUMMYFUNCTION("""COMPUTED_VALUE"""),13.19)</f>
        <v>13.19</v>
      </c>
      <c r="I44" s="14">
        <f>IFERROR(__xludf.DUMMYFUNCTION("""COMPUTED_VALUE"""),8.549583333333334)</f>
        <v>8.549583333</v>
      </c>
      <c r="J44" s="14">
        <f>IFERROR(__xludf.DUMMYFUNCTION("""COMPUTED_VALUE"""),28.913041666666736)</f>
        <v>28.91304167</v>
      </c>
      <c r="K44" s="14">
        <f>IFERROR(__xludf.DUMMYFUNCTION("""COMPUTED_VALUE"""),136.01562499999997)</f>
        <v>136.015625</v>
      </c>
      <c r="L44" s="15">
        <f>IFERROR(__xludf.DUMMYFUNCTION("""COMPUTED_VALUE"""),0.13257529606705976)</f>
        <v>0.1325752961</v>
      </c>
      <c r="M44" s="17" t="str">
        <f>IFERROR(__xludf.DUMMYFUNCTION("""COMPUTED_VALUE"""),"KÂRLI")</f>
        <v>KÂRLI</v>
      </c>
      <c r="N44" s="17" t="str">
        <f>IFERROR(__xludf.DUMMYFUNCTION("""COMPUTED_VALUE"""),"")</f>
        <v/>
      </c>
      <c r="O44" s="17">
        <f>IFERROR(__xludf.DUMMYFUNCTION("""COMPUTED_VALUE"""),3.0)</f>
        <v>3</v>
      </c>
      <c r="P44" s="17" t="str">
        <f>IFERROR(__xludf.DUMMYFUNCTION("""COMPUTED_VALUE"""),"")</f>
        <v/>
      </c>
      <c r="Q44" s="17" t="str">
        <f>IFERROR(__xludf.DUMMYFUNCTION("""COMPUTED_VALUE"""),"")</f>
        <v/>
      </c>
      <c r="R44" s="14">
        <f>IFERROR(__xludf.DUMMYFUNCTION("""COMPUTED_VALUE"""),855.6075135549645)</f>
        <v>855.6075136</v>
      </c>
      <c r="S44" s="14">
        <f>IFERROR(__xludf.DUMMYFUNCTION("""COMPUTED_VALUE"""),170.34248644503555)</f>
        <v>170.3424864</v>
      </c>
      <c r="T44" s="17" t="str">
        <f>IFERROR(__xludf.DUMMYFUNCTION("""COMPUTED_VALUE"""),"SAĞLIKLI")</f>
        <v>SAĞLIKLI</v>
      </c>
      <c r="U44" s="17" t="str">
        <f>IFERROR(__xludf.DUMMYFUNCTION("""COMPUTED_VALUE"""),"Takip et")</f>
        <v>Takip et</v>
      </c>
    </row>
    <row r="45">
      <c r="A45" s="2">
        <f>IFERROR(__xludf.DUMMYFUNCTION("""COMPUTED_VALUE"""),8.694867251321E12)</f>
        <v>8694867251321</v>
      </c>
      <c r="B45" s="17" t="str">
        <f>IFERROR(__xludf.DUMMYFUNCTION("""COMPUTED_VALUE"""),"FELIX")</f>
        <v>FELIX</v>
      </c>
      <c r="C45" s="17" t="str">
        <f>IFERROR(__xludf.DUMMYFUNCTION("""COMPUTED_VALUE"""),"20 Adet Karışık Kedi Yaş Maması")</f>
        <v>20 Adet Karışık Kedi Yaş Maması</v>
      </c>
      <c r="D45" s="14">
        <f>IFERROR(__xludf.DUMMYFUNCTION("""COMPUTED_VALUE"""),658.0)</f>
        <v>658</v>
      </c>
      <c r="E45" s="14">
        <f>IFERROR(__xludf.DUMMYFUNCTION("""COMPUTED_VALUE"""),88.83)</f>
        <v>88.83</v>
      </c>
      <c r="F45" s="14">
        <f>IFERROR(__xludf.DUMMYFUNCTION("""COMPUTED_VALUE"""),86.4)</f>
        <v>86.4</v>
      </c>
      <c r="G45" s="14">
        <f>IFERROR(__xludf.DUMMYFUNCTION("""COMPUTED_VALUE"""),300.0)</f>
        <v>300</v>
      </c>
      <c r="H45" s="14">
        <f>IFERROR(__xludf.DUMMYFUNCTION("""COMPUTED_VALUE"""),13.19)</f>
        <v>13.19</v>
      </c>
      <c r="I45" s="14">
        <f>IFERROR(__xludf.DUMMYFUNCTION("""COMPUTED_VALUE"""),5.483333333333333)</f>
        <v>5.483333333</v>
      </c>
      <c r="J45" s="14">
        <f>IFERROR(__xludf.DUMMYFUNCTION("""COMPUTED_VALUE"""),28.263333333333314)</f>
        <v>28.26333333</v>
      </c>
      <c r="K45" s="14">
        <f>IFERROR(__xludf.DUMMYFUNCTION("""COMPUTED_VALUE"""),135.83333333333334)</f>
        <v>135.8333333</v>
      </c>
      <c r="L45" s="15">
        <f>IFERROR(__xludf.DUMMYFUNCTION("""COMPUTED_VALUE"""),0.20643363728470113)</f>
        <v>0.2064336373</v>
      </c>
      <c r="M45" s="17" t="str">
        <f>IFERROR(__xludf.DUMMYFUNCTION("""COMPUTED_VALUE"""),"KÂRLI")</f>
        <v>KÂRLI</v>
      </c>
      <c r="N45" s="17" t="str">
        <f>IFERROR(__xludf.DUMMYFUNCTION("""COMPUTED_VALUE"""),"")</f>
        <v/>
      </c>
      <c r="O45" s="17">
        <f>IFERROR(__xludf.DUMMYFUNCTION("""COMPUTED_VALUE"""),1.0)</f>
        <v>1</v>
      </c>
      <c r="P45" s="17" t="str">
        <f>IFERROR(__xludf.DUMMYFUNCTION("""COMPUTED_VALUE"""),"")</f>
        <v/>
      </c>
      <c r="Q45" s="17" t="str">
        <f>IFERROR(__xludf.DUMMYFUNCTION("""COMPUTED_VALUE"""),"")</f>
        <v/>
      </c>
      <c r="R45" s="14">
        <f>IFERROR(__xludf.DUMMYFUNCTION("""COMPUTED_VALUE"""),491.069581624643)</f>
        <v>491.0695816</v>
      </c>
      <c r="S45" s="14">
        <f>IFERROR(__xludf.DUMMYFUNCTION("""COMPUTED_VALUE"""),166.93041837535702)</f>
        <v>166.9304184</v>
      </c>
      <c r="T45" s="17" t="str">
        <f>IFERROR(__xludf.DUMMYFUNCTION("""COMPUTED_VALUE"""),"SAĞLIKLI")</f>
        <v>SAĞLIKLI</v>
      </c>
      <c r="U45" s="17" t="str">
        <f>IFERROR(__xludf.DUMMYFUNCTION("""COMPUTED_VALUE"""),"Takip et")</f>
        <v>Takip et</v>
      </c>
    </row>
    <row r="46">
      <c r="A46" s="2">
        <f>IFERROR(__xludf.DUMMYFUNCTION("""COMPUTED_VALUE"""),1.172022022E9)</f>
        <v>1172022022</v>
      </c>
      <c r="B46" s="17" t="str">
        <f>IFERROR(__xludf.DUMMYFUNCTION("""COMPUTED_VALUE"""),"Royal Canin")</f>
        <v>Royal Canin</v>
      </c>
      <c r="C46" s="17" t="str">
        <f>IFERROR(__xludf.DUMMYFUNCTION("""COMPUTED_VALUE"""),"Ageing 11+ Yaşlı Ve Ileri Yaştaki Kedi Yaş Mama 85 gr X 12 Adet Gravy Soslu")</f>
        <v>Ageing 11+ Yaşlı Ve Ileri Yaştaki Kedi Yaş Mama 85 gr X 12 Adet Gravy Soslu</v>
      </c>
      <c r="D46" s="14">
        <f>IFERROR(__xludf.DUMMYFUNCTION("""COMPUTED_VALUE"""),869.0)</f>
        <v>869</v>
      </c>
      <c r="E46" s="14">
        <f>IFERROR(__xludf.DUMMYFUNCTION("""COMPUTED_VALUE"""),108.625)</f>
        <v>108.625</v>
      </c>
      <c r="F46" s="14">
        <f>IFERROR(__xludf.DUMMYFUNCTION("""COMPUTED_VALUE"""),86.4)</f>
        <v>86.4</v>
      </c>
      <c r="G46" s="14">
        <f>IFERROR(__xludf.DUMMYFUNCTION("""COMPUTED_VALUE"""),490.0)</f>
        <v>490</v>
      </c>
      <c r="H46" s="14">
        <f>IFERROR(__xludf.DUMMYFUNCTION("""COMPUTED_VALUE"""),13.19)</f>
        <v>13.19</v>
      </c>
      <c r="I46" s="14">
        <f>IFERROR(__xludf.DUMMYFUNCTION("""COMPUTED_VALUE"""),7.241666666666667)</f>
        <v>7.241666667</v>
      </c>
      <c r="J46" s="14">
        <f>IFERROR(__xludf.DUMMYFUNCTION("""COMPUTED_VALUE"""),28.46416666666665)</f>
        <v>28.46416667</v>
      </c>
      <c r="K46" s="14">
        <f>IFERROR(__xludf.DUMMYFUNCTION("""COMPUTED_VALUE"""),135.0791666666667)</f>
        <v>135.0791667</v>
      </c>
      <c r="L46" s="15">
        <f>IFERROR(__xludf.DUMMYFUNCTION("""COMPUTED_VALUE"""),0.15544207901802842)</f>
        <v>0.155442079</v>
      </c>
      <c r="M46" s="17" t="str">
        <f>IFERROR(__xludf.DUMMYFUNCTION("""COMPUTED_VALUE"""),"KÂRLI")</f>
        <v>KÂRLI</v>
      </c>
      <c r="N46" s="17" t="str">
        <f>IFERROR(__xludf.DUMMYFUNCTION("""COMPUTED_VALUE"""),"")</f>
        <v/>
      </c>
      <c r="O46" s="17">
        <f>IFERROR(__xludf.DUMMYFUNCTION("""COMPUTED_VALUE"""),1.0)</f>
        <v>1</v>
      </c>
      <c r="P46" s="17" t="str">
        <f>IFERROR(__xludf.DUMMYFUNCTION("""COMPUTED_VALUE"""),"")</f>
        <v/>
      </c>
      <c r="Q46" s="17" t="str">
        <f>IFERROR(__xludf.DUMMYFUNCTION("""COMPUTED_VALUE"""),"")</f>
        <v/>
      </c>
      <c r="R46" s="14">
        <f>IFERROR(__xludf.DUMMYFUNCTION("""COMPUTED_VALUE"""),707.0171172832316)</f>
        <v>707.0171173</v>
      </c>
      <c r="S46" s="14">
        <f>IFERROR(__xludf.DUMMYFUNCTION("""COMPUTED_VALUE"""),161.98288271676836)</f>
        <v>161.9828827</v>
      </c>
      <c r="T46" s="17" t="str">
        <f>IFERROR(__xludf.DUMMYFUNCTION("""COMPUTED_VALUE"""),"SAĞLIKLI")</f>
        <v>SAĞLIKLI</v>
      </c>
      <c r="U46" s="17" t="str">
        <f>IFERROR(__xludf.DUMMYFUNCTION("""COMPUTED_VALUE"""),"Takip et")</f>
        <v>Takip et</v>
      </c>
    </row>
    <row r="47">
      <c r="A47" s="2" t="str">
        <f>IFERROR(__xludf.DUMMYFUNCTION("""COMPUTED_VALUE"""),"TYB3VN9XX65LIUL871")</f>
        <v>TYB3VN9XX65LIUL871</v>
      </c>
      <c r="B47" s="17" t="str">
        <f>IFERROR(__xludf.DUMMYFUNCTION("""COMPUTED_VALUE"""),"Pro Plan")</f>
        <v>Pro Plan</v>
      </c>
      <c r="C47" s="17" t="str">
        <f>IFERROR(__xludf.DUMMYFUNCTION("""COMPUTED_VALUE"""),"Sterilised Somonlu Kısırlaştırılmış Kedi Konservesi 85 Gr X 24 Adet")</f>
        <v>Sterilised Somonlu Kısırlaştırılmış Kedi Konservesi 85 Gr X 24 Adet</v>
      </c>
      <c r="D47" s="14">
        <f>IFERROR(__xludf.DUMMYFUNCTION("""COMPUTED_VALUE"""),932.84)</f>
        <v>932.84</v>
      </c>
      <c r="E47" s="14">
        <f>IFERROR(__xludf.DUMMYFUNCTION("""COMPUTED_VALUE"""),83.02276)</f>
        <v>83.02276</v>
      </c>
      <c r="F47" s="14">
        <f>IFERROR(__xludf.DUMMYFUNCTION("""COMPUTED_VALUE"""),90.0)</f>
        <v>90</v>
      </c>
      <c r="G47" s="14">
        <f>IFERROR(__xludf.DUMMYFUNCTION("""COMPUTED_VALUE"""),576.0)</f>
        <v>576</v>
      </c>
      <c r="H47" s="14">
        <f>IFERROR(__xludf.DUMMYFUNCTION("""COMPUTED_VALUE"""),13.19)</f>
        <v>13.19</v>
      </c>
      <c r="I47" s="14">
        <f>IFERROR(__xludf.DUMMYFUNCTION("""COMPUTED_VALUE"""),7.773666666666667)</f>
        <v>7.773666667</v>
      </c>
      <c r="J47" s="14">
        <f>IFERROR(__xludf.DUMMYFUNCTION("""COMPUTED_VALUE"""),28.437873333333364)</f>
        <v>28.43787333</v>
      </c>
      <c r="K47" s="14">
        <f>IFERROR(__xludf.DUMMYFUNCTION("""COMPUTED_VALUE"""),134.41570000000007)</f>
        <v>134.4157</v>
      </c>
      <c r="L47" s="15">
        <f>IFERROR(__xludf.DUMMYFUNCTION("""COMPUTED_VALUE"""),0.1440929848634279)</f>
        <v>0.1440929849</v>
      </c>
      <c r="M47" s="17" t="str">
        <f>IFERROR(__xludf.DUMMYFUNCTION("""COMPUTED_VALUE"""),"KÂRLI")</f>
        <v>KÂRLI</v>
      </c>
      <c r="N47" s="17" t="str">
        <f>IFERROR(__xludf.DUMMYFUNCTION("""COMPUTED_VALUE"""),"")</f>
        <v/>
      </c>
      <c r="O47" s="17">
        <f>IFERROR(__xludf.DUMMYFUNCTION("""COMPUTED_VALUE"""),3.0)</f>
        <v>3</v>
      </c>
      <c r="P47" s="17" t="str">
        <f>IFERROR(__xludf.DUMMYFUNCTION("""COMPUTED_VALUE"""),"")</f>
        <v/>
      </c>
      <c r="Q47" s="17" t="str">
        <f>IFERROR(__xludf.DUMMYFUNCTION("""COMPUTED_VALUE"""),"")</f>
        <v/>
      </c>
      <c r="R47" s="14">
        <f>IFERROR(__xludf.DUMMYFUNCTION("""COMPUTED_VALUE"""),778.7253179985811)</f>
        <v>778.725318</v>
      </c>
      <c r="S47" s="14">
        <f>IFERROR(__xludf.DUMMYFUNCTION("""COMPUTED_VALUE"""),154.11468200141894)</f>
        <v>154.114682</v>
      </c>
      <c r="T47" s="17" t="str">
        <f>IFERROR(__xludf.DUMMYFUNCTION("""COMPUTED_VALUE"""),"SAĞLIKLI")</f>
        <v>SAĞLIKLI</v>
      </c>
      <c r="U47" s="17" t="str">
        <f>IFERROR(__xludf.DUMMYFUNCTION("""COMPUTED_VALUE"""),"Takip et")</f>
        <v>Takip et</v>
      </c>
    </row>
    <row r="48">
      <c r="A48" s="2">
        <f>IFERROR(__xludf.DUMMYFUNCTION("""COMPUTED_VALUE"""),3.5585363172E10)</f>
        <v>35585363172</v>
      </c>
      <c r="B48" s="17" t="str">
        <f>IFERROR(__xludf.DUMMYFUNCTION("""COMPUTED_VALUE"""),"Kong")</f>
        <v>Kong</v>
      </c>
      <c r="C48" s="17" t="str">
        <f>IFERROR(__xludf.DUMMYFUNCTION("""COMPUTED_VALUE"""),"KONGDURAMAX TOPŞEKLİNDE SESLİKÖPEKOYUNCAĞI M")</f>
        <v>KONGDURAMAX TOPŞEKLİNDE SESLİKÖPEKOYUNCAĞI M</v>
      </c>
      <c r="D48" s="14">
        <f>IFERROR(__xludf.DUMMYFUNCTION("""COMPUTED_VALUE"""),656.0)</f>
        <v>656</v>
      </c>
      <c r="E48" s="14">
        <f>IFERROR(__xludf.DUMMYFUNCTION("""COMPUTED_VALUE"""),131.2)</f>
        <v>131.2</v>
      </c>
      <c r="F48" s="14">
        <f>IFERROR(__xludf.DUMMYFUNCTION("""COMPUTED_VALUE"""),86.4)</f>
        <v>86.4</v>
      </c>
      <c r="G48" s="14">
        <f>IFERROR(__xludf.DUMMYFUNCTION("""COMPUTED_VALUE"""),257.76)</f>
        <v>257.76</v>
      </c>
      <c r="H48" s="14">
        <f>IFERROR(__xludf.DUMMYFUNCTION("""COMPUTED_VALUE"""),13.19)</f>
        <v>13.19</v>
      </c>
      <c r="I48" s="14">
        <f>IFERROR(__xludf.DUMMYFUNCTION("""COMPUTED_VALUE"""),5.466666666666668)</f>
        <v>5.466666667</v>
      </c>
      <c r="J48" s="14">
        <f>IFERROR(__xludf.DUMMYFUNCTION("""COMPUTED_VALUE"""),27.908333333333296)</f>
        <v>27.90833333</v>
      </c>
      <c r="K48" s="14">
        <f>IFERROR(__xludf.DUMMYFUNCTION("""COMPUTED_VALUE"""),134.07500000000002)</f>
        <v>134.075</v>
      </c>
      <c r="L48" s="15">
        <f>IFERROR(__xludf.DUMMYFUNCTION("""COMPUTED_VALUE"""),0.20438262195121953)</f>
        <v>0.204382622</v>
      </c>
      <c r="M48" s="17" t="str">
        <f>IFERROR(__xludf.DUMMYFUNCTION("""COMPUTED_VALUE"""),"KÂRLI")</f>
        <v>KÂRLI</v>
      </c>
      <c r="N48" s="17" t="str">
        <f>IFERROR(__xludf.DUMMYFUNCTION("""COMPUTED_VALUE"""),"")</f>
        <v/>
      </c>
      <c r="O48" s="17">
        <f>IFERROR(__xludf.DUMMYFUNCTION("""COMPUTED_VALUE"""),1.0)</f>
        <v>1</v>
      </c>
      <c r="P48" s="17" t="str">
        <f>IFERROR(__xludf.DUMMYFUNCTION("""COMPUTED_VALUE"""),"")</f>
        <v/>
      </c>
      <c r="Q48" s="17" t="str">
        <f>IFERROR(__xludf.DUMMYFUNCTION("""COMPUTED_VALUE"""),"")</f>
        <v/>
      </c>
      <c r="R48" s="14">
        <f>IFERROR(__xludf.DUMMYFUNCTION("""COMPUTED_VALUE"""),477.0239521610875)</f>
        <v>477.0239522</v>
      </c>
      <c r="S48" s="14">
        <f>IFERROR(__xludf.DUMMYFUNCTION("""COMPUTED_VALUE"""),178.9760478389125)</f>
        <v>178.9760478</v>
      </c>
      <c r="T48" s="17" t="str">
        <f>IFERROR(__xludf.DUMMYFUNCTION("""COMPUTED_VALUE"""),"SAĞLIKLI")</f>
        <v>SAĞLIKLI</v>
      </c>
      <c r="U48" s="17" t="str">
        <f>IFERROR(__xludf.DUMMYFUNCTION("""COMPUTED_VALUE"""),"Takip et")</f>
        <v>Takip et</v>
      </c>
    </row>
    <row r="49">
      <c r="A49" s="2">
        <f>IFERROR(__xludf.DUMMYFUNCTION("""COMPUTED_VALUE"""),8.010276040046E12)</f>
        <v>8010276040046</v>
      </c>
      <c r="B49" s="17" t="str">
        <f>IFERROR(__xludf.DUMMYFUNCTION("""COMPUTED_VALUE"""),"N&amp;D")</f>
        <v>N&amp;D</v>
      </c>
      <c r="C49" s="17" t="str">
        <f>IFERROR(__xludf.DUMMYFUNCTION("""COMPUTED_VALUE"""),"Düşük Tahıllı Somonlu Kısırlaştırılmış Kedi Maması 10 kg")</f>
        <v>Düşük Tahıllı Somonlu Kısırlaştırılmış Kedi Maması 10 kg</v>
      </c>
      <c r="D49" s="14">
        <f>IFERROR(__xludf.DUMMYFUNCTION("""COMPUTED_VALUE"""),4841.0)</f>
        <v>4841</v>
      </c>
      <c r="E49" s="14">
        <f>IFERROR(__xludf.DUMMYFUNCTION("""COMPUTED_VALUE"""),798.765)</f>
        <v>798.765</v>
      </c>
      <c r="F49" s="14">
        <f>IFERROR(__xludf.DUMMYFUNCTION("""COMPUTED_VALUE"""),159.74)</f>
        <v>159.74</v>
      </c>
      <c r="G49" s="14">
        <f>IFERROR(__xludf.DUMMYFUNCTION("""COMPUTED_VALUE"""),3663.0)</f>
        <v>3663</v>
      </c>
      <c r="H49" s="14">
        <f>IFERROR(__xludf.DUMMYFUNCTION("""COMPUTED_VALUE"""),13.19)</f>
        <v>13.19</v>
      </c>
      <c r="I49" s="14">
        <f>IFERROR(__xludf.DUMMYFUNCTION("""COMPUTED_VALUE"""),40.34166666666667)</f>
        <v>40.34166667</v>
      </c>
      <c r="J49" s="14">
        <f>IFERROR(__xludf.DUMMYFUNCTION("""COMPUTED_VALUE"""),34.384166666666424)</f>
        <v>34.38416667</v>
      </c>
      <c r="K49" s="14">
        <f>IFERROR(__xludf.DUMMYFUNCTION("""COMPUTED_VALUE"""),131.5791666666668)</f>
        <v>131.5791667</v>
      </c>
      <c r="L49" s="15">
        <f>IFERROR(__xludf.DUMMYFUNCTION("""COMPUTED_VALUE"""),0.02718016250086073)</f>
        <v>0.0271801625</v>
      </c>
      <c r="M49" s="17" t="str">
        <f>IFERROR(__xludf.DUMMYFUNCTION("""COMPUTED_VALUE"""),"KÂRLI")</f>
        <v>KÂRLI</v>
      </c>
      <c r="N49" s="17" t="str">
        <f>IFERROR(__xludf.DUMMYFUNCTION("""COMPUTED_VALUE"""),"")</f>
        <v/>
      </c>
      <c r="O49" s="17">
        <f>IFERROR(__xludf.DUMMYFUNCTION("""COMPUTED_VALUE"""),10.0)</f>
        <v>10</v>
      </c>
      <c r="P49" s="17" t="str">
        <f>IFERROR(__xludf.DUMMYFUNCTION("""COMPUTED_VALUE"""),"")</f>
        <v/>
      </c>
      <c r="Q49" s="17" t="str">
        <f>IFERROR(__xludf.DUMMYFUNCTION("""COMPUTED_VALUE"""),"")</f>
        <v/>
      </c>
      <c r="R49" s="14">
        <f>IFERROR(__xludf.DUMMYFUNCTION("""COMPUTED_VALUE"""),4680.4503272048705)</f>
        <v>4680.450327</v>
      </c>
      <c r="S49" s="14">
        <f>IFERROR(__xludf.DUMMYFUNCTION("""COMPUTED_VALUE"""),160.54967279512948)</f>
        <v>160.5496728</v>
      </c>
      <c r="T49" s="17" t="str">
        <f>IFERROR(__xludf.DUMMYFUNCTION("""COMPUTED_VALUE"""),"RİSKLİ")</f>
        <v>RİSKLİ</v>
      </c>
      <c r="U49" s="17" t="str">
        <f>IFERROR(__xludf.DUMMYFUNCTION("""COMPUTED_VALUE"""),"Minimum fiyat altına düşme")</f>
        <v>Minimum fiyat altına düşme</v>
      </c>
    </row>
    <row r="50">
      <c r="A50" s="2">
        <f>IFERROR(__xludf.DUMMYFUNCTION("""COMPUTED_VALUE"""),6.923632570004E12)</f>
        <v>6923632570004</v>
      </c>
      <c r="B50" s="17" t="str">
        <f>IFERROR(__xludf.DUMMYFUNCTION("""COMPUTED_VALUE"""),"PetFix")</f>
        <v>PetFix</v>
      </c>
      <c r="C50" s="17" t="str">
        <f>IFERROR(__xludf.DUMMYFUNCTION("""COMPUTED_VALUE"""),"Anti-Servikal 4 Ayaklı Kedi ve Köpek Mama &amp; Su Kabı")</f>
        <v>Anti-Servikal 4 Ayaklı Kedi ve Köpek Mama &amp; Su Kabı</v>
      </c>
      <c r="D50" s="14">
        <f>IFERROR(__xludf.DUMMYFUNCTION("""COMPUTED_VALUE"""),489.0)</f>
        <v>489</v>
      </c>
      <c r="E50" s="14">
        <f>IFERROR(__xludf.DUMMYFUNCTION("""COMPUTED_VALUE"""),97.8)</f>
        <v>97.8</v>
      </c>
      <c r="F50" s="14">
        <f>IFERROR(__xludf.DUMMYFUNCTION("""COMPUTED_VALUE"""),86.4)</f>
        <v>86.4</v>
      </c>
      <c r="G50" s="14">
        <f>IFERROR(__xludf.DUMMYFUNCTION("""COMPUTED_VALUE"""),130.0)</f>
        <v>130</v>
      </c>
      <c r="H50" s="14">
        <f>IFERROR(__xludf.DUMMYFUNCTION("""COMPUTED_VALUE"""),13.19)</f>
        <v>13.19</v>
      </c>
      <c r="I50" s="14">
        <f>IFERROR(__xludf.DUMMYFUNCTION("""COMPUTED_VALUE"""),4.075)</f>
        <v>4.075</v>
      </c>
      <c r="J50" s="14">
        <f>IFERROR(__xludf.DUMMYFUNCTION("""COMPUTED_VALUE"""),26.935000000000024)</f>
        <v>26.935</v>
      </c>
      <c r="K50" s="14">
        <f>IFERROR(__xludf.DUMMYFUNCTION("""COMPUTED_VALUE"""),130.59999999999994)</f>
        <v>130.6</v>
      </c>
      <c r="L50" s="15">
        <f>IFERROR(__xludf.DUMMYFUNCTION("""COMPUTED_VALUE"""),0.26707566462167676)</f>
        <v>0.2670756646</v>
      </c>
      <c r="M50" s="17" t="str">
        <f>IFERROR(__xludf.DUMMYFUNCTION("""COMPUTED_VALUE"""),"KÂRLI")</f>
        <v>KÂRLI</v>
      </c>
      <c r="N50" s="17" t="str">
        <f>IFERROR(__xludf.DUMMYFUNCTION("""COMPUTED_VALUE"""),"")</f>
        <v/>
      </c>
      <c r="O50" s="17">
        <f>IFERROR(__xludf.DUMMYFUNCTION("""COMPUTED_VALUE"""),1.0)</f>
        <v>1</v>
      </c>
      <c r="P50" s="17" t="str">
        <f>IFERROR(__xludf.DUMMYFUNCTION("""COMPUTED_VALUE"""),"")</f>
        <v/>
      </c>
      <c r="Q50" s="17" t="str">
        <f>IFERROR(__xludf.DUMMYFUNCTION("""COMPUTED_VALUE"""),"")</f>
        <v/>
      </c>
      <c r="R50" s="14">
        <f>IFERROR(__xludf.DUMMYFUNCTION("""COMPUTED_VALUE"""),311.6951031225137)</f>
        <v>311.6951031</v>
      </c>
      <c r="S50" s="14">
        <f>IFERROR(__xludf.DUMMYFUNCTION("""COMPUTED_VALUE"""),177.30489687748633)</f>
        <v>177.3048969</v>
      </c>
      <c r="T50" s="17" t="str">
        <f>IFERROR(__xludf.DUMMYFUNCTION("""COMPUTED_VALUE"""),"ÇOK KÂRLI")</f>
        <v>ÇOK KÂRLI</v>
      </c>
      <c r="U50" s="17" t="str">
        <f>IFERROR(__xludf.DUMMYFUNCTION("""COMPUTED_VALUE"""),"Stok ve BuyBox takibini artır")</f>
        <v>Stok ve BuyBox takibini artır</v>
      </c>
    </row>
    <row r="51">
      <c r="A51" s="2">
        <f>IFERROR(__xludf.DUMMYFUNCTION("""COMPUTED_VALUE"""),6.923632570003E12)</f>
        <v>6923632570003</v>
      </c>
      <c r="B51" s="17" t="str">
        <f>IFERROR(__xludf.DUMMYFUNCTION("""COMPUTED_VALUE"""),"PetFix")</f>
        <v>PetFix</v>
      </c>
      <c r="C51" s="17" t="str">
        <f>IFERROR(__xludf.DUMMYFUNCTION("""COMPUTED_VALUE"""),"Anti-Servikal 4 Ayaklı Kedi ve Köpek Mama &amp; Su Kabı")</f>
        <v>Anti-Servikal 4 Ayaklı Kedi ve Köpek Mama &amp; Su Kabı</v>
      </c>
      <c r="D51" s="14">
        <f>IFERROR(__xludf.DUMMYFUNCTION("""COMPUTED_VALUE"""),489.0)</f>
        <v>489</v>
      </c>
      <c r="E51" s="14">
        <f>IFERROR(__xludf.DUMMYFUNCTION("""COMPUTED_VALUE"""),97.8)</f>
        <v>97.8</v>
      </c>
      <c r="F51" s="14">
        <f>IFERROR(__xludf.DUMMYFUNCTION("""COMPUTED_VALUE"""),86.4)</f>
        <v>86.4</v>
      </c>
      <c r="G51" s="14">
        <f>IFERROR(__xludf.DUMMYFUNCTION("""COMPUTED_VALUE"""),130.0)</f>
        <v>130</v>
      </c>
      <c r="H51" s="14">
        <f>IFERROR(__xludf.DUMMYFUNCTION("""COMPUTED_VALUE"""),13.19)</f>
        <v>13.19</v>
      </c>
      <c r="I51" s="14">
        <f>IFERROR(__xludf.DUMMYFUNCTION("""COMPUTED_VALUE"""),4.075)</f>
        <v>4.075</v>
      </c>
      <c r="J51" s="14">
        <f>IFERROR(__xludf.DUMMYFUNCTION("""COMPUTED_VALUE"""),26.935000000000024)</f>
        <v>26.935</v>
      </c>
      <c r="K51" s="14">
        <f>IFERROR(__xludf.DUMMYFUNCTION("""COMPUTED_VALUE"""),130.59999999999994)</f>
        <v>130.6</v>
      </c>
      <c r="L51" s="15">
        <f>IFERROR(__xludf.DUMMYFUNCTION("""COMPUTED_VALUE"""),0.26707566462167676)</f>
        <v>0.2670756646</v>
      </c>
      <c r="M51" s="17" t="str">
        <f>IFERROR(__xludf.DUMMYFUNCTION("""COMPUTED_VALUE"""),"KÂRLI")</f>
        <v>KÂRLI</v>
      </c>
      <c r="N51" s="17" t="str">
        <f>IFERROR(__xludf.DUMMYFUNCTION("""COMPUTED_VALUE"""),"")</f>
        <v/>
      </c>
      <c r="O51" s="17">
        <f>IFERROR(__xludf.DUMMYFUNCTION("""COMPUTED_VALUE"""),1.0)</f>
        <v>1</v>
      </c>
      <c r="P51" s="17" t="str">
        <f>IFERROR(__xludf.DUMMYFUNCTION("""COMPUTED_VALUE"""),"")</f>
        <v/>
      </c>
      <c r="Q51" s="17" t="str">
        <f>IFERROR(__xludf.DUMMYFUNCTION("""COMPUTED_VALUE"""),"")</f>
        <v/>
      </c>
      <c r="R51" s="14">
        <f>IFERROR(__xludf.DUMMYFUNCTION("""COMPUTED_VALUE"""),311.6951031225137)</f>
        <v>311.6951031</v>
      </c>
      <c r="S51" s="14">
        <f>IFERROR(__xludf.DUMMYFUNCTION("""COMPUTED_VALUE"""),177.30489687748633)</f>
        <v>177.3048969</v>
      </c>
      <c r="T51" s="17" t="str">
        <f>IFERROR(__xludf.DUMMYFUNCTION("""COMPUTED_VALUE"""),"ÇOK KÂRLI")</f>
        <v>ÇOK KÂRLI</v>
      </c>
      <c r="U51" s="17" t="str">
        <f>IFERROR(__xludf.DUMMYFUNCTION("""COMPUTED_VALUE"""),"Stok ve BuyBox takibini artır")</f>
        <v>Stok ve BuyBox takibini artır</v>
      </c>
    </row>
    <row r="52">
      <c r="A52" s="2">
        <f>IFERROR(__xludf.DUMMYFUNCTION("""COMPUTED_VALUE"""),8.410650167909E12)</f>
        <v>8410650167909</v>
      </c>
      <c r="B52" s="17" t="str">
        <f>IFERROR(__xludf.DUMMYFUNCTION("""COMPUTED_VALUE"""),"Advance")</f>
        <v>Advance</v>
      </c>
      <c r="C52" s="17" t="str">
        <f>IFERROR(__xludf.DUMMYFUNCTION("""COMPUTED_VALUE"""),"Sensitive Somonlu Hassas Kısırlaştırılmış Kedi Maması 3 Kg")</f>
        <v>Sensitive Somonlu Hassas Kısırlaştırılmış Kedi Maması 3 Kg</v>
      </c>
      <c r="D52" s="14">
        <f>IFERROR(__xludf.DUMMYFUNCTION("""COMPUTED_VALUE"""),1799.0)</f>
        <v>1799</v>
      </c>
      <c r="E52" s="14">
        <f>IFERROR(__xludf.DUMMYFUNCTION("""COMPUTED_VALUE"""),296.835)</f>
        <v>296.835</v>
      </c>
      <c r="F52" s="14">
        <f>IFERROR(__xludf.DUMMYFUNCTION("""COMPUTED_VALUE"""),90.0)</f>
        <v>90</v>
      </c>
      <c r="G52" s="14">
        <f>IFERROR(__xludf.DUMMYFUNCTION("""COMPUTED_VALUE"""),1228.0)</f>
        <v>1228</v>
      </c>
      <c r="H52" s="14">
        <f>IFERROR(__xludf.DUMMYFUNCTION("""COMPUTED_VALUE"""),13.19)</f>
        <v>13.19</v>
      </c>
      <c r="I52" s="14">
        <f>IFERROR(__xludf.DUMMYFUNCTION("""COMPUTED_VALUE"""),14.991666666666667)</f>
        <v>14.99166667</v>
      </c>
      <c r="J52" s="14">
        <f>IFERROR(__xludf.DUMMYFUNCTION("""COMPUTED_VALUE"""),28.4958333333333)</f>
        <v>28.49583333</v>
      </c>
      <c r="K52" s="14">
        <f>IFERROR(__xludf.DUMMYFUNCTION("""COMPUTED_VALUE"""),127.48749999999998)</f>
        <v>127.4875</v>
      </c>
      <c r="L52" s="15">
        <f>IFERROR(__xludf.DUMMYFUNCTION("""COMPUTED_VALUE"""),0.0708657587548638)</f>
        <v>0.07086575875</v>
      </c>
      <c r="M52" s="17" t="str">
        <f>IFERROR(__xludf.DUMMYFUNCTION("""COMPUTED_VALUE"""),"KÂRLI")</f>
        <v>KÂRLI</v>
      </c>
      <c r="N52" s="17" t="str">
        <f>IFERROR(__xludf.DUMMYFUNCTION("""COMPUTED_VALUE"""),"")</f>
        <v/>
      </c>
      <c r="O52" s="17">
        <f>IFERROR(__xludf.DUMMYFUNCTION("""COMPUTED_VALUE"""),3.0)</f>
        <v>3</v>
      </c>
      <c r="P52" s="17" t="str">
        <f>IFERROR(__xludf.DUMMYFUNCTION("""COMPUTED_VALUE"""),"")</f>
        <v/>
      </c>
      <c r="Q52" s="17" t="str">
        <f>IFERROR(__xludf.DUMMYFUNCTION("""COMPUTED_VALUE"""),"")</f>
        <v/>
      </c>
      <c r="R52" s="14">
        <f>IFERROR(__xludf.DUMMYFUNCTION("""COMPUTED_VALUE"""),1641.76785169206)</f>
        <v>1641.767852</v>
      </c>
      <c r="S52" s="14">
        <f>IFERROR(__xludf.DUMMYFUNCTION("""COMPUTED_VALUE"""),157.23214830793995)</f>
        <v>157.2321483</v>
      </c>
      <c r="T52" s="17" t="str">
        <f>IFERROR(__xludf.DUMMYFUNCTION("""COMPUTED_VALUE"""),"DÜŞÜK KÂR")</f>
        <v>DÜŞÜK KÂR</v>
      </c>
      <c r="U52" s="17" t="str">
        <f>IFERROR(__xludf.DUMMYFUNCTION("""COMPUTED_VALUE"""),"Reklam/komisyon etkisini kontrol et")</f>
        <v>Reklam/komisyon etkisini kontrol et</v>
      </c>
    </row>
    <row r="53">
      <c r="A53" s="2">
        <f>IFERROR(__xludf.DUMMYFUNCTION("""COMPUTED_VALUE"""),6.60048067009E11)</f>
        <v>660048067009</v>
      </c>
      <c r="B53" s="17" t="str">
        <f>IFERROR(__xludf.DUMMYFUNCTION("""COMPUTED_VALUE"""),"Chuckit")</f>
        <v>Chuckit</v>
      </c>
      <c r="C53" s="17" t="str">
        <f>IFERROR(__xludf.DUMMYFUNCTION("""COMPUTED_VALUE"""),"Sport Ball 26l Fırlatmalı Köpek Oyuncağı 66 Cm")</f>
        <v>Sport Ball 26l Fırlatmalı Köpek Oyuncağı 66 Cm</v>
      </c>
      <c r="D53" s="14">
        <f>IFERROR(__xludf.DUMMYFUNCTION("""COMPUTED_VALUE"""),997.5)</f>
        <v>997.5</v>
      </c>
      <c r="E53" s="14">
        <f>IFERROR(__xludf.DUMMYFUNCTION("""COMPUTED_VALUE"""),199.5)</f>
        <v>199.5</v>
      </c>
      <c r="F53" s="14">
        <f>IFERROR(__xludf.DUMMYFUNCTION("""COMPUTED_VALUE"""),86.4)</f>
        <v>86.4</v>
      </c>
      <c r="G53" s="14">
        <f>IFERROR(__xludf.DUMMYFUNCTION("""COMPUTED_VALUE"""),542.88)</f>
        <v>542.88</v>
      </c>
      <c r="H53" s="14">
        <f>IFERROR(__xludf.DUMMYFUNCTION("""COMPUTED_VALUE"""),13.19)</f>
        <v>13.19</v>
      </c>
      <c r="I53" s="14">
        <f>IFERROR(__xludf.DUMMYFUNCTION("""COMPUTED_VALUE"""),8.3125)</f>
        <v>8.3125</v>
      </c>
      <c r="J53" s="14">
        <f>IFERROR(__xludf.DUMMYFUNCTION("""COMPUTED_VALUE"""),25.921666666666717)</f>
        <v>25.92166667</v>
      </c>
      <c r="K53" s="14">
        <f>IFERROR(__xludf.DUMMYFUNCTION("""COMPUTED_VALUE"""),121.29583333333332)</f>
        <v>121.2958333</v>
      </c>
      <c r="L53" s="15">
        <f>IFERROR(__xludf.DUMMYFUNCTION("""COMPUTED_VALUE"""),0.12159983291562237)</f>
        <v>0.1215998329</v>
      </c>
      <c r="M53" s="17" t="str">
        <f>IFERROR(__xludf.DUMMYFUNCTION("""COMPUTED_VALUE"""),"KÂRLI")</f>
        <v>KÂRLI</v>
      </c>
      <c r="N53" s="17" t="str">
        <f>IFERROR(__xludf.DUMMYFUNCTION("""COMPUTED_VALUE"""),"")</f>
        <v/>
      </c>
      <c r="O53" s="17">
        <f>IFERROR(__xludf.DUMMYFUNCTION("""COMPUTED_VALUE"""),1.0)</f>
        <v>1</v>
      </c>
      <c r="P53" s="17" t="str">
        <f>IFERROR(__xludf.DUMMYFUNCTION("""COMPUTED_VALUE"""),"")</f>
        <v/>
      </c>
      <c r="Q53" s="17" t="str">
        <f>IFERROR(__xludf.DUMMYFUNCTION("""COMPUTED_VALUE"""),"")</f>
        <v/>
      </c>
      <c r="R53" s="14">
        <f>IFERROR(__xludf.DUMMYFUNCTION("""COMPUTED_VALUE"""),839.0838108163165)</f>
        <v>839.0838108</v>
      </c>
      <c r="S53" s="14">
        <f>IFERROR(__xludf.DUMMYFUNCTION("""COMPUTED_VALUE"""),158.4161891836835)</f>
        <v>158.4161892</v>
      </c>
      <c r="T53" s="17" t="str">
        <f>IFERROR(__xludf.DUMMYFUNCTION("""COMPUTED_VALUE"""),"SAĞLIKLI")</f>
        <v>SAĞLIKLI</v>
      </c>
      <c r="U53" s="17" t="str">
        <f>IFERROR(__xludf.DUMMYFUNCTION("""COMPUTED_VALUE"""),"Takip et")</f>
        <v>Takip et</v>
      </c>
    </row>
    <row r="54">
      <c r="A54" s="2">
        <f>IFERROR(__xludf.DUMMYFUNCTION("""COMPUTED_VALUE"""),6.923632570001E12)</f>
        <v>6923632570001</v>
      </c>
      <c r="B54" s="17" t="str">
        <f>IFERROR(__xludf.DUMMYFUNCTION("""COMPUTED_VALUE"""),"PetFix")</f>
        <v>PetFix</v>
      </c>
      <c r="C54" s="17" t="str">
        <f>IFERROR(__xludf.DUMMYFUNCTION("""COMPUTED_VALUE"""),"Anti-Servikal 4 Ayaklı Kedi ve Köpek Mama &amp; Su Kabı")</f>
        <v>Anti-Servikal 4 Ayaklı Kedi ve Köpek Mama &amp; Su Kabı</v>
      </c>
      <c r="D54" s="14">
        <f>IFERROR(__xludf.DUMMYFUNCTION("""COMPUTED_VALUE"""),474.47)</f>
        <v>474.47</v>
      </c>
      <c r="E54" s="14">
        <f>IFERROR(__xludf.DUMMYFUNCTION("""COMPUTED_VALUE"""),94.89400000000002)</f>
        <v>94.894</v>
      </c>
      <c r="F54" s="14">
        <f>IFERROR(__xludf.DUMMYFUNCTION("""COMPUTED_VALUE"""),86.4)</f>
        <v>86.4</v>
      </c>
      <c r="G54" s="14">
        <f>IFERROR(__xludf.DUMMYFUNCTION("""COMPUTED_VALUE"""),130.0)</f>
        <v>130</v>
      </c>
      <c r="H54" s="14">
        <f>IFERROR(__xludf.DUMMYFUNCTION("""COMPUTED_VALUE"""),13.19)</f>
        <v>13.19</v>
      </c>
      <c r="I54" s="14">
        <f>IFERROR(__xludf.DUMMYFUNCTION("""COMPUTED_VALUE"""),3.953916666666667)</f>
        <v>3.953916667</v>
      </c>
      <c r="J54" s="14">
        <f>IFERROR(__xludf.DUMMYFUNCTION("""COMPUTED_VALUE"""),24.997666666666667)</f>
        <v>24.99766667</v>
      </c>
      <c r="K54" s="14">
        <f>IFERROR(__xludf.DUMMYFUNCTION("""COMPUTED_VALUE"""),121.03441666666671)</f>
        <v>121.0344167</v>
      </c>
      <c r="L54" s="15">
        <f>IFERROR(__xludf.DUMMYFUNCTION("""COMPUTED_VALUE"""),0.25509392936680236)</f>
        <v>0.2550939294</v>
      </c>
      <c r="M54" s="17" t="str">
        <f>IFERROR(__xludf.DUMMYFUNCTION("""COMPUTED_VALUE"""),"KÂRLI")</f>
        <v>KÂRLI</v>
      </c>
      <c r="N54" s="17" t="str">
        <f>IFERROR(__xludf.DUMMYFUNCTION("""COMPUTED_VALUE"""),"")</f>
        <v/>
      </c>
      <c r="O54" s="17">
        <f>IFERROR(__xludf.DUMMYFUNCTION("""COMPUTED_VALUE"""),1.0)</f>
        <v>1</v>
      </c>
      <c r="P54" s="17" t="str">
        <f>IFERROR(__xludf.DUMMYFUNCTION("""COMPUTED_VALUE"""),"")</f>
        <v/>
      </c>
      <c r="Q54" s="17" t="str">
        <f>IFERROR(__xludf.DUMMYFUNCTION("""COMPUTED_VALUE"""),"")</f>
        <v/>
      </c>
      <c r="R54" s="14">
        <f>IFERROR(__xludf.DUMMYFUNCTION("""COMPUTED_VALUE"""),310.6843476527211)</f>
        <v>310.6843477</v>
      </c>
      <c r="S54" s="14">
        <f>IFERROR(__xludf.DUMMYFUNCTION("""COMPUTED_VALUE"""),163.78565234727893)</f>
        <v>163.7856523</v>
      </c>
      <c r="T54" s="17" t="str">
        <f>IFERROR(__xludf.DUMMYFUNCTION("""COMPUTED_VALUE"""),"ÇOK KÂRLI")</f>
        <v>ÇOK KÂRLI</v>
      </c>
      <c r="U54" s="17" t="str">
        <f>IFERROR(__xludf.DUMMYFUNCTION("""COMPUTED_VALUE"""),"Stok ve BuyBox takibini artır")</f>
        <v>Stok ve BuyBox takibini artır</v>
      </c>
    </row>
    <row r="55">
      <c r="A55" s="2">
        <f>IFERROR(__xludf.DUMMYFUNCTION("""COMPUTED_VALUE"""),1.28022022E8)</f>
        <v>128022022</v>
      </c>
      <c r="B55" s="17" t="str">
        <f>IFERROR(__xludf.DUMMYFUNCTION("""COMPUTED_VALUE"""),"Royal Canin")</f>
        <v>Royal Canin</v>
      </c>
      <c r="C55" s="17" t="str">
        <f>IFERROR(__xludf.DUMMYFUNCTION("""COMPUTED_VALUE"""),"Poodle Adult 3 kg")</f>
        <v>Poodle Adult 3 kg</v>
      </c>
      <c r="D55" s="14">
        <f>IFERROR(__xludf.DUMMYFUNCTION("""COMPUTED_VALUE"""),1602.0)</f>
        <v>1602</v>
      </c>
      <c r="E55" s="14">
        <f>IFERROR(__xludf.DUMMYFUNCTION("""COMPUTED_VALUE"""),200.25)</f>
        <v>200.25</v>
      </c>
      <c r="F55" s="14">
        <f>IFERROR(__xludf.DUMMYFUNCTION("""COMPUTED_VALUE"""),90.0)</f>
        <v>90</v>
      </c>
      <c r="G55" s="14">
        <f>IFERROR(__xludf.DUMMYFUNCTION("""COMPUTED_VALUE"""),1137.36)</f>
        <v>1137.36</v>
      </c>
      <c r="H55" s="14">
        <f>IFERROR(__xludf.DUMMYFUNCTION("""COMPUTED_VALUE"""),13.19)</f>
        <v>13.19</v>
      </c>
      <c r="I55" s="14">
        <f>IFERROR(__xludf.DUMMYFUNCTION("""COMPUTED_VALUE"""),13.35)</f>
        <v>13.35</v>
      </c>
      <c r="J55" s="14">
        <f>IFERROR(__xludf.DUMMYFUNCTION("""COMPUTED_VALUE"""),26.866666666666724)</f>
        <v>26.86666667</v>
      </c>
      <c r="K55" s="14">
        <f>IFERROR(__xludf.DUMMYFUNCTION("""COMPUTED_VALUE"""),120.98333333333338)</f>
        <v>120.9833333</v>
      </c>
      <c r="L55" s="15">
        <f>IFERROR(__xludf.DUMMYFUNCTION("""COMPUTED_VALUE"""),0.0755201831044528)</f>
        <v>0.0755201831</v>
      </c>
      <c r="M55" s="17" t="str">
        <f>IFERROR(__xludf.DUMMYFUNCTION("""COMPUTED_VALUE"""),"KÂRLI")</f>
        <v>KÂRLI</v>
      </c>
      <c r="N55" s="17" t="str">
        <f>IFERROR(__xludf.DUMMYFUNCTION("""COMPUTED_VALUE"""),"")</f>
        <v/>
      </c>
      <c r="O55" s="17">
        <f>IFERROR(__xludf.DUMMYFUNCTION("""COMPUTED_VALUE"""),3.0)</f>
        <v>3</v>
      </c>
      <c r="P55" s="17" t="str">
        <f>IFERROR(__xludf.DUMMYFUNCTION("""COMPUTED_VALUE"""),"")</f>
        <v/>
      </c>
      <c r="Q55" s="17" t="str">
        <f>IFERROR(__xludf.DUMMYFUNCTION("""COMPUTED_VALUE"""),"")</f>
        <v/>
      </c>
      <c r="R55" s="14">
        <f>IFERROR(__xludf.DUMMYFUNCTION("""COMPUTED_VALUE"""),1459.6486710186625)</f>
        <v>1459.648671</v>
      </c>
      <c r="S55" s="14">
        <f>IFERROR(__xludf.DUMMYFUNCTION("""COMPUTED_VALUE"""),142.35132898133747)</f>
        <v>142.351329</v>
      </c>
      <c r="T55" s="17" t="str">
        <f>IFERROR(__xludf.DUMMYFUNCTION("""COMPUTED_VALUE"""),"DÜŞÜK KÂR")</f>
        <v>DÜŞÜK KÂR</v>
      </c>
      <c r="U55" s="17" t="str">
        <f>IFERROR(__xludf.DUMMYFUNCTION("""COMPUTED_VALUE"""),"Reklam/komisyon etkisini kontrol et")</f>
        <v>Reklam/komisyon etkisini kontrol et</v>
      </c>
    </row>
    <row r="56">
      <c r="A56" s="2">
        <f>IFERROR(__xludf.DUMMYFUNCTION("""COMPUTED_VALUE"""),6.923632570005E12)</f>
        <v>6923632570005</v>
      </c>
      <c r="B56" s="17" t="str">
        <f>IFERROR(__xludf.DUMMYFUNCTION("""COMPUTED_VALUE"""),"PetFix")</f>
        <v>PetFix</v>
      </c>
      <c r="C56" s="17" t="str">
        <f>IFERROR(__xludf.DUMMYFUNCTION("""COMPUTED_VALUE"""),"Anti-Servikal 4 Ayaklı Kedi ve Köpek Mama &amp; Su Kabı")</f>
        <v>Anti-Servikal 4 Ayaklı Kedi ve Köpek Mama &amp; Su Kabı</v>
      </c>
      <c r="D56" s="14">
        <f>IFERROR(__xludf.DUMMYFUNCTION("""COMPUTED_VALUE"""),472.0)</f>
        <v>472</v>
      </c>
      <c r="E56" s="14">
        <f>IFERROR(__xludf.DUMMYFUNCTION("""COMPUTED_VALUE"""),94.4)</f>
        <v>94.4</v>
      </c>
      <c r="F56" s="14">
        <f>IFERROR(__xludf.DUMMYFUNCTION("""COMPUTED_VALUE"""),86.4)</f>
        <v>86.4</v>
      </c>
      <c r="G56" s="14">
        <f>IFERROR(__xludf.DUMMYFUNCTION("""COMPUTED_VALUE"""),130.0)</f>
        <v>130</v>
      </c>
      <c r="H56" s="14">
        <f>IFERROR(__xludf.DUMMYFUNCTION("""COMPUTED_VALUE"""),13.19)</f>
        <v>13.19</v>
      </c>
      <c r="I56" s="14">
        <f>IFERROR(__xludf.DUMMYFUNCTION("""COMPUTED_VALUE"""),3.933333333333334)</f>
        <v>3.933333333</v>
      </c>
      <c r="J56" s="14">
        <f>IFERROR(__xludf.DUMMYFUNCTION("""COMPUTED_VALUE"""),24.668333333333315)</f>
        <v>24.66833333</v>
      </c>
      <c r="K56" s="14">
        <f>IFERROR(__xludf.DUMMYFUNCTION("""COMPUTED_VALUE"""),119.40833333333339)</f>
        <v>119.4083333</v>
      </c>
      <c r="L56" s="15">
        <f>IFERROR(__xludf.DUMMYFUNCTION("""COMPUTED_VALUE"""),0.252983757062147)</f>
        <v>0.2529837571</v>
      </c>
      <c r="M56" s="17" t="str">
        <f>IFERROR(__xludf.DUMMYFUNCTION("""COMPUTED_VALUE"""),"KÂRLI")</f>
        <v>KÂRLI</v>
      </c>
      <c r="N56" s="17" t="str">
        <f>IFERROR(__xludf.DUMMYFUNCTION("""COMPUTED_VALUE"""),"")</f>
        <v/>
      </c>
      <c r="O56" s="17">
        <f>IFERROR(__xludf.DUMMYFUNCTION("""COMPUTED_VALUE"""),1.0)</f>
        <v>1</v>
      </c>
      <c r="P56" s="17" t="str">
        <f>IFERROR(__xludf.DUMMYFUNCTION("""COMPUTED_VALUE"""),"")</f>
        <v/>
      </c>
      <c r="Q56" s="17" t="str">
        <f>IFERROR(__xludf.DUMMYFUNCTION("""COMPUTED_VALUE"""),"")</f>
        <v/>
      </c>
      <c r="R56" s="14">
        <f>IFERROR(__xludf.DUMMYFUNCTION("""COMPUTED_VALUE"""),310.50701621372434)</f>
        <v>310.5070162</v>
      </c>
      <c r="S56" s="14">
        <f>IFERROR(__xludf.DUMMYFUNCTION("""COMPUTED_VALUE"""),161.49298378627566)</f>
        <v>161.4929838</v>
      </c>
      <c r="T56" s="17" t="str">
        <f>IFERROR(__xludf.DUMMYFUNCTION("""COMPUTED_VALUE"""),"ÇOK KÂRLI")</f>
        <v>ÇOK KÂRLI</v>
      </c>
      <c r="U56" s="17" t="str">
        <f>IFERROR(__xludf.DUMMYFUNCTION("""COMPUTED_VALUE"""),"Stok ve BuyBox takibini artır")</f>
        <v>Stok ve BuyBox takibini artır</v>
      </c>
    </row>
    <row r="57">
      <c r="A57" s="2">
        <f>IFERROR(__xludf.DUMMYFUNCTION("""COMPUTED_VALUE"""),8.681002994201E12)</f>
        <v>8681002994201</v>
      </c>
      <c r="B57" s="17" t="str">
        <f>IFERROR(__xludf.DUMMYFUNCTION("""COMPUTED_VALUE"""),"Dreamies")</f>
        <v>Dreamies</v>
      </c>
      <c r="C57" s="17" t="str">
        <f>IFERROR(__xludf.DUMMYFUNCTION("""COMPUTED_VALUE"""),"Somonlu Mega Kedi Ödül Maması 180 G 4X")</f>
        <v>Somonlu Mega Kedi Ödül Maması 180 G 4X</v>
      </c>
      <c r="D57" s="14">
        <f>IFERROR(__xludf.DUMMYFUNCTION("""COMPUTED_VALUE"""),414.5)</f>
        <v>414.5</v>
      </c>
      <c r="E57" s="14">
        <f>IFERROR(__xludf.DUMMYFUNCTION("""COMPUTED_VALUE"""),82.9)</f>
        <v>82.9</v>
      </c>
      <c r="F57" s="14">
        <f>IFERROR(__xludf.DUMMYFUNCTION("""COMPUTED_VALUE"""),86.4)</f>
        <v>86.4</v>
      </c>
      <c r="G57" s="14">
        <f>IFERROR(__xludf.DUMMYFUNCTION("""COMPUTED_VALUE"""),85.0)</f>
        <v>85</v>
      </c>
      <c r="H57" s="14">
        <f>IFERROR(__xludf.DUMMYFUNCTION("""COMPUTED_VALUE"""),13.19)</f>
        <v>13.19</v>
      </c>
      <c r="I57" s="14">
        <f>IFERROR(__xludf.DUMMYFUNCTION("""COMPUTED_VALUE"""),3.454166666666667)</f>
        <v>3.454166667</v>
      </c>
      <c r="J57" s="14">
        <f>IFERROR(__xludf.DUMMYFUNCTION("""COMPUTED_VALUE"""),24.501666666666672)</f>
        <v>24.50166667</v>
      </c>
      <c r="K57" s="14">
        <f>IFERROR(__xludf.DUMMYFUNCTION("""COMPUTED_VALUE"""),119.05416666666667)</f>
        <v>119.0541667</v>
      </c>
      <c r="L57" s="15">
        <f>IFERROR(__xludf.DUMMYFUNCTION("""COMPUTED_VALUE"""),0.2872235625251307)</f>
        <v>0.2872235625</v>
      </c>
      <c r="M57" s="17" t="str">
        <f>IFERROR(__xludf.DUMMYFUNCTION("""COMPUTED_VALUE"""),"KÂRLI")</f>
        <v>KÂRLI</v>
      </c>
      <c r="N57" s="17" t="str">
        <f>IFERROR(__xludf.DUMMYFUNCTION("""COMPUTED_VALUE"""),"")</f>
        <v/>
      </c>
      <c r="O57" s="17">
        <f>IFERROR(__xludf.DUMMYFUNCTION("""COMPUTED_VALUE"""),0.5)</f>
        <v>0.5</v>
      </c>
      <c r="P57" s="17" t="str">
        <f>IFERROR(__xludf.DUMMYFUNCTION("""COMPUTED_VALUE"""),"")</f>
        <v/>
      </c>
      <c r="Q57" s="17" t="str">
        <f>IFERROR(__xludf.DUMMYFUNCTION("""COMPUTED_VALUE"""),"")</f>
        <v/>
      </c>
      <c r="R57" s="14">
        <f>IFERROR(__xludf.DUMMYFUNCTION("""COMPUTED_VALUE"""),251.98086636927644)</f>
        <v>251.9808664</v>
      </c>
      <c r="S57" s="14">
        <f>IFERROR(__xludf.DUMMYFUNCTION("""COMPUTED_VALUE"""),162.51913363072356)</f>
        <v>162.5191336</v>
      </c>
      <c r="T57" s="17" t="str">
        <f>IFERROR(__xludf.DUMMYFUNCTION("""COMPUTED_VALUE"""),"ÇOK KÂRLI")</f>
        <v>ÇOK KÂRLI</v>
      </c>
      <c r="U57" s="17" t="str">
        <f>IFERROR(__xludf.DUMMYFUNCTION("""COMPUTED_VALUE"""),"Stok ve BuyBox takibini artır")</f>
        <v>Stok ve BuyBox takibini artır</v>
      </c>
    </row>
    <row r="58">
      <c r="A58" s="2">
        <f>IFERROR(__xludf.DUMMYFUNCTION("""COMPUTED_VALUE"""),2.524015E8)</f>
        <v>252401500</v>
      </c>
      <c r="B58" s="17" t="str">
        <f>IFERROR(__xludf.DUMMYFUNCTION("""COMPUTED_VALUE"""),"Royal Canin")</f>
        <v>Royal Canin</v>
      </c>
      <c r="C58" s="17" t="str">
        <f>IFERROR(__xludf.DUMMYFUNCTION("""COMPUTED_VALUE"""),"Light Weight Care Diyet Kedi Maması 1,5 Kg")</f>
        <v>Light Weight Care Diyet Kedi Maması 1,5 Kg</v>
      </c>
      <c r="D58" s="14">
        <f>IFERROR(__xludf.DUMMYFUNCTION("""COMPUTED_VALUE"""),1345.0)</f>
        <v>1345</v>
      </c>
      <c r="E58" s="14">
        <f>IFERROR(__xludf.DUMMYFUNCTION("""COMPUTED_VALUE"""),168.125)</f>
        <v>168.125</v>
      </c>
      <c r="F58" s="14">
        <f>IFERROR(__xludf.DUMMYFUNCTION("""COMPUTED_VALUE"""),86.4)</f>
        <v>86.4</v>
      </c>
      <c r="G58" s="14">
        <f>IFERROR(__xludf.DUMMYFUNCTION("""COMPUTED_VALUE"""),924.0)</f>
        <v>924</v>
      </c>
      <c r="H58" s="14">
        <f>IFERROR(__xludf.DUMMYFUNCTION("""COMPUTED_VALUE"""),13.19)</f>
        <v>13.19</v>
      </c>
      <c r="I58" s="14">
        <f>IFERROR(__xludf.DUMMYFUNCTION("""COMPUTED_VALUE"""),11.208333333333336)</f>
        <v>11.20833333</v>
      </c>
      <c r="J58" s="14">
        <f>IFERROR(__xludf.DUMMYFUNCTION("""COMPUTED_VALUE"""),25.54749999999988)</f>
        <v>25.5475</v>
      </c>
      <c r="K58" s="14">
        <f>IFERROR(__xludf.DUMMYFUNCTION("""COMPUTED_VALUE"""),116.5291666666667)</f>
        <v>116.5291667</v>
      </c>
      <c r="L58" s="15">
        <f>IFERROR(__xludf.DUMMYFUNCTION("""COMPUTED_VALUE"""),0.0866387856257745)</f>
        <v>0.08663878563</v>
      </c>
      <c r="M58" s="17" t="str">
        <f>IFERROR(__xludf.DUMMYFUNCTION("""COMPUTED_VALUE"""),"KÂRLI")</f>
        <v>KÂRLI</v>
      </c>
      <c r="N58" s="17" t="str">
        <f>IFERROR(__xludf.DUMMYFUNCTION("""COMPUTED_VALUE"""),"")</f>
        <v/>
      </c>
      <c r="O58" s="17">
        <f>IFERROR(__xludf.DUMMYFUNCTION("""COMPUTED_VALUE"""),2.0)</f>
        <v>2</v>
      </c>
      <c r="P58" s="17" t="str">
        <f>IFERROR(__xludf.DUMMYFUNCTION("""COMPUTED_VALUE"""),"")</f>
        <v/>
      </c>
      <c r="Q58" s="17" t="str">
        <f>IFERROR(__xludf.DUMMYFUNCTION("""COMPUTED_VALUE"""),"")</f>
        <v/>
      </c>
      <c r="R58" s="14">
        <f>IFERROR(__xludf.DUMMYFUNCTION("""COMPUTED_VALUE"""),1207.5299222003123)</f>
        <v>1207.529922</v>
      </c>
      <c r="S58" s="14">
        <f>IFERROR(__xludf.DUMMYFUNCTION("""COMPUTED_VALUE"""),137.47007779968772)</f>
        <v>137.4700778</v>
      </c>
      <c r="T58" s="17" t="str">
        <f>IFERROR(__xludf.DUMMYFUNCTION("""COMPUTED_VALUE"""),"DÜŞÜK KÂR")</f>
        <v>DÜŞÜK KÂR</v>
      </c>
      <c r="U58" s="17" t="str">
        <f>IFERROR(__xludf.DUMMYFUNCTION("""COMPUTED_VALUE"""),"Reklam/komisyon etkisini kontrol et")</f>
        <v>Reklam/komisyon etkisini kontrol et</v>
      </c>
    </row>
    <row r="59">
      <c r="A59" s="2">
        <f>IFERROR(__xludf.DUMMYFUNCTION("""COMPUTED_VALUE"""),3.5585277066E10)</f>
        <v>35585277066</v>
      </c>
      <c r="B59" s="17" t="str">
        <f>IFERROR(__xludf.DUMMYFUNCTION("""COMPUTED_VALUE"""),"Kong")</f>
        <v>Kong</v>
      </c>
      <c r="C59" s="17" t="str">
        <f>IFERROR(__xludf.DUMMYFUNCTION("""COMPUTED_VALUE"""),"QUESTSTAR ÇİÇEKŞEKLİNDE KÖPEKOYUNCAĞI S")</f>
        <v>QUESTSTAR ÇİÇEKŞEKLİNDE KÖPEKOYUNCAĞI S</v>
      </c>
      <c r="D59" s="14">
        <f>IFERROR(__xludf.DUMMYFUNCTION("""COMPUTED_VALUE"""),600.0)</f>
        <v>600</v>
      </c>
      <c r="E59" s="14">
        <f>IFERROR(__xludf.DUMMYFUNCTION("""COMPUTED_VALUE"""),120.0)</f>
        <v>120</v>
      </c>
      <c r="F59" s="14">
        <f>IFERROR(__xludf.DUMMYFUNCTION("""COMPUTED_VALUE"""),86.4)</f>
        <v>86.4</v>
      </c>
      <c r="G59" s="14">
        <f>IFERROR(__xludf.DUMMYFUNCTION("""COMPUTED_VALUE"""),241.92)</f>
        <v>241.92</v>
      </c>
      <c r="H59" s="14">
        <f>IFERROR(__xludf.DUMMYFUNCTION("""COMPUTED_VALUE"""),13.19)</f>
        <v>13.19</v>
      </c>
      <c r="I59" s="14">
        <f>IFERROR(__xludf.DUMMYFUNCTION("""COMPUTED_VALUE"""),5.0)</f>
        <v>5</v>
      </c>
      <c r="J59" s="14">
        <f>IFERROR(__xludf.DUMMYFUNCTION("""COMPUTED_VALUE"""),23.081666666666685)</f>
        <v>23.08166667</v>
      </c>
      <c r="K59" s="14">
        <f>IFERROR(__xludf.DUMMYFUNCTION("""COMPUTED_VALUE"""),110.40833333333336)</f>
        <v>110.4083333</v>
      </c>
      <c r="L59" s="15">
        <f>IFERROR(__xludf.DUMMYFUNCTION("""COMPUTED_VALUE"""),0.18401388888888892)</f>
        <v>0.1840138889</v>
      </c>
      <c r="M59" s="17" t="str">
        <f>IFERROR(__xludf.DUMMYFUNCTION("""COMPUTED_VALUE"""),"KÂRLI")</f>
        <v>KÂRLI</v>
      </c>
      <c r="N59" s="17" t="str">
        <f>IFERROR(__xludf.DUMMYFUNCTION("""COMPUTED_VALUE"""),"")</f>
        <v/>
      </c>
      <c r="O59" s="17">
        <f>IFERROR(__xludf.DUMMYFUNCTION("""COMPUTED_VALUE"""),1.0)</f>
        <v>1</v>
      </c>
      <c r="P59" s="17" t="str">
        <f>IFERROR(__xludf.DUMMYFUNCTION("""COMPUTED_VALUE"""),"")</f>
        <v/>
      </c>
      <c r="Q59" s="17" t="str">
        <f>IFERROR(__xludf.DUMMYFUNCTION("""COMPUTED_VALUE"""),"")</f>
        <v/>
      </c>
      <c r="R59" s="14">
        <f>IFERROR(__xludf.DUMMYFUNCTION("""COMPUTED_VALUE"""),453.41357985170777)</f>
        <v>453.4135799</v>
      </c>
      <c r="S59" s="14">
        <f>IFERROR(__xludf.DUMMYFUNCTION("""COMPUTED_VALUE"""),146.58642014829223)</f>
        <v>146.5864201</v>
      </c>
      <c r="T59" s="17" t="str">
        <f>IFERROR(__xludf.DUMMYFUNCTION("""COMPUTED_VALUE"""),"SAĞLIKLI")</f>
        <v>SAĞLIKLI</v>
      </c>
      <c r="U59" s="17" t="str">
        <f>IFERROR(__xludf.DUMMYFUNCTION("""COMPUTED_VALUE"""),"Takip et")</f>
        <v>Takip et</v>
      </c>
    </row>
    <row r="60">
      <c r="A60" s="2" t="str">
        <f>IFERROR(__xludf.DUMMYFUNCTION("""COMPUTED_VALUE"""),"TYB1Q7CNXWNPS6MI83")</f>
        <v>TYB1Q7CNXWNPS6MI83</v>
      </c>
      <c r="B60" s="17" t="str">
        <f>IFERROR(__xludf.DUMMYFUNCTION("""COMPUTED_VALUE"""),"FELIX")</f>
        <v>FELIX</v>
      </c>
      <c r="C60" s="17" t="str">
        <f>IFERROR(__xludf.DUMMYFUNCTION("""COMPUTED_VALUE"""),"Karışık Yetişkin Yaş Kedi Maması 104 X 85 gr")</f>
        <v>Karışık Yetişkin Yaş Kedi Maması 104 X 85 gr</v>
      </c>
      <c r="D60" s="14">
        <f>IFERROR(__xludf.DUMMYFUNCTION("""COMPUTED_VALUE"""),2179.0)</f>
        <v>2179</v>
      </c>
      <c r="E60" s="14">
        <f>IFERROR(__xludf.DUMMYFUNCTION("""COMPUTED_VALUE"""),294.165)</f>
        <v>294.165</v>
      </c>
      <c r="F60" s="14">
        <f>IFERROR(__xludf.DUMMYFUNCTION("""COMPUTED_VALUE"""),159.74)</f>
        <v>159.74</v>
      </c>
      <c r="G60" s="14">
        <f>IFERROR(__xludf.DUMMYFUNCTION("""COMPUTED_VALUE"""),1560.0)</f>
        <v>1560</v>
      </c>
      <c r="H60" s="14">
        <f>IFERROR(__xludf.DUMMYFUNCTION("""COMPUTED_VALUE"""),13.19)</f>
        <v>13.19</v>
      </c>
      <c r="I60" s="14">
        <f>IFERROR(__xludf.DUMMYFUNCTION("""COMPUTED_VALUE"""),18.158333333333335)</f>
        <v>18.15833333</v>
      </c>
      <c r="J60" s="14">
        <f>IFERROR(__xludf.DUMMYFUNCTION("""COMPUTED_VALUE"""),25.317499999999846)</f>
        <v>25.3175</v>
      </c>
      <c r="K60" s="14">
        <f>IFERROR(__xludf.DUMMYFUNCTION("""COMPUTED_VALUE"""),108.42916666666684)</f>
        <v>108.4291667</v>
      </c>
      <c r="L60" s="15">
        <f>IFERROR(__xludf.DUMMYFUNCTION("""COMPUTED_VALUE"""),0.04976097598286684)</f>
        <v>0.04976097598</v>
      </c>
      <c r="M60" s="17" t="str">
        <f>IFERROR(__xludf.DUMMYFUNCTION("""COMPUTED_VALUE"""),"KÂRLI")</f>
        <v>KÂRLI</v>
      </c>
      <c r="N60" s="17" t="str">
        <f>IFERROR(__xludf.DUMMYFUNCTION("""COMPUTED_VALUE"""),"")</f>
        <v/>
      </c>
      <c r="O60" s="17">
        <f>IFERROR(__xludf.DUMMYFUNCTION("""COMPUTED_VALUE"""),7.0)</f>
        <v>7</v>
      </c>
      <c r="P60" s="17" t="str">
        <f>IFERROR(__xludf.DUMMYFUNCTION("""COMPUTED_VALUE"""),"")</f>
        <v/>
      </c>
      <c r="Q60" s="17" t="str">
        <f>IFERROR(__xludf.DUMMYFUNCTION("""COMPUTED_VALUE"""),"")</f>
        <v/>
      </c>
      <c r="R60" s="14">
        <f>IFERROR(__xludf.DUMMYFUNCTION("""COMPUTED_VALUE"""),2050.6879097100004)</f>
        <v>2050.68791</v>
      </c>
      <c r="S60" s="14">
        <f>IFERROR(__xludf.DUMMYFUNCTION("""COMPUTED_VALUE"""),128.31209028999956)</f>
        <v>128.3120903</v>
      </c>
      <c r="T60" s="17" t="str">
        <f>IFERROR(__xludf.DUMMYFUNCTION("""COMPUTED_VALUE"""),"DÜŞÜK KÂR")</f>
        <v>DÜŞÜK KÂR</v>
      </c>
      <c r="U60" s="17" t="str">
        <f>IFERROR(__xludf.DUMMYFUNCTION("""COMPUTED_VALUE"""),"Reklam/komisyon etkisini kontrol et")</f>
        <v>Reklam/komisyon etkisini kontrol et</v>
      </c>
    </row>
    <row r="61">
      <c r="A61" s="2">
        <f>IFERROR(__xludf.DUMMYFUNCTION("""COMPUTED_VALUE"""),8.68450194182E12)</f>
        <v>8684501941820</v>
      </c>
      <c r="B61" s="17" t="str">
        <f>IFERROR(__xludf.DUMMYFUNCTION("""COMPUTED_VALUE"""),"VetEnergy")</f>
        <v>VetEnergy</v>
      </c>
      <c r="C61" s="17" t="str">
        <f>IFERROR(__xludf.DUMMYFUNCTION("""COMPUTED_VALUE"""),"Yavru ve Anne Kediler İçin Multivitamin Macun - Bağışıklık, Kemik ve Tüy Desteği - 100g")</f>
        <v>Yavru ve Anne Kediler İçin Multivitamin Macun - Bağışıklık, Kemik ve Tüy Desteği - 100g</v>
      </c>
      <c r="D61" s="14">
        <f>IFERROR(__xludf.DUMMYFUNCTION("""COMPUTED_VALUE"""),349.99)</f>
        <v>349.99</v>
      </c>
      <c r="E61" s="14">
        <f>IFERROR(__xludf.DUMMYFUNCTION("""COMPUTED_VALUE"""),69.998)</f>
        <v>69.998</v>
      </c>
      <c r="F61" s="14">
        <f>IFERROR(__xludf.DUMMYFUNCTION("""COMPUTED_VALUE"""),86.4)</f>
        <v>86.4</v>
      </c>
      <c r="G61" s="14">
        <f>IFERROR(__xludf.DUMMYFUNCTION("""COMPUTED_VALUE"""),53.0)</f>
        <v>53</v>
      </c>
      <c r="H61" s="14">
        <f>IFERROR(__xludf.DUMMYFUNCTION("""COMPUTED_VALUE"""),13.19)</f>
        <v>13.19</v>
      </c>
      <c r="I61" s="14">
        <f>IFERROR(__xludf.DUMMYFUNCTION("""COMPUTED_VALUE"""),2.9165833333333335)</f>
        <v>2.916583333</v>
      </c>
      <c r="J61" s="14">
        <f>IFERROR(__xludf.DUMMYFUNCTION("""COMPUTED_VALUE"""),21.233666666666664)</f>
        <v>21.23366667</v>
      </c>
      <c r="K61" s="14">
        <f>IFERROR(__xludf.DUMMYFUNCTION("""COMPUTED_VALUE"""),103.25175000000002)</f>
        <v>103.25175</v>
      </c>
      <c r="L61" s="15">
        <f>IFERROR(__xludf.DUMMYFUNCTION("""COMPUTED_VALUE"""),0.29501342895511307)</f>
        <v>0.295013429</v>
      </c>
      <c r="M61" s="17" t="str">
        <f>IFERROR(__xludf.DUMMYFUNCTION("""COMPUTED_VALUE"""),"KÂRLI")</f>
        <v>KÂRLI</v>
      </c>
      <c r="N61" s="17" t="str">
        <f>IFERROR(__xludf.DUMMYFUNCTION("""COMPUTED_VALUE"""),"")</f>
        <v/>
      </c>
      <c r="O61" s="17">
        <f>IFERROR(__xludf.DUMMYFUNCTION("""COMPUTED_VALUE"""),0.5)</f>
        <v>0.5</v>
      </c>
      <c r="P61" s="17" t="str">
        <f>IFERROR(__xludf.DUMMYFUNCTION("""COMPUTED_VALUE"""),"")</f>
        <v/>
      </c>
      <c r="Q61" s="17" t="str">
        <f>IFERROR(__xludf.DUMMYFUNCTION("""COMPUTED_VALUE"""),"")</f>
        <v/>
      </c>
      <c r="R61" s="14">
        <f>IFERROR(__xludf.DUMMYFUNCTION("""COMPUTED_VALUE"""),208.74212182901445)</f>
        <v>208.7421218</v>
      </c>
      <c r="S61" s="14">
        <f>IFERROR(__xludf.DUMMYFUNCTION("""COMPUTED_VALUE"""),141.24787817098556)</f>
        <v>141.2478782</v>
      </c>
      <c r="T61" s="17" t="str">
        <f>IFERROR(__xludf.DUMMYFUNCTION("""COMPUTED_VALUE"""),"ÇOK KÂRLI")</f>
        <v>ÇOK KÂRLI</v>
      </c>
      <c r="U61" s="17" t="str">
        <f>IFERROR(__xludf.DUMMYFUNCTION("""COMPUTED_VALUE"""),"Stok ve BuyBox takibini artır")</f>
        <v>Stok ve BuyBox takibini artır</v>
      </c>
    </row>
    <row r="62">
      <c r="A62" s="2">
        <f>IFERROR(__xludf.DUMMYFUNCTION("""COMPUTED_VALUE"""),8.684501941813E12)</f>
        <v>8684501941813</v>
      </c>
      <c r="B62" s="17" t="str">
        <f>IFERROR(__xludf.DUMMYFUNCTION("""COMPUTED_VALUE"""),"VetEnergy")</f>
        <v>VetEnergy</v>
      </c>
      <c r="C62" s="17" t="str">
        <f>IFERROR(__xludf.DUMMYFUNCTION("""COMPUTED_VALUE"""),"Malt Paste 100 g – Tüy Dökümü Önleyici, Tüy Yumağı Karşıtı, Sindirim Destekli Kedi Maltı")</f>
        <v>Malt Paste 100 g – Tüy Dökümü Önleyici, Tüy Yumağı Karşıtı, Sindirim Destekli Kedi Maltı</v>
      </c>
      <c r="D62" s="14">
        <f>IFERROR(__xludf.DUMMYFUNCTION("""COMPUTED_VALUE"""),349.99)</f>
        <v>349.99</v>
      </c>
      <c r="E62" s="14">
        <f>IFERROR(__xludf.DUMMYFUNCTION("""COMPUTED_VALUE"""),69.998)</f>
        <v>69.998</v>
      </c>
      <c r="F62" s="14">
        <f>IFERROR(__xludf.DUMMYFUNCTION("""COMPUTED_VALUE"""),86.4)</f>
        <v>86.4</v>
      </c>
      <c r="G62" s="14">
        <f>IFERROR(__xludf.DUMMYFUNCTION("""COMPUTED_VALUE"""),53.0)</f>
        <v>53</v>
      </c>
      <c r="H62" s="14">
        <f>IFERROR(__xludf.DUMMYFUNCTION("""COMPUTED_VALUE"""),13.19)</f>
        <v>13.19</v>
      </c>
      <c r="I62" s="14">
        <f>IFERROR(__xludf.DUMMYFUNCTION("""COMPUTED_VALUE"""),2.9165833333333335)</f>
        <v>2.916583333</v>
      </c>
      <c r="J62" s="14">
        <f>IFERROR(__xludf.DUMMYFUNCTION("""COMPUTED_VALUE"""),21.233666666666664)</f>
        <v>21.23366667</v>
      </c>
      <c r="K62" s="14">
        <f>IFERROR(__xludf.DUMMYFUNCTION("""COMPUTED_VALUE"""),103.25175000000002)</f>
        <v>103.25175</v>
      </c>
      <c r="L62" s="15">
        <f>IFERROR(__xludf.DUMMYFUNCTION("""COMPUTED_VALUE"""),0.29501342895511307)</f>
        <v>0.295013429</v>
      </c>
      <c r="M62" s="17" t="str">
        <f>IFERROR(__xludf.DUMMYFUNCTION("""COMPUTED_VALUE"""),"KÂRLI")</f>
        <v>KÂRLI</v>
      </c>
      <c r="N62" s="17" t="str">
        <f>IFERROR(__xludf.DUMMYFUNCTION("""COMPUTED_VALUE"""),"")</f>
        <v/>
      </c>
      <c r="O62" s="17">
        <f>IFERROR(__xludf.DUMMYFUNCTION("""COMPUTED_VALUE"""),0.5)</f>
        <v>0.5</v>
      </c>
      <c r="P62" s="17" t="str">
        <f>IFERROR(__xludf.DUMMYFUNCTION("""COMPUTED_VALUE"""),"")</f>
        <v/>
      </c>
      <c r="Q62" s="17" t="str">
        <f>IFERROR(__xludf.DUMMYFUNCTION("""COMPUTED_VALUE"""),"")</f>
        <v/>
      </c>
      <c r="R62" s="14">
        <f>IFERROR(__xludf.DUMMYFUNCTION("""COMPUTED_VALUE"""),208.74212182901445)</f>
        <v>208.7421218</v>
      </c>
      <c r="S62" s="14">
        <f>IFERROR(__xludf.DUMMYFUNCTION("""COMPUTED_VALUE"""),141.24787817098556)</f>
        <v>141.2478782</v>
      </c>
      <c r="T62" s="17" t="str">
        <f>IFERROR(__xludf.DUMMYFUNCTION("""COMPUTED_VALUE"""),"ÇOK KÂRLI")</f>
        <v>ÇOK KÂRLI</v>
      </c>
      <c r="U62" s="17" t="str">
        <f>IFERROR(__xludf.DUMMYFUNCTION("""COMPUTED_VALUE"""),"Stok ve BuyBox takibini artır")</f>
        <v>Stok ve BuyBox takibini artır</v>
      </c>
    </row>
    <row r="63">
      <c r="A63" s="2">
        <f>IFERROR(__xludf.DUMMYFUNCTION("""COMPUTED_VALUE"""),8.684501941837E12)</f>
        <v>8684501941837</v>
      </c>
      <c r="B63" s="17" t="str">
        <f>IFERROR(__xludf.DUMMYFUNCTION("""COMPUTED_VALUE"""),"VetEnergy")</f>
        <v>VetEnergy</v>
      </c>
      <c r="C63" s="17" t="str">
        <f>IFERROR(__xludf.DUMMYFUNCTION("""COMPUTED_VALUE"""),"Sterilised Malt Macun 100gr (Kısırlaştırılmış Kediler için Tüy Yumağı Önleyici)")</f>
        <v>Sterilised Malt Macun 100gr (Kısırlaştırılmış Kediler için Tüy Yumağı Önleyici)</v>
      </c>
      <c r="D63" s="14">
        <f>IFERROR(__xludf.DUMMYFUNCTION("""COMPUTED_VALUE"""),349.99)</f>
        <v>349.99</v>
      </c>
      <c r="E63" s="14">
        <f>IFERROR(__xludf.DUMMYFUNCTION("""COMPUTED_VALUE"""),69.998)</f>
        <v>69.998</v>
      </c>
      <c r="F63" s="14">
        <f>IFERROR(__xludf.DUMMYFUNCTION("""COMPUTED_VALUE"""),86.4)</f>
        <v>86.4</v>
      </c>
      <c r="G63" s="14">
        <f>IFERROR(__xludf.DUMMYFUNCTION("""COMPUTED_VALUE"""),53.0)</f>
        <v>53</v>
      </c>
      <c r="H63" s="14">
        <f>IFERROR(__xludf.DUMMYFUNCTION("""COMPUTED_VALUE"""),13.19)</f>
        <v>13.19</v>
      </c>
      <c r="I63" s="14">
        <f>IFERROR(__xludf.DUMMYFUNCTION("""COMPUTED_VALUE"""),2.9165833333333335)</f>
        <v>2.916583333</v>
      </c>
      <c r="J63" s="14">
        <f>IFERROR(__xludf.DUMMYFUNCTION("""COMPUTED_VALUE"""),21.233666666666664)</f>
        <v>21.23366667</v>
      </c>
      <c r="K63" s="14">
        <f>IFERROR(__xludf.DUMMYFUNCTION("""COMPUTED_VALUE"""),103.25175000000002)</f>
        <v>103.25175</v>
      </c>
      <c r="L63" s="15">
        <f>IFERROR(__xludf.DUMMYFUNCTION("""COMPUTED_VALUE"""),0.29501342895511307)</f>
        <v>0.295013429</v>
      </c>
      <c r="M63" s="17" t="str">
        <f>IFERROR(__xludf.DUMMYFUNCTION("""COMPUTED_VALUE"""),"KÂRLI")</f>
        <v>KÂRLI</v>
      </c>
      <c r="N63" s="17" t="str">
        <f>IFERROR(__xludf.DUMMYFUNCTION("""COMPUTED_VALUE"""),"")</f>
        <v/>
      </c>
      <c r="O63" s="17">
        <f>IFERROR(__xludf.DUMMYFUNCTION("""COMPUTED_VALUE"""),0.5)</f>
        <v>0.5</v>
      </c>
      <c r="P63" s="17" t="str">
        <f>IFERROR(__xludf.DUMMYFUNCTION("""COMPUTED_VALUE"""),"")</f>
        <v/>
      </c>
      <c r="Q63" s="17" t="str">
        <f>IFERROR(__xludf.DUMMYFUNCTION("""COMPUTED_VALUE"""),"")</f>
        <v/>
      </c>
      <c r="R63" s="14">
        <f>IFERROR(__xludf.DUMMYFUNCTION("""COMPUTED_VALUE"""),208.74212182901445)</f>
        <v>208.7421218</v>
      </c>
      <c r="S63" s="14">
        <f>IFERROR(__xludf.DUMMYFUNCTION("""COMPUTED_VALUE"""),141.24787817098556)</f>
        <v>141.2478782</v>
      </c>
      <c r="T63" s="17" t="str">
        <f>IFERROR(__xludf.DUMMYFUNCTION("""COMPUTED_VALUE"""),"ÇOK KÂRLI")</f>
        <v>ÇOK KÂRLI</v>
      </c>
      <c r="U63" s="17" t="str">
        <f>IFERROR(__xludf.DUMMYFUNCTION("""COMPUTED_VALUE"""),"Stok ve BuyBox takibini artır")</f>
        <v>Stok ve BuyBox takibini artır</v>
      </c>
    </row>
    <row r="64">
      <c r="A64" s="2">
        <f>IFERROR(__xludf.DUMMYFUNCTION("""COMPUTED_VALUE"""),8.684501941806E12)</f>
        <v>8684501941806</v>
      </c>
      <c r="B64" s="17" t="str">
        <f>IFERROR(__xludf.DUMMYFUNCTION("""COMPUTED_VALUE"""),"VetEnergy")</f>
        <v>VetEnergy</v>
      </c>
      <c r="C64" s="17" t="str">
        <f>IFERROR(__xludf.DUMMYFUNCTION("""COMPUTED_VALUE"""),"MultiVitamin Paste 100 g – 18’i 1 Arada Vitamin &amp; Mineral Destekli Kedi Macunu")</f>
        <v>MultiVitamin Paste 100 g – 18’i 1 Arada Vitamin &amp; Mineral Destekli Kedi Macunu</v>
      </c>
      <c r="D64" s="14">
        <f>IFERROR(__xludf.DUMMYFUNCTION("""COMPUTED_VALUE"""),349.99)</f>
        <v>349.99</v>
      </c>
      <c r="E64" s="14">
        <f>IFERROR(__xludf.DUMMYFUNCTION("""COMPUTED_VALUE"""),69.998)</f>
        <v>69.998</v>
      </c>
      <c r="F64" s="14">
        <f>IFERROR(__xludf.DUMMYFUNCTION("""COMPUTED_VALUE"""),86.4)</f>
        <v>86.4</v>
      </c>
      <c r="G64" s="14">
        <f>IFERROR(__xludf.DUMMYFUNCTION("""COMPUTED_VALUE"""),53.0)</f>
        <v>53</v>
      </c>
      <c r="H64" s="14">
        <f>IFERROR(__xludf.DUMMYFUNCTION("""COMPUTED_VALUE"""),13.19)</f>
        <v>13.19</v>
      </c>
      <c r="I64" s="14">
        <f>IFERROR(__xludf.DUMMYFUNCTION("""COMPUTED_VALUE"""),2.9165833333333335)</f>
        <v>2.916583333</v>
      </c>
      <c r="J64" s="14">
        <f>IFERROR(__xludf.DUMMYFUNCTION("""COMPUTED_VALUE"""),21.233666666666664)</f>
        <v>21.23366667</v>
      </c>
      <c r="K64" s="14">
        <f>IFERROR(__xludf.DUMMYFUNCTION("""COMPUTED_VALUE"""),103.25175000000002)</f>
        <v>103.25175</v>
      </c>
      <c r="L64" s="15">
        <f>IFERROR(__xludf.DUMMYFUNCTION("""COMPUTED_VALUE"""),0.29501342895511307)</f>
        <v>0.295013429</v>
      </c>
      <c r="M64" s="17" t="str">
        <f>IFERROR(__xludf.DUMMYFUNCTION("""COMPUTED_VALUE"""),"KÂRLI")</f>
        <v>KÂRLI</v>
      </c>
      <c r="N64" s="17" t="str">
        <f>IFERROR(__xludf.DUMMYFUNCTION("""COMPUTED_VALUE"""),"")</f>
        <v/>
      </c>
      <c r="O64" s="17">
        <f>IFERROR(__xludf.DUMMYFUNCTION("""COMPUTED_VALUE"""),0.5)</f>
        <v>0.5</v>
      </c>
      <c r="P64" s="17" t="str">
        <f>IFERROR(__xludf.DUMMYFUNCTION("""COMPUTED_VALUE"""),"")</f>
        <v/>
      </c>
      <c r="Q64" s="17" t="str">
        <f>IFERROR(__xludf.DUMMYFUNCTION("""COMPUTED_VALUE"""),"")</f>
        <v/>
      </c>
      <c r="R64" s="14">
        <f>IFERROR(__xludf.DUMMYFUNCTION("""COMPUTED_VALUE"""),208.74212182901445)</f>
        <v>208.7421218</v>
      </c>
      <c r="S64" s="14">
        <f>IFERROR(__xludf.DUMMYFUNCTION("""COMPUTED_VALUE"""),141.24787817098556)</f>
        <v>141.2478782</v>
      </c>
      <c r="T64" s="17" t="str">
        <f>IFERROR(__xludf.DUMMYFUNCTION("""COMPUTED_VALUE"""),"ÇOK KÂRLI")</f>
        <v>ÇOK KÂRLI</v>
      </c>
      <c r="U64" s="17" t="str">
        <f>IFERROR(__xludf.DUMMYFUNCTION("""COMPUTED_VALUE"""),"Stok ve BuyBox takibini artır")</f>
        <v>Stok ve BuyBox takibini artır</v>
      </c>
    </row>
    <row r="65">
      <c r="A65" s="2" t="str">
        <f>IFERROR(__xludf.DUMMYFUNCTION("""COMPUTED_VALUE"""),"TYB6FA70RSFMWDH330")</f>
        <v>TYB6FA70RSFMWDH330</v>
      </c>
      <c r="B65" s="17" t="str">
        <f>IFERROR(__xludf.DUMMYFUNCTION("""COMPUTED_VALUE"""),"FELIX")</f>
        <v>FELIX</v>
      </c>
      <c r="C65" s="17" t="str">
        <f>IFERROR(__xludf.DUMMYFUNCTION("""COMPUTED_VALUE"""),"Karışık Yaş Kedi Maması 85 gr X 52 Adet")</f>
        <v>Karışık Yaş Kedi Maması 85 gr X 52 Adet</v>
      </c>
      <c r="D65" s="14">
        <f>IFERROR(__xludf.DUMMYFUNCTION("""COMPUTED_VALUE"""),1187.0)</f>
        <v>1187</v>
      </c>
      <c r="E65" s="14">
        <f>IFERROR(__xludf.DUMMYFUNCTION("""COMPUTED_VALUE"""),160.245)</f>
        <v>160.245</v>
      </c>
      <c r="F65" s="14">
        <f>IFERROR(__xludf.DUMMYFUNCTION("""COMPUTED_VALUE"""),102.0)</f>
        <v>102</v>
      </c>
      <c r="G65" s="14">
        <f>IFERROR(__xludf.DUMMYFUNCTION("""COMPUTED_VALUE"""),780.0)</f>
        <v>780</v>
      </c>
      <c r="H65" s="14">
        <f>IFERROR(__xludf.DUMMYFUNCTION("""COMPUTED_VALUE"""),13.19)</f>
        <v>13.19</v>
      </c>
      <c r="I65" s="14">
        <f>IFERROR(__xludf.DUMMYFUNCTION("""COMPUTED_VALUE"""),9.891666666666667)</f>
        <v>9.891666667</v>
      </c>
      <c r="J65" s="14">
        <f>IFERROR(__xludf.DUMMYFUNCTION("""COMPUTED_VALUE"""),21.927499999999945)</f>
        <v>21.9275</v>
      </c>
      <c r="K65" s="14">
        <f>IFERROR(__xludf.DUMMYFUNCTION("""COMPUTED_VALUE"""),99.74583333333351)</f>
        <v>99.74583333</v>
      </c>
      <c r="L65" s="15">
        <f>IFERROR(__xludf.DUMMYFUNCTION("""COMPUTED_VALUE"""),0.08403187306936269)</f>
        <v>0.08403187307</v>
      </c>
      <c r="M65" s="17" t="str">
        <f>IFERROR(__xludf.DUMMYFUNCTION("""COMPUTED_VALUE"""),"KÂRLI")</f>
        <v>KÂRLI</v>
      </c>
      <c r="N65" s="17" t="str">
        <f>IFERROR(__xludf.DUMMYFUNCTION("""COMPUTED_VALUE"""),"")</f>
        <v/>
      </c>
      <c r="O65" s="17">
        <f>IFERROR(__xludf.DUMMYFUNCTION("""COMPUTED_VALUE"""),4.0)</f>
        <v>4</v>
      </c>
      <c r="P65" s="17" t="str">
        <f>IFERROR(__xludf.DUMMYFUNCTION("""COMPUTED_VALUE"""),"")</f>
        <v/>
      </c>
      <c r="Q65" s="17" t="str">
        <f>IFERROR(__xludf.DUMMYFUNCTION("""COMPUTED_VALUE"""),"")</f>
        <v/>
      </c>
      <c r="R65" s="14">
        <f>IFERROR(__xludf.DUMMYFUNCTION("""COMPUTED_VALUE"""),1067.998630493131)</f>
        <v>1067.99863</v>
      </c>
      <c r="S65" s="14">
        <f>IFERROR(__xludf.DUMMYFUNCTION("""COMPUTED_VALUE"""),119.00136950686897)</f>
        <v>119.0013695</v>
      </c>
      <c r="T65" s="17" t="str">
        <f>IFERROR(__xludf.DUMMYFUNCTION("""COMPUTED_VALUE"""),"DÜŞÜK KÂR")</f>
        <v>DÜŞÜK KÂR</v>
      </c>
      <c r="U65" s="17" t="str">
        <f>IFERROR(__xludf.DUMMYFUNCTION("""COMPUTED_VALUE"""),"Reklam/komisyon etkisini kontrol et")</f>
        <v>Reklam/komisyon etkisini kontrol et</v>
      </c>
    </row>
    <row r="66">
      <c r="A66" s="2" t="str">
        <f>IFERROR(__xludf.DUMMYFUNCTION("""COMPUTED_VALUE"""),"SHZI001")</f>
        <v>SHZI001</v>
      </c>
      <c r="B66" s="17" t="str">
        <f>IFERROR(__xludf.DUMMYFUNCTION("""COMPUTED_VALUE"""),"Shzi")</f>
        <v>Shzi</v>
      </c>
      <c r="C66" s="17" t="str">
        <f>IFERROR(__xludf.DUMMYFUNCTION("""COMPUTED_VALUE"""),"Krema Kedi Ödül Maması 16gr (45 Adet) (3 Lezzetli)")</f>
        <v>Krema Kedi Ödül Maması 16gr (45 Adet) (3 Lezzetli)</v>
      </c>
      <c r="D66" s="14">
        <f>IFERROR(__xludf.DUMMYFUNCTION("""COMPUTED_VALUE"""),575.0)</f>
        <v>575</v>
      </c>
      <c r="E66" s="14">
        <f>IFERROR(__xludf.DUMMYFUNCTION("""COMPUTED_VALUE"""),115.0)</f>
        <v>115</v>
      </c>
      <c r="F66" s="14">
        <f>IFERROR(__xludf.DUMMYFUNCTION("""COMPUTED_VALUE"""),86.4)</f>
        <v>86.4</v>
      </c>
      <c r="G66" s="14">
        <f>IFERROR(__xludf.DUMMYFUNCTION("""COMPUTED_VALUE"""),240.0)</f>
        <v>240</v>
      </c>
      <c r="H66" s="14">
        <f>IFERROR(__xludf.DUMMYFUNCTION("""COMPUTED_VALUE"""),13.19)</f>
        <v>13.19</v>
      </c>
      <c r="I66" s="14">
        <f>IFERROR(__xludf.DUMMYFUNCTION("""COMPUTED_VALUE"""),4.791666666666667)</f>
        <v>4.791666667</v>
      </c>
      <c r="J66" s="14">
        <f>IFERROR(__xludf.DUMMYFUNCTION("""COMPUTED_VALUE"""),20.068333333333335)</f>
        <v>20.06833333</v>
      </c>
      <c r="K66" s="14">
        <f>IFERROR(__xludf.DUMMYFUNCTION("""COMPUTED_VALUE"""),95.55000000000001)</f>
        <v>95.55</v>
      </c>
      <c r="L66" s="15">
        <f>IFERROR(__xludf.DUMMYFUNCTION("""COMPUTED_VALUE"""),0.16617391304347828)</f>
        <v>0.166173913</v>
      </c>
      <c r="M66" s="17" t="str">
        <f>IFERROR(__xludf.DUMMYFUNCTION("""COMPUTED_VALUE"""),"KÂRLI")</f>
        <v>KÂRLI</v>
      </c>
      <c r="N66" s="17" t="str">
        <f>IFERROR(__xludf.DUMMYFUNCTION("""COMPUTED_VALUE"""),"")</f>
        <v/>
      </c>
      <c r="O66" s="17">
        <f>IFERROR(__xludf.DUMMYFUNCTION("""COMPUTED_VALUE"""),0.5)</f>
        <v>0.5</v>
      </c>
      <c r="P66" s="17" t="str">
        <f>IFERROR(__xludf.DUMMYFUNCTION("""COMPUTED_VALUE"""),"")</f>
        <v/>
      </c>
      <c r="Q66" s="17" t="str">
        <f>IFERROR(__xludf.DUMMYFUNCTION("""COMPUTED_VALUE"""),"")</f>
        <v/>
      </c>
      <c r="R66" s="14">
        <f>IFERROR(__xludf.DUMMYFUNCTION("""COMPUTED_VALUE"""),448.7387139581433)</f>
        <v>448.738714</v>
      </c>
      <c r="S66" s="14">
        <f>IFERROR(__xludf.DUMMYFUNCTION("""COMPUTED_VALUE"""),126.26128604185669)</f>
        <v>126.261286</v>
      </c>
      <c r="T66" s="17" t="str">
        <f>IFERROR(__xludf.DUMMYFUNCTION("""COMPUTED_VALUE"""),"SAĞLIKLI")</f>
        <v>SAĞLIKLI</v>
      </c>
      <c r="U66" s="17" t="str">
        <f>IFERROR(__xludf.DUMMYFUNCTION("""COMPUTED_VALUE"""),"Takip et")</f>
        <v>Takip et</v>
      </c>
    </row>
    <row r="67">
      <c r="A67" s="2">
        <f>IFERROR(__xludf.DUMMYFUNCTION("""COMPUTED_VALUE"""),7.61328747711E11)</f>
        <v>761328747711</v>
      </c>
      <c r="B67" s="17" t="str">
        <f>IFERROR(__xludf.DUMMYFUNCTION("""COMPUTED_VALUE"""),"FELIX")</f>
        <v>FELIX</v>
      </c>
      <c r="C67" s="17" t="str">
        <f>IFERROR(__xludf.DUMMYFUNCTION("""COMPUTED_VALUE"""),"Felix Kedi Maması Sığır Etli ve Tavuklu Yavru Ekonomik Paket (4x85gr) X 12 Adet")</f>
        <v>Felix Kedi Maması Sığır Etli ve Tavuklu Yavru Ekonomik Paket (4x85gr) X 12 Adet</v>
      </c>
      <c r="D67" s="14">
        <f>IFERROR(__xludf.DUMMYFUNCTION("""COMPUTED_VALUE"""),1090.95)</f>
        <v>1090.95</v>
      </c>
      <c r="E67" s="14">
        <f>IFERROR(__xludf.DUMMYFUNCTION("""COMPUTED_VALUE"""),147.27825)</f>
        <v>147.27825</v>
      </c>
      <c r="F67" s="14">
        <f>IFERROR(__xludf.DUMMYFUNCTION("""COMPUTED_VALUE"""),90.0)</f>
        <v>90</v>
      </c>
      <c r="G67" s="14">
        <f>IFERROR(__xludf.DUMMYFUNCTION("""COMPUTED_VALUE"""),720.0)</f>
        <v>720</v>
      </c>
      <c r="H67" s="14">
        <f>IFERROR(__xludf.DUMMYFUNCTION("""COMPUTED_VALUE"""),13.19)</f>
        <v>13.19</v>
      </c>
      <c r="I67" s="14">
        <f>IFERROR(__xludf.DUMMYFUNCTION("""COMPUTED_VALUE"""),9.09125)</f>
        <v>9.09125</v>
      </c>
      <c r="J67" s="14">
        <f>IFERROR(__xludf.DUMMYFUNCTION("""COMPUTED_VALUE"""),20.080291666666604)</f>
        <v>20.08029167</v>
      </c>
      <c r="K67" s="14">
        <f>IFERROR(__xludf.DUMMYFUNCTION("""COMPUTED_VALUE"""),91.31020833333338)</f>
        <v>91.31020833</v>
      </c>
      <c r="L67" s="15">
        <f>IFERROR(__xludf.DUMMYFUNCTION("""COMPUTED_VALUE"""),0.08369788563484429)</f>
        <v>0.08369788563</v>
      </c>
      <c r="M67" s="17" t="str">
        <f>IFERROR(__xludf.DUMMYFUNCTION("""COMPUTED_VALUE"""),"KÂRLI")</f>
        <v>KÂRLI</v>
      </c>
      <c r="N67" s="17" t="str">
        <f>IFERROR(__xludf.DUMMYFUNCTION("""COMPUTED_VALUE"""),"")</f>
        <v/>
      </c>
      <c r="O67" s="17">
        <f>IFERROR(__xludf.DUMMYFUNCTION("""COMPUTED_VALUE"""),3.0)</f>
        <v>3</v>
      </c>
      <c r="P67" s="17" t="str">
        <f>IFERROR(__xludf.DUMMYFUNCTION("""COMPUTED_VALUE"""),"")</f>
        <v/>
      </c>
      <c r="Q67" s="17" t="str">
        <f>IFERROR(__xludf.DUMMYFUNCTION("""COMPUTED_VALUE"""),"")</f>
        <v/>
      </c>
      <c r="R67" s="14">
        <f>IFERROR(__xludf.DUMMYFUNCTION("""COMPUTED_VALUE"""),982.0213983598985)</f>
        <v>982.0213984</v>
      </c>
      <c r="S67" s="14">
        <f>IFERROR(__xludf.DUMMYFUNCTION("""COMPUTED_VALUE"""),108.92860164010153)</f>
        <v>108.9286016</v>
      </c>
      <c r="T67" s="17" t="str">
        <f>IFERROR(__xludf.DUMMYFUNCTION("""COMPUTED_VALUE"""),"DÜŞÜK KÂR")</f>
        <v>DÜŞÜK KÂR</v>
      </c>
      <c r="U67" s="17" t="str">
        <f>IFERROR(__xludf.DUMMYFUNCTION("""COMPUTED_VALUE"""),"Reklam/komisyon etkisini kontrol et")</f>
        <v>Reklam/komisyon etkisini kontrol et</v>
      </c>
    </row>
    <row r="68">
      <c r="A68" s="2">
        <f>IFERROR(__xludf.DUMMYFUNCTION("""COMPUTED_VALUE"""),8.010276021823E12)</f>
        <v>8010276021823</v>
      </c>
      <c r="B68" s="17" t="str">
        <f>IFERROR(__xludf.DUMMYFUNCTION("""COMPUTED_VALUE"""),"N&amp;D")</f>
        <v>N&amp;D</v>
      </c>
      <c r="C68" s="17" t="str">
        <f>IFERROR(__xludf.DUMMYFUNCTION("""COMPUTED_VALUE"""),"Tahılsız Kuzulu&amp;Yabanmersinli Mini Irk Yetişkin Köpek Maması 7 KG")</f>
        <v>Tahılsız Kuzulu&amp;Yabanmersinli Mini Irk Yetişkin Köpek Maması 7 KG</v>
      </c>
      <c r="D68" s="14">
        <f>IFERROR(__xludf.DUMMYFUNCTION("""COMPUTED_VALUE"""),3969.0)</f>
        <v>3969</v>
      </c>
      <c r="E68" s="14">
        <f>IFERROR(__xludf.DUMMYFUNCTION("""COMPUTED_VALUE"""),654.885)</f>
        <v>654.885</v>
      </c>
      <c r="F68" s="14">
        <f>IFERROR(__xludf.DUMMYFUNCTION("""COMPUTED_VALUE"""),159.74)</f>
        <v>159.74</v>
      </c>
      <c r="G68" s="14">
        <f>IFERROR(__xludf.DUMMYFUNCTION("""COMPUTED_VALUE"""),2999.0)</f>
        <v>2999</v>
      </c>
      <c r="H68" s="14">
        <f>IFERROR(__xludf.DUMMYFUNCTION("""COMPUTED_VALUE"""),13.19)</f>
        <v>13.19</v>
      </c>
      <c r="I68" s="14">
        <f>IFERROR(__xludf.DUMMYFUNCTION("""COMPUTED_VALUE"""),33.075)</f>
        <v>33.075</v>
      </c>
      <c r="J68" s="14">
        <f>IFERROR(__xludf.DUMMYFUNCTION("""COMPUTED_VALUE"""),23.69750000000038)</f>
        <v>23.6975</v>
      </c>
      <c r="K68" s="14">
        <f>IFERROR(__xludf.DUMMYFUNCTION("""COMPUTED_VALUE"""),85.41249999999962)</f>
        <v>85.4125</v>
      </c>
      <c r="L68" s="15">
        <f>IFERROR(__xludf.DUMMYFUNCTION("""COMPUTED_VALUE"""),0.021519904257999403)</f>
        <v>0.02151990426</v>
      </c>
      <c r="M68" s="17" t="str">
        <f>IFERROR(__xludf.DUMMYFUNCTION("""COMPUTED_VALUE"""),"KÂRLI")</f>
        <v>KÂRLI</v>
      </c>
      <c r="N68" s="17" t="str">
        <f>IFERROR(__xludf.DUMMYFUNCTION("""COMPUTED_VALUE"""),"")</f>
        <v/>
      </c>
      <c r="O68" s="17">
        <f>IFERROR(__xludf.DUMMYFUNCTION("""COMPUTED_VALUE"""),7.0)</f>
        <v>7</v>
      </c>
      <c r="P68" s="17" t="str">
        <f>IFERROR(__xludf.DUMMYFUNCTION("""COMPUTED_VALUE"""),"")</f>
        <v/>
      </c>
      <c r="Q68" s="17" t="str">
        <f>IFERROR(__xludf.DUMMYFUNCTION("""COMPUTED_VALUE"""),"")</f>
        <v/>
      </c>
      <c r="R68" s="14">
        <f>IFERROR(__xludf.DUMMYFUNCTION("""COMPUTED_VALUE"""),3864.9251826309287)</f>
        <v>3864.925183</v>
      </c>
      <c r="S68" s="14">
        <f>IFERROR(__xludf.DUMMYFUNCTION("""COMPUTED_VALUE"""),104.0748173690713)</f>
        <v>104.0748174</v>
      </c>
      <c r="T68" s="17" t="str">
        <f>IFERROR(__xludf.DUMMYFUNCTION("""COMPUTED_VALUE"""),"RİSKLİ")</f>
        <v>RİSKLİ</v>
      </c>
      <c r="U68" s="17" t="str">
        <f>IFERROR(__xludf.DUMMYFUNCTION("""COMPUTED_VALUE"""),"Minimum fiyat altına düşme")</f>
        <v>Minimum fiyat altına düşme</v>
      </c>
    </row>
    <row r="69">
      <c r="A69" s="2" t="str">
        <f>IFERROR(__xludf.DUMMYFUNCTION("""COMPUTED_VALUE"""),"HBCV000002HPAM")</f>
        <v>HBCV000002HPAM</v>
      </c>
      <c r="B69" s="17" t="str">
        <f>IFERROR(__xludf.DUMMYFUNCTION("""COMPUTED_VALUE"""),"Royal Canin")</f>
        <v>Royal Canin</v>
      </c>
      <c r="C69" s="17" t="str">
        <f>IFERROR(__xludf.DUMMYFUNCTION("""COMPUTED_VALUE"""),"Poodle Tüy Sağlığı Destekleyici Yetişkin Köpek Konservesi 85GR 12 Adet")</f>
        <v>Poodle Tüy Sağlığı Destekleyici Yetişkin Köpek Konservesi 85GR 12 Adet</v>
      </c>
      <c r="D69" s="14">
        <f>IFERROR(__xludf.DUMMYFUNCTION("""COMPUTED_VALUE"""),751.46)</f>
        <v>751.46</v>
      </c>
      <c r="E69" s="14">
        <f>IFERROR(__xludf.DUMMYFUNCTION("""COMPUTED_VALUE"""),93.9325)</f>
        <v>93.9325</v>
      </c>
      <c r="F69" s="14">
        <f>IFERROR(__xludf.DUMMYFUNCTION("""COMPUTED_VALUE"""),86.4)</f>
        <v>86.4</v>
      </c>
      <c r="G69" s="14">
        <f>IFERROR(__xludf.DUMMYFUNCTION("""COMPUTED_VALUE"""),450.0)</f>
        <v>450</v>
      </c>
      <c r="H69" s="14">
        <f>IFERROR(__xludf.DUMMYFUNCTION("""COMPUTED_VALUE"""),13.19)</f>
        <v>13.19</v>
      </c>
      <c r="I69" s="14">
        <f>IFERROR(__xludf.DUMMYFUNCTION("""COMPUTED_VALUE"""),6.262166666666667)</f>
        <v>6.262166667</v>
      </c>
      <c r="J69" s="14">
        <f>IFERROR(__xludf.DUMMYFUNCTION("""COMPUTED_VALUE"""),17.98958333333335)</f>
        <v>17.98958333</v>
      </c>
      <c r="K69" s="14">
        <f>IFERROR(__xludf.DUMMYFUNCTION("""COMPUTED_VALUE"""),83.68575000000004)</f>
        <v>83.68575</v>
      </c>
      <c r="L69" s="15">
        <f>IFERROR(__xludf.DUMMYFUNCTION("""COMPUTED_VALUE"""),0.11136421100258169)</f>
        <v>0.111364211</v>
      </c>
      <c r="M69" s="17" t="str">
        <f>IFERROR(__xludf.DUMMYFUNCTION("""COMPUTED_VALUE"""),"KÂRLI")</f>
        <v>KÂRLI</v>
      </c>
      <c r="N69" s="17" t="str">
        <f>IFERROR(__xludf.DUMMYFUNCTION("""COMPUTED_VALUE"""),"")</f>
        <v/>
      </c>
      <c r="O69" s="17">
        <f>IFERROR(__xludf.DUMMYFUNCTION("""COMPUTED_VALUE"""),2.0)</f>
        <v>2</v>
      </c>
      <c r="P69" s="17" t="str">
        <f>IFERROR(__xludf.DUMMYFUNCTION("""COMPUTED_VALUE"""),"")</f>
        <v/>
      </c>
      <c r="Q69" s="17" t="str">
        <f>IFERROR(__xludf.DUMMYFUNCTION("""COMPUTED_VALUE"""),"")</f>
        <v/>
      </c>
      <c r="R69" s="14">
        <f>IFERROR(__xludf.DUMMYFUNCTION("""COMPUTED_VALUE"""),652.1562495383014)</f>
        <v>652.1562495</v>
      </c>
      <c r="S69" s="14">
        <f>IFERROR(__xludf.DUMMYFUNCTION("""COMPUTED_VALUE"""),99.30375046169866)</f>
        <v>99.30375046</v>
      </c>
      <c r="T69" s="17" t="str">
        <f>IFERROR(__xludf.DUMMYFUNCTION("""COMPUTED_VALUE"""),"SAĞLIKLI")</f>
        <v>SAĞLIKLI</v>
      </c>
      <c r="U69" s="17" t="str">
        <f>IFERROR(__xludf.DUMMYFUNCTION("""COMPUTED_VALUE"""),"Takip et")</f>
        <v>Takip et</v>
      </c>
    </row>
    <row r="70">
      <c r="A70" s="2">
        <f>IFERROR(__xludf.DUMMYFUNCTION("""COMPUTED_VALUE"""),2.10420241807E11)</f>
        <v>210420241807</v>
      </c>
      <c r="B70" s="17" t="str">
        <f>IFERROR(__xludf.DUMMYFUNCTION("""COMPUTED_VALUE"""),"N&amp;D")</f>
        <v>N&amp;D</v>
      </c>
      <c r="C70" s="17" t="str">
        <f>IFERROR(__xludf.DUMMYFUNCTION("""COMPUTED_VALUE"""),"ND KEDİ MAMASI TROPICAL SELECTİON KISIRLAŞTIRILMIŞ KUZULU 10 KG 1 ADET")</f>
        <v>ND KEDİ MAMASI TROPICAL SELECTİON KISIRLAŞTIRILMIŞ KUZULU 10 KG 1 ADET</v>
      </c>
      <c r="D70" s="14">
        <f>IFERROR(__xludf.DUMMYFUNCTION("""COMPUTED_VALUE"""),3899.0)</f>
        <v>3899</v>
      </c>
      <c r="E70" s="14">
        <f>IFERROR(__xludf.DUMMYFUNCTION("""COMPUTED_VALUE"""),643.335)</f>
        <v>643.335</v>
      </c>
      <c r="F70" s="14">
        <f>IFERROR(__xludf.DUMMYFUNCTION("""COMPUTED_VALUE"""),159.74)</f>
        <v>159.74</v>
      </c>
      <c r="G70" s="14">
        <f>IFERROR(__xludf.DUMMYFUNCTION("""COMPUTED_VALUE"""),2944.0)</f>
        <v>2944</v>
      </c>
      <c r="H70" s="14">
        <f>IFERROR(__xludf.DUMMYFUNCTION("""COMPUTED_VALUE"""),13.19)</f>
        <v>13.19</v>
      </c>
      <c r="I70" s="14">
        <f>IFERROR(__xludf.DUMMYFUNCTION("""COMPUTED_VALUE"""),32.49166666666667)</f>
        <v>32.49166667</v>
      </c>
      <c r="J70" s="14">
        <f>IFERROR(__xludf.DUMMYFUNCTION("""COMPUTED_VALUE"""),23.12249999999988)</f>
        <v>23.1225</v>
      </c>
      <c r="K70" s="14">
        <f>IFERROR(__xludf.DUMMYFUNCTION("""COMPUTED_VALUE"""),83.12083333333362)</f>
        <v>83.12083333</v>
      </c>
      <c r="L70" s="15">
        <f>IFERROR(__xludf.DUMMYFUNCTION("""COMPUTED_VALUE"""),0.02131850047020611)</f>
        <v>0.02131850047</v>
      </c>
      <c r="M70" s="17" t="str">
        <f>IFERROR(__xludf.DUMMYFUNCTION("""COMPUTED_VALUE"""),"KÂRLI")</f>
        <v>KÂRLI</v>
      </c>
      <c r="N70" s="17" t="str">
        <f>IFERROR(__xludf.DUMMYFUNCTION("""COMPUTED_VALUE"""),"")</f>
        <v/>
      </c>
      <c r="O70" s="17">
        <f>IFERROR(__xludf.DUMMYFUNCTION("""COMPUTED_VALUE"""),10.0)</f>
        <v>10</v>
      </c>
      <c r="P70" s="17" t="str">
        <f>IFERROR(__xludf.DUMMYFUNCTION("""COMPUTED_VALUE"""),"")</f>
        <v/>
      </c>
      <c r="Q70" s="17" t="str">
        <f>IFERROR(__xludf.DUMMYFUNCTION("""COMPUTED_VALUE"""),"")</f>
        <v/>
      </c>
      <c r="R70" s="14">
        <f>IFERROR(__xludf.DUMMYFUNCTION("""COMPUTED_VALUE"""),3797.722526041109)</f>
        <v>3797.722526</v>
      </c>
      <c r="S70" s="14">
        <f>IFERROR(__xludf.DUMMYFUNCTION("""COMPUTED_VALUE"""),101.27747395889082)</f>
        <v>101.277474</v>
      </c>
      <c r="T70" s="17" t="str">
        <f>IFERROR(__xludf.DUMMYFUNCTION("""COMPUTED_VALUE"""),"RİSKLİ")</f>
        <v>RİSKLİ</v>
      </c>
      <c r="U70" s="17" t="str">
        <f>IFERROR(__xludf.DUMMYFUNCTION("""COMPUTED_VALUE"""),"Minimum fiyat altına düşme")</f>
        <v>Minimum fiyat altına düşme</v>
      </c>
    </row>
    <row r="71">
      <c r="A71" s="2">
        <f>IFERROR(__xludf.DUMMYFUNCTION("""COMPUTED_VALUE"""),3.182550716857E12)</f>
        <v>3182550716857</v>
      </c>
      <c r="B71" s="17" t="str">
        <f>IFERROR(__xludf.DUMMYFUNCTION("""COMPUTED_VALUE"""),"Royal Canin")</f>
        <v>Royal Canin</v>
      </c>
      <c r="C71" s="17" t="str">
        <f>IFERROR(__xludf.DUMMYFUNCTION("""COMPUTED_VALUE"""),"Yorkshire Terrier Yetişkin ve Yaşlılar Için Kuru Köpek Maması 1,5 kg")</f>
        <v>Yorkshire Terrier Yetişkin ve Yaşlılar Için Kuru Köpek Maması 1,5 kg</v>
      </c>
      <c r="D71" s="14">
        <f>IFERROR(__xludf.DUMMYFUNCTION("""COMPUTED_VALUE"""),949.0)</f>
        <v>949</v>
      </c>
      <c r="E71" s="14">
        <f>IFERROR(__xludf.DUMMYFUNCTION("""COMPUTED_VALUE"""),118.625)</f>
        <v>118.625</v>
      </c>
      <c r="F71" s="14">
        <f>IFERROR(__xludf.DUMMYFUNCTION("""COMPUTED_VALUE"""),86.4)</f>
        <v>86.4</v>
      </c>
      <c r="G71" s="14">
        <f>IFERROR(__xludf.DUMMYFUNCTION("""COMPUTED_VALUE"""),621.6)</f>
        <v>621.6</v>
      </c>
      <c r="H71" s="14">
        <f>IFERROR(__xludf.DUMMYFUNCTION("""COMPUTED_VALUE"""),13.19)</f>
        <v>13.19</v>
      </c>
      <c r="I71" s="14">
        <f>IFERROR(__xludf.DUMMYFUNCTION("""COMPUTED_VALUE"""),7.908333333333334)</f>
        <v>7.908333333</v>
      </c>
      <c r="J71" s="14">
        <f>IFERROR(__xludf.DUMMYFUNCTION("""COMPUTED_VALUE"""),18.197499999999955)</f>
        <v>18.1975</v>
      </c>
      <c r="K71" s="14">
        <f>IFERROR(__xludf.DUMMYFUNCTION("""COMPUTED_VALUE"""),83.07916666666671)</f>
        <v>83.07916667</v>
      </c>
      <c r="L71" s="15">
        <f>IFERROR(__xludf.DUMMYFUNCTION("""COMPUTED_VALUE"""),0.08754390586582372)</f>
        <v>0.08754390587</v>
      </c>
      <c r="M71" s="17" t="str">
        <f>IFERROR(__xludf.DUMMYFUNCTION("""COMPUTED_VALUE"""),"KÂRLI")</f>
        <v>KÂRLI</v>
      </c>
      <c r="N71" s="17" t="str">
        <f>IFERROR(__xludf.DUMMYFUNCTION("""COMPUTED_VALUE"""),"")</f>
        <v/>
      </c>
      <c r="O71" s="17">
        <f>IFERROR(__xludf.DUMMYFUNCTION("""COMPUTED_VALUE"""),2.0)</f>
        <v>2</v>
      </c>
      <c r="P71" s="17" t="str">
        <f>IFERROR(__xludf.DUMMYFUNCTION("""COMPUTED_VALUE"""),"")</f>
        <v/>
      </c>
      <c r="Q71" s="17" t="str">
        <f>IFERROR(__xludf.DUMMYFUNCTION("""COMPUTED_VALUE"""),"")</f>
        <v/>
      </c>
      <c r="R71" s="14">
        <f>IFERROR(__xludf.DUMMYFUNCTION("""COMPUTED_VALUE"""),850.9701343473703)</f>
        <v>850.9701343</v>
      </c>
      <c r="S71" s="14">
        <f>IFERROR(__xludf.DUMMYFUNCTION("""COMPUTED_VALUE"""),98.02986565262972)</f>
        <v>98.02986565</v>
      </c>
      <c r="T71" s="17" t="str">
        <f>IFERROR(__xludf.DUMMYFUNCTION("""COMPUTED_VALUE"""),"DÜŞÜK KÂR")</f>
        <v>DÜŞÜK KÂR</v>
      </c>
      <c r="U71" s="17" t="str">
        <f>IFERROR(__xludf.DUMMYFUNCTION("""COMPUTED_VALUE"""),"Reklam/komisyon etkisini kontrol et")</f>
        <v>Reklam/komisyon etkisini kontrol et</v>
      </c>
    </row>
    <row r="72">
      <c r="A72" s="2">
        <f>IFERROR(__xludf.DUMMYFUNCTION("""COMPUTED_VALUE"""),5.060255492161E12)</f>
        <v>5060255492161</v>
      </c>
      <c r="B72" s="17" t="str">
        <f>IFERROR(__xludf.DUMMYFUNCTION("""COMPUTED_VALUE"""),"Ever Clean")</f>
        <v>Ever Clean</v>
      </c>
      <c r="C72" s="17" t="str">
        <f>IFERROR(__xludf.DUMMYFUNCTION("""COMPUTED_VALUE"""),"Extra Strength Scented Koku Engelleyici Doğal Kedi Kumu 10 Lt")</f>
        <v>Extra Strength Scented Koku Engelleyici Doğal Kedi Kumu 10 Lt</v>
      </c>
      <c r="D72" s="14">
        <f>IFERROR(__xludf.DUMMYFUNCTION("""COMPUTED_VALUE"""),1169.1)</f>
        <v>1169.1</v>
      </c>
      <c r="E72" s="14">
        <f>IFERROR(__xludf.DUMMYFUNCTION("""COMPUTED_VALUE"""),169.51949999999997)</f>
        <v>169.5195</v>
      </c>
      <c r="F72" s="14">
        <f>IFERROR(__xludf.DUMMYFUNCTION("""COMPUTED_VALUE"""),86.4)</f>
        <v>86.4</v>
      </c>
      <c r="G72" s="14">
        <f>IFERROR(__xludf.DUMMYFUNCTION("""COMPUTED_VALUE"""),800.0)</f>
        <v>800</v>
      </c>
      <c r="H72" s="14">
        <f>IFERROR(__xludf.DUMMYFUNCTION("""COMPUTED_VALUE"""),13.19)</f>
        <v>13.19</v>
      </c>
      <c r="I72" s="14">
        <f>IFERROR(__xludf.DUMMYFUNCTION("""COMPUTED_VALUE"""),9.7425)</f>
        <v>9.7425</v>
      </c>
      <c r="J72" s="14">
        <f>IFERROR(__xludf.DUMMYFUNCTION("""COMPUTED_VALUE"""),16.66508333333335)</f>
        <v>16.66508333</v>
      </c>
      <c r="K72" s="14">
        <f>IFERROR(__xludf.DUMMYFUNCTION("""COMPUTED_VALUE"""),73.58291666666659)</f>
        <v>73.58291667</v>
      </c>
      <c r="L72" s="15">
        <f>IFERROR(__xludf.DUMMYFUNCTION("""COMPUTED_VALUE"""),0.06293979699483927)</f>
        <v>0.06293979699</v>
      </c>
      <c r="M72" s="17" t="str">
        <f>IFERROR(__xludf.DUMMYFUNCTION("""COMPUTED_VALUE"""),"KÂRLI")</f>
        <v>KÂRLI</v>
      </c>
      <c r="N72" s="17" t="str">
        <f>IFERROR(__xludf.DUMMYFUNCTION("""COMPUTED_VALUE"""),"")</f>
        <v/>
      </c>
      <c r="O72" s="17">
        <f>IFERROR(__xludf.DUMMYFUNCTION("""COMPUTED_VALUE"""),2.0)</f>
        <v>2</v>
      </c>
      <c r="P72" s="17" t="str">
        <f>IFERROR(__xludf.DUMMYFUNCTION("""COMPUTED_VALUE"""),"")</f>
        <v/>
      </c>
      <c r="Q72" s="17" t="str">
        <f>IFERROR(__xludf.DUMMYFUNCTION("""COMPUTED_VALUE"""),"")</f>
        <v/>
      </c>
      <c r="R72" s="14">
        <f>IFERROR(__xludf.DUMMYFUNCTION("""COMPUTED_VALUE"""),1080.7023395725391)</f>
        <v>1080.70234</v>
      </c>
      <c r="S72" s="14">
        <f>IFERROR(__xludf.DUMMYFUNCTION("""COMPUTED_VALUE"""),88.39766042746078)</f>
        <v>88.39766043</v>
      </c>
      <c r="T72" s="17" t="str">
        <f>IFERROR(__xludf.DUMMYFUNCTION("""COMPUTED_VALUE"""),"DÜŞÜK KÂR")</f>
        <v>DÜŞÜK KÂR</v>
      </c>
      <c r="U72" s="17" t="str">
        <f>IFERROR(__xludf.DUMMYFUNCTION("""COMPUTED_VALUE"""),"Reklam/komisyon etkisini kontrol et")</f>
        <v>Reklam/komisyon etkisini kontrol et</v>
      </c>
    </row>
    <row r="73">
      <c r="A73" s="2" t="str">
        <f>IFERROR(__xludf.DUMMYFUNCTION("""COMPUTED_VALUE"""),"TYB186W8UY88IBPB09")</f>
        <v>TYB186W8UY88IBPB09</v>
      </c>
      <c r="B73" s="17" t="str">
        <f>IFERROR(__xludf.DUMMYFUNCTION("""COMPUTED_VALUE"""),"FELIX")</f>
        <v>FELIX</v>
      </c>
      <c r="C73" s="17" t="str">
        <f>IFERROR(__xludf.DUMMYFUNCTION("""COMPUTED_VALUE"""),"Sığır Etli 85 Gr. X 26 Adet Yaş Kedi Maması")</f>
        <v>Sığır Etli 85 Gr. X 26 Adet Yaş Kedi Maması</v>
      </c>
      <c r="D73" s="14">
        <f>IFERROR(__xludf.DUMMYFUNCTION("""COMPUTED_VALUE"""),680.0)</f>
        <v>680</v>
      </c>
      <c r="E73" s="14">
        <f>IFERROR(__xludf.DUMMYFUNCTION("""COMPUTED_VALUE"""),91.8)</f>
        <v>91.8</v>
      </c>
      <c r="F73" s="14">
        <f>IFERROR(__xludf.DUMMYFUNCTION("""COMPUTED_VALUE"""),90.0)</f>
        <v>90</v>
      </c>
      <c r="G73" s="14">
        <f>IFERROR(__xludf.DUMMYFUNCTION("""COMPUTED_VALUE"""),390.0)</f>
        <v>390</v>
      </c>
      <c r="H73" s="14">
        <f>IFERROR(__xludf.DUMMYFUNCTION("""COMPUTED_VALUE"""),13.19)</f>
        <v>13.19</v>
      </c>
      <c r="I73" s="14">
        <f>IFERROR(__xludf.DUMMYFUNCTION("""COMPUTED_VALUE"""),5.666666666666668)</f>
        <v>5.666666667</v>
      </c>
      <c r="J73" s="14">
        <f>IFERROR(__xludf.DUMMYFUNCTION("""COMPUTED_VALUE"""),15.834999999999928)</f>
        <v>15.835</v>
      </c>
      <c r="K73" s="14">
        <f>IFERROR(__xludf.DUMMYFUNCTION("""COMPUTED_VALUE"""),73.50833333333345)</f>
        <v>73.50833333</v>
      </c>
      <c r="L73" s="15">
        <f>IFERROR(__xludf.DUMMYFUNCTION("""COMPUTED_VALUE"""),0.1081004901960786)</f>
        <v>0.1081004902</v>
      </c>
      <c r="M73" s="17" t="str">
        <f>IFERROR(__xludf.DUMMYFUNCTION("""COMPUTED_VALUE"""),"KÂRLI")</f>
        <v>KÂRLI</v>
      </c>
      <c r="N73" s="17" t="str">
        <f>IFERROR(__xludf.DUMMYFUNCTION("""COMPUTED_VALUE"""),"")</f>
        <v/>
      </c>
      <c r="O73" s="17">
        <f>IFERROR(__xludf.DUMMYFUNCTION("""COMPUTED_VALUE"""),3.0)</f>
        <v>3</v>
      </c>
      <c r="P73" s="17" t="str">
        <f>IFERROR(__xludf.DUMMYFUNCTION("""COMPUTED_VALUE"""),"")</f>
        <v/>
      </c>
      <c r="Q73" s="17" t="str">
        <f>IFERROR(__xludf.DUMMYFUNCTION("""COMPUTED_VALUE"""),"")</f>
        <v/>
      </c>
      <c r="R73" s="14">
        <f>IFERROR(__xludf.DUMMYFUNCTION("""COMPUTED_VALUE"""),591.7946924022534)</f>
        <v>591.7946924</v>
      </c>
      <c r="S73" s="14">
        <f>IFERROR(__xludf.DUMMYFUNCTION("""COMPUTED_VALUE"""),88.20530759774658)</f>
        <v>88.2053076</v>
      </c>
      <c r="T73" s="17" t="str">
        <f>IFERROR(__xludf.DUMMYFUNCTION("""COMPUTED_VALUE"""),"SAĞLIKLI")</f>
        <v>SAĞLIKLI</v>
      </c>
      <c r="U73" s="17" t="str">
        <f>IFERROR(__xludf.DUMMYFUNCTION("""COMPUTED_VALUE"""),"Takip et")</f>
        <v>Takip et</v>
      </c>
    </row>
    <row r="74">
      <c r="A74" s="2">
        <f>IFERROR(__xludf.DUMMYFUNCTION("""COMPUTED_VALUE"""),2.05482668168001E14)</f>
        <v>205482668168001</v>
      </c>
      <c r="B74" s="17" t="str">
        <f>IFERROR(__xludf.DUMMYFUNCTION("""COMPUTED_VALUE"""),"Wanpy")</f>
        <v>Wanpy</v>
      </c>
      <c r="C74" s="17" t="str">
        <f>IFERROR(__xludf.DUMMYFUNCTION("""COMPUTED_VALUE"""),"4 Çeşit Karma Kedi Et Ezmesi 90 Gr. X 12 Adet")</f>
        <v>4 Çeşit Karma Kedi Et Ezmesi 90 Gr. X 12 Adet</v>
      </c>
      <c r="D74" s="14">
        <f>IFERROR(__xludf.DUMMYFUNCTION("""COMPUTED_VALUE"""),640.0)</f>
        <v>640</v>
      </c>
      <c r="E74" s="14">
        <f>IFERROR(__xludf.DUMMYFUNCTION("""COMPUTED_VALUE"""),80.0)</f>
        <v>80</v>
      </c>
      <c r="F74" s="14">
        <f>IFERROR(__xludf.DUMMYFUNCTION("""COMPUTED_VALUE"""),86.4)</f>
        <v>86.4</v>
      </c>
      <c r="G74" s="14">
        <f>IFERROR(__xludf.DUMMYFUNCTION("""COMPUTED_VALUE"""),367.0)</f>
        <v>367</v>
      </c>
      <c r="H74" s="14">
        <f>IFERROR(__xludf.DUMMYFUNCTION("""COMPUTED_VALUE"""),13.19)</f>
        <v>13.19</v>
      </c>
      <c r="I74" s="14">
        <f>IFERROR(__xludf.DUMMYFUNCTION("""COMPUTED_VALUE"""),5.333333333333334)</f>
        <v>5.333333333</v>
      </c>
      <c r="J74" s="14">
        <f>IFERROR(__xludf.DUMMYFUNCTION("""COMPUTED_VALUE"""),15.568333333333348)</f>
        <v>15.56833333</v>
      </c>
      <c r="K74" s="14">
        <f>IFERROR(__xludf.DUMMYFUNCTION("""COMPUTED_VALUE"""),72.50833333333335)</f>
        <v>72.50833333</v>
      </c>
      <c r="L74" s="15">
        <f>IFERROR(__xludf.DUMMYFUNCTION("""COMPUTED_VALUE"""),0.11329427083333336)</f>
        <v>0.1132942708</v>
      </c>
      <c r="M74" s="17" t="str">
        <f>IFERROR(__xludf.DUMMYFUNCTION("""COMPUTED_VALUE"""),"KÂRLI")</f>
        <v>KÂRLI</v>
      </c>
      <c r="N74" s="17" t="str">
        <f>IFERROR(__xludf.DUMMYFUNCTION("""COMPUTED_VALUE"""),"")</f>
        <v/>
      </c>
      <c r="O74" s="17">
        <f>IFERROR(__xludf.DUMMYFUNCTION("""COMPUTED_VALUE"""),0.5)</f>
        <v>0.5</v>
      </c>
      <c r="P74" s="17" t="str">
        <f>IFERROR(__xludf.DUMMYFUNCTION("""COMPUTED_VALUE"""),"")</f>
        <v/>
      </c>
      <c r="Q74" s="17" t="str">
        <f>IFERROR(__xludf.DUMMYFUNCTION("""COMPUTED_VALUE"""),"")</f>
        <v/>
      </c>
      <c r="R74" s="14">
        <f>IFERROR(__xludf.DUMMYFUNCTION("""COMPUTED_VALUE"""),553.9202467645309)</f>
        <v>553.9202468</v>
      </c>
      <c r="S74" s="14">
        <f>IFERROR(__xludf.DUMMYFUNCTION("""COMPUTED_VALUE"""),86.07975323546907)</f>
        <v>86.07975324</v>
      </c>
      <c r="T74" s="17" t="str">
        <f>IFERROR(__xludf.DUMMYFUNCTION("""COMPUTED_VALUE"""),"SAĞLIKLI")</f>
        <v>SAĞLIKLI</v>
      </c>
      <c r="U74" s="17" t="str">
        <f>IFERROR(__xludf.DUMMYFUNCTION("""COMPUTED_VALUE"""),"Takip et")</f>
        <v>Takip et</v>
      </c>
    </row>
    <row r="75">
      <c r="A75" s="2" t="str">
        <f>IFERROR(__xludf.DUMMYFUNCTION("""COMPUTED_VALUE"""),"TYB1WRS9OVM51QUP63")</f>
        <v>TYB1WRS9OVM51QUP63</v>
      </c>
      <c r="B75" s="17" t="str">
        <f>IFERROR(__xludf.DUMMYFUNCTION("""COMPUTED_VALUE"""),"FELIX")</f>
        <v>FELIX</v>
      </c>
      <c r="C75" s="17" t="str">
        <f>IFERROR(__xludf.DUMMYFUNCTION("""COMPUTED_VALUE"""),"Ton Balıklı Yaş Kedi Maması 85 gr X 26 Adet")</f>
        <v>Ton Balıklı Yaş Kedi Maması 85 gr X 26 Adet</v>
      </c>
      <c r="D75" s="14">
        <f>IFERROR(__xludf.DUMMYFUNCTION("""COMPUTED_VALUE"""),585.9)</f>
        <v>585.9</v>
      </c>
      <c r="E75" s="14">
        <f>IFERROR(__xludf.DUMMYFUNCTION("""COMPUTED_VALUE"""),79.09649999999999)</f>
        <v>79.0965</v>
      </c>
      <c r="F75" s="14">
        <f>IFERROR(__xludf.DUMMYFUNCTION("""COMPUTED_VALUE"""),90.0)</f>
        <v>90</v>
      </c>
      <c r="G75" s="14">
        <f>IFERROR(__xludf.DUMMYFUNCTION("""COMPUTED_VALUE"""),312.0)</f>
        <v>312</v>
      </c>
      <c r="H75" s="14">
        <f>IFERROR(__xludf.DUMMYFUNCTION("""COMPUTED_VALUE"""),13.19)</f>
        <v>13.19</v>
      </c>
      <c r="I75" s="14">
        <f>IFERROR(__xludf.DUMMYFUNCTION("""COMPUTED_VALUE"""),4.8825)</f>
        <v>4.8825</v>
      </c>
      <c r="J75" s="14">
        <f>IFERROR(__xludf.DUMMYFUNCTION("""COMPUTED_VALUE"""),15.268916666666646)</f>
        <v>15.26891667</v>
      </c>
      <c r="K75" s="14">
        <f>IFERROR(__xludf.DUMMYFUNCTION("""COMPUTED_VALUE"""),71.46208333333335)</f>
        <v>71.46208333</v>
      </c>
      <c r="L75" s="15">
        <f>IFERROR(__xludf.DUMMYFUNCTION("""COMPUTED_VALUE"""),0.1219697616202993)</f>
        <v>0.1219697616</v>
      </c>
      <c r="M75" s="17" t="str">
        <f>IFERROR(__xludf.DUMMYFUNCTION("""COMPUTED_VALUE"""),"KÂRLI")</f>
        <v>KÂRLI</v>
      </c>
      <c r="N75" s="17" t="str">
        <f>IFERROR(__xludf.DUMMYFUNCTION("""COMPUTED_VALUE"""),"")</f>
        <v/>
      </c>
      <c r="O75" s="17">
        <f>IFERROR(__xludf.DUMMYFUNCTION("""COMPUTED_VALUE"""),3.0)</f>
        <v>3</v>
      </c>
      <c r="P75" s="17" t="str">
        <f>IFERROR(__xludf.DUMMYFUNCTION("""COMPUTED_VALUE"""),"")</f>
        <v/>
      </c>
      <c r="Q75" s="17" t="str">
        <f>IFERROR(__xludf.DUMMYFUNCTION("""COMPUTED_VALUE"""),"")</f>
        <v/>
      </c>
      <c r="R75" s="14">
        <f>IFERROR(__xludf.DUMMYFUNCTION("""COMPUTED_VALUE"""),499.8637254574192)</f>
        <v>499.8637255</v>
      </c>
      <c r="S75" s="14">
        <f>IFERROR(__xludf.DUMMYFUNCTION("""COMPUTED_VALUE"""),86.03627454258077)</f>
        <v>86.03627454</v>
      </c>
      <c r="T75" s="17" t="str">
        <f>IFERROR(__xludf.DUMMYFUNCTION("""COMPUTED_VALUE"""),"SAĞLIKLI")</f>
        <v>SAĞLIKLI</v>
      </c>
      <c r="U75" s="17" t="str">
        <f>IFERROR(__xludf.DUMMYFUNCTION("""COMPUTED_VALUE"""),"Takip et")</f>
        <v>Takip et</v>
      </c>
    </row>
    <row r="76">
      <c r="A76" s="2" t="str">
        <f>IFERROR(__xludf.DUMMYFUNCTION("""COMPUTED_VALUE"""),"TYBM82Z5G9IUUW2U93")</f>
        <v>TYBM82Z5G9IUUW2U93</v>
      </c>
      <c r="B76" s="17" t="str">
        <f>IFERROR(__xludf.DUMMYFUNCTION("""COMPUTED_VALUE"""),"Gourmet")</f>
        <v>Gourmet</v>
      </c>
      <c r="C76" s="17" t="str">
        <f>IFERROR(__xludf.DUMMYFUNCTION("""COMPUTED_VALUE"""),"Gold Kıyılmış Ton Balıklı Kedi Konservesi 24x85gr")</f>
        <v>Gold Kıyılmış Ton Balıklı Kedi Konservesi 24x85gr</v>
      </c>
      <c r="D76" s="14">
        <f>IFERROR(__xludf.DUMMYFUNCTION("""COMPUTED_VALUE"""),820.51)</f>
        <v>820.51</v>
      </c>
      <c r="E76" s="14">
        <f>IFERROR(__xludf.DUMMYFUNCTION("""COMPUTED_VALUE"""),51.69213)</f>
        <v>51.69213</v>
      </c>
      <c r="F76" s="14">
        <f>IFERROR(__xludf.DUMMYFUNCTION("""COMPUTED_VALUE"""),86.4)</f>
        <v>86.4</v>
      </c>
      <c r="G76" s="14">
        <f>IFERROR(__xludf.DUMMYFUNCTION("""COMPUTED_VALUE"""),580.0)</f>
        <v>580</v>
      </c>
      <c r="H76" s="14">
        <f>IFERROR(__xludf.DUMMYFUNCTION("""COMPUTED_VALUE"""),13.19)</f>
        <v>13.19</v>
      </c>
      <c r="I76" s="14">
        <f>IFERROR(__xludf.DUMMYFUNCTION("""COMPUTED_VALUE"""),6.837583333333334)</f>
        <v>6.837583333</v>
      </c>
      <c r="J76" s="14">
        <f>IFERROR(__xludf.DUMMYFUNCTION("""COMPUTED_VALUE"""),14.871311666666712)</f>
        <v>14.87131167</v>
      </c>
      <c r="K76" s="14">
        <f>IFERROR(__xludf.DUMMYFUNCTION("""COMPUTED_VALUE"""),67.51897499999995)</f>
        <v>67.518975</v>
      </c>
      <c r="L76" s="15">
        <f>IFERROR(__xludf.DUMMYFUNCTION("""COMPUTED_VALUE"""),0.08228903364980311)</f>
        <v>0.08228903365</v>
      </c>
      <c r="M76" s="17" t="str">
        <f>IFERROR(__xludf.DUMMYFUNCTION("""COMPUTED_VALUE"""),"KÂRLI")</f>
        <v>KÂRLI</v>
      </c>
      <c r="N76" s="17" t="str">
        <f>IFERROR(__xludf.DUMMYFUNCTION("""COMPUTED_VALUE"""),"")</f>
        <v/>
      </c>
      <c r="O76" s="17">
        <f>IFERROR(__xludf.DUMMYFUNCTION("""COMPUTED_VALUE"""),1.0)</f>
        <v>1</v>
      </c>
      <c r="P76" s="17" t="str">
        <f>IFERROR(__xludf.DUMMYFUNCTION("""COMPUTED_VALUE"""),"")</f>
        <v/>
      </c>
      <c r="Q76" s="17" t="str">
        <f>IFERROR(__xludf.DUMMYFUNCTION("""COMPUTED_VALUE"""),"")</f>
        <v/>
      </c>
      <c r="R76" s="14">
        <f>IFERROR(__xludf.DUMMYFUNCTION("""COMPUTED_VALUE"""),746.3572322482262)</f>
        <v>746.3572322</v>
      </c>
      <c r="S76" s="14">
        <f>IFERROR(__xludf.DUMMYFUNCTION("""COMPUTED_VALUE"""),74.15276775177381)</f>
        <v>74.15276775</v>
      </c>
      <c r="T76" s="17" t="str">
        <f>IFERROR(__xludf.DUMMYFUNCTION("""COMPUTED_VALUE"""),"DÜŞÜK KÂR")</f>
        <v>DÜŞÜK KÂR</v>
      </c>
      <c r="U76" s="17" t="str">
        <f>IFERROR(__xludf.DUMMYFUNCTION("""COMPUTED_VALUE"""),"Reklam/komisyon etkisini kontrol et")</f>
        <v>Reklam/komisyon etkisini kontrol et</v>
      </c>
    </row>
    <row r="77">
      <c r="A77" s="2" t="str">
        <f>IFERROR(__xludf.DUMMYFUNCTION("""COMPUTED_VALUE"""),"TYB40O96UICAMJJL93")</f>
        <v>TYB40O96UICAMJJL93</v>
      </c>
      <c r="B77" s="17" t="str">
        <f>IFERROR(__xludf.DUMMYFUNCTION("""COMPUTED_VALUE"""),"Pro Plan")</f>
        <v>Pro Plan</v>
      </c>
      <c r="C77" s="17" t="str">
        <f>IFERROR(__xludf.DUMMYFUNCTION("""COMPUTED_VALUE"""),"Planpro Plan Sterilesed Kısır Kediler Için Tavuklu Ve Hindili Kedi Maması 3 Kg")</f>
        <v>Planpro Plan Sterilesed Kısır Kediler Için Tavuklu Ve Hindili Kedi Maması 3 Kg</v>
      </c>
      <c r="D77" s="14">
        <f>IFERROR(__xludf.DUMMYFUNCTION("""COMPUTED_VALUE"""),1581.0)</f>
        <v>1581</v>
      </c>
      <c r="E77" s="14">
        <f>IFERROR(__xludf.DUMMYFUNCTION("""COMPUTED_VALUE"""),197.625)</f>
        <v>197.625</v>
      </c>
      <c r="F77" s="14">
        <f>IFERROR(__xludf.DUMMYFUNCTION("""COMPUTED_VALUE"""),90.0)</f>
        <v>90</v>
      </c>
      <c r="G77" s="14">
        <f>IFERROR(__xludf.DUMMYFUNCTION("""COMPUTED_VALUE"""),1185.0)</f>
        <v>1185</v>
      </c>
      <c r="H77" s="14">
        <f>IFERROR(__xludf.DUMMYFUNCTION("""COMPUTED_VALUE"""),13.19)</f>
        <v>13.19</v>
      </c>
      <c r="I77" s="14">
        <f>IFERROR(__xludf.DUMMYFUNCTION("""COMPUTED_VALUE"""),13.175)</f>
        <v>13.175</v>
      </c>
      <c r="J77" s="14">
        <f>IFERROR(__xludf.DUMMYFUNCTION("""COMPUTED_VALUE"""),15.864166666666668)</f>
        <v>15.86416667</v>
      </c>
      <c r="K77" s="14">
        <f>IFERROR(__xludf.DUMMYFUNCTION("""COMPUTED_VALUE"""),66.14583333333334)</f>
        <v>66.14583333</v>
      </c>
      <c r="L77" s="15">
        <f>IFERROR(__xludf.DUMMYFUNCTION("""COMPUTED_VALUE"""),0.041837971747838924)</f>
        <v>0.04183797175</v>
      </c>
      <c r="M77" s="17" t="str">
        <f>IFERROR(__xludf.DUMMYFUNCTION("""COMPUTED_VALUE"""),"KÂRLI")</f>
        <v>KÂRLI</v>
      </c>
      <c r="N77" s="17" t="str">
        <f>IFERROR(__xludf.DUMMYFUNCTION("""COMPUTED_VALUE"""),"")</f>
        <v/>
      </c>
      <c r="O77" s="17">
        <f>IFERROR(__xludf.DUMMYFUNCTION("""COMPUTED_VALUE"""),3.0)</f>
        <v>3</v>
      </c>
      <c r="P77" s="17" t="str">
        <f>IFERROR(__xludf.DUMMYFUNCTION("""COMPUTED_VALUE"""),"")</f>
        <v/>
      </c>
      <c r="Q77" s="17" t="str">
        <f>IFERROR(__xludf.DUMMYFUNCTION("""COMPUTED_VALUE"""),"")</f>
        <v/>
      </c>
      <c r="R77" s="14">
        <f>IFERROR(__xludf.DUMMYFUNCTION("""COMPUTED_VALUE"""),1503.7832916918358)</f>
        <v>1503.783292</v>
      </c>
      <c r="S77" s="14">
        <f>IFERROR(__xludf.DUMMYFUNCTION("""COMPUTED_VALUE"""),77.21670830816424)</f>
        <v>77.21670831</v>
      </c>
      <c r="T77" s="17" t="str">
        <f>IFERROR(__xludf.DUMMYFUNCTION("""COMPUTED_VALUE"""),"DÜŞÜK KÂR")</f>
        <v>DÜŞÜK KÂR</v>
      </c>
      <c r="U77" s="17" t="str">
        <f>IFERROR(__xludf.DUMMYFUNCTION("""COMPUTED_VALUE"""),"Reklam/komisyon etkisini kontrol et")</f>
        <v>Reklam/komisyon etkisini kontrol et</v>
      </c>
    </row>
    <row r="78">
      <c r="A78" s="2">
        <f>IFERROR(__xludf.DUMMYFUNCTION("""COMPUTED_VALUE"""),8.0102760422E12)</f>
        <v>8010276042200</v>
      </c>
      <c r="B78" s="17" t="str">
        <f>IFERROR(__xludf.DUMMYFUNCTION("""COMPUTED_VALUE"""),"N&amp;D")</f>
        <v>N&amp;D</v>
      </c>
      <c r="C78" s="17" t="str">
        <f>IFERROR(__xludf.DUMMYFUNCTION("""COMPUTED_VALUE"""),"Tropikal Selection Tavuklu Kısırlaştırılmış Yetişkin Kedi Maması 1,5 Kg")</f>
        <v>Tropikal Selection Tavuklu Kısırlaştırılmış Yetişkin Kedi Maması 1,5 Kg</v>
      </c>
      <c r="D78" s="14">
        <f>IFERROR(__xludf.DUMMYFUNCTION("""COMPUTED_VALUE"""),1085.0)</f>
        <v>1085</v>
      </c>
      <c r="E78" s="14">
        <f>IFERROR(__xludf.DUMMYFUNCTION("""COMPUTED_VALUE"""),179.025)</f>
        <v>179.025</v>
      </c>
      <c r="F78" s="14">
        <f>IFERROR(__xludf.DUMMYFUNCTION("""COMPUTED_VALUE"""),90.0)</f>
        <v>90</v>
      </c>
      <c r="G78" s="14">
        <f>IFERROR(__xludf.DUMMYFUNCTION("""COMPUTED_VALUE"""),713.0)</f>
        <v>713</v>
      </c>
      <c r="H78" s="14">
        <f>IFERROR(__xludf.DUMMYFUNCTION("""COMPUTED_VALUE"""),13.19)</f>
        <v>13.19</v>
      </c>
      <c r="I78" s="14">
        <f>IFERROR(__xludf.DUMMYFUNCTION("""COMPUTED_VALUE"""),9.041666666666668)</f>
        <v>9.041666667</v>
      </c>
      <c r="J78" s="14">
        <f>IFERROR(__xludf.DUMMYFUNCTION("""COMPUTED_VALUE"""),14.964166666666662)</f>
        <v>14.96416667</v>
      </c>
      <c r="K78" s="14">
        <f>IFERROR(__xludf.DUMMYFUNCTION("""COMPUTED_VALUE"""),65.7791666666667)</f>
        <v>65.77916667</v>
      </c>
      <c r="L78" s="15">
        <f>IFERROR(__xludf.DUMMYFUNCTION("""COMPUTED_VALUE"""),0.06062596006144396)</f>
        <v>0.06062596006</v>
      </c>
      <c r="M78" s="17" t="str">
        <f>IFERROR(__xludf.DUMMYFUNCTION("""COMPUTED_VALUE"""),"KÂRLI")</f>
        <v>KÂRLI</v>
      </c>
      <c r="N78" s="17" t="str">
        <f>IFERROR(__xludf.DUMMYFUNCTION("""COMPUTED_VALUE"""),"")</f>
        <v/>
      </c>
      <c r="O78" s="17">
        <f>IFERROR(__xludf.DUMMYFUNCTION("""COMPUTED_VALUE"""),3.0)</f>
        <v>3</v>
      </c>
      <c r="P78" s="17" t="str">
        <f>IFERROR(__xludf.DUMMYFUNCTION("""COMPUTED_VALUE"""),"")</f>
        <v/>
      </c>
      <c r="Q78" s="17" t="str">
        <f>IFERROR(__xludf.DUMMYFUNCTION("""COMPUTED_VALUE"""),"")</f>
        <v/>
      </c>
      <c r="R78" s="14">
        <f>IFERROR(__xludf.DUMMYFUNCTION("""COMPUTED_VALUE"""),1004.0779432294712)</f>
        <v>1004.077943</v>
      </c>
      <c r="S78" s="14">
        <f>IFERROR(__xludf.DUMMYFUNCTION("""COMPUTED_VALUE"""),80.9220567705288)</f>
        <v>80.92205677</v>
      </c>
      <c r="T78" s="17" t="str">
        <f>IFERROR(__xludf.DUMMYFUNCTION("""COMPUTED_VALUE"""),"DÜŞÜK KÂR")</f>
        <v>DÜŞÜK KÂR</v>
      </c>
      <c r="U78" s="17" t="str">
        <f>IFERROR(__xludf.DUMMYFUNCTION("""COMPUTED_VALUE"""),"Reklam/komisyon etkisini kontrol et")</f>
        <v>Reklam/komisyon etkisini kontrol et</v>
      </c>
    </row>
    <row r="79">
      <c r="A79" s="2">
        <f>IFERROR(__xludf.DUMMYFUNCTION("""COMPUTED_VALUE"""),8.010276042149E12)</f>
        <v>8010276042149</v>
      </c>
      <c r="B79" s="17" t="str">
        <f>IFERROR(__xludf.DUMMYFUNCTION("""COMPUTED_VALUE"""),"N&amp;D")</f>
        <v>N&amp;D</v>
      </c>
      <c r="C79" s="17" t="str">
        <f>IFERROR(__xludf.DUMMYFUNCTION("""COMPUTED_VALUE"""),"Tropical Kuzu Etli Kısırlaştırılmış Kedi Maması 10 KG")</f>
        <v>Tropical Kuzu Etli Kısırlaştırılmış Kedi Maması 10 KG</v>
      </c>
      <c r="D79" s="14">
        <f>IFERROR(__xludf.DUMMYFUNCTION("""COMPUTED_VALUE"""),3872.0)</f>
        <v>3872</v>
      </c>
      <c r="E79" s="14">
        <f>IFERROR(__xludf.DUMMYFUNCTION("""COMPUTED_VALUE"""),638.88)</f>
        <v>638.88</v>
      </c>
      <c r="F79" s="14">
        <f>IFERROR(__xludf.DUMMYFUNCTION("""COMPUTED_VALUE"""),159.74)</f>
        <v>159.74</v>
      </c>
      <c r="G79" s="14">
        <f>IFERROR(__xludf.DUMMYFUNCTION("""COMPUTED_VALUE"""),2944.0)</f>
        <v>2944</v>
      </c>
      <c r="H79" s="14">
        <f>IFERROR(__xludf.DUMMYFUNCTION("""COMPUTED_VALUE"""),13.19)</f>
        <v>13.19</v>
      </c>
      <c r="I79" s="14">
        <f>IFERROR(__xludf.DUMMYFUNCTION("""COMPUTED_VALUE"""),32.26666666666667)</f>
        <v>32.26666667</v>
      </c>
      <c r="J79" s="14">
        <f>IFERROR(__xludf.DUMMYFUNCTION("""COMPUTED_VALUE"""),19.36499999999983)</f>
        <v>19.365</v>
      </c>
      <c r="K79" s="14">
        <f>IFERROR(__xludf.DUMMYFUNCTION("""COMPUTED_VALUE"""),64.5583333333336)</f>
        <v>64.55833333</v>
      </c>
      <c r="L79" s="15">
        <f>IFERROR(__xludf.DUMMYFUNCTION("""COMPUTED_VALUE"""),0.01667312327823698)</f>
        <v>0.01667312328</v>
      </c>
      <c r="M79" s="17" t="str">
        <f>IFERROR(__xludf.DUMMYFUNCTION("""COMPUTED_VALUE"""),"KÂRLI")</f>
        <v>KÂRLI</v>
      </c>
      <c r="N79" s="17" t="str">
        <f>IFERROR(__xludf.DUMMYFUNCTION("""COMPUTED_VALUE"""),"")</f>
        <v/>
      </c>
      <c r="O79" s="17">
        <f>IFERROR(__xludf.DUMMYFUNCTION("""COMPUTED_VALUE"""),10.0)</f>
        <v>10</v>
      </c>
      <c r="P79" s="17" t="str">
        <f>IFERROR(__xludf.DUMMYFUNCTION("""COMPUTED_VALUE"""),"")</f>
        <v/>
      </c>
      <c r="Q79" s="17" t="str">
        <f>IFERROR(__xludf.DUMMYFUNCTION("""COMPUTED_VALUE"""),"")</f>
        <v/>
      </c>
      <c r="R79" s="14">
        <f>IFERROR(__xludf.DUMMYFUNCTION("""COMPUTED_VALUE"""),3793.4283578854756)</f>
        <v>3793.428358</v>
      </c>
      <c r="S79" s="14">
        <f>IFERROR(__xludf.DUMMYFUNCTION("""COMPUTED_VALUE"""),78.57164211452437)</f>
        <v>78.57164211</v>
      </c>
      <c r="T79" s="17" t="str">
        <f>IFERROR(__xludf.DUMMYFUNCTION("""COMPUTED_VALUE"""),"RİSKLİ")</f>
        <v>RİSKLİ</v>
      </c>
      <c r="U79" s="17" t="str">
        <f>IFERROR(__xludf.DUMMYFUNCTION("""COMPUTED_VALUE"""),"Minimum fiyat altına düşme")</f>
        <v>Minimum fiyat altına düşme</v>
      </c>
    </row>
    <row r="80">
      <c r="A80" s="2" t="str">
        <f>IFERROR(__xludf.DUMMYFUNCTION("""COMPUTED_VALUE"""),"8445291929555-2")</f>
        <v>8445291929555-2</v>
      </c>
      <c r="B80" s="17" t="str">
        <f>IFERROR(__xludf.DUMMYFUNCTION("""COMPUTED_VALUE"""),"Gourmet")</f>
        <v>Gourmet</v>
      </c>
      <c r="C80" s="17" t="str">
        <f>IFERROR(__xludf.DUMMYFUNCTION("""COMPUTED_VALUE"""),"Purina Gold Karışık Kıyılmış Kedi Konservesi 85 gr X 16 Adet")</f>
        <v>Purina Gold Karışık Kıyılmış Kedi Konservesi 85 gr X 16 Adet</v>
      </c>
      <c r="D80" s="14">
        <f>IFERROR(__xludf.DUMMYFUNCTION("""COMPUTED_VALUE"""),699.0)</f>
        <v>699</v>
      </c>
      <c r="E80" s="14">
        <f>IFERROR(__xludf.DUMMYFUNCTION("""COMPUTED_VALUE"""),94.365)</f>
        <v>94.365</v>
      </c>
      <c r="F80" s="14">
        <f>IFERROR(__xludf.DUMMYFUNCTION("""COMPUTED_VALUE"""),90.0)</f>
        <v>90</v>
      </c>
      <c r="G80" s="14">
        <f>IFERROR(__xludf.DUMMYFUNCTION("""COMPUTED_VALUE"""),420.0)</f>
        <v>420</v>
      </c>
      <c r="H80" s="14">
        <f>IFERROR(__xludf.DUMMYFUNCTION("""COMPUTED_VALUE"""),13.19)</f>
        <v>13.19</v>
      </c>
      <c r="I80" s="14">
        <f>IFERROR(__xludf.DUMMYFUNCTION("""COMPUTED_VALUE"""),5.825)</f>
        <v>5.825</v>
      </c>
      <c r="J80" s="14">
        <f>IFERROR(__xludf.DUMMYFUNCTION("""COMPUTED_VALUE"""),13.574166666666676)</f>
        <v>13.57416667</v>
      </c>
      <c r="K80" s="14">
        <f>IFERROR(__xludf.DUMMYFUNCTION("""COMPUTED_VALUE"""),62.04583333333331)</f>
        <v>62.04583333</v>
      </c>
      <c r="L80" s="15">
        <f>IFERROR(__xludf.DUMMYFUNCTION("""COMPUTED_VALUE"""),0.0887637100619933)</f>
        <v>0.08876371006</v>
      </c>
      <c r="M80" s="17" t="str">
        <f>IFERROR(__xludf.DUMMYFUNCTION("""COMPUTED_VALUE"""),"KÂRLI")</f>
        <v>KÂRLI</v>
      </c>
      <c r="N80" s="17" t="str">
        <f>IFERROR(__xludf.DUMMYFUNCTION("""COMPUTED_VALUE"""),"")</f>
        <v/>
      </c>
      <c r="O80" s="17">
        <f>IFERROR(__xludf.DUMMYFUNCTION("""COMPUTED_VALUE"""),3.0)</f>
        <v>3</v>
      </c>
      <c r="P80" s="17" t="str">
        <f>IFERROR(__xludf.DUMMYFUNCTION("""COMPUTED_VALUE"""),"")</f>
        <v/>
      </c>
      <c r="Q80" s="17" t="str">
        <f>IFERROR(__xludf.DUMMYFUNCTION("""COMPUTED_VALUE"""),"")</f>
        <v/>
      </c>
      <c r="R80" s="14">
        <f>IFERROR(__xludf.DUMMYFUNCTION("""COMPUTED_VALUE"""),624.8928099925107)</f>
        <v>624.89281</v>
      </c>
      <c r="S80" s="14">
        <f>IFERROR(__xludf.DUMMYFUNCTION("""COMPUTED_VALUE"""),74.1071900074893)</f>
        <v>74.10719001</v>
      </c>
      <c r="T80" s="17" t="str">
        <f>IFERROR(__xludf.DUMMYFUNCTION("""COMPUTED_VALUE"""),"DÜŞÜK KÂR")</f>
        <v>DÜŞÜK KÂR</v>
      </c>
      <c r="U80" s="17" t="str">
        <f>IFERROR(__xludf.DUMMYFUNCTION("""COMPUTED_VALUE"""),"Reklam/komisyon etkisini kontrol et")</f>
        <v>Reklam/komisyon etkisini kontrol et</v>
      </c>
    </row>
    <row r="81">
      <c r="A81" s="2" t="str">
        <f>IFERROR(__xludf.DUMMYFUNCTION("""COMPUTED_VALUE"""),"TYBJBM8LYFYNJK3R08")</f>
        <v>TYBJBM8LYFYNJK3R08</v>
      </c>
      <c r="B81" s="17" t="str">
        <f>IFERROR(__xludf.DUMMYFUNCTION("""COMPUTED_VALUE"""),"Gourmet")</f>
        <v>Gourmet</v>
      </c>
      <c r="C81" s="17" t="str">
        <f>IFERROR(__xludf.DUMMYFUNCTION("""COMPUTED_VALUE"""),"Gold Kıyılmış Hindi Etli Konserve Yetişkin Kedi Maması 12 x 85 G")</f>
        <v>Gold Kıyılmış Hindi Etli Konserve Yetişkin Kedi Maması 12 x 85 G</v>
      </c>
      <c r="D81" s="14">
        <f>IFERROR(__xludf.DUMMYFUNCTION("""COMPUTED_VALUE"""),539.9)</f>
        <v>539.9</v>
      </c>
      <c r="E81" s="14">
        <f>IFERROR(__xludf.DUMMYFUNCTION("""COMPUTED_VALUE"""),72.8865)</f>
        <v>72.8865</v>
      </c>
      <c r="F81" s="14">
        <f>IFERROR(__xludf.DUMMYFUNCTION("""COMPUTED_VALUE"""),86.4)</f>
        <v>86.4</v>
      </c>
      <c r="G81" s="14">
        <f>IFERROR(__xludf.DUMMYFUNCTION("""COMPUTED_VALUE"""),290.0)</f>
        <v>290</v>
      </c>
      <c r="H81" s="14">
        <f>IFERROR(__xludf.DUMMYFUNCTION("""COMPUTED_VALUE"""),13.19)</f>
        <v>13.19</v>
      </c>
      <c r="I81" s="14">
        <f>IFERROR(__xludf.DUMMYFUNCTION("""COMPUTED_VALUE"""),4.4991666666666665)</f>
        <v>4.499166667</v>
      </c>
      <c r="J81" s="14">
        <f>IFERROR(__xludf.DUMMYFUNCTION("""COMPUTED_VALUE"""),12.903916666666658)</f>
        <v>12.90391667</v>
      </c>
      <c r="K81" s="14">
        <f>IFERROR(__xludf.DUMMYFUNCTION("""COMPUTED_VALUE"""),60.020416666666605)</f>
        <v>60.02041667</v>
      </c>
      <c r="L81" s="15">
        <f>IFERROR(__xludf.DUMMYFUNCTION("""COMPUTED_VALUE"""),0.11116950669877126)</f>
        <v>0.1111695067</v>
      </c>
      <c r="M81" s="17" t="str">
        <f>IFERROR(__xludf.DUMMYFUNCTION("""COMPUTED_VALUE"""),"KÂRLI")</f>
        <v>KÂRLI</v>
      </c>
      <c r="N81" s="17" t="str">
        <f>IFERROR(__xludf.DUMMYFUNCTION("""COMPUTED_VALUE"""),"")</f>
        <v/>
      </c>
      <c r="O81" s="17">
        <f>IFERROR(__xludf.DUMMYFUNCTION("""COMPUTED_VALUE"""),1.0)</f>
        <v>1</v>
      </c>
      <c r="P81" s="17" t="str">
        <f>IFERROR(__xludf.DUMMYFUNCTION("""COMPUTED_VALUE"""),"")</f>
        <v/>
      </c>
      <c r="Q81" s="17" t="str">
        <f>IFERROR(__xludf.DUMMYFUNCTION("""COMPUTED_VALUE"""),"")</f>
        <v/>
      </c>
      <c r="R81" s="14">
        <f>IFERROR(__xludf.DUMMYFUNCTION("""COMPUTED_VALUE"""),467.8262535959229)</f>
        <v>467.8262536</v>
      </c>
      <c r="S81" s="14">
        <f>IFERROR(__xludf.DUMMYFUNCTION("""COMPUTED_VALUE"""),72.0737464040771)</f>
        <v>72.0737464</v>
      </c>
      <c r="T81" s="17" t="str">
        <f>IFERROR(__xludf.DUMMYFUNCTION("""COMPUTED_VALUE"""),"SAĞLIKLI")</f>
        <v>SAĞLIKLI</v>
      </c>
      <c r="U81" s="17" t="str">
        <f>IFERROR(__xludf.DUMMYFUNCTION("""COMPUTED_VALUE"""),"Takip et")</f>
        <v>Takip et</v>
      </c>
    </row>
    <row r="82">
      <c r="A82" s="2">
        <f>IFERROR(__xludf.DUMMYFUNCTION("""COMPUTED_VALUE"""),7.613036505277E12)</f>
        <v>7613036505277</v>
      </c>
      <c r="B82" s="17" t="str">
        <f>IFERROR(__xludf.DUMMYFUNCTION("""COMPUTED_VALUE"""),"Pro Plan")</f>
        <v>Pro Plan</v>
      </c>
      <c r="C82" s="17" t="str">
        <f>IFERROR(__xludf.DUMMYFUNCTION("""COMPUTED_VALUE"""),"Purina Kitten Tavuklu Yavru Kedi Maması 3 KG")</f>
        <v>Purina Kitten Tavuklu Yavru Kedi Maması 3 KG</v>
      </c>
      <c r="D82" s="14">
        <f>IFERROR(__xludf.DUMMYFUNCTION("""COMPUTED_VALUE"""),1243.0)</f>
        <v>1243</v>
      </c>
      <c r="E82" s="14">
        <f>IFERROR(__xludf.DUMMYFUNCTION("""COMPUTED_VALUE"""),155.375)</f>
        <v>155.375</v>
      </c>
      <c r="F82" s="14">
        <f>IFERROR(__xludf.DUMMYFUNCTION("""COMPUTED_VALUE"""),90.0)</f>
        <v>90</v>
      </c>
      <c r="G82" s="14">
        <f>IFERROR(__xludf.DUMMYFUNCTION("""COMPUTED_VALUE"""),900.0)</f>
        <v>900</v>
      </c>
      <c r="H82" s="14">
        <f>IFERROR(__xludf.DUMMYFUNCTION("""COMPUTED_VALUE"""),13.19)</f>
        <v>13.19</v>
      </c>
      <c r="I82" s="14">
        <f>IFERROR(__xludf.DUMMYFUNCTION("""COMPUTED_VALUE"""),10.358333333333334)</f>
        <v>10.35833333</v>
      </c>
      <c r="J82" s="14">
        <f>IFERROR(__xludf.DUMMYFUNCTION("""COMPUTED_VALUE"""),14.072499999999868)</f>
        <v>14.0725</v>
      </c>
      <c r="K82" s="14">
        <f>IFERROR(__xludf.DUMMYFUNCTION("""COMPUTED_VALUE"""),60.0041666666668)</f>
        <v>60.00416667</v>
      </c>
      <c r="L82" s="15">
        <f>IFERROR(__xludf.DUMMYFUNCTION("""COMPUTED_VALUE"""),0.048273665862161544)</f>
        <v>0.04827366586</v>
      </c>
      <c r="M82" s="17" t="str">
        <f>IFERROR(__xludf.DUMMYFUNCTION("""COMPUTED_VALUE"""),"KÂRLI")</f>
        <v>KÂRLI</v>
      </c>
      <c r="N82" s="17" t="str">
        <f>IFERROR(__xludf.DUMMYFUNCTION("""COMPUTED_VALUE"""),"")</f>
        <v/>
      </c>
      <c r="O82" s="17">
        <f>IFERROR(__xludf.DUMMYFUNCTION("""COMPUTED_VALUE"""),3.0)</f>
        <v>3</v>
      </c>
      <c r="P82" s="17" t="str">
        <f>IFERROR(__xludf.DUMMYFUNCTION("""COMPUTED_VALUE"""),"")</f>
        <v/>
      </c>
      <c r="Q82" s="17" t="str">
        <f>IFERROR(__xludf.DUMMYFUNCTION("""COMPUTED_VALUE"""),"")</f>
        <v/>
      </c>
      <c r="R82" s="14">
        <f>IFERROR(__xludf.DUMMYFUNCTION("""COMPUTED_VALUE"""),1172.8475598767184)</f>
        <v>1172.84756</v>
      </c>
      <c r="S82" s="14">
        <f>IFERROR(__xludf.DUMMYFUNCTION("""COMPUTED_VALUE"""),70.15244012328162)</f>
        <v>70.15244012</v>
      </c>
      <c r="T82" s="17" t="str">
        <f>IFERROR(__xludf.DUMMYFUNCTION("""COMPUTED_VALUE"""),"DÜŞÜK KÂR")</f>
        <v>DÜŞÜK KÂR</v>
      </c>
      <c r="U82" s="17" t="str">
        <f>IFERROR(__xludf.DUMMYFUNCTION("""COMPUTED_VALUE"""),"Reklam/komisyon etkisini kontrol et")</f>
        <v>Reklam/komisyon etkisini kontrol et</v>
      </c>
    </row>
    <row r="83">
      <c r="A83" s="2">
        <f>IFERROR(__xludf.DUMMYFUNCTION("""COMPUTED_VALUE"""),3.182550728102E12)</f>
        <v>3182550728102</v>
      </c>
      <c r="B83" s="17" t="str">
        <f>IFERROR(__xludf.DUMMYFUNCTION("""COMPUTED_VALUE"""),"Royal Canin")</f>
        <v>Royal Canin</v>
      </c>
      <c r="C83" s="17" t="str">
        <f>IFERROR(__xludf.DUMMYFUNCTION("""COMPUTED_VALUE"""),"Chihuahua Kuru Köpek Maması 1.5kg")</f>
        <v>Chihuahua Kuru Köpek Maması 1.5kg</v>
      </c>
      <c r="D83" s="14">
        <f>IFERROR(__xludf.DUMMYFUNCTION("""COMPUTED_VALUE"""),914.0)</f>
        <v>914</v>
      </c>
      <c r="E83" s="14">
        <f>IFERROR(__xludf.DUMMYFUNCTION("""COMPUTED_VALUE"""),114.25)</f>
        <v>114.25</v>
      </c>
      <c r="F83" s="14">
        <f>IFERROR(__xludf.DUMMYFUNCTION("""COMPUTED_VALUE"""),86.4)</f>
        <v>86.4</v>
      </c>
      <c r="G83" s="14">
        <f>IFERROR(__xludf.DUMMYFUNCTION("""COMPUTED_VALUE"""),621.6)</f>
        <v>621.6</v>
      </c>
      <c r="H83" s="14">
        <f>IFERROR(__xludf.DUMMYFUNCTION("""COMPUTED_VALUE"""),13.19)</f>
        <v>13.19</v>
      </c>
      <c r="I83" s="14">
        <f>IFERROR(__xludf.DUMMYFUNCTION("""COMPUTED_VALUE"""),7.616666666666667)</f>
        <v>7.616666667</v>
      </c>
      <c r="J83" s="14">
        <f>IFERROR(__xludf.DUMMYFUNCTION("""COMPUTED_VALUE"""),13.093333333333254)</f>
        <v>13.09333333</v>
      </c>
      <c r="K83" s="14">
        <f>IFERROR(__xludf.DUMMYFUNCTION("""COMPUTED_VALUE"""),57.85000000000007)</f>
        <v>57.85</v>
      </c>
      <c r="L83" s="15">
        <f>IFERROR(__xludf.DUMMYFUNCTION("""COMPUTED_VALUE"""),0.06329321663019702)</f>
        <v>0.06329321663</v>
      </c>
      <c r="M83" s="17" t="str">
        <f>IFERROR(__xludf.DUMMYFUNCTION("""COMPUTED_VALUE"""),"KÂRLI")</f>
        <v>KÂRLI</v>
      </c>
      <c r="N83" s="17" t="str">
        <f>IFERROR(__xludf.DUMMYFUNCTION("""COMPUTED_VALUE"""),"")</f>
        <v/>
      </c>
      <c r="O83" s="17">
        <f>IFERROR(__xludf.DUMMYFUNCTION("""COMPUTED_VALUE"""),2.0)</f>
        <v>2</v>
      </c>
      <c r="P83" s="17" t="str">
        <f>IFERROR(__xludf.DUMMYFUNCTION("""COMPUTED_VALUE"""),"")</f>
        <v/>
      </c>
      <c r="Q83" s="17" t="str">
        <f>IFERROR(__xludf.DUMMYFUNCTION("""COMPUTED_VALUE"""),"")</f>
        <v/>
      </c>
      <c r="R83" s="14">
        <f>IFERROR(__xludf.DUMMYFUNCTION("""COMPUTED_VALUE"""),846.1278011566328)</f>
        <v>846.1278012</v>
      </c>
      <c r="S83" s="14">
        <f>IFERROR(__xludf.DUMMYFUNCTION("""COMPUTED_VALUE"""),67.87219884336719)</f>
        <v>67.87219884</v>
      </c>
      <c r="T83" s="17" t="str">
        <f>IFERROR(__xludf.DUMMYFUNCTION("""COMPUTED_VALUE"""),"DÜŞÜK KÂR")</f>
        <v>DÜŞÜK KÂR</v>
      </c>
      <c r="U83" s="17" t="str">
        <f>IFERROR(__xludf.DUMMYFUNCTION("""COMPUTED_VALUE"""),"Reklam/komisyon etkisini kontrol et")</f>
        <v>Reklam/komisyon etkisini kontrol et</v>
      </c>
    </row>
    <row r="84">
      <c r="A84" s="2">
        <f>IFERROR(__xludf.DUMMYFUNCTION("""COMPUTED_VALUE"""),6.38929373773889E14)</f>
        <v>638929373773889</v>
      </c>
      <c r="B84" s="17" t="str">
        <f>IFERROR(__xludf.DUMMYFUNCTION("""COMPUTED_VALUE"""),"FELIX")</f>
        <v>FELIX</v>
      </c>
      <c r="C84" s="17" t="str">
        <f>IFERROR(__xludf.DUMMYFUNCTION("""COMPUTED_VALUE"""),"Yenilenmiş Paketi Ile 32 Adet Karışık Yaş Kedi Maması")</f>
        <v>Yenilenmiş Paketi Ile 32 Adet Karışık Yaş Kedi Maması</v>
      </c>
      <c r="D84" s="14">
        <f>IFERROR(__xludf.DUMMYFUNCTION("""COMPUTED_VALUE"""),759.0)</f>
        <v>759</v>
      </c>
      <c r="E84" s="14">
        <f>IFERROR(__xludf.DUMMYFUNCTION("""COMPUTED_VALUE"""),102.465)</f>
        <v>102.465</v>
      </c>
      <c r="F84" s="14">
        <f>IFERROR(__xludf.DUMMYFUNCTION("""COMPUTED_VALUE"""),86.4)</f>
        <v>86.4</v>
      </c>
      <c r="G84" s="14">
        <f>IFERROR(__xludf.DUMMYFUNCTION("""COMPUTED_VALUE"""),480.0)</f>
        <v>480</v>
      </c>
      <c r="H84" s="14">
        <f>IFERROR(__xludf.DUMMYFUNCTION("""COMPUTED_VALUE"""),13.19)</f>
        <v>13.19</v>
      </c>
      <c r="I84" s="14">
        <f>IFERROR(__xludf.DUMMYFUNCTION("""COMPUTED_VALUE"""),6.325)</f>
        <v>6.325</v>
      </c>
      <c r="J84" s="14">
        <f>IFERROR(__xludf.DUMMYFUNCTION("""COMPUTED_VALUE"""),12.824166666666676)</f>
        <v>12.82416667</v>
      </c>
      <c r="K84" s="14">
        <f>IFERROR(__xludf.DUMMYFUNCTION("""COMPUTED_VALUE"""),57.79583333333331)</f>
        <v>57.79583333</v>
      </c>
      <c r="L84" s="15">
        <f>IFERROR(__xludf.DUMMYFUNCTION("""COMPUTED_VALUE"""),0.07614734299516905)</f>
        <v>0.076147343</v>
      </c>
      <c r="M84" s="17" t="str">
        <f>IFERROR(__xludf.DUMMYFUNCTION("""COMPUTED_VALUE"""),"KÂRLI")</f>
        <v>KÂRLI</v>
      </c>
      <c r="N84" s="17" t="str">
        <f>IFERROR(__xludf.DUMMYFUNCTION("""COMPUTED_VALUE"""),"")</f>
        <v/>
      </c>
      <c r="O84" s="17">
        <f>IFERROR(__xludf.DUMMYFUNCTION("""COMPUTED_VALUE"""),1.0)</f>
        <v>1</v>
      </c>
      <c r="P84" s="17" t="str">
        <f>IFERROR(__xludf.DUMMYFUNCTION("""COMPUTED_VALUE"""),"")</f>
        <v/>
      </c>
      <c r="Q84" s="17" t="str">
        <f>IFERROR(__xludf.DUMMYFUNCTION("""COMPUTED_VALUE"""),"")</f>
        <v/>
      </c>
      <c r="R84" s="14">
        <f>IFERROR(__xludf.DUMMYFUNCTION("""COMPUTED_VALUE"""),690.1763615999946)</f>
        <v>690.1763616</v>
      </c>
      <c r="S84" s="14">
        <f>IFERROR(__xludf.DUMMYFUNCTION("""COMPUTED_VALUE"""),68.8236384000054)</f>
        <v>68.8236384</v>
      </c>
      <c r="T84" s="17" t="str">
        <f>IFERROR(__xludf.DUMMYFUNCTION("""COMPUTED_VALUE"""),"DÜŞÜK KÂR")</f>
        <v>DÜŞÜK KÂR</v>
      </c>
      <c r="U84" s="17" t="str">
        <f>IFERROR(__xludf.DUMMYFUNCTION("""COMPUTED_VALUE"""),"Reklam/komisyon etkisini kontrol et")</f>
        <v>Reklam/komisyon etkisini kontrol et</v>
      </c>
    </row>
    <row r="85">
      <c r="A85" s="2" t="str">
        <f>IFERROR(__xludf.DUMMYFUNCTION("""COMPUTED_VALUE"""),"TYB4UMVNPMYZ5M4L47")</f>
        <v>TYB4UMVNPMYZ5M4L47</v>
      </c>
      <c r="B85" s="17" t="str">
        <f>IFERROR(__xludf.DUMMYFUNCTION("""COMPUTED_VALUE"""),"FELIX")</f>
        <v>FELIX</v>
      </c>
      <c r="C85" s="17" t="str">
        <f>IFERROR(__xludf.DUMMYFUNCTION("""COMPUTED_VALUE"""),"Karışık Yetişkin Yaş Kedi Maması 85 Gr X 26 Adet")</f>
        <v>Karışık Yetişkin Yaş Kedi Maması 85 Gr X 26 Adet</v>
      </c>
      <c r="D85" s="14">
        <f>IFERROR(__xludf.DUMMYFUNCTION("""COMPUTED_VALUE"""),649.9)</f>
        <v>649.9</v>
      </c>
      <c r="E85" s="14">
        <f>IFERROR(__xludf.DUMMYFUNCTION("""COMPUTED_VALUE"""),87.73649999999999)</f>
        <v>87.7365</v>
      </c>
      <c r="F85" s="14">
        <f>IFERROR(__xludf.DUMMYFUNCTION("""COMPUTED_VALUE"""),86.4)</f>
        <v>86.4</v>
      </c>
      <c r="G85" s="14">
        <f>IFERROR(__xludf.DUMMYFUNCTION("""COMPUTED_VALUE"""),390.0)</f>
        <v>390</v>
      </c>
      <c r="H85" s="14">
        <f>IFERROR(__xludf.DUMMYFUNCTION("""COMPUTED_VALUE"""),13.19)</f>
        <v>13.19</v>
      </c>
      <c r="I85" s="14">
        <f>IFERROR(__xludf.DUMMYFUNCTION("""COMPUTED_VALUE"""),5.4158333333333335)</f>
        <v>5.415833333</v>
      </c>
      <c r="J85" s="14">
        <f>IFERROR(__xludf.DUMMYFUNCTION("""COMPUTED_VALUE"""),12.095583333333286)</f>
        <v>12.09558333</v>
      </c>
      <c r="K85" s="14">
        <f>IFERROR(__xludf.DUMMYFUNCTION("""COMPUTED_VALUE"""),55.0620833333334)</f>
        <v>55.06208333</v>
      </c>
      <c r="L85" s="15">
        <f>IFERROR(__xludf.DUMMYFUNCTION("""COMPUTED_VALUE"""),0.08472393188695707)</f>
        <v>0.08472393189</v>
      </c>
      <c r="M85" s="17" t="str">
        <f>IFERROR(__xludf.DUMMYFUNCTION("""COMPUTED_VALUE"""),"KÂRLI")</f>
        <v>KÂRLI</v>
      </c>
      <c r="N85" s="17" t="str">
        <f>IFERROR(__xludf.DUMMYFUNCTION("""COMPUTED_VALUE"""),"")</f>
        <v/>
      </c>
      <c r="O85" s="17">
        <f>IFERROR(__xludf.DUMMYFUNCTION("""COMPUTED_VALUE"""),2.0)</f>
        <v>2</v>
      </c>
      <c r="P85" s="17" t="str">
        <f>IFERROR(__xludf.DUMMYFUNCTION("""COMPUTED_VALUE"""),"")</f>
        <v/>
      </c>
      <c r="Q85" s="17" t="str">
        <f>IFERROR(__xludf.DUMMYFUNCTION("""COMPUTED_VALUE"""),"")</f>
        <v/>
      </c>
      <c r="R85" s="14">
        <f>IFERROR(__xludf.DUMMYFUNCTION("""COMPUTED_VALUE"""),584.197553227028)</f>
        <v>584.1975532</v>
      </c>
      <c r="S85" s="14">
        <f>IFERROR(__xludf.DUMMYFUNCTION("""COMPUTED_VALUE"""),65.70244677297194)</f>
        <v>65.70244677</v>
      </c>
      <c r="T85" s="17" t="str">
        <f>IFERROR(__xludf.DUMMYFUNCTION("""COMPUTED_VALUE"""),"DÜŞÜK KÂR")</f>
        <v>DÜŞÜK KÂR</v>
      </c>
      <c r="U85" s="17" t="str">
        <f>IFERROR(__xludf.DUMMYFUNCTION("""COMPUTED_VALUE"""),"Reklam/komisyon etkisini kontrol et")</f>
        <v>Reklam/komisyon etkisini kontrol et</v>
      </c>
    </row>
    <row r="86">
      <c r="A86" s="2" t="str">
        <f>IFERROR(__xludf.DUMMYFUNCTION("""COMPUTED_VALUE"""),"TYBZCSQ5787DOWDV35")</f>
        <v>TYBZCSQ5787DOWDV35</v>
      </c>
      <c r="B86" s="17" t="str">
        <f>IFERROR(__xludf.DUMMYFUNCTION("""COMPUTED_VALUE"""),"Moderna")</f>
        <v>Moderna</v>
      </c>
      <c r="C86" s="17" t="str">
        <f>IFERROR(__xludf.DUMMYFUNCTION("""COMPUTED_VALUE"""),"Smart Saklamalı Mama Kabı 1.5 lt Sarı")</f>
        <v>Smart Saklamalı Mama Kabı 1.5 lt Sarı</v>
      </c>
      <c r="D86" s="14">
        <f>IFERROR(__xludf.DUMMYFUNCTION("""COMPUTED_VALUE"""),525.0)</f>
        <v>525</v>
      </c>
      <c r="E86" s="14">
        <f>IFERROR(__xludf.DUMMYFUNCTION("""COMPUTED_VALUE"""),105.0)</f>
        <v>105</v>
      </c>
      <c r="F86" s="14">
        <f>IFERROR(__xludf.DUMMYFUNCTION("""COMPUTED_VALUE"""),86.4)</f>
        <v>86.4</v>
      </c>
      <c r="G86" s="14">
        <f>IFERROR(__xludf.DUMMYFUNCTION("""COMPUTED_VALUE"""),250.0)</f>
        <v>250</v>
      </c>
      <c r="H86" s="14">
        <f>IFERROR(__xludf.DUMMYFUNCTION("""COMPUTED_VALUE"""),13.19)</f>
        <v>13.19</v>
      </c>
      <c r="I86" s="14">
        <f>IFERROR(__xludf.DUMMYFUNCTION("""COMPUTED_VALUE"""),4.375)</f>
        <v>4.375</v>
      </c>
      <c r="J86" s="14">
        <f>IFERROR(__xludf.DUMMYFUNCTION("""COMPUTED_VALUE"""),11.735000000000019)</f>
        <v>11.735</v>
      </c>
      <c r="K86" s="14">
        <f>IFERROR(__xludf.DUMMYFUNCTION("""COMPUTED_VALUE"""),54.300000000000004)</f>
        <v>54.3</v>
      </c>
      <c r="L86" s="15">
        <f>IFERROR(__xludf.DUMMYFUNCTION("""COMPUTED_VALUE"""),0.10342857142857144)</f>
        <v>0.1034285714</v>
      </c>
      <c r="M86" s="17" t="str">
        <f>IFERROR(__xludf.DUMMYFUNCTION("""COMPUTED_VALUE"""),"KÂRLI")</f>
        <v>KÂRLI</v>
      </c>
      <c r="N86" s="17" t="str">
        <f>IFERROR(__xludf.DUMMYFUNCTION("""COMPUTED_VALUE"""),"")</f>
        <v/>
      </c>
      <c r="O86" s="17">
        <f>IFERROR(__xludf.DUMMYFUNCTION("""COMPUTED_VALUE"""),1.0)</f>
        <v>1</v>
      </c>
      <c r="P86" s="17" t="str">
        <f>IFERROR(__xludf.DUMMYFUNCTION("""COMPUTED_VALUE"""),"")</f>
        <v/>
      </c>
      <c r="Q86" s="17" t="str">
        <f>IFERROR(__xludf.DUMMYFUNCTION("""COMPUTED_VALUE"""),"")</f>
        <v/>
      </c>
      <c r="R86" s="14">
        <f>IFERROR(__xludf.DUMMYFUNCTION("""COMPUTED_VALUE"""),454.41746633227706)</f>
        <v>454.4174663</v>
      </c>
      <c r="S86" s="14">
        <f>IFERROR(__xludf.DUMMYFUNCTION("""COMPUTED_VALUE"""),70.58253366772294)</f>
        <v>70.58253367</v>
      </c>
      <c r="T86" s="17" t="str">
        <f>IFERROR(__xludf.DUMMYFUNCTION("""COMPUTED_VALUE"""),"SAĞLIKLI")</f>
        <v>SAĞLIKLI</v>
      </c>
      <c r="U86" s="17" t="str">
        <f>IFERROR(__xludf.DUMMYFUNCTION("""COMPUTED_VALUE"""),"Takip et")</f>
        <v>Takip et</v>
      </c>
    </row>
    <row r="87">
      <c r="A87" s="2">
        <f>IFERROR(__xludf.DUMMYFUNCTION("""COMPUTED_VALUE"""),9.003579029763E12)</f>
        <v>9003579029763</v>
      </c>
      <c r="B87" s="17" t="str">
        <f>IFERROR(__xludf.DUMMYFUNCTION("""COMPUTED_VALUE"""),"Royal Canin")</f>
        <v>Royal Canin</v>
      </c>
      <c r="C87" s="17" t="str">
        <f>IFERROR(__xludf.DUMMYFUNCTION("""COMPUTED_VALUE"""),"Orta Irklar Için Yaş Konserve Köpek Maması 410g")</f>
        <v>Orta Irklar Için Yaş Konserve Köpek Maması 410g</v>
      </c>
      <c r="D87" s="14">
        <f>IFERROR(__xludf.DUMMYFUNCTION("""COMPUTED_VALUE"""),189.0)</f>
        <v>189</v>
      </c>
      <c r="E87" s="14">
        <f>IFERROR(__xludf.DUMMYFUNCTION("""COMPUTED_VALUE"""),23.625)</f>
        <v>23.625</v>
      </c>
      <c r="F87" s="14">
        <f>IFERROR(__xludf.DUMMYFUNCTION("""COMPUTED_VALUE"""),86.4)</f>
        <v>86.4</v>
      </c>
      <c r="G87" s="14">
        <f>IFERROR(__xludf.DUMMYFUNCTION("""COMPUTED_VALUE"""),1.0)</f>
        <v>1</v>
      </c>
      <c r="H87" s="14">
        <f>IFERROR(__xludf.DUMMYFUNCTION("""COMPUTED_VALUE"""),13.19)</f>
        <v>13.19</v>
      </c>
      <c r="I87" s="14">
        <f>IFERROR(__xludf.DUMMYFUNCTION("""COMPUTED_VALUE"""),1.575)</f>
        <v>1.575</v>
      </c>
      <c r="J87" s="14">
        <f>IFERROR(__xludf.DUMMYFUNCTION("""COMPUTED_VALUE"""),10.797500000000008)</f>
        <v>10.7975</v>
      </c>
      <c r="K87" s="14">
        <f>IFERROR(__xludf.DUMMYFUNCTION("""COMPUTED_VALUE"""),52.41249999999999)</f>
        <v>52.4125</v>
      </c>
      <c r="L87" s="15">
        <f>IFERROR(__xludf.DUMMYFUNCTION("""COMPUTED_VALUE"""),0.27731481481481474)</f>
        <v>0.2773148148</v>
      </c>
      <c r="M87" s="17" t="str">
        <f>IFERROR(__xludf.DUMMYFUNCTION("""COMPUTED_VALUE"""),"KÂRLI")</f>
        <v>KÂRLI</v>
      </c>
      <c r="N87" s="17" t="str">
        <f>IFERROR(__xludf.DUMMYFUNCTION("""COMPUTED_VALUE"""),"")</f>
        <v/>
      </c>
      <c r="O87" s="17">
        <f>IFERROR(__xludf.DUMMYFUNCTION("""COMPUTED_VALUE"""),2.0)</f>
        <v>2</v>
      </c>
      <c r="P87" s="17" t="str">
        <f>IFERROR(__xludf.DUMMYFUNCTION("""COMPUTED_VALUE"""),"")</f>
        <v/>
      </c>
      <c r="Q87" s="17" t="str">
        <f>IFERROR(__xludf.DUMMYFUNCTION("""COMPUTED_VALUE"""),"")</f>
        <v/>
      </c>
      <c r="R87" s="14">
        <f>IFERROR(__xludf.DUMMYFUNCTION("""COMPUTED_VALUE"""),124.25615380050857)</f>
        <v>124.2561538</v>
      </c>
      <c r="S87" s="14">
        <f>IFERROR(__xludf.DUMMYFUNCTION("""COMPUTED_VALUE"""),64.74384619949143)</f>
        <v>64.7438462</v>
      </c>
      <c r="T87" s="17" t="str">
        <f>IFERROR(__xludf.DUMMYFUNCTION("""COMPUTED_VALUE"""),"ÇOK KÂRLI")</f>
        <v>ÇOK KÂRLI</v>
      </c>
      <c r="U87" s="17" t="str">
        <f>IFERROR(__xludf.DUMMYFUNCTION("""COMPUTED_VALUE"""),"Stok ve BuyBox takibini artır")</f>
        <v>Stok ve BuyBox takibini artır</v>
      </c>
    </row>
    <row r="88">
      <c r="A88" s="2">
        <f>IFERROR(__xludf.DUMMYFUNCTION("""COMPUTED_VALUE"""),7.613031680992E12)</f>
        <v>7613031680992</v>
      </c>
      <c r="B88" s="17" t="str">
        <f>IFERROR(__xludf.DUMMYFUNCTION("""COMPUTED_VALUE"""),"Gourmet")</f>
        <v>Gourmet</v>
      </c>
      <c r="C88" s="17" t="str">
        <f>IFERROR(__xludf.DUMMYFUNCTION("""COMPUTED_VALUE"""),"Purina Gold Kıyılmış Hindi Etli Konserve Yetişkin Kedi Maması 24 x 85 G")</f>
        <v>Purina Gold Kıyılmış Hindi Etli Konserve Yetişkin Kedi Maması 24 x 85 G</v>
      </c>
      <c r="D88" s="14">
        <f>IFERROR(__xludf.DUMMYFUNCTION("""COMPUTED_VALUE"""),806.44)</f>
        <v>806.44</v>
      </c>
      <c r="E88" s="14">
        <f>IFERROR(__xludf.DUMMYFUNCTION("""COMPUTED_VALUE"""),56.4508)</f>
        <v>56.4508</v>
      </c>
      <c r="F88" s="14">
        <f>IFERROR(__xludf.DUMMYFUNCTION("""COMPUTED_VALUE"""),86.4)</f>
        <v>86.4</v>
      </c>
      <c r="G88" s="14">
        <f>IFERROR(__xludf.DUMMYFUNCTION("""COMPUTED_VALUE"""),580.0)</f>
        <v>580</v>
      </c>
      <c r="H88" s="14">
        <f>IFERROR(__xludf.DUMMYFUNCTION("""COMPUTED_VALUE"""),13.19)</f>
        <v>13.19</v>
      </c>
      <c r="I88" s="14">
        <f>IFERROR(__xludf.DUMMYFUNCTION("""COMPUTED_VALUE"""),6.720333333333334)</f>
        <v>6.720333333</v>
      </c>
      <c r="J88" s="14">
        <f>IFERROR(__xludf.DUMMYFUNCTION("""COMPUTED_VALUE"""),11.733200000000023)</f>
        <v>11.7332</v>
      </c>
      <c r="K88" s="14">
        <f>IFERROR(__xludf.DUMMYFUNCTION("""COMPUTED_VALUE"""),51.94566666666676)</f>
        <v>51.94566667</v>
      </c>
      <c r="L88" s="15">
        <f>IFERROR(__xludf.DUMMYFUNCTION("""COMPUTED_VALUE"""),0.06441355422184757)</f>
        <v>0.06441355422</v>
      </c>
      <c r="M88" s="17" t="str">
        <f>IFERROR(__xludf.DUMMYFUNCTION("""COMPUTED_VALUE"""),"KÂRLI")</f>
        <v>KÂRLI</v>
      </c>
      <c r="N88" s="17" t="str">
        <f>IFERROR(__xludf.DUMMYFUNCTION("""COMPUTED_VALUE"""),"")</f>
        <v/>
      </c>
      <c r="O88" s="17">
        <f>IFERROR(__xludf.DUMMYFUNCTION("""COMPUTED_VALUE"""),1.0)</f>
        <v>1</v>
      </c>
      <c r="P88" s="17" t="str">
        <f>IFERROR(__xludf.DUMMYFUNCTION("""COMPUTED_VALUE"""),"")</f>
        <v/>
      </c>
      <c r="Q88" s="17" t="str">
        <f>IFERROR(__xludf.DUMMYFUNCTION("""COMPUTED_VALUE"""),"")</f>
        <v/>
      </c>
      <c r="R88" s="14">
        <f>IFERROR(__xludf.DUMMYFUNCTION("""COMPUTED_VALUE"""),749.1751710603197)</f>
        <v>749.1751711</v>
      </c>
      <c r="S88" s="14">
        <f>IFERROR(__xludf.DUMMYFUNCTION("""COMPUTED_VALUE"""),57.26482893968034)</f>
        <v>57.26482894</v>
      </c>
      <c r="T88" s="17" t="str">
        <f>IFERROR(__xludf.DUMMYFUNCTION("""COMPUTED_VALUE"""),"DÜŞÜK KÂR")</f>
        <v>DÜŞÜK KÂR</v>
      </c>
      <c r="U88" s="17" t="str">
        <f>IFERROR(__xludf.DUMMYFUNCTION("""COMPUTED_VALUE"""),"Reklam/komisyon etkisini kontrol et")</f>
        <v>Reklam/komisyon etkisini kontrol et</v>
      </c>
    </row>
    <row r="89">
      <c r="A89" s="2">
        <f>IFERROR(__xludf.DUMMYFUNCTION("""COMPUTED_VALUE"""),7.613031384494E12)</f>
        <v>7613031384494</v>
      </c>
      <c r="B89" s="17" t="str">
        <f>IFERROR(__xludf.DUMMYFUNCTION("""COMPUTED_VALUE"""),"Gourmet")</f>
        <v>Gourmet</v>
      </c>
      <c r="C89" s="17" t="str">
        <f>IFERROR(__xludf.DUMMYFUNCTION("""COMPUTED_VALUE"""),"Gold Kıyılmış Tavuklu Kedi Konservesi 85 gr X 24 Adet")</f>
        <v>Gold Kıyılmış Tavuklu Kedi Konservesi 85 gr X 24 Adet</v>
      </c>
      <c r="D89" s="14">
        <f>IFERROR(__xludf.DUMMYFUNCTION("""COMPUTED_VALUE"""),799.0)</f>
        <v>799</v>
      </c>
      <c r="E89" s="14">
        <f>IFERROR(__xludf.DUMMYFUNCTION("""COMPUTED_VALUE"""),45.543)</f>
        <v>45.543</v>
      </c>
      <c r="F89" s="14">
        <f>IFERROR(__xludf.DUMMYFUNCTION("""COMPUTED_VALUE"""),90.0)</f>
        <v>90</v>
      </c>
      <c r="G89" s="14">
        <f>IFERROR(__xludf.DUMMYFUNCTION("""COMPUTED_VALUE"""),580.0)</f>
        <v>580</v>
      </c>
      <c r="H89" s="14">
        <f>IFERROR(__xludf.DUMMYFUNCTION("""COMPUTED_VALUE"""),13.19)</f>
        <v>13.19</v>
      </c>
      <c r="I89" s="14">
        <f>IFERROR(__xludf.DUMMYFUNCTION("""COMPUTED_VALUE"""),6.658333333333334)</f>
        <v>6.658333333</v>
      </c>
      <c r="J89" s="14">
        <f>IFERROR(__xludf.DUMMYFUNCTION("""COMPUTED_VALUE"""),11.711166666666669)</f>
        <v>11.71116667</v>
      </c>
      <c r="K89" s="14">
        <f>IFERROR(__xludf.DUMMYFUNCTION("""COMPUTED_VALUE"""),51.897499999999994)</f>
        <v>51.8975</v>
      </c>
      <c r="L89" s="15">
        <f>IFERROR(__xludf.DUMMYFUNCTION("""COMPUTED_VALUE"""),0.06495306633291614)</f>
        <v>0.06495306633</v>
      </c>
      <c r="M89" s="17" t="str">
        <f>IFERROR(__xludf.DUMMYFUNCTION("""COMPUTED_VALUE"""),"KÂRLI")</f>
        <v>KÂRLI</v>
      </c>
      <c r="N89" s="17" t="str">
        <f>IFERROR(__xludf.DUMMYFUNCTION("""COMPUTED_VALUE"""),"")</f>
        <v/>
      </c>
      <c r="O89" s="17">
        <f>IFERROR(__xludf.DUMMYFUNCTION("""COMPUTED_VALUE"""),3.0)</f>
        <v>3</v>
      </c>
      <c r="P89" s="17" t="str">
        <f>IFERROR(__xludf.DUMMYFUNCTION("""COMPUTED_VALUE"""),"")</f>
        <v/>
      </c>
      <c r="Q89" s="17" t="str">
        <f>IFERROR(__xludf.DUMMYFUNCTION("""COMPUTED_VALUE"""),"")</f>
        <v/>
      </c>
      <c r="R89" s="14">
        <f>IFERROR(__xludf.DUMMYFUNCTION("""COMPUTED_VALUE"""),742.5899804085028)</f>
        <v>742.5899804</v>
      </c>
      <c r="S89" s="14">
        <f>IFERROR(__xludf.DUMMYFUNCTION("""COMPUTED_VALUE"""),56.41001959149719)</f>
        <v>56.41001959</v>
      </c>
      <c r="T89" s="17" t="str">
        <f>IFERROR(__xludf.DUMMYFUNCTION("""COMPUTED_VALUE"""),"DÜŞÜK KÂR")</f>
        <v>DÜŞÜK KÂR</v>
      </c>
      <c r="U89" s="17" t="str">
        <f>IFERROR(__xludf.DUMMYFUNCTION("""COMPUTED_VALUE"""),"Reklam/komisyon etkisini kontrol et")</f>
        <v>Reklam/komisyon etkisini kontrol et</v>
      </c>
    </row>
    <row r="90">
      <c r="A90" s="2">
        <f>IFERROR(__xludf.DUMMYFUNCTION("""COMPUTED_VALUE"""),1.10201908E8)</f>
        <v>110201908</v>
      </c>
      <c r="B90" s="17" t="str">
        <f>IFERROR(__xludf.DUMMYFUNCTION("""COMPUTED_VALUE"""),"Purina Pro Plan")</f>
        <v>Purina Pro Plan</v>
      </c>
      <c r="C90" s="17" t="str">
        <f>IFERROR(__xludf.DUMMYFUNCTION("""COMPUTED_VALUE"""),"Sterilised Somonlu Kısır Kedi Maması 3kg")</f>
        <v>Sterilised Somonlu Kısır Kedi Maması 3kg</v>
      </c>
      <c r="D90" s="14">
        <f>IFERROR(__xludf.DUMMYFUNCTION("""COMPUTED_VALUE"""),1645.0)</f>
        <v>1645</v>
      </c>
      <c r="E90" s="14">
        <f>IFERROR(__xludf.DUMMYFUNCTION("""COMPUTED_VALUE"""),271.425)</f>
        <v>271.425</v>
      </c>
      <c r="F90" s="14">
        <f>IFERROR(__xludf.DUMMYFUNCTION("""COMPUTED_VALUE"""),90.0)</f>
        <v>90</v>
      </c>
      <c r="G90" s="14">
        <f>IFERROR(__xludf.DUMMYFUNCTION("""COMPUTED_VALUE"""),1194.0)</f>
        <v>1194</v>
      </c>
      <c r="H90" s="14">
        <f>IFERROR(__xludf.DUMMYFUNCTION("""COMPUTED_VALUE"""),13.19)</f>
        <v>13.19</v>
      </c>
      <c r="I90" s="14">
        <f>IFERROR(__xludf.DUMMYFUNCTION("""COMPUTED_VALUE"""),13.708333333333336)</f>
        <v>13.70833333</v>
      </c>
      <c r="J90" s="14">
        <f>IFERROR(__xludf.DUMMYFUNCTION("""COMPUTED_VALUE"""),12.7308333333332)</f>
        <v>12.73083333</v>
      </c>
      <c r="K90" s="14">
        <f>IFERROR(__xludf.DUMMYFUNCTION("""COMPUTED_VALUE"""),49.94583333333351)</f>
        <v>49.94583333</v>
      </c>
      <c r="L90" s="15">
        <f>IFERROR(__xludf.DUMMYFUNCTION("""COMPUTED_VALUE"""),0.03036220871327265)</f>
        <v>0.03036220871</v>
      </c>
      <c r="M90" s="17" t="str">
        <f>IFERROR(__xludf.DUMMYFUNCTION("""COMPUTED_VALUE"""),"KÂRLI")</f>
        <v>KÂRLI</v>
      </c>
      <c r="N90" s="17" t="str">
        <f>IFERROR(__xludf.DUMMYFUNCTION("""COMPUTED_VALUE"""),"")</f>
        <v/>
      </c>
      <c r="O90" s="17">
        <f>IFERROR(__xludf.DUMMYFUNCTION("""COMPUTED_VALUE"""),3.0)</f>
        <v>3</v>
      </c>
      <c r="P90" s="17" t="str">
        <f>IFERROR(__xludf.DUMMYFUNCTION("""COMPUTED_VALUE"""),"")</f>
        <v/>
      </c>
      <c r="Q90" s="17" t="str">
        <f>IFERROR(__xludf.DUMMYFUNCTION("""COMPUTED_VALUE"""),"")</f>
        <v/>
      </c>
      <c r="R90" s="14">
        <f>IFERROR(__xludf.DUMMYFUNCTION("""COMPUTED_VALUE"""),1584.010037172319)</f>
        <v>1584.010037</v>
      </c>
      <c r="S90" s="14">
        <f>IFERROR(__xludf.DUMMYFUNCTION("""COMPUTED_VALUE"""),60.98996282768098)</f>
        <v>60.98996283</v>
      </c>
      <c r="T90" s="17" t="str">
        <f>IFERROR(__xludf.DUMMYFUNCTION("""COMPUTED_VALUE"""),"DÜŞÜK KÂR")</f>
        <v>DÜŞÜK KÂR</v>
      </c>
      <c r="U90" s="17" t="str">
        <f>IFERROR(__xludf.DUMMYFUNCTION("""COMPUTED_VALUE"""),"Reklam/komisyon etkisini kontrol et")</f>
        <v>Reklam/komisyon etkisini kontrol et</v>
      </c>
    </row>
    <row r="91">
      <c r="A91" s="2">
        <f>IFERROR(__xludf.DUMMYFUNCTION("""COMPUTED_VALUE"""),8.410650239156E12)</f>
        <v>8410650239156</v>
      </c>
      <c r="B91" s="17" t="str">
        <f>IFERROR(__xludf.DUMMYFUNCTION("""COMPUTED_VALUE"""),"Advance")</f>
        <v>Advance</v>
      </c>
      <c r="C91" s="17" t="str">
        <f>IFERROR(__xludf.DUMMYFUNCTION("""COMPUTED_VALUE"""),"Cat Sterilized Hairball Hindili Kısır Kedi Maması 3 Kg")</f>
        <v>Cat Sterilized Hairball Hindili Kısır Kedi Maması 3 Kg</v>
      </c>
      <c r="D91" s="14">
        <f>IFERROR(__xludf.DUMMYFUNCTION("""COMPUTED_VALUE"""),1698.0)</f>
        <v>1698</v>
      </c>
      <c r="E91" s="14">
        <f>IFERROR(__xludf.DUMMYFUNCTION("""COMPUTED_VALUE"""),259.79400000000004)</f>
        <v>259.794</v>
      </c>
      <c r="F91" s="14">
        <f>IFERROR(__xludf.DUMMYFUNCTION("""COMPUTED_VALUE"""),90.0)</f>
        <v>90</v>
      </c>
      <c r="G91" s="14">
        <f>IFERROR(__xludf.DUMMYFUNCTION("""COMPUTED_VALUE"""),1260.0)</f>
        <v>1260</v>
      </c>
      <c r="H91" s="14">
        <f>IFERROR(__xludf.DUMMYFUNCTION("""COMPUTED_VALUE"""),13.19)</f>
        <v>13.19</v>
      </c>
      <c r="I91" s="14">
        <f>IFERROR(__xludf.DUMMYFUNCTION("""COMPUTED_VALUE"""),14.15)</f>
        <v>14.15</v>
      </c>
      <c r="J91" s="14">
        <f>IFERROR(__xludf.DUMMYFUNCTION("""COMPUTED_VALUE"""),12.502666666666661)</f>
        <v>12.50266667</v>
      </c>
      <c r="K91" s="14">
        <f>IFERROR(__xludf.DUMMYFUNCTION("""COMPUTED_VALUE"""),48.363333333333244)</f>
        <v>48.36333333</v>
      </c>
      <c r="L91" s="15">
        <f>IFERROR(__xludf.DUMMYFUNCTION("""COMPUTED_VALUE"""),0.028482528464860567)</f>
        <v>0.02848252846</v>
      </c>
      <c r="M91" s="17" t="str">
        <f>IFERROR(__xludf.DUMMYFUNCTION("""COMPUTED_VALUE"""),"KÂRLI")</f>
        <v>KÂRLI</v>
      </c>
      <c r="N91" s="17" t="str">
        <f>IFERROR(__xludf.DUMMYFUNCTION("""COMPUTED_VALUE"""),"")</f>
        <v/>
      </c>
      <c r="O91" s="17">
        <f>IFERROR(__xludf.DUMMYFUNCTION("""COMPUTED_VALUE"""),3.0)</f>
        <v>3</v>
      </c>
      <c r="P91" s="17" t="str">
        <f>IFERROR(__xludf.DUMMYFUNCTION("""COMPUTED_VALUE"""),"")</f>
        <v/>
      </c>
      <c r="Q91" s="17" t="str">
        <f>IFERROR(__xludf.DUMMYFUNCTION("""COMPUTED_VALUE"""),"")</f>
        <v/>
      </c>
      <c r="R91" s="14">
        <f>IFERROR(__xludf.DUMMYFUNCTION("""COMPUTED_VALUE"""),1639.8216328070891)</f>
        <v>1639.821633</v>
      </c>
      <c r="S91" s="14">
        <f>IFERROR(__xludf.DUMMYFUNCTION("""COMPUTED_VALUE"""),58.178367192910855)</f>
        <v>58.17836719</v>
      </c>
      <c r="T91" s="17" t="str">
        <f>IFERROR(__xludf.DUMMYFUNCTION("""COMPUTED_VALUE"""),"RİSKLİ")</f>
        <v>RİSKLİ</v>
      </c>
      <c r="U91" s="17" t="str">
        <f>IFERROR(__xludf.DUMMYFUNCTION("""COMPUTED_VALUE"""),"Minimum fiyat altına düşme")</f>
        <v>Minimum fiyat altına düşme</v>
      </c>
    </row>
    <row r="92">
      <c r="A92" s="2">
        <f>IFERROR(__xludf.DUMMYFUNCTION("""COMPUTED_VALUE"""),8.010276042361E12)</f>
        <v>8010276042361</v>
      </c>
      <c r="B92" s="17" t="str">
        <f>IFERROR(__xludf.DUMMYFUNCTION("""COMPUTED_VALUE"""),"N&amp;D")</f>
        <v>N&amp;D</v>
      </c>
      <c r="C92" s="17" t="str">
        <f>IFERROR(__xludf.DUMMYFUNCTION("""COMPUTED_VALUE"""),"Tropical Selection Somonlu Mini Irk Yetişkin Köpek Maması 5kg")</f>
        <v>Tropical Selection Somonlu Mini Irk Yetişkin Köpek Maması 5kg</v>
      </c>
      <c r="D92" s="14">
        <f>IFERROR(__xludf.DUMMYFUNCTION("""COMPUTED_VALUE"""),2195.0)</f>
        <v>2195</v>
      </c>
      <c r="E92" s="14">
        <f>IFERROR(__xludf.DUMMYFUNCTION("""COMPUTED_VALUE"""),362.175)</f>
        <v>362.175</v>
      </c>
      <c r="F92" s="14">
        <f>IFERROR(__xludf.DUMMYFUNCTION("""COMPUTED_VALUE"""),102.0)</f>
        <v>102</v>
      </c>
      <c r="G92" s="14">
        <f>IFERROR(__xludf.DUMMYFUNCTION("""COMPUTED_VALUE"""),1638.0)</f>
        <v>1638</v>
      </c>
      <c r="H92" s="14">
        <f>IFERROR(__xludf.DUMMYFUNCTION("""COMPUTED_VALUE"""),13.19)</f>
        <v>13.19</v>
      </c>
      <c r="I92" s="14">
        <f>IFERROR(__xludf.DUMMYFUNCTION("""COMPUTED_VALUE"""),18.291666666666668)</f>
        <v>18.29166667</v>
      </c>
      <c r="J92" s="14">
        <f>IFERROR(__xludf.DUMMYFUNCTION("""COMPUTED_VALUE"""),13.272499999999914)</f>
        <v>13.2725</v>
      </c>
      <c r="K92" s="14">
        <f>IFERROR(__xludf.DUMMYFUNCTION("""COMPUTED_VALUE"""),48.07083333333346)</f>
        <v>48.07083333</v>
      </c>
      <c r="L92" s="15">
        <f>IFERROR(__xludf.DUMMYFUNCTION("""COMPUTED_VALUE"""),0.021900151860288593)</f>
        <v>0.02190015186</v>
      </c>
      <c r="M92" s="17" t="str">
        <f>IFERROR(__xludf.DUMMYFUNCTION("""COMPUTED_VALUE"""),"KÂRLI")</f>
        <v>KÂRLI</v>
      </c>
      <c r="N92" s="17" t="str">
        <f>IFERROR(__xludf.DUMMYFUNCTION("""COMPUTED_VALUE"""),"")</f>
        <v/>
      </c>
      <c r="O92" s="17">
        <f>IFERROR(__xludf.DUMMYFUNCTION("""COMPUTED_VALUE"""),5.0)</f>
        <v>5</v>
      </c>
      <c r="P92" s="17" t="str">
        <f>IFERROR(__xludf.DUMMYFUNCTION("""COMPUTED_VALUE"""),"")</f>
        <v/>
      </c>
      <c r="Q92" s="17" t="str">
        <f>IFERROR(__xludf.DUMMYFUNCTION("""COMPUTED_VALUE"""),"")</f>
        <v/>
      </c>
      <c r="R92" s="14">
        <f>IFERROR(__xludf.DUMMYFUNCTION("""COMPUTED_VALUE"""),2136.4204537390438)</f>
        <v>2136.420454</v>
      </c>
      <c r="S92" s="14">
        <f>IFERROR(__xludf.DUMMYFUNCTION("""COMPUTED_VALUE"""),58.57954626095625)</f>
        <v>58.57954626</v>
      </c>
      <c r="T92" s="17" t="str">
        <f>IFERROR(__xludf.DUMMYFUNCTION("""COMPUTED_VALUE"""),"RİSKLİ")</f>
        <v>RİSKLİ</v>
      </c>
      <c r="U92" s="17" t="str">
        <f>IFERROR(__xludf.DUMMYFUNCTION("""COMPUTED_VALUE"""),"Minimum fiyat altına düşme")</f>
        <v>Minimum fiyat altına düşme</v>
      </c>
    </row>
    <row r="93">
      <c r="A93" s="2">
        <f>IFERROR(__xludf.DUMMYFUNCTION("""COMPUTED_VALUE"""),7.613287487728E12)</f>
        <v>7613287487728</v>
      </c>
      <c r="B93" s="17" t="str">
        <f>IFERROR(__xludf.DUMMYFUNCTION("""COMPUTED_VALUE"""),"FELIX")</f>
        <v>FELIX</v>
      </c>
      <c r="C93" s="17" t="str">
        <f>IFERROR(__xludf.DUMMYFUNCTION("""COMPUTED_VALUE"""),"Junior Tavuklu Ve Sığır Etli Yaş Kedi Maması 12 Adet")</f>
        <v>Junior Tavuklu Ve Sığır Etli Yaş Kedi Maması 12 Adet</v>
      </c>
      <c r="D93" s="14">
        <f>IFERROR(__xludf.DUMMYFUNCTION("""COMPUTED_VALUE"""),1029.9)</f>
        <v>1029.9</v>
      </c>
      <c r="E93" s="14">
        <f>IFERROR(__xludf.DUMMYFUNCTION("""COMPUTED_VALUE"""),139.03650000000002)</f>
        <v>139.0365</v>
      </c>
      <c r="F93" s="14">
        <f>IFERROR(__xludf.DUMMYFUNCTION("""COMPUTED_VALUE"""),90.0)</f>
        <v>90</v>
      </c>
      <c r="G93" s="14">
        <f>IFERROR(__xludf.DUMMYFUNCTION("""COMPUTED_VALUE"""),720.0)</f>
        <v>720</v>
      </c>
      <c r="H93" s="14">
        <f>IFERROR(__xludf.DUMMYFUNCTION("""COMPUTED_VALUE"""),13.19)</f>
        <v>13.19</v>
      </c>
      <c r="I93" s="14">
        <f>IFERROR(__xludf.DUMMYFUNCTION("""COMPUTED_VALUE"""),8.582500000000001)</f>
        <v>8.5825</v>
      </c>
      <c r="J93" s="14">
        <f>IFERROR(__xludf.DUMMYFUNCTION("""COMPUTED_VALUE"""),11.278916666666651)</f>
        <v>11.27891667</v>
      </c>
      <c r="K93" s="14">
        <f>IFERROR(__xludf.DUMMYFUNCTION("""COMPUTED_VALUE"""),47.81208333333339)</f>
        <v>47.81208333</v>
      </c>
      <c r="L93" s="15">
        <f>IFERROR(__xludf.DUMMYFUNCTION("""COMPUTED_VALUE"""),0.046424005566883565)</f>
        <v>0.04642400557</v>
      </c>
      <c r="M93" s="17" t="str">
        <f>IFERROR(__xludf.DUMMYFUNCTION("""COMPUTED_VALUE"""),"KÂRLI")</f>
        <v>KÂRLI</v>
      </c>
      <c r="N93" s="17" t="str">
        <f>IFERROR(__xludf.DUMMYFUNCTION("""COMPUTED_VALUE"""),"")</f>
        <v/>
      </c>
      <c r="O93" s="17">
        <f>IFERROR(__xludf.DUMMYFUNCTION("""COMPUTED_VALUE"""),3.0)</f>
        <v>3</v>
      </c>
      <c r="P93" s="17" t="str">
        <f>IFERROR(__xludf.DUMMYFUNCTION("""COMPUTED_VALUE"""),"")</f>
        <v/>
      </c>
      <c r="Q93" s="17" t="str">
        <f>IFERROR(__xludf.DUMMYFUNCTION("""COMPUTED_VALUE"""),"")</f>
        <v/>
      </c>
      <c r="R93" s="14">
        <f>IFERROR(__xludf.DUMMYFUNCTION("""COMPUTED_VALUE"""),973.3651194027046)</f>
        <v>973.3651194</v>
      </c>
      <c r="S93" s="14">
        <f>IFERROR(__xludf.DUMMYFUNCTION("""COMPUTED_VALUE"""),56.534880597295455)</f>
        <v>56.5348806</v>
      </c>
      <c r="T93" s="17" t="str">
        <f>IFERROR(__xludf.DUMMYFUNCTION("""COMPUTED_VALUE"""),"DÜŞÜK KÂR")</f>
        <v>DÜŞÜK KÂR</v>
      </c>
      <c r="U93" s="17" t="str">
        <f>IFERROR(__xludf.DUMMYFUNCTION("""COMPUTED_VALUE"""),"Reklam/komisyon etkisini kontrol et")</f>
        <v>Reklam/komisyon etkisini kontrol et</v>
      </c>
    </row>
    <row r="94">
      <c r="A94" s="2">
        <f>IFERROR(__xludf.DUMMYFUNCTION("""COMPUTED_VALUE"""),4.54654654354534E14)</f>
        <v>454654654354534</v>
      </c>
      <c r="B94" s="17" t="str">
        <f>IFERROR(__xludf.DUMMYFUNCTION("""COMPUTED_VALUE"""),"FELIX")</f>
        <v>FELIX</v>
      </c>
      <c r="C94" s="17" t="str">
        <f>IFERROR(__xludf.DUMMYFUNCTION("""COMPUTED_VALUE"""),"Karışık Paket Pouch Kedi Konservesi 26 x 85 gr")</f>
        <v>Karışık Paket Pouch Kedi Konservesi 26 x 85 gr</v>
      </c>
      <c r="D94" s="14">
        <f>IFERROR(__xludf.DUMMYFUNCTION("""COMPUTED_VALUE"""),634.9)</f>
        <v>634.9</v>
      </c>
      <c r="E94" s="14">
        <f>IFERROR(__xludf.DUMMYFUNCTION("""COMPUTED_VALUE"""),85.7115)</f>
        <v>85.7115</v>
      </c>
      <c r="F94" s="14">
        <f>IFERROR(__xludf.DUMMYFUNCTION("""COMPUTED_VALUE"""),86.4)</f>
        <v>86.4</v>
      </c>
      <c r="G94" s="14">
        <f>IFERROR(__xludf.DUMMYFUNCTION("""COMPUTED_VALUE"""),390.0)</f>
        <v>390</v>
      </c>
      <c r="H94" s="14">
        <f>IFERROR(__xludf.DUMMYFUNCTION("""COMPUTED_VALUE"""),13.19)</f>
        <v>13.19</v>
      </c>
      <c r="I94" s="14">
        <f>IFERROR(__xludf.DUMMYFUNCTION("""COMPUTED_VALUE"""),5.2908333333333335)</f>
        <v>5.290833333</v>
      </c>
      <c r="J94" s="14">
        <f>IFERROR(__xludf.DUMMYFUNCTION("""COMPUTED_VALUE"""),9.933083333333292)</f>
        <v>9.933083333</v>
      </c>
      <c r="K94" s="14">
        <f>IFERROR(__xludf.DUMMYFUNCTION("""COMPUTED_VALUE"""),44.374583333333376)</f>
        <v>44.37458333</v>
      </c>
      <c r="L94" s="15">
        <f>IFERROR(__xludf.DUMMYFUNCTION("""COMPUTED_VALUE"""),0.06989224024780813)</f>
        <v>0.06989224025</v>
      </c>
      <c r="M94" s="17" t="str">
        <f>IFERROR(__xludf.DUMMYFUNCTION("""COMPUTED_VALUE"""),"KÂRLI")</f>
        <v>KÂRLI</v>
      </c>
      <c r="N94" s="17" t="str">
        <f>IFERROR(__xludf.DUMMYFUNCTION("""COMPUTED_VALUE"""),"")</f>
        <v/>
      </c>
      <c r="O94" s="17">
        <f>IFERROR(__xludf.DUMMYFUNCTION("""COMPUTED_VALUE"""),1.0)</f>
        <v>1</v>
      </c>
      <c r="P94" s="17" t="str">
        <f>IFERROR(__xludf.DUMMYFUNCTION("""COMPUTED_VALUE"""),"")</f>
        <v/>
      </c>
      <c r="Q94" s="17" t="str">
        <f>IFERROR(__xludf.DUMMYFUNCTION("""COMPUTED_VALUE"""),"")</f>
        <v/>
      </c>
      <c r="R94" s="14">
        <f>IFERROR(__xludf.DUMMYFUNCTION("""COMPUTED_VALUE"""),582.1370508507111)</f>
        <v>582.1370509</v>
      </c>
      <c r="S94" s="14">
        <f>IFERROR(__xludf.DUMMYFUNCTION("""COMPUTED_VALUE"""),52.76294914928883)</f>
        <v>52.76294915</v>
      </c>
      <c r="T94" s="17" t="str">
        <f>IFERROR(__xludf.DUMMYFUNCTION("""COMPUTED_VALUE"""),"DÜŞÜK KÂR")</f>
        <v>DÜŞÜK KÂR</v>
      </c>
      <c r="U94" s="17" t="str">
        <f>IFERROR(__xludf.DUMMYFUNCTION("""COMPUTED_VALUE"""),"Reklam/komisyon etkisini kontrol et")</f>
        <v>Reklam/komisyon etkisini kontrol et</v>
      </c>
    </row>
    <row r="95">
      <c r="A95" s="2">
        <f>IFERROR(__xludf.DUMMYFUNCTION("""COMPUTED_VALUE"""),7.613036505178E12)</f>
        <v>7613036505178</v>
      </c>
      <c r="B95" s="17" t="str">
        <f>IFERROR(__xludf.DUMMYFUNCTION("""COMPUTED_VALUE"""),"Pro Plan")</f>
        <v>Pro Plan</v>
      </c>
      <c r="C95" s="17" t="str">
        <f>IFERROR(__xludf.DUMMYFUNCTION("""COMPUTED_VALUE"""),"Kitten Tavuklu Yavru Kedi Maması 1.5 Kg")</f>
        <v>Kitten Tavuklu Yavru Kedi Maması 1.5 Kg</v>
      </c>
      <c r="D95" s="14">
        <f>IFERROR(__xludf.DUMMYFUNCTION("""COMPUTED_VALUE"""),665.0)</f>
        <v>665</v>
      </c>
      <c r="E95" s="14">
        <f>IFERROR(__xludf.DUMMYFUNCTION("""COMPUTED_VALUE"""),53.2)</f>
        <v>53.2</v>
      </c>
      <c r="F95" s="14">
        <f>IFERROR(__xludf.DUMMYFUNCTION("""COMPUTED_VALUE"""),90.0)</f>
        <v>90</v>
      </c>
      <c r="G95" s="14">
        <f>IFERROR(__xludf.DUMMYFUNCTION("""COMPUTED_VALUE"""),450.0)</f>
        <v>450</v>
      </c>
      <c r="H95" s="14">
        <f>IFERROR(__xludf.DUMMYFUNCTION("""COMPUTED_VALUE"""),13.19)</f>
        <v>13.19</v>
      </c>
      <c r="I95" s="14">
        <f>IFERROR(__xludf.DUMMYFUNCTION("""COMPUTED_VALUE"""),5.541666666666668)</f>
        <v>5.541666667</v>
      </c>
      <c r="J95" s="14">
        <f>IFERROR(__xludf.DUMMYFUNCTION("""COMPUTED_VALUE"""),9.768333333333258)</f>
        <v>9.768333333</v>
      </c>
      <c r="K95" s="14">
        <f>IFERROR(__xludf.DUMMYFUNCTION("""COMPUTED_VALUE"""),43.300000000000026)</f>
        <v>43.3</v>
      </c>
      <c r="L95" s="15">
        <f>IFERROR(__xludf.DUMMYFUNCTION("""COMPUTED_VALUE"""),0.06511278195488726)</f>
        <v>0.06511278195</v>
      </c>
      <c r="M95" s="17" t="str">
        <f>IFERROR(__xludf.DUMMYFUNCTION("""COMPUTED_VALUE"""),"KÂRLI")</f>
        <v>KÂRLI</v>
      </c>
      <c r="N95" s="17" t="str">
        <f>IFERROR(__xludf.DUMMYFUNCTION("""COMPUTED_VALUE"""),"")</f>
        <v/>
      </c>
      <c r="O95" s="17">
        <f>IFERROR(__xludf.DUMMYFUNCTION("""COMPUTED_VALUE"""),3.0)</f>
        <v>3</v>
      </c>
      <c r="P95" s="17" t="str">
        <f>IFERROR(__xludf.DUMMYFUNCTION("""COMPUTED_VALUE"""),"")</f>
        <v/>
      </c>
      <c r="Q95" s="17" t="str">
        <f>IFERROR(__xludf.DUMMYFUNCTION("""COMPUTED_VALUE"""),"")</f>
        <v/>
      </c>
      <c r="R95" s="14">
        <f>IFERROR(__xludf.DUMMYFUNCTION("""COMPUTED_VALUE"""),616.7265390740563)</f>
        <v>616.7265391</v>
      </c>
      <c r="S95" s="14">
        <f>IFERROR(__xludf.DUMMYFUNCTION("""COMPUTED_VALUE"""),48.27346092594371)</f>
        <v>48.27346093</v>
      </c>
      <c r="T95" s="17" t="str">
        <f>IFERROR(__xludf.DUMMYFUNCTION("""COMPUTED_VALUE"""),"DÜŞÜK KÂR")</f>
        <v>DÜŞÜK KÂR</v>
      </c>
      <c r="U95" s="17" t="str">
        <f>IFERROR(__xludf.DUMMYFUNCTION("""COMPUTED_VALUE"""),"Reklam/komisyon etkisini kontrol et")</f>
        <v>Reklam/komisyon etkisini kontrol et</v>
      </c>
    </row>
    <row r="96">
      <c r="A96" s="2" t="str">
        <f>IFERROR(__xludf.DUMMYFUNCTION("""COMPUTED_VALUE"""),"TYB48E6K7S39UBYY86")</f>
        <v>TYB48E6K7S39UBYY86</v>
      </c>
      <c r="B96" s="17" t="str">
        <f>IFERROR(__xludf.DUMMYFUNCTION("""COMPUTED_VALUE"""),"Purina Felix")</f>
        <v>Purina Felix</v>
      </c>
      <c r="C96" s="17" t="str">
        <f>IFERROR(__xludf.DUMMYFUNCTION("""COMPUTED_VALUE"""),"Felix Kedi Maması Somonlu &amp; Ton Balıklı Ekonomik Paket (4x85gr) X 12 Adet")</f>
        <v>Felix Kedi Maması Somonlu &amp; Ton Balıklı Ekonomik Paket (4x85gr) X 12 Adet</v>
      </c>
      <c r="D96" s="14">
        <f>IFERROR(__xludf.DUMMYFUNCTION("""COMPUTED_VALUE"""),1059.85)</f>
        <v>1059.85</v>
      </c>
      <c r="E96" s="14">
        <f>IFERROR(__xludf.DUMMYFUNCTION("""COMPUTED_VALUE"""),174.87524999999997)</f>
        <v>174.87525</v>
      </c>
      <c r="F96" s="14">
        <f>IFERROR(__xludf.DUMMYFUNCTION("""COMPUTED_VALUE"""),90.0)</f>
        <v>90</v>
      </c>
      <c r="G96" s="14">
        <f>IFERROR(__xludf.DUMMYFUNCTION("""COMPUTED_VALUE"""),720.0)</f>
        <v>720</v>
      </c>
      <c r="H96" s="14">
        <f>IFERROR(__xludf.DUMMYFUNCTION("""COMPUTED_VALUE"""),13.19)</f>
        <v>13.19</v>
      </c>
      <c r="I96" s="14">
        <f>IFERROR(__xludf.DUMMYFUNCTION("""COMPUTED_VALUE"""),8.832083333333333)</f>
        <v>8.832083333</v>
      </c>
      <c r="J96" s="14">
        <f>IFERROR(__xludf.DUMMYFUNCTION("""COMPUTED_VALUE"""),10.29745833333333)</f>
        <v>10.29745833</v>
      </c>
      <c r="K96" s="14">
        <f>IFERROR(__xludf.DUMMYFUNCTION("""COMPUTED_VALUE"""),42.65520833333331)</f>
        <v>42.65520833</v>
      </c>
      <c r="L96" s="15">
        <f>IFERROR(__xludf.DUMMYFUNCTION("""COMPUTED_VALUE"""),0.04024645783208314)</f>
        <v>0.04024645783</v>
      </c>
      <c r="M96" s="17" t="str">
        <f>IFERROR(__xludf.DUMMYFUNCTION("""COMPUTED_VALUE"""),"KÂRLI")</f>
        <v>KÂRLI</v>
      </c>
      <c r="N96" s="17" t="str">
        <f>IFERROR(__xludf.DUMMYFUNCTION("""COMPUTED_VALUE"""),"")</f>
        <v/>
      </c>
      <c r="O96" s="17">
        <f>IFERROR(__xludf.DUMMYFUNCTION("""COMPUTED_VALUE"""),3.0)</f>
        <v>3</v>
      </c>
      <c r="P96" s="17" t="str">
        <f>IFERROR(__xludf.DUMMYFUNCTION("""COMPUTED_VALUE"""),"")</f>
        <v/>
      </c>
      <c r="Q96" s="17" t="str">
        <f>IFERROR(__xludf.DUMMYFUNCTION("""COMPUTED_VALUE"""),"")</f>
        <v/>
      </c>
      <c r="R96" s="14">
        <f>IFERROR(__xludf.DUMMYFUNCTION("""COMPUTED_VALUE"""),1007.6368814214247)</f>
        <v>1007.636881</v>
      </c>
      <c r="S96" s="14">
        <f>IFERROR(__xludf.DUMMYFUNCTION("""COMPUTED_VALUE"""),52.21311857857518)</f>
        <v>52.21311858</v>
      </c>
      <c r="T96" s="17" t="str">
        <f>IFERROR(__xludf.DUMMYFUNCTION("""COMPUTED_VALUE"""),"DÜŞÜK KÂR")</f>
        <v>DÜŞÜK KÂR</v>
      </c>
      <c r="U96" s="17" t="str">
        <f>IFERROR(__xludf.DUMMYFUNCTION("""COMPUTED_VALUE"""),"Reklam/komisyon etkisini kontrol et")</f>
        <v>Reklam/komisyon etkisini kontrol et</v>
      </c>
    </row>
    <row r="97">
      <c r="A97" s="2">
        <f>IFERROR(__xludf.DUMMYFUNCTION("""COMPUTED_VALUE"""),8.652147545641E12)</f>
        <v>8652147545641</v>
      </c>
      <c r="B97" s="17" t="str">
        <f>IFERROR(__xludf.DUMMYFUNCTION("""COMPUTED_VALUE"""),"PetFix")</f>
        <v>PetFix</v>
      </c>
      <c r="C97" s="17" t="str">
        <f>IFERROR(__xludf.DUMMYFUNCTION("""COMPUTED_VALUE"""),"Catnip'li &amp; Zilli Yeşil Kaplumbağa Kedi Oyuncağı")</f>
        <v>Catnip'li &amp; Zilli Yeşil Kaplumbağa Kedi Oyuncağı</v>
      </c>
      <c r="D97" s="14">
        <f>IFERROR(__xludf.DUMMYFUNCTION("""COMPUTED_VALUE"""),249.99)</f>
        <v>249.99</v>
      </c>
      <c r="E97" s="14">
        <f>IFERROR(__xludf.DUMMYFUNCTION("""COMPUTED_VALUE"""),49.998000000000005)</f>
        <v>49.998</v>
      </c>
      <c r="F97" s="14">
        <f>IFERROR(__xludf.DUMMYFUNCTION("""COMPUTED_VALUE"""),86.4)</f>
        <v>86.4</v>
      </c>
      <c r="G97" s="14">
        <f>IFERROR(__xludf.DUMMYFUNCTION("""COMPUTED_VALUE"""),50.0)</f>
        <v>50</v>
      </c>
      <c r="H97" s="14">
        <f>IFERROR(__xludf.DUMMYFUNCTION("""COMPUTED_VALUE"""),13.19)</f>
        <v>13.19</v>
      </c>
      <c r="I97" s="14">
        <f>IFERROR(__xludf.DUMMYFUNCTION("""COMPUTED_VALUE"""),2.08325)</f>
        <v>2.08325</v>
      </c>
      <c r="J97" s="14">
        <f>IFERROR(__xludf.DUMMYFUNCTION("""COMPUTED_VALUE"""),8.400333333333341)</f>
        <v>8.400333333</v>
      </c>
      <c r="K97" s="14">
        <f>IFERROR(__xludf.DUMMYFUNCTION("""COMPUTED_VALUE"""),39.91841666666667)</f>
        <v>39.91841667</v>
      </c>
      <c r="L97" s="15">
        <f>IFERROR(__xludf.DUMMYFUNCTION("""COMPUTED_VALUE"""),0.15968005386882145)</f>
        <v>0.1596800539</v>
      </c>
      <c r="M97" s="17" t="str">
        <f>IFERROR(__xludf.DUMMYFUNCTION("""COMPUTED_VALUE"""),"KÂRLI")</f>
        <v>KÂRLI</v>
      </c>
      <c r="N97" s="17" t="str">
        <f>IFERROR(__xludf.DUMMYFUNCTION("""COMPUTED_VALUE"""),"")</f>
        <v/>
      </c>
      <c r="O97" s="17">
        <f>IFERROR(__xludf.DUMMYFUNCTION("""COMPUTED_VALUE"""),1.0)</f>
        <v>1</v>
      </c>
      <c r="P97" s="17" t="str">
        <f>IFERROR(__xludf.DUMMYFUNCTION("""COMPUTED_VALUE"""),"")</f>
        <v/>
      </c>
      <c r="Q97" s="17" t="str">
        <f>IFERROR(__xludf.DUMMYFUNCTION("""COMPUTED_VALUE"""),"")</f>
        <v/>
      </c>
      <c r="R97" s="14">
        <f>IFERROR(__xludf.DUMMYFUNCTION("""COMPUTED_VALUE"""),197.33153974970924)</f>
        <v>197.3315397</v>
      </c>
      <c r="S97" s="14">
        <f>IFERROR(__xludf.DUMMYFUNCTION("""COMPUTED_VALUE"""),52.65846025029077)</f>
        <v>52.65846025</v>
      </c>
      <c r="T97" s="17" t="str">
        <f>IFERROR(__xludf.DUMMYFUNCTION("""COMPUTED_VALUE"""),"SAĞLIKLI")</f>
        <v>SAĞLIKLI</v>
      </c>
      <c r="U97" s="17" t="str">
        <f>IFERROR(__xludf.DUMMYFUNCTION("""COMPUTED_VALUE"""),"Takip et")</f>
        <v>Takip et</v>
      </c>
    </row>
    <row r="98">
      <c r="A98" s="2" t="str">
        <f>IFERROR(__xludf.DUMMYFUNCTION("""COMPUTED_VALUE"""),"TYB2K1SGFGO301J268")</f>
        <v>TYB2K1SGFGO301J268</v>
      </c>
      <c r="B98" s="17" t="str">
        <f>IFERROR(__xludf.DUMMYFUNCTION("""COMPUTED_VALUE"""),"Pro Plan")</f>
        <v>Pro Plan</v>
      </c>
      <c r="C98" s="17" t="str">
        <f>IFERROR(__xludf.DUMMYFUNCTION("""COMPUTED_VALUE"""),"Junior Tavuklu Yavru Kedi Konservesi 85gr X 24adet")</f>
        <v>Junior Tavuklu Yavru Kedi Konservesi 85gr X 24adet</v>
      </c>
      <c r="D98" s="14">
        <f>IFERROR(__xludf.DUMMYFUNCTION("""COMPUTED_VALUE"""),795.0)</f>
        <v>795</v>
      </c>
      <c r="E98" s="14">
        <f>IFERROR(__xludf.DUMMYFUNCTION("""COMPUTED_VALUE"""),66.78)</f>
        <v>66.78</v>
      </c>
      <c r="F98" s="14">
        <f>IFERROR(__xludf.DUMMYFUNCTION("""COMPUTED_VALUE"""),90.0)</f>
        <v>90</v>
      </c>
      <c r="G98" s="14">
        <f>IFERROR(__xludf.DUMMYFUNCTION("""COMPUTED_VALUE"""),570.0)</f>
        <v>570</v>
      </c>
      <c r="H98" s="14">
        <f>IFERROR(__xludf.DUMMYFUNCTION("""COMPUTED_VALUE"""),13.19)</f>
        <v>13.19</v>
      </c>
      <c r="I98" s="14">
        <f>IFERROR(__xludf.DUMMYFUNCTION("""COMPUTED_VALUE"""),6.625)</f>
        <v>6.625</v>
      </c>
      <c r="J98" s="14">
        <f>IFERROR(__xludf.DUMMYFUNCTION("""COMPUTED_VALUE"""),9.171666666666672)</f>
        <v>9.171666667</v>
      </c>
      <c r="K98" s="14">
        <f>IFERROR(__xludf.DUMMYFUNCTION("""COMPUTED_VALUE"""),39.233333333333356)</f>
        <v>39.23333333</v>
      </c>
      <c r="L98" s="15">
        <f>IFERROR(__xludf.DUMMYFUNCTION("""COMPUTED_VALUE"""),0.049350104821802965)</f>
        <v>0.04935010482</v>
      </c>
      <c r="M98" s="17" t="str">
        <f>IFERROR(__xludf.DUMMYFUNCTION("""COMPUTED_VALUE"""),"KÂRLI")</f>
        <v>KÂRLI</v>
      </c>
      <c r="N98" s="17" t="str">
        <f>IFERROR(__xludf.DUMMYFUNCTION("""COMPUTED_VALUE"""),"")</f>
        <v/>
      </c>
      <c r="O98" s="17">
        <f>IFERROR(__xludf.DUMMYFUNCTION("""COMPUTED_VALUE"""),3.0)</f>
        <v>3</v>
      </c>
      <c r="P98" s="17" t="str">
        <f>IFERROR(__xludf.DUMMYFUNCTION("""COMPUTED_VALUE"""),"")</f>
        <v/>
      </c>
      <c r="Q98" s="17" t="str">
        <f>IFERROR(__xludf.DUMMYFUNCTION("""COMPUTED_VALUE"""),"")</f>
        <v/>
      </c>
      <c r="R98" s="14">
        <f>IFERROR(__xludf.DUMMYFUNCTION("""COMPUTED_VALUE"""),751.2188692963449)</f>
        <v>751.2188693</v>
      </c>
      <c r="S98" s="14">
        <f>IFERROR(__xludf.DUMMYFUNCTION("""COMPUTED_VALUE"""),43.781130703655094)</f>
        <v>43.7811307</v>
      </c>
      <c r="T98" s="17" t="str">
        <f>IFERROR(__xludf.DUMMYFUNCTION("""COMPUTED_VALUE"""),"DÜŞÜK KÂR")</f>
        <v>DÜŞÜK KÂR</v>
      </c>
      <c r="U98" s="17" t="str">
        <f>IFERROR(__xludf.DUMMYFUNCTION("""COMPUTED_VALUE"""),"Reklam/komisyon etkisini kontrol et")</f>
        <v>Reklam/komisyon etkisini kontrol et</v>
      </c>
    </row>
    <row r="99">
      <c r="A99" s="2">
        <f>IFERROR(__xludf.DUMMYFUNCTION("""COMPUTED_VALUE"""),8.010276042125E12)</f>
        <v>8010276042125</v>
      </c>
      <c r="B99" s="17" t="str">
        <f>IFERROR(__xludf.DUMMYFUNCTION("""COMPUTED_VALUE"""),"N&amp;D")</f>
        <v>N&amp;D</v>
      </c>
      <c r="C99" s="17" t="str">
        <f>IFERROR(__xludf.DUMMYFUNCTION("""COMPUTED_VALUE"""),"Tropical Kuzulu Kısır Kedi Maması 1.5 Kg")</f>
        <v>Tropical Kuzulu Kısır Kedi Maması 1.5 Kg</v>
      </c>
      <c r="D99" s="14">
        <f>IFERROR(__xludf.DUMMYFUNCTION("""COMPUTED_VALUE"""),1041.0)</f>
        <v>1041</v>
      </c>
      <c r="E99" s="14">
        <f>IFERROR(__xludf.DUMMYFUNCTION("""COMPUTED_VALUE"""),171.765)</f>
        <v>171.765</v>
      </c>
      <c r="F99" s="14">
        <f>IFERROR(__xludf.DUMMYFUNCTION("""COMPUTED_VALUE"""),90.0)</f>
        <v>90</v>
      </c>
      <c r="G99" s="14">
        <f>IFERROR(__xludf.DUMMYFUNCTION("""COMPUTED_VALUE"""),713.0)</f>
        <v>713</v>
      </c>
      <c r="H99" s="14">
        <f>IFERROR(__xludf.DUMMYFUNCTION("""COMPUTED_VALUE"""),13.19)</f>
        <v>13.19</v>
      </c>
      <c r="I99" s="14">
        <f>IFERROR(__xludf.DUMMYFUNCTION("""COMPUTED_VALUE"""),8.675)</f>
        <v>8.675</v>
      </c>
      <c r="J99" s="14">
        <f>IFERROR(__xludf.DUMMYFUNCTION("""COMPUTED_VALUE"""),8.840833333333412)</f>
        <v>8.840833333</v>
      </c>
      <c r="K99" s="14">
        <f>IFERROR(__xludf.DUMMYFUNCTION("""COMPUTED_VALUE"""),35.529166666666605)</f>
        <v>35.52916667</v>
      </c>
      <c r="L99" s="15">
        <f>IFERROR(__xludf.DUMMYFUNCTION("""COMPUTED_VALUE"""),0.034129843099583675)</f>
        <v>0.0341298431</v>
      </c>
      <c r="M99" s="17" t="str">
        <f>IFERROR(__xludf.DUMMYFUNCTION("""COMPUTED_VALUE"""),"KÂRLI")</f>
        <v>KÂRLI</v>
      </c>
      <c r="N99" s="17" t="str">
        <f>IFERROR(__xludf.DUMMYFUNCTION("""COMPUTED_VALUE"""),"")</f>
        <v/>
      </c>
      <c r="O99" s="17">
        <f>IFERROR(__xludf.DUMMYFUNCTION("""COMPUTED_VALUE"""),3.0)</f>
        <v>3</v>
      </c>
      <c r="P99" s="17" t="str">
        <f>IFERROR(__xludf.DUMMYFUNCTION("""COMPUTED_VALUE"""),"")</f>
        <v/>
      </c>
      <c r="Q99" s="17" t="str">
        <f>IFERROR(__xludf.DUMMYFUNCTION("""COMPUTED_VALUE"""),"")</f>
        <v/>
      </c>
      <c r="R99" s="14">
        <f>IFERROR(__xludf.DUMMYFUNCTION("""COMPUTED_VALUE"""),997.5746432557669)</f>
        <v>997.5746433</v>
      </c>
      <c r="S99" s="14">
        <f>IFERROR(__xludf.DUMMYFUNCTION("""COMPUTED_VALUE"""),43.42535674423311)</f>
        <v>43.42535674</v>
      </c>
      <c r="T99" s="17" t="str">
        <f>IFERROR(__xludf.DUMMYFUNCTION("""COMPUTED_VALUE"""),"DÜŞÜK KÂR")</f>
        <v>DÜŞÜK KÂR</v>
      </c>
      <c r="U99" s="17" t="str">
        <f>IFERROR(__xludf.DUMMYFUNCTION("""COMPUTED_VALUE"""),"Reklam/komisyon etkisini kontrol et")</f>
        <v>Reklam/komisyon etkisini kontrol et</v>
      </c>
    </row>
    <row r="100">
      <c r="A100" s="2">
        <f>IFERROR(__xludf.DUMMYFUNCTION("""COMPUTED_VALUE"""),8.010276039309E12)</f>
        <v>8010276039309</v>
      </c>
      <c r="B100" s="17" t="str">
        <f>IFERROR(__xludf.DUMMYFUNCTION("""COMPUTED_VALUE"""),"N&amp;D")</f>
        <v>N&amp;D</v>
      </c>
      <c r="C100" s="17" t="str">
        <f>IFERROR(__xludf.DUMMYFUNCTION("""COMPUTED_VALUE"""),"Ocean Somon ve Morina Kavunlu Mini Irk Köpek Maması 2,5 Kg")</f>
        <v>Ocean Somon ve Morina Kavunlu Mini Irk Köpek Maması 2,5 Kg</v>
      </c>
      <c r="D100" s="14">
        <f>IFERROR(__xludf.DUMMYFUNCTION("""COMPUTED_VALUE"""),1828.0)</f>
        <v>1828</v>
      </c>
      <c r="E100" s="14">
        <f>IFERROR(__xludf.DUMMYFUNCTION("""COMPUTED_VALUE"""),301.62)</f>
        <v>301.62</v>
      </c>
      <c r="F100" s="14">
        <f>IFERROR(__xludf.DUMMYFUNCTION("""COMPUTED_VALUE"""),90.0)</f>
        <v>90</v>
      </c>
      <c r="G100" s="14">
        <f>IFERROR(__xludf.DUMMYFUNCTION("""COMPUTED_VALUE"""),1363.0)</f>
        <v>1363</v>
      </c>
      <c r="H100" s="14">
        <f>IFERROR(__xludf.DUMMYFUNCTION("""COMPUTED_VALUE"""),13.19)</f>
        <v>13.19</v>
      </c>
      <c r="I100" s="14">
        <f>IFERROR(__xludf.DUMMYFUNCTION("""COMPUTED_VALUE"""),15.233333333333334)</f>
        <v>15.23333333</v>
      </c>
      <c r="J100" s="14">
        <f>IFERROR(__xludf.DUMMYFUNCTION("""COMPUTED_VALUE"""),10.031666666666686)</f>
        <v>10.03166667</v>
      </c>
      <c r="K100" s="14">
        <f>IFERROR(__xludf.DUMMYFUNCTION("""COMPUTED_VALUE"""),34.92500000000009)</f>
        <v>34.925</v>
      </c>
      <c r="L100" s="15">
        <f>IFERROR(__xludf.DUMMYFUNCTION("""COMPUTED_VALUE"""),0.01910557986870902)</f>
        <v>0.01910557987</v>
      </c>
      <c r="M100" s="17" t="str">
        <f>IFERROR(__xludf.DUMMYFUNCTION("""COMPUTED_VALUE"""),"KÂRLI")</f>
        <v>KÂRLI</v>
      </c>
      <c r="N100" s="17" t="str">
        <f>IFERROR(__xludf.DUMMYFUNCTION("""COMPUTED_VALUE"""),"")</f>
        <v/>
      </c>
      <c r="O100" s="17">
        <f>IFERROR(__xludf.DUMMYFUNCTION("""COMPUTED_VALUE"""),3.0)</f>
        <v>3</v>
      </c>
      <c r="P100" s="17" t="str">
        <f>IFERROR(__xludf.DUMMYFUNCTION("""COMPUTED_VALUE"""),"")</f>
        <v/>
      </c>
      <c r="Q100" s="17" t="str">
        <f>IFERROR(__xludf.DUMMYFUNCTION("""COMPUTED_VALUE"""),"")</f>
        <v/>
      </c>
      <c r="R100" s="14">
        <f>IFERROR(__xludf.DUMMYFUNCTION("""COMPUTED_VALUE"""),1785.4689561121231)</f>
        <v>1785.468956</v>
      </c>
      <c r="S100" s="14">
        <f>IFERROR(__xludf.DUMMYFUNCTION("""COMPUTED_VALUE"""),42.531043887876876)</f>
        <v>42.53104389</v>
      </c>
      <c r="T100" s="17" t="str">
        <f>IFERROR(__xludf.DUMMYFUNCTION("""COMPUTED_VALUE"""),"RİSKLİ")</f>
        <v>RİSKLİ</v>
      </c>
      <c r="U100" s="17" t="str">
        <f>IFERROR(__xludf.DUMMYFUNCTION("""COMPUTED_VALUE"""),"Minimum fiyat altına düşme")</f>
        <v>Minimum fiyat altına düşme</v>
      </c>
    </row>
    <row r="101">
      <c r="A101" s="2" t="str">
        <f>IFERROR(__xludf.DUMMYFUNCTION("""COMPUTED_VALUE"""),"TYBFHZOSQJ51LV7127")</f>
        <v>TYBFHZOSQJ51LV7127</v>
      </c>
      <c r="B101" s="17" t="str">
        <f>IFERROR(__xludf.DUMMYFUNCTION("""COMPUTED_VALUE"""),"FELIX")</f>
        <v>FELIX</v>
      </c>
      <c r="C101" s="17" t="str">
        <f>IFERROR(__xludf.DUMMYFUNCTION("""COMPUTED_VALUE"""),"Felix Yavru Tavuklu Avantajlı Paket (4x85) Gr")</f>
        <v>Felix Yavru Tavuklu Avantajlı Paket (4x85) Gr</v>
      </c>
      <c r="D101" s="14">
        <f>IFERROR(__xludf.DUMMYFUNCTION("""COMPUTED_VALUE"""),588.0)</f>
        <v>588</v>
      </c>
      <c r="E101" s="14">
        <f>IFERROR(__xludf.DUMMYFUNCTION("""COMPUTED_VALUE"""),79.38)</f>
        <v>79.38</v>
      </c>
      <c r="F101" s="14">
        <f>IFERROR(__xludf.DUMMYFUNCTION("""COMPUTED_VALUE"""),90.0)</f>
        <v>90</v>
      </c>
      <c r="G101" s="14">
        <f>IFERROR(__xludf.DUMMYFUNCTION("""COMPUTED_VALUE"""),360.0)</f>
        <v>360</v>
      </c>
      <c r="H101" s="14">
        <f>IFERROR(__xludf.DUMMYFUNCTION("""COMPUTED_VALUE"""),13.19)</f>
        <v>13.19</v>
      </c>
      <c r="I101" s="14">
        <f>IFERROR(__xludf.DUMMYFUNCTION("""COMPUTED_VALUE"""),4.9)</f>
        <v>4.9</v>
      </c>
      <c r="J101" s="14">
        <f>IFERROR(__xludf.DUMMYFUNCTION("""COMPUTED_VALUE"""),7.571666666666678)</f>
        <v>7.571666667</v>
      </c>
      <c r="K101" s="14">
        <f>IFERROR(__xludf.DUMMYFUNCTION("""COMPUTED_VALUE"""),32.95833333333333)</f>
        <v>32.95833333</v>
      </c>
      <c r="L101" s="15">
        <f>IFERROR(__xludf.DUMMYFUNCTION("""COMPUTED_VALUE"""),0.0560515873015873)</f>
        <v>0.0560515873</v>
      </c>
      <c r="M101" s="17" t="str">
        <f>IFERROR(__xludf.DUMMYFUNCTION("""COMPUTED_VALUE"""),"KÂRLI")</f>
        <v>KÂRLI</v>
      </c>
      <c r="N101" s="17" t="str">
        <f>IFERROR(__xludf.DUMMYFUNCTION("""COMPUTED_VALUE"""),"")</f>
        <v/>
      </c>
      <c r="O101" s="17">
        <f>IFERROR(__xludf.DUMMYFUNCTION("""COMPUTED_VALUE"""),3.0)</f>
        <v>3</v>
      </c>
      <c r="P101" s="17" t="str">
        <f>IFERROR(__xludf.DUMMYFUNCTION("""COMPUTED_VALUE"""),"")</f>
        <v/>
      </c>
      <c r="Q101" s="17" t="str">
        <f>IFERROR(__xludf.DUMMYFUNCTION("""COMPUTED_VALUE"""),"")</f>
        <v/>
      </c>
      <c r="R101" s="14">
        <f>IFERROR(__xludf.DUMMYFUNCTION("""COMPUTED_VALUE"""),548.9398917819225)</f>
        <v>548.9398918</v>
      </c>
      <c r="S101" s="14">
        <f>IFERROR(__xludf.DUMMYFUNCTION("""COMPUTED_VALUE"""),39.06010821807752)</f>
        <v>39.06010822</v>
      </c>
      <c r="T101" s="17" t="str">
        <f>IFERROR(__xludf.DUMMYFUNCTION("""COMPUTED_VALUE"""),"DÜŞÜK KÂR")</f>
        <v>DÜŞÜK KÂR</v>
      </c>
      <c r="U101" s="17" t="str">
        <f>IFERROR(__xludf.DUMMYFUNCTION("""COMPUTED_VALUE"""),"Reklam/komisyon etkisini kontrol et")</f>
        <v>Reklam/komisyon etkisini kontrol et</v>
      </c>
    </row>
    <row r="102">
      <c r="A102" s="2">
        <f>IFERROR(__xludf.DUMMYFUNCTION("""COMPUTED_VALUE"""),8.010276033703E12)</f>
        <v>8010276033703</v>
      </c>
      <c r="B102" s="17" t="str">
        <f>IFERROR(__xludf.DUMMYFUNCTION("""COMPUTED_VALUE"""),"N&amp;D")</f>
        <v>N&amp;D</v>
      </c>
      <c r="C102" s="17" t="str">
        <f>IFERROR(__xludf.DUMMYFUNCTION("""COMPUTED_VALUE"""),"Ancestral Grain Mini Puppy Kuzulu Yaban Mersinli Küçük Irk Düşük Tahıllı Yavru Köpek Maması 2,5")</f>
        <v>Ancestral Grain Mini Puppy Kuzulu Yaban Mersinli Küçük Irk Düşük Tahıllı Yavru Köpek Maması 2,5</v>
      </c>
      <c r="D102" s="14">
        <f>IFERROR(__xludf.DUMMYFUNCTION("""COMPUTED_VALUE"""),1493.0)</f>
        <v>1493</v>
      </c>
      <c r="E102" s="14">
        <f>IFERROR(__xludf.DUMMYFUNCTION("""COMPUTED_VALUE"""),246.345)</f>
        <v>246.345</v>
      </c>
      <c r="F102" s="14">
        <f>IFERROR(__xludf.DUMMYFUNCTION("""COMPUTED_VALUE"""),90.0)</f>
        <v>90</v>
      </c>
      <c r="G102" s="14">
        <f>IFERROR(__xludf.DUMMYFUNCTION("""COMPUTED_VALUE"""),1089.0)</f>
        <v>1089</v>
      </c>
      <c r="H102" s="14">
        <f>IFERROR(__xludf.DUMMYFUNCTION("""COMPUTED_VALUE"""),13.19)</f>
        <v>13.19</v>
      </c>
      <c r="I102" s="14">
        <f>IFERROR(__xludf.DUMMYFUNCTION("""COMPUTED_VALUE"""),12.441666666666668)</f>
        <v>12.44166667</v>
      </c>
      <c r="J102" s="14">
        <f>IFERROR(__xludf.DUMMYFUNCTION("""COMPUTED_VALUE"""),9.07749999999992)</f>
        <v>9.0775</v>
      </c>
      <c r="K102" s="14">
        <f>IFERROR(__xludf.DUMMYFUNCTION("""COMPUTED_VALUE"""),32.94583333333338)</f>
        <v>32.94583333</v>
      </c>
      <c r="L102" s="15">
        <f>IFERROR(__xludf.DUMMYFUNCTION("""COMPUTED_VALUE"""),0.02206686760437601)</f>
        <v>0.0220668676</v>
      </c>
      <c r="M102" s="17" t="str">
        <f>IFERROR(__xludf.DUMMYFUNCTION("""COMPUTED_VALUE"""),"KÂRLI")</f>
        <v>KÂRLI</v>
      </c>
      <c r="N102" s="17" t="str">
        <f>IFERROR(__xludf.DUMMYFUNCTION("""COMPUTED_VALUE"""),"")</f>
        <v/>
      </c>
      <c r="O102" s="17">
        <f>IFERROR(__xludf.DUMMYFUNCTION("""COMPUTED_VALUE"""),3.0)</f>
        <v>3</v>
      </c>
      <c r="P102" s="17" t="str">
        <f>IFERROR(__xludf.DUMMYFUNCTION("""COMPUTED_VALUE"""),"")</f>
        <v/>
      </c>
      <c r="Q102" s="17" t="str">
        <f>IFERROR(__xludf.DUMMYFUNCTION("""COMPUTED_VALUE"""),"")</f>
        <v/>
      </c>
      <c r="R102" s="14">
        <f>IFERROR(__xludf.DUMMYFUNCTION("""COMPUTED_VALUE"""),1452.8502869122735)</f>
        <v>1452.850287</v>
      </c>
      <c r="S102" s="14">
        <f>IFERROR(__xludf.DUMMYFUNCTION("""COMPUTED_VALUE"""),40.14971308772647)</f>
        <v>40.14971309</v>
      </c>
      <c r="T102" s="17" t="str">
        <f>IFERROR(__xludf.DUMMYFUNCTION("""COMPUTED_VALUE"""),"RİSKLİ")</f>
        <v>RİSKLİ</v>
      </c>
      <c r="U102" s="17" t="str">
        <f>IFERROR(__xludf.DUMMYFUNCTION("""COMPUTED_VALUE"""),"Minimum fiyat altına düşme")</f>
        <v>Minimum fiyat altına düşme</v>
      </c>
    </row>
    <row r="103">
      <c r="A103" s="2">
        <f>IFERROR(__xludf.DUMMYFUNCTION("""COMPUTED_VALUE"""),8.010276042163E12)</f>
        <v>8010276042163</v>
      </c>
      <c r="B103" s="17" t="str">
        <f>IFERROR(__xludf.DUMMYFUNCTION("""COMPUTED_VALUE"""),"N&amp;D")</f>
        <v>N&amp;D</v>
      </c>
      <c r="C103" s="17" t="str">
        <f>IFERROR(__xludf.DUMMYFUNCTION("""COMPUTED_VALUE"""),"Tropical Tavuklu Yetişkin Kedi Maması 1.5 kg")</f>
        <v>Tropical Tavuklu Yetişkin Kedi Maması 1.5 kg</v>
      </c>
      <c r="D103" s="14">
        <f>IFERROR(__xludf.DUMMYFUNCTION("""COMPUTED_VALUE"""),1037.0)</f>
        <v>1037</v>
      </c>
      <c r="E103" s="14">
        <f>IFERROR(__xludf.DUMMYFUNCTION("""COMPUTED_VALUE"""),171.105)</f>
        <v>171.105</v>
      </c>
      <c r="F103" s="14">
        <f>IFERROR(__xludf.DUMMYFUNCTION("""COMPUTED_VALUE"""),90.0)</f>
        <v>90</v>
      </c>
      <c r="G103" s="14">
        <f>IFERROR(__xludf.DUMMYFUNCTION("""COMPUTED_VALUE"""),713.0)</f>
        <v>713</v>
      </c>
      <c r="H103" s="14">
        <f>IFERROR(__xludf.DUMMYFUNCTION("""COMPUTED_VALUE"""),13.19)</f>
        <v>13.19</v>
      </c>
      <c r="I103" s="14">
        <f>IFERROR(__xludf.DUMMYFUNCTION("""COMPUTED_VALUE"""),8.641666666666667)</f>
        <v>8.641666667</v>
      </c>
      <c r="J103" s="14">
        <f>IFERROR(__xludf.DUMMYFUNCTION("""COMPUTED_VALUE"""),8.284166666666684)</f>
        <v>8.284166667</v>
      </c>
      <c r="K103" s="14">
        <f>IFERROR(__xludf.DUMMYFUNCTION("""COMPUTED_VALUE"""),32.77916666666663)</f>
        <v>32.77916667</v>
      </c>
      <c r="L103" s="15">
        <f>IFERROR(__xludf.DUMMYFUNCTION("""COMPUTED_VALUE"""),0.031609611057537734)</f>
        <v>0.03160961106</v>
      </c>
      <c r="M103" s="17" t="str">
        <f>IFERROR(__xludf.DUMMYFUNCTION("""COMPUTED_VALUE"""),"KÂRLI")</f>
        <v>KÂRLI</v>
      </c>
      <c r="N103" s="17" t="str">
        <f>IFERROR(__xludf.DUMMYFUNCTION("""COMPUTED_VALUE"""),"")</f>
        <v/>
      </c>
      <c r="O103" s="17">
        <f>IFERROR(__xludf.DUMMYFUNCTION("""COMPUTED_VALUE"""),3.0)</f>
        <v>3</v>
      </c>
      <c r="P103" s="17" t="str">
        <f>IFERROR(__xludf.DUMMYFUNCTION("""COMPUTED_VALUE"""),"")</f>
        <v/>
      </c>
      <c r="Q103" s="17" t="str">
        <f>IFERROR(__xludf.DUMMYFUNCTION("""COMPUTED_VALUE"""),"")</f>
        <v/>
      </c>
      <c r="R103" s="14">
        <f>IFERROR(__xludf.DUMMYFUNCTION("""COMPUTED_VALUE"""),996.9604534723032)</f>
        <v>996.9604535</v>
      </c>
      <c r="S103" s="14">
        <f>IFERROR(__xludf.DUMMYFUNCTION("""COMPUTED_VALUE"""),40.03954652769676)</f>
        <v>40.03954653</v>
      </c>
      <c r="T103" s="17" t="str">
        <f>IFERROR(__xludf.DUMMYFUNCTION("""COMPUTED_VALUE"""),"DÜŞÜK KÂR")</f>
        <v>DÜŞÜK KÂR</v>
      </c>
      <c r="U103" s="17" t="str">
        <f>IFERROR(__xludf.DUMMYFUNCTION("""COMPUTED_VALUE"""),"Reklam/komisyon etkisini kontrol et")</f>
        <v>Reklam/komisyon etkisini kontrol et</v>
      </c>
    </row>
    <row r="104">
      <c r="A104" s="2" t="str">
        <f>IFERROR(__xludf.DUMMYFUNCTION("""COMPUTED_VALUE"""),"8564256985143-2")</f>
        <v>8564256985143-2</v>
      </c>
      <c r="B104" s="17" t="str">
        <f>IFERROR(__xludf.DUMMYFUNCTION("""COMPUTED_VALUE"""),"PetFix")</f>
        <v>PetFix</v>
      </c>
      <c r="C104" s="17" t="str">
        <f>IFERROR(__xludf.DUMMYFUNCTION("""COMPUTED_VALUE"""),"Zilli Peluş Kedi Oyun Eldiveni - Kedi Oyuncağı")</f>
        <v>Zilli Peluş Kedi Oyun Eldiveni - Kedi Oyuncağı</v>
      </c>
      <c r="D104" s="14">
        <f>IFERROR(__xludf.DUMMYFUNCTION("""COMPUTED_VALUE"""),249.99)</f>
        <v>249.99</v>
      </c>
      <c r="E104" s="14">
        <f>IFERROR(__xludf.DUMMYFUNCTION("""COMPUTED_VALUE"""),49.998000000000005)</f>
        <v>49.998</v>
      </c>
      <c r="F104" s="14">
        <f>IFERROR(__xludf.DUMMYFUNCTION("""COMPUTED_VALUE"""),86.4)</f>
        <v>86.4</v>
      </c>
      <c r="G104" s="14">
        <f>IFERROR(__xludf.DUMMYFUNCTION("""COMPUTED_VALUE"""),60.0)</f>
        <v>60</v>
      </c>
      <c r="H104" s="14">
        <f>IFERROR(__xludf.DUMMYFUNCTION("""COMPUTED_VALUE"""),13.19)</f>
        <v>13.19</v>
      </c>
      <c r="I104" s="14">
        <f>IFERROR(__xludf.DUMMYFUNCTION("""COMPUTED_VALUE"""),2.08325)</f>
        <v>2.08325</v>
      </c>
      <c r="J104" s="14">
        <f>IFERROR(__xludf.DUMMYFUNCTION("""COMPUTED_VALUE"""),6.73366666666667)</f>
        <v>6.733666667</v>
      </c>
      <c r="K104" s="14">
        <f>IFERROR(__xludf.DUMMYFUNCTION("""COMPUTED_VALUE"""),31.585083333333344)</f>
        <v>31.58508333</v>
      </c>
      <c r="L104" s="15">
        <f>IFERROR(__xludf.DUMMYFUNCTION("""COMPUTED_VALUE"""),0.12634538714881932)</f>
        <v>0.1263453871</v>
      </c>
      <c r="M104" s="17" t="str">
        <f>IFERROR(__xludf.DUMMYFUNCTION("""COMPUTED_VALUE"""),"KÂRLI")</f>
        <v>KÂRLI</v>
      </c>
      <c r="N104" s="17" t="str">
        <f>IFERROR(__xludf.DUMMYFUNCTION("""COMPUTED_VALUE"""),"")</f>
        <v/>
      </c>
      <c r="O104" s="17">
        <f>IFERROR(__xludf.DUMMYFUNCTION("""COMPUTED_VALUE"""),1.0)</f>
        <v>1</v>
      </c>
      <c r="P104" s="17" t="str">
        <f>IFERROR(__xludf.DUMMYFUNCTION("""COMPUTED_VALUE"""),"")</f>
        <v/>
      </c>
      <c r="Q104" s="17" t="str">
        <f>IFERROR(__xludf.DUMMYFUNCTION("""COMPUTED_VALUE"""),"")</f>
        <v/>
      </c>
      <c r="R104" s="14">
        <f>IFERROR(__xludf.DUMMYFUNCTION("""COMPUTED_VALUE"""),208.68769096071034)</f>
        <v>208.687691</v>
      </c>
      <c r="S104" s="14">
        <f>IFERROR(__xludf.DUMMYFUNCTION("""COMPUTED_VALUE"""),41.30230903928967)</f>
        <v>41.30230904</v>
      </c>
      <c r="T104" s="17" t="str">
        <f>IFERROR(__xludf.DUMMYFUNCTION("""COMPUTED_VALUE"""),"SAĞLIKLI")</f>
        <v>SAĞLIKLI</v>
      </c>
      <c r="U104" s="17" t="str">
        <f>IFERROR(__xludf.DUMMYFUNCTION("""COMPUTED_VALUE"""),"Takip et")</f>
        <v>Takip et</v>
      </c>
    </row>
    <row r="105">
      <c r="A105" s="2" t="str">
        <f>IFERROR(__xludf.DUMMYFUNCTION("""COMPUTED_VALUE"""),"TYBKHNY9EJARO62U67")</f>
        <v>TYBKHNY9EJARO62U67</v>
      </c>
      <c r="B105" s="17" t="str">
        <f>IFERROR(__xludf.DUMMYFUNCTION("""COMPUTED_VALUE"""),"FELIX")</f>
        <v>FELIX</v>
      </c>
      <c r="C105" s="17" t="str">
        <f>IFERROR(__xludf.DUMMYFUNCTION("""COMPUTED_VALUE"""),"Yavru Kediler Için Tavuklu Yaş Kedi Maması 26 Adet")</f>
        <v>Yavru Kediler Için Tavuklu Yaş Kedi Maması 26 Adet</v>
      </c>
      <c r="D105" s="14">
        <f>IFERROR(__xludf.DUMMYFUNCTION("""COMPUTED_VALUE"""),619.9)</f>
        <v>619.9</v>
      </c>
      <c r="E105" s="14">
        <f>IFERROR(__xludf.DUMMYFUNCTION("""COMPUTED_VALUE"""),83.6865)</f>
        <v>83.6865</v>
      </c>
      <c r="F105" s="14">
        <f>IFERROR(__xludf.DUMMYFUNCTION("""COMPUTED_VALUE"""),90.0)</f>
        <v>90</v>
      </c>
      <c r="G105" s="14">
        <f>IFERROR(__xludf.DUMMYFUNCTION("""COMPUTED_VALUE"""),390.0)</f>
        <v>390</v>
      </c>
      <c r="H105" s="14">
        <f>IFERROR(__xludf.DUMMYFUNCTION("""COMPUTED_VALUE"""),13.19)</f>
        <v>13.19</v>
      </c>
      <c r="I105" s="14">
        <f>IFERROR(__xludf.DUMMYFUNCTION("""COMPUTED_VALUE"""),5.1658333333333335)</f>
        <v>5.165833333</v>
      </c>
      <c r="J105" s="14">
        <f>IFERROR(__xludf.DUMMYFUNCTION("""COMPUTED_VALUE"""),7.1705833333332745)</f>
        <v>7.170583333</v>
      </c>
      <c r="K105" s="14">
        <f>IFERROR(__xludf.DUMMYFUNCTION("""COMPUTED_VALUE"""),30.687083333333348)</f>
        <v>30.68708333</v>
      </c>
      <c r="L105" s="15">
        <f>IFERROR(__xludf.DUMMYFUNCTION("""COMPUTED_VALUE"""),0.04950328009894071)</f>
        <v>0.0495032801</v>
      </c>
      <c r="M105" s="17" t="str">
        <f>IFERROR(__xludf.DUMMYFUNCTION("""COMPUTED_VALUE"""),"KÂRLI")</f>
        <v>KÂRLI</v>
      </c>
      <c r="N105" s="17" t="str">
        <f>IFERROR(__xludf.DUMMYFUNCTION("""COMPUTED_VALUE"""),"")</f>
        <v/>
      </c>
      <c r="O105" s="17">
        <f>IFERROR(__xludf.DUMMYFUNCTION("""COMPUTED_VALUE"""),3.0)</f>
        <v>3</v>
      </c>
      <c r="P105" s="17" t="str">
        <f>IFERROR(__xludf.DUMMYFUNCTION("""COMPUTED_VALUE"""),"")</f>
        <v/>
      </c>
      <c r="Q105" s="17" t="str">
        <f>IFERROR(__xludf.DUMMYFUNCTION("""COMPUTED_VALUE"""),"")</f>
        <v/>
      </c>
      <c r="R105" s="14">
        <f>IFERROR(__xludf.DUMMYFUNCTION("""COMPUTED_VALUE"""),583.5879639284476)</f>
        <v>583.5879639</v>
      </c>
      <c r="S105" s="14">
        <f>IFERROR(__xludf.DUMMYFUNCTION("""COMPUTED_VALUE"""),36.31203607155237)</f>
        <v>36.31203607</v>
      </c>
      <c r="T105" s="17" t="str">
        <f>IFERROR(__xludf.DUMMYFUNCTION("""COMPUTED_VALUE"""),"DÜŞÜK KÂR")</f>
        <v>DÜŞÜK KÂR</v>
      </c>
      <c r="U105" s="17" t="str">
        <f>IFERROR(__xludf.DUMMYFUNCTION("""COMPUTED_VALUE"""),"Reklam/komisyon etkisini kontrol et")</f>
        <v>Reklam/komisyon etkisini kontrol et</v>
      </c>
    </row>
    <row r="106">
      <c r="A106" s="2">
        <f>IFERROR(__xludf.DUMMYFUNCTION("""COMPUTED_VALUE"""),5.2742023724E10)</f>
        <v>52742023724</v>
      </c>
      <c r="B106" s="17" t="str">
        <f>IFERROR(__xludf.DUMMYFUNCTION("""COMPUTED_VALUE"""),"Hill's")</f>
        <v>Hill's</v>
      </c>
      <c r="C106" s="17" t="str">
        <f>IFERROR(__xludf.DUMMYFUNCTION("""COMPUTED_VALUE"""),"SCIENCE PLAN Ton Balıklı Yetişkin Kedi Maması 1,5 Kg")</f>
        <v>SCIENCE PLAN Ton Balıklı Yetişkin Kedi Maması 1,5 Kg</v>
      </c>
      <c r="D106" s="14">
        <f>IFERROR(__xludf.DUMMYFUNCTION("""COMPUTED_VALUE"""),1068.75)</f>
        <v>1068.75</v>
      </c>
      <c r="E106" s="14">
        <f>IFERROR(__xludf.DUMMYFUNCTION("""COMPUTED_VALUE"""),133.59375)</f>
        <v>133.59375</v>
      </c>
      <c r="F106" s="14">
        <f>IFERROR(__xludf.DUMMYFUNCTION("""COMPUTED_VALUE"""),90.0)</f>
        <v>90</v>
      </c>
      <c r="G106" s="14">
        <f>IFERROR(__xludf.DUMMYFUNCTION("""COMPUTED_VALUE"""),790.0)</f>
        <v>790</v>
      </c>
      <c r="H106" s="14">
        <f>IFERROR(__xludf.DUMMYFUNCTION("""COMPUTED_VALUE"""),13.19)</f>
        <v>13.19</v>
      </c>
      <c r="I106" s="14">
        <f>IFERROR(__xludf.DUMMYFUNCTION("""COMPUTED_VALUE"""),8.90625)</f>
        <v>8.90625</v>
      </c>
      <c r="J106" s="14">
        <f>IFERROR(__xludf.DUMMYFUNCTION("""COMPUTED_VALUE"""),6.994375000000039)</f>
        <v>6.994375</v>
      </c>
      <c r="K106" s="14">
        <f>IFERROR(__xludf.DUMMYFUNCTION("""COMPUTED_VALUE"""),26.06562499999996)</f>
        <v>26.065625</v>
      </c>
      <c r="L106" s="15">
        <f>IFERROR(__xludf.DUMMYFUNCTION("""COMPUTED_VALUE"""),0.024388888888888852)</f>
        <v>0.02438888889</v>
      </c>
      <c r="M106" s="17" t="str">
        <f>IFERROR(__xludf.DUMMYFUNCTION("""COMPUTED_VALUE"""),"KÂRLI")</f>
        <v>KÂRLI</v>
      </c>
      <c r="N106" s="17" t="str">
        <f>IFERROR(__xludf.DUMMYFUNCTION("""COMPUTED_VALUE"""),"")</f>
        <v/>
      </c>
      <c r="O106" s="17">
        <f>IFERROR(__xludf.DUMMYFUNCTION("""COMPUTED_VALUE"""),3.0)</f>
        <v>3</v>
      </c>
      <c r="P106" s="17" t="str">
        <f>IFERROR(__xludf.DUMMYFUNCTION("""COMPUTED_VALUE"""),"")</f>
        <v/>
      </c>
      <c r="Q106" s="17" t="str">
        <f>IFERROR(__xludf.DUMMYFUNCTION("""COMPUTED_VALUE"""),"")</f>
        <v/>
      </c>
      <c r="R106" s="14">
        <f>IFERROR(__xludf.DUMMYFUNCTION("""COMPUTED_VALUE"""),1038.4450381295794)</f>
        <v>1038.445038</v>
      </c>
      <c r="S106" s="14">
        <f>IFERROR(__xludf.DUMMYFUNCTION("""COMPUTED_VALUE"""),30.304961870420584)</f>
        <v>30.30496187</v>
      </c>
      <c r="T106" s="17" t="str">
        <f>IFERROR(__xludf.DUMMYFUNCTION("""COMPUTED_VALUE"""),"RİSKLİ")</f>
        <v>RİSKLİ</v>
      </c>
      <c r="U106" s="17" t="str">
        <f>IFERROR(__xludf.DUMMYFUNCTION("""COMPUTED_VALUE"""),"Minimum fiyat altına düşme")</f>
        <v>Minimum fiyat altına düşme</v>
      </c>
    </row>
    <row r="107">
      <c r="A107" s="2" t="str">
        <f>IFERROR(__xludf.DUMMYFUNCTION("""COMPUTED_VALUE"""),"TYB10WDHHTYP18N968")</f>
        <v>TYB10WDHHTYP18N968</v>
      </c>
      <c r="B107" s="17" t="str">
        <f>IFERROR(__xludf.DUMMYFUNCTION("""COMPUTED_VALUE"""),"Gourmet")</f>
        <v>Gourmet</v>
      </c>
      <c r="C107" s="17" t="str">
        <f>IFERROR(__xludf.DUMMYFUNCTION("""COMPUTED_VALUE"""),"Purina Gold Kıyılmış Hindi Etli Konserve Yetişkin Kedi Maması 24 x 85 G")</f>
        <v>Purina Gold Kıyılmış Hindi Etli Konserve Yetişkin Kedi Maması 24 x 85 G</v>
      </c>
      <c r="D107" s="14">
        <f>IFERROR(__xludf.DUMMYFUNCTION("""COMPUTED_VALUE"""),786.49)</f>
        <v>786.49</v>
      </c>
      <c r="E107" s="14">
        <f>IFERROR(__xludf.DUMMYFUNCTION("""COMPUTED_VALUE"""),72.35708)</f>
        <v>72.35708</v>
      </c>
      <c r="F107" s="14">
        <f>IFERROR(__xludf.DUMMYFUNCTION("""COMPUTED_VALUE"""),86.4)</f>
        <v>86.4</v>
      </c>
      <c r="G107" s="14">
        <f>IFERROR(__xludf.DUMMYFUNCTION("""COMPUTED_VALUE"""),580.0)</f>
        <v>580</v>
      </c>
      <c r="H107" s="14">
        <f>IFERROR(__xludf.DUMMYFUNCTION("""COMPUTED_VALUE"""),13.19)</f>
        <v>13.19</v>
      </c>
      <c r="I107" s="14">
        <f>IFERROR(__xludf.DUMMYFUNCTION("""COMPUTED_VALUE"""),6.554083333333335)</f>
        <v>6.554083333</v>
      </c>
      <c r="J107" s="14">
        <f>IFERROR(__xludf.DUMMYFUNCTION("""COMPUTED_VALUE"""),5.757153333333312)</f>
        <v>5.757153333</v>
      </c>
      <c r="K107" s="14">
        <f>IFERROR(__xludf.DUMMYFUNCTION("""COMPUTED_VALUE"""),22.231683333333393)</f>
        <v>22.23168333</v>
      </c>
      <c r="L107" s="15">
        <f>IFERROR(__xludf.DUMMYFUNCTION("""COMPUTED_VALUE"""),0.028266962495814812)</f>
        <v>0.0282669625</v>
      </c>
      <c r="M107" s="17" t="str">
        <f>IFERROR(__xludf.DUMMYFUNCTION("""COMPUTED_VALUE"""),"KÂRLI")</f>
        <v>KÂRLI</v>
      </c>
      <c r="N107" s="17" t="str">
        <f>IFERROR(__xludf.DUMMYFUNCTION("""COMPUTED_VALUE"""),"")</f>
        <v/>
      </c>
      <c r="O107" s="17">
        <f>IFERROR(__xludf.DUMMYFUNCTION("""COMPUTED_VALUE"""),1.0)</f>
        <v>1</v>
      </c>
      <c r="P107" s="17" t="str">
        <f>IFERROR(__xludf.DUMMYFUNCTION("""COMPUTED_VALUE"""),"")</f>
        <v/>
      </c>
      <c r="Q107" s="17" t="str">
        <f>IFERROR(__xludf.DUMMYFUNCTION("""COMPUTED_VALUE"""),"")</f>
        <v/>
      </c>
      <c r="R107" s="14">
        <f>IFERROR(__xludf.DUMMYFUNCTION("""COMPUTED_VALUE"""),761.5759845209038)</f>
        <v>761.5759845</v>
      </c>
      <c r="S107" s="14">
        <f>IFERROR(__xludf.DUMMYFUNCTION("""COMPUTED_VALUE"""),24.91401547909618)</f>
        <v>24.91401548</v>
      </c>
      <c r="T107" s="17" t="str">
        <f>IFERROR(__xludf.DUMMYFUNCTION("""COMPUTED_VALUE"""),"RİSKLİ")</f>
        <v>RİSKLİ</v>
      </c>
      <c r="U107" s="17" t="str">
        <f>IFERROR(__xludf.DUMMYFUNCTION("""COMPUTED_VALUE"""),"Minimum fiyat altına düşme")</f>
        <v>Minimum fiyat altına düşme</v>
      </c>
    </row>
    <row r="108">
      <c r="A108" s="2">
        <f>IFERROR(__xludf.DUMMYFUNCTION("""COMPUTED_VALUE"""),7.6130335646424E13)</f>
        <v>76130335646424</v>
      </c>
      <c r="B108" s="17" t="str">
        <f>IFERROR(__xludf.DUMMYFUNCTION("""COMPUTED_VALUE"""),"Pro Plan")</f>
        <v>Pro Plan</v>
      </c>
      <c r="C108" s="17" t="str">
        <f>IFERROR(__xludf.DUMMYFUNCTION("""COMPUTED_VALUE"""),"Proplan Sterilised Somon Kısır Kedi Maması 400 Gr*4 Adet")</f>
        <v>Proplan Sterilised Somon Kısır Kedi Maması 400 Gr*4 Adet</v>
      </c>
      <c r="D108" s="14">
        <f>IFERROR(__xludf.DUMMYFUNCTION("""COMPUTED_VALUE"""),802.0)</f>
        <v>802</v>
      </c>
      <c r="E108" s="14">
        <f>IFERROR(__xludf.DUMMYFUNCTION("""COMPUTED_VALUE"""),68.17)</f>
        <v>68.17</v>
      </c>
      <c r="F108" s="14">
        <f>IFERROR(__xludf.DUMMYFUNCTION("""COMPUTED_VALUE"""),90.0)</f>
        <v>90</v>
      </c>
      <c r="G108" s="14">
        <f>IFERROR(__xludf.DUMMYFUNCTION("""COMPUTED_VALUE"""),600.0)</f>
        <v>600</v>
      </c>
      <c r="H108" s="14">
        <f>IFERROR(__xludf.DUMMYFUNCTION("""COMPUTED_VALUE"""),13.19)</f>
        <v>13.19</v>
      </c>
      <c r="I108" s="14">
        <f>IFERROR(__xludf.DUMMYFUNCTION("""COMPUTED_VALUE"""),6.683333333333334)</f>
        <v>6.683333333</v>
      </c>
      <c r="J108" s="14">
        <f>IFERROR(__xludf.DUMMYFUNCTION("""COMPUTED_VALUE"""),5.106666666666632)</f>
        <v>5.106666667</v>
      </c>
      <c r="K108" s="14">
        <f>IFERROR(__xludf.DUMMYFUNCTION("""COMPUTED_VALUE"""),18.85000000000008)</f>
        <v>18.85</v>
      </c>
      <c r="L108" s="15">
        <f>IFERROR(__xludf.DUMMYFUNCTION("""COMPUTED_VALUE"""),0.02350374064837915)</f>
        <v>0.02350374065</v>
      </c>
      <c r="M108" s="17" t="str">
        <f>IFERROR(__xludf.DUMMYFUNCTION("""COMPUTED_VALUE"""),"KÂRLI")</f>
        <v>KÂRLI</v>
      </c>
      <c r="N108" s="17" t="str">
        <f>IFERROR(__xludf.DUMMYFUNCTION("""COMPUTED_VALUE"""),"")</f>
        <v/>
      </c>
      <c r="O108" s="17">
        <f>IFERROR(__xludf.DUMMYFUNCTION("""COMPUTED_VALUE"""),3.0)</f>
        <v>3</v>
      </c>
      <c r="P108" s="17" t="str">
        <f>IFERROR(__xludf.DUMMYFUNCTION("""COMPUTED_VALUE"""),"")</f>
        <v/>
      </c>
      <c r="Q108" s="17" t="str">
        <f>IFERROR(__xludf.DUMMYFUNCTION("""COMPUTED_VALUE"""),"")</f>
        <v/>
      </c>
      <c r="R108" s="14">
        <f>IFERROR(__xludf.DUMMYFUNCTION("""COMPUTED_VALUE"""),781.0622281259085)</f>
        <v>781.0622281</v>
      </c>
      <c r="S108" s="14">
        <f>IFERROR(__xludf.DUMMYFUNCTION("""COMPUTED_VALUE"""),20.93777187409148)</f>
        <v>20.93777187</v>
      </c>
      <c r="T108" s="17" t="str">
        <f>IFERROR(__xludf.DUMMYFUNCTION("""COMPUTED_VALUE"""),"RİSKLİ")</f>
        <v>RİSKLİ</v>
      </c>
      <c r="U108" s="17" t="str">
        <f>IFERROR(__xludf.DUMMYFUNCTION("""COMPUTED_VALUE"""),"Minimum fiyat altına düşme")</f>
        <v>Minimum fiyat altına düşme</v>
      </c>
    </row>
    <row r="109">
      <c r="A109" s="2" t="str">
        <f>IFERROR(__xludf.DUMMYFUNCTION("""COMPUTED_VALUE"""),"TYB63LE63X4TX1PQ37")</f>
        <v>TYB63LE63X4TX1PQ37</v>
      </c>
      <c r="B109" s="17" t="str">
        <f>IFERROR(__xludf.DUMMYFUNCTION("""COMPUTED_VALUE"""),"Gourmet")</f>
        <v>Gourmet</v>
      </c>
      <c r="C109" s="17" t="str">
        <f>IFERROR(__xludf.DUMMYFUNCTION("""COMPUTED_VALUE"""),"Hindili Kıyılmış 85 G X 24 Adet")</f>
        <v>Hindili Kıyılmış 85 G X 24 Adet</v>
      </c>
      <c r="D109" s="14">
        <f>IFERROR(__xludf.DUMMYFUNCTION("""COMPUTED_VALUE"""),742.85)</f>
        <v>742.85</v>
      </c>
      <c r="E109" s="14">
        <f>IFERROR(__xludf.DUMMYFUNCTION("""COMPUTED_VALUE"""),34.171099999999996)</f>
        <v>34.1711</v>
      </c>
      <c r="F109" s="14">
        <f>IFERROR(__xludf.DUMMYFUNCTION("""COMPUTED_VALUE"""),86.4)</f>
        <v>86.4</v>
      </c>
      <c r="G109" s="14">
        <f>IFERROR(__xludf.DUMMYFUNCTION("""COMPUTED_VALUE"""),580.0)</f>
        <v>580</v>
      </c>
      <c r="H109" s="14">
        <f>IFERROR(__xludf.DUMMYFUNCTION("""COMPUTED_VALUE"""),13.19)</f>
        <v>13.19</v>
      </c>
      <c r="I109" s="14">
        <f>IFERROR(__xludf.DUMMYFUNCTION("""COMPUTED_VALUE"""),6.190416666666668)</f>
        <v>6.190416667</v>
      </c>
      <c r="J109" s="14">
        <f>IFERROR(__xludf.DUMMYFUNCTION("""COMPUTED_VALUE"""),4.848149999999995)</f>
        <v>4.84815</v>
      </c>
      <c r="K109" s="14">
        <f>IFERROR(__xludf.DUMMYFUNCTION("""COMPUTED_VALUE"""),18.050333333333363)</f>
        <v>18.05033333</v>
      </c>
      <c r="L109" s="15">
        <f>IFERROR(__xludf.DUMMYFUNCTION("""COMPUTED_VALUE"""),0.02429875928294186)</f>
        <v>0.02429875928</v>
      </c>
      <c r="M109" s="17" t="str">
        <f>IFERROR(__xludf.DUMMYFUNCTION("""COMPUTED_VALUE"""),"KÂRLI")</f>
        <v>KÂRLI</v>
      </c>
      <c r="N109" s="17" t="str">
        <f>IFERROR(__xludf.DUMMYFUNCTION("""COMPUTED_VALUE"""),"")</f>
        <v/>
      </c>
      <c r="O109" s="17">
        <f>IFERROR(__xludf.DUMMYFUNCTION("""COMPUTED_VALUE"""),2.0)</f>
        <v>2</v>
      </c>
      <c r="P109" s="17" t="str">
        <f>IFERROR(__xludf.DUMMYFUNCTION("""COMPUTED_VALUE"""),"")</f>
        <v/>
      </c>
      <c r="Q109" s="17" t="str">
        <f>IFERROR(__xludf.DUMMYFUNCTION("""COMPUTED_VALUE"""),"")</f>
        <v/>
      </c>
      <c r="R109" s="14">
        <f>IFERROR(__xludf.DUMMYFUNCTION("""COMPUTED_VALUE"""),723.6296816514771)</f>
        <v>723.6296817</v>
      </c>
      <c r="S109" s="14">
        <f>IFERROR(__xludf.DUMMYFUNCTION("""COMPUTED_VALUE"""),19.220318348522937)</f>
        <v>19.22031835</v>
      </c>
      <c r="T109" s="17" t="str">
        <f>IFERROR(__xludf.DUMMYFUNCTION("""COMPUTED_VALUE"""),"RİSKLİ")</f>
        <v>RİSKLİ</v>
      </c>
      <c r="U109" s="17" t="str">
        <f>IFERROR(__xludf.DUMMYFUNCTION("""COMPUTED_VALUE"""),"Minimum fiyat altına düşme")</f>
        <v>Minimum fiyat altına düşme</v>
      </c>
    </row>
    <row r="110">
      <c r="A110" s="2" t="str">
        <f>IFERROR(__xludf.DUMMYFUNCTION("""COMPUTED_VALUE"""),"TYBMPF8C5ET2JK1U31")</f>
        <v>TYBMPF8C5ET2JK1U31</v>
      </c>
      <c r="B110" s="17" t="str">
        <f>IFERROR(__xludf.DUMMYFUNCTION("""COMPUTED_VALUE"""),"FELIX")</f>
        <v>FELIX</v>
      </c>
      <c r="C110" s="17" t="str">
        <f>IFERROR(__xludf.DUMMYFUNCTION("""COMPUTED_VALUE"""),"Somonlu Yaş Kedi Maması 26 Adet X 85 Gr.")</f>
        <v>Somonlu Yaş Kedi Maması 26 Adet X 85 Gr.</v>
      </c>
      <c r="D110" s="14">
        <f>IFERROR(__xludf.DUMMYFUNCTION("""COMPUTED_VALUE"""),597.9)</f>
        <v>597.9</v>
      </c>
      <c r="E110" s="14">
        <f>IFERROR(__xludf.DUMMYFUNCTION("""COMPUTED_VALUE"""),80.7165)</f>
        <v>80.7165</v>
      </c>
      <c r="F110" s="14">
        <f>IFERROR(__xludf.DUMMYFUNCTION("""COMPUTED_VALUE"""),90.0)</f>
        <v>90</v>
      </c>
      <c r="G110" s="14">
        <f>IFERROR(__xludf.DUMMYFUNCTION("""COMPUTED_VALUE"""),390.0)</f>
        <v>390</v>
      </c>
      <c r="H110" s="14">
        <f>IFERROR(__xludf.DUMMYFUNCTION("""COMPUTED_VALUE"""),13.19)</f>
        <v>13.19</v>
      </c>
      <c r="I110" s="14">
        <f>IFERROR(__xludf.DUMMYFUNCTION("""COMPUTED_VALUE"""),4.9825)</f>
        <v>4.9825</v>
      </c>
      <c r="J110" s="14">
        <f>IFERROR(__xludf.DUMMYFUNCTION("""COMPUTED_VALUE"""),3.9989166666666502)</f>
        <v>3.998916667</v>
      </c>
      <c r="K110" s="14">
        <f>IFERROR(__xludf.DUMMYFUNCTION("""COMPUTED_VALUE"""),15.012083333333331)</f>
        <v>15.01208333</v>
      </c>
      <c r="L110" s="15">
        <f>IFERROR(__xludf.DUMMYFUNCTION("""COMPUTED_VALUE"""),0.025108016948207613)</f>
        <v>0.02510801695</v>
      </c>
      <c r="M110" s="17" t="str">
        <f>IFERROR(__xludf.DUMMYFUNCTION("""COMPUTED_VALUE"""),"KÂRLI")</f>
        <v>KÂRLI</v>
      </c>
      <c r="N110" s="17" t="str">
        <f>IFERROR(__xludf.DUMMYFUNCTION("""COMPUTED_VALUE"""),"")</f>
        <v/>
      </c>
      <c r="O110" s="17">
        <f>IFERROR(__xludf.DUMMYFUNCTION("""COMPUTED_VALUE"""),3.0)</f>
        <v>3</v>
      </c>
      <c r="P110" s="17" t="str">
        <f>IFERROR(__xludf.DUMMYFUNCTION("""COMPUTED_VALUE"""),"")</f>
        <v/>
      </c>
      <c r="Q110" s="17" t="str">
        <f>IFERROR(__xludf.DUMMYFUNCTION("""COMPUTED_VALUE"""),"")</f>
        <v/>
      </c>
      <c r="R110" s="14">
        <f>IFERROR(__xludf.DUMMYFUNCTION("""COMPUTED_VALUE"""),580.2380490540888)</f>
        <v>580.2380491</v>
      </c>
      <c r="S110" s="14">
        <f>IFERROR(__xludf.DUMMYFUNCTION("""COMPUTED_VALUE"""),17.661950945911144)</f>
        <v>17.66195095</v>
      </c>
      <c r="T110" s="17" t="str">
        <f>IFERROR(__xludf.DUMMYFUNCTION("""COMPUTED_VALUE"""),"RİSKLİ")</f>
        <v>RİSKLİ</v>
      </c>
      <c r="U110" s="17" t="str">
        <f>IFERROR(__xludf.DUMMYFUNCTION("""COMPUTED_VALUE"""),"Minimum fiyat altına düşme")</f>
        <v>Minimum fiyat altına düşme</v>
      </c>
    </row>
    <row r="111">
      <c r="A111" s="2">
        <f>IFERROR(__xludf.DUMMYFUNCTION("""COMPUTED_VALUE"""),9.003579001646E12)</f>
        <v>9003579001646</v>
      </c>
      <c r="B111" s="17" t="str">
        <f>IFERROR(__xludf.DUMMYFUNCTION("""COMPUTED_VALUE"""),"Royal Canin")</f>
        <v>Royal Canin</v>
      </c>
      <c r="C111" s="17" t="str">
        <f>IFERROR(__xludf.DUMMYFUNCTION("""COMPUTED_VALUE"""),"Poodle Yaş Köpek Maması 12 x 85g")</f>
        <v>Poodle Yaş Köpek Maması 12 x 85g</v>
      </c>
      <c r="D111" s="14">
        <f>IFERROR(__xludf.DUMMYFUNCTION("""COMPUTED_VALUE"""),658.0)</f>
        <v>658</v>
      </c>
      <c r="E111" s="14">
        <f>IFERROR(__xludf.DUMMYFUNCTION("""COMPUTED_VALUE"""),82.25)</f>
        <v>82.25</v>
      </c>
      <c r="F111" s="14">
        <f>IFERROR(__xludf.DUMMYFUNCTION("""COMPUTED_VALUE"""),86.4)</f>
        <v>86.4</v>
      </c>
      <c r="G111" s="14">
        <f>IFERROR(__xludf.DUMMYFUNCTION("""COMPUTED_VALUE"""),452.4)</f>
        <v>452.4</v>
      </c>
      <c r="H111" s="14">
        <f>IFERROR(__xludf.DUMMYFUNCTION("""COMPUTED_VALUE"""),13.19)</f>
        <v>13.19</v>
      </c>
      <c r="I111" s="14">
        <f>IFERROR(__xludf.DUMMYFUNCTION("""COMPUTED_VALUE"""),5.483333333333333)</f>
        <v>5.483333333</v>
      </c>
      <c r="J111" s="14">
        <f>IFERROR(__xludf.DUMMYFUNCTION("""COMPUTED_VALUE"""),3.959999999999999)</f>
        <v>3.96</v>
      </c>
      <c r="K111" s="14">
        <f>IFERROR(__xludf.DUMMYFUNCTION("""COMPUTED_VALUE"""),14.316666666666714)</f>
        <v>14.31666667</v>
      </c>
      <c r="L111" s="15">
        <f>IFERROR(__xludf.DUMMYFUNCTION("""COMPUTED_VALUE"""),0.021757852077001087)</f>
        <v>0.02175785208</v>
      </c>
      <c r="M111" s="17" t="str">
        <f>IFERROR(__xludf.DUMMYFUNCTION("""COMPUTED_VALUE"""),"KÂRLI")</f>
        <v>KÂRLI</v>
      </c>
      <c r="N111" s="17" t="str">
        <f>IFERROR(__xludf.DUMMYFUNCTION("""COMPUTED_VALUE"""),"")</f>
        <v/>
      </c>
      <c r="O111" s="17">
        <f>IFERROR(__xludf.DUMMYFUNCTION("""COMPUTED_VALUE"""),2.0)</f>
        <v>2</v>
      </c>
      <c r="P111" s="17" t="str">
        <f>IFERROR(__xludf.DUMMYFUNCTION("""COMPUTED_VALUE"""),"")</f>
        <v/>
      </c>
      <c r="Q111" s="17" t="str">
        <f>IFERROR(__xludf.DUMMYFUNCTION("""COMPUTED_VALUE"""),"")</f>
        <v/>
      </c>
      <c r="R111" s="14">
        <f>IFERROR(__xludf.DUMMYFUNCTION("""COMPUTED_VALUE"""),641.3650071703348)</f>
        <v>641.3650072</v>
      </c>
      <c r="S111" s="14">
        <f>IFERROR(__xludf.DUMMYFUNCTION("""COMPUTED_VALUE"""),16.63499282966518)</f>
        <v>16.63499283</v>
      </c>
      <c r="T111" s="17" t="str">
        <f>IFERROR(__xludf.DUMMYFUNCTION("""COMPUTED_VALUE"""),"RİSKLİ")</f>
        <v>RİSKLİ</v>
      </c>
      <c r="U111" s="17" t="str">
        <f>IFERROR(__xludf.DUMMYFUNCTION("""COMPUTED_VALUE"""),"Minimum fiyat altına düşme")</f>
        <v>Minimum fiyat altına düşme</v>
      </c>
    </row>
    <row r="112">
      <c r="A112" s="2">
        <f>IFERROR(__xludf.DUMMYFUNCTION("""COMPUTED_VALUE"""),1.44586800733348E15)</f>
        <v>1.44587E+15</v>
      </c>
      <c r="B112" s="17" t="str">
        <f>IFERROR(__xludf.DUMMYFUNCTION("""COMPUTED_VALUE"""),"Wanpy")</f>
        <v>Wanpy</v>
      </c>
      <c r="C112" s="17" t="str">
        <f>IFERROR(__xludf.DUMMYFUNCTION("""COMPUTED_VALUE"""),"Kedi Sıvı Ödül Karma 25 Li X 4 Lü Eko Paket")</f>
        <v>Kedi Sıvı Ödül Karma 25 Li X 4 Lü Eko Paket</v>
      </c>
      <c r="D112" s="14">
        <f>IFERROR(__xludf.DUMMYFUNCTION("""COMPUTED_VALUE"""),1032.9)</f>
        <v>1032.9</v>
      </c>
      <c r="E112" s="14">
        <f>IFERROR(__xludf.DUMMYFUNCTION("""COMPUTED_VALUE"""),120.8493)</f>
        <v>120.8493</v>
      </c>
      <c r="F112" s="14">
        <f>IFERROR(__xludf.DUMMYFUNCTION("""COMPUTED_VALUE"""),86.4)</f>
        <v>86.4</v>
      </c>
      <c r="G112" s="14">
        <f>IFERROR(__xludf.DUMMYFUNCTION("""COMPUTED_VALUE"""),786.0)</f>
        <v>786</v>
      </c>
      <c r="H112" s="14">
        <f>IFERROR(__xludf.DUMMYFUNCTION("""COMPUTED_VALUE"""),13.19)</f>
        <v>13.19</v>
      </c>
      <c r="I112" s="14">
        <f>IFERROR(__xludf.DUMMYFUNCTION("""COMPUTED_VALUE"""),8.607500000000002)</f>
        <v>8.6075</v>
      </c>
      <c r="J112" s="14">
        <f>IFERROR(__xludf.DUMMYFUNCTION("""COMPUTED_VALUE"""),4.410116666666658)</f>
        <v>4.410116667</v>
      </c>
      <c r="K112" s="14">
        <f>IFERROR(__xludf.DUMMYFUNCTION("""COMPUTED_VALUE"""),13.443083333333485)</f>
        <v>13.44308333</v>
      </c>
      <c r="L112" s="15">
        <f>IFERROR(__xludf.DUMMYFUNCTION("""COMPUTED_VALUE"""),0.013014893342369526)</f>
        <v>0.01301489334</v>
      </c>
      <c r="M112" s="17" t="str">
        <f>IFERROR(__xludf.DUMMYFUNCTION("""COMPUTED_VALUE"""),"KÂRLI")</f>
        <v>KÂRLI</v>
      </c>
      <c r="N112" s="17" t="str">
        <f>IFERROR(__xludf.DUMMYFUNCTION("""COMPUTED_VALUE"""),"")</f>
        <v/>
      </c>
      <c r="O112" s="17">
        <f>IFERROR(__xludf.DUMMYFUNCTION("""COMPUTED_VALUE"""),0.5)</f>
        <v>0.5</v>
      </c>
      <c r="P112" s="17" t="str">
        <f>IFERROR(__xludf.DUMMYFUNCTION("""COMPUTED_VALUE"""),"")</f>
        <v/>
      </c>
      <c r="Q112" s="17" t="str">
        <f>IFERROR(__xludf.DUMMYFUNCTION("""COMPUTED_VALUE"""),"")</f>
        <v/>
      </c>
      <c r="R112" s="14">
        <f>IFERROR(__xludf.DUMMYFUNCTION("""COMPUTED_VALUE"""),1017.4548385903475)</f>
        <v>1017.454839</v>
      </c>
      <c r="S112" s="14">
        <f>IFERROR(__xludf.DUMMYFUNCTION("""COMPUTED_VALUE"""),15.445161409652542)</f>
        <v>15.44516141</v>
      </c>
      <c r="T112" s="17" t="str">
        <f>IFERROR(__xludf.DUMMYFUNCTION("""COMPUTED_VALUE"""),"RİSKLİ")</f>
        <v>RİSKLİ</v>
      </c>
      <c r="U112" s="17" t="str">
        <f>IFERROR(__xludf.DUMMYFUNCTION("""COMPUTED_VALUE"""),"Minimum fiyat altına düşme")</f>
        <v>Minimum fiyat altına düşme</v>
      </c>
    </row>
    <row r="113">
      <c r="A113" s="2" t="str">
        <f>IFERROR(__xludf.DUMMYFUNCTION("""COMPUTED_VALUE"""),"TYPET19")</f>
        <v>TYPET19</v>
      </c>
      <c r="B113" s="17" t="str">
        <f>IFERROR(__xludf.DUMMYFUNCTION("""COMPUTED_VALUE"""),"FELIX")</f>
        <v>FELIX</v>
      </c>
      <c r="C113" s="17" t="str">
        <f>IFERROR(__xludf.DUMMYFUNCTION("""COMPUTED_VALUE"""),"Karma Paket Kedi Konserve Maması 28 Adet X 85gr")</f>
        <v>Karma Paket Kedi Konserve Maması 28 Adet X 85gr</v>
      </c>
      <c r="D113" s="14">
        <f>IFERROR(__xludf.DUMMYFUNCTION("""COMPUTED_VALUE"""),630.0)</f>
        <v>630</v>
      </c>
      <c r="E113" s="14">
        <f>IFERROR(__xludf.DUMMYFUNCTION("""COMPUTED_VALUE"""),85.05)</f>
        <v>85.05</v>
      </c>
      <c r="F113" s="14">
        <f>IFERROR(__xludf.DUMMYFUNCTION("""COMPUTED_VALUE"""),90.0)</f>
        <v>90</v>
      </c>
      <c r="G113" s="14">
        <f>IFERROR(__xludf.DUMMYFUNCTION("""COMPUTED_VALUE"""),420.0)</f>
        <v>420</v>
      </c>
      <c r="H113" s="14">
        <f>IFERROR(__xludf.DUMMYFUNCTION("""COMPUTED_VALUE"""),13.19)</f>
        <v>13.19</v>
      </c>
      <c r="I113" s="14">
        <f>IFERROR(__xludf.DUMMYFUNCTION("""COMPUTED_VALUE"""),5.25)</f>
        <v>5.25</v>
      </c>
      <c r="J113" s="14">
        <f>IFERROR(__xludf.DUMMYFUNCTION("""COMPUTED_VALUE"""),3.6266666666666705)</f>
        <v>3.626666667</v>
      </c>
      <c r="K113" s="14">
        <f>IFERROR(__xludf.DUMMYFUNCTION("""COMPUTED_VALUE"""),12.883333333333377)</f>
        <v>12.88333333</v>
      </c>
      <c r="L113" s="15">
        <f>IFERROR(__xludf.DUMMYFUNCTION("""COMPUTED_VALUE"""),0.02044973544973552)</f>
        <v>0.02044973545</v>
      </c>
      <c r="M113" s="17" t="str">
        <f>IFERROR(__xludf.DUMMYFUNCTION("""COMPUTED_VALUE"""),"KÂRLI")</f>
        <v>KÂRLI</v>
      </c>
      <c r="N113" s="17" t="str">
        <f>IFERROR(__xludf.DUMMYFUNCTION("""COMPUTED_VALUE"""),"")</f>
        <v/>
      </c>
      <c r="O113" s="17">
        <f>IFERROR(__xludf.DUMMYFUNCTION("""COMPUTED_VALUE"""),3.0)</f>
        <v>3</v>
      </c>
      <c r="P113" s="17" t="str">
        <f>IFERROR(__xludf.DUMMYFUNCTION("""COMPUTED_VALUE"""),"")</f>
        <v/>
      </c>
      <c r="Q113" s="17" t="str">
        <f>IFERROR(__xludf.DUMMYFUNCTION("""COMPUTED_VALUE"""),"")</f>
        <v/>
      </c>
      <c r="R113" s="14">
        <f>IFERROR(__xludf.DUMMYFUNCTION("""COMPUTED_VALUE"""),614.8591067383585)</f>
        <v>614.8591067</v>
      </c>
      <c r="S113" s="14">
        <f>IFERROR(__xludf.DUMMYFUNCTION("""COMPUTED_VALUE"""),15.140893261641509)</f>
        <v>15.14089326</v>
      </c>
      <c r="T113" s="17" t="str">
        <f>IFERROR(__xludf.DUMMYFUNCTION("""COMPUTED_VALUE"""),"RİSKLİ")</f>
        <v>RİSKLİ</v>
      </c>
      <c r="U113" s="17" t="str">
        <f>IFERROR(__xludf.DUMMYFUNCTION("""COMPUTED_VALUE"""),"Minimum fiyat altına düşme")</f>
        <v>Minimum fiyat altına düşme</v>
      </c>
    </row>
    <row r="114">
      <c r="A114" s="2">
        <f>IFERROR(__xludf.DUMMYFUNCTION("""COMPUTED_VALUE"""),7.613032816536E12)</f>
        <v>7613032816536</v>
      </c>
      <c r="B114" s="17" t="str">
        <f>IFERROR(__xludf.DUMMYFUNCTION("""COMPUTED_VALUE"""),"Gourmet")</f>
        <v>Gourmet</v>
      </c>
      <c r="C114" s="17" t="str">
        <f>IFERROR(__xludf.DUMMYFUNCTION("""COMPUTED_VALUE"""),"Purina Gourmet Gold Karışık Kedi Konservesi 85 gr X 24 Adet")</f>
        <v>Purina Gourmet Gold Karışık Kedi Konservesi 85 gr X 24 Adet</v>
      </c>
      <c r="D114" s="14">
        <f>IFERROR(__xludf.DUMMYFUNCTION("""COMPUTED_VALUE"""),746.27)</f>
        <v>746.27</v>
      </c>
      <c r="E114" s="14">
        <f>IFERROR(__xludf.DUMMYFUNCTION("""COMPUTED_VALUE"""),44.776199999999996)</f>
        <v>44.7762</v>
      </c>
      <c r="F114" s="14">
        <f>IFERROR(__xludf.DUMMYFUNCTION("""COMPUTED_VALUE"""),86.4)</f>
        <v>86.4</v>
      </c>
      <c r="G114" s="14">
        <f>IFERROR(__xludf.DUMMYFUNCTION("""COMPUTED_VALUE"""),580.0)</f>
        <v>580</v>
      </c>
      <c r="H114" s="14">
        <f>IFERROR(__xludf.DUMMYFUNCTION("""COMPUTED_VALUE"""),13.19)</f>
        <v>13.19</v>
      </c>
      <c r="I114" s="14">
        <f>IFERROR(__xludf.DUMMYFUNCTION("""COMPUTED_VALUE"""),6.218916666666667)</f>
        <v>6.218916667</v>
      </c>
      <c r="J114" s="14">
        <f>IFERROR(__xludf.DUMMYFUNCTION("""COMPUTED_VALUE"""),3.6506333333333796)</f>
        <v>3.650633333</v>
      </c>
      <c r="K114" s="14">
        <f>IFERROR(__xludf.DUMMYFUNCTION("""COMPUTED_VALUE"""),12.034249999999943)</f>
        <v>12.03425</v>
      </c>
      <c r="L114" s="15">
        <f>IFERROR(__xludf.DUMMYFUNCTION("""COMPUTED_VALUE"""),0.01612586597344117)</f>
        <v>0.01612586597</v>
      </c>
      <c r="M114" s="17" t="str">
        <f>IFERROR(__xludf.DUMMYFUNCTION("""COMPUTED_VALUE"""),"KÂRLI")</f>
        <v>KÂRLI</v>
      </c>
      <c r="N114" s="17" t="str">
        <f>IFERROR(__xludf.DUMMYFUNCTION("""COMPUTED_VALUE"""),"")</f>
        <v/>
      </c>
      <c r="O114" s="17">
        <f>IFERROR(__xludf.DUMMYFUNCTION("""COMPUTED_VALUE"""),2.0)</f>
        <v>2</v>
      </c>
      <c r="P114" s="17" t="str">
        <f>IFERROR(__xludf.DUMMYFUNCTION("""COMPUTED_VALUE"""),"")</f>
        <v/>
      </c>
      <c r="Q114" s="17" t="str">
        <f>IFERROR(__xludf.DUMMYFUNCTION("""COMPUTED_VALUE"""),"")</f>
        <v/>
      </c>
      <c r="R114" s="14">
        <f>IFERROR(__xludf.DUMMYFUNCTION("""COMPUTED_VALUE"""),733.284651153505)</f>
        <v>733.2846512</v>
      </c>
      <c r="S114" s="14">
        <f>IFERROR(__xludf.DUMMYFUNCTION("""COMPUTED_VALUE"""),12.985348846494958)</f>
        <v>12.98534885</v>
      </c>
      <c r="T114" s="17" t="str">
        <f>IFERROR(__xludf.DUMMYFUNCTION("""COMPUTED_VALUE"""),"RİSKLİ")</f>
        <v>RİSKLİ</v>
      </c>
      <c r="U114" s="17" t="str">
        <f>IFERROR(__xludf.DUMMYFUNCTION("""COMPUTED_VALUE"""),"Minimum fiyat altına düşme")</f>
        <v>Minimum fiyat altına düşme</v>
      </c>
    </row>
    <row r="115">
      <c r="A115" s="2" t="str">
        <f>IFERROR(__xludf.DUMMYFUNCTION("""COMPUTED_VALUE"""),"TYBBL117UNTJIWDS99")</f>
        <v>TYBBL117UNTJIWDS99</v>
      </c>
      <c r="B115" s="17" t="str">
        <f>IFERROR(__xludf.DUMMYFUNCTION("""COMPUTED_VALUE"""),"Pro Plan")</f>
        <v>Pro Plan</v>
      </c>
      <c r="C115" s="17" t="str">
        <f>IFERROR(__xludf.DUMMYFUNCTION("""COMPUTED_VALUE"""),"Proplan kısır somonlu 4 kg (400gr x10 ).")</f>
        <v>Proplan kısır somonlu 4 kg (400gr x10 ).</v>
      </c>
      <c r="D115" s="14">
        <f>IFERROR(__xludf.DUMMYFUNCTION("""COMPUTED_VALUE"""),1750.0)</f>
        <v>1750</v>
      </c>
      <c r="E115" s="14">
        <f>IFERROR(__xludf.DUMMYFUNCTION("""COMPUTED_VALUE"""),115.5)</f>
        <v>115.5</v>
      </c>
      <c r="F115" s="14">
        <f>IFERROR(__xludf.DUMMYFUNCTION("""COMPUTED_VALUE"""),90.0)</f>
        <v>90</v>
      </c>
      <c r="G115" s="14">
        <f>IFERROR(__xludf.DUMMYFUNCTION("""COMPUTED_VALUE"""),1500.0)</f>
        <v>1500</v>
      </c>
      <c r="H115" s="14">
        <f>IFERROR(__xludf.DUMMYFUNCTION("""COMPUTED_VALUE"""),13.19)</f>
        <v>13.19</v>
      </c>
      <c r="I115" s="14">
        <f>IFERROR(__xludf.DUMMYFUNCTION("""COMPUTED_VALUE"""),14.583333333333336)</f>
        <v>14.58333333</v>
      </c>
      <c r="J115" s="14">
        <f>IFERROR(__xludf.DUMMYFUNCTION("""COMPUTED_VALUE"""),5.218333333333183)</f>
        <v>5.218333333</v>
      </c>
      <c r="K115" s="14">
        <f>IFERROR(__xludf.DUMMYFUNCTION("""COMPUTED_VALUE"""),11.508333333333484)</f>
        <v>11.50833333</v>
      </c>
      <c r="L115" s="15">
        <f>IFERROR(__xludf.DUMMYFUNCTION("""COMPUTED_VALUE"""),0.006576190476190562)</f>
        <v>0.006576190476</v>
      </c>
      <c r="M115" s="17" t="str">
        <f>IFERROR(__xludf.DUMMYFUNCTION("""COMPUTED_VALUE"""),"KÂRLI")</f>
        <v>KÂRLI</v>
      </c>
      <c r="N115" s="17" t="str">
        <f>IFERROR(__xludf.DUMMYFUNCTION("""COMPUTED_VALUE"""),"")</f>
        <v/>
      </c>
      <c r="O115" s="17">
        <f>IFERROR(__xludf.DUMMYFUNCTION("""COMPUTED_VALUE"""),3.0)</f>
        <v>3</v>
      </c>
      <c r="P115" s="17" t="str">
        <f>IFERROR(__xludf.DUMMYFUNCTION("""COMPUTED_VALUE"""),"")</f>
        <v/>
      </c>
      <c r="Q115" s="17" t="str">
        <f>IFERROR(__xludf.DUMMYFUNCTION("""COMPUTED_VALUE"""),"")</f>
        <v/>
      </c>
      <c r="R115" s="14">
        <f>IFERROR(__xludf.DUMMYFUNCTION("""COMPUTED_VALUE"""),1737.5267122812936)</f>
        <v>1737.526712</v>
      </c>
      <c r="S115" s="14">
        <f>IFERROR(__xludf.DUMMYFUNCTION("""COMPUTED_VALUE"""),12.473287718706388)</f>
        <v>12.47328772</v>
      </c>
      <c r="T115" s="17" t="str">
        <f>IFERROR(__xludf.DUMMYFUNCTION("""COMPUTED_VALUE"""),"RİSKLİ")</f>
        <v>RİSKLİ</v>
      </c>
      <c r="U115" s="17" t="str">
        <f>IFERROR(__xludf.DUMMYFUNCTION("""COMPUTED_VALUE"""),"Minimum fiyat altına düşme")</f>
        <v>Minimum fiyat altına düşme</v>
      </c>
    </row>
    <row r="116">
      <c r="A116" s="2">
        <f>IFERROR(__xludf.DUMMYFUNCTION("""COMPUTED_VALUE"""),985474.0)</f>
        <v>985474</v>
      </c>
      <c r="B116" s="17" t="str">
        <f>IFERROR(__xludf.DUMMYFUNCTION("""COMPUTED_VALUE"""),"Pro Plan")</f>
        <v>Pro Plan</v>
      </c>
      <c r="C116" s="17" t="str">
        <f>IFERROR(__xludf.DUMMYFUNCTION("""COMPUTED_VALUE"""),"Proplan Sterilised Somon Kısır Kedi Konservesi 85 Gr X 12 Adet Yaş Mama")</f>
        <v>Proplan Sterilised Somon Kısır Kedi Konservesi 85 Gr X 12 Adet Yaş Mama</v>
      </c>
      <c r="D116" s="14">
        <f>IFERROR(__xludf.DUMMYFUNCTION("""COMPUTED_VALUE"""),520.0)</f>
        <v>520</v>
      </c>
      <c r="E116" s="14">
        <f>IFERROR(__xludf.DUMMYFUNCTION("""COMPUTED_VALUE"""),48.36)</f>
        <v>48.36</v>
      </c>
      <c r="F116" s="14">
        <f>IFERROR(__xludf.DUMMYFUNCTION("""COMPUTED_VALUE"""),90.0)</f>
        <v>90</v>
      </c>
      <c r="G116" s="14">
        <f>IFERROR(__xludf.DUMMYFUNCTION("""COMPUTED_VALUE"""),350.0)</f>
        <v>350</v>
      </c>
      <c r="H116" s="14">
        <f>IFERROR(__xludf.DUMMYFUNCTION("""COMPUTED_VALUE"""),13.19)</f>
        <v>13.19</v>
      </c>
      <c r="I116" s="14">
        <f>IFERROR(__xludf.DUMMYFUNCTION("""COMPUTED_VALUE"""),4.333333333333334)</f>
        <v>4.333333333</v>
      </c>
      <c r="J116" s="14">
        <f>IFERROR(__xludf.DUMMYFUNCTION("""COMPUTED_VALUE"""),3.074999999999987)</f>
        <v>3.075</v>
      </c>
      <c r="K116" s="14">
        <f>IFERROR(__xludf.DUMMYFUNCTION("""COMPUTED_VALUE"""),11.041666666666668)</f>
        <v>11.04166667</v>
      </c>
      <c r="L116" s="15">
        <f>IFERROR(__xludf.DUMMYFUNCTION("""COMPUTED_VALUE"""),0.02123397435897436)</f>
        <v>0.02123397436</v>
      </c>
      <c r="M116" s="17" t="str">
        <f>IFERROR(__xludf.DUMMYFUNCTION("""COMPUTED_VALUE"""),"KÂRLI")</f>
        <v>KÂRLI</v>
      </c>
      <c r="N116" s="17" t="str">
        <f>IFERROR(__xludf.DUMMYFUNCTION("""COMPUTED_VALUE"""),"")</f>
        <v/>
      </c>
      <c r="O116" s="17">
        <f>IFERROR(__xludf.DUMMYFUNCTION("""COMPUTED_VALUE"""),3.0)</f>
        <v>3</v>
      </c>
      <c r="P116" s="17" t="str">
        <f>IFERROR(__xludf.DUMMYFUNCTION("""COMPUTED_VALUE"""),"")</f>
        <v/>
      </c>
      <c r="Q116" s="17" t="str">
        <f>IFERROR(__xludf.DUMMYFUNCTION("""COMPUTED_VALUE"""),"")</f>
        <v/>
      </c>
      <c r="R116" s="14">
        <f>IFERROR(__xludf.DUMMYFUNCTION("""COMPUTED_VALUE"""),507.63170402099087)</f>
        <v>507.631704</v>
      </c>
      <c r="S116" s="14">
        <f>IFERROR(__xludf.DUMMYFUNCTION("""COMPUTED_VALUE"""),12.368295979009133)</f>
        <v>12.36829598</v>
      </c>
      <c r="T116" s="17" t="str">
        <f>IFERROR(__xludf.DUMMYFUNCTION("""COMPUTED_VALUE"""),"RİSKLİ")</f>
        <v>RİSKLİ</v>
      </c>
      <c r="U116" s="17" t="str">
        <f>IFERROR(__xludf.DUMMYFUNCTION("""COMPUTED_VALUE"""),"Minimum fiyat altına düşme")</f>
        <v>Minimum fiyat altına düşme</v>
      </c>
    </row>
    <row r="117">
      <c r="A117" s="2">
        <f>IFERROR(__xludf.DUMMYFUNCTION("""COMPUTED_VALUE"""),8.46799273637E11)</f>
        <v>846799273637</v>
      </c>
      <c r="B117" s="17" t="str">
        <f>IFERROR(__xludf.DUMMYFUNCTION("""COMPUTED_VALUE"""),"FELIX")</f>
        <v>FELIX</v>
      </c>
      <c r="C117" s="17" t="str">
        <f>IFERROR(__xludf.DUMMYFUNCTION("""COMPUTED_VALUE"""),"Karışık Kedi Yaş Mama 28 Paket")</f>
        <v>Karışık Kedi Yaş Mama 28 Paket</v>
      </c>
      <c r="D117" s="14">
        <f>IFERROR(__xludf.DUMMYFUNCTION("""COMPUTED_VALUE"""),645.0)</f>
        <v>645</v>
      </c>
      <c r="E117" s="14">
        <f>IFERROR(__xludf.DUMMYFUNCTION("""COMPUTED_VALUE"""),106.425)</f>
        <v>106.425</v>
      </c>
      <c r="F117" s="14">
        <f>IFERROR(__xludf.DUMMYFUNCTION("""COMPUTED_VALUE"""),86.4)</f>
        <v>86.4</v>
      </c>
      <c r="G117" s="14">
        <f>IFERROR(__xludf.DUMMYFUNCTION("""COMPUTED_VALUE"""),420.0)</f>
        <v>420</v>
      </c>
      <c r="H117" s="14">
        <f>IFERROR(__xludf.DUMMYFUNCTION("""COMPUTED_VALUE"""),13.19)</f>
        <v>13.19</v>
      </c>
      <c r="I117" s="14">
        <f>IFERROR(__xludf.DUMMYFUNCTION("""COMPUTED_VALUE"""),5.375)</f>
        <v>5.375</v>
      </c>
      <c r="J117" s="14">
        <f>IFERROR(__xludf.DUMMYFUNCTION("""COMPUTED_VALUE"""),3.164166666666679)</f>
        <v>3.164166667</v>
      </c>
      <c r="K117" s="14">
        <f>IFERROR(__xludf.DUMMYFUNCTION("""COMPUTED_VALUE"""),10.445833333333391)</f>
        <v>10.44583333</v>
      </c>
      <c r="L117" s="15">
        <f>IFERROR(__xludf.DUMMYFUNCTION("""COMPUTED_VALUE"""),0.016195090439276576)</f>
        <v>0.01619509044</v>
      </c>
      <c r="M117" s="17" t="str">
        <f>IFERROR(__xludf.DUMMYFUNCTION("""COMPUTED_VALUE"""),"KÂRLI")</f>
        <v>KÂRLI</v>
      </c>
      <c r="N117" s="17" t="str">
        <f>IFERROR(__xludf.DUMMYFUNCTION("""COMPUTED_VALUE"""),"")</f>
        <v/>
      </c>
      <c r="O117" s="17">
        <f>IFERROR(__xludf.DUMMYFUNCTION("""COMPUTED_VALUE"""),1.0)</f>
        <v>1</v>
      </c>
      <c r="P117" s="17" t="str">
        <f>IFERROR(__xludf.DUMMYFUNCTION("""COMPUTED_VALUE"""),"")</f>
        <v/>
      </c>
      <c r="Q117" s="17" t="str">
        <f>IFERROR(__xludf.DUMMYFUNCTION("""COMPUTED_VALUE"""),"")</f>
        <v/>
      </c>
      <c r="R117" s="14">
        <f>IFERROR(__xludf.DUMMYFUNCTION("""COMPUTED_VALUE"""),632.2882208744363)</f>
        <v>632.2882209</v>
      </c>
      <c r="S117" s="14">
        <f>IFERROR(__xludf.DUMMYFUNCTION("""COMPUTED_VALUE"""),12.71177912556368)</f>
        <v>12.71177913</v>
      </c>
      <c r="T117" s="17" t="str">
        <f>IFERROR(__xludf.DUMMYFUNCTION("""COMPUTED_VALUE"""),"RİSKLİ")</f>
        <v>RİSKLİ</v>
      </c>
      <c r="U117" s="17" t="str">
        <f>IFERROR(__xludf.DUMMYFUNCTION("""COMPUTED_VALUE"""),"Minimum fiyat altına düşme")</f>
        <v>Minimum fiyat altına düşme</v>
      </c>
    </row>
    <row r="118">
      <c r="A118" s="2" t="str">
        <f>IFERROR(__xludf.DUMMYFUNCTION("""COMPUTED_VALUE"""),"TYBJ6BLX4VD87YGF30")</f>
        <v>TYBJ6BLX4VD87YGF30</v>
      </c>
      <c r="B118" s="17" t="str">
        <f>IFERROR(__xludf.DUMMYFUNCTION("""COMPUTED_VALUE"""),"FELIX")</f>
        <v>FELIX</v>
      </c>
      <c r="C118" s="17" t="str">
        <f>IFERROR(__xludf.DUMMYFUNCTION("""COMPUTED_VALUE"""),"Felix Sığır Etli Kedi Avantajlı Paket (4x85) Gr")</f>
        <v>Felix Sığır Etli Kedi Avantajlı Paket (4x85) Gr</v>
      </c>
      <c r="D118" s="14">
        <f>IFERROR(__xludf.DUMMYFUNCTION("""COMPUTED_VALUE"""),550.0)</f>
        <v>550</v>
      </c>
      <c r="E118" s="14">
        <f>IFERROR(__xludf.DUMMYFUNCTION("""COMPUTED_VALUE"""),74.25)</f>
        <v>74.25</v>
      </c>
      <c r="F118" s="14">
        <f>IFERROR(__xludf.DUMMYFUNCTION("""COMPUTED_VALUE"""),86.4)</f>
        <v>86.4</v>
      </c>
      <c r="G118" s="14">
        <f>IFERROR(__xludf.DUMMYFUNCTION("""COMPUTED_VALUE"""),360.0)</f>
        <v>360</v>
      </c>
      <c r="H118" s="14">
        <f>IFERROR(__xludf.DUMMYFUNCTION("""COMPUTED_VALUE"""),13.19)</f>
        <v>13.19</v>
      </c>
      <c r="I118" s="14">
        <f>IFERROR(__xludf.DUMMYFUNCTION("""COMPUTED_VALUE"""),4.583333333333334)</f>
        <v>4.583333333</v>
      </c>
      <c r="J118" s="14">
        <f>IFERROR(__xludf.DUMMYFUNCTION("""COMPUTED_VALUE"""),2.693333333333305)</f>
        <v>2.693333333</v>
      </c>
      <c r="K118" s="14">
        <f>IFERROR(__xludf.DUMMYFUNCTION("""COMPUTED_VALUE"""),8.883333333333386)</f>
        <v>8.883333333</v>
      </c>
      <c r="L118" s="15">
        <f>IFERROR(__xludf.DUMMYFUNCTION("""COMPUTED_VALUE"""),0.016151515151515246)</f>
        <v>0.01615151515</v>
      </c>
      <c r="M118" s="17" t="str">
        <f>IFERROR(__xludf.DUMMYFUNCTION("""COMPUTED_VALUE"""),"KÂRLI")</f>
        <v>KÂRLI</v>
      </c>
      <c r="N118" s="17" t="str">
        <f>IFERROR(__xludf.DUMMYFUNCTION("""COMPUTED_VALUE"""),"")</f>
        <v/>
      </c>
      <c r="O118" s="17">
        <f>IFERROR(__xludf.DUMMYFUNCTION("""COMPUTED_VALUE"""),2.0)</f>
        <v>2</v>
      </c>
      <c r="P118" s="17" t="str">
        <f>IFERROR(__xludf.DUMMYFUNCTION("""COMPUTED_VALUE"""),"")</f>
        <v/>
      </c>
      <c r="Q118" s="17" t="str">
        <f>IFERROR(__xludf.DUMMYFUNCTION("""COMPUTED_VALUE"""),"")</f>
        <v/>
      </c>
      <c r="R118" s="14">
        <f>IFERROR(__xludf.DUMMYFUNCTION("""COMPUTED_VALUE"""),539.5705221472675)</f>
        <v>539.5705221</v>
      </c>
      <c r="S118" s="14">
        <f>IFERROR(__xludf.DUMMYFUNCTION("""COMPUTED_VALUE"""),10.429477852732475)</f>
        <v>10.42947785</v>
      </c>
      <c r="T118" s="17" t="str">
        <f>IFERROR(__xludf.DUMMYFUNCTION("""COMPUTED_VALUE"""),"RİSKLİ")</f>
        <v>RİSKLİ</v>
      </c>
      <c r="U118" s="17" t="str">
        <f>IFERROR(__xludf.DUMMYFUNCTION("""COMPUTED_VALUE"""),"Minimum fiyat altına düşme")</f>
        <v>Minimum fiyat altına düşme</v>
      </c>
    </row>
    <row r="119">
      <c r="A119" s="2">
        <f>IFERROR(__xludf.DUMMYFUNCTION("""COMPUTED_VALUE"""),7.41245638741E11)</f>
        <v>741245638741</v>
      </c>
      <c r="B119" s="17" t="str">
        <f>IFERROR(__xludf.DUMMYFUNCTION("""COMPUTED_VALUE"""),"Gourmet")</f>
        <v>Gourmet</v>
      </c>
      <c r="C119" s="17" t="str">
        <f>IFERROR(__xludf.DUMMYFUNCTION("""COMPUTED_VALUE"""),"Purina Gold Kıyılmış Sığır Etli Kedi Yaş Maması 85 Gr 12 Adet")</f>
        <v>Purina Gold Kıyılmış Sığır Etli Kedi Yaş Maması 85 Gr 12 Adet</v>
      </c>
      <c r="D119" s="14">
        <f>IFERROR(__xludf.DUMMYFUNCTION("""COMPUTED_VALUE"""),426.25)</f>
        <v>426.25</v>
      </c>
      <c r="E119" s="14">
        <f>IFERROR(__xludf.DUMMYFUNCTION("""COMPUTED_VALUE"""),21.73875)</f>
        <v>21.73875</v>
      </c>
      <c r="F119" s="14">
        <f>IFERROR(__xludf.DUMMYFUNCTION("""COMPUTED_VALUE"""),86.4)</f>
        <v>86.4</v>
      </c>
      <c r="G119" s="14">
        <f>IFERROR(__xludf.DUMMYFUNCTION("""COMPUTED_VALUE"""),290.0)</f>
        <v>290</v>
      </c>
      <c r="H119" s="14">
        <f>IFERROR(__xludf.DUMMYFUNCTION("""COMPUTED_VALUE"""),13.19)</f>
        <v>13.19</v>
      </c>
      <c r="I119" s="14">
        <f>IFERROR(__xludf.DUMMYFUNCTION("""COMPUTED_VALUE"""),3.552083333333334)</f>
        <v>3.552083333</v>
      </c>
      <c r="J119" s="14">
        <f>IFERROR(__xludf.DUMMYFUNCTION("""COMPUTED_VALUE"""),2.4868749999999924)</f>
        <v>2.486875</v>
      </c>
      <c r="K119" s="14">
        <f>IFERROR(__xludf.DUMMYFUNCTION("""COMPUTED_VALUE"""),8.882291666666715)</f>
        <v>8.882291667</v>
      </c>
      <c r="L119" s="15">
        <f>IFERROR(__xludf.DUMMYFUNCTION("""COMPUTED_VALUE"""),0.020838220918866193)</f>
        <v>0.02083822092</v>
      </c>
      <c r="M119" s="17" t="str">
        <f>IFERROR(__xludf.DUMMYFUNCTION("""COMPUTED_VALUE"""),"KÂRLI")</f>
        <v>KÂRLI</v>
      </c>
      <c r="N119" s="17" t="str">
        <f>IFERROR(__xludf.DUMMYFUNCTION("""COMPUTED_VALUE"""),"")</f>
        <v/>
      </c>
      <c r="O119" s="17">
        <f>IFERROR(__xludf.DUMMYFUNCTION("""COMPUTED_VALUE"""),2.0)</f>
        <v>2</v>
      </c>
      <c r="P119" s="17" t="str">
        <f>IFERROR(__xludf.DUMMYFUNCTION("""COMPUTED_VALUE"""),"")</f>
        <v/>
      </c>
      <c r="Q119" s="17" t="str">
        <f>IFERROR(__xludf.DUMMYFUNCTION("""COMPUTED_VALUE"""),"")</f>
        <v/>
      </c>
      <c r="R119" s="14">
        <f>IFERROR(__xludf.DUMMYFUNCTION("""COMPUTED_VALUE"""),416.748370614232)</f>
        <v>416.7483706</v>
      </c>
      <c r="S119" s="14">
        <f>IFERROR(__xludf.DUMMYFUNCTION("""COMPUTED_VALUE"""),9.501629385768013)</f>
        <v>9.501629386</v>
      </c>
      <c r="T119" s="17" t="str">
        <f>IFERROR(__xludf.DUMMYFUNCTION("""COMPUTED_VALUE"""),"RİSKLİ")</f>
        <v>RİSKLİ</v>
      </c>
      <c r="U119" s="17" t="str">
        <f>IFERROR(__xludf.DUMMYFUNCTION("""COMPUTED_VALUE"""),"Minimum fiyat altına düşme")</f>
        <v>Minimum fiyat altına düşme</v>
      </c>
    </row>
    <row r="120">
      <c r="A120" s="2">
        <f>IFERROR(__xludf.DUMMYFUNCTION("""COMPUTED_VALUE"""),5.2742059617E10)</f>
        <v>52742059617</v>
      </c>
      <c r="B120" s="17" t="str">
        <f>IFERROR(__xludf.DUMMYFUNCTION("""COMPUTED_VALUE"""),"Hill's")</f>
        <v>Hill's</v>
      </c>
      <c r="C120" s="17" t="str">
        <f>IFERROR(__xludf.DUMMYFUNCTION("""COMPUTED_VALUE"""),"Hills Adult Optimal Care Tavuklu Yetişkin Kedi Maması 1.5 Kg")</f>
        <v>Hills Adult Optimal Care Tavuklu Yetişkin Kedi Maması 1.5 Kg</v>
      </c>
      <c r="D120" s="14">
        <f>IFERROR(__xludf.DUMMYFUNCTION("""COMPUTED_VALUE"""),1059.0)</f>
        <v>1059</v>
      </c>
      <c r="E120" s="14">
        <f>IFERROR(__xludf.DUMMYFUNCTION("""COMPUTED_VALUE"""),132.375)</f>
        <v>132.375</v>
      </c>
      <c r="F120" s="14">
        <f>IFERROR(__xludf.DUMMYFUNCTION("""COMPUTED_VALUE"""),90.0)</f>
        <v>90</v>
      </c>
      <c r="G120" s="14">
        <f>IFERROR(__xludf.DUMMYFUNCTION("""COMPUTED_VALUE"""),805.0)</f>
        <v>805</v>
      </c>
      <c r="H120" s="14">
        <f>IFERROR(__xludf.DUMMYFUNCTION("""COMPUTED_VALUE"""),13.19)</f>
        <v>13.19</v>
      </c>
      <c r="I120" s="14">
        <f>IFERROR(__xludf.DUMMYFUNCTION("""COMPUTED_VALUE"""),8.825000000000001)</f>
        <v>8.825</v>
      </c>
      <c r="J120" s="14">
        <f>IFERROR(__xludf.DUMMYFUNCTION("""COMPUTED_VALUE"""),3.072500000000039)</f>
        <v>3.0725</v>
      </c>
      <c r="K120" s="14">
        <f>IFERROR(__xludf.DUMMYFUNCTION("""COMPUTED_VALUE"""),6.537499999999962)</f>
        <v>6.5375</v>
      </c>
      <c r="L120" s="15">
        <f>IFERROR(__xludf.DUMMYFUNCTION("""COMPUTED_VALUE"""),0.006173276676109502)</f>
        <v>0.006173276676</v>
      </c>
      <c r="M120" s="17" t="str">
        <f>IFERROR(__xludf.DUMMYFUNCTION("""COMPUTED_VALUE"""),"KÂRLI")</f>
        <v>KÂRLI</v>
      </c>
      <c r="N120" s="17" t="str">
        <f>IFERROR(__xludf.DUMMYFUNCTION("""COMPUTED_VALUE"""),"")</f>
        <v/>
      </c>
      <c r="O120" s="17">
        <f>IFERROR(__xludf.DUMMYFUNCTION("""COMPUTED_VALUE"""),3.0)</f>
        <v>3</v>
      </c>
      <c r="P120" s="17" t="str">
        <f>IFERROR(__xludf.DUMMYFUNCTION("""COMPUTED_VALUE"""),"")</f>
        <v/>
      </c>
      <c r="Q120" s="17" t="str">
        <f>IFERROR(__xludf.DUMMYFUNCTION("""COMPUTED_VALUE"""),"")</f>
        <v/>
      </c>
      <c r="R120" s="14">
        <f>IFERROR(__xludf.DUMMYFUNCTION("""COMPUTED_VALUE"""),1051.4309877475657)</f>
        <v>1051.430988</v>
      </c>
      <c r="S120" s="14">
        <f>IFERROR(__xludf.DUMMYFUNCTION("""COMPUTED_VALUE"""),7.569012252434277)</f>
        <v>7.569012252</v>
      </c>
      <c r="T120" s="17" t="str">
        <f>IFERROR(__xludf.DUMMYFUNCTION("""COMPUTED_VALUE"""),"RİSKLİ")</f>
        <v>RİSKLİ</v>
      </c>
      <c r="U120" s="17" t="str">
        <f>IFERROR(__xludf.DUMMYFUNCTION("""COMPUTED_VALUE"""),"Minimum fiyat altına düşme")</f>
        <v>Minimum fiyat altına düşme</v>
      </c>
    </row>
    <row r="121">
      <c r="A121" s="2" t="str">
        <f>IFERROR(__xludf.DUMMYFUNCTION("""COMPUTED_VALUE"""),"TYBL1W9TPK3NCREP31")</f>
        <v>TYBL1W9TPK3NCREP31</v>
      </c>
      <c r="B121" s="17" t="str">
        <f>IFERROR(__xludf.DUMMYFUNCTION("""COMPUTED_VALUE"""),"Royal Canin")</f>
        <v>Royal Canin</v>
      </c>
      <c r="C121" s="17" t="str">
        <f>IFERROR(__xludf.DUMMYFUNCTION("""COMPUTED_VALUE"""),"Babycat Instinctive Yavru ve Anne Kediler Için Konserve 195 gr x 12 Adet")</f>
        <v>Babycat Instinctive Yavru ve Anne Kediler Için Konserve 195 gr x 12 Adet</v>
      </c>
      <c r="D121" s="14">
        <f>IFERROR(__xludf.DUMMYFUNCTION("""COMPUTED_VALUE"""),1630.0)</f>
        <v>1630</v>
      </c>
      <c r="E121" s="14">
        <f>IFERROR(__xludf.DUMMYFUNCTION("""COMPUTED_VALUE"""),203.75)</f>
        <v>203.75</v>
      </c>
      <c r="F121" s="14">
        <f>IFERROR(__xludf.DUMMYFUNCTION("""COMPUTED_VALUE"""),90.0)</f>
        <v>90</v>
      </c>
      <c r="G121" s="14">
        <f>IFERROR(__xludf.DUMMYFUNCTION("""COMPUTED_VALUE"""),1301.0)</f>
        <v>1301</v>
      </c>
      <c r="H121" s="14">
        <f>IFERROR(__xludf.DUMMYFUNCTION("""COMPUTED_VALUE"""),13.19)</f>
        <v>13.19</v>
      </c>
      <c r="I121" s="14">
        <f>IFERROR(__xludf.DUMMYFUNCTION("""COMPUTED_VALUE"""),13.583333333333336)</f>
        <v>13.58333333</v>
      </c>
      <c r="J121" s="14">
        <f>IFERROR(__xludf.DUMMYFUNCTION("""COMPUTED_VALUE"""),3.676666666666611)</f>
        <v>3.676666667</v>
      </c>
      <c r="K121" s="14">
        <f>IFERROR(__xludf.DUMMYFUNCTION("""COMPUTED_VALUE"""),4.800000000000056)</f>
        <v>4.8</v>
      </c>
      <c r="L121" s="15">
        <f>IFERROR(__xludf.DUMMYFUNCTION("""COMPUTED_VALUE"""),0.002944785276073654)</f>
        <v>0.002944785276</v>
      </c>
      <c r="M121" s="17" t="str">
        <f>IFERROR(__xludf.DUMMYFUNCTION("""COMPUTED_VALUE"""),"KÂRLI")</f>
        <v>KÂRLI</v>
      </c>
      <c r="N121" s="17" t="str">
        <f>IFERROR(__xludf.DUMMYFUNCTION("""COMPUTED_VALUE"""),"")</f>
        <v/>
      </c>
      <c r="O121" s="17">
        <f>IFERROR(__xludf.DUMMYFUNCTION("""COMPUTED_VALUE"""),3.0)</f>
        <v>3</v>
      </c>
      <c r="P121" s="17" t="str">
        <f>IFERROR(__xludf.DUMMYFUNCTION("""COMPUTED_VALUE"""),"")</f>
        <v/>
      </c>
      <c r="Q121" s="17" t="str">
        <f>IFERROR(__xludf.DUMMYFUNCTION("""COMPUTED_VALUE"""),"")</f>
        <v/>
      </c>
      <c r="R121" s="14">
        <f>IFERROR(__xludf.DUMMYFUNCTION("""COMPUTED_VALUE"""),1624.4464597932492)</f>
        <v>1624.44646</v>
      </c>
      <c r="S121" s="14">
        <f>IFERROR(__xludf.DUMMYFUNCTION("""COMPUTED_VALUE"""),5.5535402067507675)</f>
        <v>5.553540207</v>
      </c>
      <c r="T121" s="17" t="str">
        <f>IFERROR(__xludf.DUMMYFUNCTION("""COMPUTED_VALUE"""),"RİSKLİ")</f>
        <v>RİSKLİ</v>
      </c>
      <c r="U121" s="17" t="str">
        <f>IFERROR(__xludf.DUMMYFUNCTION("""COMPUTED_VALUE"""),"Minimum fiyat altına düşme")</f>
        <v>Minimum fiyat altına düşme</v>
      </c>
    </row>
    <row r="122">
      <c r="A122" s="2">
        <f>IFERROR(__xludf.DUMMYFUNCTION("""COMPUTED_VALUE"""),5.412087000395E12)</f>
        <v>5412087000395</v>
      </c>
      <c r="B122" s="17" t="str">
        <f>IFERROR(__xludf.DUMMYFUNCTION("""COMPUTED_VALUE"""),"Moderna")</f>
        <v>Moderna</v>
      </c>
      <c r="C122" s="17" t="str">
        <f>IFERROR(__xludf.DUMMYFUNCTION("""COMPUTED_VALUE"""),"Smart Su Kabı 1.5 lt Sarı")</f>
        <v>Smart Su Kabı 1.5 lt Sarı</v>
      </c>
      <c r="D122" s="14">
        <f>IFERROR(__xludf.DUMMYFUNCTION("""COMPUTED_VALUE"""),450.0)</f>
        <v>450</v>
      </c>
      <c r="E122" s="14">
        <f>IFERROR(__xludf.DUMMYFUNCTION("""COMPUTED_VALUE"""),90.0)</f>
        <v>90</v>
      </c>
      <c r="F122" s="14">
        <f>IFERROR(__xludf.DUMMYFUNCTION("""COMPUTED_VALUE"""),86.4)</f>
        <v>86.4</v>
      </c>
      <c r="G122" s="14">
        <f>IFERROR(__xludf.DUMMYFUNCTION("""COMPUTED_VALUE"""),250.72)</f>
        <v>250.72</v>
      </c>
      <c r="H122" s="14">
        <f>IFERROR(__xludf.DUMMYFUNCTION("""COMPUTED_VALUE"""),13.19)</f>
        <v>13.19</v>
      </c>
      <c r="I122" s="14">
        <f>IFERROR(__xludf.DUMMYFUNCTION("""COMPUTED_VALUE"""),3.75)</f>
        <v>3.75</v>
      </c>
      <c r="J122" s="14">
        <f>IFERROR(__xludf.DUMMYFUNCTION("""COMPUTED_VALUE"""),1.6150000000000144)</f>
        <v>1.615</v>
      </c>
      <c r="K122" s="14">
        <f>IFERROR(__xludf.DUMMYFUNCTION("""COMPUTED_VALUE"""),4.32500000000001)</f>
        <v>4.325</v>
      </c>
      <c r="L122" s="15">
        <f>IFERROR(__xludf.DUMMYFUNCTION("""COMPUTED_VALUE"""),0.009611111111111133)</f>
        <v>0.009611111111</v>
      </c>
      <c r="M122" s="17" t="str">
        <f>IFERROR(__xludf.DUMMYFUNCTION("""COMPUTED_VALUE"""),"KÂRLI")</f>
        <v>KÂRLI</v>
      </c>
      <c r="N122" s="17" t="str">
        <f>IFERROR(__xludf.DUMMYFUNCTION("""COMPUTED_VALUE"""),"")</f>
        <v/>
      </c>
      <c r="O122" s="17">
        <f>IFERROR(__xludf.DUMMYFUNCTION("""COMPUTED_VALUE"""),1.0)</f>
        <v>1</v>
      </c>
      <c r="P122" s="17" t="str">
        <f>IFERROR(__xludf.DUMMYFUNCTION("""COMPUTED_VALUE"""),"")</f>
        <v/>
      </c>
      <c r="Q122" s="17" t="str">
        <f>IFERROR(__xludf.DUMMYFUNCTION("""COMPUTED_VALUE"""),"")</f>
        <v/>
      </c>
      <c r="R122" s="14">
        <f>IFERROR(__xludf.DUMMYFUNCTION("""COMPUTED_VALUE"""),444.5117749890275)</f>
        <v>444.511775</v>
      </c>
      <c r="S122" s="14">
        <f>IFERROR(__xludf.DUMMYFUNCTION("""COMPUTED_VALUE"""),5.488225010972485)</f>
        <v>5.488225011</v>
      </c>
      <c r="T122" s="17" t="str">
        <f>IFERROR(__xludf.DUMMYFUNCTION("""COMPUTED_VALUE"""),"RİSKLİ")</f>
        <v>RİSKLİ</v>
      </c>
      <c r="U122" s="17" t="str">
        <f>IFERROR(__xludf.DUMMYFUNCTION("""COMPUTED_VALUE"""),"Minimum fiyat altına düşme")</f>
        <v>Minimum fiyat altına düşme</v>
      </c>
    </row>
    <row r="123">
      <c r="A123" s="2">
        <f>IFERROR(__xludf.DUMMYFUNCTION("""COMPUTED_VALUE"""),2.9695470912E10)</f>
        <v>29695470912</v>
      </c>
      <c r="B123" s="17" t="str">
        <f>IFERROR(__xludf.DUMMYFUNCTION("""COMPUTED_VALUE"""),"Chuckit")</f>
        <v>Chuckit</v>
      </c>
      <c r="C123" s="17" t="str">
        <f>IFERROR(__xludf.DUMMYFUNCTION("""COMPUTED_VALUE"""),"! Ultra Squeaker Sesli Köpek Oyun Halkası")</f>
        <v>! Ultra Squeaker Sesli Köpek Oyun Halkası</v>
      </c>
      <c r="D123" s="14">
        <f>IFERROR(__xludf.DUMMYFUNCTION("""COMPUTED_VALUE"""),428.0)</f>
        <v>428</v>
      </c>
      <c r="E123" s="14">
        <f>IFERROR(__xludf.DUMMYFUNCTION("""COMPUTED_VALUE"""),85.6)</f>
        <v>85.6</v>
      </c>
      <c r="F123" s="14">
        <f>IFERROR(__xludf.DUMMYFUNCTION("""COMPUTED_VALUE"""),86.4)</f>
        <v>86.4</v>
      </c>
      <c r="G123" s="14">
        <f>IFERROR(__xludf.DUMMYFUNCTION("""COMPUTED_VALUE"""),234.0)</f>
        <v>234</v>
      </c>
      <c r="H123" s="14">
        <f>IFERROR(__xludf.DUMMYFUNCTION("""COMPUTED_VALUE"""),13.19)</f>
        <v>13.19</v>
      </c>
      <c r="I123" s="14">
        <f>IFERROR(__xludf.DUMMYFUNCTION("""COMPUTED_VALUE"""),3.566666666666667)</f>
        <v>3.566666667</v>
      </c>
      <c r="J123" s="14">
        <f>IFERROR(__xludf.DUMMYFUNCTION("""COMPUTED_VALUE"""),1.4683333333333248)</f>
        <v>1.468333333</v>
      </c>
      <c r="K123" s="14">
        <f>IFERROR(__xludf.DUMMYFUNCTION("""COMPUTED_VALUE"""),3.774999999999981)</f>
        <v>3.775</v>
      </c>
      <c r="L123" s="15">
        <f>IFERROR(__xludf.DUMMYFUNCTION("""COMPUTED_VALUE"""),0.00882009345794388)</f>
        <v>0.008820093458</v>
      </c>
      <c r="M123" s="17" t="str">
        <f>IFERROR(__xludf.DUMMYFUNCTION("""COMPUTED_VALUE"""),"KÂRLI")</f>
        <v>KÂRLI</v>
      </c>
      <c r="N123" s="17" t="str">
        <f>IFERROR(__xludf.DUMMYFUNCTION("""COMPUTED_VALUE"""),"")</f>
        <v/>
      </c>
      <c r="O123" s="17">
        <f>IFERROR(__xludf.DUMMYFUNCTION("""COMPUTED_VALUE"""),1.0)</f>
        <v>1</v>
      </c>
      <c r="P123" s="17" t="str">
        <f>IFERROR(__xludf.DUMMYFUNCTION("""COMPUTED_VALUE"""),"")</f>
        <v/>
      </c>
      <c r="Q123" s="17" t="str">
        <f>IFERROR(__xludf.DUMMYFUNCTION("""COMPUTED_VALUE"""),"")</f>
        <v/>
      </c>
      <c r="R123" s="14">
        <f>IFERROR(__xludf.DUMMYFUNCTION("""COMPUTED_VALUE"""),423.2106461012488)</f>
        <v>423.2106461</v>
      </c>
      <c r="S123" s="14">
        <f>IFERROR(__xludf.DUMMYFUNCTION("""COMPUTED_VALUE"""),4.789353898751187)</f>
        <v>4.789353899</v>
      </c>
      <c r="T123" s="17" t="str">
        <f>IFERROR(__xludf.DUMMYFUNCTION("""COMPUTED_VALUE"""),"RİSKLİ")</f>
        <v>RİSKLİ</v>
      </c>
      <c r="U123" s="17" t="str">
        <f>IFERROR(__xludf.DUMMYFUNCTION("""COMPUTED_VALUE"""),"Minimum fiyat altına düşme")</f>
        <v>Minimum fiyat altına düşme</v>
      </c>
    </row>
    <row r="124">
      <c r="A124" s="2">
        <f>IFERROR(__xludf.DUMMYFUNCTION("""COMPUTED_VALUE"""),8.010276035097E12)</f>
        <v>8010276035097</v>
      </c>
      <c r="B124" s="17" t="str">
        <f>IFERROR(__xludf.DUMMYFUNCTION("""COMPUTED_VALUE"""),"N&amp;D")</f>
        <v>N&amp;D</v>
      </c>
      <c r="C124" s="17" t="str">
        <f>IFERROR(__xludf.DUMMYFUNCTION("""COMPUTED_VALUE"""),"A.grain Düşük Tahıllı Kuzulu Ve Yaban Mersinli Mini Irk Yetişkin Köpek Kuru Maması 7 Kg")</f>
        <v>A.grain Düşük Tahıllı Kuzulu Ve Yaban Mersinli Mini Irk Yetişkin Köpek Kuru Maması 7 Kg</v>
      </c>
      <c r="D124" s="14">
        <f>IFERROR(__xludf.DUMMYFUNCTION("""COMPUTED_VALUE"""),2690.0)</f>
        <v>2690</v>
      </c>
      <c r="E124" s="14">
        <f>IFERROR(__xludf.DUMMYFUNCTION("""COMPUTED_VALUE"""),443.85)</f>
        <v>443.85</v>
      </c>
      <c r="F124" s="14">
        <f>IFERROR(__xludf.DUMMYFUNCTION("""COMPUTED_VALUE"""),159.74)</f>
        <v>159.74</v>
      </c>
      <c r="G124" s="14">
        <f>IFERROR(__xludf.DUMMYFUNCTION("""COMPUTED_VALUE"""),2043.0)</f>
        <v>2043</v>
      </c>
      <c r="H124" s="14">
        <f>IFERROR(__xludf.DUMMYFUNCTION("""COMPUTED_VALUE"""),13.19)</f>
        <v>13.19</v>
      </c>
      <c r="I124" s="14">
        <f>IFERROR(__xludf.DUMMYFUNCTION("""COMPUTED_VALUE"""),22.41666666666667)</f>
        <v>22.41666667</v>
      </c>
      <c r="J124" s="14">
        <f>IFERROR(__xludf.DUMMYFUNCTION("""COMPUTED_VALUE"""),5.036666666666397)</f>
        <v>5.036666667</v>
      </c>
      <c r="K124" s="14">
        <f>IFERROR(__xludf.DUMMYFUNCTION("""COMPUTED_VALUE"""),2.7666666666667883)</f>
        <v>2.766666667</v>
      </c>
      <c r="L124" s="15">
        <f>IFERROR(__xludf.DUMMYFUNCTION("""COMPUTED_VALUE"""),0.0010285006195787318)</f>
        <v>0.00102850062</v>
      </c>
      <c r="M124" s="17" t="str">
        <f>IFERROR(__xludf.DUMMYFUNCTION("""COMPUTED_VALUE"""),"KÂRLI")</f>
        <v>KÂRLI</v>
      </c>
      <c r="N124" s="17" t="str">
        <f>IFERROR(__xludf.DUMMYFUNCTION("""COMPUTED_VALUE"""),"")</f>
        <v/>
      </c>
      <c r="O124" s="17">
        <f>IFERROR(__xludf.DUMMYFUNCTION("""COMPUTED_VALUE"""),7.0)</f>
        <v>7</v>
      </c>
      <c r="P124" s="17" t="str">
        <f>IFERROR(__xludf.DUMMYFUNCTION("""COMPUTED_VALUE"""),"")</f>
        <v/>
      </c>
      <c r="Q124" s="17" t="str">
        <f>IFERROR(__xludf.DUMMYFUNCTION("""COMPUTED_VALUE"""),"")</f>
        <v/>
      </c>
      <c r="R124" s="14">
        <f>IFERROR(__xludf.DUMMYFUNCTION("""COMPUTED_VALUE"""),2686.644542505612)</f>
        <v>2686.644543</v>
      </c>
      <c r="S124" s="14">
        <f>IFERROR(__xludf.DUMMYFUNCTION("""COMPUTED_VALUE"""),3.3554574943877924)</f>
        <v>3.355457494</v>
      </c>
      <c r="T124" s="17" t="str">
        <f>IFERROR(__xludf.DUMMYFUNCTION("""COMPUTED_VALUE"""),"RİSKLİ")</f>
        <v>RİSKLİ</v>
      </c>
      <c r="U124" s="17" t="str">
        <f>IFERROR(__xludf.DUMMYFUNCTION("""COMPUTED_VALUE"""),"Minimum fiyat altına düşme")</f>
        <v>Minimum fiyat altına düşme</v>
      </c>
    </row>
    <row r="125">
      <c r="A125" s="2" t="str">
        <f>IFERROR(__xludf.DUMMYFUNCTION("""COMPUTED_VALUE"""),"TYBVYCTB5P95JXTS98")</f>
        <v>TYBVYCTB5P95JXTS98</v>
      </c>
      <c r="B125" s="17" t="str">
        <f>IFERROR(__xludf.DUMMYFUNCTION("""COMPUTED_VALUE"""),"FELIX")</f>
        <v>FELIX</v>
      </c>
      <c r="C125" s="17" t="str">
        <f>IFERROR(__xludf.DUMMYFUNCTION("""COMPUTED_VALUE"""),"Yavru Sığıretli Yaş Kedi Maması 26 Adet X 85 Gr. ( Yeni Paket)")</f>
        <v>Yavru Sığıretli Yaş Kedi Maması 26 Adet X 85 Gr. ( Yeni Paket)</v>
      </c>
      <c r="D125" s="14">
        <f>IFERROR(__xludf.DUMMYFUNCTION("""COMPUTED_VALUE"""),578.99)</f>
        <v>578.99</v>
      </c>
      <c r="E125" s="14">
        <f>IFERROR(__xludf.DUMMYFUNCTION("""COMPUTED_VALUE"""),78.16365)</f>
        <v>78.16365</v>
      </c>
      <c r="F125" s="14">
        <f>IFERROR(__xludf.DUMMYFUNCTION("""COMPUTED_VALUE"""),90.0)</f>
        <v>90</v>
      </c>
      <c r="G125" s="14">
        <f>IFERROR(__xludf.DUMMYFUNCTION("""COMPUTED_VALUE"""),390.0)</f>
        <v>390</v>
      </c>
      <c r="H125" s="14">
        <f>IFERROR(__xludf.DUMMYFUNCTION("""COMPUTED_VALUE"""),13.19)</f>
        <v>13.19</v>
      </c>
      <c r="I125" s="14">
        <f>IFERROR(__xludf.DUMMYFUNCTION("""COMPUTED_VALUE"""),4.824916666666667)</f>
        <v>4.824916667</v>
      </c>
      <c r="J125" s="14">
        <f>IFERROR(__xludf.DUMMYFUNCTION("""COMPUTED_VALUE"""),1.2727249999999994)</f>
        <v>1.272725</v>
      </c>
      <c r="K125" s="14">
        <f>IFERROR(__xludf.DUMMYFUNCTION("""COMPUTED_VALUE"""),1.5387083333333251)</f>
        <v>1.538708333</v>
      </c>
      <c r="L125" s="15">
        <f>IFERROR(__xludf.DUMMYFUNCTION("""COMPUTED_VALUE"""),0.0026575732453640393)</f>
        <v>0.002657573245</v>
      </c>
      <c r="M125" s="17" t="str">
        <f>IFERROR(__xludf.DUMMYFUNCTION("""COMPUTED_VALUE"""),"KÂRLI")</f>
        <v>KÂRLI</v>
      </c>
      <c r="N125" s="17" t="str">
        <f>IFERROR(__xludf.DUMMYFUNCTION("""COMPUTED_VALUE"""),"")</f>
        <v/>
      </c>
      <c r="O125" s="17">
        <f>IFERROR(__xludf.DUMMYFUNCTION("""COMPUTED_VALUE"""),3.0)</f>
        <v>3</v>
      </c>
      <c r="P125" s="17" t="str">
        <f>IFERROR(__xludf.DUMMYFUNCTION("""COMPUTED_VALUE"""),"")</f>
        <v/>
      </c>
      <c r="Q125" s="17" t="str">
        <f>IFERROR(__xludf.DUMMYFUNCTION("""COMPUTED_VALUE"""),"")</f>
        <v/>
      </c>
      <c r="R125" s="14">
        <f>IFERROR(__xludf.DUMMYFUNCTION("""COMPUTED_VALUE"""),577.1889965036178)</f>
        <v>577.1889965</v>
      </c>
      <c r="S125" s="14">
        <f>IFERROR(__xludf.DUMMYFUNCTION("""COMPUTED_VALUE"""),1.8010034963822363)</f>
        <v>1.801003496</v>
      </c>
      <c r="T125" s="17" t="str">
        <f>IFERROR(__xludf.DUMMYFUNCTION("""COMPUTED_VALUE"""),"RİSKLİ")</f>
        <v>RİSKLİ</v>
      </c>
      <c r="U125" s="17" t="str">
        <f>IFERROR(__xludf.DUMMYFUNCTION("""COMPUTED_VALUE"""),"Minimum fiyat altına düşme")</f>
        <v>Minimum fiyat altına düşme</v>
      </c>
    </row>
    <row r="126">
      <c r="A126" s="2" t="str">
        <f>IFERROR(__xludf.DUMMYFUNCTION("""COMPUTED_VALUE"""),"TYB9771GESJQWCAB60")</f>
        <v>TYB9771GESJQWCAB60</v>
      </c>
      <c r="B126" s="17" t="str">
        <f>IFERROR(__xludf.DUMMYFUNCTION("""COMPUTED_VALUE"""),"Gourmet")</f>
        <v>Gourmet</v>
      </c>
      <c r="C126" s="17" t="str">
        <f>IFERROR(__xludf.DUMMYFUNCTION("""COMPUTED_VALUE"""),"Karışık Kıyılmış Konserve Yetişkin Kedi Yaş Maması 24 X 85 gr")</f>
        <v>Karışık Kıyılmış Konserve Yetişkin Kedi Yaş Maması 24 X 85 gr</v>
      </c>
      <c r="D126" s="14">
        <f>IFERROR(__xludf.DUMMYFUNCTION("""COMPUTED_VALUE"""),736.0)</f>
        <v>736</v>
      </c>
      <c r="E126" s="14">
        <f>IFERROR(__xludf.DUMMYFUNCTION("""COMPUTED_VALUE"""),48.57599999999999)</f>
        <v>48.576</v>
      </c>
      <c r="F126" s="14">
        <f>IFERROR(__xludf.DUMMYFUNCTION("""COMPUTED_VALUE"""),86.4)</f>
        <v>86.4</v>
      </c>
      <c r="G126" s="14">
        <f>IFERROR(__xludf.DUMMYFUNCTION("""COMPUTED_VALUE"""),580.0)</f>
        <v>580</v>
      </c>
      <c r="H126" s="14">
        <f>IFERROR(__xludf.DUMMYFUNCTION("""COMPUTED_VALUE"""),13.19)</f>
        <v>13.19</v>
      </c>
      <c r="I126" s="14">
        <f>IFERROR(__xludf.DUMMYFUNCTION("""COMPUTED_VALUE"""),6.133333333333334)</f>
        <v>6.133333333</v>
      </c>
      <c r="J126" s="14">
        <f>IFERROR(__xludf.DUMMYFUNCTION("""COMPUTED_VALUE"""),1.3056666666666796)</f>
        <v>1.305666667</v>
      </c>
      <c r="K126" s="14">
        <f>IFERROR(__xludf.DUMMYFUNCTION("""COMPUTED_VALUE"""),0.394999999999988)</f>
        <v>0.395</v>
      </c>
      <c r="L126" s="15">
        <f>IFERROR(__xludf.DUMMYFUNCTION("""COMPUTED_VALUE"""),5.366847826086794E-4)</f>
        <v>0.0005366847826</v>
      </c>
      <c r="M126" s="17" t="str">
        <f>IFERROR(__xludf.DUMMYFUNCTION("""COMPUTED_VALUE"""),"KÂRLI")</f>
        <v>KÂRLI</v>
      </c>
      <c r="N126" s="17" t="str">
        <f>IFERROR(__xludf.DUMMYFUNCTION("""COMPUTED_VALUE"""),"")</f>
        <v/>
      </c>
      <c r="O126" s="17">
        <f>IFERROR(__xludf.DUMMYFUNCTION("""COMPUTED_VALUE"""),2.0)</f>
        <v>2</v>
      </c>
      <c r="P126" s="17" t="str">
        <f>IFERROR(__xludf.DUMMYFUNCTION("""COMPUTED_VALUE"""),"")</f>
        <v/>
      </c>
      <c r="Q126" s="17" t="str">
        <f>IFERROR(__xludf.DUMMYFUNCTION("""COMPUTED_VALUE"""),"")</f>
        <v/>
      </c>
      <c r="R126" s="14">
        <f>IFERROR(__xludf.DUMMYFUNCTION("""COMPUTED_VALUE"""),735.5721957684675)</f>
        <v>735.5721958</v>
      </c>
      <c r="S126" s="14">
        <f>IFERROR(__xludf.DUMMYFUNCTION("""COMPUTED_VALUE"""),0.42780423153249103)</f>
        <v>0.4278042315</v>
      </c>
      <c r="T126" s="17" t="str">
        <f>IFERROR(__xludf.DUMMYFUNCTION("""COMPUTED_VALUE"""),"RİSKLİ")</f>
        <v>RİSKLİ</v>
      </c>
      <c r="U126" s="17" t="str">
        <f>IFERROR(__xludf.DUMMYFUNCTION("""COMPUTED_VALUE"""),"Minimum fiyat altına düşme")</f>
        <v>Minimum fiyat altına düşme</v>
      </c>
    </row>
    <row r="127">
      <c r="A127" s="2" t="str">
        <f>IFERROR(__xludf.DUMMYFUNCTION("""COMPUTED_VALUE"""),"TYBJUIMGWO45LKI893")</f>
        <v>TYBJUIMGWO45LKI893</v>
      </c>
      <c r="B127" s="17" t="str">
        <f>IFERROR(__xludf.DUMMYFUNCTION("""COMPUTED_VALUE"""),"Wanpy")</f>
        <v>Wanpy</v>
      </c>
      <c r="C127" s="17" t="str">
        <f>IFERROR(__xludf.DUMMYFUNCTION("""COMPUTED_VALUE"""),"Tasty Meat Paste Taze Sıvı Kedi Ödül Maması Kedi Ödül Maması 4x90gr")</f>
        <v>Tasty Meat Paste Taze Sıvı Kedi Ödül Maması Kedi Ödül Maması 4x90gr</v>
      </c>
      <c r="D127" s="14">
        <f>IFERROR(__xludf.DUMMYFUNCTION("""COMPUTED_VALUE"""),256.2)</f>
        <v>256.2</v>
      </c>
      <c r="E127" s="14">
        <f>IFERROR(__xludf.DUMMYFUNCTION("""COMPUTED_VALUE"""),32.025)</f>
        <v>32.025</v>
      </c>
      <c r="F127" s="14">
        <f>IFERROR(__xludf.DUMMYFUNCTION("""COMPUTED_VALUE"""),86.4)</f>
        <v>86.4</v>
      </c>
      <c r="G127" s="14">
        <f>IFERROR(__xludf.DUMMYFUNCTION("""COMPUTED_VALUE"""),122.0)</f>
        <v>122</v>
      </c>
      <c r="H127" s="14">
        <f>IFERROR(__xludf.DUMMYFUNCTION("""COMPUTED_VALUE"""),13.19)</f>
        <v>13.19</v>
      </c>
      <c r="I127" s="14">
        <f>IFERROR(__xludf.DUMMYFUNCTION("""COMPUTED_VALUE"""),2.1350000000000002)</f>
        <v>2.135</v>
      </c>
      <c r="J127" s="14">
        <f>IFERROR(__xludf.DUMMYFUNCTION("""COMPUTED_VALUE"""),0.4308333333333376)</f>
        <v>0.4308333333</v>
      </c>
      <c r="K127" s="14">
        <f>IFERROR(__xludf.DUMMYFUNCTION("""COMPUTED_VALUE"""),0.01916666666663991)</f>
        <v>0.01916666667</v>
      </c>
      <c r="L127" s="15">
        <f>IFERROR(__xludf.DUMMYFUNCTION("""COMPUTED_VALUE"""),7.481134530304415E-5)</f>
        <v>0.0000748113453</v>
      </c>
      <c r="M127" s="17" t="str">
        <f>IFERROR(__xludf.DUMMYFUNCTION("""COMPUTED_VALUE"""),"KÂRLI")</f>
        <v>KÂRLI</v>
      </c>
      <c r="N127" s="17" t="str">
        <f>IFERROR(__xludf.DUMMYFUNCTION("""COMPUTED_VALUE"""),"")</f>
        <v/>
      </c>
      <c r="O127" s="17">
        <f>IFERROR(__xludf.DUMMYFUNCTION("""COMPUTED_VALUE"""),0.5)</f>
        <v>0.5</v>
      </c>
      <c r="P127" s="17" t="str">
        <f>IFERROR(__xludf.DUMMYFUNCTION("""COMPUTED_VALUE"""),"")</f>
        <v/>
      </c>
      <c r="Q127" s="17" t="str">
        <f>IFERROR(__xludf.DUMMYFUNCTION("""COMPUTED_VALUE"""),"")</f>
        <v/>
      </c>
      <c r="R127" s="14">
        <f>IFERROR(__xludf.DUMMYFUNCTION("""COMPUTED_VALUE"""),256.17774289911637)</f>
        <v>256.1777429</v>
      </c>
      <c r="S127" s="14">
        <f>IFERROR(__xludf.DUMMYFUNCTION("""COMPUTED_VALUE"""),0.022257100883621206)</f>
        <v>0.02225710088</v>
      </c>
      <c r="T127" s="17" t="str">
        <f>IFERROR(__xludf.DUMMYFUNCTION("""COMPUTED_VALUE"""),"RİSKLİ")</f>
        <v>RİSKLİ</v>
      </c>
      <c r="U127" s="17" t="str">
        <f>IFERROR(__xludf.DUMMYFUNCTION("""COMPUTED_VALUE"""),"Minimum fiyat altına düşme")</f>
        <v>Minimum fiyat altına düşme</v>
      </c>
    </row>
    <row r="128">
      <c r="A128" s="2">
        <f>IFERROR(__xludf.DUMMYFUNCTION("""COMPUTED_VALUE"""),2.1042024055E11)</f>
        <v>210420240550</v>
      </c>
      <c r="B128" s="17" t="str">
        <f>IFERROR(__xludf.DUMMYFUNCTION("""COMPUTED_VALUE"""),"N&amp;D")</f>
        <v>N&amp;D</v>
      </c>
      <c r="C128" s="28" t="str">
        <f>IFERROR(__xludf.DUMMYFUNCTION("""COMPUTED_VALUE"""),"Nd tropical selection köpek 1,5kg mini adult kuzu etli tropikal meyve küçük ırk yetişkin köpek mama")</f>
        <v>Nd tropical selection köpek 1,5kg mini adult kuzu etli tropikal meyve küçük ırk yetişkin köpek mama</v>
      </c>
      <c r="D128" s="14">
        <f>IFERROR(__xludf.DUMMYFUNCTION("""COMPUTED_VALUE"""),988.9)</f>
        <v>988.9</v>
      </c>
      <c r="E128" s="14">
        <f>IFERROR(__xludf.DUMMYFUNCTION("""COMPUTED_VALUE"""),163.1685)</f>
        <v>163.1685</v>
      </c>
      <c r="F128" s="14">
        <f>IFERROR(__xludf.DUMMYFUNCTION("""COMPUTED_VALUE"""),90.0)</f>
        <v>90</v>
      </c>
      <c r="G128" s="14">
        <f>IFERROR(__xludf.DUMMYFUNCTION("""COMPUTED_VALUE"""),713.0)</f>
        <v>713</v>
      </c>
      <c r="H128" s="14">
        <f>IFERROR(__xludf.DUMMYFUNCTION("""COMPUTED_VALUE"""),13.19)</f>
        <v>13.19</v>
      </c>
      <c r="I128" s="14">
        <f>IFERROR(__xludf.DUMMYFUNCTION("""COMPUTED_VALUE"""),8.240833333333335)</f>
        <v>8.240833333</v>
      </c>
      <c r="J128" s="14">
        <f>IFERROR(__xludf.DUMMYFUNCTION("""COMPUTED_VALUE"""),1.590250000000017)</f>
        <v>1.59025</v>
      </c>
      <c r="K128" s="14">
        <f>IFERROR(__xludf.DUMMYFUNCTION("""COMPUTED_VALUE"""),-0.2895833333333684)</f>
        <v>-0.2895833333</v>
      </c>
      <c r="L128" s="15">
        <f>IFERROR(__xludf.DUMMYFUNCTION("""COMPUTED_VALUE"""),-2.9283378838443564E-4)</f>
        <v>-0.0002928337884</v>
      </c>
      <c r="M128" s="17" t="str">
        <f>IFERROR(__xludf.DUMMYFUNCTION("""COMPUTED_VALUE"""),"ZARAR")</f>
        <v>ZARAR</v>
      </c>
      <c r="N128" s="17" t="str">
        <f>IFERROR(__xludf.DUMMYFUNCTION("""COMPUTED_VALUE"""),"")</f>
        <v/>
      </c>
      <c r="O128" s="17">
        <f>IFERROR(__xludf.DUMMYFUNCTION("""COMPUTED_VALUE"""),3.0)</f>
        <v>3</v>
      </c>
      <c r="P128" s="17" t="str">
        <f>IFERROR(__xludf.DUMMYFUNCTION("""COMPUTED_VALUE"""),"")</f>
        <v/>
      </c>
      <c r="Q128" s="17" t="str">
        <f>IFERROR(__xludf.DUMMYFUNCTION("""COMPUTED_VALUE"""),"")</f>
        <v/>
      </c>
      <c r="R128" s="14">
        <f>IFERROR(__xludf.DUMMYFUNCTION("""COMPUTED_VALUE"""),989.250585515735)</f>
        <v>989.2505855</v>
      </c>
      <c r="S128" s="14">
        <f>IFERROR(__xludf.DUMMYFUNCTION("""COMPUTED_VALUE"""),-0.3505855157350197)</f>
        <v>-0.3505855157</v>
      </c>
      <c r="T128" s="17" t="str">
        <f>IFERROR(__xludf.DUMMYFUNCTION("""COMPUTED_VALUE"""),"ZARAR")</f>
        <v>ZARAR</v>
      </c>
      <c r="U128" s="17" t="str">
        <f>IFERROR(__xludf.DUMMYFUNCTION("""COMPUTED_VALUE"""),"Fiyat, maliyet veya kampanya kontrol et")</f>
        <v>Fiyat, maliyet veya kampanya kontrol et</v>
      </c>
    </row>
    <row r="129">
      <c r="A129" s="2">
        <f>IFERROR(__xludf.DUMMYFUNCTION("""COMPUTED_VALUE"""),6.927749871187E12)</f>
        <v>6927749871187</v>
      </c>
      <c r="B129" s="17" t="str">
        <f>IFERROR(__xludf.DUMMYFUNCTION("""COMPUTED_VALUE"""),"Wanpy")</f>
        <v>Wanpy</v>
      </c>
      <c r="C129" s="28" t="str">
        <f>IFERROR(__xludf.DUMMYFUNCTION("""COMPUTED_VALUE"""),"Krema Kedi Ödül Maması 14gr (25 Adet) (Karışık Çeşitli)")</f>
        <v>Krema Kedi Ödül Maması 14gr (25 Adet) (Karışık Çeşitli)</v>
      </c>
      <c r="D129" s="14">
        <f>IFERROR(__xludf.DUMMYFUNCTION("""COMPUTED_VALUE"""),324.9)</f>
        <v>324.9</v>
      </c>
      <c r="E129" s="14">
        <f>IFERROR(__xludf.DUMMYFUNCTION("""COMPUTED_VALUE"""),26.9667)</f>
        <v>26.9667</v>
      </c>
      <c r="F129" s="14">
        <f>IFERROR(__xludf.DUMMYFUNCTION("""COMPUTED_VALUE"""),86.4)</f>
        <v>86.4</v>
      </c>
      <c r="G129" s="14">
        <f>IFERROR(__xludf.DUMMYFUNCTION("""COMPUTED_VALUE"""),196.5)</f>
        <v>196.5</v>
      </c>
      <c r="H129" s="14">
        <f>IFERROR(__xludf.DUMMYFUNCTION("""COMPUTED_VALUE"""),13.19)</f>
        <v>13.19</v>
      </c>
      <c r="I129" s="14">
        <f>IFERROR(__xludf.DUMMYFUNCTION("""COMPUTED_VALUE"""),2.7075)</f>
        <v>2.7075</v>
      </c>
      <c r="J129" s="14">
        <f>IFERROR(__xludf.DUMMYFUNCTION("""COMPUTED_VALUE"""),0.3072166666666529)</f>
        <v>0.3072166667</v>
      </c>
      <c r="K129" s="14">
        <f>IFERROR(__xludf.DUMMYFUNCTION("""COMPUTED_VALUE"""),-1.1714166666666839)</f>
        <v>-1.171416667</v>
      </c>
      <c r="L129" s="15">
        <f>IFERROR(__xludf.DUMMYFUNCTION("""COMPUTED_VALUE"""),-0.0036054683492357156)</f>
        <v>-0.003605468349</v>
      </c>
      <c r="M129" s="17" t="str">
        <f>IFERROR(__xludf.DUMMYFUNCTION("""COMPUTED_VALUE"""),"ZARAR")</f>
        <v>ZARAR</v>
      </c>
      <c r="N129" s="17" t="str">
        <f>IFERROR(__xludf.DUMMYFUNCTION("""COMPUTED_VALUE"""),"")</f>
        <v/>
      </c>
      <c r="O129" s="17">
        <f>IFERROR(__xludf.DUMMYFUNCTION("""COMPUTED_VALUE"""),0.5)</f>
        <v>0.5</v>
      </c>
      <c r="P129" s="17" t="str">
        <f>IFERROR(__xludf.DUMMYFUNCTION("""COMPUTED_VALUE"""),"")</f>
        <v/>
      </c>
      <c r="Q129" s="17" t="str">
        <f>IFERROR(__xludf.DUMMYFUNCTION("""COMPUTED_VALUE"""),"")</f>
        <v/>
      </c>
      <c r="R129" s="14">
        <f>IFERROR(__xludf.DUMMYFUNCTION("""COMPUTED_VALUE"""),326.1903830754923)</f>
        <v>326.1903831</v>
      </c>
      <c r="S129" s="14">
        <f>IFERROR(__xludf.DUMMYFUNCTION("""COMPUTED_VALUE"""),-1.2903830754923433)</f>
        <v>-1.290383075</v>
      </c>
      <c r="T129" s="17" t="str">
        <f>IFERROR(__xludf.DUMMYFUNCTION("""COMPUTED_VALUE"""),"ZARAR")</f>
        <v>ZARAR</v>
      </c>
      <c r="U129" s="17" t="str">
        <f>IFERROR(__xludf.DUMMYFUNCTION("""COMPUTED_VALUE"""),"Fiyat, maliyet veya kampanya kontrol et")</f>
        <v>Fiyat, maliyet veya kampanya kontrol et</v>
      </c>
    </row>
    <row r="130">
      <c r="A130" s="2" t="str">
        <f>IFERROR(__xludf.DUMMYFUNCTION("""COMPUTED_VALUE"""),"KLSWK")</f>
        <v>KLSWK</v>
      </c>
      <c r="B130" s="17" t="str">
        <f>IFERROR(__xludf.DUMMYFUNCTION("""COMPUTED_VALUE"""),"Wanpy")</f>
        <v>Wanpy</v>
      </c>
      <c r="C130" s="28" t="str">
        <f>IFERROR(__xludf.DUMMYFUNCTION("""COMPUTED_VALUE"""),"Krema Kedi Ödül Maması 14gr (25 Adet) (Karışık Çeşitli)")</f>
        <v>Krema Kedi Ödül Maması 14gr (25 Adet) (Karışık Çeşitli)</v>
      </c>
      <c r="D130" s="14">
        <f>IFERROR(__xludf.DUMMYFUNCTION("""COMPUTED_VALUE"""),333.85)</f>
        <v>333.85</v>
      </c>
      <c r="E130" s="14">
        <f>IFERROR(__xludf.DUMMYFUNCTION("""COMPUTED_VALUE"""),36.7235)</f>
        <v>36.7235</v>
      </c>
      <c r="F130" s="14">
        <f>IFERROR(__xludf.DUMMYFUNCTION("""COMPUTED_VALUE"""),86.4)</f>
        <v>86.4</v>
      </c>
      <c r="G130" s="14">
        <f>IFERROR(__xludf.DUMMYFUNCTION("""COMPUTED_VALUE"""),196.5)</f>
        <v>196.5</v>
      </c>
      <c r="H130" s="14">
        <f>IFERROR(__xludf.DUMMYFUNCTION("""COMPUTED_VALUE"""),13.19)</f>
        <v>13.19</v>
      </c>
      <c r="I130" s="14">
        <f>IFERROR(__xludf.DUMMYFUNCTION("""COMPUTED_VALUE"""),2.782083333333334)</f>
        <v>2.782083333</v>
      </c>
      <c r="J130" s="14">
        <f>IFERROR(__xludf.DUMMYFUNCTION("""COMPUTED_VALUE"""),0.1727499999999953)</f>
        <v>0.17275</v>
      </c>
      <c r="K130" s="14">
        <f>IFERROR(__xludf.DUMMYFUNCTION("""COMPUTED_VALUE"""),-1.918333333333313)</f>
        <v>-1.918333333</v>
      </c>
      <c r="L130" s="15">
        <f>IFERROR(__xludf.DUMMYFUNCTION("""COMPUTED_VALUE"""),-0.005746093554989704)</f>
        <v>-0.005746093555</v>
      </c>
      <c r="M130" s="17" t="str">
        <f>IFERROR(__xludf.DUMMYFUNCTION("""COMPUTED_VALUE"""),"ZARAR")</f>
        <v>ZARAR</v>
      </c>
      <c r="N130" s="17" t="str">
        <f>IFERROR(__xludf.DUMMYFUNCTION("""COMPUTED_VALUE"""),"")</f>
        <v/>
      </c>
      <c r="O130" s="17">
        <f>IFERROR(__xludf.DUMMYFUNCTION("""COMPUTED_VALUE"""),0.5)</f>
        <v>0.5</v>
      </c>
      <c r="P130" s="17" t="str">
        <f>IFERROR(__xludf.DUMMYFUNCTION("""COMPUTED_VALUE"""),"")</f>
        <v/>
      </c>
      <c r="Q130" s="17" t="str">
        <f>IFERROR(__xludf.DUMMYFUNCTION("""COMPUTED_VALUE"""),"")</f>
        <v/>
      </c>
      <c r="R130" s="14">
        <f>IFERROR(__xludf.DUMMYFUNCTION("""COMPUTED_VALUE"""),336.02695400916855)</f>
        <v>336.026954</v>
      </c>
      <c r="S130" s="14">
        <f>IFERROR(__xludf.DUMMYFUNCTION("""COMPUTED_VALUE"""),-2.1769540091685258)</f>
        <v>-2.176954009</v>
      </c>
      <c r="T130" s="17" t="str">
        <f>IFERROR(__xludf.DUMMYFUNCTION("""COMPUTED_VALUE"""),"ZARAR")</f>
        <v>ZARAR</v>
      </c>
      <c r="U130" s="17" t="str">
        <f>IFERROR(__xludf.DUMMYFUNCTION("""COMPUTED_VALUE"""),"Fiyat, maliyet veya kampanya kontrol et")</f>
        <v>Fiyat, maliyet veya kampanya kontrol et</v>
      </c>
    </row>
    <row r="131">
      <c r="A131" s="2">
        <f>IFERROR(__xludf.DUMMYFUNCTION("""COMPUTED_VALUE"""),5.2742071381E10)</f>
        <v>52742071381</v>
      </c>
      <c r="B131" s="17" t="str">
        <f>IFERROR(__xludf.DUMMYFUNCTION("""COMPUTED_VALUE"""),"Hill's")</f>
        <v>Hill's</v>
      </c>
      <c r="C131" s="28" t="str">
        <f>IFERROR(__xludf.DUMMYFUNCTION("""COMPUTED_VALUE"""),"Scıence Plan Somonlu Kısırlaştırılmış Yetişkin Kedi Maması 3 Kg")</f>
        <v>Scıence Plan Somonlu Kısırlaştırılmış Yetişkin Kedi Maması 3 Kg</v>
      </c>
      <c r="D131" s="14">
        <f>IFERROR(__xludf.DUMMYFUNCTION("""COMPUTED_VALUE"""),1557.06)</f>
        <v>1557.06</v>
      </c>
      <c r="E131" s="14">
        <f>IFERROR(__xludf.DUMMYFUNCTION("""COMPUTED_VALUE"""),194.6325)</f>
        <v>194.6325</v>
      </c>
      <c r="F131" s="14">
        <f>IFERROR(__xludf.DUMMYFUNCTION("""COMPUTED_VALUE"""),90.0)</f>
        <v>90</v>
      </c>
      <c r="G131" s="14">
        <f>IFERROR(__xludf.DUMMYFUNCTION("""COMPUTED_VALUE"""),1247.0)</f>
        <v>1247</v>
      </c>
      <c r="H131" s="14">
        <f>IFERROR(__xludf.DUMMYFUNCTION("""COMPUTED_VALUE"""),13.19)</f>
        <v>13.19</v>
      </c>
      <c r="I131" s="14">
        <f>IFERROR(__xludf.DUMMYFUNCTION("""COMPUTED_VALUE"""),12.9755)</f>
        <v>12.9755</v>
      </c>
      <c r="J131" s="14">
        <f>IFERROR(__xludf.DUMMYFUNCTION("""COMPUTED_VALUE"""),2.039583333333402)</f>
        <v>2.039583333</v>
      </c>
      <c r="K131" s="14">
        <f>IFERROR(__xludf.DUMMYFUNCTION("""COMPUTED_VALUE"""),-2.777583333333393)</f>
        <v>-2.777583333</v>
      </c>
      <c r="L131" s="15">
        <f>IFERROR(__xludf.DUMMYFUNCTION("""COMPUTED_VALUE"""),-0.0017838640343553831)</f>
        <v>-0.001783864034</v>
      </c>
      <c r="M131" s="17" t="str">
        <f>IFERROR(__xludf.DUMMYFUNCTION("""COMPUTED_VALUE"""),"ZARAR")</f>
        <v>ZARAR</v>
      </c>
      <c r="N131" s="17" t="str">
        <f>IFERROR(__xludf.DUMMYFUNCTION("""COMPUTED_VALUE"""),"")</f>
        <v/>
      </c>
      <c r="O131" s="17">
        <f>IFERROR(__xludf.DUMMYFUNCTION("""COMPUTED_VALUE"""),3.0)</f>
        <v>3</v>
      </c>
      <c r="P131" s="17" t="str">
        <f>IFERROR(__xludf.DUMMYFUNCTION("""COMPUTED_VALUE"""),"")</f>
        <v/>
      </c>
      <c r="Q131" s="17" t="str">
        <f>IFERROR(__xludf.DUMMYFUNCTION("""COMPUTED_VALUE"""),"")</f>
        <v/>
      </c>
      <c r="R131" s="14">
        <f>IFERROR(__xludf.DUMMYFUNCTION("""COMPUTED_VALUE"""),1560.2691541094753)</f>
        <v>1560.269154</v>
      </c>
      <c r="S131" s="14">
        <f>IFERROR(__xludf.DUMMYFUNCTION("""COMPUTED_VALUE"""),-3.209154109475321)</f>
        <v>-3.209154109</v>
      </c>
      <c r="T131" s="17" t="str">
        <f>IFERROR(__xludf.DUMMYFUNCTION("""COMPUTED_VALUE"""),"ZARAR")</f>
        <v>ZARAR</v>
      </c>
      <c r="U131" s="17" t="str">
        <f>IFERROR(__xludf.DUMMYFUNCTION("""COMPUTED_VALUE"""),"Fiyat, maliyet veya kampanya kontrol et")</f>
        <v>Fiyat, maliyet veya kampanya kontrol et</v>
      </c>
    </row>
    <row r="132">
      <c r="A132" s="2">
        <f>IFERROR(__xludf.DUMMYFUNCTION("""COMPUTED_VALUE"""),8.445291929555E12)</f>
        <v>8445291929555</v>
      </c>
      <c r="B132" s="17" t="str">
        <f>IFERROR(__xludf.DUMMYFUNCTION("""COMPUTED_VALUE"""),"Gourmet Gold")</f>
        <v>Gourmet Gold</v>
      </c>
      <c r="C132" s="28" t="str">
        <f>IFERROR(__xludf.DUMMYFUNCTION("""COMPUTED_VALUE"""),"Kıyılmış Seri Kedi Konservesi 8 Adet*85 Gr")</f>
        <v>Kıyılmış Seri Kedi Konservesi 8 Adet*85 Gr</v>
      </c>
      <c r="D132" s="14">
        <f>IFERROR(__xludf.DUMMYFUNCTION("""COMPUTED_VALUE"""),353.59)</f>
        <v>353.59</v>
      </c>
      <c r="E132" s="14">
        <f>IFERROR(__xludf.DUMMYFUNCTION("""COMPUTED_VALUE"""),58.342349999999996)</f>
        <v>58.34235</v>
      </c>
      <c r="F132" s="14">
        <f>IFERROR(__xludf.DUMMYFUNCTION("""COMPUTED_VALUE"""),90.0)</f>
        <v>90</v>
      </c>
      <c r="G132" s="14">
        <f>IFERROR(__xludf.DUMMYFUNCTION("""COMPUTED_VALUE"""),192.0)</f>
        <v>192</v>
      </c>
      <c r="H132" s="14">
        <f>IFERROR(__xludf.DUMMYFUNCTION("""COMPUTED_VALUE"""),13.19)</f>
        <v>13.19</v>
      </c>
      <c r="I132" s="14">
        <f>IFERROR(__xludf.DUMMYFUNCTION("""COMPUTED_VALUE"""),2.946583333333333)</f>
        <v>2.946583333</v>
      </c>
      <c r="J132" s="14">
        <f>IFERROR(__xludf.DUMMYFUNCTION("""COMPUTED_VALUE"""),0.009608333333344987)</f>
        <v>0.009608333333</v>
      </c>
      <c r="K132" s="14">
        <f>IFERROR(__xludf.DUMMYFUNCTION("""COMPUTED_VALUE"""),-2.8985416666667128)</f>
        <v>-2.898541667</v>
      </c>
      <c r="L132" s="15">
        <f>IFERROR(__xludf.DUMMYFUNCTION("""COMPUTED_VALUE"""),-0.008197465048973989)</f>
        <v>-0.008197465049</v>
      </c>
      <c r="M132" s="17" t="str">
        <f>IFERROR(__xludf.DUMMYFUNCTION("""COMPUTED_VALUE"""),"ZARAR")</f>
        <v>ZARAR</v>
      </c>
      <c r="N132" s="17" t="str">
        <f>IFERROR(__xludf.DUMMYFUNCTION("""COMPUTED_VALUE"""),"")</f>
        <v/>
      </c>
      <c r="O132" s="17">
        <f>IFERROR(__xludf.DUMMYFUNCTION("""COMPUTED_VALUE"""),3.0)</f>
        <v>3</v>
      </c>
      <c r="P132" s="17" t="str">
        <f>IFERROR(__xludf.DUMMYFUNCTION("""COMPUTED_VALUE"""),"")</f>
        <v/>
      </c>
      <c r="Q132" s="17" t="str">
        <f>IFERROR(__xludf.DUMMYFUNCTION("""COMPUTED_VALUE"""),"")</f>
        <v/>
      </c>
      <c r="R132" s="14">
        <f>IFERROR(__xludf.DUMMYFUNCTION("""COMPUTED_VALUE"""),357.0962716687089)</f>
        <v>357.0962717</v>
      </c>
      <c r="S132" s="14">
        <f>IFERROR(__xludf.DUMMYFUNCTION("""COMPUTED_VALUE"""),-3.506271668708905)</f>
        <v>-3.506271669</v>
      </c>
      <c r="T132" s="17" t="str">
        <f>IFERROR(__xludf.DUMMYFUNCTION("""COMPUTED_VALUE"""),"ZARAR")</f>
        <v>ZARAR</v>
      </c>
      <c r="U132" s="17" t="str">
        <f>IFERROR(__xludf.DUMMYFUNCTION("""COMPUTED_VALUE"""),"Fiyat, maliyet veya kampanya kontrol et")</f>
        <v>Fiyat, maliyet veya kampanya kontrol et</v>
      </c>
    </row>
    <row r="133">
      <c r="A133" s="2">
        <f>IFERROR(__xludf.DUMMYFUNCTION("""COMPUTED_VALUE"""),9.888569998999E12)</f>
        <v>9888569998999</v>
      </c>
      <c r="B133" s="17" t="str">
        <f>IFERROR(__xludf.DUMMYFUNCTION("""COMPUTED_VALUE"""),"Gourmet")</f>
        <v>Gourmet</v>
      </c>
      <c r="C133" s="28" t="str">
        <f>IFERROR(__xludf.DUMMYFUNCTION("""COMPUTED_VALUE"""),"Purina Karışık Kedi Konservesi 85 gr X 24 Adet")</f>
        <v>Purina Karışık Kedi Konservesi 85 gr X 24 Adet</v>
      </c>
      <c r="D133" s="14">
        <f>IFERROR(__xludf.DUMMYFUNCTION("""COMPUTED_VALUE"""),790.0)</f>
        <v>790</v>
      </c>
      <c r="E133" s="14">
        <f>IFERROR(__xludf.DUMMYFUNCTION("""COMPUTED_VALUE"""),106.65)</f>
        <v>106.65</v>
      </c>
      <c r="F133" s="14">
        <f>IFERROR(__xludf.DUMMYFUNCTION("""COMPUTED_VALUE"""),90.0)</f>
        <v>90</v>
      </c>
      <c r="G133" s="14">
        <f>IFERROR(__xludf.DUMMYFUNCTION("""COMPUTED_VALUE"""),576.0)</f>
        <v>576</v>
      </c>
      <c r="H133" s="14">
        <f>IFERROR(__xludf.DUMMYFUNCTION("""COMPUTED_VALUE"""),13.19)</f>
        <v>13.19</v>
      </c>
      <c r="I133" s="14">
        <f>IFERROR(__xludf.DUMMYFUNCTION("""COMPUTED_VALUE"""),6.583333333333334)</f>
        <v>6.583333333</v>
      </c>
      <c r="J133" s="14">
        <f>IFERROR(__xludf.DUMMYFUNCTION("""COMPUTED_VALUE"""),0.6933333333333049)</f>
        <v>0.6933333333</v>
      </c>
      <c r="K133" s="14">
        <f>IFERROR(__xludf.DUMMYFUNCTION("""COMPUTED_VALUE"""),-3.1166666666666156)</f>
        <v>-3.116666667</v>
      </c>
      <c r="L133" s="15">
        <f>IFERROR(__xludf.DUMMYFUNCTION("""COMPUTED_VALUE"""),-0.00394514767932483)</f>
        <v>-0.003945147679</v>
      </c>
      <c r="M133" s="17" t="str">
        <f>IFERROR(__xludf.DUMMYFUNCTION("""COMPUTED_VALUE"""),"ZARAR")</f>
        <v>ZARAR</v>
      </c>
      <c r="N133" s="17" t="str">
        <f>IFERROR(__xludf.DUMMYFUNCTION("""COMPUTED_VALUE"""),"")</f>
        <v/>
      </c>
      <c r="O133" s="17">
        <f>IFERROR(__xludf.DUMMYFUNCTION("""COMPUTED_VALUE"""),3.0)</f>
        <v>3</v>
      </c>
      <c r="P133" s="17" t="str">
        <f>IFERROR(__xludf.DUMMYFUNCTION("""COMPUTED_VALUE"""),"")</f>
        <v/>
      </c>
      <c r="Q133" s="17" t="str">
        <f>IFERROR(__xludf.DUMMYFUNCTION("""COMPUTED_VALUE"""),"")</f>
        <v/>
      </c>
      <c r="R133" s="14">
        <f>IFERROR(__xludf.DUMMYFUNCTION("""COMPUTED_VALUE"""),793.6415541820771)</f>
        <v>793.6415542</v>
      </c>
      <c r="S133" s="14">
        <f>IFERROR(__xludf.DUMMYFUNCTION("""COMPUTED_VALUE"""),-3.6415541820771296)</f>
        <v>-3.641554182</v>
      </c>
      <c r="T133" s="17" t="str">
        <f>IFERROR(__xludf.DUMMYFUNCTION("""COMPUTED_VALUE"""),"ZARAR")</f>
        <v>ZARAR</v>
      </c>
      <c r="U133" s="17" t="str">
        <f>IFERROR(__xludf.DUMMYFUNCTION("""COMPUTED_VALUE"""),"Fiyat, maliyet veya kampanya kontrol et")</f>
        <v>Fiyat, maliyet veya kampanya kontrol et</v>
      </c>
    </row>
    <row r="134">
      <c r="A134" s="2">
        <f>IFERROR(__xludf.DUMMYFUNCTION("""COMPUTED_VALUE"""),8.6974221000021E13)</f>
        <v>86974221000021</v>
      </c>
      <c r="B134" s="17" t="str">
        <f>IFERROR(__xludf.DUMMYFUNCTION("""COMPUTED_VALUE"""),"Pro Plan")</f>
        <v>Pro Plan</v>
      </c>
      <c r="C134" s="28" t="str">
        <f>IFERROR(__xludf.DUMMYFUNCTION("""COMPUTED_VALUE"""),"Junior Tavuklu Yavru Kedi Konservesi 85 Gr X 12 Adet")</f>
        <v>Junior Tavuklu Yavru Kedi Konservesi 85 Gr X 12 Adet</v>
      </c>
      <c r="D134" s="14">
        <f>IFERROR(__xludf.DUMMYFUNCTION("""COMPUTED_VALUE"""),462.06)</f>
        <v>462.06</v>
      </c>
      <c r="E134" s="14">
        <f>IFERROR(__xludf.DUMMYFUNCTION("""COMPUTED_VALUE"""),42.04746)</f>
        <v>42.04746</v>
      </c>
      <c r="F134" s="14">
        <f>IFERROR(__xludf.DUMMYFUNCTION("""COMPUTED_VALUE"""),90.0)</f>
        <v>90</v>
      </c>
      <c r="G134" s="14">
        <f>IFERROR(__xludf.DUMMYFUNCTION("""COMPUTED_VALUE"""),320.0)</f>
        <v>320</v>
      </c>
      <c r="H134" s="14">
        <f>IFERROR(__xludf.DUMMYFUNCTION("""COMPUTED_VALUE"""),13.19)</f>
        <v>13.19</v>
      </c>
      <c r="I134" s="14">
        <f>IFERROR(__xludf.DUMMYFUNCTION("""COMPUTED_VALUE"""),3.8505000000000003)</f>
        <v>3.8505</v>
      </c>
      <c r="J134" s="14">
        <f>IFERROR(__xludf.DUMMYFUNCTION("""COMPUTED_VALUE"""),0.0)</f>
        <v>0</v>
      </c>
      <c r="K134" s="14">
        <f>IFERROR(__xludf.DUMMYFUNCTION("""COMPUTED_VALUE"""),-7.027959999999998)</f>
        <v>-7.02796</v>
      </c>
      <c r="L134" s="15">
        <f>IFERROR(__xludf.DUMMYFUNCTION("""COMPUTED_VALUE"""),-0.01521005929965805)</f>
        <v>-0.0152100593</v>
      </c>
      <c r="M134" s="17" t="str">
        <f>IFERROR(__xludf.DUMMYFUNCTION("""COMPUTED_VALUE"""),"ZARAR")</f>
        <v>ZARAR</v>
      </c>
      <c r="N134" s="17" t="str">
        <f>IFERROR(__xludf.DUMMYFUNCTION("""COMPUTED_VALUE"""),"")</f>
        <v/>
      </c>
      <c r="O134" s="17">
        <f>IFERROR(__xludf.DUMMYFUNCTION("""COMPUTED_VALUE"""),3.0)</f>
        <v>3</v>
      </c>
      <c r="P134" s="17" t="str">
        <f>IFERROR(__xludf.DUMMYFUNCTION("""COMPUTED_VALUE"""),"")</f>
        <v/>
      </c>
      <c r="Q134" s="17" t="str">
        <f>IFERROR(__xludf.DUMMYFUNCTION("""COMPUTED_VALUE"""),"")</f>
        <v/>
      </c>
      <c r="R134" s="14">
        <f>IFERROR(__xludf.DUMMYFUNCTION("""COMPUTED_VALUE"""),469.8628905022611)</f>
        <v>469.8628905</v>
      </c>
      <c r="S134" s="14">
        <f>IFERROR(__xludf.DUMMYFUNCTION("""COMPUTED_VALUE"""),-7.802890502261107)</f>
        <v>-7.802890502</v>
      </c>
      <c r="T134" s="17" t="str">
        <f>IFERROR(__xludf.DUMMYFUNCTION("""COMPUTED_VALUE"""),"ZARAR")</f>
        <v>ZARAR</v>
      </c>
      <c r="U134" s="17" t="str">
        <f>IFERROR(__xludf.DUMMYFUNCTION("""COMPUTED_VALUE"""),"Fiyat, maliyet veya kampanya kontrol et")</f>
        <v>Fiyat, maliyet veya kampanya kontrol et</v>
      </c>
    </row>
    <row r="135">
      <c r="A135" s="2">
        <f>IFERROR(__xludf.DUMMYFUNCTION("""COMPUTED_VALUE"""),6.927749871859E12)</f>
        <v>6927749871859</v>
      </c>
      <c r="B135" s="17" t="str">
        <f>IFERROR(__xludf.DUMMYFUNCTION("""COMPUTED_VALUE"""),"Wanpy")</f>
        <v>Wanpy</v>
      </c>
      <c r="C135" s="28" t="str">
        <f>IFERROR(__xludf.DUMMYFUNCTION("""COMPUTED_VALUE"""),"4 Lezzet Karışık Krema Kedi Ödülü 50*14Gr")</f>
        <v>4 Lezzet Karışık Krema Kedi Ödülü 50*14Gr</v>
      </c>
      <c r="D135" s="14">
        <f>IFERROR(__xludf.DUMMYFUNCTION("""COMPUTED_VALUE"""),549.0)</f>
        <v>549</v>
      </c>
      <c r="E135" s="14">
        <f>IFERROR(__xludf.DUMMYFUNCTION("""COMPUTED_VALUE"""),58.742999999999995)</f>
        <v>58.743</v>
      </c>
      <c r="F135" s="14">
        <f>IFERROR(__xludf.DUMMYFUNCTION("""COMPUTED_VALUE"""),86.4)</f>
        <v>86.4</v>
      </c>
      <c r="G135" s="14">
        <f>IFERROR(__xludf.DUMMYFUNCTION("""COMPUTED_VALUE"""),393.7)</f>
        <v>393.7</v>
      </c>
      <c r="H135" s="14">
        <f>IFERROR(__xludf.DUMMYFUNCTION("""COMPUTED_VALUE"""),13.19)</f>
        <v>13.19</v>
      </c>
      <c r="I135" s="14">
        <f>IFERROR(__xludf.DUMMYFUNCTION("""COMPUTED_VALUE"""),4.575)</f>
        <v>4.575</v>
      </c>
      <c r="J135" s="14">
        <f>IFERROR(__xludf.DUMMYFUNCTION("""COMPUTED_VALUE"""),0.0)</f>
        <v>0</v>
      </c>
      <c r="K135" s="14">
        <f>IFERROR(__xludf.DUMMYFUNCTION("""COMPUTED_VALUE"""),-7.608000000000017)</f>
        <v>-7.608</v>
      </c>
      <c r="L135" s="15">
        <f>IFERROR(__xludf.DUMMYFUNCTION("""COMPUTED_VALUE"""),-0.01385792349726779)</f>
        <v>-0.0138579235</v>
      </c>
      <c r="M135" s="17" t="str">
        <f>IFERROR(__xludf.DUMMYFUNCTION("""COMPUTED_VALUE"""),"ZARAR")</f>
        <v>ZARAR</v>
      </c>
      <c r="N135" s="17" t="str">
        <f>IFERROR(__xludf.DUMMYFUNCTION("""COMPUTED_VALUE"""),"")</f>
        <v/>
      </c>
      <c r="O135" s="17">
        <f>IFERROR(__xludf.DUMMYFUNCTION("""COMPUTED_VALUE"""),0.5)</f>
        <v>0.5</v>
      </c>
      <c r="P135" s="17" t="str">
        <f>IFERROR(__xludf.DUMMYFUNCTION("""COMPUTED_VALUE"""),"")</f>
        <v/>
      </c>
      <c r="Q135" s="17" t="str">
        <f>IFERROR(__xludf.DUMMYFUNCTION("""COMPUTED_VALUE"""),"")</f>
        <v/>
      </c>
      <c r="R135" s="14">
        <f>IFERROR(__xludf.DUMMYFUNCTION("""COMPUTED_VALUE"""),557.5996391862701)</f>
        <v>557.5996392</v>
      </c>
      <c r="S135" s="14">
        <f>IFERROR(__xludf.DUMMYFUNCTION("""COMPUTED_VALUE"""),-8.59963918627011)</f>
        <v>-8.599639186</v>
      </c>
      <c r="T135" s="17" t="str">
        <f>IFERROR(__xludf.DUMMYFUNCTION("""COMPUTED_VALUE"""),"ZARAR")</f>
        <v>ZARAR</v>
      </c>
      <c r="U135" s="17" t="str">
        <f>IFERROR(__xludf.DUMMYFUNCTION("""COMPUTED_VALUE"""),"Fiyat, maliyet veya kampanya kontrol et")</f>
        <v>Fiyat, maliyet veya kampanya kontrol et</v>
      </c>
    </row>
    <row r="136">
      <c r="A136" s="2">
        <f>IFERROR(__xludf.DUMMYFUNCTION("""COMPUTED_VALUE"""),8.410650167886E12)</f>
        <v>8410650167886</v>
      </c>
      <c r="B136" s="17" t="str">
        <f>IFERROR(__xludf.DUMMYFUNCTION("""COMPUTED_VALUE"""),"Advance")</f>
        <v>Advance</v>
      </c>
      <c r="C136" s="28" t="str">
        <f>IFERROR(__xludf.DUMMYFUNCTION("""COMPUTED_VALUE"""),"Kedi Yetişkin Kısır Somonlu 1.5 Kg")</f>
        <v>Kedi Yetişkin Kısır Somonlu 1.5 Kg</v>
      </c>
      <c r="D136" s="14">
        <f>IFERROR(__xludf.DUMMYFUNCTION("""COMPUTED_VALUE"""),980.0)</f>
        <v>980</v>
      </c>
      <c r="E136" s="14">
        <f>IFERROR(__xludf.DUMMYFUNCTION("""COMPUTED_VALUE"""),161.7)</f>
        <v>161.7</v>
      </c>
      <c r="F136" s="14">
        <f>IFERROR(__xludf.DUMMYFUNCTION("""COMPUTED_VALUE"""),90.0)</f>
        <v>90</v>
      </c>
      <c r="G136" s="14">
        <f>IFERROR(__xludf.DUMMYFUNCTION("""COMPUTED_VALUE"""),715.0)</f>
        <v>715</v>
      </c>
      <c r="H136" s="14">
        <f>IFERROR(__xludf.DUMMYFUNCTION("""COMPUTED_VALUE"""),13.19)</f>
        <v>13.19</v>
      </c>
      <c r="I136" s="14">
        <f>IFERROR(__xludf.DUMMYFUNCTION("""COMPUTED_VALUE"""),8.166666666666668)</f>
        <v>8.166666667</v>
      </c>
      <c r="J136" s="14">
        <f>IFERROR(__xludf.DUMMYFUNCTION("""COMPUTED_VALUE"""),0.018333333333307777)</f>
        <v>0.01833333333</v>
      </c>
      <c r="K136" s="14">
        <f>IFERROR(__xludf.DUMMYFUNCTION("""COMPUTED_VALUE"""),-8.07500000000002)</f>
        <v>-8.075</v>
      </c>
      <c r="L136" s="15">
        <f>IFERROR(__xludf.DUMMYFUNCTION("""COMPUTED_VALUE"""),-0.008239795918367368)</f>
        <v>-0.008239795918</v>
      </c>
      <c r="M136" s="17" t="str">
        <f>IFERROR(__xludf.DUMMYFUNCTION("""COMPUTED_VALUE"""),"ZARAR")</f>
        <v>ZARAR</v>
      </c>
      <c r="N136" s="17" t="str">
        <f>IFERROR(__xludf.DUMMYFUNCTION("""COMPUTED_VALUE"""),"")</f>
        <v/>
      </c>
      <c r="O136" s="17">
        <f>IFERROR(__xludf.DUMMYFUNCTION("""COMPUTED_VALUE"""),3.0)</f>
        <v>3</v>
      </c>
      <c r="P136" s="17" t="str">
        <f>IFERROR(__xludf.DUMMYFUNCTION("""COMPUTED_VALUE"""),"")</f>
        <v/>
      </c>
      <c r="Q136" s="17" t="str">
        <f>IFERROR(__xludf.DUMMYFUNCTION("""COMPUTED_VALUE"""),"")</f>
        <v/>
      </c>
      <c r="R136" s="14">
        <f>IFERROR(__xludf.DUMMYFUNCTION("""COMPUTED_VALUE"""),989.7679671105923)</f>
        <v>989.7679671</v>
      </c>
      <c r="S136" s="14">
        <f>IFERROR(__xludf.DUMMYFUNCTION("""COMPUTED_VALUE"""),-9.76796711059228)</f>
        <v>-9.767967111</v>
      </c>
      <c r="T136" s="17" t="str">
        <f>IFERROR(__xludf.DUMMYFUNCTION("""COMPUTED_VALUE"""),"ZARAR")</f>
        <v>ZARAR</v>
      </c>
      <c r="U136" s="17" t="str">
        <f>IFERROR(__xludf.DUMMYFUNCTION("""COMPUTED_VALUE"""),"Fiyat, maliyet veya kampanya kontrol et")</f>
        <v>Fiyat, maliyet veya kampanya kontrol et</v>
      </c>
    </row>
    <row r="137">
      <c r="A137" s="2">
        <f>IFERROR(__xludf.DUMMYFUNCTION("""COMPUTED_VALUE"""),9.003579008331E12)</f>
        <v>9003579008331</v>
      </c>
      <c r="B137" s="17" t="str">
        <f>IFERROR(__xludf.DUMMYFUNCTION("""COMPUTED_VALUE"""),"Royal Canin")</f>
        <v>Royal Canin</v>
      </c>
      <c r="C137" s="28" t="str">
        <f>IFERROR(__xludf.DUMMYFUNCTION("""COMPUTED_VALUE"""),"Medium Puppy Gravy Yavru Konserve Köpek Maması 140 Gr - 109801400 - Petshopundan")</f>
        <v>Medium Puppy Gravy Yavru Konserve Köpek Maması 140 Gr - 109801400 - Petshopundan</v>
      </c>
      <c r="D137" s="14">
        <f>IFERROR(__xludf.DUMMYFUNCTION("""COMPUTED_VALUE"""),105.0)</f>
        <v>105</v>
      </c>
      <c r="E137" s="14">
        <f>IFERROR(__xludf.DUMMYFUNCTION("""COMPUTED_VALUE"""),13.125)</f>
        <v>13.125</v>
      </c>
      <c r="F137" s="14">
        <f>IFERROR(__xludf.DUMMYFUNCTION("""COMPUTED_VALUE"""),86.4)</f>
        <v>86.4</v>
      </c>
      <c r="G137" s="14">
        <f>IFERROR(__xludf.DUMMYFUNCTION("""COMPUTED_VALUE"""),1.0)</f>
        <v>1</v>
      </c>
      <c r="H137" s="14">
        <f>IFERROR(__xludf.DUMMYFUNCTION("""COMPUTED_VALUE"""),13.19)</f>
        <v>13.19</v>
      </c>
      <c r="I137" s="14">
        <f>IFERROR(__xludf.DUMMYFUNCTION("""COMPUTED_VALUE"""),0.875)</f>
        <v>0.875</v>
      </c>
      <c r="J137" s="14">
        <f>IFERROR(__xludf.DUMMYFUNCTION("""COMPUTED_VALUE"""),0.0)</f>
        <v>0</v>
      </c>
      <c r="K137" s="14">
        <f>IFERROR(__xludf.DUMMYFUNCTION("""COMPUTED_VALUE"""),-9.590000000000005)</f>
        <v>-9.59</v>
      </c>
      <c r="L137" s="15">
        <f>IFERROR(__xludf.DUMMYFUNCTION("""COMPUTED_VALUE"""),-0.09133333333333338)</f>
        <v>-0.09133333333</v>
      </c>
      <c r="M137" s="17" t="str">
        <f>IFERROR(__xludf.DUMMYFUNCTION("""COMPUTED_VALUE"""),"ZARAR")</f>
        <v>ZARAR</v>
      </c>
      <c r="N137" s="17" t="str">
        <f>IFERROR(__xludf.DUMMYFUNCTION("""COMPUTED_VALUE"""),"")</f>
        <v/>
      </c>
      <c r="O137" s="17">
        <f>IFERROR(__xludf.DUMMYFUNCTION("""COMPUTED_VALUE"""),2.0)</f>
        <v>2</v>
      </c>
      <c r="P137" s="17" t="str">
        <f>IFERROR(__xludf.DUMMYFUNCTION("""COMPUTED_VALUE"""),"")</f>
        <v/>
      </c>
      <c r="Q137" s="17" t="str">
        <f>IFERROR(__xludf.DUMMYFUNCTION("""COMPUTED_VALUE"""),"")</f>
        <v/>
      </c>
      <c r="R137" s="14">
        <f>IFERROR(__xludf.DUMMYFUNCTION("""COMPUTED_VALUE"""),116.06533997486925)</f>
        <v>116.06534</v>
      </c>
      <c r="S137" s="14">
        <f>IFERROR(__xludf.DUMMYFUNCTION("""COMPUTED_VALUE"""),-11.065339974869246)</f>
        <v>-11.06533997</v>
      </c>
      <c r="T137" s="17" t="str">
        <f>IFERROR(__xludf.DUMMYFUNCTION("""COMPUTED_VALUE"""),"ZARAR")</f>
        <v>ZARAR</v>
      </c>
      <c r="U137" s="17" t="str">
        <f>IFERROR(__xludf.DUMMYFUNCTION("""COMPUTED_VALUE"""),"Fiyat, maliyet veya kampanya kontrol et")</f>
        <v>Fiyat, maliyet veya kampanya kontrol et</v>
      </c>
    </row>
    <row r="138">
      <c r="A138" s="2">
        <f>IFERROR(__xludf.DUMMYFUNCTION("""COMPUTED_VALUE"""),8.694867251443E12)</f>
        <v>8694867251443</v>
      </c>
      <c r="B138" s="17" t="str">
        <f>IFERROR(__xludf.DUMMYFUNCTION("""COMPUTED_VALUE"""),"Purina Felix")</f>
        <v>Purina Felix</v>
      </c>
      <c r="C138" s="28" t="str">
        <f>IFERROR(__xludf.DUMMYFUNCTION("""COMPUTED_VALUE"""),"Felix Karışık Yaş Kedi Maması 20 Adet")</f>
        <v>Felix Karışık Yaş Kedi Maması 20 Adet</v>
      </c>
      <c r="D138" s="14">
        <f>IFERROR(__xludf.DUMMYFUNCTION("""COMPUTED_VALUE"""),476.0)</f>
        <v>476</v>
      </c>
      <c r="E138" s="14">
        <f>IFERROR(__xludf.DUMMYFUNCTION("""COMPUTED_VALUE"""),78.54)</f>
        <v>78.54</v>
      </c>
      <c r="F138" s="14">
        <f>IFERROR(__xludf.DUMMYFUNCTION("""COMPUTED_VALUE"""),90.0)</f>
        <v>90</v>
      </c>
      <c r="G138" s="14">
        <f>IFERROR(__xludf.DUMMYFUNCTION("""COMPUTED_VALUE"""),300.0)</f>
        <v>300</v>
      </c>
      <c r="H138" s="14">
        <f>IFERROR(__xludf.DUMMYFUNCTION("""COMPUTED_VALUE"""),13.19)</f>
        <v>13.19</v>
      </c>
      <c r="I138" s="14">
        <f>IFERROR(__xludf.DUMMYFUNCTION("""COMPUTED_VALUE"""),3.966666666666667)</f>
        <v>3.966666667</v>
      </c>
      <c r="J138" s="14">
        <f>IFERROR(__xludf.DUMMYFUNCTION("""COMPUTED_VALUE"""),0.0)</f>
        <v>0</v>
      </c>
      <c r="K138" s="14">
        <f>IFERROR(__xludf.DUMMYFUNCTION("""COMPUTED_VALUE"""),-9.696666666666687)</f>
        <v>-9.696666667</v>
      </c>
      <c r="L138" s="15">
        <f>IFERROR(__xludf.DUMMYFUNCTION("""COMPUTED_VALUE"""),-0.020371148459383797)</f>
        <v>-0.02037114846</v>
      </c>
      <c r="M138" s="17" t="str">
        <f>IFERROR(__xludf.DUMMYFUNCTION("""COMPUTED_VALUE"""),"ZARAR")</f>
        <v>ZARAR</v>
      </c>
      <c r="N138" s="17" t="str">
        <f>IFERROR(__xludf.DUMMYFUNCTION("""COMPUTED_VALUE"""),"")</f>
        <v/>
      </c>
      <c r="O138" s="17">
        <f>IFERROR(__xludf.DUMMYFUNCTION("""COMPUTED_VALUE"""),3.0)</f>
        <v>3</v>
      </c>
      <c r="P138" s="17" t="str">
        <f>IFERROR(__xludf.DUMMYFUNCTION("""COMPUTED_VALUE"""),"")</f>
        <v/>
      </c>
      <c r="Q138" s="17" t="str">
        <f>IFERROR(__xludf.DUMMYFUNCTION("""COMPUTED_VALUE"""),"")</f>
        <v/>
      </c>
      <c r="R138" s="14">
        <f>IFERROR(__xludf.DUMMYFUNCTION("""COMPUTED_VALUE"""),487.7296420444992)</f>
        <v>487.729642</v>
      </c>
      <c r="S138" s="14">
        <f>IFERROR(__xludf.DUMMYFUNCTION("""COMPUTED_VALUE"""),-11.729642044499201)</f>
        <v>-11.72964204</v>
      </c>
      <c r="T138" s="17" t="str">
        <f>IFERROR(__xludf.DUMMYFUNCTION("""COMPUTED_VALUE"""),"ZARAR")</f>
        <v>ZARAR</v>
      </c>
      <c r="U138" s="17" t="str">
        <f>IFERROR(__xludf.DUMMYFUNCTION("""COMPUTED_VALUE"""),"Fiyat, maliyet veya kampanya kontrol et")</f>
        <v>Fiyat, maliyet veya kampanya kontrol et</v>
      </c>
    </row>
    <row r="139">
      <c r="A139" s="2">
        <f>IFERROR(__xludf.DUMMYFUNCTION("""COMPUTED_VALUE"""),4.000498043417E12)</f>
        <v>4000498043417</v>
      </c>
      <c r="B139" s="17" t="str">
        <f>IFERROR(__xludf.DUMMYFUNCTION("""COMPUTED_VALUE"""),"Flexi")</f>
        <v>Flexi</v>
      </c>
      <c r="C139" s="28" t="str">
        <f>IFERROR(__xludf.DUMMYFUNCTION("""COMPUTED_VALUE"""),"New Comfort Açık Mavi Otomatik Kedi Köpek Gezdirme Tasması")</f>
        <v>New Comfort Açık Mavi Otomatik Kedi Köpek Gezdirme Tasması</v>
      </c>
      <c r="D139" s="14">
        <f>IFERROR(__xludf.DUMMYFUNCTION("""COMPUTED_VALUE"""),920.0)</f>
        <v>920</v>
      </c>
      <c r="E139" s="14">
        <f>IFERROR(__xludf.DUMMYFUNCTION("""COMPUTED_VALUE"""),184.0)</f>
        <v>184</v>
      </c>
      <c r="F139" s="14">
        <f>IFERROR(__xludf.DUMMYFUNCTION("""COMPUTED_VALUE"""),86.4)</f>
        <v>86.4</v>
      </c>
      <c r="G139" s="14">
        <f>IFERROR(__xludf.DUMMYFUNCTION("""COMPUTED_VALUE"""),638.67)</f>
        <v>638.67</v>
      </c>
      <c r="H139" s="14">
        <f>IFERROR(__xludf.DUMMYFUNCTION("""COMPUTED_VALUE"""),13.19)</f>
        <v>13.19</v>
      </c>
      <c r="I139" s="14">
        <f>IFERROR(__xludf.DUMMYFUNCTION("""COMPUTED_VALUE"""),7.666666666666668)</f>
        <v>7.666666667</v>
      </c>
      <c r="J139" s="14">
        <f>IFERROR(__xludf.DUMMYFUNCTION("""COMPUTED_VALUE"""),0.0)</f>
        <v>0</v>
      </c>
      <c r="K139" s="14">
        <f>IFERROR(__xludf.DUMMYFUNCTION("""COMPUTED_VALUE"""),-9.926666666666604)</f>
        <v>-9.926666667</v>
      </c>
      <c r="L139" s="15">
        <f>IFERROR(__xludf.DUMMYFUNCTION("""COMPUTED_VALUE"""),-0.0107898550724637)</f>
        <v>-0.01078985507</v>
      </c>
      <c r="M139" s="17" t="str">
        <f>IFERROR(__xludf.DUMMYFUNCTION("""COMPUTED_VALUE"""),"ZARAR")</f>
        <v>ZARAR</v>
      </c>
      <c r="N139" s="17" t="str">
        <f>IFERROR(__xludf.DUMMYFUNCTION("""COMPUTED_VALUE"""),"")</f>
        <v/>
      </c>
      <c r="O139" s="17">
        <f>IFERROR(__xludf.DUMMYFUNCTION("""COMPUTED_VALUE"""),0.5)</f>
        <v>0.5</v>
      </c>
      <c r="P139" s="17" t="str">
        <f>IFERROR(__xludf.DUMMYFUNCTION("""COMPUTED_VALUE"""),"")</f>
        <v/>
      </c>
      <c r="Q139" s="17" t="str">
        <f>IFERROR(__xludf.DUMMYFUNCTION("""COMPUTED_VALUE"""),"")</f>
        <v/>
      </c>
      <c r="R139" s="14">
        <f>IFERROR(__xludf.DUMMYFUNCTION("""COMPUTED_VALUE"""),932.5385547206085)</f>
        <v>932.5385547</v>
      </c>
      <c r="S139" s="14">
        <f>IFERROR(__xludf.DUMMYFUNCTION("""COMPUTED_VALUE"""),-12.538554720608545)</f>
        <v>-12.53855472</v>
      </c>
      <c r="T139" s="17" t="str">
        <f>IFERROR(__xludf.DUMMYFUNCTION("""COMPUTED_VALUE"""),"ZARAR")</f>
        <v>ZARAR</v>
      </c>
      <c r="U139" s="17" t="str">
        <f>IFERROR(__xludf.DUMMYFUNCTION("""COMPUTED_VALUE"""),"Fiyat, maliyet veya kampanya kontrol et")</f>
        <v>Fiyat, maliyet veya kampanya kontrol et</v>
      </c>
    </row>
    <row r="140">
      <c r="A140" s="2">
        <f>IFERROR(__xludf.DUMMYFUNCTION("""COMPUTED_VALUE"""),5.2742025223E10)</f>
        <v>52742025223</v>
      </c>
      <c r="B140" s="17" t="str">
        <f>IFERROR(__xludf.DUMMYFUNCTION("""COMPUTED_VALUE"""),"Hills Science Plan")</f>
        <v>Hills Science Plan</v>
      </c>
      <c r="C140" s="28" t="str">
        <f>IFERROR(__xludf.DUMMYFUNCTION("""COMPUTED_VALUE"""),"Hill’s SCIENCE PLAN Adult Medium Lamb &amp; Rice Orta Irk Kuzulu Yetişkin Köpek Maması 2,5 Kg")</f>
        <v>Hill’s SCIENCE PLAN Adult Medium Lamb &amp; Rice Orta Irk Kuzulu Yetişkin Köpek Maması 2,5 Kg</v>
      </c>
      <c r="D140" s="14">
        <f>IFERROR(__xludf.DUMMYFUNCTION("""COMPUTED_VALUE"""),1474.6)</f>
        <v>1474.6</v>
      </c>
      <c r="E140" s="14">
        <f>IFERROR(__xludf.DUMMYFUNCTION("""COMPUTED_VALUE"""),243.30899999999997)</f>
        <v>243.309</v>
      </c>
      <c r="F140" s="14">
        <f>IFERROR(__xludf.DUMMYFUNCTION("""COMPUTED_VALUE"""),90.0)</f>
        <v>90</v>
      </c>
      <c r="G140" s="14">
        <f>IFERROR(__xludf.DUMMYFUNCTION("""COMPUTED_VALUE"""),1127.0)</f>
        <v>1127</v>
      </c>
      <c r="H140" s="14">
        <f>IFERROR(__xludf.DUMMYFUNCTION("""COMPUTED_VALUE"""),13.19)</f>
        <v>13.19</v>
      </c>
      <c r="I140" s="14">
        <f>IFERROR(__xludf.DUMMYFUNCTION("""COMPUTED_VALUE"""),12.288333333333332)</f>
        <v>12.28833333</v>
      </c>
      <c r="J140" s="14">
        <f>IFERROR(__xludf.DUMMYFUNCTION("""COMPUTED_VALUE"""),0.1835000000000857)</f>
        <v>0.1835</v>
      </c>
      <c r="K140" s="14">
        <f>IFERROR(__xludf.DUMMYFUNCTION("""COMPUTED_VALUE"""),-11.370833333333477)</f>
        <v>-11.37083333</v>
      </c>
      <c r="L140" s="15">
        <f>IFERROR(__xludf.DUMMYFUNCTION("""COMPUTED_VALUE"""),-0.0077111307021114055)</f>
        <v>-0.007711130702</v>
      </c>
      <c r="M140" s="17" t="str">
        <f>IFERROR(__xludf.DUMMYFUNCTION("""COMPUTED_VALUE"""),"ZARAR")</f>
        <v>ZARAR</v>
      </c>
      <c r="N140" s="17" t="str">
        <f>IFERROR(__xludf.DUMMYFUNCTION("""COMPUTED_VALUE"""),"")</f>
        <v/>
      </c>
      <c r="O140" s="17">
        <f>IFERROR(__xludf.DUMMYFUNCTION("""COMPUTED_VALUE"""),3.0)</f>
        <v>3</v>
      </c>
      <c r="P140" s="17" t="str">
        <f>IFERROR(__xludf.DUMMYFUNCTION("""COMPUTED_VALUE"""),"")</f>
        <v/>
      </c>
      <c r="Q140" s="17" t="str">
        <f>IFERROR(__xludf.DUMMYFUNCTION("""COMPUTED_VALUE"""),"")</f>
        <v/>
      </c>
      <c r="R140" s="14">
        <f>IFERROR(__xludf.DUMMYFUNCTION("""COMPUTED_VALUE"""),1488.3565109862457)</f>
        <v>1488.356511</v>
      </c>
      <c r="S140" s="14">
        <f>IFERROR(__xludf.DUMMYFUNCTION("""COMPUTED_VALUE"""),-13.756510986245758)</f>
        <v>-13.75651099</v>
      </c>
      <c r="T140" s="17" t="str">
        <f>IFERROR(__xludf.DUMMYFUNCTION("""COMPUTED_VALUE"""),"ZARAR")</f>
        <v>ZARAR</v>
      </c>
      <c r="U140" s="17" t="str">
        <f>IFERROR(__xludf.DUMMYFUNCTION("""COMPUTED_VALUE"""),"Fiyat, maliyet veya kampanya kontrol et")</f>
        <v>Fiyat, maliyet veya kampanya kontrol et</v>
      </c>
    </row>
    <row r="141">
      <c r="A141" s="2" t="str">
        <f>IFERROR(__xludf.DUMMYFUNCTION("""COMPUTED_VALUE"""),"TYB7N6DXGDPRZMR507")</f>
        <v>TYB7N6DXGDPRZMR507</v>
      </c>
      <c r="B141" s="17" t="str">
        <f>IFERROR(__xludf.DUMMYFUNCTION("""COMPUTED_VALUE"""),"FELIX")</f>
        <v>FELIX</v>
      </c>
      <c r="C141" s="28" t="str">
        <f>IFERROR(__xludf.DUMMYFUNCTION("""COMPUTED_VALUE"""),"Tavuklu Yetişkin Yaş Kedi Maması 85 gr X 26 Adet")</f>
        <v>Tavuklu Yetişkin Yaş Kedi Maması 85 gr X 26 Adet</v>
      </c>
      <c r="D141" s="14">
        <f>IFERROR(__xludf.DUMMYFUNCTION("""COMPUTED_VALUE"""),507.27)</f>
        <v>507.27</v>
      </c>
      <c r="E141" s="14">
        <f>IFERROR(__xludf.DUMMYFUNCTION("""COMPUTED_VALUE"""),26.378040000000002)</f>
        <v>26.37804</v>
      </c>
      <c r="F141" s="14">
        <f>IFERROR(__xludf.DUMMYFUNCTION("""COMPUTED_VALUE"""),90.0)</f>
        <v>90</v>
      </c>
      <c r="G141" s="14">
        <f>IFERROR(__xludf.DUMMYFUNCTION("""COMPUTED_VALUE"""),390.0)</f>
        <v>390</v>
      </c>
      <c r="H141" s="14">
        <f>IFERROR(__xludf.DUMMYFUNCTION("""COMPUTED_VALUE"""),13.19)</f>
        <v>13.19</v>
      </c>
      <c r="I141" s="14">
        <f>IFERROR(__xludf.DUMMYFUNCTION("""COMPUTED_VALUE"""),4.227250000000001)</f>
        <v>4.22725</v>
      </c>
      <c r="J141" s="14">
        <f>IFERROR(__xludf.DUMMYFUNCTION("""COMPUTED_VALUE"""),0.0)</f>
        <v>0</v>
      </c>
      <c r="K141" s="14">
        <f>IFERROR(__xludf.DUMMYFUNCTION("""COMPUTED_VALUE"""),-16.525290000000016)</f>
        <v>-16.52529</v>
      </c>
      <c r="L141" s="15">
        <f>IFERROR(__xludf.DUMMYFUNCTION("""COMPUTED_VALUE"""),-0.0325769117038264)</f>
        <v>-0.0325769117</v>
      </c>
      <c r="M141" s="17" t="str">
        <f>IFERROR(__xludf.DUMMYFUNCTION("""COMPUTED_VALUE"""),"ZARAR")</f>
        <v>ZARAR</v>
      </c>
      <c r="N141" s="17" t="str">
        <f>IFERROR(__xludf.DUMMYFUNCTION("""COMPUTED_VALUE"""),"")</f>
        <v/>
      </c>
      <c r="O141" s="17">
        <f>IFERROR(__xludf.DUMMYFUNCTION("""COMPUTED_VALUE"""),3.0)</f>
        <v>3</v>
      </c>
      <c r="P141" s="17" t="str">
        <f>IFERROR(__xludf.DUMMYFUNCTION("""COMPUTED_VALUE"""),"")</f>
        <v/>
      </c>
      <c r="Q141" s="17" t="str">
        <f>IFERROR(__xludf.DUMMYFUNCTION("""COMPUTED_VALUE"""),"")</f>
        <v/>
      </c>
      <c r="R141" s="14">
        <f>IFERROR(__xludf.DUMMYFUNCTION("""COMPUTED_VALUE"""),524.856145847412)</f>
        <v>524.8561458</v>
      </c>
      <c r="S141" s="14">
        <f>IFERROR(__xludf.DUMMYFUNCTION("""COMPUTED_VALUE"""),-17.586145847412013)</f>
        <v>-17.58614585</v>
      </c>
      <c r="T141" s="17" t="str">
        <f>IFERROR(__xludf.DUMMYFUNCTION("""COMPUTED_VALUE"""),"ZARAR")</f>
        <v>ZARAR</v>
      </c>
      <c r="U141" s="17" t="str">
        <f>IFERROR(__xludf.DUMMYFUNCTION("""COMPUTED_VALUE"""),"Fiyat, maliyet veya kampanya kontrol et")</f>
        <v>Fiyat, maliyet veya kampanya kontrol et</v>
      </c>
    </row>
    <row r="142">
      <c r="A142" s="2" t="str">
        <f>IFERROR(__xludf.DUMMYFUNCTION("""COMPUTED_VALUE"""),"SHOPSBURG0109")</f>
        <v>SHOPSBURG0109</v>
      </c>
      <c r="B142" s="17" t="str">
        <f>IFERROR(__xludf.DUMMYFUNCTION("""COMPUTED_VALUE"""),"FELIX")</f>
        <v>FELIX</v>
      </c>
      <c r="C142" s="28" t="str">
        <f>IFERROR(__xludf.DUMMYFUNCTION("""COMPUTED_VALUE"""),"Karışık Yavru Kedi Yaş Maması 12 x 85 gr (6 Adet Tavuklu ve 6 Adet Sığır Etli)")</f>
        <v>Karışık Yavru Kedi Yaş Maması 12 x 85 gr (6 Adet Tavuklu ve 6 Adet Sığır Etli)</v>
      </c>
      <c r="D142" s="14">
        <f>IFERROR(__xludf.DUMMYFUNCTION("""COMPUTED_VALUE"""),310.9)</f>
        <v>310.9</v>
      </c>
      <c r="E142" s="14">
        <f>IFERROR(__xludf.DUMMYFUNCTION("""COMPUTED_VALUE"""),41.9715)</f>
        <v>41.9715</v>
      </c>
      <c r="F142" s="14">
        <f>IFERROR(__xludf.DUMMYFUNCTION("""COMPUTED_VALUE"""),90.0)</f>
        <v>90</v>
      </c>
      <c r="G142" s="14">
        <f>IFERROR(__xludf.DUMMYFUNCTION("""COMPUTED_VALUE"""),180.0)</f>
        <v>180</v>
      </c>
      <c r="H142" s="14">
        <f>IFERROR(__xludf.DUMMYFUNCTION("""COMPUTED_VALUE"""),13.19)</f>
        <v>13.19</v>
      </c>
      <c r="I142" s="14">
        <f>IFERROR(__xludf.DUMMYFUNCTION("""COMPUTED_VALUE"""),2.5908333333333333)</f>
        <v>2.590833333</v>
      </c>
      <c r="J142" s="14">
        <f>IFERROR(__xludf.DUMMYFUNCTION("""COMPUTED_VALUE"""),0.0)</f>
        <v>0</v>
      </c>
      <c r="K142" s="14">
        <f>IFERROR(__xludf.DUMMYFUNCTION("""COMPUTED_VALUE"""),-16.85233333333335)</f>
        <v>-16.85233333</v>
      </c>
      <c r="L142" s="15">
        <f>IFERROR(__xludf.DUMMYFUNCTION("""COMPUTED_VALUE"""),-0.05420499624745368)</f>
        <v>-0.05420499625</v>
      </c>
      <c r="M142" s="17" t="str">
        <f>IFERROR(__xludf.DUMMYFUNCTION("""COMPUTED_VALUE"""),"ZARAR")</f>
        <v>ZARAR</v>
      </c>
      <c r="N142" s="17" t="str">
        <f>IFERROR(__xludf.DUMMYFUNCTION("""COMPUTED_VALUE"""),"")</f>
        <v/>
      </c>
      <c r="O142" s="17">
        <f>IFERROR(__xludf.DUMMYFUNCTION("""COMPUTED_VALUE"""),3.0)</f>
        <v>3</v>
      </c>
      <c r="P142" s="17" t="str">
        <f>IFERROR(__xludf.DUMMYFUNCTION("""COMPUTED_VALUE"""),"")</f>
        <v/>
      </c>
      <c r="Q142" s="17" t="str">
        <f>IFERROR(__xludf.DUMMYFUNCTION("""COMPUTED_VALUE"""),"")</f>
        <v/>
      </c>
      <c r="R142" s="14">
        <f>IFERROR(__xludf.DUMMYFUNCTION("""COMPUTED_VALUE"""),330.5718558086164)</f>
        <v>330.5718558</v>
      </c>
      <c r="S142" s="14">
        <f>IFERROR(__xludf.DUMMYFUNCTION("""COMPUTED_VALUE"""),-19.671855808616442)</f>
        <v>-19.67185581</v>
      </c>
      <c r="T142" s="17" t="str">
        <f>IFERROR(__xludf.DUMMYFUNCTION("""COMPUTED_VALUE"""),"ZARAR")</f>
        <v>ZARAR</v>
      </c>
      <c r="U142" s="17" t="str">
        <f>IFERROR(__xludf.DUMMYFUNCTION("""COMPUTED_VALUE"""),"Fiyat, maliyet veya kampanya kontrol et")</f>
        <v>Fiyat, maliyet veya kampanya kontrol et</v>
      </c>
    </row>
    <row r="143">
      <c r="A143" s="2">
        <f>IFERROR(__xludf.DUMMYFUNCTION("""COMPUTED_VALUE"""),5.2742060903E10)</f>
        <v>52742060903</v>
      </c>
      <c r="B143" s="17" t="str">
        <f>IFERROR(__xludf.DUMMYFUNCTION("""COMPUTED_VALUE"""),"Hill's")</f>
        <v>Hill's</v>
      </c>
      <c r="C143" s="28" t="str">
        <f>IFERROR(__xludf.DUMMYFUNCTION("""COMPUTED_VALUE"""),"Hipoalerjenik Küçük Irk Somonlu Yetişkin Köpek Maması 1,5Kg")</f>
        <v>Hipoalerjenik Küçük Irk Somonlu Yetişkin Köpek Maması 1,5Kg</v>
      </c>
      <c r="D143" s="14">
        <f>IFERROR(__xludf.DUMMYFUNCTION("""COMPUTED_VALUE"""),1177.36)</f>
        <v>1177.36</v>
      </c>
      <c r="E143" s="14">
        <f>IFERROR(__xludf.DUMMYFUNCTION("""COMPUTED_VALUE"""),147.17)</f>
        <v>147.17</v>
      </c>
      <c r="F143" s="14">
        <f>IFERROR(__xludf.DUMMYFUNCTION("""COMPUTED_VALUE"""),86.4)</f>
        <v>86.4</v>
      </c>
      <c r="G143" s="14">
        <f>IFERROR(__xludf.DUMMYFUNCTION("""COMPUTED_VALUE"""),938.0)</f>
        <v>938</v>
      </c>
      <c r="H143" s="14">
        <f>IFERROR(__xludf.DUMMYFUNCTION("""COMPUTED_VALUE"""),13.19)</f>
        <v>13.19</v>
      </c>
      <c r="I143" s="14">
        <f>IFERROR(__xludf.DUMMYFUNCTION("""COMPUTED_VALUE"""),9.811333333333334)</f>
        <v>9.811333333</v>
      </c>
      <c r="J143" s="14">
        <f>IFERROR(__xludf.DUMMYFUNCTION("""COMPUTED_VALUE"""),0.0)</f>
        <v>0</v>
      </c>
      <c r="K143" s="14">
        <f>IFERROR(__xludf.DUMMYFUNCTION("""COMPUTED_VALUE"""),-17.211333333333485)</f>
        <v>-17.21133333</v>
      </c>
      <c r="L143" s="15">
        <f>IFERROR(__xludf.DUMMYFUNCTION("""COMPUTED_VALUE"""),-0.014618581685579165)</f>
        <v>-0.01461858169</v>
      </c>
      <c r="M143" s="17" t="str">
        <f>IFERROR(__xludf.DUMMYFUNCTION("""COMPUTED_VALUE"""),"ZARAR")</f>
        <v>ZARAR</v>
      </c>
      <c r="N143" s="17" t="str">
        <f>IFERROR(__xludf.DUMMYFUNCTION("""COMPUTED_VALUE"""),"")</f>
        <v/>
      </c>
      <c r="O143" s="17">
        <f>IFERROR(__xludf.DUMMYFUNCTION("""COMPUTED_VALUE"""),2.0)</f>
        <v>2</v>
      </c>
      <c r="P143" s="17" t="str">
        <f>IFERROR(__xludf.DUMMYFUNCTION("""COMPUTED_VALUE"""),"")</f>
        <v/>
      </c>
      <c r="Q143" s="17" t="str">
        <f>IFERROR(__xludf.DUMMYFUNCTION("""COMPUTED_VALUE"""),"")</f>
        <v/>
      </c>
      <c r="R143" s="14">
        <f>IFERROR(__xludf.DUMMYFUNCTION("""COMPUTED_VALUE"""),1197.2187703004731)</f>
        <v>1197.21877</v>
      </c>
      <c r="S143" s="14">
        <f>IFERROR(__xludf.DUMMYFUNCTION("""COMPUTED_VALUE"""),-19.858770300473225)</f>
        <v>-19.8587703</v>
      </c>
      <c r="T143" s="17" t="str">
        <f>IFERROR(__xludf.DUMMYFUNCTION("""COMPUTED_VALUE"""),"ZARAR")</f>
        <v>ZARAR</v>
      </c>
      <c r="U143" s="17" t="str">
        <f>IFERROR(__xludf.DUMMYFUNCTION("""COMPUTED_VALUE"""),"Fiyat, maliyet veya kampanya kontrol et")</f>
        <v>Fiyat, maliyet veya kampanya kontrol et</v>
      </c>
    </row>
    <row r="144">
      <c r="A144" s="2" t="str">
        <f>IFERROR(__xludf.DUMMYFUNCTION("""COMPUTED_VALUE"""),"63773829299393728")</f>
        <v>63773829299393728</v>
      </c>
      <c r="B144" s="17" t="str">
        <f>IFERROR(__xludf.DUMMYFUNCTION("""COMPUTED_VALUE"""),"FELIX")</f>
        <v>FELIX</v>
      </c>
      <c r="C144" s="28" t="str">
        <f>IFERROR(__xludf.DUMMYFUNCTION("""COMPUTED_VALUE"""),"Karışık Yaş Kedi Maması Serisi 12 Adet Yeni Çeşitleri Ile")</f>
        <v>Karışık Yaş Kedi Maması Serisi 12 Adet Yeni Çeşitleri Ile</v>
      </c>
      <c r="D144" s="14">
        <f>IFERROR(__xludf.DUMMYFUNCTION("""COMPUTED_VALUE"""),319.0)</f>
        <v>319</v>
      </c>
      <c r="E144" s="14">
        <f>IFERROR(__xludf.DUMMYFUNCTION("""COMPUTED_VALUE"""),52.635)</f>
        <v>52.635</v>
      </c>
      <c r="F144" s="14">
        <f>IFERROR(__xludf.DUMMYFUNCTION("""COMPUTED_VALUE"""),90.0)</f>
        <v>90</v>
      </c>
      <c r="G144" s="14">
        <f>IFERROR(__xludf.DUMMYFUNCTION("""COMPUTED_VALUE"""),180.0)</f>
        <v>180</v>
      </c>
      <c r="H144" s="14">
        <f>IFERROR(__xludf.DUMMYFUNCTION("""COMPUTED_VALUE"""),13.19)</f>
        <v>13.19</v>
      </c>
      <c r="I144" s="14">
        <f>IFERROR(__xludf.DUMMYFUNCTION("""COMPUTED_VALUE"""),2.6583333333333337)</f>
        <v>2.658333333</v>
      </c>
      <c r="J144" s="14">
        <f>IFERROR(__xludf.DUMMYFUNCTION("""COMPUTED_VALUE"""),0.0)</f>
        <v>0</v>
      </c>
      <c r="K144" s="14">
        <f>IFERROR(__xludf.DUMMYFUNCTION("""COMPUTED_VALUE"""),-19.483333333333324)</f>
        <v>-19.48333333</v>
      </c>
      <c r="L144" s="15">
        <f>IFERROR(__xludf.DUMMYFUNCTION("""COMPUTED_VALUE"""),-0.06107628004179725)</f>
        <v>-0.06107628004</v>
      </c>
      <c r="M144" s="17" t="str">
        <f>IFERROR(__xludf.DUMMYFUNCTION("""COMPUTED_VALUE"""),"ZARAR")</f>
        <v>ZARAR</v>
      </c>
      <c r="N144" s="17" t="str">
        <f>IFERROR(__xludf.DUMMYFUNCTION("""COMPUTED_VALUE"""),"")</f>
        <v/>
      </c>
      <c r="O144" s="17">
        <f>IFERROR(__xludf.DUMMYFUNCTION("""COMPUTED_VALUE"""),3.0)</f>
        <v>3</v>
      </c>
      <c r="P144" s="17" t="str">
        <f>IFERROR(__xludf.DUMMYFUNCTION("""COMPUTED_VALUE"""),"")</f>
        <v/>
      </c>
      <c r="Q144" s="17" t="str">
        <f>IFERROR(__xludf.DUMMYFUNCTION("""COMPUTED_VALUE"""),"")</f>
        <v/>
      </c>
      <c r="R144" s="14">
        <f>IFERROR(__xludf.DUMMYFUNCTION("""COMPUTED_VALUE"""),342.5684102546733)</f>
        <v>342.5684103</v>
      </c>
      <c r="S144" s="14">
        <f>IFERROR(__xludf.DUMMYFUNCTION("""COMPUTED_VALUE"""),-23.568410254673324)</f>
        <v>-23.56841025</v>
      </c>
      <c r="T144" s="17" t="str">
        <f>IFERROR(__xludf.DUMMYFUNCTION("""COMPUTED_VALUE"""),"ZARAR")</f>
        <v>ZARAR</v>
      </c>
      <c r="U144" s="17" t="str">
        <f>IFERROR(__xludf.DUMMYFUNCTION("""COMPUTED_VALUE"""),"Fiyat, maliyet veya kampanya kontrol et")</f>
        <v>Fiyat, maliyet veya kampanya kontrol et</v>
      </c>
    </row>
    <row r="145">
      <c r="A145" s="2" t="str">
        <f>IFERROR(__xludf.DUMMYFUNCTION("""COMPUTED_VALUE"""),"TYBMY57X4LSPXU2735")</f>
        <v>TYBMY57X4LSPXU2735</v>
      </c>
      <c r="B145" s="17" t="str">
        <f>IFERROR(__xludf.DUMMYFUNCTION("""COMPUTED_VALUE"""),"Wanpy")</f>
        <v>Wanpy</v>
      </c>
      <c r="C145" s="28" t="str">
        <f>IFERROR(__xludf.DUMMYFUNCTION("""COMPUTED_VALUE"""),"Krema Kedi Ödül Maması 14gr (45 Adet) (Karışık Çeşitli)")</f>
        <v>Krema Kedi Ödül Maması 14gr (45 Adet) (Karışık Çeşitli)</v>
      </c>
      <c r="D145" s="14">
        <f>IFERROR(__xludf.DUMMYFUNCTION("""COMPUTED_VALUE"""),486.9)</f>
        <v>486.9</v>
      </c>
      <c r="E145" s="14">
        <f>IFERROR(__xludf.DUMMYFUNCTION("""COMPUTED_VALUE"""),52.09829999999999)</f>
        <v>52.0983</v>
      </c>
      <c r="F145" s="14">
        <f>IFERROR(__xludf.DUMMYFUNCTION("""COMPUTED_VALUE"""),86.4)</f>
        <v>86.4</v>
      </c>
      <c r="G145" s="14">
        <f>IFERROR(__xludf.DUMMYFUNCTION("""COMPUTED_VALUE"""),353.7)</f>
        <v>353.7</v>
      </c>
      <c r="H145" s="14">
        <f>IFERROR(__xludf.DUMMYFUNCTION("""COMPUTED_VALUE"""),13.19)</f>
        <v>13.19</v>
      </c>
      <c r="I145" s="14">
        <f>IFERROR(__xludf.DUMMYFUNCTION("""COMPUTED_VALUE"""),4.0575)</f>
        <v>4.0575</v>
      </c>
      <c r="J145" s="14">
        <f>IFERROR(__xludf.DUMMYFUNCTION("""COMPUTED_VALUE"""),0.0)</f>
        <v>0</v>
      </c>
      <c r="K145" s="14">
        <f>IFERROR(__xludf.DUMMYFUNCTION("""COMPUTED_VALUE"""),-22.545799999999982)</f>
        <v>-22.5458</v>
      </c>
      <c r="L145" s="15">
        <f>IFERROR(__xludf.DUMMYFUNCTION("""COMPUTED_VALUE"""),-0.04630478537687407)</f>
        <v>-0.04630478538</v>
      </c>
      <c r="M145" s="17" t="str">
        <f>IFERROR(__xludf.DUMMYFUNCTION("""COMPUTED_VALUE"""),"ZARAR")</f>
        <v>ZARAR</v>
      </c>
      <c r="N145" s="17" t="str">
        <f>IFERROR(__xludf.DUMMYFUNCTION("""COMPUTED_VALUE"""),"")</f>
        <v/>
      </c>
      <c r="O145" s="17">
        <f>IFERROR(__xludf.DUMMYFUNCTION("""COMPUTED_VALUE"""),0.5)</f>
        <v>0.5</v>
      </c>
      <c r="P145" s="17" t="str">
        <f>IFERROR(__xludf.DUMMYFUNCTION("""COMPUTED_VALUE"""),"")</f>
        <v/>
      </c>
      <c r="Q145" s="17" t="str">
        <f>IFERROR(__xludf.DUMMYFUNCTION("""COMPUTED_VALUE"""),"")</f>
        <v/>
      </c>
      <c r="R145" s="14">
        <f>IFERROR(__xludf.DUMMYFUNCTION("""COMPUTED_VALUE"""),512.384886064474)</f>
        <v>512.3848861</v>
      </c>
      <c r="S145" s="14">
        <f>IFERROR(__xludf.DUMMYFUNCTION("""COMPUTED_VALUE"""),-25.48488606447404)</f>
        <v>-25.48488606</v>
      </c>
      <c r="T145" s="17" t="str">
        <f>IFERROR(__xludf.DUMMYFUNCTION("""COMPUTED_VALUE"""),"ZARAR")</f>
        <v>ZARAR</v>
      </c>
      <c r="U145" s="17" t="str">
        <f>IFERROR(__xludf.DUMMYFUNCTION("""COMPUTED_VALUE"""),"Fiyat, maliyet veya kampanya kontrol et")</f>
        <v>Fiyat, maliyet veya kampanya kontrol et</v>
      </c>
    </row>
    <row r="146">
      <c r="A146" s="2">
        <f>IFERROR(__xludf.DUMMYFUNCTION("""COMPUTED_VALUE"""),5.2742022949E10)</f>
        <v>52742022949</v>
      </c>
      <c r="B146" s="17" t="str">
        <f>IFERROR(__xludf.DUMMYFUNCTION("""COMPUTED_VALUE"""),"Hill's")</f>
        <v>Hill's</v>
      </c>
      <c r="C146" s="28" t="str">
        <f>IFERROR(__xludf.DUMMYFUNCTION("""COMPUTED_VALUE"""),"Hill’s SCIENCE PLAN Adult Lamb Kuzulu Yetişkin Kedi Maması 1,5 Kg")</f>
        <v>Hill’s SCIENCE PLAN Adult Lamb Kuzulu Yetişkin Kedi Maması 1,5 Kg</v>
      </c>
      <c r="D146" s="14">
        <f>IFERROR(__xludf.DUMMYFUNCTION("""COMPUTED_VALUE"""),1008.64)</f>
        <v>1008.64</v>
      </c>
      <c r="E146" s="14">
        <f>IFERROR(__xludf.DUMMYFUNCTION("""COMPUTED_VALUE"""),126.08)</f>
        <v>126.08</v>
      </c>
      <c r="F146" s="14">
        <f>IFERROR(__xludf.DUMMYFUNCTION("""COMPUTED_VALUE"""),90.0)</f>
        <v>90</v>
      </c>
      <c r="G146" s="14">
        <f>IFERROR(__xludf.DUMMYFUNCTION("""COMPUTED_VALUE"""),796.0)</f>
        <v>796</v>
      </c>
      <c r="H146" s="14">
        <f>IFERROR(__xludf.DUMMYFUNCTION("""COMPUTED_VALUE"""),13.19)</f>
        <v>13.19</v>
      </c>
      <c r="I146" s="14">
        <f>IFERROR(__xludf.DUMMYFUNCTION("""COMPUTED_VALUE"""),8.405333333333333)</f>
        <v>8.405333333</v>
      </c>
      <c r="J146" s="14">
        <f>IFERROR(__xludf.DUMMYFUNCTION("""COMPUTED_VALUE"""),0.0)</f>
        <v>0</v>
      </c>
      <c r="K146" s="14">
        <f>IFERROR(__xludf.DUMMYFUNCTION("""COMPUTED_VALUE"""),-25.035333333333384)</f>
        <v>-25.03533333</v>
      </c>
      <c r="L146" s="15">
        <f>IFERROR(__xludf.DUMMYFUNCTION("""COMPUTED_VALUE"""),-0.02482088092216587)</f>
        <v>-0.02482088092</v>
      </c>
      <c r="M146" s="17" t="str">
        <f>IFERROR(__xludf.DUMMYFUNCTION("""COMPUTED_VALUE"""),"ZARAR")</f>
        <v>ZARAR</v>
      </c>
      <c r="N146" s="17" t="str">
        <f>IFERROR(__xludf.DUMMYFUNCTION("""COMPUTED_VALUE"""),"")</f>
        <v/>
      </c>
      <c r="O146" s="17">
        <f>IFERROR(__xludf.DUMMYFUNCTION("""COMPUTED_VALUE"""),3.0)</f>
        <v>3</v>
      </c>
      <c r="P146" s="17" t="str">
        <f>IFERROR(__xludf.DUMMYFUNCTION("""COMPUTED_VALUE"""),"")</f>
        <v/>
      </c>
      <c r="Q146" s="17" t="str">
        <f>IFERROR(__xludf.DUMMYFUNCTION("""COMPUTED_VALUE"""),"")</f>
        <v/>
      </c>
      <c r="R146" s="14">
        <f>IFERROR(__xludf.DUMMYFUNCTION("""COMPUTED_VALUE"""),1037.5265240282602)</f>
        <v>1037.526524</v>
      </c>
      <c r="S146" s="14">
        <f>IFERROR(__xludf.DUMMYFUNCTION("""COMPUTED_VALUE"""),-28.88652402826017)</f>
        <v>-28.88652403</v>
      </c>
      <c r="T146" s="17" t="str">
        <f>IFERROR(__xludf.DUMMYFUNCTION("""COMPUTED_VALUE"""),"ZARAR")</f>
        <v>ZARAR</v>
      </c>
      <c r="U146" s="17" t="str">
        <f>IFERROR(__xludf.DUMMYFUNCTION("""COMPUTED_VALUE"""),"Fiyat, maliyet veya kampanya kontrol et")</f>
        <v>Fiyat, maliyet veya kampanya kontrol et</v>
      </c>
    </row>
    <row r="147">
      <c r="A147" s="2" t="str">
        <f>IFERROR(__xludf.DUMMYFUNCTION("""COMPUTED_VALUE"""),"TYBN0I2N7ZYCJ6AA73")</f>
        <v>TYBN0I2N7ZYCJ6AA73</v>
      </c>
      <c r="B147" s="17" t="str">
        <f>IFERROR(__xludf.DUMMYFUNCTION("""COMPUTED_VALUE"""),"FELIX")</f>
        <v>FELIX</v>
      </c>
      <c r="C147" s="28" t="str">
        <f>IFERROR(__xludf.DUMMYFUNCTION("""COMPUTED_VALUE"""),"Karışık Yaş Kedi Maması 52 x 85 G")</f>
        <v>Karışık Yaş Kedi Maması 52 x 85 G</v>
      </c>
      <c r="D147" s="14">
        <f>IFERROR(__xludf.DUMMYFUNCTION("""COMPUTED_VALUE"""),929.36)</f>
        <v>929.36</v>
      </c>
      <c r="E147" s="14">
        <f>IFERROR(__xludf.DUMMYFUNCTION("""COMPUTED_VALUE"""),52.044160000000005)</f>
        <v>52.04416</v>
      </c>
      <c r="F147" s="14">
        <f>IFERROR(__xludf.DUMMYFUNCTION("""COMPUTED_VALUE"""),102.0)</f>
        <v>102</v>
      </c>
      <c r="G147" s="14">
        <f>IFERROR(__xludf.DUMMYFUNCTION("""COMPUTED_VALUE"""),780.0)</f>
        <v>780</v>
      </c>
      <c r="H147" s="14">
        <f>IFERROR(__xludf.DUMMYFUNCTION("""COMPUTED_VALUE"""),13.19)</f>
        <v>13.19</v>
      </c>
      <c r="I147" s="14">
        <f>IFERROR(__xludf.DUMMYFUNCTION("""COMPUTED_VALUE"""),7.744666666666667)</f>
        <v>7.744666667</v>
      </c>
      <c r="J147" s="14">
        <f>IFERROR(__xludf.DUMMYFUNCTION("""COMPUTED_VALUE"""),0.0)</f>
        <v>0</v>
      </c>
      <c r="K147" s="14">
        <f>IFERROR(__xludf.DUMMYFUNCTION("""COMPUTED_VALUE"""),-25.618826666666685)</f>
        <v>-25.61882667</v>
      </c>
      <c r="L147" s="15">
        <f>IFERROR(__xludf.DUMMYFUNCTION("""COMPUTED_VALUE"""),-0.02756609566439989)</f>
        <v>-0.02756609566</v>
      </c>
      <c r="M147" s="17" t="str">
        <f>IFERROR(__xludf.DUMMYFUNCTION("""COMPUTED_VALUE"""),"ZARAR")</f>
        <v>ZARAR</v>
      </c>
      <c r="N147" s="17" t="str">
        <f>IFERROR(__xludf.DUMMYFUNCTION("""COMPUTED_VALUE"""),"")</f>
        <v/>
      </c>
      <c r="O147" s="17">
        <f>IFERROR(__xludf.DUMMYFUNCTION("""COMPUTED_VALUE"""),4.0)</f>
        <v>4</v>
      </c>
      <c r="P147" s="17" t="str">
        <f>IFERROR(__xludf.DUMMYFUNCTION("""COMPUTED_VALUE"""),"")</f>
        <v/>
      </c>
      <c r="Q147" s="17" t="str">
        <f>IFERROR(__xludf.DUMMYFUNCTION("""COMPUTED_VALUE"""),"")</f>
        <v/>
      </c>
      <c r="R147" s="14">
        <f>IFERROR(__xludf.DUMMYFUNCTION("""COMPUTED_VALUE"""),956.7399512860881)</f>
        <v>956.7399513</v>
      </c>
      <c r="S147" s="14">
        <f>IFERROR(__xludf.DUMMYFUNCTION("""COMPUTED_VALUE"""),-27.379951286088044)</f>
        <v>-27.37995129</v>
      </c>
      <c r="T147" s="17" t="str">
        <f>IFERROR(__xludf.DUMMYFUNCTION("""COMPUTED_VALUE"""),"ZARAR")</f>
        <v>ZARAR</v>
      </c>
      <c r="U147" s="17" t="str">
        <f>IFERROR(__xludf.DUMMYFUNCTION("""COMPUTED_VALUE"""),"Fiyat, maliyet veya kampanya kontrol et")</f>
        <v>Fiyat, maliyet veya kampanya kontrol et</v>
      </c>
    </row>
    <row r="148">
      <c r="A148" s="2">
        <f>IFERROR(__xludf.DUMMYFUNCTION("""COMPUTED_VALUE"""),3.182550908443E12)</f>
        <v>3182550908443</v>
      </c>
      <c r="B148" s="17" t="str">
        <f>IFERROR(__xludf.DUMMYFUNCTION("""COMPUTED_VALUE"""),"Royal Canin")</f>
        <v>Royal Canin</v>
      </c>
      <c r="C148" s="28" t="str">
        <f>IFERROR(__xludf.DUMMYFUNCTION("""COMPUTED_VALUE"""),"Pomeranian Yetişkin Köpek Maması 1,5 kg Idili")</f>
        <v>Pomeranian Yetişkin Köpek Maması 1,5 kg Idili</v>
      </c>
      <c r="D148" s="14">
        <f>IFERROR(__xludf.DUMMYFUNCTION("""COMPUTED_VALUE"""),769.99)</f>
        <v>769.99</v>
      </c>
      <c r="E148" s="14">
        <f>IFERROR(__xludf.DUMMYFUNCTION("""COMPUTED_VALUE"""),96.24875)</f>
        <v>96.24875</v>
      </c>
      <c r="F148" s="14">
        <f>IFERROR(__xludf.DUMMYFUNCTION("""COMPUTED_VALUE"""),86.4)</f>
        <v>86.4</v>
      </c>
      <c r="G148" s="14">
        <f>IFERROR(__xludf.DUMMYFUNCTION("""COMPUTED_VALUE"""),594.0)</f>
        <v>594</v>
      </c>
      <c r="H148" s="14">
        <f>IFERROR(__xludf.DUMMYFUNCTION("""COMPUTED_VALUE"""),13.19)</f>
        <v>13.19</v>
      </c>
      <c r="I148" s="14">
        <f>IFERROR(__xludf.DUMMYFUNCTION("""COMPUTED_VALUE"""),6.416583333333334)</f>
        <v>6.416583333</v>
      </c>
      <c r="J148" s="14">
        <f>IFERROR(__xludf.DUMMYFUNCTION("""COMPUTED_VALUE"""),0.0)</f>
        <v>0</v>
      </c>
      <c r="K148" s="14">
        <f>IFERROR(__xludf.DUMMYFUNCTION("""COMPUTED_VALUE"""),-26.265333333333274)</f>
        <v>-26.26533333</v>
      </c>
      <c r="L148" s="15">
        <f>IFERROR(__xludf.DUMMYFUNCTION("""COMPUTED_VALUE"""),-0.03411126551427067)</f>
        <v>-0.03411126551</v>
      </c>
      <c r="M148" s="17" t="str">
        <f>IFERROR(__xludf.DUMMYFUNCTION("""COMPUTED_VALUE"""),"ZARAR")</f>
        <v>ZARAR</v>
      </c>
      <c r="N148" s="17" t="str">
        <f>IFERROR(__xludf.DUMMYFUNCTION("""COMPUTED_VALUE"""),"")</f>
        <v/>
      </c>
      <c r="O148" s="17">
        <f>IFERROR(__xludf.DUMMYFUNCTION("""COMPUTED_VALUE"""),2.0)</f>
        <v>2</v>
      </c>
      <c r="P148" s="17" t="str">
        <f>IFERROR(__xludf.DUMMYFUNCTION("""COMPUTED_VALUE"""),"")</f>
        <v/>
      </c>
      <c r="Q148" s="17" t="str">
        <f>IFERROR(__xludf.DUMMYFUNCTION("""COMPUTED_VALUE"""),"")</f>
        <v/>
      </c>
      <c r="R148" s="14">
        <f>IFERROR(__xludf.DUMMYFUNCTION("""COMPUTED_VALUE"""),800.2958460400592)</f>
        <v>800.295846</v>
      </c>
      <c r="S148" s="14">
        <f>IFERROR(__xludf.DUMMYFUNCTION("""COMPUTED_VALUE"""),-30.305846040059237)</f>
        <v>-30.30584604</v>
      </c>
      <c r="T148" s="17" t="str">
        <f>IFERROR(__xludf.DUMMYFUNCTION("""COMPUTED_VALUE"""),"ZARAR")</f>
        <v>ZARAR</v>
      </c>
      <c r="U148" s="17" t="str">
        <f>IFERROR(__xludf.DUMMYFUNCTION("""COMPUTED_VALUE"""),"Fiyat, maliyet veya kampanya kontrol et")</f>
        <v>Fiyat, maliyet veya kampanya kontrol et</v>
      </c>
    </row>
    <row r="149">
      <c r="A149" s="2">
        <f>IFERROR(__xludf.DUMMYFUNCTION("""COMPUTED_VALUE"""),5.2742059655E10)</f>
        <v>52742059655</v>
      </c>
      <c r="B149" s="17" t="str">
        <f>IFERROR(__xludf.DUMMYFUNCTION("""COMPUTED_VALUE"""),"Hill's")</f>
        <v>Hill's</v>
      </c>
      <c r="C149" s="28" t="str">
        <f>IFERROR(__xludf.DUMMYFUNCTION("""COMPUTED_VALUE"""),"Kitten Ton Balıklı Yavru Kedi Maması 1.5 Kg")</f>
        <v>Kitten Ton Balıklı Yavru Kedi Maması 1.5 Kg</v>
      </c>
      <c r="D149" s="14">
        <f>IFERROR(__xludf.DUMMYFUNCTION("""COMPUTED_VALUE"""),846.55)</f>
        <v>846.55</v>
      </c>
      <c r="E149" s="14">
        <f>IFERROR(__xludf.DUMMYFUNCTION("""COMPUTED_VALUE"""),105.81875)</f>
        <v>105.81875</v>
      </c>
      <c r="F149" s="14">
        <f>IFERROR(__xludf.DUMMYFUNCTION("""COMPUTED_VALUE"""),90.0)</f>
        <v>90</v>
      </c>
      <c r="G149" s="14">
        <f>IFERROR(__xludf.DUMMYFUNCTION("""COMPUTED_VALUE"""),661.0)</f>
        <v>661</v>
      </c>
      <c r="H149" s="14">
        <f>IFERROR(__xludf.DUMMYFUNCTION("""COMPUTED_VALUE"""),13.19)</f>
        <v>13.19</v>
      </c>
      <c r="I149" s="14">
        <f>IFERROR(__xludf.DUMMYFUNCTION("""COMPUTED_VALUE"""),7.054583333333333)</f>
        <v>7.054583333</v>
      </c>
      <c r="J149" s="14">
        <f>IFERROR(__xludf.DUMMYFUNCTION("""COMPUTED_VALUE"""),0.0)</f>
        <v>0</v>
      </c>
      <c r="K149" s="14">
        <f>IFERROR(__xludf.DUMMYFUNCTION("""COMPUTED_VALUE"""),-30.5133333333334)</f>
        <v>-30.51333333</v>
      </c>
      <c r="L149" s="15">
        <f>IFERROR(__xludf.DUMMYFUNCTION("""COMPUTED_VALUE"""),-0.03604433681806556)</f>
        <v>-0.03604433682</v>
      </c>
      <c r="M149" s="17" t="str">
        <f>IFERROR(__xludf.DUMMYFUNCTION("""COMPUTED_VALUE"""),"ZARAR")</f>
        <v>ZARAR</v>
      </c>
      <c r="N149" s="17" t="str">
        <f>IFERROR(__xludf.DUMMYFUNCTION("""COMPUTED_VALUE"""),"")</f>
        <v/>
      </c>
      <c r="O149" s="17">
        <f>IFERROR(__xludf.DUMMYFUNCTION("""COMPUTED_VALUE"""),3.0)</f>
        <v>3</v>
      </c>
      <c r="P149" s="17" t="str">
        <f>IFERROR(__xludf.DUMMYFUNCTION("""COMPUTED_VALUE"""),"")</f>
        <v/>
      </c>
      <c r="Q149" s="17" t="str">
        <f>IFERROR(__xludf.DUMMYFUNCTION("""COMPUTED_VALUE"""),"")</f>
        <v/>
      </c>
      <c r="R149" s="14">
        <f>IFERROR(__xludf.DUMMYFUNCTION("""COMPUTED_VALUE"""),881.7573531702488)</f>
        <v>881.7573532</v>
      </c>
      <c r="S149" s="14">
        <f>IFERROR(__xludf.DUMMYFUNCTION("""COMPUTED_VALUE"""),-35.20735317024889)</f>
        <v>-35.20735317</v>
      </c>
      <c r="T149" s="17" t="str">
        <f>IFERROR(__xludf.DUMMYFUNCTION("""COMPUTED_VALUE"""),"ZARAR")</f>
        <v>ZARAR</v>
      </c>
      <c r="U149" s="17" t="str">
        <f>IFERROR(__xludf.DUMMYFUNCTION("""COMPUTED_VALUE"""),"Fiyat, maliyet veya kampanya kontrol et")</f>
        <v>Fiyat, maliyet veya kampanya kontrol et</v>
      </c>
    </row>
    <row r="150">
      <c r="A150" s="2">
        <f>IFERROR(__xludf.DUMMYFUNCTION("""COMPUTED_VALUE"""),7.613031580992E12)</f>
        <v>7613031580992</v>
      </c>
      <c r="B150" s="17" t="str">
        <f>IFERROR(__xludf.DUMMYFUNCTION("""COMPUTED_VALUE"""),"Gourmet")</f>
        <v>Gourmet</v>
      </c>
      <c r="C150" s="28" t="str">
        <f>IFERROR(__xludf.DUMMYFUNCTION("""COMPUTED_VALUE"""),"Gold Kıyılmış Hindi Etli Konserve Yetişkin Kedi Maması 12 X 85 G")</f>
        <v>Gold Kıyılmış Hindi Etli Konserve Yetişkin Kedi Maması 12 X 85 G</v>
      </c>
      <c r="D150" s="14">
        <f>IFERROR(__xludf.DUMMYFUNCTION("""COMPUTED_VALUE"""),419.0)</f>
        <v>419</v>
      </c>
      <c r="E150" s="14">
        <f>IFERROR(__xludf.DUMMYFUNCTION("""COMPUTED_VALUE"""),56.565)</f>
        <v>56.565</v>
      </c>
      <c r="F150" s="14">
        <f>IFERROR(__xludf.DUMMYFUNCTION("""COMPUTED_VALUE"""),86.4)</f>
        <v>86.4</v>
      </c>
      <c r="G150" s="14">
        <f>IFERROR(__xludf.DUMMYFUNCTION("""COMPUTED_VALUE"""),290.0)</f>
        <v>290</v>
      </c>
      <c r="H150" s="14">
        <f>IFERROR(__xludf.DUMMYFUNCTION("""COMPUTED_VALUE"""),13.19)</f>
        <v>13.19</v>
      </c>
      <c r="I150" s="14">
        <f>IFERROR(__xludf.DUMMYFUNCTION("""COMPUTED_VALUE"""),3.491666666666667)</f>
        <v>3.491666667</v>
      </c>
      <c r="J150" s="14">
        <f>IFERROR(__xludf.DUMMYFUNCTION("""COMPUTED_VALUE"""),0.0)</f>
        <v>0</v>
      </c>
      <c r="K150" s="14">
        <f>IFERROR(__xludf.DUMMYFUNCTION("""COMPUTED_VALUE"""),-30.646666666666697)</f>
        <v>-30.64666667</v>
      </c>
      <c r="L150" s="15">
        <f>IFERROR(__xludf.DUMMYFUNCTION("""COMPUTED_VALUE"""),-0.0731424025457439)</f>
        <v>-0.07314240255</v>
      </c>
      <c r="M150" s="17" t="str">
        <f>IFERROR(__xludf.DUMMYFUNCTION("""COMPUTED_VALUE"""),"ZARAR")</f>
        <v>ZARAR</v>
      </c>
      <c r="N150" s="17" t="str">
        <f>IFERROR(__xludf.DUMMYFUNCTION("""COMPUTED_VALUE"""),"")</f>
        <v/>
      </c>
      <c r="O150" s="17">
        <f>IFERROR(__xludf.DUMMYFUNCTION("""COMPUTED_VALUE"""),1.0)</f>
        <v>1</v>
      </c>
      <c r="P150" s="17" t="str">
        <f>IFERROR(__xludf.DUMMYFUNCTION("""COMPUTED_VALUE"""),"")</f>
        <v/>
      </c>
      <c r="Q150" s="17" t="str">
        <f>IFERROR(__xludf.DUMMYFUNCTION("""COMPUTED_VALUE"""),"")</f>
        <v/>
      </c>
      <c r="R150" s="14">
        <f>IFERROR(__xludf.DUMMYFUNCTION("""COMPUTED_VALUE"""),454.77414211122874)</f>
        <v>454.7741421</v>
      </c>
      <c r="S150" s="14">
        <f>IFERROR(__xludf.DUMMYFUNCTION("""COMPUTED_VALUE"""),-35.77414211122874)</f>
        <v>-35.77414211</v>
      </c>
      <c r="T150" s="17" t="str">
        <f>IFERROR(__xludf.DUMMYFUNCTION("""COMPUTED_VALUE"""),"ZARAR")</f>
        <v>ZARAR</v>
      </c>
      <c r="U150" s="17" t="str">
        <f>IFERROR(__xludf.DUMMYFUNCTION("""COMPUTED_VALUE"""),"Fiyat, maliyet veya kampanya kontrol et")</f>
        <v>Fiyat, maliyet veya kampanya kontrol et</v>
      </c>
    </row>
    <row r="151">
      <c r="A151" s="2">
        <f>IFERROR(__xludf.DUMMYFUNCTION("""COMPUTED_VALUE"""),5.5822100929714E13)</f>
        <v>55822100929714</v>
      </c>
      <c r="B151" s="17" t="str">
        <f>IFERROR(__xludf.DUMMYFUNCTION("""COMPUTED_VALUE"""),"Miamor")</f>
        <v>Miamor</v>
      </c>
      <c r="C151" s="28" t="str">
        <f>IFERROR(__xludf.DUMMYFUNCTION("""COMPUTED_VALUE"""),"Cream 4 Çeşit Kedi Kreaması 6 x 15 Gr. 4 Lü Paket")</f>
        <v>Cream 4 Çeşit Kedi Kreaması 6 x 15 Gr. 4 Lü Paket</v>
      </c>
      <c r="D151" s="14">
        <f>IFERROR(__xludf.DUMMYFUNCTION("""COMPUTED_VALUE"""),965.0)</f>
        <v>965</v>
      </c>
      <c r="E151" s="14">
        <f>IFERROR(__xludf.DUMMYFUNCTION("""COMPUTED_VALUE"""),193.0)</f>
        <v>193</v>
      </c>
      <c r="F151" s="14">
        <f>IFERROR(__xludf.DUMMYFUNCTION("""COMPUTED_VALUE"""),86.4)</f>
        <v>86.4</v>
      </c>
      <c r="G151" s="14">
        <f>IFERROR(__xludf.DUMMYFUNCTION("""COMPUTED_VALUE"""),696.0)</f>
        <v>696</v>
      </c>
      <c r="H151" s="14">
        <f>IFERROR(__xludf.DUMMYFUNCTION("""COMPUTED_VALUE"""),13.19)</f>
        <v>13.19</v>
      </c>
      <c r="I151" s="14">
        <f>IFERROR(__xludf.DUMMYFUNCTION("""COMPUTED_VALUE"""),8.041666666666668)</f>
        <v>8.041666667</v>
      </c>
      <c r="J151" s="14">
        <f>IFERROR(__xludf.DUMMYFUNCTION("""COMPUTED_VALUE"""),0.0)</f>
        <v>0</v>
      </c>
      <c r="K151" s="14">
        <f>IFERROR(__xludf.DUMMYFUNCTION("""COMPUTED_VALUE"""),-31.631666666666643)</f>
        <v>-31.63166667</v>
      </c>
      <c r="L151" s="15">
        <f>IFERROR(__xludf.DUMMYFUNCTION("""COMPUTED_VALUE"""),-0.03277892918825559)</f>
        <v>-0.03277892919</v>
      </c>
      <c r="M151" s="17" t="str">
        <f>IFERROR(__xludf.DUMMYFUNCTION("""COMPUTED_VALUE"""),"ZARAR")</f>
        <v>ZARAR</v>
      </c>
      <c r="N151" s="17" t="str">
        <f>IFERROR(__xludf.DUMMYFUNCTION("""COMPUTED_VALUE"""),"")</f>
        <v/>
      </c>
      <c r="O151" s="17">
        <f>IFERROR(__xludf.DUMMYFUNCTION("""COMPUTED_VALUE"""),0.5)</f>
        <v>0.5</v>
      </c>
      <c r="P151" s="17" t="str">
        <f>IFERROR(__xludf.DUMMYFUNCTION("""COMPUTED_VALUE"""),"")</f>
        <v/>
      </c>
      <c r="Q151" s="17" t="str">
        <f>IFERROR(__xludf.DUMMYFUNCTION("""COMPUTED_VALUE"""),"")</f>
        <v/>
      </c>
      <c r="R151" s="14">
        <f>IFERROR(__xludf.DUMMYFUNCTION("""COMPUTED_VALUE"""),1004.9553663345827)</f>
        <v>1004.955366</v>
      </c>
      <c r="S151" s="14">
        <f>IFERROR(__xludf.DUMMYFUNCTION("""COMPUTED_VALUE"""),-39.95536633458266)</f>
        <v>-39.95536633</v>
      </c>
      <c r="T151" s="17" t="str">
        <f>IFERROR(__xludf.DUMMYFUNCTION("""COMPUTED_VALUE"""),"ZARAR")</f>
        <v>ZARAR</v>
      </c>
      <c r="U151" s="17" t="str">
        <f>IFERROR(__xludf.DUMMYFUNCTION("""COMPUTED_VALUE"""),"Fiyat, maliyet veya kampanya kontrol et")</f>
        <v>Fiyat, maliyet veya kampanya kontrol et</v>
      </c>
    </row>
    <row r="152">
      <c r="A152" s="2" t="str">
        <f>IFERROR(__xludf.DUMMYFUNCTION("""COMPUTED_VALUE"""),"TYB5K0NQHY75CLFI61")</f>
        <v>TYB5K0NQHY75CLFI61</v>
      </c>
      <c r="B152" s="17" t="str">
        <f>IFERROR(__xludf.DUMMYFUNCTION("""COMPUTED_VALUE"""),"Wanpy")</f>
        <v>Wanpy</v>
      </c>
      <c r="C152" s="28" t="str">
        <f>IFERROR(__xludf.DUMMYFUNCTION("""COMPUTED_VALUE"""),"Krema Kedi Ödül Maması 14gr (30 Adet) (Karışık Çeşitli)")</f>
        <v>Krema Kedi Ödül Maması 14gr (30 Adet) (Karışık Çeşitli)</v>
      </c>
      <c r="D152" s="14">
        <f>IFERROR(__xludf.DUMMYFUNCTION("""COMPUTED_VALUE"""),333.1)</f>
        <v>333.1</v>
      </c>
      <c r="E152" s="14">
        <f>IFERROR(__xludf.DUMMYFUNCTION("""COMPUTED_VALUE"""),29.312800000000006)</f>
        <v>29.3128</v>
      </c>
      <c r="F152" s="14">
        <f>IFERROR(__xludf.DUMMYFUNCTION("""COMPUTED_VALUE"""),86.4)</f>
        <v>86.4</v>
      </c>
      <c r="G152" s="14">
        <f>IFERROR(__xludf.DUMMYFUNCTION("""COMPUTED_VALUE"""),235.8)</f>
        <v>235.8</v>
      </c>
      <c r="H152" s="14">
        <f>IFERROR(__xludf.DUMMYFUNCTION("""COMPUTED_VALUE"""),13.19)</f>
        <v>13.19</v>
      </c>
      <c r="I152" s="14">
        <f>IFERROR(__xludf.DUMMYFUNCTION("""COMPUTED_VALUE"""),2.775833333333334)</f>
        <v>2.775833333</v>
      </c>
      <c r="J152" s="14">
        <f>IFERROR(__xludf.DUMMYFUNCTION("""COMPUTED_VALUE"""),0.0)</f>
        <v>0</v>
      </c>
      <c r="K152" s="14">
        <f>IFERROR(__xludf.DUMMYFUNCTION("""COMPUTED_VALUE"""),-34.378633333333305)</f>
        <v>-34.37863333</v>
      </c>
      <c r="L152" s="15">
        <f>IFERROR(__xludf.DUMMYFUNCTION("""COMPUTED_VALUE"""),-0.1032081457019913)</f>
        <v>-0.1032081457</v>
      </c>
      <c r="M152" s="17" t="str">
        <f>IFERROR(__xludf.DUMMYFUNCTION("""COMPUTED_VALUE"""),"ZARAR")</f>
        <v>ZARAR</v>
      </c>
      <c r="N152" s="17" t="str">
        <f>IFERROR(__xludf.DUMMYFUNCTION("""COMPUTED_VALUE"""),"")</f>
        <v/>
      </c>
      <c r="O152" s="17">
        <f>IFERROR(__xludf.DUMMYFUNCTION("""COMPUTED_VALUE"""),0.5)</f>
        <v>0.5</v>
      </c>
      <c r="P152" s="17" t="str">
        <f>IFERROR(__xludf.DUMMYFUNCTION("""COMPUTED_VALUE"""),"")</f>
        <v/>
      </c>
      <c r="Q152" s="17" t="str">
        <f>IFERROR(__xludf.DUMMYFUNCTION("""COMPUTED_VALUE"""),"")</f>
        <v/>
      </c>
      <c r="R152" s="14">
        <f>IFERROR(__xludf.DUMMYFUNCTION("""COMPUTED_VALUE"""),371.1433525845251)</f>
        <v>371.1433526</v>
      </c>
      <c r="S152" s="14">
        <f>IFERROR(__xludf.DUMMYFUNCTION("""COMPUTED_VALUE"""),-38.04335258452505)</f>
        <v>-38.04335258</v>
      </c>
      <c r="T152" s="17" t="str">
        <f>IFERROR(__xludf.DUMMYFUNCTION("""COMPUTED_VALUE"""),"ZARAR")</f>
        <v>ZARAR</v>
      </c>
      <c r="U152" s="17" t="str">
        <f>IFERROR(__xludf.DUMMYFUNCTION("""COMPUTED_VALUE"""),"Fiyat, maliyet veya kampanya kontrol et")</f>
        <v>Fiyat, maliyet veya kampanya kontrol et</v>
      </c>
    </row>
    <row r="153">
      <c r="A153" s="2" t="str">
        <f>IFERROR(__xludf.DUMMYFUNCTION("""COMPUTED_VALUE"""),"TYBM7WNP05FYPO2N47")</f>
        <v>TYBM7WNP05FYPO2N47</v>
      </c>
      <c r="B153" s="17" t="str">
        <f>IFERROR(__xludf.DUMMYFUNCTION("""COMPUTED_VALUE"""),"Pro Plan")</f>
        <v>Pro Plan</v>
      </c>
      <c r="C153" s="28" t="str">
        <f>IFERROR(__xludf.DUMMYFUNCTION("""COMPUTED_VALUE"""),"Proplan sterilised kısırlaştırılmış somonlu kedi maması 2 kg (5 adet 400 gr )")</f>
        <v>Proplan sterilised kısırlaştırılmış somonlu kedi maması 2 kg (5 adet 400 gr )</v>
      </c>
      <c r="D153" s="14">
        <f>IFERROR(__xludf.DUMMYFUNCTION("""COMPUTED_VALUE"""),899.0)</f>
        <v>899</v>
      </c>
      <c r="E153" s="14">
        <f>IFERROR(__xludf.DUMMYFUNCTION("""COMPUTED_VALUE"""),72.819)</f>
        <v>72.819</v>
      </c>
      <c r="F153" s="14">
        <f>IFERROR(__xludf.DUMMYFUNCTION("""COMPUTED_VALUE"""),90.0)</f>
        <v>90</v>
      </c>
      <c r="G153" s="14">
        <f>IFERROR(__xludf.DUMMYFUNCTION("""COMPUTED_VALUE"""),750.0)</f>
        <v>750</v>
      </c>
      <c r="H153" s="14">
        <f>IFERROR(__xludf.DUMMYFUNCTION("""COMPUTED_VALUE"""),13.19)</f>
        <v>13.19</v>
      </c>
      <c r="I153" s="14">
        <f>IFERROR(__xludf.DUMMYFUNCTION("""COMPUTED_VALUE"""),7.491666666666667)</f>
        <v>7.491666667</v>
      </c>
      <c r="J153" s="14">
        <f>IFERROR(__xludf.DUMMYFUNCTION("""COMPUTED_VALUE"""),0.0)</f>
        <v>0</v>
      </c>
      <c r="K153" s="14">
        <f>IFERROR(__xludf.DUMMYFUNCTION("""COMPUTED_VALUE"""),-34.500666666666625)</f>
        <v>-34.50066667</v>
      </c>
      <c r="L153" s="15">
        <f>IFERROR(__xludf.DUMMYFUNCTION("""COMPUTED_VALUE"""),-0.03837671486837222)</f>
        <v>-0.03837671487</v>
      </c>
      <c r="M153" s="17" t="str">
        <f>IFERROR(__xludf.DUMMYFUNCTION("""COMPUTED_VALUE"""),"ZARAR")</f>
        <v>ZARAR</v>
      </c>
      <c r="N153" s="17" t="str">
        <f>IFERROR(__xludf.DUMMYFUNCTION("""COMPUTED_VALUE"""),"")</f>
        <v/>
      </c>
      <c r="O153" s="17">
        <f>IFERROR(__xludf.DUMMYFUNCTION("""COMPUTED_VALUE"""),3.0)</f>
        <v>3</v>
      </c>
      <c r="P153" s="17" t="str">
        <f>IFERROR(__xludf.DUMMYFUNCTION("""COMPUTED_VALUE"""),"")</f>
        <v/>
      </c>
      <c r="Q153" s="17" t="str">
        <f>IFERROR(__xludf.DUMMYFUNCTION("""COMPUTED_VALUE"""),"")</f>
        <v/>
      </c>
      <c r="R153" s="14">
        <f>IFERROR(__xludf.DUMMYFUNCTION("""COMPUTED_VALUE"""),936.8847229558115)</f>
        <v>936.884723</v>
      </c>
      <c r="S153" s="14">
        <f>IFERROR(__xludf.DUMMYFUNCTION("""COMPUTED_VALUE"""),-37.884722955811526)</f>
        <v>-37.88472296</v>
      </c>
      <c r="T153" s="17" t="str">
        <f>IFERROR(__xludf.DUMMYFUNCTION("""COMPUTED_VALUE"""),"ZARAR")</f>
        <v>ZARAR</v>
      </c>
      <c r="U153" s="17" t="str">
        <f>IFERROR(__xludf.DUMMYFUNCTION("""COMPUTED_VALUE"""),"Fiyat, maliyet veya kampanya kontrol et")</f>
        <v>Fiyat, maliyet veya kampanya kontrol et</v>
      </c>
    </row>
    <row r="154">
      <c r="A154" s="2">
        <f>IFERROR(__xludf.DUMMYFUNCTION("""COMPUTED_VALUE"""),9.00357931166E12)</f>
        <v>9003579311660</v>
      </c>
      <c r="B154" s="17" t="str">
        <f>IFERROR(__xludf.DUMMYFUNCTION("""COMPUTED_VALUE"""),"Royal Canin")</f>
        <v>Royal Canin</v>
      </c>
      <c r="C154" s="28" t="str">
        <f>IFERROR(__xludf.DUMMYFUNCTION("""COMPUTED_VALUE"""),"Mother&amp;babycat Gebe/laktasyondaki Anne Ve Yavru Kedi Için Kedi Konservesi 195g")</f>
        <v>Mother&amp;babycat Gebe/laktasyondaki Anne Ve Yavru Kedi Için Kedi Konservesi 195g</v>
      </c>
      <c r="D154" s="14">
        <f>IFERROR(__xludf.DUMMYFUNCTION("""COMPUTED_VALUE"""),199.0)</f>
        <v>199</v>
      </c>
      <c r="E154" s="14">
        <f>IFERROR(__xludf.DUMMYFUNCTION("""COMPUTED_VALUE"""),24.875)</f>
        <v>24.875</v>
      </c>
      <c r="F154" s="14">
        <f>IFERROR(__xludf.DUMMYFUNCTION("""COMPUTED_VALUE"""),86.4)</f>
        <v>86.4</v>
      </c>
      <c r="G154" s="14">
        <f>IFERROR(__xludf.DUMMYFUNCTION("""COMPUTED_VALUE"""),112.0)</f>
        <v>112</v>
      </c>
      <c r="H154" s="14">
        <f>IFERROR(__xludf.DUMMYFUNCTION("""COMPUTED_VALUE"""),13.19)</f>
        <v>13.19</v>
      </c>
      <c r="I154" s="14">
        <f>IFERROR(__xludf.DUMMYFUNCTION("""COMPUTED_VALUE"""),1.6583333333333334)</f>
        <v>1.658333333</v>
      </c>
      <c r="J154" s="14">
        <f>IFERROR(__xludf.DUMMYFUNCTION("""COMPUTED_VALUE"""),0.0)</f>
        <v>0</v>
      </c>
      <c r="K154" s="14">
        <f>IFERROR(__xludf.DUMMYFUNCTION("""COMPUTED_VALUE"""),-39.123333333333335)</f>
        <v>-39.12333333</v>
      </c>
      <c r="L154" s="15">
        <f>IFERROR(__xludf.DUMMYFUNCTION("""COMPUTED_VALUE"""),-0.1965996649916248)</f>
        <v>-0.196599665</v>
      </c>
      <c r="M154" s="17" t="str">
        <f>IFERROR(__xludf.DUMMYFUNCTION("""COMPUTED_VALUE"""),"ZARAR")</f>
        <v>ZARAR</v>
      </c>
      <c r="N154" s="17" t="str">
        <f>IFERROR(__xludf.DUMMYFUNCTION("""COMPUTED_VALUE"""),"")</f>
        <v/>
      </c>
      <c r="O154" s="17">
        <f>IFERROR(__xludf.DUMMYFUNCTION("""COMPUTED_VALUE"""),1.0)</f>
        <v>1</v>
      </c>
      <c r="P154" s="17" t="str">
        <f>IFERROR(__xludf.DUMMYFUNCTION("""COMPUTED_VALUE"""),"")</f>
        <v/>
      </c>
      <c r="Q154" s="17" t="str">
        <f>IFERROR(__xludf.DUMMYFUNCTION("""COMPUTED_VALUE"""),"")</f>
        <v/>
      </c>
      <c r="R154" s="14">
        <f>IFERROR(__xludf.DUMMYFUNCTION("""COMPUTED_VALUE"""),244.14221379145624)</f>
        <v>244.1422138</v>
      </c>
      <c r="S154" s="14">
        <f>IFERROR(__xludf.DUMMYFUNCTION("""COMPUTED_VALUE"""),-45.14221379145624)</f>
        <v>-45.14221379</v>
      </c>
      <c r="T154" s="17" t="str">
        <f>IFERROR(__xludf.DUMMYFUNCTION("""COMPUTED_VALUE"""),"ZARAR")</f>
        <v>ZARAR</v>
      </c>
      <c r="U154" s="17" t="str">
        <f>IFERROR(__xludf.DUMMYFUNCTION("""COMPUTED_VALUE"""),"Fiyat, maliyet veya kampanya kontrol et")</f>
        <v>Fiyat, maliyet veya kampanya kontrol et</v>
      </c>
    </row>
    <row r="155">
      <c r="A155" s="2">
        <f>IFERROR(__xludf.DUMMYFUNCTION("""COMPUTED_VALUE"""),8.606014106732E12)</f>
        <v>8606014106732</v>
      </c>
      <c r="B155" s="17" t="str">
        <f>IFERROR(__xludf.DUMMYFUNCTION("""COMPUTED_VALUE"""),"N&amp;D")</f>
        <v>N&amp;D</v>
      </c>
      <c r="C155" s="28" t="str">
        <f>IFERROR(__xludf.DUMMYFUNCTION("""COMPUTED_VALUE"""),"Fish Trio Menü Somonlu Ve Karidesli Yetişkin Kedi Konserve Yaş Maması 6 X 70 gr")</f>
        <v>Fish Trio Menü Somonlu Ve Karidesli Yetişkin Kedi Konserve Yaş Maması 6 X 70 gr</v>
      </c>
      <c r="D155" s="14">
        <f>IFERROR(__xludf.DUMMYFUNCTION("""COMPUTED_VALUE"""),470.0)</f>
        <v>470</v>
      </c>
      <c r="E155" s="14">
        <f>IFERROR(__xludf.DUMMYFUNCTION("""COMPUTED_VALUE"""),69.09)</f>
        <v>69.09</v>
      </c>
      <c r="F155" s="14">
        <f>IFERROR(__xludf.DUMMYFUNCTION("""COMPUTED_VALUE"""),90.0)</f>
        <v>90</v>
      </c>
      <c r="G155" s="14">
        <f>IFERROR(__xludf.DUMMYFUNCTION("""COMPUTED_VALUE"""),333.0)</f>
        <v>333</v>
      </c>
      <c r="H155" s="14">
        <f>IFERROR(__xludf.DUMMYFUNCTION("""COMPUTED_VALUE"""),13.19)</f>
        <v>13.19</v>
      </c>
      <c r="I155" s="14">
        <f>IFERROR(__xludf.DUMMYFUNCTION("""COMPUTED_VALUE"""),3.916666666666667)</f>
        <v>3.916666667</v>
      </c>
      <c r="J155" s="14">
        <f>IFERROR(__xludf.DUMMYFUNCTION("""COMPUTED_VALUE"""),0.0)</f>
        <v>0</v>
      </c>
      <c r="K155" s="14">
        <f>IFERROR(__xludf.DUMMYFUNCTION("""COMPUTED_VALUE"""),-39.196666666666694)</f>
        <v>-39.19666667</v>
      </c>
      <c r="L155" s="15">
        <f>IFERROR(__xludf.DUMMYFUNCTION("""COMPUTED_VALUE"""),-0.08339716312056743)</f>
        <v>-0.08339716312</v>
      </c>
      <c r="M155" s="17" t="str">
        <f>IFERROR(__xludf.DUMMYFUNCTION("""COMPUTED_VALUE"""),"ZARAR")</f>
        <v>ZARAR</v>
      </c>
      <c r="N155" s="17" t="str">
        <f>IFERROR(__xludf.DUMMYFUNCTION("""COMPUTED_VALUE"""),"")</f>
        <v/>
      </c>
      <c r="O155" s="17">
        <f>IFERROR(__xludf.DUMMYFUNCTION("""COMPUTED_VALUE"""),3.0)</f>
        <v>3</v>
      </c>
      <c r="P155" s="17" t="str">
        <f>IFERROR(__xludf.DUMMYFUNCTION("""COMPUTED_VALUE"""),"")</f>
        <v/>
      </c>
      <c r="Q155" s="17" t="str">
        <f>IFERROR(__xludf.DUMMYFUNCTION("""COMPUTED_VALUE"""),"")</f>
        <v/>
      </c>
      <c r="R155" s="14">
        <f>IFERROR(__xludf.DUMMYFUNCTION("""COMPUTED_VALUE"""),516.4046896587649)</f>
        <v>516.4046897</v>
      </c>
      <c r="S155" s="14">
        <f>IFERROR(__xludf.DUMMYFUNCTION("""COMPUTED_VALUE"""),-46.40468965876494)</f>
        <v>-46.40468966</v>
      </c>
      <c r="T155" s="17" t="str">
        <f>IFERROR(__xludf.DUMMYFUNCTION("""COMPUTED_VALUE"""),"ZARAR")</f>
        <v>ZARAR</v>
      </c>
      <c r="U155" s="17" t="str">
        <f>IFERROR(__xludf.DUMMYFUNCTION("""COMPUTED_VALUE"""),"Fiyat, maliyet veya kampanya kontrol et")</f>
        <v>Fiyat, maliyet veya kampanya kontrol et</v>
      </c>
    </row>
    <row r="156">
      <c r="A156" s="2">
        <f>IFERROR(__xludf.DUMMYFUNCTION("""COMPUTED_VALUE"""),2.584503166745E12)</f>
        <v>2584503166745</v>
      </c>
      <c r="B156" s="17" t="str">
        <f>IFERROR(__xludf.DUMMYFUNCTION("""COMPUTED_VALUE"""),"Pro Plan")</f>
        <v>Pro Plan</v>
      </c>
      <c r="C156" s="28" t="str">
        <f>IFERROR(__xludf.DUMMYFUNCTION("""COMPUTED_VALUE"""),"Proplan Somonlu Kısırlaştırılmış Kedi Maması 10 Kg")</f>
        <v>Proplan Somonlu Kısırlaştırılmış Kedi Maması 10 Kg</v>
      </c>
      <c r="D156" s="14">
        <f>IFERROR(__xludf.DUMMYFUNCTION("""COMPUTED_VALUE"""),4080.0)</f>
        <v>4080</v>
      </c>
      <c r="E156" s="14">
        <f>IFERROR(__xludf.DUMMYFUNCTION("""COMPUTED_VALUE"""),510.0)</f>
        <v>510</v>
      </c>
      <c r="F156" s="14">
        <f>IFERROR(__xludf.DUMMYFUNCTION("""COMPUTED_VALUE"""),90.0)</f>
        <v>90</v>
      </c>
      <c r="G156" s="14">
        <f>IFERROR(__xludf.DUMMYFUNCTION("""COMPUTED_VALUE"""),3475.0)</f>
        <v>3475</v>
      </c>
      <c r="H156" s="14">
        <f>IFERROR(__xludf.DUMMYFUNCTION("""COMPUTED_VALUE"""),13.19)</f>
        <v>13.19</v>
      </c>
      <c r="I156" s="14">
        <f>IFERROR(__xludf.DUMMYFUNCTION("""COMPUTED_VALUE"""),34.0)</f>
        <v>34</v>
      </c>
      <c r="J156" s="14">
        <f>IFERROR(__xludf.DUMMYFUNCTION("""COMPUTED_VALUE"""),0.0)</f>
        <v>0</v>
      </c>
      <c r="K156" s="14">
        <f>IFERROR(__xludf.DUMMYFUNCTION("""COMPUTED_VALUE"""),-42.19)</f>
        <v>-42.19</v>
      </c>
      <c r="L156" s="15">
        <f>IFERROR(__xludf.DUMMYFUNCTION("""COMPUTED_VALUE"""),-0.010340686274509804)</f>
        <v>-0.01034068627</v>
      </c>
      <c r="M156" s="17" t="str">
        <f>IFERROR(__xludf.DUMMYFUNCTION("""COMPUTED_VALUE"""),"ZARAR")</f>
        <v>ZARAR</v>
      </c>
      <c r="N156" s="17" t="str">
        <f>IFERROR(__xludf.DUMMYFUNCTION("""COMPUTED_VALUE"""),"")</f>
        <v/>
      </c>
      <c r="O156" s="17">
        <f>IFERROR(__xludf.DUMMYFUNCTION("""COMPUTED_VALUE"""),3.0)</f>
        <v>3</v>
      </c>
      <c r="P156" s="17" t="str">
        <f>IFERROR(__xludf.DUMMYFUNCTION("""COMPUTED_VALUE"""),"")</f>
        <v/>
      </c>
      <c r="Q156" s="17" t="str">
        <f>IFERROR(__xludf.DUMMYFUNCTION("""COMPUTED_VALUE"""),"")</f>
        <v/>
      </c>
      <c r="R156" s="14">
        <f>IFERROR(__xludf.DUMMYFUNCTION("""COMPUTED_VALUE"""),4128.679181277238)</f>
        <v>4128.679181</v>
      </c>
      <c r="S156" s="14">
        <f>IFERROR(__xludf.DUMMYFUNCTION("""COMPUTED_VALUE"""),-48.67918127723806)</f>
        <v>-48.67918128</v>
      </c>
      <c r="T156" s="17" t="str">
        <f>IFERROR(__xludf.DUMMYFUNCTION("""COMPUTED_VALUE"""),"ZARAR")</f>
        <v>ZARAR</v>
      </c>
      <c r="U156" s="17" t="str">
        <f>IFERROR(__xludf.DUMMYFUNCTION("""COMPUTED_VALUE"""),"Fiyat, maliyet veya kampanya kontrol et")</f>
        <v>Fiyat, maliyet veya kampanya kontrol et</v>
      </c>
    </row>
    <row r="157">
      <c r="A157" s="2">
        <f>IFERROR(__xludf.DUMMYFUNCTION("""COMPUTED_VALUE"""),9.003579311714E12)</f>
        <v>9003579311714</v>
      </c>
      <c r="B157" s="17" t="str">
        <f>IFERROR(__xludf.DUMMYFUNCTION("""COMPUTED_VALUE"""),"Royal Canin")</f>
        <v>Royal Canin</v>
      </c>
      <c r="C157" s="28" t="str">
        <f>IFERROR(__xludf.DUMMYFUNCTION("""COMPUTED_VALUE"""),"Jelly Kitten Instinctive Yaş Yavru Kedi Maması 85 Gr")</f>
        <v>Jelly Kitten Instinctive Yaş Yavru Kedi Maması 85 Gr</v>
      </c>
      <c r="D157" s="14">
        <f>IFERROR(__xludf.DUMMYFUNCTION("""COMPUTED_VALUE"""),99.0)</f>
        <v>99</v>
      </c>
      <c r="E157" s="14">
        <f>IFERROR(__xludf.DUMMYFUNCTION("""COMPUTED_VALUE"""),12.375)</f>
        <v>12.375</v>
      </c>
      <c r="F157" s="14">
        <f>IFERROR(__xludf.DUMMYFUNCTION("""COMPUTED_VALUE"""),86.4)</f>
        <v>86.4</v>
      </c>
      <c r="G157" s="14">
        <f>IFERROR(__xludf.DUMMYFUNCTION("""COMPUTED_VALUE"""),41.0)</f>
        <v>41</v>
      </c>
      <c r="H157" s="14">
        <f>IFERROR(__xludf.DUMMYFUNCTION("""COMPUTED_VALUE"""),13.19)</f>
        <v>13.19</v>
      </c>
      <c r="I157" s="14">
        <f>IFERROR(__xludf.DUMMYFUNCTION("""COMPUTED_VALUE"""),0.8250000000000001)</f>
        <v>0.825</v>
      </c>
      <c r="J157" s="14">
        <f>IFERROR(__xludf.DUMMYFUNCTION("""COMPUTED_VALUE"""),0.0)</f>
        <v>0</v>
      </c>
      <c r="K157" s="14">
        <f>IFERROR(__xludf.DUMMYFUNCTION("""COMPUTED_VALUE"""),-54.790000000000006)</f>
        <v>-54.79</v>
      </c>
      <c r="L157" s="15">
        <f>IFERROR(__xludf.DUMMYFUNCTION("""COMPUTED_VALUE"""),-0.5534343434343435)</f>
        <v>-0.5534343434</v>
      </c>
      <c r="M157" s="17" t="str">
        <f>IFERROR(__xludf.DUMMYFUNCTION("""COMPUTED_VALUE"""),"ZARAR")</f>
        <v>ZARAR</v>
      </c>
      <c r="N157" s="17" t="str">
        <f>IFERROR(__xludf.DUMMYFUNCTION("""COMPUTED_VALUE"""),"")</f>
        <v/>
      </c>
      <c r="O157" s="17">
        <f>IFERROR(__xludf.DUMMYFUNCTION("""COMPUTED_VALUE"""),1.0)</f>
        <v>1</v>
      </c>
      <c r="P157" s="17" t="str">
        <f>IFERROR(__xludf.DUMMYFUNCTION("""COMPUTED_VALUE"""),"")</f>
        <v/>
      </c>
      <c r="Q157" s="17" t="str">
        <f>IFERROR(__xludf.DUMMYFUNCTION("""COMPUTED_VALUE"""),"")</f>
        <v/>
      </c>
      <c r="R157" s="14">
        <f>IFERROR(__xludf.DUMMYFUNCTION("""COMPUTED_VALUE"""),162.21916837724294)</f>
        <v>162.2191684</v>
      </c>
      <c r="S157" s="14">
        <f>IFERROR(__xludf.DUMMYFUNCTION("""COMPUTED_VALUE"""),-63.21916837724294)</f>
        <v>-63.21916838</v>
      </c>
      <c r="T157" s="17" t="str">
        <f>IFERROR(__xludf.DUMMYFUNCTION("""COMPUTED_VALUE"""),"ZARAR")</f>
        <v>ZARAR</v>
      </c>
      <c r="U157" s="17" t="str">
        <f>IFERROR(__xludf.DUMMYFUNCTION("""COMPUTED_VALUE"""),"Fiyat, maliyet veya kampanya kontrol et")</f>
        <v>Fiyat, maliyet veya kampanya kontrol et</v>
      </c>
    </row>
    <row r="158">
      <c r="A158" s="2">
        <f>IFERROR(__xludf.DUMMYFUNCTION("""COMPUTED_VALUE"""),7.613033560064E12)</f>
        <v>7613033560064</v>
      </c>
      <c r="B158" s="17" t="str">
        <f>IFERROR(__xludf.DUMMYFUNCTION("""COMPUTED_VALUE"""),"Pro Plan")</f>
        <v>Pro Plan</v>
      </c>
      <c r="C158" s="28" t="str">
        <f>IFERROR(__xludf.DUMMYFUNCTION("""COMPUTED_VALUE"""),"Kısırlaştırılmış Somonlu Kuru Kedi Maması 3 Kg")</f>
        <v>Kısırlaştırılmış Somonlu Kuru Kedi Maması 3 Kg</v>
      </c>
      <c r="D158" s="14">
        <f>IFERROR(__xludf.DUMMYFUNCTION("""COMPUTED_VALUE"""),1428.0)</f>
        <v>1428</v>
      </c>
      <c r="E158" s="14">
        <f>IFERROR(__xludf.DUMMYFUNCTION("""COMPUTED_VALUE"""),178.5)</f>
        <v>178.5</v>
      </c>
      <c r="F158" s="14">
        <f>IFERROR(__xludf.DUMMYFUNCTION("""COMPUTED_VALUE"""),90.0)</f>
        <v>90</v>
      </c>
      <c r="G158" s="14">
        <f>IFERROR(__xludf.DUMMYFUNCTION("""COMPUTED_VALUE"""),1190.0)</f>
        <v>1190</v>
      </c>
      <c r="H158" s="14">
        <f>IFERROR(__xludf.DUMMYFUNCTION("""COMPUTED_VALUE"""),13.19)</f>
        <v>13.19</v>
      </c>
      <c r="I158" s="14">
        <f>IFERROR(__xludf.DUMMYFUNCTION("""COMPUTED_VALUE"""),11.9)</f>
        <v>11.9</v>
      </c>
      <c r="J158" s="14">
        <f>IFERROR(__xludf.DUMMYFUNCTION("""COMPUTED_VALUE"""),0.0)</f>
        <v>0</v>
      </c>
      <c r="K158" s="14">
        <f>IFERROR(__xludf.DUMMYFUNCTION("""COMPUTED_VALUE"""),-55.589999999999996)</f>
        <v>-55.59</v>
      </c>
      <c r="L158" s="15">
        <f>IFERROR(__xludf.DUMMYFUNCTION("""COMPUTED_VALUE"""),-0.038928571428571423)</f>
        <v>-0.03892857143</v>
      </c>
      <c r="M158" s="17" t="str">
        <f>IFERROR(__xludf.DUMMYFUNCTION("""COMPUTED_VALUE"""),"ZARAR")</f>
        <v>ZARAR</v>
      </c>
      <c r="N158" s="17" t="str">
        <f>IFERROR(__xludf.DUMMYFUNCTION("""COMPUTED_VALUE"""),"")</f>
        <v/>
      </c>
      <c r="O158" s="17">
        <f>IFERROR(__xludf.DUMMYFUNCTION("""COMPUTED_VALUE"""),3.0)</f>
        <v>3</v>
      </c>
      <c r="P158" s="17" t="str">
        <f>IFERROR(__xludf.DUMMYFUNCTION("""COMPUTED_VALUE"""),"")</f>
        <v/>
      </c>
      <c r="Q158" s="17" t="str">
        <f>IFERROR(__xludf.DUMMYFUNCTION("""COMPUTED_VALUE"""),"")</f>
        <v/>
      </c>
      <c r="R158" s="14">
        <f>IFERROR(__xludf.DUMMYFUNCTION("""COMPUTED_VALUE"""),1492.141733791641)</f>
        <v>1492.141734</v>
      </c>
      <c r="S158" s="14">
        <f>IFERROR(__xludf.DUMMYFUNCTION("""COMPUTED_VALUE"""),-64.14173379164095)</f>
        <v>-64.14173379</v>
      </c>
      <c r="T158" s="17" t="str">
        <f>IFERROR(__xludf.DUMMYFUNCTION("""COMPUTED_VALUE"""),"ZARAR")</f>
        <v>ZARAR</v>
      </c>
      <c r="U158" s="17" t="str">
        <f>IFERROR(__xludf.DUMMYFUNCTION("""COMPUTED_VALUE"""),"Fiyat, maliyet veya kampanya kontrol et")</f>
        <v>Fiyat, maliyet veya kampanya kontrol et</v>
      </c>
    </row>
    <row r="159">
      <c r="A159" s="2">
        <f>IFERROR(__xludf.DUMMYFUNCTION("""COMPUTED_VALUE"""),7.613035846708E12)</f>
        <v>7613035846708</v>
      </c>
      <c r="B159" s="17" t="str">
        <f>IFERROR(__xludf.DUMMYFUNCTION("""COMPUTED_VALUE"""),"Pro Plan")</f>
        <v>Pro Plan</v>
      </c>
      <c r="C159" s="28" t="str">
        <f>IFERROR(__xludf.DUMMYFUNCTION("""COMPUTED_VALUE"""),"Pro Plan Delicate Kuzu Etli Kedi Maması 3 Kg")</f>
        <v>Pro Plan Delicate Kuzu Etli Kedi Maması 3 Kg</v>
      </c>
      <c r="D159" s="14">
        <f>IFERROR(__xludf.DUMMYFUNCTION("""COMPUTED_VALUE"""),1388.0)</f>
        <v>1388</v>
      </c>
      <c r="E159" s="14">
        <f>IFERROR(__xludf.DUMMYFUNCTION("""COMPUTED_VALUE"""),173.5)</f>
        <v>173.5</v>
      </c>
      <c r="F159" s="14">
        <f>IFERROR(__xludf.DUMMYFUNCTION("""COMPUTED_VALUE"""),90.0)</f>
        <v>90</v>
      </c>
      <c r="G159" s="14">
        <f>IFERROR(__xludf.DUMMYFUNCTION("""COMPUTED_VALUE"""),1160.0)</f>
        <v>1160</v>
      </c>
      <c r="H159" s="14">
        <f>IFERROR(__xludf.DUMMYFUNCTION("""COMPUTED_VALUE"""),13.19)</f>
        <v>13.19</v>
      </c>
      <c r="I159" s="14">
        <f>IFERROR(__xludf.DUMMYFUNCTION("""COMPUTED_VALUE"""),11.566666666666668)</f>
        <v>11.56666667</v>
      </c>
      <c r="J159" s="14">
        <f>IFERROR(__xludf.DUMMYFUNCTION("""COMPUTED_VALUE"""),0.0)</f>
        <v>0</v>
      </c>
      <c r="K159" s="14">
        <f>IFERROR(__xludf.DUMMYFUNCTION("""COMPUTED_VALUE"""),-60.25666666666667)</f>
        <v>-60.25666667</v>
      </c>
      <c r="L159" s="15">
        <f>IFERROR(__xludf.DUMMYFUNCTION("""COMPUTED_VALUE"""),-0.04341258405379443)</f>
        <v>-0.04341258405</v>
      </c>
      <c r="M159" s="17" t="str">
        <f>IFERROR(__xludf.DUMMYFUNCTION("""COMPUTED_VALUE"""),"ZARAR")</f>
        <v>ZARAR</v>
      </c>
      <c r="N159" s="17" t="str">
        <f>IFERROR(__xludf.DUMMYFUNCTION("""COMPUTED_VALUE"""),"")</f>
        <v/>
      </c>
      <c r="O159" s="17">
        <f>IFERROR(__xludf.DUMMYFUNCTION("""COMPUTED_VALUE"""),3.0)</f>
        <v>3</v>
      </c>
      <c r="P159" s="17" t="str">
        <f>IFERROR(__xludf.DUMMYFUNCTION("""COMPUTED_VALUE"""),"")</f>
        <v/>
      </c>
      <c r="Q159" s="17" t="str">
        <f>IFERROR(__xludf.DUMMYFUNCTION("""COMPUTED_VALUE"""),"")</f>
        <v/>
      </c>
      <c r="R159" s="14">
        <f>IFERROR(__xludf.DUMMYFUNCTION("""COMPUTED_VALUE"""),1457.5263624898607)</f>
        <v>1457.526362</v>
      </c>
      <c r="S159" s="14">
        <f>IFERROR(__xludf.DUMMYFUNCTION("""COMPUTED_VALUE"""),-69.52636248986073)</f>
        <v>-69.52636249</v>
      </c>
      <c r="T159" s="17" t="str">
        <f>IFERROR(__xludf.DUMMYFUNCTION("""COMPUTED_VALUE"""),"ZARAR")</f>
        <v>ZARAR</v>
      </c>
      <c r="U159" s="17" t="str">
        <f>IFERROR(__xludf.DUMMYFUNCTION("""COMPUTED_VALUE"""),"Fiyat, maliyet veya kampanya kontrol et")</f>
        <v>Fiyat, maliyet veya kampanya kontrol et</v>
      </c>
    </row>
    <row r="160">
      <c r="A160" s="2">
        <f>IFERROR(__xludf.DUMMYFUNCTION("""COMPUTED_VALUE"""),3.182550716888E12)</f>
        <v>3182550716888</v>
      </c>
      <c r="B160" s="17" t="str">
        <f>IFERROR(__xludf.DUMMYFUNCTION("""COMPUTED_VALUE"""),"Royal Canin")</f>
        <v>Royal Canin</v>
      </c>
      <c r="C160" s="28" t="str">
        <f>IFERROR(__xludf.DUMMYFUNCTION("""COMPUTED_VALUE"""),"Mini Adult Köpek Maması 8kg CB12321")</f>
        <v>Mini Adult Köpek Maması 8kg CB12321</v>
      </c>
      <c r="D160" s="14">
        <f>IFERROR(__xludf.DUMMYFUNCTION("""COMPUTED_VALUE"""),2650.0)</f>
        <v>2650</v>
      </c>
      <c r="E160" s="14">
        <f>IFERROR(__xludf.DUMMYFUNCTION("""COMPUTED_VALUE"""),222.6)</f>
        <v>222.6</v>
      </c>
      <c r="F160" s="14">
        <f>IFERROR(__xludf.DUMMYFUNCTION("""COMPUTED_VALUE"""),159.74)</f>
        <v>159.74</v>
      </c>
      <c r="G160" s="14">
        <f>IFERROR(__xludf.DUMMYFUNCTION("""COMPUTED_VALUE"""),2294.04)</f>
        <v>2294.04</v>
      </c>
      <c r="H160" s="14">
        <f>IFERROR(__xludf.DUMMYFUNCTION("""COMPUTED_VALUE"""),13.19)</f>
        <v>13.19</v>
      </c>
      <c r="I160" s="14">
        <f>IFERROR(__xludf.DUMMYFUNCTION("""COMPUTED_VALUE"""),22.083333333333336)</f>
        <v>22.08333333</v>
      </c>
      <c r="J160" s="14">
        <f>IFERROR(__xludf.DUMMYFUNCTION("""COMPUTED_VALUE"""),0.0)</f>
        <v>0</v>
      </c>
      <c r="K160" s="14">
        <f>IFERROR(__xludf.DUMMYFUNCTION("""COMPUTED_VALUE"""),-61.65333333333344)</f>
        <v>-61.65333333</v>
      </c>
      <c r="L160" s="15">
        <f>IFERROR(__xludf.DUMMYFUNCTION("""COMPUTED_VALUE"""),-0.023265408805031487)</f>
        <v>-0.02326540881</v>
      </c>
      <c r="M160" s="17" t="str">
        <f>IFERROR(__xludf.DUMMYFUNCTION("""COMPUTED_VALUE"""),"ZARAR")</f>
        <v>ZARAR</v>
      </c>
      <c r="N160" s="17" t="str">
        <f>IFERROR(__xludf.DUMMYFUNCTION("""COMPUTED_VALUE"""),"")</f>
        <v/>
      </c>
      <c r="O160" s="17">
        <f>IFERROR(__xludf.DUMMYFUNCTION("""COMPUTED_VALUE"""),8.0)</f>
        <v>8</v>
      </c>
      <c r="P160" s="17" t="str">
        <f>IFERROR(__xludf.DUMMYFUNCTION("""COMPUTED_VALUE"""),"")</f>
        <v/>
      </c>
      <c r="Q160" s="17" t="str">
        <f>IFERROR(__xludf.DUMMYFUNCTION("""COMPUTED_VALUE"""),"")</f>
        <v/>
      </c>
      <c r="R160" s="14">
        <f>IFERROR(__xludf.DUMMYFUNCTION("""COMPUTED_VALUE"""),2717.924084493542)</f>
        <v>2717.924084</v>
      </c>
      <c r="S160" s="14">
        <f>IFERROR(__xludf.DUMMYFUNCTION("""COMPUTED_VALUE"""),-67.92408449354207)</f>
        <v>-67.92408449</v>
      </c>
      <c r="T160" s="17" t="str">
        <f>IFERROR(__xludf.DUMMYFUNCTION("""COMPUTED_VALUE"""),"ZARAR")</f>
        <v>ZARAR</v>
      </c>
      <c r="U160" s="17" t="str">
        <f>IFERROR(__xludf.DUMMYFUNCTION("""COMPUTED_VALUE"""),"Fiyat, maliyet veya kampanya kontrol et")</f>
        <v>Fiyat, maliyet veya kampanya kontrol et</v>
      </c>
    </row>
    <row r="161">
      <c r="A161" s="2">
        <f>IFERROR(__xludf.DUMMYFUNCTION("""COMPUTED_VALUE"""),9.003579311295E12)</f>
        <v>9003579311295</v>
      </c>
      <c r="B161" s="17" t="str">
        <f>IFERROR(__xludf.DUMMYFUNCTION("""COMPUTED_VALUE"""),"Royal Canin")</f>
        <v>Royal Canin</v>
      </c>
      <c r="C161" s="28" t="str">
        <f>IFERROR(__xludf.DUMMYFUNCTION("""COMPUTED_VALUE"""),"Sterilised Gravy Kısırlaştırılmış Yetişkin Kedi Yaş Maması 85 Gr x 12")</f>
        <v>Sterilised Gravy Kısırlaştırılmış Yetişkin Kedi Yaş Maması 85 Gr x 12</v>
      </c>
      <c r="D161" s="14">
        <f>IFERROR(__xludf.DUMMYFUNCTION("""COMPUTED_VALUE"""),600.0)</f>
        <v>600</v>
      </c>
      <c r="E161" s="14">
        <f>IFERROR(__xludf.DUMMYFUNCTION("""COMPUTED_VALUE"""),75.0)</f>
        <v>75</v>
      </c>
      <c r="F161" s="14">
        <f>IFERROR(__xludf.DUMMYFUNCTION("""COMPUTED_VALUE"""),86.4)</f>
        <v>86.4</v>
      </c>
      <c r="G161" s="14">
        <f>IFERROR(__xludf.DUMMYFUNCTION("""COMPUTED_VALUE"""),485.36)</f>
        <v>485.36</v>
      </c>
      <c r="H161" s="14">
        <f>IFERROR(__xludf.DUMMYFUNCTION("""COMPUTED_VALUE"""),13.19)</f>
        <v>13.19</v>
      </c>
      <c r="I161" s="14">
        <f>IFERROR(__xludf.DUMMYFUNCTION("""COMPUTED_VALUE"""),5.0)</f>
        <v>5</v>
      </c>
      <c r="J161" s="14">
        <f>IFERROR(__xludf.DUMMYFUNCTION("""COMPUTED_VALUE"""),0.0)</f>
        <v>0</v>
      </c>
      <c r="K161" s="14">
        <f>IFERROR(__xludf.DUMMYFUNCTION("""COMPUTED_VALUE"""),-64.94999999999999)</f>
        <v>-64.95</v>
      </c>
      <c r="L161" s="15">
        <f>IFERROR(__xludf.DUMMYFUNCTION("""COMPUTED_VALUE"""),-0.10824999999999999)</f>
        <v>-0.10825</v>
      </c>
      <c r="M161" s="17" t="str">
        <f>IFERROR(__xludf.DUMMYFUNCTION("""COMPUTED_VALUE"""),"ZARAR")</f>
        <v>ZARAR</v>
      </c>
      <c r="N161" s="17" t="str">
        <f>IFERROR(__xludf.DUMMYFUNCTION("""COMPUTED_VALUE"""),"")</f>
        <v/>
      </c>
      <c r="O161" s="17">
        <f>IFERROR(__xludf.DUMMYFUNCTION("""COMPUTED_VALUE"""),2.0)</f>
        <v>2</v>
      </c>
      <c r="P161" s="17" t="str">
        <f>IFERROR(__xludf.DUMMYFUNCTION("""COMPUTED_VALUE"""),"")</f>
        <v/>
      </c>
      <c r="Q161" s="17" t="str">
        <f>IFERROR(__xludf.DUMMYFUNCTION("""COMPUTED_VALUE"""),"")</f>
        <v/>
      </c>
      <c r="R161" s="14">
        <f>IFERROR(__xludf.DUMMYFUNCTION("""COMPUTED_VALUE"""),674.9420480992123)</f>
        <v>674.9420481</v>
      </c>
      <c r="S161" s="14">
        <f>IFERROR(__xludf.DUMMYFUNCTION("""COMPUTED_VALUE"""),-74.94204809921234)</f>
        <v>-74.9420481</v>
      </c>
      <c r="T161" s="17" t="str">
        <f>IFERROR(__xludf.DUMMYFUNCTION("""COMPUTED_VALUE"""),"ZARAR")</f>
        <v>ZARAR</v>
      </c>
      <c r="U161" s="17" t="str">
        <f>IFERROR(__xludf.DUMMYFUNCTION("""COMPUTED_VALUE"""),"Fiyat, maliyet veya kampanya kontrol et")</f>
        <v>Fiyat, maliyet veya kampanya kontrol et</v>
      </c>
    </row>
    <row r="162">
      <c r="A162" s="2" t="str">
        <f>IFERROR(__xludf.DUMMYFUNCTION("""COMPUTED_VALUE"""),"TYB2J3PXXV73UG7N88")</f>
        <v>TYB2J3PXXV73UG7N88</v>
      </c>
      <c r="B162" s="17" t="str">
        <f>IFERROR(__xludf.DUMMYFUNCTION("""COMPUTED_VALUE"""),"Wanpy")</f>
        <v>Wanpy</v>
      </c>
      <c r="C162" s="28" t="str">
        <f>IFERROR(__xludf.DUMMYFUNCTION("""COMPUTED_VALUE"""),"Creamy Cat Treat Karışık Krema Sıvı Kedi Ödül Maması 14 gr X 10 Adet")</f>
        <v>Creamy Cat Treat Karışık Krema Sıvı Kedi Ödül Maması 14 gr X 10 Adet</v>
      </c>
      <c r="D162" s="14">
        <f>IFERROR(__xludf.DUMMYFUNCTION("""COMPUTED_VALUE"""),116.08)</f>
        <v>116.08</v>
      </c>
      <c r="E162" s="14">
        <f>IFERROR(__xludf.DUMMYFUNCTION("""COMPUTED_VALUE"""),3.5984800000000003)</f>
        <v>3.59848</v>
      </c>
      <c r="F162" s="14">
        <f>IFERROR(__xludf.DUMMYFUNCTION("""COMPUTED_VALUE"""),86.4)</f>
        <v>86.4</v>
      </c>
      <c r="G162" s="14">
        <f>IFERROR(__xludf.DUMMYFUNCTION("""COMPUTED_VALUE"""),78.6)</f>
        <v>78.6</v>
      </c>
      <c r="H162" s="14">
        <f>IFERROR(__xludf.DUMMYFUNCTION("""COMPUTED_VALUE"""),13.19)</f>
        <v>13.19</v>
      </c>
      <c r="I162" s="14">
        <f>IFERROR(__xludf.DUMMYFUNCTION("""COMPUTED_VALUE"""),0.9673333333333334)</f>
        <v>0.9673333333</v>
      </c>
      <c r="J162" s="14">
        <f>IFERROR(__xludf.DUMMYFUNCTION("""COMPUTED_VALUE"""),0.0)</f>
        <v>0</v>
      </c>
      <c r="K162" s="14">
        <f>IFERROR(__xludf.DUMMYFUNCTION("""COMPUTED_VALUE"""),-66.67581333333332)</f>
        <v>-66.67581333</v>
      </c>
      <c r="L162" s="15">
        <f>IFERROR(__xludf.DUMMYFUNCTION("""COMPUTED_VALUE"""),-0.5743953595221686)</f>
        <v>-0.5743953595</v>
      </c>
      <c r="M162" s="17" t="str">
        <f>IFERROR(__xludf.DUMMYFUNCTION("""COMPUTED_VALUE"""),"ZARAR")</f>
        <v>ZARAR</v>
      </c>
      <c r="N162" s="17" t="str">
        <f>IFERROR(__xludf.DUMMYFUNCTION("""COMPUTED_VALUE"""),"")</f>
        <v/>
      </c>
      <c r="O162" s="17">
        <f>IFERROR(__xludf.DUMMYFUNCTION("""COMPUTED_VALUE"""),0.5)</f>
        <v>0.5</v>
      </c>
      <c r="P162" s="17" t="str">
        <f>IFERROR(__xludf.DUMMYFUNCTION("""COMPUTED_VALUE"""),"")</f>
        <v/>
      </c>
      <c r="Q162" s="17" t="str">
        <f>IFERROR(__xludf.DUMMYFUNCTION("""COMPUTED_VALUE"""),"")</f>
        <v/>
      </c>
      <c r="R162" s="14">
        <f>IFERROR(__xludf.DUMMYFUNCTION("""COMPUTED_VALUE"""),185.4857094081508)</f>
        <v>185.4857094</v>
      </c>
      <c r="S162" s="14">
        <f>IFERROR(__xludf.DUMMYFUNCTION("""COMPUTED_VALUE"""),-69.4057094081508)</f>
        <v>-69.40570941</v>
      </c>
      <c r="T162" s="17" t="str">
        <f>IFERROR(__xludf.DUMMYFUNCTION("""COMPUTED_VALUE"""),"ZARAR")</f>
        <v>ZARAR</v>
      </c>
      <c r="U162" s="17" t="str">
        <f>IFERROR(__xludf.DUMMYFUNCTION("""COMPUTED_VALUE"""),"Fiyat, maliyet veya kampanya kontrol et")</f>
        <v>Fiyat, maliyet veya kampanya kontrol et</v>
      </c>
    </row>
    <row r="163">
      <c r="A163" s="2">
        <f>IFERROR(__xludf.DUMMYFUNCTION("""COMPUTED_VALUE"""),3.182550894128E12)</f>
        <v>3182550894128</v>
      </c>
      <c r="B163" s="17" t="str">
        <f>IFERROR(__xludf.DUMMYFUNCTION("""COMPUTED_VALUE"""),"Royal Canin")</f>
        <v>Royal Canin</v>
      </c>
      <c r="C163" s="28" t="str">
        <f>IFERROR(__xludf.DUMMYFUNCTION("""COMPUTED_VALUE"""),"Mini Sterilised Yetişkin Kısırlaştırılmış Köpek Maması 3 Kg")</f>
        <v>Mini Sterilised Yetişkin Kısırlaştırılmış Köpek Maması 3 Kg</v>
      </c>
      <c r="D163" s="14">
        <f>IFERROR(__xludf.DUMMYFUNCTION("""COMPUTED_VALUE"""),1623.0)</f>
        <v>1623</v>
      </c>
      <c r="E163" s="14">
        <f>IFERROR(__xludf.DUMMYFUNCTION("""COMPUTED_VALUE"""),180.153)</f>
        <v>180.153</v>
      </c>
      <c r="F163" s="14">
        <f>IFERROR(__xludf.DUMMYFUNCTION("""COMPUTED_VALUE"""),90.0)</f>
        <v>90</v>
      </c>
      <c r="G163" s="14">
        <f>IFERROR(__xludf.DUMMYFUNCTION("""COMPUTED_VALUE"""),1394.04)</f>
        <v>1394.04</v>
      </c>
      <c r="H163" s="14">
        <f>IFERROR(__xludf.DUMMYFUNCTION("""COMPUTED_VALUE"""),13.19)</f>
        <v>13.19</v>
      </c>
      <c r="I163" s="14">
        <f>IFERROR(__xludf.DUMMYFUNCTION("""COMPUTED_VALUE"""),13.525)</f>
        <v>13.525</v>
      </c>
      <c r="J163" s="14">
        <f>IFERROR(__xludf.DUMMYFUNCTION("""COMPUTED_VALUE"""),0.0)</f>
        <v>0</v>
      </c>
      <c r="K163" s="14">
        <f>IFERROR(__xludf.DUMMYFUNCTION("""COMPUTED_VALUE"""),-67.90799999999999)</f>
        <v>-67.908</v>
      </c>
      <c r="L163" s="15">
        <f>IFERROR(__xludf.DUMMYFUNCTION("""COMPUTED_VALUE"""),-0.04184103512014787)</f>
        <v>-0.04184103512</v>
      </c>
      <c r="M163" s="17" t="str">
        <f>IFERROR(__xludf.DUMMYFUNCTION("""COMPUTED_VALUE"""),"ZARAR")</f>
        <v>ZARAR</v>
      </c>
      <c r="N163" s="17" t="str">
        <f>IFERROR(__xludf.DUMMYFUNCTION("""COMPUTED_VALUE"""),"")</f>
        <v/>
      </c>
      <c r="O163" s="17">
        <f>IFERROR(__xludf.DUMMYFUNCTION("""COMPUTED_VALUE"""),3.0)</f>
        <v>3</v>
      </c>
      <c r="P163" s="17" t="str">
        <f>IFERROR(__xludf.DUMMYFUNCTION("""COMPUTED_VALUE"""),"")</f>
        <v/>
      </c>
      <c r="Q163" s="17" t="str">
        <f>IFERROR(__xludf.DUMMYFUNCTION("""COMPUTED_VALUE"""),"")</f>
        <v/>
      </c>
      <c r="R163" s="14">
        <f>IFERROR(__xludf.DUMMYFUNCTION("""COMPUTED_VALUE"""),1700.109121836063)</f>
        <v>1700.109122</v>
      </c>
      <c r="S163" s="14">
        <f>IFERROR(__xludf.DUMMYFUNCTION("""COMPUTED_VALUE"""),-77.10912183606297)</f>
        <v>-77.10912184</v>
      </c>
      <c r="T163" s="17" t="str">
        <f>IFERROR(__xludf.DUMMYFUNCTION("""COMPUTED_VALUE"""),"ZARAR")</f>
        <v>ZARAR</v>
      </c>
      <c r="U163" s="17" t="str">
        <f>IFERROR(__xludf.DUMMYFUNCTION("""COMPUTED_VALUE"""),"Fiyat, maliyet veya kampanya kontrol et")</f>
        <v>Fiyat, maliyet veya kampanya kontrol et</v>
      </c>
    </row>
    <row r="164">
      <c r="A164" s="2">
        <f>IFERROR(__xludf.DUMMYFUNCTION("""COMPUTED_VALUE"""),9.00000046014E12)</f>
        <v>9000000460140</v>
      </c>
      <c r="B164" s="17" t="str">
        <f>IFERROR(__xludf.DUMMYFUNCTION("""COMPUTED_VALUE"""),"Royal Canin")</f>
        <v>Royal Canin</v>
      </c>
      <c r="C164" s="28" t="str">
        <f>IFERROR(__xludf.DUMMYFUNCTION("""COMPUTED_VALUE"""),"Ccn Dermacomfort Loaf Pate Pouch Küçük Irk Yetişkin Köpek Konservesi 12 Adet 85 Gr")</f>
        <v>Ccn Dermacomfort Loaf Pate Pouch Küçük Irk Yetişkin Köpek Konservesi 12 Adet 85 Gr</v>
      </c>
      <c r="D164" s="14">
        <f>IFERROR(__xludf.DUMMYFUNCTION("""COMPUTED_VALUE"""),618.0)</f>
        <v>618</v>
      </c>
      <c r="E164" s="14">
        <f>IFERROR(__xludf.DUMMYFUNCTION("""COMPUTED_VALUE"""),77.25)</f>
        <v>77.25</v>
      </c>
      <c r="F164" s="14">
        <f>IFERROR(__xludf.DUMMYFUNCTION("""COMPUTED_VALUE"""),86.4)</f>
        <v>86.4</v>
      </c>
      <c r="G164" s="14">
        <f>IFERROR(__xludf.DUMMYFUNCTION("""COMPUTED_VALUE"""),504.0)</f>
        <v>504</v>
      </c>
      <c r="H164" s="14">
        <f>IFERROR(__xludf.DUMMYFUNCTION("""COMPUTED_VALUE"""),13.19)</f>
        <v>13.19</v>
      </c>
      <c r="I164" s="14">
        <f>IFERROR(__xludf.DUMMYFUNCTION("""COMPUTED_VALUE"""),5.15)</f>
        <v>5.15</v>
      </c>
      <c r="J164" s="14">
        <f>IFERROR(__xludf.DUMMYFUNCTION("""COMPUTED_VALUE"""),0.0)</f>
        <v>0</v>
      </c>
      <c r="K164" s="14">
        <f>IFERROR(__xludf.DUMMYFUNCTION("""COMPUTED_VALUE"""),-67.98999999999998)</f>
        <v>-67.99</v>
      </c>
      <c r="L164" s="15">
        <f>IFERROR(__xludf.DUMMYFUNCTION("""COMPUTED_VALUE"""),-0.11001618122977343)</f>
        <v>-0.1100161812</v>
      </c>
      <c r="M164" s="17" t="str">
        <f>IFERROR(__xludf.DUMMYFUNCTION("""COMPUTED_VALUE"""),"ZARAR")</f>
        <v>ZARAR</v>
      </c>
      <c r="N164" s="17" t="str">
        <f>IFERROR(__xludf.DUMMYFUNCTION("""COMPUTED_VALUE"""),"")</f>
        <v/>
      </c>
      <c r="O164" s="17">
        <f>IFERROR(__xludf.DUMMYFUNCTION("""COMPUTED_VALUE"""),2.0)</f>
        <v>2</v>
      </c>
      <c r="P164" s="17" t="str">
        <f>IFERROR(__xludf.DUMMYFUNCTION("""COMPUTED_VALUE"""),"")</f>
        <v/>
      </c>
      <c r="Q164" s="17" t="str">
        <f>IFERROR(__xludf.DUMMYFUNCTION("""COMPUTED_VALUE"""),"")</f>
        <v/>
      </c>
      <c r="R164" s="14">
        <f>IFERROR(__xludf.DUMMYFUNCTION("""COMPUTED_VALUE"""),696.4497321347185)</f>
        <v>696.4497321</v>
      </c>
      <c r="S164" s="14">
        <f>IFERROR(__xludf.DUMMYFUNCTION("""COMPUTED_VALUE"""),-78.44973213471849)</f>
        <v>-78.44973213</v>
      </c>
      <c r="T164" s="17" t="str">
        <f>IFERROR(__xludf.DUMMYFUNCTION("""COMPUTED_VALUE"""),"ZARAR")</f>
        <v>ZARAR</v>
      </c>
      <c r="U164" s="17" t="str">
        <f>IFERROR(__xludf.DUMMYFUNCTION("""COMPUTED_VALUE"""),"Fiyat, maliyet veya kampanya kontrol et")</f>
        <v>Fiyat, maliyet veya kampanya kontrol et</v>
      </c>
    </row>
    <row r="165">
      <c r="A165" s="2">
        <f>IFERROR(__xludf.DUMMYFUNCTION("""COMPUTED_VALUE"""),8.410650173535E12)</f>
        <v>8410650173535</v>
      </c>
      <c r="B165" s="17" t="str">
        <f>IFERROR(__xludf.DUMMYFUNCTION("""COMPUTED_VALUE"""),"Advance")</f>
        <v>Advance</v>
      </c>
      <c r="C165" s="28" t="str">
        <f>IFERROR(__xludf.DUMMYFUNCTION("""COMPUTED_VALUE"""),"Sensitive Kuzu Etli Hassas Yetişkin Köpek Maması 12 Kg")</f>
        <v>Sensitive Kuzu Etli Hassas Yetişkin Köpek Maması 12 Kg</v>
      </c>
      <c r="D165" s="14">
        <f>IFERROR(__xludf.DUMMYFUNCTION("""COMPUTED_VALUE"""),3729.0)</f>
        <v>3729</v>
      </c>
      <c r="E165" s="14">
        <f>IFERROR(__xludf.DUMMYFUNCTION("""COMPUTED_VALUE"""),563.0790000000001)</f>
        <v>563.079</v>
      </c>
      <c r="F165" s="14">
        <f>IFERROR(__xludf.DUMMYFUNCTION("""COMPUTED_VALUE"""),159.74)</f>
        <v>159.74</v>
      </c>
      <c r="G165" s="14">
        <f>IFERROR(__xludf.DUMMYFUNCTION("""COMPUTED_VALUE"""),3034.0)</f>
        <v>3034</v>
      </c>
      <c r="H165" s="14">
        <f>IFERROR(__xludf.DUMMYFUNCTION("""COMPUTED_VALUE"""),13.19)</f>
        <v>13.19</v>
      </c>
      <c r="I165" s="14">
        <f>IFERROR(__xludf.DUMMYFUNCTION("""COMPUTED_VALUE"""),31.075)</f>
        <v>31.075</v>
      </c>
      <c r="J165" s="14">
        <f>IFERROR(__xludf.DUMMYFUNCTION("""COMPUTED_VALUE"""),0.0)</f>
        <v>0</v>
      </c>
      <c r="K165" s="14">
        <f>IFERROR(__xludf.DUMMYFUNCTION("""COMPUTED_VALUE"""),-72.08400000000042)</f>
        <v>-72.084</v>
      </c>
      <c r="L165" s="15">
        <f>IFERROR(__xludf.DUMMYFUNCTION("""COMPUTED_VALUE"""),-0.019330651649235833)</f>
        <v>-0.01933065165</v>
      </c>
      <c r="M165" s="17" t="str">
        <f>IFERROR(__xludf.DUMMYFUNCTION("""COMPUTED_VALUE"""),"ZARAR")</f>
        <v>ZARAR</v>
      </c>
      <c r="N165" s="17" t="str">
        <f>IFERROR(__xludf.DUMMYFUNCTION("""COMPUTED_VALUE"""),"")</f>
        <v/>
      </c>
      <c r="O165" s="17">
        <f>IFERROR(__xludf.DUMMYFUNCTION("""COMPUTED_VALUE"""),10.0)</f>
        <v>10</v>
      </c>
      <c r="P165" s="17" t="str">
        <f>IFERROR(__xludf.DUMMYFUNCTION("""COMPUTED_VALUE"""),"")</f>
        <v/>
      </c>
      <c r="Q165" s="17" t="str">
        <f>IFERROR(__xludf.DUMMYFUNCTION("""COMPUTED_VALUE"""),"")</f>
        <v/>
      </c>
      <c r="R165" s="14">
        <f>IFERROR(__xludf.DUMMYFUNCTION("""COMPUTED_VALUE"""),3814.7447205611734)</f>
        <v>3814.744721</v>
      </c>
      <c r="S165" s="14">
        <f>IFERROR(__xludf.DUMMYFUNCTION("""COMPUTED_VALUE"""),-85.74472056117338)</f>
        <v>-85.74472056</v>
      </c>
      <c r="T165" s="17" t="str">
        <f>IFERROR(__xludf.DUMMYFUNCTION("""COMPUTED_VALUE"""),"ZARAR")</f>
        <v>ZARAR</v>
      </c>
      <c r="U165" s="17" t="str">
        <f>IFERROR(__xludf.DUMMYFUNCTION("""COMPUTED_VALUE"""),"Fiyat, maliyet veya kampanya kontrol et")</f>
        <v>Fiyat, maliyet veya kampanya kontrol et</v>
      </c>
    </row>
    <row r="166">
      <c r="A166" s="2">
        <f>IFERROR(__xludf.DUMMYFUNCTION("""COMPUTED_VALUE"""),9.003579311301E12)</f>
        <v>9003579311301</v>
      </c>
      <c r="B166" s="17" t="str">
        <f>IFERROR(__xludf.DUMMYFUNCTION("""COMPUTED_VALUE"""),"Royal Canin")</f>
        <v>Royal Canin</v>
      </c>
      <c r="C166" s="28" t="str">
        <f>IFERROR(__xludf.DUMMYFUNCTION("""COMPUTED_VALUE"""),"Sterilised Gravy Yaş Kedi Maması 85 gr")</f>
        <v>Sterilised Gravy Yaş Kedi Maması 85 gr</v>
      </c>
      <c r="D166" s="14">
        <f>IFERROR(__xludf.DUMMYFUNCTION("""COMPUTED_VALUE"""),71.0)</f>
        <v>71</v>
      </c>
      <c r="E166" s="14">
        <f>IFERROR(__xludf.DUMMYFUNCTION("""COMPUTED_VALUE"""),2.13)</f>
        <v>2.13</v>
      </c>
      <c r="F166" s="14">
        <f>IFERROR(__xludf.DUMMYFUNCTION("""COMPUTED_VALUE"""),86.4)</f>
        <v>86.4</v>
      </c>
      <c r="G166" s="14">
        <f>IFERROR(__xludf.DUMMYFUNCTION("""COMPUTED_VALUE"""),41.0)</f>
        <v>41</v>
      </c>
      <c r="H166" s="14">
        <f>IFERROR(__xludf.DUMMYFUNCTION("""COMPUTED_VALUE"""),13.19)</f>
        <v>13.19</v>
      </c>
      <c r="I166" s="14">
        <f>IFERROR(__xludf.DUMMYFUNCTION("""COMPUTED_VALUE"""),0.5916666666666667)</f>
        <v>0.5916666667</v>
      </c>
      <c r="J166" s="14">
        <f>IFERROR(__xludf.DUMMYFUNCTION("""COMPUTED_VALUE"""),0.0)</f>
        <v>0</v>
      </c>
      <c r="K166" s="14">
        <f>IFERROR(__xludf.DUMMYFUNCTION("""COMPUTED_VALUE"""),-72.31166666666667)</f>
        <v>-72.31166667</v>
      </c>
      <c r="L166" s="15">
        <f>IFERROR(__xludf.DUMMYFUNCTION("""COMPUTED_VALUE"""),-1.0184741784037559)</f>
        <v>-1.018474178</v>
      </c>
      <c r="M166" s="17" t="str">
        <f>IFERROR(__xludf.DUMMYFUNCTION("""COMPUTED_VALUE"""),"ZARAR")</f>
        <v>ZARAR</v>
      </c>
      <c r="N166" s="17" t="str">
        <f>IFERROR(__xludf.DUMMYFUNCTION("""COMPUTED_VALUE"""),"")</f>
        <v/>
      </c>
      <c r="O166" s="17">
        <f>IFERROR(__xludf.DUMMYFUNCTION("""COMPUTED_VALUE"""),1.0)</f>
        <v>1</v>
      </c>
      <c r="P166" s="17" t="str">
        <f>IFERROR(__xludf.DUMMYFUNCTION("""COMPUTED_VALUE"""),"")</f>
        <v/>
      </c>
      <c r="Q166" s="17" t="str">
        <f>IFERROR(__xludf.DUMMYFUNCTION("""COMPUTED_VALUE"""),"")</f>
        <v/>
      </c>
      <c r="R166" s="14">
        <f>IFERROR(__xludf.DUMMYFUNCTION("""COMPUTED_VALUE"""),146.19405677848985)</f>
        <v>146.1940568</v>
      </c>
      <c r="S166" s="14">
        <f>IFERROR(__xludf.DUMMYFUNCTION("""COMPUTED_VALUE"""),-75.19405677848985)</f>
        <v>-75.19405678</v>
      </c>
      <c r="T166" s="17" t="str">
        <f>IFERROR(__xludf.DUMMYFUNCTION("""COMPUTED_VALUE"""),"ZARAR")</f>
        <v>ZARAR</v>
      </c>
      <c r="U166" s="17" t="str">
        <f>IFERROR(__xludf.DUMMYFUNCTION("""COMPUTED_VALUE"""),"Fiyat, maliyet veya kampanya kontrol et")</f>
        <v>Fiyat, maliyet veya kampanya kontrol et</v>
      </c>
    </row>
    <row r="167">
      <c r="A167" s="2">
        <f>IFERROR(__xludf.DUMMYFUNCTION("""COMPUTED_VALUE"""),9.003579311844E12)</f>
        <v>9003579311844</v>
      </c>
      <c r="B167" s="17" t="str">
        <f>IFERROR(__xludf.DUMMYFUNCTION("""COMPUTED_VALUE"""),"Royal Canin")</f>
        <v>Royal Canin</v>
      </c>
      <c r="C167" s="28" t="str">
        <f>IFERROR(__xludf.DUMMYFUNCTION("""COMPUTED_VALUE"""),"Sterilised Jelly Kısırlaştırılmış Yetişkin Kedi Yaş Maması 85 Gr x 12")</f>
        <v>Sterilised Jelly Kısırlaştırılmış Yetişkin Kedi Yaş Maması 85 Gr x 12</v>
      </c>
      <c r="D167" s="14">
        <f>IFERROR(__xludf.DUMMYFUNCTION("""COMPUTED_VALUE"""),613.0)</f>
        <v>613</v>
      </c>
      <c r="E167" s="14">
        <f>IFERROR(__xludf.DUMMYFUNCTION("""COMPUTED_VALUE"""),76.625)</f>
        <v>76.625</v>
      </c>
      <c r="F167" s="14">
        <f>IFERROR(__xludf.DUMMYFUNCTION("""COMPUTED_VALUE"""),86.4)</f>
        <v>86.4</v>
      </c>
      <c r="G167" s="14">
        <f>IFERROR(__xludf.DUMMYFUNCTION("""COMPUTED_VALUE"""),504.0)</f>
        <v>504</v>
      </c>
      <c r="H167" s="14">
        <f>IFERROR(__xludf.DUMMYFUNCTION("""COMPUTED_VALUE"""),13.19)</f>
        <v>13.19</v>
      </c>
      <c r="I167" s="14">
        <f>IFERROR(__xludf.DUMMYFUNCTION("""COMPUTED_VALUE"""),5.108333333333333)</f>
        <v>5.108333333</v>
      </c>
      <c r="J167" s="14">
        <f>IFERROR(__xludf.DUMMYFUNCTION("""COMPUTED_VALUE"""),0.0)</f>
        <v>0</v>
      </c>
      <c r="K167" s="14">
        <f>IFERROR(__xludf.DUMMYFUNCTION("""COMPUTED_VALUE"""),-72.32333333333331)</f>
        <v>-72.32333333</v>
      </c>
      <c r="L167" s="15">
        <f>IFERROR(__xludf.DUMMYFUNCTION("""COMPUTED_VALUE"""),-0.11798259923871665)</f>
        <v>-0.1179825992</v>
      </c>
      <c r="M167" s="17" t="str">
        <f>IFERROR(__xludf.DUMMYFUNCTION("""COMPUTED_VALUE"""),"ZARAR")</f>
        <v>ZARAR</v>
      </c>
      <c r="N167" s="17" t="str">
        <f>IFERROR(__xludf.DUMMYFUNCTION("""COMPUTED_VALUE"""),"")</f>
        <v/>
      </c>
      <c r="O167" s="17">
        <f>IFERROR(__xludf.DUMMYFUNCTION("""COMPUTED_VALUE"""),1.0)</f>
        <v>1</v>
      </c>
      <c r="P167" s="17" t="str">
        <f>IFERROR(__xludf.DUMMYFUNCTION("""COMPUTED_VALUE"""),"")</f>
        <v/>
      </c>
      <c r="Q167" s="17" t="str">
        <f>IFERROR(__xludf.DUMMYFUNCTION("""COMPUTED_VALUE"""),"")</f>
        <v/>
      </c>
      <c r="R167" s="14">
        <f>IFERROR(__xludf.DUMMYFUNCTION("""COMPUTED_VALUE"""),696.4497321347185)</f>
        <v>696.4497321</v>
      </c>
      <c r="S167" s="14">
        <f>IFERROR(__xludf.DUMMYFUNCTION("""COMPUTED_VALUE"""),-83.44973213471849)</f>
        <v>-83.44973213</v>
      </c>
      <c r="T167" s="17" t="str">
        <f>IFERROR(__xludf.DUMMYFUNCTION("""COMPUTED_VALUE"""),"ZARAR")</f>
        <v>ZARAR</v>
      </c>
      <c r="U167" s="17" t="str">
        <f>IFERROR(__xludf.DUMMYFUNCTION("""COMPUTED_VALUE"""),"Fiyat, maliyet veya kampanya kontrol et")</f>
        <v>Fiyat, maliyet veya kampanya kontrol et</v>
      </c>
    </row>
    <row r="168">
      <c r="A168" s="2">
        <f>IFERROR(__xludf.DUMMYFUNCTION("""COMPUTED_VALUE"""),9.003579308929E12)</f>
        <v>9003579308929</v>
      </c>
      <c r="B168" s="17" t="str">
        <f>IFERROR(__xludf.DUMMYFUNCTION("""COMPUTED_VALUE"""),"Royal Canin")</f>
        <v>Royal Canin</v>
      </c>
      <c r="C168" s="28" t="str">
        <f>IFERROR(__xludf.DUMMYFUNCTION("""COMPUTED_VALUE"""),"Intense Beauty Gravy Pouch Yetişkin Kedi Konservesi 85 Gr")</f>
        <v>Intense Beauty Gravy Pouch Yetişkin Kedi Konservesi 85 Gr</v>
      </c>
      <c r="D168" s="14">
        <f>IFERROR(__xludf.DUMMYFUNCTION("""COMPUTED_VALUE"""),76.3)</f>
        <v>76.3</v>
      </c>
      <c r="E168" s="14">
        <f>IFERROR(__xludf.DUMMYFUNCTION("""COMPUTED_VALUE"""),9.5375)</f>
        <v>9.5375</v>
      </c>
      <c r="F168" s="14">
        <f>IFERROR(__xludf.DUMMYFUNCTION("""COMPUTED_VALUE"""),86.4)</f>
        <v>86.4</v>
      </c>
      <c r="G168" s="14">
        <f>IFERROR(__xludf.DUMMYFUNCTION("""COMPUTED_VALUE"""),41.0)</f>
        <v>41</v>
      </c>
      <c r="H168" s="14">
        <f>IFERROR(__xludf.DUMMYFUNCTION("""COMPUTED_VALUE"""),13.19)</f>
        <v>13.19</v>
      </c>
      <c r="I168" s="14">
        <f>IFERROR(__xludf.DUMMYFUNCTION("""COMPUTED_VALUE"""),0.6358333333333334)</f>
        <v>0.6358333333</v>
      </c>
      <c r="J168" s="14">
        <f>IFERROR(__xludf.DUMMYFUNCTION("""COMPUTED_VALUE"""),0.0)</f>
        <v>0</v>
      </c>
      <c r="K168" s="14">
        <f>IFERROR(__xludf.DUMMYFUNCTION("""COMPUTED_VALUE"""),-74.46333333333334)</f>
        <v>-74.46333333</v>
      </c>
      <c r="L168" s="15">
        <f>IFERROR(__xludf.DUMMYFUNCTION("""COMPUTED_VALUE"""),-0.9759283529925733)</f>
        <v>-0.975928353</v>
      </c>
      <c r="M168" s="17" t="str">
        <f>IFERROR(__xludf.DUMMYFUNCTION("""COMPUTED_VALUE"""),"ZARAR")</f>
        <v>ZARAR</v>
      </c>
      <c r="N168" s="17" t="str">
        <f>IFERROR(__xludf.DUMMYFUNCTION("""COMPUTED_VALUE"""),"")</f>
        <v/>
      </c>
      <c r="O168" s="17">
        <f>IFERROR(__xludf.DUMMYFUNCTION("""COMPUTED_VALUE"""),1.0)</f>
        <v>1</v>
      </c>
      <c r="P168" s="17" t="str">
        <f>IFERROR(__xludf.DUMMYFUNCTION("""COMPUTED_VALUE"""),"")</f>
        <v/>
      </c>
      <c r="Q168" s="17" t="str">
        <f>IFERROR(__xludf.DUMMYFUNCTION("""COMPUTED_VALUE"""),"")</f>
        <v/>
      </c>
      <c r="R168" s="14">
        <f>IFERROR(__xludf.DUMMYFUNCTION("""COMPUTED_VALUE"""),162.21916837724294)</f>
        <v>162.2191684</v>
      </c>
      <c r="S168" s="14">
        <f>IFERROR(__xludf.DUMMYFUNCTION("""COMPUTED_VALUE"""),-85.91916837724294)</f>
        <v>-85.91916838</v>
      </c>
      <c r="T168" s="17" t="str">
        <f>IFERROR(__xludf.DUMMYFUNCTION("""COMPUTED_VALUE"""),"ZARAR")</f>
        <v>ZARAR</v>
      </c>
      <c r="U168" s="17" t="str">
        <f>IFERROR(__xludf.DUMMYFUNCTION("""COMPUTED_VALUE"""),"Fiyat, maliyet veya kampanya kontrol et")</f>
        <v>Fiyat, maliyet veya kampanya kontrol et</v>
      </c>
    </row>
    <row r="169">
      <c r="A169" s="2">
        <f>IFERROR(__xludf.DUMMYFUNCTION("""COMPUTED_VALUE"""),7.613033568558E12)</f>
        <v>7613033568558</v>
      </c>
      <c r="B169" s="17" t="str">
        <f>IFERROR(__xludf.DUMMYFUNCTION("""COMPUTED_VALUE"""),"Pro Plan")</f>
        <v>Pro Plan</v>
      </c>
      <c r="C169" s="28" t="str">
        <f>IFERROR(__xludf.DUMMYFUNCTION("""COMPUTED_VALUE"""),"Sterilised Somonlu Kısırlaştırılmış Kedi Konservesi 85 Gr")</f>
        <v>Sterilised Somonlu Kısırlaştırılmış Kedi Konservesi 85 Gr</v>
      </c>
      <c r="D169" s="14">
        <f>IFERROR(__xludf.DUMMYFUNCTION("""COMPUTED_VALUE"""),72.0)</f>
        <v>72</v>
      </c>
      <c r="E169" s="14">
        <f>IFERROR(__xludf.DUMMYFUNCTION("""COMPUTED_VALUE"""),9.0)</f>
        <v>9</v>
      </c>
      <c r="F169" s="14">
        <f>IFERROR(__xludf.DUMMYFUNCTION("""COMPUTED_VALUE"""),86.4)</f>
        <v>86.4</v>
      </c>
      <c r="G169" s="14">
        <f>IFERROR(__xludf.DUMMYFUNCTION("""COMPUTED_VALUE"""),41.0)</f>
        <v>41</v>
      </c>
      <c r="H169" s="14">
        <f>IFERROR(__xludf.DUMMYFUNCTION("""COMPUTED_VALUE"""),13.19)</f>
        <v>13.19</v>
      </c>
      <c r="I169" s="14">
        <f>IFERROR(__xludf.DUMMYFUNCTION("""COMPUTED_VALUE"""),0.6)</f>
        <v>0.6</v>
      </c>
      <c r="J169" s="14">
        <f>IFERROR(__xludf.DUMMYFUNCTION("""COMPUTED_VALUE"""),0.0)</f>
        <v>0</v>
      </c>
      <c r="K169" s="14">
        <f>IFERROR(__xludf.DUMMYFUNCTION("""COMPUTED_VALUE"""),-78.19)</f>
        <v>-78.19</v>
      </c>
      <c r="L169" s="15">
        <f>IFERROR(__xludf.DUMMYFUNCTION("""COMPUTED_VALUE"""),-1.0859722222222221)</f>
        <v>-1.085972222</v>
      </c>
      <c r="M169" s="17" t="str">
        <f>IFERROR(__xludf.DUMMYFUNCTION("""COMPUTED_VALUE"""),"ZARAR")</f>
        <v>ZARAR</v>
      </c>
      <c r="N169" s="17" t="str">
        <f>IFERROR(__xludf.DUMMYFUNCTION("""COMPUTED_VALUE"""),"")</f>
        <v/>
      </c>
      <c r="O169" s="17">
        <f>IFERROR(__xludf.DUMMYFUNCTION("""COMPUTED_VALUE"""),1.0)</f>
        <v>1</v>
      </c>
      <c r="P169" s="17" t="str">
        <f>IFERROR(__xludf.DUMMYFUNCTION("""COMPUTED_VALUE"""),"")</f>
        <v/>
      </c>
      <c r="Q169" s="17" t="str">
        <f>IFERROR(__xludf.DUMMYFUNCTION("""COMPUTED_VALUE"""),"")</f>
        <v/>
      </c>
      <c r="R169" s="14">
        <f>IFERROR(__xludf.DUMMYFUNCTION("""COMPUTED_VALUE"""),162.21916837724294)</f>
        <v>162.2191684</v>
      </c>
      <c r="S169" s="14">
        <f>IFERROR(__xludf.DUMMYFUNCTION("""COMPUTED_VALUE"""),-90.21916837724294)</f>
        <v>-90.21916838</v>
      </c>
      <c r="T169" s="17" t="str">
        <f>IFERROR(__xludf.DUMMYFUNCTION("""COMPUTED_VALUE"""),"ZARAR")</f>
        <v>ZARAR</v>
      </c>
      <c r="U169" s="17" t="str">
        <f>IFERROR(__xludf.DUMMYFUNCTION("""COMPUTED_VALUE"""),"Fiyat, maliyet veya kampanya kontrol et")</f>
        <v>Fiyat, maliyet veya kampanya kontrol et</v>
      </c>
    </row>
    <row r="170">
      <c r="A170" s="2">
        <f>IFERROR(__xludf.DUMMYFUNCTION("""COMPUTED_VALUE"""),9.003579008201E12)</f>
        <v>9003579008201</v>
      </c>
      <c r="B170" s="17" t="str">
        <f>IFERROR(__xludf.DUMMYFUNCTION("""COMPUTED_VALUE"""),"Royal Canin")</f>
        <v>Royal Canin</v>
      </c>
      <c r="C170" s="28" t="str">
        <f>IFERROR(__xludf.DUMMYFUNCTION("""COMPUTED_VALUE"""),"Küçük Irklar için Yavru Yaş Köpek Maması 12 x 85g")</f>
        <v>Küçük Irklar için Yavru Yaş Köpek Maması 12 x 85g</v>
      </c>
      <c r="D170" s="14">
        <f>IFERROR(__xludf.DUMMYFUNCTION("""COMPUTED_VALUE"""),517.0)</f>
        <v>517</v>
      </c>
      <c r="E170" s="14">
        <f>IFERROR(__xludf.DUMMYFUNCTION("""COMPUTED_VALUE"""),41.36)</f>
        <v>41.36</v>
      </c>
      <c r="F170" s="14">
        <f>IFERROR(__xludf.DUMMYFUNCTION("""COMPUTED_VALUE"""),86.4)</f>
        <v>86.4</v>
      </c>
      <c r="G170" s="14">
        <f>IFERROR(__xludf.DUMMYFUNCTION("""COMPUTED_VALUE"""),452.4)</f>
        <v>452.4</v>
      </c>
      <c r="H170" s="14">
        <f>IFERROR(__xludf.DUMMYFUNCTION("""COMPUTED_VALUE"""),13.19)</f>
        <v>13.19</v>
      </c>
      <c r="I170" s="14">
        <f>IFERROR(__xludf.DUMMYFUNCTION("""COMPUTED_VALUE"""),4.308333333333334)</f>
        <v>4.308333333</v>
      </c>
      <c r="J170" s="14">
        <f>IFERROR(__xludf.DUMMYFUNCTION("""COMPUTED_VALUE"""),0.0)</f>
        <v>0</v>
      </c>
      <c r="K170" s="14">
        <f>IFERROR(__xludf.DUMMYFUNCTION("""COMPUTED_VALUE"""),-80.6583333333333)</f>
        <v>-80.65833333</v>
      </c>
      <c r="L170" s="15">
        <f>IFERROR(__xludf.DUMMYFUNCTION("""COMPUTED_VALUE"""),-0.15601225016118628)</f>
        <v>-0.1560122502</v>
      </c>
      <c r="M170" s="17" t="str">
        <f>IFERROR(__xludf.DUMMYFUNCTION("""COMPUTED_VALUE"""),"ZARAR")</f>
        <v>ZARAR</v>
      </c>
      <c r="N170" s="17" t="str">
        <f>IFERROR(__xludf.DUMMYFUNCTION("""COMPUTED_VALUE"""),"")</f>
        <v/>
      </c>
      <c r="O170" s="17">
        <f>IFERROR(__xludf.DUMMYFUNCTION("""COMPUTED_VALUE"""),1.0)</f>
        <v>1</v>
      </c>
      <c r="P170" s="17" t="str">
        <f>IFERROR(__xludf.DUMMYFUNCTION("""COMPUTED_VALUE"""),"")</f>
        <v/>
      </c>
      <c r="Q170" s="17" t="str">
        <f>IFERROR(__xludf.DUMMYFUNCTION("""COMPUTED_VALUE"""),"")</f>
        <v/>
      </c>
      <c r="R170" s="14">
        <f>IFERROR(__xludf.DUMMYFUNCTION("""COMPUTED_VALUE"""),605.4732703936854)</f>
        <v>605.4732704</v>
      </c>
      <c r="S170" s="14">
        <f>IFERROR(__xludf.DUMMYFUNCTION("""COMPUTED_VALUE"""),-88.47327039368543)</f>
        <v>-88.47327039</v>
      </c>
      <c r="T170" s="17" t="str">
        <f>IFERROR(__xludf.DUMMYFUNCTION("""COMPUTED_VALUE"""),"ZARAR")</f>
        <v>ZARAR</v>
      </c>
      <c r="U170" s="17" t="str">
        <f>IFERROR(__xludf.DUMMYFUNCTION("""COMPUTED_VALUE"""),"Fiyat, maliyet veya kampanya kontrol et")</f>
        <v>Fiyat, maliyet veya kampanya kontrol et</v>
      </c>
    </row>
    <row r="171">
      <c r="A171" s="2">
        <f>IFERROR(__xludf.DUMMYFUNCTION("""COMPUTED_VALUE"""),9.003579008249E12)</f>
        <v>9003579008249</v>
      </c>
      <c r="B171" s="17" t="str">
        <f>IFERROR(__xludf.DUMMYFUNCTION("""COMPUTED_VALUE"""),"Royal Canin")</f>
        <v>Royal Canin</v>
      </c>
      <c r="C171" s="28" t="str">
        <f>IFERROR(__xludf.DUMMYFUNCTION("""COMPUTED_VALUE"""),"Küçük Irklar için Yetişkin Yaş Köpek Maması 12 x 85g")</f>
        <v>Küçük Irklar için Yetişkin Yaş Köpek Maması 12 x 85g</v>
      </c>
      <c r="D171" s="14">
        <f>IFERROR(__xludf.DUMMYFUNCTION("""COMPUTED_VALUE"""),505.0)</f>
        <v>505</v>
      </c>
      <c r="E171" s="14">
        <f>IFERROR(__xludf.DUMMYFUNCTION("""COMPUTED_VALUE"""),55.045)</f>
        <v>55.045</v>
      </c>
      <c r="F171" s="14">
        <f>IFERROR(__xludf.DUMMYFUNCTION("""COMPUTED_VALUE"""),86.4)</f>
        <v>86.4</v>
      </c>
      <c r="G171" s="14">
        <f>IFERROR(__xludf.DUMMYFUNCTION("""COMPUTED_VALUE"""),434.28)</f>
        <v>434.28</v>
      </c>
      <c r="H171" s="14">
        <f>IFERROR(__xludf.DUMMYFUNCTION("""COMPUTED_VALUE"""),13.19)</f>
        <v>13.19</v>
      </c>
      <c r="I171" s="14">
        <f>IFERROR(__xludf.DUMMYFUNCTION("""COMPUTED_VALUE"""),4.208333333333334)</f>
        <v>4.208333333</v>
      </c>
      <c r="J171" s="14">
        <f>IFERROR(__xludf.DUMMYFUNCTION("""COMPUTED_VALUE"""),0.0)</f>
        <v>0</v>
      </c>
      <c r="K171" s="14">
        <f>IFERROR(__xludf.DUMMYFUNCTION("""COMPUTED_VALUE"""),-88.12333333333335)</f>
        <v>-88.12333333</v>
      </c>
      <c r="L171" s="15">
        <f>IFERROR(__xludf.DUMMYFUNCTION("""COMPUTED_VALUE"""),-0.17450165016501654)</f>
        <v>-0.1745016502</v>
      </c>
      <c r="M171" s="17" t="str">
        <f>IFERROR(__xludf.DUMMYFUNCTION("""COMPUTED_VALUE"""),"ZARAR")</f>
        <v>ZARAR</v>
      </c>
      <c r="N171" s="17" t="str">
        <f>IFERROR(__xludf.DUMMYFUNCTION("""COMPUTED_VALUE"""),"")</f>
        <v/>
      </c>
      <c r="O171" s="17">
        <f>IFERROR(__xludf.DUMMYFUNCTION("""COMPUTED_VALUE"""),2.0)</f>
        <v>2</v>
      </c>
      <c r="P171" s="17" t="str">
        <f>IFERROR(__xludf.DUMMYFUNCTION("""COMPUTED_VALUE"""),"")</f>
        <v/>
      </c>
      <c r="Q171" s="17" t="str">
        <f>IFERROR(__xludf.DUMMYFUNCTION("""COMPUTED_VALUE"""),"")</f>
        <v/>
      </c>
      <c r="R171" s="14">
        <f>IFERROR(__xludf.DUMMYFUNCTION("""COMPUTED_VALUE"""),604.8373848801417)</f>
        <v>604.8373849</v>
      </c>
      <c r="S171" s="14">
        <f>IFERROR(__xludf.DUMMYFUNCTION("""COMPUTED_VALUE"""),-99.83738488014171)</f>
        <v>-99.83738488</v>
      </c>
      <c r="T171" s="17" t="str">
        <f>IFERROR(__xludf.DUMMYFUNCTION("""COMPUTED_VALUE"""),"ZARAR")</f>
        <v>ZARAR</v>
      </c>
      <c r="U171" s="17" t="str">
        <f>IFERROR(__xludf.DUMMYFUNCTION("""COMPUTED_VALUE"""),"Fiyat, maliyet veya kampanya kontrol et")</f>
        <v>Fiyat, maliyet veya kampanya kontrol et</v>
      </c>
    </row>
    <row r="172">
      <c r="A172" s="2">
        <f>IFERROR(__xludf.DUMMYFUNCTION("""COMPUTED_VALUE"""),5.274203597E10)</f>
        <v>52742035970</v>
      </c>
      <c r="B172" s="17" t="str">
        <f>IFERROR(__xludf.DUMMYFUNCTION("""COMPUTED_VALUE"""),"Hill's")</f>
        <v>Hill's</v>
      </c>
      <c r="C172" s="28" t="str">
        <f>IFERROR(__xludf.DUMMYFUNCTION("""COMPUTED_VALUE"""),"Hill’s SCIENCE PLAN Sterilised Ördekli Kısırlaştırılmış Kedi Maması 1,5 Kg")</f>
        <v>Hill’s SCIENCE PLAN Sterilised Ördekli Kısırlaştırılmış Kedi Maması 1,5 Kg</v>
      </c>
      <c r="D172" s="14">
        <f>IFERROR(__xludf.DUMMYFUNCTION("""COMPUTED_VALUE"""),1070.0)</f>
        <v>1070</v>
      </c>
      <c r="E172" s="14">
        <f>IFERROR(__xludf.DUMMYFUNCTION("""COMPUTED_VALUE"""),99.51)</f>
        <v>99.51</v>
      </c>
      <c r="F172" s="14">
        <f>IFERROR(__xludf.DUMMYFUNCTION("""COMPUTED_VALUE"""),90.0)</f>
        <v>90</v>
      </c>
      <c r="G172" s="14">
        <f>IFERROR(__xludf.DUMMYFUNCTION("""COMPUTED_VALUE"""),948.0)</f>
        <v>948</v>
      </c>
      <c r="H172" s="14">
        <f>IFERROR(__xludf.DUMMYFUNCTION("""COMPUTED_VALUE"""),13.19)</f>
        <v>13.19</v>
      </c>
      <c r="I172" s="14">
        <f>IFERROR(__xludf.DUMMYFUNCTION("""COMPUTED_VALUE"""),8.916666666666668)</f>
        <v>8.916666667</v>
      </c>
      <c r="J172" s="14">
        <f>IFERROR(__xludf.DUMMYFUNCTION("""COMPUTED_VALUE"""),0.0)</f>
        <v>0</v>
      </c>
      <c r="K172" s="14">
        <f>IFERROR(__xludf.DUMMYFUNCTION("""COMPUTED_VALUE"""),-89.61666666666666)</f>
        <v>-89.61666667</v>
      </c>
      <c r="L172" s="15">
        <f>IFERROR(__xludf.DUMMYFUNCTION("""COMPUTED_VALUE"""),-0.08375389408099689)</f>
        <v>-0.08375389408</v>
      </c>
      <c r="M172" s="17" t="str">
        <f>IFERROR(__xludf.DUMMYFUNCTION("""COMPUTED_VALUE"""),"ZARAR")</f>
        <v>ZARAR</v>
      </c>
      <c r="N172" s="17" t="str">
        <f>IFERROR(__xludf.DUMMYFUNCTION("""COMPUTED_VALUE"""),"")</f>
        <v/>
      </c>
      <c r="O172" s="17">
        <f>IFERROR(__xludf.DUMMYFUNCTION("""COMPUTED_VALUE"""),3.0)</f>
        <v>3</v>
      </c>
      <c r="P172" s="17" t="str">
        <f>IFERROR(__xludf.DUMMYFUNCTION("""COMPUTED_VALUE"""),"")</f>
        <v/>
      </c>
      <c r="Q172" s="17" t="str">
        <f>IFERROR(__xludf.DUMMYFUNCTION("""COMPUTED_VALUE"""),"")</f>
        <v/>
      </c>
      <c r="R172" s="14">
        <f>IFERROR(__xludf.DUMMYFUNCTION("""COMPUTED_VALUE"""),1169.7213762161068)</f>
        <v>1169.721376</v>
      </c>
      <c r="S172" s="14">
        <f>IFERROR(__xludf.DUMMYFUNCTION("""COMPUTED_VALUE"""),-99.72137621610682)</f>
        <v>-99.72137622</v>
      </c>
      <c r="T172" s="17" t="str">
        <f>IFERROR(__xludf.DUMMYFUNCTION("""COMPUTED_VALUE"""),"ZARAR")</f>
        <v>ZARAR</v>
      </c>
      <c r="U172" s="17" t="str">
        <f>IFERROR(__xludf.DUMMYFUNCTION("""COMPUTED_VALUE"""),"Fiyat, maliyet veya kampanya kontrol et")</f>
        <v>Fiyat, maliyet veya kampanya kontrol et</v>
      </c>
    </row>
    <row r="173">
      <c r="A173" s="2">
        <f>IFERROR(__xludf.DUMMYFUNCTION("""COMPUTED_VALUE"""),7.613033560033E12)</f>
        <v>7613033560033</v>
      </c>
      <c r="B173" s="17" t="str">
        <f>IFERROR(__xludf.DUMMYFUNCTION("""COMPUTED_VALUE"""),"Pro Plan")</f>
        <v>Pro Plan</v>
      </c>
      <c r="C173" s="28" t="str">
        <f>IFERROR(__xludf.DUMMYFUNCTION("""COMPUTED_VALUE"""),"Sterilised Hindi-Tavuk Kısırlaştırılmış Kedi Maması 3 Kg")</f>
        <v>Sterilised Hindi-Tavuk Kısırlaştırılmış Kedi Maması 3 Kg</v>
      </c>
      <c r="D173" s="14">
        <f>IFERROR(__xludf.DUMMYFUNCTION("""COMPUTED_VALUE"""),1299.0)</f>
        <v>1299</v>
      </c>
      <c r="E173" s="14">
        <f>IFERROR(__xludf.DUMMYFUNCTION("""COMPUTED_VALUE"""),116.91)</f>
        <v>116.91</v>
      </c>
      <c r="F173" s="14">
        <f>IFERROR(__xludf.DUMMYFUNCTION("""COMPUTED_VALUE"""),90.0)</f>
        <v>90</v>
      </c>
      <c r="G173" s="14">
        <f>IFERROR(__xludf.DUMMYFUNCTION("""COMPUTED_VALUE"""),1165.0)</f>
        <v>1165</v>
      </c>
      <c r="H173" s="14">
        <f>IFERROR(__xludf.DUMMYFUNCTION("""COMPUTED_VALUE"""),13.19)</f>
        <v>13.19</v>
      </c>
      <c r="I173" s="14">
        <f>IFERROR(__xludf.DUMMYFUNCTION("""COMPUTED_VALUE"""),10.825000000000001)</f>
        <v>10.825</v>
      </c>
      <c r="J173" s="14">
        <f>IFERROR(__xludf.DUMMYFUNCTION("""COMPUTED_VALUE"""),0.0)</f>
        <v>0</v>
      </c>
      <c r="K173" s="14">
        <f>IFERROR(__xludf.DUMMYFUNCTION("""COMPUTED_VALUE"""),-96.92500000000008)</f>
        <v>-96.925</v>
      </c>
      <c r="L173" s="15">
        <f>IFERROR(__xludf.DUMMYFUNCTION("""COMPUTED_VALUE"""),-0.07461508852963825)</f>
        <v>-0.07461508853</v>
      </c>
      <c r="M173" s="17" t="str">
        <f>IFERROR(__xludf.DUMMYFUNCTION("""COMPUTED_VALUE"""),"ZARAR")</f>
        <v>ZARAR</v>
      </c>
      <c r="N173" s="17" t="str">
        <f>IFERROR(__xludf.DUMMYFUNCTION("""COMPUTED_VALUE"""),"")</f>
        <v/>
      </c>
      <c r="O173" s="17">
        <f>IFERROR(__xludf.DUMMYFUNCTION("""COMPUTED_VALUE"""),3.0)</f>
        <v>3</v>
      </c>
      <c r="P173" s="17" t="str">
        <f>IFERROR(__xludf.DUMMYFUNCTION("""COMPUTED_VALUE"""),"")</f>
        <v/>
      </c>
      <c r="Q173" s="17" t="str">
        <f>IFERROR(__xludf.DUMMYFUNCTION("""COMPUTED_VALUE"""),"")</f>
        <v/>
      </c>
      <c r="R173" s="14">
        <f>IFERROR(__xludf.DUMMYFUNCTION("""COMPUTED_VALUE"""),1406.4948589667804)</f>
        <v>1406.494859</v>
      </c>
      <c r="S173" s="14">
        <f>IFERROR(__xludf.DUMMYFUNCTION("""COMPUTED_VALUE"""),-107.49485896678038)</f>
        <v>-107.494859</v>
      </c>
      <c r="T173" s="17" t="str">
        <f>IFERROR(__xludf.DUMMYFUNCTION("""COMPUTED_VALUE"""),"ZARAR")</f>
        <v>ZARAR</v>
      </c>
      <c r="U173" s="17" t="str">
        <f>IFERROR(__xludf.DUMMYFUNCTION("""COMPUTED_VALUE"""),"Fiyat, maliyet veya kampanya kontrol et")</f>
        <v>Fiyat, maliyet veya kampanya kontrol et</v>
      </c>
    </row>
    <row r="174">
      <c r="A174" s="2">
        <f>IFERROR(__xludf.DUMMYFUNCTION("""COMPUTED_VALUE"""),7.613033566387E12)</f>
        <v>7613033566387</v>
      </c>
      <c r="B174" s="17" t="str">
        <f>IFERROR(__xludf.DUMMYFUNCTION("""COMPUTED_VALUE"""),"Pro Plan")</f>
        <v>Pro Plan</v>
      </c>
      <c r="C174" s="28" t="str">
        <f>IFERROR(__xludf.DUMMYFUNCTION("""COMPUTED_VALUE"""),"Renal Plus Sterilised, Somonlu Kısırlaştırılmış Kedi Maması 1.5 Kg")</f>
        <v>Renal Plus Sterilised, Somonlu Kısırlaştırılmış Kedi Maması 1.5 Kg</v>
      </c>
      <c r="D174" s="14">
        <f>IFERROR(__xludf.DUMMYFUNCTION("""COMPUTED_VALUE"""),781.3)</f>
        <v>781.3</v>
      </c>
      <c r="E174" s="14">
        <f>IFERROR(__xludf.DUMMYFUNCTION("""COMPUTED_VALUE"""),68.7544)</f>
        <v>68.7544</v>
      </c>
      <c r="F174" s="14">
        <f>IFERROR(__xludf.DUMMYFUNCTION("""COMPUTED_VALUE"""),90.0)</f>
        <v>90</v>
      </c>
      <c r="G174" s="14">
        <f>IFERROR(__xludf.DUMMYFUNCTION("""COMPUTED_VALUE"""),710.0)</f>
        <v>710</v>
      </c>
      <c r="H174" s="14">
        <f>IFERROR(__xludf.DUMMYFUNCTION("""COMPUTED_VALUE"""),13.19)</f>
        <v>13.19</v>
      </c>
      <c r="I174" s="14">
        <f>IFERROR(__xludf.DUMMYFUNCTION("""COMPUTED_VALUE"""),6.510833333333334)</f>
        <v>6.510833333</v>
      </c>
      <c r="J174" s="14">
        <f>IFERROR(__xludf.DUMMYFUNCTION("""COMPUTED_VALUE"""),0.0)</f>
        <v>0</v>
      </c>
      <c r="K174" s="14">
        <f>IFERROR(__xludf.DUMMYFUNCTION("""COMPUTED_VALUE"""),-107.15523333333341)</f>
        <v>-107.1552333</v>
      </c>
      <c r="L174" s="15">
        <f>IFERROR(__xludf.DUMMYFUNCTION("""COMPUTED_VALUE"""),-0.1371499210717182)</f>
        <v>-0.1371499211</v>
      </c>
      <c r="M174" s="17" t="str">
        <f>IFERROR(__xludf.DUMMYFUNCTION("""COMPUTED_VALUE"""),"ZARAR")</f>
        <v>ZARAR</v>
      </c>
      <c r="N174" s="17" t="str">
        <f>IFERROR(__xludf.DUMMYFUNCTION("""COMPUTED_VALUE"""),"")</f>
        <v/>
      </c>
      <c r="O174" s="17">
        <f>IFERROR(__xludf.DUMMYFUNCTION("""COMPUTED_VALUE"""),3.0)</f>
        <v>3</v>
      </c>
      <c r="P174" s="17" t="str">
        <f>IFERROR(__xludf.DUMMYFUNCTION("""COMPUTED_VALUE"""),"")</f>
        <v/>
      </c>
      <c r="Q174" s="17" t="str">
        <f>IFERROR(__xludf.DUMMYFUNCTION("""COMPUTED_VALUE"""),"")</f>
        <v/>
      </c>
      <c r="R174" s="14">
        <f>IFERROR(__xludf.DUMMYFUNCTION("""COMPUTED_VALUE"""),899.8779417639463)</f>
        <v>899.8779418</v>
      </c>
      <c r="S174" s="14">
        <f>IFERROR(__xludf.DUMMYFUNCTION("""COMPUTED_VALUE"""),-118.57794176394634)</f>
        <v>-118.5779418</v>
      </c>
      <c r="T174" s="17" t="str">
        <f>IFERROR(__xludf.DUMMYFUNCTION("""COMPUTED_VALUE"""),"ZARAR")</f>
        <v>ZARAR</v>
      </c>
      <c r="U174" s="17" t="str">
        <f>IFERROR(__xludf.DUMMYFUNCTION("""COMPUTED_VALUE"""),"Fiyat, maliyet veya kampanya kontrol et")</f>
        <v>Fiyat, maliyet veya kampanya kontrol et</v>
      </c>
    </row>
    <row r="175">
      <c r="A175" s="2">
        <f>IFERROR(__xludf.DUMMYFUNCTION("""COMPUTED_VALUE"""),8.684207638772E12)</f>
        <v>8684207638772</v>
      </c>
      <c r="B175" s="17" t="str">
        <f>IFERROR(__xludf.DUMMYFUNCTION("""COMPUTED_VALUE"""),"Supreme Cat")</f>
        <v>Supreme Cat</v>
      </c>
      <c r="C175" s="28" t="str">
        <f>IFERROR(__xludf.DUMMYFUNCTION("""COMPUTED_VALUE"""),"Ördek &amp; Somon Kıyılmış Konserve Kedi Yaş Maması 85 gr")</f>
        <v>Ördek &amp; Somon Kıyılmış Konserve Kedi Yaş Maması 85 gr</v>
      </c>
      <c r="D175" s="14">
        <f>IFERROR(__xludf.DUMMYFUNCTION("""COMPUTED_VALUE"""),594.0)</f>
        <v>594</v>
      </c>
      <c r="E175" s="14">
        <f>IFERROR(__xludf.DUMMYFUNCTION("""COMPUTED_VALUE"""),98.01)</f>
        <v>98.01</v>
      </c>
      <c r="F175" s="14">
        <f>IFERROR(__xludf.DUMMYFUNCTION("""COMPUTED_VALUE"""),90.0)</f>
        <v>90</v>
      </c>
      <c r="G175" s="14">
        <f>IFERROR(__xludf.DUMMYFUNCTION("""COMPUTED_VALUE"""),500.0)</f>
        <v>500</v>
      </c>
      <c r="H175" s="14">
        <f>IFERROR(__xludf.DUMMYFUNCTION("""COMPUTED_VALUE"""),13.19)</f>
        <v>13.19</v>
      </c>
      <c r="I175" s="14">
        <f>IFERROR(__xludf.DUMMYFUNCTION("""COMPUTED_VALUE"""),4.95)</f>
        <v>4.95</v>
      </c>
      <c r="J175" s="14">
        <f>IFERROR(__xludf.DUMMYFUNCTION("""COMPUTED_VALUE"""),0.0)</f>
        <v>0</v>
      </c>
      <c r="K175" s="14">
        <f>IFERROR(__xludf.DUMMYFUNCTION("""COMPUTED_VALUE"""),-112.14999999999999)</f>
        <v>-112.15</v>
      </c>
      <c r="L175" s="15">
        <f>IFERROR(__xludf.DUMMYFUNCTION("""COMPUTED_VALUE"""),-0.18880471380471378)</f>
        <v>-0.1888047138</v>
      </c>
      <c r="M175" s="17" t="str">
        <f>IFERROR(__xludf.DUMMYFUNCTION("""COMPUTED_VALUE"""),"ZARAR")</f>
        <v>ZARAR</v>
      </c>
      <c r="N175" s="17" t="str">
        <f>IFERROR(__xludf.DUMMYFUNCTION("""COMPUTED_VALUE"""),"")</f>
        <v/>
      </c>
      <c r="O175" s="17">
        <f>IFERROR(__xludf.DUMMYFUNCTION("""COMPUTED_VALUE"""),3.0)</f>
        <v>3</v>
      </c>
      <c r="P175" s="17" t="str">
        <f>IFERROR(__xludf.DUMMYFUNCTION("""COMPUTED_VALUE"""),"")</f>
        <v/>
      </c>
      <c r="Q175" s="17" t="str">
        <f>IFERROR(__xludf.DUMMYFUNCTION("""COMPUTED_VALUE"""),"")</f>
        <v/>
      </c>
      <c r="R175" s="14">
        <f>IFERROR(__xludf.DUMMYFUNCTION("""COMPUTED_VALUE"""),729.6650283608758)</f>
        <v>729.6650284</v>
      </c>
      <c r="S175" s="14">
        <f>IFERROR(__xludf.DUMMYFUNCTION("""COMPUTED_VALUE"""),-135.6650283608758)</f>
        <v>-135.6650284</v>
      </c>
      <c r="T175" s="17" t="str">
        <f>IFERROR(__xludf.DUMMYFUNCTION("""COMPUTED_VALUE"""),"ZARAR")</f>
        <v>ZARAR</v>
      </c>
      <c r="U175" s="17" t="str">
        <f>IFERROR(__xludf.DUMMYFUNCTION("""COMPUTED_VALUE"""),"Fiyat, maliyet veya kampanya kontrol et")</f>
        <v>Fiyat, maliyet veya kampanya kontrol et</v>
      </c>
    </row>
    <row r="176">
      <c r="A176" s="2">
        <f>IFERROR(__xludf.DUMMYFUNCTION("""COMPUTED_VALUE"""),9.003579013748E12)</f>
        <v>9003579013748</v>
      </c>
      <c r="B176" s="17" t="str">
        <f>IFERROR(__xludf.DUMMYFUNCTION("""COMPUTED_VALUE"""),"Royal Canin")</f>
        <v>Royal Canin</v>
      </c>
      <c r="C176" s="28" t="str">
        <f>IFERROR(__xludf.DUMMYFUNCTION("""COMPUTED_VALUE"""),"Köpek Mama Pomeranian Köpek Konserve 12X85GR")</f>
        <v>Köpek Mama Pomeranian Köpek Konserve 12X85GR</v>
      </c>
      <c r="D176" s="14">
        <f>IFERROR(__xludf.DUMMYFUNCTION("""COMPUTED_VALUE"""),540.0)</f>
        <v>540</v>
      </c>
      <c r="E176" s="14">
        <f>IFERROR(__xludf.DUMMYFUNCTION("""COMPUTED_VALUE"""),67.5)</f>
        <v>67.5</v>
      </c>
      <c r="F176" s="14">
        <f>IFERROR(__xludf.DUMMYFUNCTION("""COMPUTED_VALUE"""),86.4)</f>
        <v>86.4</v>
      </c>
      <c r="G176" s="14">
        <f>IFERROR(__xludf.DUMMYFUNCTION("""COMPUTED_VALUE"""),487.2)</f>
        <v>487.2</v>
      </c>
      <c r="H176" s="14">
        <f>IFERROR(__xludf.DUMMYFUNCTION("""COMPUTED_VALUE"""),13.19)</f>
        <v>13.19</v>
      </c>
      <c r="I176" s="14">
        <f>IFERROR(__xludf.DUMMYFUNCTION("""COMPUTED_VALUE"""),4.5)</f>
        <v>4.5</v>
      </c>
      <c r="J176" s="14">
        <f>IFERROR(__xludf.DUMMYFUNCTION("""COMPUTED_VALUE"""),0.0)</f>
        <v>0</v>
      </c>
      <c r="K176" s="14">
        <f>IFERROR(__xludf.DUMMYFUNCTION("""COMPUTED_VALUE"""),-118.78999999999996)</f>
        <v>-118.79</v>
      </c>
      <c r="L176" s="15">
        <f>IFERROR(__xludf.DUMMYFUNCTION("""COMPUTED_VALUE"""),-0.21998148148148142)</f>
        <v>-0.2199814815</v>
      </c>
      <c r="M176" s="17" t="str">
        <f>IFERROR(__xludf.DUMMYFUNCTION("""COMPUTED_VALUE"""),"ZARAR")</f>
        <v>ZARAR</v>
      </c>
      <c r="N176" s="17" t="str">
        <f>IFERROR(__xludf.DUMMYFUNCTION("""COMPUTED_VALUE"""),"")</f>
        <v/>
      </c>
      <c r="O176" s="17">
        <f>IFERROR(__xludf.DUMMYFUNCTION("""COMPUTED_VALUE"""),2.0)</f>
        <v>2</v>
      </c>
      <c r="P176" s="17" t="str">
        <f>IFERROR(__xludf.DUMMYFUNCTION("""COMPUTED_VALUE"""),"")</f>
        <v/>
      </c>
      <c r="Q176" s="17" t="str">
        <f>IFERROR(__xludf.DUMMYFUNCTION("""COMPUTED_VALUE"""),"")</f>
        <v/>
      </c>
      <c r="R176" s="14">
        <f>IFERROR(__xludf.DUMMYFUNCTION("""COMPUTED_VALUE"""),677.0651242057215)</f>
        <v>677.0651242</v>
      </c>
      <c r="S176" s="14">
        <f>IFERROR(__xludf.DUMMYFUNCTION("""COMPUTED_VALUE"""),-137.06512420572153)</f>
        <v>-137.0651242</v>
      </c>
      <c r="T176" s="17" t="str">
        <f>IFERROR(__xludf.DUMMYFUNCTION("""COMPUTED_VALUE"""),"ZARAR")</f>
        <v>ZARAR</v>
      </c>
      <c r="U176" s="17" t="str">
        <f>IFERROR(__xludf.DUMMYFUNCTION("""COMPUTED_VALUE"""),"Fiyat, maliyet veya kampanya kontrol et")</f>
        <v>Fiyat, maliyet veya kampanya kontrol et</v>
      </c>
    </row>
    <row r="177">
      <c r="A177" s="2" t="str">
        <f>IFERROR(__xludf.DUMMYFUNCTION("""COMPUTED_VALUE"""),"HBCV0000CCFV8V")</f>
        <v>HBCV0000CCFV8V</v>
      </c>
      <c r="B177" s="17" t="str">
        <f>IFERROR(__xludf.DUMMYFUNCTION("""COMPUTED_VALUE"""),"Pro Plan")</f>
        <v>Pro Plan</v>
      </c>
      <c r="C177" s="28" t="str">
        <f>IFERROR(__xludf.DUMMYFUNCTION("""COMPUTED_VALUE"""),"Kitten Yavru Kedi Kuru Maması 400 gr 4 Adet")</f>
        <v>Kitten Yavru Kedi Kuru Maması 400 gr 4 Adet</v>
      </c>
      <c r="D177" s="14">
        <f>IFERROR(__xludf.DUMMYFUNCTION("""COMPUTED_VALUE"""),650.0)</f>
        <v>650</v>
      </c>
      <c r="E177" s="14">
        <f>IFERROR(__xludf.DUMMYFUNCTION("""COMPUTED_VALUE"""),81.25)</f>
        <v>81.25</v>
      </c>
      <c r="F177" s="14">
        <f>IFERROR(__xludf.DUMMYFUNCTION("""COMPUTED_VALUE"""),90.0)</f>
        <v>90</v>
      </c>
      <c r="G177" s="14">
        <f>IFERROR(__xludf.DUMMYFUNCTION("""COMPUTED_VALUE"""),580.0)</f>
        <v>580</v>
      </c>
      <c r="H177" s="14">
        <f>IFERROR(__xludf.DUMMYFUNCTION("""COMPUTED_VALUE"""),13.19)</f>
        <v>13.19</v>
      </c>
      <c r="I177" s="14">
        <f>IFERROR(__xludf.DUMMYFUNCTION("""COMPUTED_VALUE"""),5.416666666666668)</f>
        <v>5.416666667</v>
      </c>
      <c r="J177" s="14">
        <f>IFERROR(__xludf.DUMMYFUNCTION("""COMPUTED_VALUE"""),0.0)</f>
        <v>0</v>
      </c>
      <c r="K177" s="14">
        <f>IFERROR(__xludf.DUMMYFUNCTION("""COMPUTED_VALUE"""),-119.85666666666667)</f>
        <v>-119.8566667</v>
      </c>
      <c r="L177" s="15">
        <f>IFERROR(__xludf.DUMMYFUNCTION("""COMPUTED_VALUE"""),-0.1843948717948718)</f>
        <v>-0.1843948718</v>
      </c>
      <c r="M177" s="17" t="str">
        <f>IFERROR(__xludf.DUMMYFUNCTION("""COMPUTED_VALUE"""),"ZARAR")</f>
        <v>ZARAR</v>
      </c>
      <c r="N177" s="17" t="str">
        <f>IFERROR(__xludf.DUMMYFUNCTION("""COMPUTED_VALUE"""),"")</f>
        <v/>
      </c>
      <c r="O177" s="17">
        <f>IFERROR(__xludf.DUMMYFUNCTION("""COMPUTED_VALUE"""),3.0)</f>
        <v>3</v>
      </c>
      <c r="P177" s="17" t="str">
        <f>IFERROR(__xludf.DUMMYFUNCTION("""COMPUTED_VALUE"""),"")</f>
        <v/>
      </c>
      <c r="Q177" s="17" t="str">
        <f>IFERROR(__xludf.DUMMYFUNCTION("""COMPUTED_VALUE"""),"")</f>
        <v/>
      </c>
      <c r="R177" s="14">
        <f>IFERROR(__xludf.DUMMYFUNCTION("""COMPUTED_VALUE"""),788.2958506554421)</f>
        <v>788.2958507</v>
      </c>
      <c r="S177" s="14">
        <f>IFERROR(__xludf.DUMMYFUNCTION("""COMPUTED_VALUE"""),-138.2958506554421)</f>
        <v>-138.2958507</v>
      </c>
      <c r="T177" s="17" t="str">
        <f>IFERROR(__xludf.DUMMYFUNCTION("""COMPUTED_VALUE"""),"ZARAR")</f>
        <v>ZARAR</v>
      </c>
      <c r="U177" s="17" t="str">
        <f>IFERROR(__xludf.DUMMYFUNCTION("""COMPUTED_VALUE"""),"Fiyat, maliyet veya kampanya kontrol et")</f>
        <v>Fiyat, maliyet veya kampanya kontrol et</v>
      </c>
    </row>
    <row r="178">
      <c r="A178" s="2">
        <f>IFERROR(__xludf.DUMMYFUNCTION("""COMPUTED_VALUE"""),9.003579308738E12)</f>
        <v>9003579308738</v>
      </c>
      <c r="B178" s="17" t="str">
        <f>IFERROR(__xludf.DUMMYFUNCTION("""COMPUTED_VALUE"""),"Royal Canin")</f>
        <v>Royal Canin</v>
      </c>
      <c r="C178" s="28" t="str">
        <f>IFERROR(__xludf.DUMMYFUNCTION("""COMPUTED_VALUE"""),"Instinctive Yaş Kedi Maması 12 x 85g")</f>
        <v>Instinctive Yaş Kedi Maması 12 x 85g</v>
      </c>
      <c r="D178" s="14">
        <f>IFERROR(__xludf.DUMMYFUNCTION("""COMPUTED_VALUE"""),527.09)</f>
        <v>527.09</v>
      </c>
      <c r="E178" s="14">
        <f>IFERROR(__xludf.DUMMYFUNCTION("""COMPUTED_VALUE"""),42.1672)</f>
        <v>42.1672</v>
      </c>
      <c r="F178" s="14">
        <f>IFERROR(__xludf.DUMMYFUNCTION("""COMPUTED_VALUE"""),86.4)</f>
        <v>86.4</v>
      </c>
      <c r="G178" s="14">
        <f>IFERROR(__xludf.DUMMYFUNCTION("""COMPUTED_VALUE"""),504.0)</f>
        <v>504</v>
      </c>
      <c r="H178" s="14">
        <f>IFERROR(__xludf.DUMMYFUNCTION("""COMPUTED_VALUE"""),13.19)</f>
        <v>13.19</v>
      </c>
      <c r="I178" s="14">
        <f>IFERROR(__xludf.DUMMYFUNCTION("""COMPUTED_VALUE"""),4.3924166666666675)</f>
        <v>4.392416667</v>
      </c>
      <c r="J178" s="14">
        <f>IFERROR(__xludf.DUMMYFUNCTION("""COMPUTED_VALUE"""),0.0)</f>
        <v>0</v>
      </c>
      <c r="K178" s="14">
        <f>IFERROR(__xludf.DUMMYFUNCTION("""COMPUTED_VALUE"""),-123.05961666666659)</f>
        <v>-123.0596167</v>
      </c>
      <c r="L178" s="15">
        <f>IFERROR(__xludf.DUMMYFUNCTION("""COMPUTED_VALUE"""),-0.23346983753565156)</f>
        <v>-0.2334698375</v>
      </c>
      <c r="M178" s="17" t="str">
        <f>IFERROR(__xludf.DUMMYFUNCTION("""COMPUTED_VALUE"""),"ZARAR")</f>
        <v>ZARAR</v>
      </c>
      <c r="N178" s="17" t="str">
        <f>IFERROR(__xludf.DUMMYFUNCTION("""COMPUTED_VALUE"""),"")</f>
        <v/>
      </c>
      <c r="O178" s="17">
        <f>IFERROR(__xludf.DUMMYFUNCTION("""COMPUTED_VALUE"""),2.0)</f>
        <v>2</v>
      </c>
      <c r="P178" s="17" t="str">
        <f>IFERROR(__xludf.DUMMYFUNCTION("""COMPUTED_VALUE"""),"")</f>
        <v/>
      </c>
      <c r="Q178" s="17" t="str">
        <f>IFERROR(__xludf.DUMMYFUNCTION("""COMPUTED_VALUE"""),"")</f>
        <v/>
      </c>
      <c r="R178" s="14">
        <f>IFERROR(__xludf.DUMMYFUNCTION("""COMPUTED_VALUE"""),662.0728840684154)</f>
        <v>662.0728841</v>
      </c>
      <c r="S178" s="14">
        <f>IFERROR(__xludf.DUMMYFUNCTION("""COMPUTED_VALUE"""),-134.9828840684154)</f>
        <v>-134.9828841</v>
      </c>
      <c r="T178" s="17" t="str">
        <f>IFERROR(__xludf.DUMMYFUNCTION("""COMPUTED_VALUE"""),"ZARAR")</f>
        <v>ZARAR</v>
      </c>
      <c r="U178" s="17" t="str">
        <f>IFERROR(__xludf.DUMMYFUNCTION("""COMPUTED_VALUE"""),"Fiyat, maliyet veya kampanya kontrol et")</f>
        <v>Fiyat, maliyet veya kampanya kontrol et</v>
      </c>
    </row>
    <row r="179">
      <c r="A179" s="2">
        <f>IFERROR(__xludf.DUMMYFUNCTION("""COMPUTED_VALUE"""),9.003579308745E12)</f>
        <v>9003579308745</v>
      </c>
      <c r="B179" s="17" t="str">
        <f>IFERROR(__xludf.DUMMYFUNCTION("""COMPUTED_VALUE"""),"Royal Canin")</f>
        <v>Royal Canin</v>
      </c>
      <c r="C179" s="28" t="str">
        <f>IFERROR(__xludf.DUMMYFUNCTION("""COMPUTED_VALUE"""),"Gravy Yavru Kedi Konservesi 85 gr 12 Adet")</f>
        <v>Gravy Yavru Kedi Konservesi 85 gr 12 Adet</v>
      </c>
      <c r="D179" s="14">
        <f>IFERROR(__xludf.DUMMYFUNCTION("""COMPUTED_VALUE"""),559.0)</f>
        <v>559</v>
      </c>
      <c r="E179" s="14">
        <f>IFERROR(__xludf.DUMMYFUNCTION("""COMPUTED_VALUE"""),42.483999999999995)</f>
        <v>42.484</v>
      </c>
      <c r="F179" s="14">
        <f>IFERROR(__xludf.DUMMYFUNCTION("""COMPUTED_VALUE"""),86.4)</f>
        <v>86.4</v>
      </c>
      <c r="G179" s="14">
        <f>IFERROR(__xludf.DUMMYFUNCTION("""COMPUTED_VALUE"""),557.76)</f>
        <v>557.76</v>
      </c>
      <c r="H179" s="14">
        <f>IFERROR(__xludf.DUMMYFUNCTION("""COMPUTED_VALUE"""),13.19)</f>
        <v>13.19</v>
      </c>
      <c r="I179" s="14">
        <f>IFERROR(__xludf.DUMMYFUNCTION("""COMPUTED_VALUE"""),4.658333333333334)</f>
        <v>4.658333333</v>
      </c>
      <c r="J179" s="14">
        <f>IFERROR(__xludf.DUMMYFUNCTION("""COMPUTED_VALUE"""),0.0)</f>
        <v>0</v>
      </c>
      <c r="K179" s="14">
        <f>IFERROR(__xludf.DUMMYFUNCTION("""COMPUTED_VALUE"""),-145.49233333333333)</f>
        <v>-145.4923333</v>
      </c>
      <c r="L179" s="15">
        <f>IFERROR(__xludf.DUMMYFUNCTION("""COMPUTED_VALUE"""),-0.26027251043530114)</f>
        <v>-0.2602725104</v>
      </c>
      <c r="M179" s="17" t="str">
        <f>IFERROR(__xludf.DUMMYFUNCTION("""COMPUTED_VALUE"""),"ZARAR")</f>
        <v>ZARAR</v>
      </c>
      <c r="N179" s="17" t="str">
        <f>IFERROR(__xludf.DUMMYFUNCTION("""COMPUTED_VALUE"""),"")</f>
        <v/>
      </c>
      <c r="O179" s="17">
        <f>IFERROR(__xludf.DUMMYFUNCTION("""COMPUTED_VALUE"""),2.0)</f>
        <v>2</v>
      </c>
      <c r="P179" s="17" t="str">
        <f>IFERROR(__xludf.DUMMYFUNCTION("""COMPUTED_VALUE"""),"")</f>
        <v/>
      </c>
      <c r="Q179" s="17" t="str">
        <f>IFERROR(__xludf.DUMMYFUNCTION("""COMPUTED_VALUE"""),"")</f>
        <v/>
      </c>
      <c r="R179" s="14">
        <f>IFERROR(__xludf.DUMMYFUNCTION("""COMPUTED_VALUE"""),717.8919847499145)</f>
        <v>717.8919847</v>
      </c>
      <c r="S179" s="14">
        <f>IFERROR(__xludf.DUMMYFUNCTION("""COMPUTED_VALUE"""),-158.8919847499145)</f>
        <v>-158.8919847</v>
      </c>
      <c r="T179" s="17" t="str">
        <f>IFERROR(__xludf.DUMMYFUNCTION("""COMPUTED_VALUE"""),"ZARAR")</f>
        <v>ZARAR</v>
      </c>
      <c r="U179" s="17" t="str">
        <f>IFERROR(__xludf.DUMMYFUNCTION("""COMPUTED_VALUE"""),"Fiyat, maliyet veya kampanya kontrol et")</f>
        <v>Fiyat, maliyet veya kampanya kontrol et</v>
      </c>
    </row>
    <row r="180">
      <c r="A180" s="2">
        <f>IFERROR(__xludf.DUMMYFUNCTION("""COMPUTED_VALUE"""),7.613033566523E12)</f>
        <v>7613033566523</v>
      </c>
      <c r="B180" s="17" t="str">
        <f>IFERROR(__xludf.DUMMYFUNCTION("""COMPUTED_VALUE"""),"Pro Plan")</f>
        <v>Pro Plan</v>
      </c>
      <c r="C180" s="28" t="str">
        <f>IFERROR(__xludf.DUMMYFUNCTION("""COMPUTED_VALUE"""),"Sterilised Kısırlaştırılmış Somonlu Kedi Maması 10 KG")</f>
        <v>Sterilised Kısırlaştırılmış Somonlu Kedi Maması 10 KG</v>
      </c>
      <c r="D180" s="14">
        <f>IFERROR(__xludf.DUMMYFUNCTION("""COMPUTED_VALUE"""),4000.0)</f>
        <v>4000</v>
      </c>
      <c r="E180" s="14">
        <f>IFERROR(__xludf.DUMMYFUNCTION("""COMPUTED_VALUE"""),500.0)</f>
        <v>500</v>
      </c>
      <c r="F180" s="14">
        <f>IFERROR(__xludf.DUMMYFUNCTION("""COMPUTED_VALUE"""),159.74)</f>
        <v>159.74</v>
      </c>
      <c r="G180" s="14">
        <f>IFERROR(__xludf.DUMMYFUNCTION("""COMPUTED_VALUE"""),3474.24)</f>
        <v>3474.24</v>
      </c>
      <c r="H180" s="14">
        <f>IFERROR(__xludf.DUMMYFUNCTION("""COMPUTED_VALUE"""),13.19)</f>
        <v>13.19</v>
      </c>
      <c r="I180" s="14">
        <f>IFERROR(__xludf.DUMMYFUNCTION("""COMPUTED_VALUE"""),33.333333333333336)</f>
        <v>33.33333333</v>
      </c>
      <c r="J180" s="14">
        <f>IFERROR(__xludf.DUMMYFUNCTION("""COMPUTED_VALUE"""),0.0)</f>
        <v>0</v>
      </c>
      <c r="K180" s="14">
        <f>IFERROR(__xludf.DUMMYFUNCTION("""COMPUTED_VALUE"""),-180.5033333333329)</f>
        <v>-180.5033333</v>
      </c>
      <c r="L180" s="15">
        <f>IFERROR(__xludf.DUMMYFUNCTION("""COMPUTED_VALUE"""),-0.045125833333333226)</f>
        <v>-0.04512583333</v>
      </c>
      <c r="M180" s="17" t="str">
        <f>IFERROR(__xludf.DUMMYFUNCTION("""COMPUTED_VALUE"""),"ZARAR")</f>
        <v>ZARAR</v>
      </c>
      <c r="N180" s="17" t="str">
        <f>IFERROR(__xludf.DUMMYFUNCTION("""COMPUTED_VALUE"""),"")</f>
        <v/>
      </c>
      <c r="O180" s="17">
        <f>IFERROR(__xludf.DUMMYFUNCTION("""COMPUTED_VALUE"""),10.0)</f>
        <v>10</v>
      </c>
      <c r="P180" s="17" t="str">
        <f>IFERROR(__xludf.DUMMYFUNCTION("""COMPUTED_VALUE"""),"")</f>
        <v/>
      </c>
      <c r="Q180" s="17" t="str">
        <f>IFERROR(__xludf.DUMMYFUNCTION("""COMPUTED_VALUE"""),"")</f>
        <v/>
      </c>
      <c r="R180" s="14">
        <f>IFERROR(__xludf.DUMMYFUNCTION("""COMPUTED_VALUE"""),4208.271458357131)</f>
        <v>4208.271458</v>
      </c>
      <c r="S180" s="14">
        <f>IFERROR(__xludf.DUMMYFUNCTION("""COMPUTED_VALUE"""),-208.27145835713145)</f>
        <v>-208.2714584</v>
      </c>
      <c r="T180" s="17" t="str">
        <f>IFERROR(__xludf.DUMMYFUNCTION("""COMPUTED_VALUE"""),"ZARAR")</f>
        <v>ZARAR</v>
      </c>
      <c r="U180" s="17" t="str">
        <f>IFERROR(__xludf.DUMMYFUNCTION("""COMPUTED_VALUE"""),"Fiyat, maliyet veya kampanya kontrol et")</f>
        <v>Fiyat, maliyet veya kampanya kontrol et</v>
      </c>
    </row>
    <row r="181">
      <c r="A181" s="2">
        <f>IFERROR(__xludf.DUMMYFUNCTION("""COMPUTED_VALUE"""),6.13033566523E11)</f>
        <v>613033566523</v>
      </c>
      <c r="B181" s="17" t="str">
        <f>IFERROR(__xludf.DUMMYFUNCTION("""COMPUTED_VALUE"""),"Pro Plan")</f>
        <v>Pro Plan</v>
      </c>
      <c r="C181" s="28" t="str">
        <f>IFERROR(__xludf.DUMMYFUNCTION("""COMPUTED_VALUE"""),"Kısırlaştırılmış Somonlu Kedi Maması 10 Kg")</f>
        <v>Kısırlaştırılmış Somonlu Kedi Maması 10 Kg</v>
      </c>
      <c r="D181" s="14">
        <f>IFERROR(__xludf.DUMMYFUNCTION("""COMPUTED_VALUE"""),3998.0)</f>
        <v>3998</v>
      </c>
      <c r="E181" s="14">
        <f>IFERROR(__xludf.DUMMYFUNCTION("""COMPUTED_VALUE"""),499.75)</f>
        <v>499.75</v>
      </c>
      <c r="F181" s="14">
        <f>IFERROR(__xludf.DUMMYFUNCTION("""COMPUTED_VALUE"""),159.74)</f>
        <v>159.74</v>
      </c>
      <c r="G181" s="14">
        <f>IFERROR(__xludf.DUMMYFUNCTION("""COMPUTED_VALUE"""),3475.0)</f>
        <v>3475</v>
      </c>
      <c r="H181" s="14">
        <f>IFERROR(__xludf.DUMMYFUNCTION("""COMPUTED_VALUE"""),13.19)</f>
        <v>13.19</v>
      </c>
      <c r="I181" s="14">
        <f>IFERROR(__xludf.DUMMYFUNCTION("""COMPUTED_VALUE"""),33.31666666666667)</f>
        <v>33.31666667</v>
      </c>
      <c r="J181" s="14">
        <f>IFERROR(__xludf.DUMMYFUNCTION("""COMPUTED_VALUE"""),0.0)</f>
        <v>0</v>
      </c>
      <c r="K181" s="14">
        <f>IFERROR(__xludf.DUMMYFUNCTION("""COMPUTED_VALUE"""),-182.99666666666644)</f>
        <v>-182.9966667</v>
      </c>
      <c r="L181" s="15">
        <f>IFERROR(__xludf.DUMMYFUNCTION("""COMPUTED_VALUE"""),-0.04577205269301312)</f>
        <v>-0.04577205269</v>
      </c>
      <c r="M181" s="17" t="str">
        <f>IFERROR(__xludf.DUMMYFUNCTION("""COMPUTED_VALUE"""),"ZARAR")</f>
        <v>ZARAR</v>
      </c>
      <c r="N181" s="17" t="str">
        <f>IFERROR(__xludf.DUMMYFUNCTION("""COMPUTED_VALUE"""),"")</f>
        <v/>
      </c>
      <c r="O181" s="17">
        <f>IFERROR(__xludf.DUMMYFUNCTION("""COMPUTED_VALUE"""),10.0)</f>
        <v>10</v>
      </c>
      <c r="P181" s="17" t="str">
        <f>IFERROR(__xludf.DUMMYFUNCTION("""COMPUTED_VALUE"""),"")</f>
        <v/>
      </c>
      <c r="Q181" s="17" t="str">
        <f>IFERROR(__xludf.DUMMYFUNCTION("""COMPUTED_VALUE"""),"")</f>
        <v/>
      </c>
      <c r="R181" s="14">
        <f>IFERROR(__xludf.DUMMYFUNCTION("""COMPUTED_VALUE"""),4209.148381096777)</f>
        <v>4209.148381</v>
      </c>
      <c r="S181" s="14">
        <f>IFERROR(__xludf.DUMMYFUNCTION("""COMPUTED_VALUE"""),-211.14838109677657)</f>
        <v>-211.1483811</v>
      </c>
      <c r="T181" s="17" t="str">
        <f>IFERROR(__xludf.DUMMYFUNCTION("""COMPUTED_VALUE"""),"ZARAR")</f>
        <v>ZARAR</v>
      </c>
      <c r="U181" s="17" t="str">
        <f>IFERROR(__xludf.DUMMYFUNCTION("""COMPUTED_VALUE"""),"Fiyat, maliyet veya kampanya kontrol et")</f>
        <v>Fiyat, maliyet veya kampanya kontrol et</v>
      </c>
    </row>
    <row r="182">
      <c r="A182" s="2" t="str">
        <f>IFERROR(__xludf.DUMMYFUNCTION("""COMPUTED_VALUE"""),"TYBUPYD47K660EFG52")</f>
        <v>TYBUPYD47K660EFG52</v>
      </c>
      <c r="B182" s="17" t="str">
        <f>IFERROR(__xludf.DUMMYFUNCTION("""COMPUTED_VALUE"""),"Hill's")</f>
        <v>Hill's</v>
      </c>
      <c r="C182" s="28" t="str">
        <f>IFERROR(__xludf.DUMMYFUNCTION("""COMPUTED_VALUE"""),"Hills Sterilised Somon Kısır Kedi Maması 10 Kg")</f>
        <v>Hills Sterilised Somon Kısır Kedi Maması 10 Kg</v>
      </c>
      <c r="D182" s="14">
        <f>IFERROR(__xludf.DUMMYFUNCTION("""COMPUTED_VALUE"""),4399.72)</f>
        <v>4399.72</v>
      </c>
      <c r="E182" s="14">
        <f>IFERROR(__xludf.DUMMYFUNCTION("""COMPUTED_VALUE"""),549.965)</f>
        <v>549.965</v>
      </c>
      <c r="F182" s="14">
        <f>IFERROR(__xludf.DUMMYFUNCTION("""COMPUTED_VALUE"""),90.0)</f>
        <v>90</v>
      </c>
      <c r="G182" s="14">
        <f>IFERROR(__xludf.DUMMYFUNCTION("""COMPUTED_VALUE"""),3900.0)</f>
        <v>3900</v>
      </c>
      <c r="H182" s="14">
        <f>IFERROR(__xludf.DUMMYFUNCTION("""COMPUTED_VALUE"""),13.19)</f>
        <v>13.19</v>
      </c>
      <c r="I182" s="14">
        <f>IFERROR(__xludf.DUMMYFUNCTION("""COMPUTED_VALUE"""),36.66433333333334)</f>
        <v>36.66433333</v>
      </c>
      <c r="J182" s="14">
        <f>IFERROR(__xludf.DUMMYFUNCTION("""COMPUTED_VALUE"""),0.0)</f>
        <v>0</v>
      </c>
      <c r="K182" s="14">
        <f>IFERROR(__xludf.DUMMYFUNCTION("""COMPUTED_VALUE"""),-190.09933333333322)</f>
        <v>-190.0993333</v>
      </c>
      <c r="L182" s="15">
        <f>IFERROR(__xludf.DUMMYFUNCTION("""COMPUTED_VALUE"""),-0.043207143484888404)</f>
        <v>-0.04320714348</v>
      </c>
      <c r="M182" s="17" t="str">
        <f>IFERROR(__xludf.DUMMYFUNCTION("""COMPUTED_VALUE"""),"ZARAR")</f>
        <v>ZARAR</v>
      </c>
      <c r="N182" s="17" t="str">
        <f>IFERROR(__xludf.DUMMYFUNCTION("""COMPUTED_VALUE"""),"")</f>
        <v/>
      </c>
      <c r="O182" s="17">
        <f>IFERROR(__xludf.DUMMYFUNCTION("""COMPUTED_VALUE"""),3.0)</f>
        <v>3</v>
      </c>
      <c r="P182" s="17" t="str">
        <f>IFERROR(__xludf.DUMMYFUNCTION("""COMPUTED_VALUE"""),"")</f>
        <v/>
      </c>
      <c r="Q182" s="17" t="str">
        <f>IFERROR(__xludf.DUMMYFUNCTION("""COMPUTED_VALUE"""),"")</f>
        <v/>
      </c>
      <c r="R182" s="14">
        <f>IFERROR(__xludf.DUMMYFUNCTION("""COMPUTED_VALUE"""),4619.063608052459)</f>
        <v>4619.063608</v>
      </c>
      <c r="S182" s="14">
        <f>IFERROR(__xludf.DUMMYFUNCTION("""COMPUTED_VALUE"""),-219.34360805245888)</f>
        <v>-219.3436081</v>
      </c>
      <c r="T182" s="17" t="str">
        <f>IFERROR(__xludf.DUMMYFUNCTION("""COMPUTED_VALUE"""),"ZARAR")</f>
        <v>ZARAR</v>
      </c>
      <c r="U182" s="17" t="str">
        <f>IFERROR(__xludf.DUMMYFUNCTION("""COMPUTED_VALUE"""),"Fiyat, maliyet veya kampanya kontrol et")</f>
        <v>Fiyat, maliyet veya kampanya kontrol et</v>
      </c>
    </row>
    <row r="183">
      <c r="A183" s="2" t="str">
        <f>IFERROR(__xludf.DUMMYFUNCTION("""COMPUTED_VALUE"""),"TY988899455015287")</f>
        <v>TY988899455015287</v>
      </c>
      <c r="B183" s="17" t="str">
        <f>IFERROR(__xludf.DUMMYFUNCTION("""COMPUTED_VALUE"""),"Royal Canin")</f>
        <v>Royal Canin</v>
      </c>
      <c r="C183" s="28" t="str">
        <f>IFERROR(__xludf.DUMMYFUNCTION("""COMPUTED_VALUE"""),"Mini Starter Mother &amp; Babydog Anne ve Yavru Köpek Maması 4kg")</f>
        <v>Mini Starter Mother &amp; Babydog Anne ve Yavru Köpek Maması 4kg</v>
      </c>
      <c r="D183" s="14">
        <f>IFERROR(__xludf.DUMMYFUNCTION("""COMPUTED_VALUE"""),1555.99)</f>
        <v>1555.99</v>
      </c>
      <c r="E183" s="14">
        <f>IFERROR(__xludf.DUMMYFUNCTION("""COMPUTED_VALUE"""),130.70316)</f>
        <v>130.70316</v>
      </c>
      <c r="F183" s="14">
        <f>IFERROR(__xludf.DUMMYFUNCTION("""COMPUTED_VALUE"""),90.0)</f>
        <v>90</v>
      </c>
      <c r="G183" s="14">
        <f>IFERROR(__xludf.DUMMYFUNCTION("""COMPUTED_VALUE"""),1537.0)</f>
        <v>1537</v>
      </c>
      <c r="H183" s="14">
        <f>IFERROR(__xludf.DUMMYFUNCTION("""COMPUTED_VALUE"""),13.19)</f>
        <v>13.19</v>
      </c>
      <c r="I183" s="14">
        <f>IFERROR(__xludf.DUMMYFUNCTION("""COMPUTED_VALUE"""),12.966583333333332)</f>
        <v>12.96658333</v>
      </c>
      <c r="J183" s="14">
        <f>IFERROR(__xludf.DUMMYFUNCTION("""COMPUTED_VALUE"""),0.0)</f>
        <v>0</v>
      </c>
      <c r="K183" s="14">
        <f>IFERROR(__xludf.DUMMYFUNCTION("""COMPUTED_VALUE"""),-227.86974333333336)</f>
        <v>-227.8697433</v>
      </c>
      <c r="L183" s="15">
        <f>IFERROR(__xludf.DUMMYFUNCTION("""COMPUTED_VALUE"""),-0.14644679164604743)</f>
        <v>-0.1464467916</v>
      </c>
      <c r="M183" s="17" t="str">
        <f>IFERROR(__xludf.DUMMYFUNCTION("""COMPUTED_VALUE"""),"ZARAR")</f>
        <v>ZARAR</v>
      </c>
      <c r="N183" s="17" t="str">
        <f>IFERROR(__xludf.DUMMYFUNCTION("""COMPUTED_VALUE"""),"")</f>
        <v/>
      </c>
      <c r="O183" s="17">
        <f>IFERROR(__xludf.DUMMYFUNCTION("""COMPUTED_VALUE"""),3.0)</f>
        <v>3</v>
      </c>
      <c r="P183" s="17" t="str">
        <f>IFERROR(__xludf.DUMMYFUNCTION("""COMPUTED_VALUE"""),"")</f>
        <v/>
      </c>
      <c r="Q183" s="17" t="str">
        <f>IFERROR(__xludf.DUMMYFUNCTION("""COMPUTED_VALUE"""),"")</f>
        <v/>
      </c>
      <c r="R183" s="14">
        <f>IFERROR(__xludf.DUMMYFUNCTION("""COMPUTED_VALUE"""),1807.0393657585878)</f>
        <v>1807.039366</v>
      </c>
      <c r="S183" s="14">
        <f>IFERROR(__xludf.DUMMYFUNCTION("""COMPUTED_VALUE"""),-251.04936575858778)</f>
        <v>-251.0493658</v>
      </c>
      <c r="T183" s="17" t="str">
        <f>IFERROR(__xludf.DUMMYFUNCTION("""COMPUTED_VALUE"""),"ZARAR")</f>
        <v>ZARAR</v>
      </c>
      <c r="U183" s="17" t="str">
        <f>IFERROR(__xludf.DUMMYFUNCTION("""COMPUTED_VALUE"""),"Fiyat, maliyet veya kampanya kontrol et")</f>
        <v>Fiyat, maliyet veya kampanya kontrol et</v>
      </c>
    </row>
    <row r="184">
      <c r="A184" s="2">
        <f>IFERROR(__xludf.DUMMYFUNCTION("""COMPUTED_VALUE"""),9.003579008485E12)</f>
        <v>9003579008485</v>
      </c>
      <c r="B184" s="17" t="str">
        <f>IFERROR(__xludf.DUMMYFUNCTION("""COMPUTED_VALUE"""),"Royal Canin")</f>
        <v>Royal Canin</v>
      </c>
      <c r="C184" s="28" t="str">
        <f>IFERROR(__xludf.DUMMYFUNCTION("""COMPUTED_VALUE"""),"Maxi Adult Gravy Yetişkin Köpek Konservesi 10 Adet 140 Gr")</f>
        <v>Maxi Adult Gravy Yetişkin Köpek Konservesi 10 Adet 140 Gr</v>
      </c>
      <c r="D184" s="14">
        <f>IFERROR(__xludf.DUMMYFUNCTION("""COMPUTED_VALUE"""),465.0)</f>
        <v>465</v>
      </c>
      <c r="E184" s="14">
        <f>IFERROR(__xludf.DUMMYFUNCTION("""COMPUTED_VALUE"""),58.125)</f>
        <v>58.125</v>
      </c>
      <c r="F184" s="14">
        <f>IFERROR(__xludf.DUMMYFUNCTION("""COMPUTED_VALUE"""),86.4)</f>
        <v>86.4</v>
      </c>
      <c r="G184" s="14">
        <f>IFERROR(__xludf.DUMMYFUNCTION("""COMPUTED_VALUE"""),536.76)</f>
        <v>536.76</v>
      </c>
      <c r="H184" s="14">
        <f>IFERROR(__xludf.DUMMYFUNCTION("""COMPUTED_VALUE"""),13.19)</f>
        <v>13.19</v>
      </c>
      <c r="I184" s="14">
        <f>IFERROR(__xludf.DUMMYFUNCTION("""COMPUTED_VALUE"""),3.875)</f>
        <v>3.875</v>
      </c>
      <c r="J184" s="14">
        <f>IFERROR(__xludf.DUMMYFUNCTION("""COMPUTED_VALUE"""),0.0)</f>
        <v>0</v>
      </c>
      <c r="K184" s="14">
        <f>IFERROR(__xludf.DUMMYFUNCTION("""COMPUTED_VALUE"""),-233.34999999999997)</f>
        <v>-233.35</v>
      </c>
      <c r="L184" s="15">
        <f>IFERROR(__xludf.DUMMYFUNCTION("""COMPUTED_VALUE"""),-0.5018279569892472)</f>
        <v>-0.501827957</v>
      </c>
      <c r="M184" s="17" t="str">
        <f>IFERROR(__xludf.DUMMYFUNCTION("""COMPUTED_VALUE"""),"ZARAR")</f>
        <v>ZARAR</v>
      </c>
      <c r="N184" s="17" t="str">
        <f>IFERROR(__xludf.DUMMYFUNCTION("""COMPUTED_VALUE"""),"")</f>
        <v/>
      </c>
      <c r="O184" s="17">
        <f>IFERROR(__xludf.DUMMYFUNCTION("""COMPUTED_VALUE"""),2.0)</f>
        <v>2</v>
      </c>
      <c r="P184" s="17" t="str">
        <f>IFERROR(__xludf.DUMMYFUNCTION("""COMPUTED_VALUE"""),"")</f>
        <v/>
      </c>
      <c r="Q184" s="17" t="str">
        <f>IFERROR(__xludf.DUMMYFUNCTION("""COMPUTED_VALUE"""),"")</f>
        <v/>
      </c>
      <c r="R184" s="14">
        <f>IFERROR(__xludf.DUMMYFUNCTION("""COMPUTED_VALUE"""),734.2497175962625)</f>
        <v>734.2497176</v>
      </c>
      <c r="S184" s="14">
        <f>IFERROR(__xludf.DUMMYFUNCTION("""COMPUTED_VALUE"""),-269.2497175962625)</f>
        <v>-269.2497176</v>
      </c>
      <c r="T184" s="17" t="str">
        <f>IFERROR(__xludf.DUMMYFUNCTION("""COMPUTED_VALUE"""),"ZARAR")</f>
        <v>ZARAR</v>
      </c>
      <c r="U184" s="17" t="str">
        <f>IFERROR(__xludf.DUMMYFUNCTION("""COMPUTED_VALUE"""),"Fiyat, maliyet veya kampanya kontrol et")</f>
        <v>Fiyat, maliyet veya kampanya kontrol et</v>
      </c>
    </row>
    <row r="185">
      <c r="A185" s="2">
        <f>IFERROR(__xludf.DUMMYFUNCTION("""COMPUTED_VALUE"""),3.5585494029E10)</f>
        <v>35585494029</v>
      </c>
      <c r="B185" s="17" t="str">
        <f>IFERROR(__xludf.DUMMYFUNCTION("""COMPUTED_VALUE"""),"Kong")</f>
        <v>Kong</v>
      </c>
      <c r="C185" s="28" t="str">
        <f>IFERROR(__xludf.DUMMYFUNCTION("""COMPUTED_VALUE"""),"KONGSİGNATURE STİCKÇUBUK ŞEKLİNDEKÖPEKOYUNCAĞI M")</f>
        <v>KONGSİGNATURE STİCKÇUBUK ŞEKLİNDEKÖPEKOYUNCAĞI M</v>
      </c>
      <c r="D185" s="14">
        <f>IFERROR(__xludf.DUMMYFUNCTION("""COMPUTED_VALUE"""),880.0)</f>
        <v>880</v>
      </c>
      <c r="E185" s="14">
        <f>IFERROR(__xludf.DUMMYFUNCTION("""COMPUTED_VALUE"""),176.0)</f>
        <v>176</v>
      </c>
      <c r="F185" s="14">
        <f>IFERROR(__xludf.DUMMYFUNCTION("""COMPUTED_VALUE"""),86.4)</f>
        <v>86.4</v>
      </c>
      <c r="G185" s="14">
        <f>IFERROR(__xludf.DUMMYFUNCTION("""COMPUTED_VALUE"""),860.4)</f>
        <v>860.4</v>
      </c>
      <c r="H185" s="14">
        <f>IFERROR(__xludf.DUMMYFUNCTION("""COMPUTED_VALUE"""),13.19)</f>
        <v>13.19</v>
      </c>
      <c r="I185" s="14">
        <f>IFERROR(__xludf.DUMMYFUNCTION("""COMPUTED_VALUE"""),7.333333333333334)</f>
        <v>7.333333333</v>
      </c>
      <c r="J185" s="14">
        <f>IFERROR(__xludf.DUMMYFUNCTION("""COMPUTED_VALUE"""),0.0)</f>
        <v>0</v>
      </c>
      <c r="K185" s="14">
        <f>IFERROR(__xludf.DUMMYFUNCTION("""COMPUTED_VALUE"""),-263.32333333333327)</f>
        <v>-263.3233333</v>
      </c>
      <c r="L185" s="15">
        <f>IFERROR(__xludf.DUMMYFUNCTION("""COMPUTED_VALUE"""),-0.29923106060606053)</f>
        <v>-0.2992310606</v>
      </c>
      <c r="M185" s="17" t="str">
        <f>IFERROR(__xludf.DUMMYFUNCTION("""COMPUTED_VALUE"""),"ZARAR")</f>
        <v>ZARAR</v>
      </c>
      <c r="N185" s="17" t="str">
        <f>IFERROR(__xludf.DUMMYFUNCTION("""COMPUTED_VALUE"""),"")</f>
        <v/>
      </c>
      <c r="O185" s="17">
        <f>IFERROR(__xludf.DUMMYFUNCTION("""COMPUTED_VALUE"""),1.0)</f>
        <v>1</v>
      </c>
      <c r="P185" s="17" t="str">
        <f>IFERROR(__xludf.DUMMYFUNCTION("""COMPUTED_VALUE"""),"")</f>
        <v/>
      </c>
      <c r="Q185" s="17" t="str">
        <f>IFERROR(__xludf.DUMMYFUNCTION("""COMPUTED_VALUE"""),"")</f>
        <v/>
      </c>
      <c r="R185" s="14">
        <f>IFERROR(__xludf.DUMMYFUNCTION("""COMPUTED_VALUE"""),1212.6184367922372)</f>
        <v>1212.618437</v>
      </c>
      <c r="S185" s="14">
        <f>IFERROR(__xludf.DUMMYFUNCTION("""COMPUTED_VALUE"""),-332.61843679223716)</f>
        <v>-332.6184368</v>
      </c>
      <c r="T185" s="17" t="str">
        <f>IFERROR(__xludf.DUMMYFUNCTION("""COMPUTED_VALUE"""),"ZARAR")</f>
        <v>ZARAR</v>
      </c>
      <c r="U185" s="17" t="str">
        <f>IFERROR(__xludf.DUMMYFUNCTION("""COMPUTED_VALUE"""),"Fiyat, maliyet veya kampanya kontrol et")</f>
        <v>Fiyat, maliyet veya kampanya kontrol et</v>
      </c>
    </row>
    <row r="186">
      <c r="A186" s="2"/>
      <c r="D186" s="14"/>
      <c r="E186" s="14"/>
      <c r="F186" s="14"/>
      <c r="G186" s="14"/>
      <c r="H186" s="14"/>
      <c r="I186" s="14"/>
      <c r="J186" s="14"/>
      <c r="K186" s="14"/>
      <c r="L186" s="15"/>
    </row>
    <row r="187">
      <c r="A187" s="2"/>
      <c r="D187" s="14"/>
      <c r="E187" s="14"/>
      <c r="F187" s="14"/>
      <c r="G187" s="14"/>
      <c r="H187" s="14"/>
      <c r="I187" s="14"/>
      <c r="J187" s="14"/>
      <c r="K187" s="14"/>
      <c r="L187" s="15"/>
    </row>
    <row r="188">
      <c r="A188" s="2"/>
      <c r="D188" s="14"/>
      <c r="E188" s="14"/>
      <c r="F188" s="14"/>
      <c r="G188" s="14"/>
      <c r="H188" s="14"/>
      <c r="I188" s="14"/>
      <c r="J188" s="14"/>
      <c r="K188" s="14"/>
      <c r="L188" s="15"/>
    </row>
    <row r="189">
      <c r="A189" s="2"/>
      <c r="D189" s="14"/>
      <c r="E189" s="14"/>
      <c r="F189" s="14"/>
      <c r="G189" s="14"/>
      <c r="H189" s="14"/>
      <c r="I189" s="14"/>
      <c r="J189" s="14"/>
      <c r="K189" s="14"/>
      <c r="L189" s="15"/>
    </row>
    <row r="190">
      <c r="A190" s="2"/>
      <c r="D190" s="14"/>
      <c r="E190" s="14"/>
      <c r="F190" s="14"/>
      <c r="G190" s="14"/>
      <c r="H190" s="14"/>
      <c r="I190" s="14"/>
      <c r="J190" s="14"/>
      <c r="K190" s="14"/>
      <c r="L190" s="15"/>
    </row>
    <row r="191">
      <c r="A191" s="2"/>
      <c r="D191" s="14"/>
      <c r="E191" s="14"/>
      <c r="F191" s="14"/>
      <c r="G191" s="14"/>
      <c r="H191" s="14"/>
      <c r="I191" s="14"/>
      <c r="J191" s="14"/>
      <c r="K191" s="14"/>
      <c r="L191" s="15"/>
    </row>
    <row r="192">
      <c r="A192" s="2"/>
      <c r="D192" s="14"/>
      <c r="E192" s="14"/>
      <c r="F192" s="14"/>
      <c r="G192" s="14"/>
      <c r="H192" s="14"/>
      <c r="I192" s="14"/>
      <c r="J192" s="14"/>
      <c r="K192" s="14"/>
      <c r="L192" s="15"/>
    </row>
    <row r="193">
      <c r="A193" s="2"/>
      <c r="D193" s="14"/>
      <c r="E193" s="14"/>
      <c r="F193" s="14"/>
      <c r="G193" s="14"/>
      <c r="H193" s="14"/>
      <c r="I193" s="14"/>
      <c r="J193" s="14"/>
      <c r="K193" s="14"/>
      <c r="L193" s="15"/>
    </row>
    <row r="194">
      <c r="A194" s="2"/>
      <c r="D194" s="14"/>
      <c r="E194" s="14"/>
      <c r="F194" s="14"/>
      <c r="G194" s="14"/>
      <c r="H194" s="14"/>
      <c r="I194" s="14"/>
      <c r="J194" s="14"/>
      <c r="K194" s="14"/>
      <c r="L194" s="15"/>
    </row>
    <row r="195">
      <c r="A195" s="2"/>
      <c r="D195" s="14"/>
      <c r="E195" s="14"/>
      <c r="F195" s="14"/>
      <c r="G195" s="14"/>
      <c r="H195" s="14"/>
      <c r="I195" s="14"/>
      <c r="J195" s="14"/>
      <c r="K195" s="14"/>
      <c r="L195" s="15"/>
    </row>
    <row r="196">
      <c r="A196" s="2"/>
      <c r="D196" s="14"/>
      <c r="E196" s="14"/>
      <c r="F196" s="14"/>
      <c r="G196" s="14"/>
      <c r="H196" s="14"/>
      <c r="I196" s="14"/>
      <c r="J196" s="14"/>
      <c r="K196" s="14"/>
      <c r="L196" s="15"/>
    </row>
    <row r="197">
      <c r="A197" s="2"/>
      <c r="D197" s="14"/>
      <c r="E197" s="14"/>
      <c r="F197" s="14"/>
      <c r="G197" s="14"/>
      <c r="H197" s="14"/>
      <c r="I197" s="14"/>
      <c r="J197" s="14"/>
      <c r="K197" s="14"/>
      <c r="L197" s="15"/>
    </row>
    <row r="198">
      <c r="A198" s="2"/>
      <c r="D198" s="14"/>
      <c r="E198" s="14"/>
      <c r="F198" s="14"/>
      <c r="G198" s="14"/>
      <c r="H198" s="14"/>
      <c r="I198" s="14"/>
      <c r="J198" s="14"/>
      <c r="K198" s="14"/>
      <c r="L198" s="15"/>
    </row>
    <row r="199">
      <c r="A199" s="2"/>
      <c r="D199" s="14"/>
      <c r="E199" s="14"/>
      <c r="F199" s="14"/>
      <c r="G199" s="14"/>
      <c r="H199" s="14"/>
      <c r="I199" s="14"/>
      <c r="J199" s="14"/>
      <c r="K199" s="14"/>
      <c r="L199" s="15"/>
    </row>
    <row r="200">
      <c r="A200" s="2"/>
      <c r="D200" s="14"/>
      <c r="E200" s="14"/>
      <c r="F200" s="14"/>
      <c r="G200" s="14"/>
      <c r="H200" s="14"/>
      <c r="I200" s="14"/>
      <c r="J200" s="14"/>
      <c r="K200" s="14"/>
      <c r="L200" s="15"/>
    </row>
    <row r="201">
      <c r="A201" s="2"/>
      <c r="D201" s="14"/>
      <c r="E201" s="14"/>
      <c r="F201" s="14"/>
      <c r="G201" s="14"/>
      <c r="H201" s="14"/>
      <c r="I201" s="14"/>
      <c r="J201" s="14"/>
      <c r="K201" s="14"/>
      <c r="L201" s="15"/>
    </row>
    <row r="202">
      <c r="A202" s="2"/>
      <c r="D202" s="14"/>
      <c r="E202" s="14"/>
      <c r="F202" s="14"/>
      <c r="G202" s="14"/>
      <c r="H202" s="14"/>
      <c r="I202" s="14"/>
      <c r="J202" s="14"/>
      <c r="K202" s="14"/>
      <c r="L202" s="15"/>
    </row>
    <row r="203">
      <c r="A203" s="2"/>
      <c r="D203" s="14"/>
      <c r="E203" s="14"/>
      <c r="F203" s="14"/>
      <c r="G203" s="14"/>
      <c r="H203" s="14"/>
      <c r="I203" s="14"/>
      <c r="J203" s="14"/>
      <c r="K203" s="14"/>
      <c r="L203" s="15"/>
    </row>
    <row r="204">
      <c r="A204" s="2"/>
      <c r="D204" s="14"/>
      <c r="E204" s="14"/>
      <c r="F204" s="14"/>
      <c r="G204" s="14"/>
      <c r="H204" s="14"/>
      <c r="I204" s="14"/>
      <c r="J204" s="14"/>
      <c r="K204" s="14"/>
      <c r="L204" s="15"/>
    </row>
    <row r="205">
      <c r="A205" s="2"/>
      <c r="D205" s="14"/>
      <c r="E205" s="14"/>
      <c r="F205" s="14"/>
      <c r="G205" s="14"/>
      <c r="H205" s="14"/>
      <c r="I205" s="14"/>
      <c r="J205" s="14"/>
      <c r="K205" s="14"/>
      <c r="L205" s="15"/>
    </row>
    <row r="206">
      <c r="A206" s="2"/>
      <c r="D206" s="14"/>
      <c r="E206" s="14"/>
      <c r="F206" s="14"/>
      <c r="G206" s="14"/>
      <c r="H206" s="14"/>
      <c r="I206" s="14"/>
      <c r="J206" s="14"/>
      <c r="K206" s="14"/>
      <c r="L206" s="15"/>
    </row>
    <row r="207">
      <c r="A207" s="2"/>
      <c r="D207" s="14"/>
      <c r="E207" s="14"/>
      <c r="F207" s="14"/>
      <c r="G207" s="14"/>
      <c r="H207" s="14"/>
      <c r="I207" s="14"/>
      <c r="J207" s="14"/>
      <c r="K207" s="14"/>
      <c r="L207" s="15"/>
    </row>
    <row r="208">
      <c r="A208" s="2"/>
      <c r="D208" s="14"/>
      <c r="E208" s="14"/>
      <c r="F208" s="14"/>
      <c r="G208" s="14"/>
      <c r="H208" s="14"/>
      <c r="I208" s="14"/>
      <c r="J208" s="14"/>
      <c r="K208" s="14"/>
      <c r="L208" s="15"/>
    </row>
    <row r="209">
      <c r="A209" s="2"/>
      <c r="D209" s="14"/>
      <c r="E209" s="14"/>
      <c r="F209" s="14"/>
      <c r="G209" s="14"/>
      <c r="H209" s="14"/>
      <c r="I209" s="14"/>
      <c r="J209" s="14"/>
      <c r="K209" s="14"/>
      <c r="L209" s="15"/>
    </row>
    <row r="210">
      <c r="A210" s="2"/>
      <c r="D210" s="14"/>
      <c r="E210" s="14"/>
      <c r="F210" s="14"/>
      <c r="G210" s="14"/>
      <c r="H210" s="14"/>
      <c r="I210" s="14"/>
      <c r="J210" s="14"/>
      <c r="K210" s="14"/>
      <c r="L210" s="15"/>
    </row>
    <row r="211">
      <c r="A211" s="2"/>
      <c r="D211" s="14"/>
      <c r="E211" s="14"/>
      <c r="F211" s="14"/>
      <c r="G211" s="14"/>
      <c r="H211" s="14"/>
      <c r="I211" s="14"/>
      <c r="J211" s="14"/>
      <c r="K211" s="14"/>
      <c r="L211" s="15"/>
    </row>
    <row r="212">
      <c r="A212" s="2"/>
      <c r="D212" s="14"/>
      <c r="E212" s="14"/>
      <c r="F212" s="14"/>
      <c r="G212" s="14"/>
      <c r="H212" s="14"/>
      <c r="I212" s="14"/>
      <c r="J212" s="14"/>
      <c r="K212" s="14"/>
      <c r="L212" s="15"/>
    </row>
    <row r="213">
      <c r="A213" s="2"/>
      <c r="D213" s="14"/>
      <c r="E213" s="14"/>
      <c r="F213" s="14"/>
      <c r="G213" s="14"/>
      <c r="H213" s="14"/>
      <c r="I213" s="14"/>
      <c r="J213" s="14"/>
      <c r="K213" s="14"/>
      <c r="L213" s="15"/>
    </row>
    <row r="214">
      <c r="A214" s="2"/>
      <c r="D214" s="14"/>
      <c r="E214" s="14"/>
      <c r="F214" s="14"/>
      <c r="G214" s="14"/>
      <c r="H214" s="14"/>
      <c r="I214" s="14"/>
      <c r="J214" s="14"/>
      <c r="K214" s="14"/>
      <c r="L214" s="15"/>
    </row>
    <row r="215">
      <c r="A215" s="2"/>
      <c r="D215" s="14"/>
      <c r="E215" s="14"/>
      <c r="F215" s="14"/>
      <c r="G215" s="14"/>
      <c r="H215" s="14"/>
      <c r="I215" s="14"/>
      <c r="J215" s="14"/>
      <c r="K215" s="14"/>
      <c r="L215" s="15"/>
    </row>
    <row r="216">
      <c r="A216" s="2"/>
      <c r="D216" s="14"/>
      <c r="E216" s="14"/>
      <c r="F216" s="14"/>
      <c r="G216" s="14"/>
      <c r="H216" s="14"/>
      <c r="I216" s="14"/>
      <c r="J216" s="14"/>
      <c r="K216" s="14"/>
      <c r="L216" s="15"/>
    </row>
    <row r="217">
      <c r="A217" s="2"/>
      <c r="D217" s="14"/>
      <c r="E217" s="14"/>
      <c r="F217" s="14"/>
      <c r="G217" s="14"/>
      <c r="H217" s="14"/>
      <c r="I217" s="14"/>
      <c r="J217" s="14"/>
      <c r="K217" s="14"/>
      <c r="L217" s="15"/>
    </row>
    <row r="218">
      <c r="A218" s="2"/>
      <c r="D218" s="14"/>
      <c r="E218" s="14"/>
      <c r="F218" s="14"/>
      <c r="G218" s="14"/>
      <c r="H218" s="14"/>
      <c r="I218" s="14"/>
      <c r="J218" s="14"/>
      <c r="K218" s="14"/>
      <c r="L218" s="15"/>
    </row>
    <row r="219">
      <c r="A219" s="2"/>
      <c r="D219" s="14"/>
      <c r="E219" s="14"/>
      <c r="F219" s="14"/>
      <c r="G219" s="14"/>
      <c r="H219" s="14"/>
      <c r="I219" s="14"/>
      <c r="J219" s="14"/>
      <c r="K219" s="14"/>
      <c r="L219" s="15"/>
    </row>
    <row r="220">
      <c r="A220" s="2"/>
      <c r="D220" s="14"/>
      <c r="E220" s="14"/>
      <c r="F220" s="14"/>
      <c r="G220" s="14"/>
      <c r="H220" s="14"/>
      <c r="I220" s="14"/>
      <c r="J220" s="14"/>
      <c r="K220" s="14"/>
      <c r="L220" s="15"/>
    </row>
    <row r="221">
      <c r="A221" s="2"/>
      <c r="D221" s="14"/>
      <c r="E221" s="14"/>
      <c r="F221" s="14"/>
      <c r="G221" s="14"/>
      <c r="H221" s="14"/>
      <c r="I221" s="14"/>
      <c r="J221" s="14"/>
      <c r="K221" s="14"/>
      <c r="L221" s="15"/>
    </row>
    <row r="222">
      <c r="A222" s="2"/>
      <c r="D222" s="14"/>
      <c r="E222" s="14"/>
      <c r="F222" s="14"/>
      <c r="G222" s="14"/>
      <c r="H222" s="14"/>
      <c r="I222" s="14"/>
      <c r="J222" s="14"/>
      <c r="K222" s="14"/>
      <c r="L222" s="15"/>
    </row>
    <row r="223">
      <c r="A223" s="2"/>
      <c r="D223" s="14"/>
      <c r="E223" s="14"/>
      <c r="F223" s="14"/>
      <c r="G223" s="14"/>
      <c r="H223" s="14"/>
      <c r="I223" s="14"/>
      <c r="J223" s="14"/>
      <c r="K223" s="14"/>
      <c r="L223" s="15"/>
    </row>
    <row r="224">
      <c r="A224" s="2"/>
      <c r="D224" s="14"/>
      <c r="E224" s="14"/>
      <c r="F224" s="14"/>
      <c r="G224" s="14"/>
      <c r="H224" s="14"/>
      <c r="I224" s="14"/>
      <c r="J224" s="14"/>
      <c r="K224" s="14"/>
      <c r="L224" s="15"/>
    </row>
    <row r="225">
      <c r="A225" s="2"/>
      <c r="D225" s="14"/>
      <c r="E225" s="14"/>
      <c r="F225" s="14"/>
      <c r="G225" s="14"/>
      <c r="H225" s="14"/>
      <c r="I225" s="14"/>
      <c r="J225" s="14"/>
      <c r="K225" s="14"/>
      <c r="L225" s="15"/>
    </row>
    <row r="226">
      <c r="A226" s="2"/>
      <c r="D226" s="14"/>
      <c r="E226" s="14"/>
      <c r="F226" s="14"/>
      <c r="G226" s="14"/>
      <c r="H226" s="14"/>
      <c r="I226" s="14"/>
      <c r="J226" s="14"/>
      <c r="K226" s="14"/>
      <c r="L226" s="15"/>
    </row>
    <row r="227">
      <c r="A227" s="2"/>
      <c r="D227" s="14"/>
      <c r="E227" s="14"/>
      <c r="F227" s="14"/>
      <c r="G227" s="14"/>
      <c r="H227" s="14"/>
      <c r="I227" s="14"/>
      <c r="J227" s="14"/>
      <c r="K227" s="14"/>
      <c r="L227" s="15"/>
    </row>
    <row r="228">
      <c r="A228" s="2"/>
      <c r="D228" s="14"/>
      <c r="E228" s="14"/>
      <c r="F228" s="14"/>
      <c r="G228" s="14"/>
      <c r="H228" s="14"/>
      <c r="I228" s="14"/>
      <c r="J228" s="14"/>
      <c r="K228" s="14"/>
      <c r="L228" s="15"/>
    </row>
    <row r="229">
      <c r="A229" s="2"/>
      <c r="D229" s="14"/>
      <c r="E229" s="14"/>
      <c r="F229" s="14"/>
      <c r="G229" s="14"/>
      <c r="H229" s="14"/>
      <c r="I229" s="14"/>
      <c r="J229" s="14"/>
      <c r="K229" s="14"/>
      <c r="L229" s="15"/>
    </row>
    <row r="230">
      <c r="A230" s="2"/>
      <c r="D230" s="14"/>
      <c r="E230" s="14"/>
      <c r="F230" s="14"/>
      <c r="G230" s="14"/>
      <c r="H230" s="14"/>
      <c r="I230" s="14"/>
      <c r="J230" s="14"/>
      <c r="K230" s="14"/>
      <c r="L230" s="15"/>
    </row>
    <row r="231">
      <c r="A231" s="2"/>
      <c r="D231" s="14"/>
      <c r="E231" s="14"/>
      <c r="F231" s="14"/>
      <c r="G231" s="14"/>
      <c r="H231" s="14"/>
      <c r="I231" s="14"/>
      <c r="J231" s="14"/>
      <c r="K231" s="14"/>
      <c r="L231" s="15"/>
    </row>
    <row r="232">
      <c r="A232" s="2"/>
      <c r="D232" s="14"/>
      <c r="E232" s="14"/>
      <c r="F232" s="14"/>
      <c r="G232" s="14"/>
      <c r="H232" s="14"/>
      <c r="I232" s="14"/>
      <c r="J232" s="14"/>
      <c r="K232" s="14"/>
      <c r="L232" s="15"/>
    </row>
    <row r="233">
      <c r="A233" s="2"/>
      <c r="D233" s="14"/>
      <c r="E233" s="14"/>
      <c r="F233" s="14"/>
      <c r="G233" s="14"/>
      <c r="H233" s="14"/>
      <c r="I233" s="14"/>
      <c r="J233" s="14"/>
      <c r="K233" s="14"/>
      <c r="L233" s="15"/>
    </row>
    <row r="234">
      <c r="A234" s="2"/>
      <c r="D234" s="14"/>
      <c r="E234" s="14"/>
      <c r="F234" s="14"/>
      <c r="G234" s="14"/>
      <c r="H234" s="14"/>
      <c r="I234" s="14"/>
      <c r="J234" s="14"/>
      <c r="K234" s="14"/>
      <c r="L234" s="15"/>
    </row>
    <row r="235">
      <c r="A235" s="2"/>
      <c r="D235" s="14"/>
      <c r="E235" s="14"/>
      <c r="F235" s="14"/>
      <c r="G235" s="14"/>
      <c r="H235" s="14"/>
      <c r="I235" s="14"/>
      <c r="J235" s="14"/>
      <c r="K235" s="14"/>
      <c r="L235" s="15"/>
    </row>
    <row r="236">
      <c r="A236" s="2"/>
      <c r="D236" s="14"/>
      <c r="E236" s="14"/>
      <c r="F236" s="14"/>
      <c r="G236" s="14"/>
      <c r="H236" s="14"/>
      <c r="I236" s="14"/>
      <c r="J236" s="14"/>
      <c r="K236" s="14"/>
      <c r="L236" s="15"/>
    </row>
    <row r="237">
      <c r="A237" s="2"/>
      <c r="D237" s="14"/>
      <c r="E237" s="14"/>
      <c r="F237" s="14"/>
      <c r="G237" s="14"/>
      <c r="H237" s="14"/>
      <c r="I237" s="14"/>
      <c r="J237" s="14"/>
      <c r="K237" s="14"/>
      <c r="L237" s="15"/>
    </row>
    <row r="238">
      <c r="A238" s="2"/>
      <c r="D238" s="14"/>
      <c r="E238" s="14"/>
      <c r="F238" s="14"/>
      <c r="G238" s="14"/>
      <c r="H238" s="14"/>
      <c r="I238" s="14"/>
      <c r="J238" s="14"/>
      <c r="K238" s="14"/>
      <c r="L238" s="15"/>
    </row>
    <row r="239">
      <c r="A239" s="2"/>
      <c r="D239" s="14"/>
      <c r="E239" s="14"/>
      <c r="F239" s="14"/>
      <c r="G239" s="14"/>
      <c r="H239" s="14"/>
      <c r="I239" s="14"/>
      <c r="J239" s="14"/>
      <c r="K239" s="14"/>
      <c r="L239" s="15"/>
    </row>
    <row r="240">
      <c r="A240" s="2"/>
      <c r="D240" s="14"/>
      <c r="E240" s="14"/>
      <c r="F240" s="14"/>
      <c r="G240" s="14"/>
      <c r="H240" s="14"/>
      <c r="I240" s="14"/>
      <c r="J240" s="14"/>
      <c r="K240" s="14"/>
      <c r="L240" s="15"/>
    </row>
    <row r="241">
      <c r="A241" s="2"/>
      <c r="D241" s="14"/>
      <c r="E241" s="14"/>
      <c r="F241" s="14"/>
      <c r="G241" s="14"/>
      <c r="H241" s="14"/>
      <c r="I241" s="14"/>
      <c r="J241" s="14"/>
      <c r="K241" s="14"/>
      <c r="L241" s="15"/>
    </row>
    <row r="242">
      <c r="A242" s="2"/>
      <c r="D242" s="14"/>
      <c r="E242" s="14"/>
      <c r="F242" s="14"/>
      <c r="G242" s="14"/>
      <c r="H242" s="14"/>
      <c r="I242" s="14"/>
      <c r="J242" s="14"/>
      <c r="K242" s="14"/>
      <c r="L242" s="15"/>
    </row>
    <row r="243">
      <c r="A243" s="2"/>
      <c r="D243" s="14"/>
      <c r="E243" s="14"/>
      <c r="F243" s="14"/>
      <c r="G243" s="14"/>
      <c r="H243" s="14"/>
      <c r="I243" s="14"/>
      <c r="J243" s="14"/>
      <c r="K243" s="14"/>
      <c r="L243" s="15"/>
    </row>
    <row r="244">
      <c r="A244" s="2"/>
      <c r="D244" s="14"/>
      <c r="E244" s="14"/>
      <c r="F244" s="14"/>
      <c r="G244" s="14"/>
      <c r="H244" s="14"/>
      <c r="I244" s="14"/>
      <c r="J244" s="14"/>
      <c r="K244" s="14"/>
      <c r="L244" s="15"/>
    </row>
    <row r="245">
      <c r="A245" s="2"/>
      <c r="D245" s="14"/>
      <c r="E245" s="14"/>
      <c r="F245" s="14"/>
      <c r="G245" s="14"/>
      <c r="H245" s="14"/>
      <c r="I245" s="14"/>
      <c r="J245" s="14"/>
      <c r="K245" s="14"/>
      <c r="L245" s="15"/>
    </row>
    <row r="246">
      <c r="A246" s="2"/>
      <c r="D246" s="14"/>
      <c r="E246" s="14"/>
      <c r="F246" s="14"/>
      <c r="G246" s="14"/>
      <c r="H246" s="14"/>
      <c r="I246" s="14"/>
      <c r="J246" s="14"/>
      <c r="K246" s="14"/>
      <c r="L246" s="15"/>
    </row>
    <row r="247">
      <c r="A247" s="2"/>
      <c r="D247" s="14"/>
      <c r="E247" s="14"/>
      <c r="F247" s="14"/>
      <c r="G247" s="14"/>
      <c r="H247" s="14"/>
      <c r="I247" s="14"/>
      <c r="J247" s="14"/>
      <c r="K247" s="14"/>
      <c r="L247" s="15"/>
    </row>
    <row r="248">
      <c r="A248" s="2"/>
      <c r="D248" s="14"/>
      <c r="E248" s="14"/>
      <c r="F248" s="14"/>
      <c r="G248" s="14"/>
      <c r="H248" s="14"/>
      <c r="I248" s="14"/>
      <c r="J248" s="14"/>
      <c r="K248" s="14"/>
      <c r="L248" s="15"/>
    </row>
    <row r="249">
      <c r="A249" s="2"/>
      <c r="D249" s="14"/>
      <c r="E249" s="14"/>
      <c r="F249" s="14"/>
      <c r="G249" s="14"/>
      <c r="H249" s="14"/>
      <c r="I249" s="14"/>
      <c r="J249" s="14"/>
      <c r="K249" s="14"/>
      <c r="L249" s="15"/>
    </row>
    <row r="250">
      <c r="A250" s="2"/>
      <c r="D250" s="14"/>
      <c r="E250" s="14"/>
      <c r="F250" s="14"/>
      <c r="G250" s="14"/>
      <c r="H250" s="14"/>
      <c r="I250" s="14"/>
      <c r="J250" s="14"/>
      <c r="K250" s="14"/>
      <c r="L250" s="15"/>
    </row>
    <row r="251">
      <c r="A251" s="2"/>
      <c r="D251" s="14"/>
      <c r="E251" s="14"/>
      <c r="F251" s="14"/>
      <c r="G251" s="14"/>
      <c r="H251" s="14"/>
      <c r="I251" s="14"/>
      <c r="J251" s="14"/>
      <c r="K251" s="14"/>
      <c r="L251" s="15"/>
    </row>
    <row r="252">
      <c r="A252" s="2"/>
      <c r="D252" s="14"/>
      <c r="E252" s="14"/>
      <c r="F252" s="14"/>
      <c r="G252" s="14"/>
      <c r="H252" s="14"/>
      <c r="I252" s="14"/>
      <c r="J252" s="14"/>
      <c r="K252" s="14"/>
      <c r="L252" s="15"/>
    </row>
    <row r="253">
      <c r="A253" s="2"/>
      <c r="D253" s="14"/>
      <c r="E253" s="14"/>
      <c r="F253" s="14"/>
      <c r="G253" s="14"/>
      <c r="H253" s="14"/>
      <c r="I253" s="14"/>
      <c r="J253" s="14"/>
      <c r="K253" s="14"/>
      <c r="L253" s="15"/>
    </row>
    <row r="254">
      <c r="A254" s="2"/>
      <c r="D254" s="14"/>
      <c r="E254" s="14"/>
      <c r="F254" s="14"/>
      <c r="G254" s="14"/>
      <c r="H254" s="14"/>
      <c r="I254" s="14"/>
      <c r="J254" s="14"/>
      <c r="K254" s="14"/>
      <c r="L254" s="15"/>
    </row>
    <row r="255">
      <c r="A255" s="2"/>
      <c r="D255" s="14"/>
      <c r="E255" s="14"/>
      <c r="F255" s="14"/>
      <c r="G255" s="14"/>
      <c r="H255" s="14"/>
      <c r="I255" s="14"/>
      <c r="J255" s="14"/>
      <c r="K255" s="14"/>
      <c r="L255" s="15"/>
    </row>
    <row r="256">
      <c r="A256" s="2"/>
      <c r="D256" s="14"/>
      <c r="E256" s="14"/>
      <c r="F256" s="14"/>
      <c r="G256" s="14"/>
      <c r="H256" s="14"/>
      <c r="I256" s="14"/>
      <c r="J256" s="14"/>
      <c r="K256" s="14"/>
      <c r="L256" s="15"/>
    </row>
    <row r="257">
      <c r="A257" s="2"/>
      <c r="D257" s="14"/>
      <c r="E257" s="14"/>
      <c r="F257" s="14"/>
      <c r="G257" s="14"/>
      <c r="H257" s="14"/>
      <c r="I257" s="14"/>
      <c r="J257" s="14"/>
      <c r="K257" s="14"/>
      <c r="L257" s="15"/>
    </row>
    <row r="258">
      <c r="A258" s="2"/>
      <c r="D258" s="14"/>
      <c r="E258" s="14"/>
      <c r="F258" s="14"/>
      <c r="G258" s="14"/>
      <c r="H258" s="14"/>
      <c r="I258" s="14"/>
      <c r="J258" s="14"/>
      <c r="K258" s="14"/>
      <c r="L258" s="15"/>
    </row>
    <row r="259">
      <c r="A259" s="2"/>
      <c r="D259" s="14"/>
      <c r="E259" s="14"/>
      <c r="F259" s="14"/>
      <c r="G259" s="14"/>
      <c r="H259" s="14"/>
      <c r="I259" s="14"/>
      <c r="J259" s="14"/>
      <c r="K259" s="14"/>
      <c r="L259" s="15"/>
    </row>
    <row r="260">
      <c r="A260" s="2"/>
      <c r="D260" s="14"/>
      <c r="E260" s="14"/>
      <c r="F260" s="14"/>
      <c r="G260" s="14"/>
      <c r="H260" s="14"/>
      <c r="I260" s="14"/>
      <c r="J260" s="14"/>
      <c r="K260" s="14"/>
      <c r="L260" s="15"/>
    </row>
    <row r="261">
      <c r="A261" s="2"/>
      <c r="D261" s="14"/>
      <c r="E261" s="14"/>
      <c r="F261" s="14"/>
      <c r="G261" s="14"/>
      <c r="H261" s="14"/>
      <c r="I261" s="14"/>
      <c r="J261" s="14"/>
      <c r="K261" s="14"/>
      <c r="L261" s="15"/>
    </row>
    <row r="262">
      <c r="A262" s="2"/>
      <c r="D262" s="14"/>
      <c r="E262" s="14"/>
      <c r="F262" s="14"/>
      <c r="G262" s="14"/>
      <c r="H262" s="14"/>
      <c r="I262" s="14"/>
      <c r="J262" s="14"/>
      <c r="K262" s="14"/>
      <c r="L262" s="15"/>
    </row>
    <row r="263">
      <c r="A263" s="2"/>
      <c r="D263" s="14"/>
      <c r="E263" s="14"/>
      <c r="F263" s="14"/>
      <c r="G263" s="14"/>
      <c r="H263" s="14"/>
      <c r="I263" s="14"/>
      <c r="J263" s="14"/>
      <c r="K263" s="14"/>
      <c r="L263" s="15"/>
    </row>
    <row r="264">
      <c r="A264" s="2"/>
      <c r="D264" s="14"/>
      <c r="E264" s="14"/>
      <c r="F264" s="14"/>
      <c r="G264" s="14"/>
      <c r="H264" s="14"/>
      <c r="I264" s="14"/>
      <c r="J264" s="14"/>
      <c r="K264" s="14"/>
      <c r="L264" s="15"/>
    </row>
    <row r="265">
      <c r="A265" s="2"/>
      <c r="D265" s="14"/>
      <c r="E265" s="14"/>
      <c r="F265" s="14"/>
      <c r="G265" s="14"/>
      <c r="H265" s="14"/>
      <c r="I265" s="14"/>
      <c r="J265" s="14"/>
      <c r="K265" s="14"/>
      <c r="L265" s="15"/>
    </row>
    <row r="266">
      <c r="A266" s="2"/>
      <c r="D266" s="14"/>
      <c r="E266" s="14"/>
      <c r="F266" s="14"/>
      <c r="G266" s="14"/>
      <c r="H266" s="14"/>
      <c r="I266" s="14"/>
      <c r="J266" s="14"/>
      <c r="K266" s="14"/>
      <c r="L266" s="15"/>
    </row>
    <row r="267">
      <c r="A267" s="2"/>
      <c r="D267" s="14"/>
      <c r="E267" s="14"/>
      <c r="F267" s="14"/>
      <c r="G267" s="14"/>
      <c r="H267" s="14"/>
      <c r="I267" s="14"/>
      <c r="J267" s="14"/>
      <c r="K267" s="14"/>
      <c r="L267" s="15"/>
    </row>
    <row r="268">
      <c r="A268" s="2"/>
      <c r="D268" s="14"/>
      <c r="E268" s="14"/>
      <c r="F268" s="14"/>
      <c r="G268" s="14"/>
      <c r="H268" s="14"/>
      <c r="I268" s="14"/>
      <c r="J268" s="14"/>
      <c r="K268" s="14"/>
      <c r="L268" s="15"/>
    </row>
    <row r="269">
      <c r="A269" s="2"/>
      <c r="D269" s="14"/>
      <c r="E269" s="14"/>
      <c r="F269" s="14"/>
      <c r="G269" s="14"/>
      <c r="H269" s="14"/>
      <c r="I269" s="14"/>
      <c r="J269" s="14"/>
      <c r="K269" s="14"/>
      <c r="L269" s="15"/>
    </row>
    <row r="270">
      <c r="A270" s="2"/>
      <c r="D270" s="14"/>
      <c r="E270" s="14"/>
      <c r="F270" s="14"/>
      <c r="G270" s="14"/>
      <c r="H270" s="14"/>
      <c r="I270" s="14"/>
      <c r="J270" s="14"/>
      <c r="K270" s="14"/>
      <c r="L270" s="15"/>
    </row>
    <row r="271">
      <c r="A271" s="2"/>
      <c r="D271" s="14"/>
      <c r="E271" s="14"/>
      <c r="F271" s="14"/>
      <c r="G271" s="14"/>
      <c r="H271" s="14"/>
      <c r="I271" s="14"/>
      <c r="J271" s="14"/>
      <c r="K271" s="14"/>
      <c r="L271" s="15"/>
    </row>
    <row r="272">
      <c r="A272" s="2"/>
      <c r="D272" s="14"/>
      <c r="E272" s="14"/>
      <c r="F272" s="14"/>
      <c r="G272" s="14"/>
      <c r="H272" s="14"/>
      <c r="I272" s="14"/>
      <c r="J272" s="14"/>
      <c r="K272" s="14"/>
      <c r="L272" s="15"/>
    </row>
    <row r="273">
      <c r="A273" s="2"/>
      <c r="D273" s="14"/>
      <c r="E273" s="14"/>
      <c r="F273" s="14"/>
      <c r="G273" s="14"/>
      <c r="H273" s="14"/>
      <c r="I273" s="14"/>
      <c r="J273" s="14"/>
      <c r="K273" s="14"/>
      <c r="L273" s="15"/>
    </row>
    <row r="274">
      <c r="A274" s="2"/>
      <c r="D274" s="14"/>
      <c r="E274" s="14"/>
      <c r="F274" s="14"/>
      <c r="G274" s="14"/>
      <c r="H274" s="14"/>
      <c r="I274" s="14"/>
      <c r="J274" s="14"/>
      <c r="K274" s="14"/>
      <c r="L274" s="15"/>
    </row>
    <row r="275">
      <c r="A275" s="2"/>
      <c r="D275" s="14"/>
      <c r="E275" s="14"/>
      <c r="F275" s="14"/>
      <c r="G275" s="14"/>
      <c r="H275" s="14"/>
      <c r="I275" s="14"/>
      <c r="J275" s="14"/>
      <c r="K275" s="14"/>
      <c r="L275" s="15"/>
    </row>
    <row r="276">
      <c r="A276" s="2"/>
      <c r="D276" s="14"/>
      <c r="E276" s="14"/>
      <c r="F276" s="14"/>
      <c r="G276" s="14"/>
      <c r="H276" s="14"/>
      <c r="I276" s="14"/>
      <c r="J276" s="14"/>
      <c r="K276" s="14"/>
      <c r="L276" s="15"/>
    </row>
    <row r="277">
      <c r="A277" s="2"/>
      <c r="D277" s="14"/>
      <c r="E277" s="14"/>
      <c r="F277" s="14"/>
      <c r="G277" s="14"/>
      <c r="H277" s="14"/>
      <c r="I277" s="14"/>
      <c r="J277" s="14"/>
      <c r="K277" s="14"/>
      <c r="L277" s="15"/>
    </row>
    <row r="278">
      <c r="A278" s="2"/>
      <c r="D278" s="14"/>
      <c r="E278" s="14"/>
      <c r="F278" s="14"/>
      <c r="G278" s="14"/>
      <c r="H278" s="14"/>
      <c r="I278" s="14"/>
      <c r="J278" s="14"/>
      <c r="K278" s="14"/>
      <c r="L278" s="15"/>
    </row>
    <row r="279">
      <c r="A279" s="2"/>
      <c r="D279" s="14"/>
      <c r="E279" s="14"/>
      <c r="F279" s="14"/>
      <c r="G279" s="14"/>
      <c r="H279" s="14"/>
      <c r="I279" s="14"/>
      <c r="J279" s="14"/>
      <c r="K279" s="14"/>
      <c r="L279" s="15"/>
    </row>
    <row r="280">
      <c r="A280" s="2"/>
      <c r="D280" s="14"/>
      <c r="E280" s="14"/>
      <c r="F280" s="14"/>
      <c r="G280" s="14"/>
      <c r="H280" s="14"/>
      <c r="I280" s="14"/>
      <c r="J280" s="14"/>
      <c r="K280" s="14"/>
      <c r="L280" s="15"/>
    </row>
    <row r="281">
      <c r="A281" s="2"/>
      <c r="D281" s="14"/>
      <c r="E281" s="14"/>
      <c r="F281" s="14"/>
      <c r="G281" s="14"/>
      <c r="H281" s="14"/>
      <c r="I281" s="14"/>
      <c r="J281" s="14"/>
      <c r="K281" s="14"/>
      <c r="L281" s="15"/>
    </row>
    <row r="282">
      <c r="A282" s="2"/>
      <c r="D282" s="14"/>
      <c r="E282" s="14"/>
      <c r="F282" s="14"/>
      <c r="G282" s="14"/>
      <c r="H282" s="14"/>
      <c r="I282" s="14"/>
      <c r="J282" s="14"/>
      <c r="K282" s="14"/>
      <c r="L282" s="15"/>
    </row>
    <row r="283">
      <c r="A283" s="2"/>
      <c r="D283" s="14"/>
      <c r="E283" s="14"/>
      <c r="F283" s="14"/>
      <c r="G283" s="14"/>
      <c r="H283" s="14"/>
      <c r="I283" s="14"/>
      <c r="J283" s="14"/>
      <c r="K283" s="14"/>
      <c r="L283" s="15"/>
    </row>
    <row r="284">
      <c r="A284" s="2"/>
      <c r="D284" s="14"/>
      <c r="E284" s="14"/>
      <c r="F284" s="14"/>
      <c r="G284" s="14"/>
      <c r="H284" s="14"/>
      <c r="I284" s="14"/>
      <c r="J284" s="14"/>
      <c r="K284" s="14"/>
      <c r="L284" s="15"/>
    </row>
    <row r="285">
      <c r="A285" s="2"/>
      <c r="D285" s="14"/>
      <c r="E285" s="14"/>
      <c r="F285" s="14"/>
      <c r="G285" s="14"/>
      <c r="H285" s="14"/>
      <c r="I285" s="14"/>
      <c r="J285" s="14"/>
      <c r="K285" s="14"/>
      <c r="L285" s="15"/>
    </row>
    <row r="286">
      <c r="A286" s="2"/>
      <c r="D286" s="14"/>
      <c r="E286" s="14"/>
      <c r="F286" s="14"/>
      <c r="G286" s="14"/>
      <c r="H286" s="14"/>
      <c r="I286" s="14"/>
      <c r="J286" s="14"/>
      <c r="K286" s="14"/>
      <c r="L286" s="15"/>
    </row>
    <row r="287">
      <c r="A287" s="2"/>
      <c r="D287" s="14"/>
      <c r="E287" s="14"/>
      <c r="F287" s="14"/>
      <c r="G287" s="14"/>
      <c r="H287" s="14"/>
      <c r="I287" s="14"/>
      <c r="J287" s="14"/>
      <c r="K287" s="14"/>
      <c r="L287" s="15"/>
    </row>
    <row r="288">
      <c r="A288" s="2"/>
      <c r="D288" s="14"/>
      <c r="E288" s="14"/>
      <c r="F288" s="14"/>
      <c r="G288" s="14"/>
      <c r="H288" s="14"/>
      <c r="I288" s="14"/>
      <c r="J288" s="14"/>
      <c r="K288" s="14"/>
      <c r="L288" s="15"/>
    </row>
    <row r="289">
      <c r="A289" s="2"/>
      <c r="D289" s="14"/>
      <c r="E289" s="14"/>
      <c r="F289" s="14"/>
      <c r="G289" s="14"/>
      <c r="H289" s="14"/>
      <c r="I289" s="14"/>
      <c r="J289" s="14"/>
      <c r="K289" s="14"/>
      <c r="L289" s="15"/>
    </row>
    <row r="290">
      <c r="A290" s="2"/>
      <c r="D290" s="14"/>
      <c r="E290" s="14"/>
      <c r="F290" s="14"/>
      <c r="G290" s="14"/>
      <c r="H290" s="14"/>
      <c r="I290" s="14"/>
      <c r="J290" s="14"/>
      <c r="K290" s="14"/>
      <c r="L290" s="15"/>
    </row>
    <row r="291">
      <c r="A291" s="2"/>
      <c r="D291" s="14"/>
      <c r="E291" s="14"/>
      <c r="F291" s="14"/>
      <c r="G291" s="14"/>
      <c r="H291" s="14"/>
      <c r="I291" s="14"/>
      <c r="J291" s="14"/>
      <c r="K291" s="14"/>
      <c r="L291" s="15"/>
    </row>
    <row r="292">
      <c r="A292" s="2"/>
      <c r="D292" s="14"/>
      <c r="E292" s="14"/>
      <c r="F292" s="14"/>
      <c r="G292" s="14"/>
      <c r="H292" s="14"/>
      <c r="I292" s="14"/>
      <c r="J292" s="14"/>
      <c r="K292" s="14"/>
      <c r="L292" s="15"/>
    </row>
    <row r="293">
      <c r="A293" s="2"/>
      <c r="D293" s="14"/>
      <c r="E293" s="14"/>
      <c r="F293" s="14"/>
      <c r="G293" s="14"/>
      <c r="H293" s="14"/>
      <c r="I293" s="14"/>
      <c r="J293" s="14"/>
      <c r="K293" s="14"/>
      <c r="L293" s="15"/>
    </row>
    <row r="294">
      <c r="A294" s="2"/>
      <c r="D294" s="14"/>
      <c r="E294" s="14"/>
      <c r="F294" s="14"/>
      <c r="G294" s="14"/>
      <c r="H294" s="14"/>
      <c r="I294" s="14"/>
      <c r="J294" s="14"/>
      <c r="K294" s="14"/>
      <c r="L294" s="15"/>
    </row>
    <row r="295">
      <c r="A295" s="2"/>
      <c r="D295" s="14"/>
      <c r="E295" s="14"/>
      <c r="F295" s="14"/>
      <c r="G295" s="14"/>
      <c r="H295" s="14"/>
      <c r="I295" s="14"/>
      <c r="J295" s="14"/>
      <c r="K295" s="14"/>
      <c r="L295" s="15"/>
    </row>
    <row r="296">
      <c r="A296" s="2"/>
      <c r="D296" s="14"/>
      <c r="E296" s="14"/>
      <c r="F296" s="14"/>
      <c r="G296" s="14"/>
      <c r="H296" s="14"/>
      <c r="I296" s="14"/>
      <c r="J296" s="14"/>
      <c r="K296" s="14"/>
      <c r="L296" s="15"/>
    </row>
    <row r="297">
      <c r="A297" s="2"/>
      <c r="D297" s="14"/>
      <c r="E297" s="14"/>
      <c r="F297" s="14"/>
      <c r="G297" s="14"/>
      <c r="H297" s="14"/>
      <c r="I297" s="14"/>
      <c r="J297" s="14"/>
      <c r="K297" s="14"/>
      <c r="L297" s="15"/>
    </row>
    <row r="298">
      <c r="A298" s="2"/>
      <c r="D298" s="14"/>
      <c r="E298" s="14"/>
      <c r="F298" s="14"/>
      <c r="G298" s="14"/>
      <c r="H298" s="14"/>
      <c r="I298" s="14"/>
      <c r="J298" s="14"/>
      <c r="K298" s="14"/>
      <c r="L298" s="15"/>
    </row>
    <row r="299">
      <c r="A299" s="2"/>
      <c r="D299" s="14"/>
      <c r="E299" s="14"/>
      <c r="F299" s="14"/>
      <c r="G299" s="14"/>
      <c r="H299" s="14"/>
      <c r="I299" s="14"/>
      <c r="J299" s="14"/>
      <c r="K299" s="14"/>
      <c r="L299" s="15"/>
    </row>
    <row r="300">
      <c r="A300" s="2"/>
      <c r="D300" s="14"/>
      <c r="E300" s="14"/>
      <c r="F300" s="14"/>
      <c r="G300" s="14"/>
      <c r="H300" s="14"/>
      <c r="I300" s="14"/>
      <c r="J300" s="14"/>
      <c r="K300" s="14"/>
      <c r="L300" s="15"/>
    </row>
  </sheetData>
  <conditionalFormatting sqref="K2:L300">
    <cfRule type="cellIs" dxfId="0" priority="1" stopIfTrue="1" operator="lessThan">
      <formula>0</formula>
    </cfRule>
  </conditionalFormatting>
  <conditionalFormatting sqref="K2:L300">
    <cfRule type="cellIs" dxfId="1" priority="2" stopIfTrue="1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0.75"/>
    <col customWidth="1" min="3" max="3" width="10.38"/>
    <col customWidth="1" min="4" max="5" width="12.25"/>
    <col customWidth="1" min="6" max="6" width="14.38"/>
    <col customWidth="1" min="7" max="7" width="12.63"/>
  </cols>
  <sheetData>
    <row r="1">
      <c r="A1" s="52" t="s">
        <v>19</v>
      </c>
      <c r="B1" s="52" t="s">
        <v>880</v>
      </c>
      <c r="C1" s="52" t="s">
        <v>881</v>
      </c>
      <c r="D1" s="52" t="s">
        <v>882</v>
      </c>
      <c r="E1" s="52" t="s">
        <v>883</v>
      </c>
      <c r="F1" s="52" t="s">
        <v>884</v>
      </c>
      <c r="G1" s="52" t="s">
        <v>1668</v>
      </c>
    </row>
    <row r="2">
      <c r="A2" s="53"/>
      <c r="C2" s="13"/>
      <c r="D2" s="13"/>
      <c r="E2" s="13"/>
    </row>
    <row r="3">
      <c r="A3" s="53"/>
      <c r="C3" s="13"/>
      <c r="D3" s="13"/>
      <c r="E3" s="13"/>
    </row>
    <row r="4">
      <c r="A4" s="53"/>
      <c r="C4" s="13"/>
      <c r="D4" s="13"/>
      <c r="E4" s="13"/>
    </row>
    <row r="5">
      <c r="A5" s="53"/>
      <c r="C5" s="13"/>
      <c r="D5" s="13"/>
      <c r="E5" s="13"/>
    </row>
    <row r="6">
      <c r="A6" s="53"/>
      <c r="C6" s="13"/>
      <c r="D6" s="13"/>
      <c r="E6" s="13"/>
    </row>
    <row r="7">
      <c r="A7" s="53"/>
      <c r="C7" s="13"/>
      <c r="D7" s="13"/>
      <c r="E7" s="13"/>
    </row>
    <row r="8">
      <c r="A8" s="53"/>
      <c r="C8" s="13"/>
      <c r="D8" s="13"/>
      <c r="E8" s="13"/>
    </row>
    <row r="9">
      <c r="A9" s="53"/>
      <c r="C9" s="13"/>
      <c r="D9" s="13"/>
      <c r="E9" s="13"/>
    </row>
    <row r="10">
      <c r="A10" s="53"/>
      <c r="C10" s="13"/>
      <c r="D10" s="13"/>
      <c r="E10" s="13"/>
    </row>
    <row r="11">
      <c r="A11" s="53"/>
      <c r="C11" s="13"/>
      <c r="D11" s="13"/>
      <c r="E11" s="13"/>
    </row>
    <row r="12">
      <c r="A12" s="53"/>
      <c r="C12" s="13"/>
      <c r="D12" s="13"/>
      <c r="E12" s="13"/>
    </row>
    <row r="13">
      <c r="A13" s="53"/>
      <c r="C13" s="13"/>
      <c r="D13" s="13"/>
      <c r="E13" s="13"/>
    </row>
    <row r="14">
      <c r="A14" s="53"/>
      <c r="C14" s="13"/>
      <c r="D14" s="13"/>
      <c r="E14" s="13"/>
    </row>
    <row r="15">
      <c r="A15" s="53"/>
      <c r="C15" s="13"/>
      <c r="D15" s="13"/>
      <c r="E15" s="13"/>
    </row>
    <row r="16">
      <c r="A16" s="53"/>
      <c r="C16" s="13"/>
      <c r="D16" s="13"/>
      <c r="E16" s="13"/>
    </row>
    <row r="17">
      <c r="A17" s="53"/>
      <c r="C17" s="13"/>
      <c r="D17" s="13"/>
      <c r="E17" s="13"/>
    </row>
    <row r="18">
      <c r="A18" s="53"/>
      <c r="C18" s="13"/>
      <c r="D18" s="13"/>
      <c r="E18" s="13"/>
    </row>
    <row r="19">
      <c r="A19" s="53"/>
      <c r="C19" s="13"/>
      <c r="D19" s="13"/>
      <c r="E19" s="13"/>
    </row>
    <row r="20">
      <c r="A20" s="53"/>
      <c r="C20" s="13"/>
      <c r="D20" s="13"/>
      <c r="E20" s="13"/>
    </row>
    <row r="21">
      <c r="A21" s="53"/>
      <c r="C21" s="13"/>
      <c r="D21" s="13"/>
      <c r="E21" s="13"/>
    </row>
    <row r="22">
      <c r="A22" s="53"/>
      <c r="C22" s="13"/>
      <c r="D22" s="13"/>
      <c r="E22" s="13"/>
    </row>
    <row r="23">
      <c r="A23" s="53"/>
      <c r="C23" s="13"/>
      <c r="D23" s="13"/>
      <c r="E23" s="13"/>
    </row>
    <row r="24">
      <c r="A24" s="53"/>
      <c r="C24" s="13"/>
      <c r="D24" s="13"/>
      <c r="E24" s="13"/>
    </row>
    <row r="25">
      <c r="A25" s="53"/>
      <c r="C25" s="13"/>
      <c r="D25" s="13"/>
      <c r="E25" s="13"/>
    </row>
    <row r="26">
      <c r="A26" s="53"/>
      <c r="C26" s="13"/>
      <c r="D26" s="13"/>
      <c r="E26" s="13"/>
    </row>
    <row r="27">
      <c r="A27" s="53"/>
      <c r="C27" s="13"/>
      <c r="D27" s="13"/>
      <c r="E27" s="13"/>
    </row>
    <row r="28">
      <c r="A28" s="53"/>
      <c r="C28" s="13"/>
      <c r="D28" s="13"/>
      <c r="E28" s="13"/>
    </row>
    <row r="29">
      <c r="A29" s="53"/>
      <c r="C29" s="13"/>
      <c r="D29" s="13"/>
      <c r="E29" s="13"/>
    </row>
    <row r="30">
      <c r="A30" s="53"/>
      <c r="C30" s="13"/>
      <c r="D30" s="13"/>
      <c r="E30" s="13"/>
    </row>
    <row r="31">
      <c r="A31" s="53"/>
      <c r="C31" s="13"/>
      <c r="D31" s="13"/>
      <c r="E31" s="13"/>
    </row>
    <row r="32">
      <c r="A32" s="53"/>
      <c r="C32" s="13"/>
      <c r="D32" s="13"/>
      <c r="E32" s="13"/>
    </row>
    <row r="33">
      <c r="A33" s="53"/>
      <c r="C33" s="13"/>
      <c r="D33" s="13"/>
      <c r="E33" s="13"/>
    </row>
    <row r="34">
      <c r="A34" s="53"/>
      <c r="C34" s="13"/>
      <c r="D34" s="13"/>
      <c r="E34" s="13"/>
    </row>
    <row r="35">
      <c r="A35" s="53"/>
      <c r="C35" s="13"/>
      <c r="D35" s="13"/>
      <c r="E35" s="13"/>
    </row>
    <row r="36">
      <c r="A36" s="53"/>
      <c r="C36" s="13"/>
      <c r="D36" s="13"/>
      <c r="E36" s="13"/>
    </row>
    <row r="37">
      <c r="A37" s="53"/>
      <c r="C37" s="13"/>
      <c r="D37" s="13"/>
      <c r="E37" s="13"/>
    </row>
    <row r="38">
      <c r="A38" s="53"/>
      <c r="C38" s="13"/>
      <c r="D38" s="13"/>
      <c r="E38" s="13"/>
    </row>
    <row r="39">
      <c r="A39" s="53"/>
      <c r="C39" s="13"/>
      <c r="D39" s="13"/>
      <c r="E39" s="13"/>
    </row>
    <row r="40">
      <c r="A40" s="53"/>
      <c r="C40" s="13"/>
      <c r="D40" s="13"/>
      <c r="E40" s="13"/>
    </row>
    <row r="41">
      <c r="A41" s="53"/>
      <c r="C41" s="13"/>
      <c r="D41" s="13"/>
      <c r="E41" s="13"/>
    </row>
    <row r="42">
      <c r="A42" s="53"/>
      <c r="C42" s="13"/>
      <c r="D42" s="13"/>
      <c r="E42" s="13"/>
    </row>
    <row r="43">
      <c r="A43" s="53"/>
      <c r="C43" s="13"/>
      <c r="D43" s="13"/>
      <c r="E43" s="13"/>
    </row>
    <row r="44">
      <c r="A44" s="53"/>
      <c r="C44" s="13"/>
      <c r="D44" s="13"/>
      <c r="E44" s="13"/>
    </row>
    <row r="45">
      <c r="A45" s="53"/>
      <c r="C45" s="13"/>
      <c r="D45" s="13"/>
      <c r="E45" s="13"/>
    </row>
    <row r="46">
      <c r="A46" s="53"/>
      <c r="C46" s="13"/>
      <c r="D46" s="13"/>
      <c r="E46" s="13"/>
    </row>
    <row r="47">
      <c r="A47" s="53"/>
      <c r="C47" s="13"/>
      <c r="D47" s="13"/>
      <c r="E47" s="13"/>
    </row>
    <row r="48">
      <c r="A48" s="53"/>
      <c r="C48" s="13"/>
      <c r="D48" s="13"/>
      <c r="E48" s="13"/>
    </row>
    <row r="49">
      <c r="A49" s="53"/>
      <c r="C49" s="13"/>
      <c r="D49" s="13"/>
      <c r="E49" s="13"/>
    </row>
    <row r="50">
      <c r="A50" s="53"/>
      <c r="C50" s="13"/>
      <c r="D50" s="13"/>
      <c r="E50" s="13"/>
    </row>
    <row r="51">
      <c r="A51" s="53"/>
      <c r="C51" s="13"/>
      <c r="D51" s="13"/>
      <c r="E51" s="13"/>
    </row>
    <row r="52">
      <c r="A52" s="53"/>
      <c r="C52" s="13"/>
      <c r="D52" s="13"/>
      <c r="E52" s="13"/>
    </row>
    <row r="53">
      <c r="A53" s="53"/>
      <c r="C53" s="13"/>
      <c r="D53" s="13"/>
      <c r="E53" s="13"/>
    </row>
    <row r="54">
      <c r="A54" s="53"/>
      <c r="C54" s="13"/>
      <c r="D54" s="13"/>
      <c r="E54" s="13"/>
    </row>
    <row r="55">
      <c r="A55" s="53"/>
      <c r="C55" s="13"/>
      <c r="D55" s="13"/>
      <c r="E55" s="13"/>
    </row>
    <row r="56">
      <c r="A56" s="53"/>
      <c r="C56" s="13"/>
      <c r="D56" s="13"/>
      <c r="E56" s="13"/>
    </row>
    <row r="57">
      <c r="A57" s="53"/>
      <c r="C57" s="13"/>
      <c r="D57" s="13"/>
      <c r="E57" s="13"/>
    </row>
    <row r="58">
      <c r="A58" s="53"/>
      <c r="C58" s="13"/>
      <c r="D58" s="13"/>
      <c r="E58" s="13"/>
    </row>
    <row r="59">
      <c r="A59" s="53"/>
      <c r="C59" s="13"/>
      <c r="D59" s="13"/>
      <c r="E59" s="13"/>
    </row>
    <row r="60">
      <c r="A60" s="53"/>
      <c r="C60" s="13"/>
      <c r="D60" s="13"/>
      <c r="E60" s="13"/>
    </row>
    <row r="61">
      <c r="A61" s="53"/>
      <c r="C61" s="13"/>
      <c r="D61" s="13"/>
      <c r="E61" s="13"/>
    </row>
    <row r="62">
      <c r="A62" s="53"/>
      <c r="C62" s="13"/>
      <c r="D62" s="13"/>
      <c r="E62" s="13"/>
    </row>
    <row r="63">
      <c r="A63" s="53"/>
      <c r="C63" s="13"/>
      <c r="D63" s="13"/>
      <c r="E63" s="13"/>
    </row>
    <row r="64">
      <c r="A64" s="53"/>
      <c r="C64" s="13"/>
      <c r="D64" s="13"/>
      <c r="E64" s="13"/>
    </row>
    <row r="65">
      <c r="A65" s="53"/>
      <c r="C65" s="13"/>
      <c r="D65" s="13"/>
      <c r="E65" s="13"/>
    </row>
    <row r="66">
      <c r="A66" s="53"/>
      <c r="C66" s="13"/>
      <c r="D66" s="13"/>
      <c r="E66" s="13"/>
    </row>
    <row r="67">
      <c r="A67" s="53"/>
      <c r="C67" s="13"/>
      <c r="D67" s="13"/>
      <c r="E67" s="13"/>
    </row>
    <row r="68">
      <c r="A68" s="53"/>
      <c r="C68" s="13"/>
      <c r="D68" s="13"/>
      <c r="E68" s="13"/>
    </row>
    <row r="69">
      <c r="A69" s="53"/>
      <c r="C69" s="13"/>
      <c r="D69" s="13"/>
      <c r="E69" s="13"/>
    </row>
    <row r="70">
      <c r="A70" s="53"/>
      <c r="C70" s="13"/>
      <c r="D70" s="13"/>
      <c r="E70" s="13"/>
    </row>
    <row r="71">
      <c r="A71" s="53"/>
      <c r="C71" s="13"/>
      <c r="D71" s="13"/>
      <c r="E71" s="13"/>
    </row>
    <row r="72">
      <c r="A72" s="53"/>
      <c r="C72" s="13"/>
      <c r="D72" s="13"/>
      <c r="E72" s="13"/>
    </row>
    <row r="73">
      <c r="A73" s="53"/>
      <c r="C73" s="13"/>
      <c r="D73" s="13"/>
      <c r="E73" s="13"/>
    </row>
    <row r="74">
      <c r="A74" s="53"/>
      <c r="C74" s="13"/>
      <c r="D74" s="13"/>
      <c r="E74" s="13"/>
    </row>
    <row r="75">
      <c r="A75" s="53"/>
      <c r="C75" s="13"/>
      <c r="D75" s="13"/>
      <c r="E75" s="13"/>
    </row>
    <row r="76">
      <c r="A76" s="53"/>
      <c r="C76" s="13"/>
      <c r="D76" s="13"/>
      <c r="E76" s="13"/>
    </row>
    <row r="77">
      <c r="A77" s="53"/>
      <c r="C77" s="13"/>
      <c r="D77" s="13"/>
      <c r="E77" s="13"/>
    </row>
    <row r="78">
      <c r="A78" s="53"/>
      <c r="C78" s="13"/>
      <c r="D78" s="13"/>
      <c r="E78" s="13"/>
    </row>
    <row r="79">
      <c r="A79" s="53"/>
      <c r="C79" s="13"/>
      <c r="D79" s="13"/>
      <c r="E79" s="13"/>
    </row>
    <row r="80">
      <c r="A80" s="53"/>
      <c r="C80" s="13"/>
      <c r="D80" s="13"/>
      <c r="E80" s="13"/>
    </row>
    <row r="81">
      <c r="A81" s="53"/>
      <c r="C81" s="13"/>
      <c r="D81" s="13"/>
      <c r="E81" s="13"/>
    </row>
    <row r="82">
      <c r="A82" s="53"/>
      <c r="C82" s="13"/>
      <c r="D82" s="13"/>
      <c r="E82" s="13"/>
    </row>
    <row r="83">
      <c r="A83" s="53"/>
      <c r="C83" s="13"/>
      <c r="D83" s="13"/>
      <c r="E83" s="13"/>
    </row>
    <row r="84">
      <c r="A84" s="53"/>
      <c r="C84" s="13"/>
      <c r="D84" s="13"/>
      <c r="E84" s="13"/>
    </row>
    <row r="85">
      <c r="A85" s="53"/>
      <c r="C85" s="13"/>
      <c r="D85" s="13"/>
      <c r="E85" s="13"/>
    </row>
    <row r="86">
      <c r="A86" s="53"/>
      <c r="C86" s="13"/>
      <c r="D86" s="13"/>
      <c r="E86" s="13"/>
    </row>
    <row r="87">
      <c r="A87" s="53"/>
      <c r="C87" s="13"/>
      <c r="D87" s="13"/>
      <c r="E87" s="13"/>
    </row>
    <row r="88">
      <c r="A88" s="53"/>
      <c r="C88" s="13"/>
      <c r="D88" s="13"/>
      <c r="E88" s="13"/>
    </row>
    <row r="89">
      <c r="A89" s="53"/>
      <c r="C89" s="13"/>
      <c r="D89" s="13"/>
      <c r="E89" s="13"/>
    </row>
    <row r="90">
      <c r="A90" s="53"/>
      <c r="C90" s="13"/>
      <c r="D90" s="13"/>
      <c r="E90" s="13"/>
    </row>
    <row r="91">
      <c r="A91" s="53"/>
      <c r="C91" s="13"/>
      <c r="D91" s="13"/>
      <c r="E91" s="13"/>
    </row>
    <row r="92">
      <c r="A92" s="53"/>
      <c r="C92" s="13"/>
      <c r="D92" s="13"/>
      <c r="E92" s="13"/>
    </row>
    <row r="93">
      <c r="A93" s="53"/>
      <c r="C93" s="13"/>
      <c r="D93" s="13"/>
      <c r="E93" s="13"/>
    </row>
    <row r="94">
      <c r="A94" s="53"/>
      <c r="C94" s="13"/>
      <c r="D94" s="13"/>
      <c r="E94" s="13"/>
    </row>
    <row r="95">
      <c r="A95" s="53"/>
      <c r="C95" s="13"/>
      <c r="D95" s="13"/>
      <c r="E95" s="13"/>
    </row>
    <row r="96">
      <c r="A96" s="53"/>
      <c r="C96" s="13"/>
      <c r="D96" s="13"/>
      <c r="E96" s="13"/>
    </row>
    <row r="97">
      <c r="A97" s="53"/>
      <c r="C97" s="13"/>
      <c r="D97" s="13"/>
      <c r="E97" s="13"/>
    </row>
    <row r="98">
      <c r="A98" s="53"/>
      <c r="C98" s="13"/>
      <c r="D98" s="13"/>
      <c r="E98" s="13"/>
    </row>
    <row r="99">
      <c r="A99" s="53"/>
      <c r="C99" s="13"/>
      <c r="D99" s="13"/>
      <c r="E99" s="13"/>
    </row>
    <row r="100">
      <c r="A100" s="53"/>
      <c r="C100" s="13"/>
      <c r="D100" s="13"/>
      <c r="E100" s="13"/>
    </row>
    <row r="101">
      <c r="A101" s="53"/>
      <c r="C101" s="13"/>
      <c r="D101" s="13"/>
      <c r="E101" s="13"/>
    </row>
    <row r="102">
      <c r="A102" s="53"/>
      <c r="C102" s="13"/>
      <c r="D102" s="13"/>
      <c r="E102" s="13"/>
    </row>
    <row r="103">
      <c r="A103" s="53"/>
      <c r="C103" s="13"/>
      <c r="D103" s="13"/>
      <c r="E103" s="13"/>
    </row>
    <row r="104">
      <c r="A104" s="53"/>
      <c r="C104" s="13"/>
      <c r="D104" s="13"/>
      <c r="E104" s="13"/>
    </row>
    <row r="105">
      <c r="A105" s="53"/>
      <c r="C105" s="13"/>
      <c r="D105" s="13"/>
      <c r="E105" s="13"/>
    </row>
    <row r="106">
      <c r="A106" s="53"/>
      <c r="C106" s="13"/>
      <c r="D106" s="13"/>
      <c r="E106" s="13"/>
    </row>
    <row r="107">
      <c r="A107" s="53"/>
      <c r="C107" s="13"/>
      <c r="D107" s="13"/>
      <c r="E107" s="13"/>
    </row>
    <row r="108">
      <c r="A108" s="53"/>
      <c r="C108" s="13"/>
      <c r="D108" s="13"/>
      <c r="E108" s="13"/>
    </row>
    <row r="109">
      <c r="A109" s="53"/>
      <c r="C109" s="13"/>
      <c r="D109" s="13"/>
      <c r="E109" s="13"/>
    </row>
    <row r="110">
      <c r="A110" s="53"/>
      <c r="C110" s="13"/>
      <c r="D110" s="13"/>
      <c r="E110" s="13"/>
    </row>
    <row r="111">
      <c r="A111" s="53"/>
      <c r="C111" s="13"/>
      <c r="D111" s="13"/>
      <c r="E111" s="13"/>
    </row>
    <row r="112">
      <c r="A112" s="53"/>
      <c r="C112" s="13"/>
      <c r="D112" s="13"/>
      <c r="E112" s="13"/>
    </row>
    <row r="113">
      <c r="A113" s="53"/>
      <c r="C113" s="13"/>
      <c r="D113" s="13"/>
      <c r="E113" s="13"/>
    </row>
    <row r="114">
      <c r="A114" s="53"/>
      <c r="C114" s="13"/>
      <c r="D114" s="13"/>
      <c r="E114" s="13"/>
    </row>
    <row r="115">
      <c r="A115" s="53"/>
      <c r="C115" s="13"/>
      <c r="D115" s="13"/>
      <c r="E115" s="13"/>
    </row>
    <row r="116">
      <c r="A116" s="53"/>
      <c r="C116" s="13"/>
      <c r="D116" s="13"/>
      <c r="E116" s="13"/>
    </row>
    <row r="117">
      <c r="A117" s="53"/>
      <c r="C117" s="13"/>
      <c r="D117" s="13"/>
      <c r="E117" s="13"/>
    </row>
    <row r="118">
      <c r="A118" s="53"/>
      <c r="C118" s="13"/>
      <c r="D118" s="13"/>
      <c r="E118" s="13"/>
    </row>
    <row r="119">
      <c r="A119" s="53"/>
      <c r="C119" s="13"/>
      <c r="D119" s="13"/>
      <c r="E119" s="13"/>
    </row>
    <row r="120">
      <c r="A120" s="53"/>
      <c r="C120" s="13"/>
      <c r="D120" s="13"/>
      <c r="E120" s="13"/>
    </row>
    <row r="121">
      <c r="A121" s="53"/>
      <c r="C121" s="13"/>
      <c r="D121" s="13"/>
      <c r="E121" s="13"/>
    </row>
    <row r="122">
      <c r="A122" s="53"/>
      <c r="C122" s="13"/>
      <c r="D122" s="13"/>
      <c r="E122" s="13"/>
    </row>
    <row r="123">
      <c r="A123" s="53"/>
      <c r="C123" s="13"/>
      <c r="D123" s="13"/>
      <c r="E123" s="13"/>
    </row>
    <row r="124">
      <c r="A124" s="53"/>
      <c r="C124" s="13"/>
      <c r="D124" s="13"/>
      <c r="E124" s="13"/>
    </row>
    <row r="125">
      <c r="A125" s="53"/>
      <c r="C125" s="13"/>
      <c r="D125" s="13"/>
      <c r="E125" s="13"/>
    </row>
    <row r="126">
      <c r="A126" s="53"/>
      <c r="C126" s="13"/>
      <c r="D126" s="13"/>
      <c r="E126" s="13"/>
    </row>
    <row r="127">
      <c r="A127" s="53"/>
      <c r="C127" s="13"/>
      <c r="D127" s="13"/>
      <c r="E127" s="13"/>
    </row>
    <row r="128">
      <c r="A128" s="53"/>
      <c r="C128" s="13"/>
      <c r="D128" s="13"/>
      <c r="E128" s="13"/>
    </row>
    <row r="129">
      <c r="A129" s="53"/>
      <c r="C129" s="13"/>
      <c r="D129" s="13"/>
      <c r="E129" s="13"/>
    </row>
    <row r="130">
      <c r="A130" s="53"/>
      <c r="C130" s="13"/>
      <c r="D130" s="13"/>
      <c r="E130" s="13"/>
    </row>
    <row r="131">
      <c r="A131" s="53"/>
      <c r="C131" s="13"/>
      <c r="D131" s="13"/>
      <c r="E131" s="13"/>
    </row>
    <row r="132">
      <c r="A132" s="53"/>
      <c r="C132" s="13"/>
      <c r="D132" s="13"/>
      <c r="E132" s="13"/>
    </row>
    <row r="133">
      <c r="A133" s="53"/>
      <c r="C133" s="13"/>
      <c r="D133" s="13"/>
      <c r="E133" s="13"/>
    </row>
    <row r="134">
      <c r="A134" s="53"/>
      <c r="C134" s="13"/>
      <c r="D134" s="13"/>
      <c r="E134" s="13"/>
    </row>
    <row r="135">
      <c r="A135" s="53"/>
      <c r="C135" s="13"/>
      <c r="D135" s="13"/>
      <c r="E135" s="13"/>
    </row>
    <row r="136">
      <c r="A136" s="53"/>
      <c r="C136" s="13"/>
      <c r="D136" s="13"/>
      <c r="E136" s="13"/>
    </row>
    <row r="137">
      <c r="A137" s="53"/>
      <c r="C137" s="13"/>
      <c r="D137" s="13"/>
      <c r="E137" s="13"/>
    </row>
    <row r="138">
      <c r="A138" s="53"/>
      <c r="C138" s="13"/>
      <c r="D138" s="13"/>
      <c r="E138" s="13"/>
    </row>
    <row r="139">
      <c r="A139" s="53"/>
      <c r="C139" s="13"/>
      <c r="D139" s="13"/>
      <c r="E139" s="13"/>
    </row>
    <row r="140">
      <c r="A140" s="53"/>
      <c r="C140" s="13"/>
      <c r="D140" s="13"/>
      <c r="E140" s="13"/>
    </row>
    <row r="141">
      <c r="A141" s="53"/>
      <c r="C141" s="13"/>
      <c r="D141" s="13"/>
      <c r="E141" s="13"/>
    </row>
    <row r="142">
      <c r="A142" s="53"/>
      <c r="C142" s="13"/>
      <c r="D142" s="13"/>
      <c r="E142" s="13"/>
    </row>
    <row r="143">
      <c r="A143" s="53"/>
      <c r="C143" s="13"/>
      <c r="D143" s="13"/>
      <c r="E143" s="13"/>
    </row>
    <row r="144">
      <c r="A144" s="53"/>
      <c r="C144" s="13"/>
      <c r="D144" s="13"/>
      <c r="E144" s="13"/>
    </row>
    <row r="145">
      <c r="A145" s="53"/>
      <c r="C145" s="13"/>
      <c r="D145" s="13"/>
      <c r="E145" s="13"/>
    </row>
    <row r="146">
      <c r="A146" s="53"/>
      <c r="C146" s="13"/>
      <c r="D146" s="13"/>
      <c r="E146" s="13"/>
    </row>
    <row r="147">
      <c r="A147" s="53"/>
      <c r="C147" s="13"/>
      <c r="D147" s="13"/>
      <c r="E147" s="13"/>
    </row>
    <row r="148">
      <c r="A148" s="53"/>
      <c r="C148" s="13"/>
      <c r="D148" s="13"/>
      <c r="E148" s="13"/>
    </row>
    <row r="149">
      <c r="A149" s="53"/>
      <c r="C149" s="13"/>
      <c r="D149" s="13"/>
      <c r="E149" s="13"/>
    </row>
    <row r="150">
      <c r="A150" s="53"/>
      <c r="C150" s="13"/>
      <c r="D150" s="13"/>
      <c r="E150" s="13"/>
    </row>
    <row r="151">
      <c r="A151" s="53"/>
      <c r="C151" s="13"/>
      <c r="D151" s="13"/>
      <c r="E151" s="13"/>
    </row>
    <row r="152">
      <c r="A152" s="53"/>
      <c r="C152" s="13"/>
      <c r="D152" s="13"/>
      <c r="E152" s="13"/>
    </row>
    <row r="153">
      <c r="A153" s="53"/>
      <c r="C153" s="13"/>
      <c r="D153" s="13"/>
      <c r="E153" s="13"/>
    </row>
    <row r="154">
      <c r="A154" s="53"/>
      <c r="C154" s="13"/>
      <c r="D154" s="13"/>
      <c r="E154" s="13"/>
    </row>
    <row r="155">
      <c r="A155" s="53"/>
      <c r="C155" s="13"/>
      <c r="D155" s="13"/>
      <c r="E155" s="13"/>
    </row>
    <row r="156">
      <c r="A156" s="53"/>
      <c r="C156" s="13"/>
      <c r="D156" s="13"/>
      <c r="E156" s="13"/>
    </row>
    <row r="157">
      <c r="A157" s="53"/>
      <c r="C157" s="13"/>
      <c r="D157" s="13"/>
      <c r="E157" s="13"/>
    </row>
    <row r="158">
      <c r="A158" s="53"/>
      <c r="C158" s="13"/>
      <c r="D158" s="13"/>
      <c r="E158" s="13"/>
    </row>
    <row r="159">
      <c r="A159" s="53"/>
      <c r="C159" s="13"/>
      <c r="D159" s="13"/>
      <c r="E159" s="13"/>
    </row>
    <row r="160">
      <c r="A160" s="53"/>
      <c r="C160" s="13"/>
      <c r="D160" s="13"/>
      <c r="E160" s="13"/>
    </row>
    <row r="161">
      <c r="A161" s="53"/>
      <c r="C161" s="13"/>
      <c r="D161" s="13"/>
      <c r="E161" s="13"/>
    </row>
    <row r="162">
      <c r="A162" s="53"/>
      <c r="C162" s="13"/>
      <c r="D162" s="13"/>
      <c r="E162" s="13"/>
    </row>
    <row r="163">
      <c r="A163" s="53"/>
      <c r="C163" s="13"/>
      <c r="D163" s="13"/>
      <c r="E163" s="13"/>
    </row>
    <row r="164">
      <c r="A164" s="53"/>
      <c r="C164" s="13"/>
      <c r="D164" s="13"/>
      <c r="E164" s="13"/>
    </row>
    <row r="165">
      <c r="A165" s="53"/>
      <c r="C165" s="13"/>
      <c r="D165" s="13"/>
      <c r="E165" s="13"/>
    </row>
    <row r="166">
      <c r="A166" s="53"/>
      <c r="C166" s="13"/>
      <c r="D166" s="13"/>
      <c r="E166" s="13"/>
    </row>
    <row r="167">
      <c r="A167" s="53"/>
      <c r="C167" s="13"/>
      <c r="D167" s="13"/>
      <c r="E167" s="13"/>
    </row>
    <row r="168">
      <c r="A168" s="53"/>
      <c r="C168" s="13"/>
      <c r="D168" s="13"/>
      <c r="E168" s="13"/>
    </row>
    <row r="169">
      <c r="A169" s="53"/>
      <c r="C169" s="13"/>
      <c r="D169" s="13"/>
      <c r="E169" s="13"/>
    </row>
    <row r="170">
      <c r="A170" s="53"/>
      <c r="C170" s="13"/>
      <c r="D170" s="13"/>
      <c r="E170" s="13"/>
    </row>
    <row r="171">
      <c r="A171" s="53"/>
      <c r="C171" s="13"/>
      <c r="D171" s="13"/>
      <c r="E171" s="13"/>
    </row>
    <row r="172">
      <c r="A172" s="53"/>
      <c r="C172" s="13"/>
      <c r="D172" s="13"/>
      <c r="E172" s="13"/>
    </row>
    <row r="173">
      <c r="A173" s="53"/>
      <c r="C173" s="13"/>
      <c r="D173" s="13"/>
      <c r="E173" s="13"/>
    </row>
    <row r="174">
      <c r="A174" s="53"/>
      <c r="C174" s="13"/>
      <c r="D174" s="13"/>
      <c r="E174" s="13"/>
    </row>
    <row r="175">
      <c r="A175" s="53"/>
      <c r="C175" s="13"/>
      <c r="D175" s="13"/>
      <c r="E175" s="13"/>
    </row>
    <row r="176">
      <c r="A176" s="53"/>
      <c r="C176" s="13"/>
      <c r="D176" s="13"/>
      <c r="E176" s="13"/>
    </row>
    <row r="177">
      <c r="A177" s="53"/>
      <c r="C177" s="13"/>
      <c r="D177" s="13"/>
      <c r="E177" s="13"/>
    </row>
    <row r="178">
      <c r="A178" s="53"/>
      <c r="C178" s="13"/>
      <c r="D178" s="13"/>
      <c r="E178" s="13"/>
    </row>
    <row r="179">
      <c r="A179" s="53"/>
      <c r="C179" s="13"/>
      <c r="D179" s="13"/>
      <c r="E179" s="13"/>
    </row>
    <row r="180">
      <c r="A180" s="53"/>
      <c r="C180" s="13"/>
      <c r="D180" s="13"/>
      <c r="E180" s="13"/>
    </row>
    <row r="181">
      <c r="A181" s="53"/>
      <c r="C181" s="13"/>
      <c r="D181" s="13"/>
      <c r="E181" s="13"/>
    </row>
    <row r="182">
      <c r="A182" s="53"/>
      <c r="C182" s="13"/>
      <c r="D182" s="13"/>
      <c r="E182" s="13"/>
    </row>
    <row r="183">
      <c r="A183" s="53"/>
      <c r="C183" s="13"/>
      <c r="D183" s="13"/>
      <c r="E183" s="13"/>
    </row>
    <row r="184">
      <c r="A184" s="53"/>
      <c r="C184" s="13"/>
      <c r="D184" s="13"/>
      <c r="E184" s="13"/>
    </row>
    <row r="185">
      <c r="A185" s="53"/>
      <c r="C185" s="13"/>
      <c r="D185" s="13"/>
      <c r="E185" s="13"/>
    </row>
    <row r="186">
      <c r="A186" s="53"/>
      <c r="C186" s="13"/>
      <c r="D186" s="13"/>
      <c r="E186" s="13"/>
    </row>
    <row r="187">
      <c r="A187" s="53"/>
      <c r="C187" s="13"/>
      <c r="D187" s="13"/>
      <c r="E187" s="13"/>
    </row>
    <row r="188">
      <c r="A188" s="53"/>
      <c r="C188" s="13"/>
      <c r="D188" s="13"/>
      <c r="E188" s="13"/>
    </row>
    <row r="189">
      <c r="A189" s="53"/>
      <c r="C189" s="13"/>
      <c r="D189" s="13"/>
      <c r="E189" s="13"/>
    </row>
    <row r="190">
      <c r="A190" s="53"/>
      <c r="C190" s="13"/>
      <c r="D190" s="13"/>
      <c r="E190" s="13"/>
    </row>
    <row r="191">
      <c r="A191" s="53"/>
      <c r="C191" s="13"/>
      <c r="D191" s="13"/>
      <c r="E191" s="13"/>
    </row>
    <row r="192">
      <c r="A192" s="53"/>
      <c r="C192" s="13"/>
      <c r="D192" s="13"/>
      <c r="E192" s="13"/>
    </row>
    <row r="193">
      <c r="A193" s="53"/>
      <c r="C193" s="13"/>
      <c r="D193" s="13"/>
      <c r="E193" s="13"/>
    </row>
    <row r="194">
      <c r="A194" s="53"/>
      <c r="C194" s="13"/>
      <c r="D194" s="13"/>
      <c r="E194" s="13"/>
    </row>
    <row r="195">
      <c r="A195" s="53"/>
      <c r="C195" s="13"/>
      <c r="D195" s="13"/>
      <c r="E195" s="13"/>
    </row>
    <row r="196">
      <c r="A196" s="53"/>
      <c r="C196" s="13"/>
      <c r="D196" s="13"/>
      <c r="E196" s="13"/>
    </row>
    <row r="197">
      <c r="A197" s="53"/>
      <c r="C197" s="13"/>
      <c r="D197" s="13"/>
      <c r="E197" s="13"/>
    </row>
    <row r="198">
      <c r="A198" s="53"/>
      <c r="C198" s="13"/>
      <c r="D198" s="13"/>
      <c r="E198" s="13"/>
    </row>
    <row r="199">
      <c r="A199" s="53"/>
      <c r="C199" s="13"/>
      <c r="D199" s="13"/>
      <c r="E199" s="13"/>
    </row>
    <row r="200">
      <c r="A200" s="53"/>
      <c r="C200" s="13"/>
      <c r="D200" s="13"/>
      <c r="E200" s="13"/>
    </row>
    <row r="201">
      <c r="A201" s="53"/>
      <c r="C201" s="13"/>
      <c r="D201" s="13"/>
      <c r="E201" s="13"/>
    </row>
    <row r="202">
      <c r="A202" s="53"/>
      <c r="C202" s="13"/>
      <c r="D202" s="13"/>
      <c r="E202" s="13"/>
    </row>
    <row r="203">
      <c r="A203" s="53"/>
      <c r="C203" s="13"/>
      <c r="D203" s="13"/>
      <c r="E203" s="13"/>
    </row>
    <row r="204">
      <c r="A204" s="53"/>
      <c r="C204" s="13"/>
      <c r="D204" s="13"/>
      <c r="E204" s="13"/>
    </row>
    <row r="205">
      <c r="A205" s="53"/>
      <c r="C205" s="13"/>
      <c r="D205" s="13"/>
      <c r="E205" s="13"/>
    </row>
    <row r="206">
      <c r="A206" s="53"/>
      <c r="C206" s="13"/>
      <c r="D206" s="13"/>
      <c r="E206" s="13"/>
    </row>
    <row r="207">
      <c r="A207" s="53"/>
      <c r="C207" s="13"/>
      <c r="D207" s="13"/>
      <c r="E207" s="13"/>
    </row>
    <row r="208">
      <c r="A208" s="53"/>
      <c r="C208" s="13"/>
      <c r="D208" s="13"/>
      <c r="E208" s="13"/>
    </row>
    <row r="209">
      <c r="A209" s="53"/>
      <c r="C209" s="13"/>
      <c r="D209" s="13"/>
      <c r="E209" s="13"/>
    </row>
    <row r="210">
      <c r="A210" s="53"/>
      <c r="C210" s="13"/>
      <c r="D210" s="13"/>
      <c r="E210" s="13"/>
    </row>
    <row r="211">
      <c r="A211" s="53"/>
      <c r="C211" s="13"/>
      <c r="D211" s="13"/>
      <c r="E211" s="13"/>
    </row>
    <row r="212">
      <c r="A212" s="53"/>
      <c r="C212" s="13"/>
      <c r="D212" s="13"/>
      <c r="E212" s="13"/>
    </row>
    <row r="213">
      <c r="A213" s="53"/>
      <c r="C213" s="13"/>
      <c r="D213" s="13"/>
      <c r="E213" s="13"/>
    </row>
    <row r="214">
      <c r="A214" s="53"/>
      <c r="C214" s="13"/>
      <c r="D214" s="13"/>
      <c r="E214" s="13"/>
    </row>
    <row r="215">
      <c r="A215" s="53"/>
      <c r="C215" s="13"/>
      <c r="D215" s="13"/>
      <c r="E215" s="13"/>
    </row>
    <row r="216">
      <c r="A216" s="53"/>
      <c r="C216" s="13"/>
      <c r="D216" s="13"/>
      <c r="E216" s="13"/>
    </row>
    <row r="217">
      <c r="A217" s="53"/>
      <c r="C217" s="13"/>
      <c r="D217" s="13"/>
      <c r="E217" s="13"/>
    </row>
    <row r="218">
      <c r="A218" s="53"/>
      <c r="C218" s="13"/>
      <c r="D218" s="13"/>
      <c r="E218" s="13"/>
    </row>
    <row r="219">
      <c r="A219" s="53"/>
      <c r="C219" s="13"/>
      <c r="D219" s="13"/>
      <c r="E219" s="13"/>
    </row>
    <row r="220">
      <c r="A220" s="53"/>
      <c r="C220" s="13"/>
      <c r="D220" s="13"/>
      <c r="E220" s="13"/>
    </row>
    <row r="221">
      <c r="A221" s="53"/>
      <c r="C221" s="13"/>
      <c r="D221" s="13"/>
      <c r="E221" s="13"/>
    </row>
    <row r="222">
      <c r="A222" s="53"/>
      <c r="C222" s="13"/>
      <c r="D222" s="13"/>
      <c r="E222" s="13"/>
    </row>
    <row r="223">
      <c r="A223" s="53"/>
      <c r="C223" s="13"/>
      <c r="D223" s="13"/>
      <c r="E223" s="13"/>
    </row>
    <row r="224">
      <c r="A224" s="53"/>
      <c r="C224" s="13"/>
      <c r="D224" s="13"/>
      <c r="E224" s="13"/>
    </row>
    <row r="225">
      <c r="A225" s="53"/>
      <c r="C225" s="13"/>
      <c r="D225" s="13"/>
      <c r="E225" s="13"/>
    </row>
    <row r="226">
      <c r="A226" s="53"/>
      <c r="C226" s="13"/>
      <c r="D226" s="13"/>
      <c r="E226" s="13"/>
    </row>
    <row r="227">
      <c r="A227" s="53"/>
      <c r="C227" s="13"/>
      <c r="D227" s="13"/>
      <c r="E227" s="13"/>
    </row>
    <row r="228">
      <c r="A228" s="53"/>
      <c r="C228" s="13"/>
      <c r="D228" s="13"/>
      <c r="E228" s="13"/>
    </row>
    <row r="229">
      <c r="A229" s="53"/>
      <c r="C229" s="13"/>
      <c r="D229" s="13"/>
      <c r="E229" s="13"/>
    </row>
    <row r="230">
      <c r="A230" s="53"/>
      <c r="C230" s="13"/>
      <c r="D230" s="13"/>
      <c r="E230" s="13"/>
    </row>
    <row r="231">
      <c r="A231" s="53"/>
      <c r="C231" s="13"/>
      <c r="D231" s="13"/>
      <c r="E231" s="13"/>
    </row>
    <row r="232">
      <c r="A232" s="53"/>
      <c r="C232" s="13"/>
      <c r="D232" s="13"/>
      <c r="E232" s="13"/>
    </row>
    <row r="233">
      <c r="A233" s="53"/>
      <c r="C233" s="13"/>
      <c r="D233" s="13"/>
      <c r="E233" s="13"/>
    </row>
    <row r="234">
      <c r="A234" s="53"/>
      <c r="C234" s="13"/>
      <c r="D234" s="13"/>
      <c r="E234" s="13"/>
    </row>
    <row r="235">
      <c r="A235" s="53"/>
      <c r="C235" s="13"/>
      <c r="D235" s="13"/>
      <c r="E235" s="13"/>
    </row>
    <row r="236">
      <c r="A236" s="53"/>
      <c r="C236" s="13"/>
      <c r="D236" s="13"/>
      <c r="E236" s="13"/>
    </row>
    <row r="237">
      <c r="A237" s="53"/>
      <c r="C237" s="13"/>
      <c r="D237" s="13"/>
      <c r="E237" s="13"/>
    </row>
    <row r="238">
      <c r="A238" s="53"/>
      <c r="C238" s="13"/>
      <c r="D238" s="13"/>
      <c r="E238" s="13"/>
    </row>
    <row r="239">
      <c r="A239" s="53"/>
      <c r="C239" s="13"/>
      <c r="D239" s="13"/>
      <c r="E239" s="13"/>
    </row>
    <row r="240">
      <c r="A240" s="53"/>
      <c r="C240" s="13"/>
      <c r="D240" s="13"/>
      <c r="E240" s="13"/>
    </row>
    <row r="241">
      <c r="A241" s="53"/>
      <c r="C241" s="13"/>
      <c r="D241" s="13"/>
      <c r="E241" s="13"/>
    </row>
    <row r="242">
      <c r="A242" s="53"/>
      <c r="C242" s="13"/>
      <c r="D242" s="13"/>
      <c r="E242" s="13"/>
    </row>
    <row r="243">
      <c r="A243" s="53"/>
      <c r="C243" s="13"/>
      <c r="D243" s="13"/>
      <c r="E243" s="13"/>
    </row>
    <row r="244">
      <c r="A244" s="53"/>
      <c r="C244" s="13"/>
      <c r="D244" s="13"/>
      <c r="E244" s="13"/>
    </row>
    <row r="245">
      <c r="A245" s="53"/>
      <c r="C245" s="13"/>
      <c r="D245" s="13"/>
      <c r="E245" s="13"/>
    </row>
    <row r="246">
      <c r="A246" s="53"/>
      <c r="C246" s="13"/>
      <c r="D246" s="13"/>
      <c r="E246" s="13"/>
    </row>
    <row r="247">
      <c r="A247" s="53"/>
      <c r="C247" s="13"/>
      <c r="D247" s="13"/>
      <c r="E247" s="13"/>
    </row>
    <row r="248">
      <c r="A248" s="53"/>
      <c r="C248" s="13"/>
      <c r="D248" s="13"/>
      <c r="E248" s="13"/>
    </row>
    <row r="249">
      <c r="A249" s="53"/>
      <c r="C249" s="13"/>
      <c r="D249" s="13"/>
      <c r="E249" s="13"/>
    </row>
    <row r="250">
      <c r="A250" s="53"/>
      <c r="C250" s="13"/>
      <c r="D250" s="13"/>
      <c r="E250" s="13"/>
    </row>
    <row r="251">
      <c r="A251" s="53"/>
      <c r="C251" s="13"/>
      <c r="D251" s="13"/>
      <c r="E251" s="13"/>
    </row>
    <row r="252">
      <c r="A252" s="53"/>
      <c r="C252" s="13"/>
      <c r="D252" s="13"/>
      <c r="E252" s="13"/>
    </row>
    <row r="253">
      <c r="A253" s="53"/>
      <c r="C253" s="13"/>
      <c r="D253" s="13"/>
      <c r="E253" s="13"/>
    </row>
    <row r="254">
      <c r="A254" s="53"/>
      <c r="C254" s="13"/>
      <c r="D254" s="13"/>
      <c r="E254" s="13"/>
    </row>
    <row r="255">
      <c r="A255" s="53"/>
      <c r="C255" s="13"/>
      <c r="D255" s="13"/>
      <c r="E255" s="13"/>
    </row>
    <row r="256">
      <c r="A256" s="53"/>
      <c r="C256" s="13"/>
      <c r="D256" s="13"/>
      <c r="E256" s="13"/>
    </row>
    <row r="257">
      <c r="A257" s="53"/>
      <c r="C257" s="13"/>
      <c r="D257" s="13"/>
      <c r="E257" s="13"/>
    </row>
    <row r="258">
      <c r="A258" s="53"/>
      <c r="C258" s="13"/>
      <c r="D258" s="13"/>
      <c r="E258" s="13"/>
    </row>
    <row r="259">
      <c r="A259" s="53"/>
      <c r="C259" s="13"/>
      <c r="D259" s="13"/>
      <c r="E259" s="13"/>
    </row>
    <row r="260">
      <c r="A260" s="53"/>
      <c r="C260" s="13"/>
      <c r="D260" s="13"/>
      <c r="E260" s="13"/>
    </row>
    <row r="261">
      <c r="A261" s="53"/>
      <c r="C261" s="13"/>
      <c r="D261" s="13"/>
      <c r="E261" s="13"/>
    </row>
    <row r="262">
      <c r="A262" s="53"/>
      <c r="C262" s="13"/>
      <c r="D262" s="13"/>
      <c r="E262" s="13"/>
    </row>
    <row r="263">
      <c r="A263" s="53"/>
      <c r="C263" s="13"/>
      <c r="D263" s="13"/>
      <c r="E263" s="13"/>
    </row>
    <row r="264">
      <c r="A264" s="53"/>
      <c r="C264" s="13"/>
      <c r="D264" s="13"/>
      <c r="E264" s="13"/>
    </row>
    <row r="265">
      <c r="A265" s="53"/>
      <c r="C265" s="13"/>
      <c r="D265" s="13"/>
      <c r="E265" s="13"/>
    </row>
    <row r="266">
      <c r="A266" s="53"/>
      <c r="C266" s="13"/>
      <c r="D266" s="13"/>
      <c r="E266" s="13"/>
    </row>
    <row r="267">
      <c r="A267" s="53"/>
      <c r="C267" s="13"/>
      <c r="D267" s="13"/>
      <c r="E267" s="13"/>
    </row>
    <row r="268">
      <c r="A268" s="53"/>
      <c r="C268" s="13"/>
      <c r="D268" s="13"/>
      <c r="E268" s="13"/>
    </row>
    <row r="269">
      <c r="A269" s="53"/>
      <c r="C269" s="13"/>
      <c r="D269" s="13"/>
      <c r="E269" s="13"/>
    </row>
    <row r="270">
      <c r="A270" s="53"/>
      <c r="C270" s="13"/>
      <c r="D270" s="13"/>
      <c r="E270" s="13"/>
    </row>
    <row r="271">
      <c r="A271" s="53"/>
      <c r="C271" s="13"/>
      <c r="D271" s="13"/>
      <c r="E271" s="13"/>
    </row>
    <row r="272">
      <c r="A272" s="53"/>
      <c r="C272" s="13"/>
      <c r="D272" s="13"/>
      <c r="E272" s="13"/>
    </row>
    <row r="273">
      <c r="A273" s="53"/>
      <c r="C273" s="13"/>
      <c r="D273" s="13"/>
      <c r="E273" s="13"/>
    </row>
    <row r="274">
      <c r="A274" s="53"/>
      <c r="C274" s="13"/>
      <c r="D274" s="13"/>
      <c r="E274" s="13"/>
    </row>
    <row r="275">
      <c r="A275" s="53"/>
      <c r="C275" s="13"/>
      <c r="D275" s="13"/>
      <c r="E275" s="13"/>
    </row>
    <row r="276">
      <c r="A276" s="53"/>
      <c r="C276" s="13"/>
      <c r="D276" s="13"/>
      <c r="E276" s="13"/>
    </row>
    <row r="277">
      <c r="A277" s="53"/>
      <c r="C277" s="13"/>
      <c r="D277" s="13"/>
      <c r="E277" s="13"/>
    </row>
    <row r="278">
      <c r="A278" s="53"/>
      <c r="C278" s="13"/>
      <c r="D278" s="13"/>
      <c r="E278" s="13"/>
    </row>
    <row r="279">
      <c r="A279" s="53"/>
      <c r="C279" s="13"/>
      <c r="D279" s="13"/>
      <c r="E279" s="13"/>
    </row>
    <row r="280">
      <c r="A280" s="53"/>
      <c r="C280" s="13"/>
      <c r="D280" s="13"/>
      <c r="E280" s="13"/>
    </row>
    <row r="281">
      <c r="A281" s="53"/>
      <c r="C281" s="13"/>
      <c r="D281" s="13"/>
      <c r="E281" s="13"/>
    </row>
    <row r="282">
      <c r="A282" s="53"/>
      <c r="C282" s="13"/>
      <c r="D282" s="13"/>
      <c r="E282" s="13"/>
    </row>
    <row r="283">
      <c r="A283" s="53"/>
      <c r="C283" s="13"/>
      <c r="D283" s="13"/>
      <c r="E283" s="13"/>
    </row>
    <row r="284">
      <c r="A284" s="53"/>
      <c r="C284" s="13"/>
      <c r="D284" s="13"/>
      <c r="E284" s="13"/>
    </row>
    <row r="285">
      <c r="A285" s="53"/>
      <c r="C285" s="13"/>
      <c r="D285" s="13"/>
      <c r="E285" s="13"/>
    </row>
    <row r="286">
      <c r="A286" s="53"/>
      <c r="C286" s="13"/>
      <c r="D286" s="13"/>
      <c r="E286" s="13"/>
    </row>
    <row r="287">
      <c r="A287" s="53"/>
      <c r="C287" s="13"/>
      <c r="D287" s="13"/>
      <c r="E287" s="13"/>
    </row>
    <row r="288">
      <c r="A288" s="53"/>
      <c r="C288" s="13"/>
      <c r="D288" s="13"/>
      <c r="E288" s="13"/>
    </row>
    <row r="289">
      <c r="A289" s="53"/>
      <c r="C289" s="13"/>
      <c r="D289" s="13"/>
      <c r="E289" s="13"/>
    </row>
    <row r="290">
      <c r="A290" s="53"/>
      <c r="C290" s="13"/>
      <c r="D290" s="13"/>
      <c r="E290" s="13"/>
    </row>
    <row r="291">
      <c r="A291" s="53"/>
      <c r="C291" s="13"/>
      <c r="D291" s="13"/>
      <c r="E291" s="13"/>
    </row>
    <row r="292">
      <c r="A292" s="53"/>
      <c r="C292" s="13"/>
      <c r="D292" s="13"/>
      <c r="E292" s="13"/>
    </row>
    <row r="293">
      <c r="A293" s="53"/>
      <c r="C293" s="13"/>
      <c r="D293" s="13"/>
      <c r="E293" s="13"/>
    </row>
    <row r="294">
      <c r="A294" s="53"/>
      <c r="C294" s="13"/>
      <c r="D294" s="13"/>
      <c r="E294" s="13"/>
    </row>
    <row r="295">
      <c r="A295" s="53"/>
      <c r="C295" s="13"/>
      <c r="D295" s="13"/>
      <c r="E295" s="13"/>
    </row>
    <row r="296">
      <c r="A296" s="53"/>
      <c r="C296" s="13"/>
      <c r="D296" s="13"/>
      <c r="E296" s="13"/>
    </row>
    <row r="297">
      <c r="A297" s="53"/>
      <c r="C297" s="13"/>
      <c r="D297" s="13"/>
      <c r="E297" s="13"/>
    </row>
    <row r="298">
      <c r="A298" s="53"/>
      <c r="C298" s="13"/>
      <c r="D298" s="13"/>
      <c r="E298" s="13"/>
    </row>
    <row r="299">
      <c r="A299" s="53"/>
      <c r="C299" s="13"/>
      <c r="D299" s="13"/>
      <c r="E299" s="13"/>
    </row>
    <row r="300">
      <c r="A300" s="53"/>
      <c r="C300" s="13"/>
      <c r="D300" s="13"/>
      <c r="E300" s="13"/>
    </row>
    <row r="301">
      <c r="A301" s="53"/>
      <c r="C301" s="13"/>
      <c r="D301" s="13"/>
      <c r="E301" s="13"/>
    </row>
    <row r="302">
      <c r="A302" s="53"/>
      <c r="C302" s="13"/>
      <c r="D302" s="13"/>
      <c r="E302" s="13"/>
    </row>
    <row r="303">
      <c r="A303" s="53"/>
      <c r="C303" s="13"/>
      <c r="D303" s="13"/>
      <c r="E303" s="13"/>
    </row>
    <row r="304">
      <c r="A304" s="53"/>
      <c r="C304" s="13"/>
      <c r="D304" s="13"/>
      <c r="E304" s="13"/>
    </row>
    <row r="305">
      <c r="A305" s="53"/>
      <c r="C305" s="13"/>
      <c r="D305" s="13"/>
      <c r="E305" s="13"/>
    </row>
    <row r="306">
      <c r="A306" s="53"/>
      <c r="C306" s="13"/>
      <c r="D306" s="13"/>
      <c r="E306" s="13"/>
    </row>
    <row r="307">
      <c r="A307" s="53"/>
      <c r="C307" s="13"/>
      <c r="D307" s="13"/>
      <c r="E307" s="13"/>
    </row>
    <row r="308">
      <c r="A308" s="53"/>
      <c r="C308" s="13"/>
      <c r="D308" s="13"/>
      <c r="E308" s="13"/>
    </row>
    <row r="309">
      <c r="A309" s="53"/>
      <c r="C309" s="13"/>
      <c r="D309" s="13"/>
      <c r="E309" s="13"/>
    </row>
    <row r="310">
      <c r="A310" s="53"/>
      <c r="C310" s="13"/>
      <c r="D310" s="13"/>
      <c r="E310" s="13"/>
    </row>
    <row r="311">
      <c r="A311" s="53"/>
      <c r="C311" s="13"/>
      <c r="D311" s="13"/>
      <c r="E311" s="13"/>
    </row>
    <row r="312">
      <c r="A312" s="53"/>
      <c r="C312" s="13"/>
      <c r="D312" s="13"/>
      <c r="E312" s="13"/>
    </row>
    <row r="313">
      <c r="A313" s="53"/>
      <c r="C313" s="13"/>
      <c r="D313" s="13"/>
      <c r="E313" s="13"/>
    </row>
    <row r="314">
      <c r="A314" s="53"/>
      <c r="C314" s="13"/>
      <c r="D314" s="13"/>
      <c r="E314" s="13"/>
    </row>
    <row r="315">
      <c r="A315" s="53"/>
      <c r="C315" s="13"/>
      <c r="D315" s="13"/>
      <c r="E315" s="13"/>
    </row>
    <row r="316">
      <c r="A316" s="53"/>
      <c r="C316" s="13"/>
      <c r="D316" s="13"/>
      <c r="E316" s="13"/>
    </row>
    <row r="317">
      <c r="A317" s="53"/>
      <c r="C317" s="13"/>
      <c r="D317" s="13"/>
      <c r="E317" s="13"/>
    </row>
    <row r="318">
      <c r="A318" s="53"/>
      <c r="C318" s="13"/>
      <c r="D318" s="13"/>
      <c r="E318" s="13"/>
    </row>
    <row r="319">
      <c r="A319" s="53"/>
      <c r="C319" s="13"/>
      <c r="D319" s="13"/>
      <c r="E319" s="13"/>
    </row>
    <row r="320">
      <c r="A320" s="53"/>
      <c r="C320" s="13"/>
      <c r="D320" s="13"/>
      <c r="E320" s="13"/>
    </row>
    <row r="321">
      <c r="A321" s="53"/>
      <c r="C321" s="13"/>
      <c r="D321" s="13"/>
      <c r="E321" s="13"/>
    </row>
    <row r="322">
      <c r="A322" s="53"/>
      <c r="C322" s="13"/>
      <c r="D322" s="13"/>
      <c r="E322" s="13"/>
    </row>
    <row r="323">
      <c r="A323" s="53"/>
      <c r="C323" s="13"/>
      <c r="D323" s="13"/>
      <c r="E323" s="13"/>
    </row>
    <row r="324">
      <c r="A324" s="53"/>
      <c r="C324" s="13"/>
      <c r="D324" s="13"/>
      <c r="E324" s="13"/>
    </row>
    <row r="325">
      <c r="A325" s="53"/>
      <c r="C325" s="13"/>
      <c r="D325" s="13"/>
      <c r="E325" s="13"/>
    </row>
    <row r="326">
      <c r="A326" s="53"/>
      <c r="C326" s="13"/>
      <c r="D326" s="13"/>
      <c r="E326" s="13"/>
    </row>
    <row r="327">
      <c r="A327" s="53"/>
      <c r="C327" s="13"/>
      <c r="D327" s="13"/>
      <c r="E327" s="13"/>
    </row>
    <row r="328">
      <c r="A328" s="53"/>
      <c r="C328" s="13"/>
      <c r="D328" s="13"/>
      <c r="E328" s="13"/>
    </row>
    <row r="329">
      <c r="A329" s="53"/>
      <c r="C329" s="13"/>
      <c r="D329" s="13"/>
      <c r="E329" s="13"/>
    </row>
    <row r="330">
      <c r="A330" s="53"/>
      <c r="C330" s="13"/>
      <c r="D330" s="13"/>
      <c r="E330" s="13"/>
    </row>
    <row r="331">
      <c r="A331" s="53"/>
      <c r="C331" s="13"/>
      <c r="D331" s="13"/>
      <c r="E331" s="13"/>
    </row>
    <row r="332">
      <c r="A332" s="53"/>
      <c r="C332" s="13"/>
      <c r="D332" s="13"/>
      <c r="E332" s="13"/>
    </row>
    <row r="333">
      <c r="A333" s="53"/>
      <c r="C333" s="13"/>
      <c r="D333" s="13"/>
      <c r="E333" s="13"/>
    </row>
    <row r="334">
      <c r="A334" s="53"/>
      <c r="C334" s="13"/>
      <c r="D334" s="13"/>
      <c r="E334" s="13"/>
    </row>
    <row r="335">
      <c r="A335" s="53"/>
      <c r="C335" s="13"/>
      <c r="D335" s="13"/>
      <c r="E335" s="13"/>
    </row>
    <row r="336">
      <c r="A336" s="53"/>
      <c r="C336" s="13"/>
      <c r="D336" s="13"/>
      <c r="E336" s="13"/>
    </row>
    <row r="337">
      <c r="A337" s="53"/>
      <c r="C337" s="13"/>
      <c r="D337" s="13"/>
      <c r="E337" s="13"/>
    </row>
    <row r="338">
      <c r="A338" s="53"/>
      <c r="C338" s="13"/>
      <c r="D338" s="13"/>
      <c r="E338" s="13"/>
    </row>
    <row r="339">
      <c r="A339" s="53"/>
      <c r="C339" s="13"/>
      <c r="D339" s="13"/>
      <c r="E339" s="13"/>
    </row>
    <row r="340">
      <c r="A340" s="53"/>
      <c r="C340" s="13"/>
      <c r="D340" s="13"/>
      <c r="E340" s="13"/>
    </row>
    <row r="341">
      <c r="A341" s="53"/>
      <c r="C341" s="13"/>
      <c r="D341" s="13"/>
      <c r="E341" s="13"/>
    </row>
    <row r="342">
      <c r="A342" s="53"/>
      <c r="C342" s="13"/>
      <c r="D342" s="13"/>
      <c r="E342" s="13"/>
    </row>
    <row r="343">
      <c r="A343" s="53"/>
      <c r="C343" s="13"/>
      <c r="D343" s="13"/>
      <c r="E343" s="13"/>
    </row>
    <row r="344">
      <c r="A344" s="53"/>
      <c r="C344" s="13"/>
      <c r="D344" s="13"/>
      <c r="E344" s="13"/>
    </row>
    <row r="345">
      <c r="A345" s="53"/>
      <c r="C345" s="13"/>
      <c r="D345" s="13"/>
      <c r="E345" s="13"/>
    </row>
    <row r="346">
      <c r="A346" s="53"/>
      <c r="C346" s="13"/>
      <c r="D346" s="13"/>
      <c r="E346" s="13"/>
    </row>
    <row r="347">
      <c r="A347" s="53"/>
      <c r="C347" s="13"/>
      <c r="D347" s="13"/>
      <c r="E347" s="13"/>
    </row>
    <row r="348">
      <c r="A348" s="53"/>
      <c r="C348" s="13"/>
      <c r="D348" s="13"/>
      <c r="E348" s="13"/>
    </row>
    <row r="349">
      <c r="A349" s="53"/>
      <c r="C349" s="13"/>
      <c r="D349" s="13"/>
      <c r="E349" s="13"/>
    </row>
    <row r="350">
      <c r="A350" s="53"/>
      <c r="C350" s="13"/>
      <c r="D350" s="13"/>
      <c r="E350" s="13"/>
    </row>
    <row r="351">
      <c r="A351" s="53"/>
      <c r="C351" s="13"/>
      <c r="D351" s="13"/>
      <c r="E351" s="13"/>
    </row>
    <row r="352">
      <c r="A352" s="53"/>
      <c r="C352" s="13"/>
      <c r="D352" s="13"/>
      <c r="E352" s="13"/>
    </row>
    <row r="353">
      <c r="A353" s="53"/>
      <c r="C353" s="13"/>
      <c r="D353" s="13"/>
      <c r="E353" s="13"/>
    </row>
    <row r="354">
      <c r="A354" s="53"/>
      <c r="C354" s="13"/>
      <c r="D354" s="13"/>
      <c r="E354" s="13"/>
    </row>
    <row r="355">
      <c r="A355" s="53"/>
      <c r="C355" s="13"/>
      <c r="D355" s="13"/>
      <c r="E355" s="13"/>
    </row>
    <row r="356">
      <c r="A356" s="53"/>
      <c r="C356" s="13"/>
      <c r="D356" s="13"/>
      <c r="E356" s="13"/>
    </row>
    <row r="357">
      <c r="A357" s="53"/>
      <c r="C357" s="13"/>
      <c r="D357" s="13"/>
      <c r="E357" s="13"/>
    </row>
    <row r="358">
      <c r="A358" s="53"/>
      <c r="C358" s="13"/>
      <c r="D358" s="13"/>
      <c r="E358" s="13"/>
    </row>
    <row r="359">
      <c r="A359" s="53"/>
      <c r="C359" s="13"/>
      <c r="D359" s="13"/>
      <c r="E359" s="13"/>
    </row>
    <row r="360">
      <c r="A360" s="53"/>
      <c r="C360" s="13"/>
      <c r="D360" s="13"/>
      <c r="E360" s="13"/>
    </row>
    <row r="361">
      <c r="A361" s="53"/>
      <c r="C361" s="13"/>
      <c r="D361" s="13"/>
      <c r="E361" s="13"/>
    </row>
    <row r="362">
      <c r="A362" s="53"/>
      <c r="C362" s="13"/>
      <c r="D362" s="13"/>
      <c r="E362" s="13"/>
    </row>
    <row r="363">
      <c r="A363" s="53"/>
      <c r="C363" s="13"/>
      <c r="D363" s="13"/>
      <c r="E363" s="13"/>
    </row>
    <row r="364">
      <c r="A364" s="53"/>
      <c r="C364" s="13"/>
      <c r="D364" s="13"/>
      <c r="E364" s="13"/>
    </row>
    <row r="365">
      <c r="A365" s="53"/>
      <c r="C365" s="13"/>
      <c r="D365" s="13"/>
      <c r="E365" s="13"/>
    </row>
    <row r="366">
      <c r="A366" s="53"/>
      <c r="C366" s="13"/>
      <c r="D366" s="13"/>
      <c r="E366" s="13"/>
    </row>
    <row r="367">
      <c r="A367" s="53"/>
      <c r="C367" s="13"/>
      <c r="D367" s="13"/>
      <c r="E367" s="13"/>
    </row>
    <row r="368">
      <c r="A368" s="53"/>
      <c r="C368" s="13"/>
      <c r="D368" s="13"/>
      <c r="E368" s="13"/>
    </row>
    <row r="369">
      <c r="A369" s="53"/>
      <c r="C369" s="13"/>
      <c r="D369" s="13"/>
      <c r="E369" s="13"/>
    </row>
    <row r="370">
      <c r="A370" s="53"/>
      <c r="C370" s="13"/>
      <c r="D370" s="13"/>
      <c r="E370" s="13"/>
    </row>
    <row r="371">
      <c r="A371" s="53"/>
      <c r="C371" s="13"/>
      <c r="D371" s="13"/>
      <c r="E371" s="13"/>
    </row>
    <row r="372">
      <c r="A372" s="53"/>
      <c r="C372" s="13"/>
      <c r="D372" s="13"/>
      <c r="E372" s="13"/>
    </row>
    <row r="373">
      <c r="A373" s="53"/>
      <c r="C373" s="13"/>
      <c r="D373" s="13"/>
      <c r="E373" s="13"/>
    </row>
    <row r="374">
      <c r="A374" s="53"/>
      <c r="C374" s="13"/>
      <c r="D374" s="13"/>
      <c r="E374" s="13"/>
    </row>
    <row r="375">
      <c r="A375" s="53"/>
      <c r="C375" s="13"/>
      <c r="D375" s="13"/>
      <c r="E375" s="13"/>
    </row>
    <row r="376">
      <c r="A376" s="53"/>
      <c r="C376" s="13"/>
      <c r="D376" s="13"/>
      <c r="E376" s="13"/>
    </row>
    <row r="377">
      <c r="A377" s="53"/>
      <c r="C377" s="13"/>
      <c r="D377" s="13"/>
      <c r="E377" s="13"/>
    </row>
    <row r="378">
      <c r="A378" s="53"/>
      <c r="C378" s="13"/>
      <c r="D378" s="13"/>
      <c r="E378" s="13"/>
    </row>
    <row r="379">
      <c r="A379" s="53"/>
      <c r="C379" s="13"/>
      <c r="D379" s="13"/>
      <c r="E379" s="13"/>
    </row>
    <row r="380">
      <c r="A380" s="53"/>
      <c r="C380" s="13"/>
      <c r="D380" s="13"/>
      <c r="E380" s="13"/>
    </row>
    <row r="381">
      <c r="A381" s="53"/>
      <c r="C381" s="13"/>
      <c r="D381" s="13"/>
      <c r="E381" s="13"/>
    </row>
    <row r="382">
      <c r="A382" s="53"/>
      <c r="C382" s="13"/>
      <c r="D382" s="13"/>
      <c r="E382" s="13"/>
    </row>
    <row r="383">
      <c r="A383" s="53"/>
      <c r="C383" s="13"/>
      <c r="D383" s="13"/>
      <c r="E383" s="13"/>
    </row>
    <row r="384">
      <c r="A384" s="53"/>
      <c r="C384" s="13"/>
      <c r="D384" s="13"/>
      <c r="E384" s="13"/>
    </row>
    <row r="385">
      <c r="A385" s="53"/>
      <c r="C385" s="13"/>
      <c r="D385" s="13"/>
      <c r="E385" s="13"/>
    </row>
    <row r="386">
      <c r="A386" s="53"/>
      <c r="C386" s="13"/>
      <c r="D386" s="13"/>
      <c r="E386" s="13"/>
    </row>
    <row r="387">
      <c r="A387" s="53"/>
      <c r="C387" s="13"/>
      <c r="D387" s="13"/>
      <c r="E387" s="13"/>
    </row>
    <row r="388">
      <c r="A388" s="53"/>
      <c r="C388" s="13"/>
      <c r="D388" s="13"/>
      <c r="E388" s="13"/>
    </row>
    <row r="389">
      <c r="A389" s="53"/>
      <c r="C389" s="13"/>
      <c r="D389" s="13"/>
      <c r="E389" s="13"/>
    </row>
    <row r="390">
      <c r="A390" s="53"/>
      <c r="C390" s="13"/>
      <c r="D390" s="13"/>
      <c r="E390" s="13"/>
    </row>
    <row r="391">
      <c r="A391" s="53"/>
      <c r="C391" s="13"/>
      <c r="D391" s="13"/>
      <c r="E391" s="13"/>
    </row>
    <row r="392">
      <c r="A392" s="53"/>
      <c r="C392" s="13"/>
      <c r="D392" s="13"/>
      <c r="E392" s="13"/>
    </row>
    <row r="393">
      <c r="A393" s="53"/>
      <c r="C393" s="13"/>
      <c r="D393" s="13"/>
      <c r="E393" s="13"/>
    </row>
    <row r="394">
      <c r="A394" s="53"/>
      <c r="C394" s="13"/>
      <c r="D394" s="13"/>
      <c r="E394" s="13"/>
    </row>
    <row r="395">
      <c r="A395" s="53"/>
      <c r="C395" s="13"/>
      <c r="D395" s="13"/>
      <c r="E395" s="13"/>
    </row>
    <row r="396">
      <c r="A396" s="53"/>
      <c r="C396" s="13"/>
      <c r="D396" s="13"/>
      <c r="E396" s="13"/>
    </row>
    <row r="397">
      <c r="A397" s="53"/>
      <c r="C397" s="13"/>
      <c r="D397" s="13"/>
      <c r="E397" s="13"/>
    </row>
    <row r="398">
      <c r="A398" s="53"/>
      <c r="C398" s="13"/>
      <c r="D398" s="13"/>
      <c r="E398" s="13"/>
    </row>
    <row r="399">
      <c r="A399" s="53"/>
      <c r="C399" s="13"/>
      <c r="D399" s="13"/>
      <c r="E399" s="13"/>
    </row>
    <row r="400">
      <c r="A400" s="53"/>
      <c r="C400" s="13"/>
      <c r="D400" s="13"/>
      <c r="E400" s="13"/>
    </row>
    <row r="401">
      <c r="A401" s="53"/>
      <c r="C401" s="13"/>
      <c r="D401" s="13"/>
      <c r="E401" s="13"/>
    </row>
    <row r="402">
      <c r="A402" s="53"/>
      <c r="C402" s="13"/>
      <c r="D402" s="13"/>
      <c r="E402" s="13"/>
    </row>
    <row r="403">
      <c r="A403" s="53"/>
      <c r="C403" s="13"/>
      <c r="D403" s="13"/>
      <c r="E403" s="13"/>
    </row>
    <row r="404">
      <c r="A404" s="53"/>
      <c r="C404" s="13"/>
      <c r="D404" s="13"/>
      <c r="E404" s="13"/>
    </row>
    <row r="405">
      <c r="A405" s="53"/>
      <c r="C405" s="13"/>
      <c r="D405" s="13"/>
      <c r="E405" s="13"/>
    </row>
    <row r="406">
      <c r="A406" s="53"/>
      <c r="C406" s="13"/>
      <c r="D406" s="13"/>
      <c r="E406" s="13"/>
    </row>
    <row r="407">
      <c r="A407" s="53"/>
      <c r="C407" s="13"/>
      <c r="D407" s="13"/>
      <c r="E407" s="13"/>
    </row>
    <row r="408">
      <c r="A408" s="53"/>
      <c r="C408" s="13"/>
      <c r="D408" s="13"/>
      <c r="E408" s="13"/>
    </row>
    <row r="409">
      <c r="A409" s="53"/>
      <c r="C409" s="13"/>
      <c r="D409" s="13"/>
      <c r="E409" s="13"/>
    </row>
    <row r="410">
      <c r="A410" s="53"/>
      <c r="C410" s="13"/>
      <c r="D410" s="13"/>
      <c r="E410" s="13"/>
    </row>
    <row r="411">
      <c r="A411" s="53"/>
      <c r="C411" s="13"/>
      <c r="D411" s="13"/>
      <c r="E411" s="13"/>
    </row>
    <row r="412">
      <c r="A412" s="53"/>
      <c r="C412" s="13"/>
      <c r="D412" s="13"/>
      <c r="E412" s="13"/>
    </row>
    <row r="413">
      <c r="A413" s="53"/>
      <c r="C413" s="13"/>
      <c r="D413" s="13"/>
      <c r="E413" s="13"/>
    </row>
    <row r="414">
      <c r="A414" s="53"/>
      <c r="C414" s="13"/>
      <c r="D414" s="13"/>
      <c r="E414" s="13"/>
    </row>
    <row r="415">
      <c r="A415" s="53"/>
      <c r="C415" s="13"/>
      <c r="D415" s="13"/>
      <c r="E415" s="13"/>
    </row>
    <row r="416">
      <c r="A416" s="53"/>
      <c r="C416" s="13"/>
      <c r="D416" s="13"/>
      <c r="E416" s="13"/>
    </row>
    <row r="417">
      <c r="A417" s="53"/>
      <c r="C417" s="13"/>
      <c r="D417" s="13"/>
      <c r="E417" s="13"/>
    </row>
    <row r="418">
      <c r="A418" s="53"/>
      <c r="C418" s="13"/>
      <c r="D418" s="13"/>
      <c r="E418" s="13"/>
    </row>
    <row r="419">
      <c r="A419" s="53"/>
      <c r="C419" s="13"/>
      <c r="D419" s="13"/>
      <c r="E419" s="13"/>
    </row>
    <row r="420">
      <c r="A420" s="53"/>
      <c r="C420" s="13"/>
      <c r="D420" s="13"/>
      <c r="E420" s="13"/>
    </row>
    <row r="421">
      <c r="A421" s="53"/>
      <c r="C421" s="13"/>
      <c r="D421" s="13"/>
      <c r="E421" s="13"/>
    </row>
    <row r="422">
      <c r="A422" s="53"/>
      <c r="C422" s="13"/>
      <c r="D422" s="13"/>
      <c r="E422" s="13"/>
    </row>
    <row r="423">
      <c r="A423" s="53"/>
      <c r="C423" s="13"/>
      <c r="D423" s="13"/>
      <c r="E423" s="13"/>
    </row>
    <row r="424">
      <c r="A424" s="53"/>
      <c r="C424" s="13"/>
      <c r="D424" s="13"/>
      <c r="E424" s="13"/>
    </row>
    <row r="425">
      <c r="A425" s="53"/>
      <c r="C425" s="13"/>
      <c r="D425" s="13"/>
      <c r="E425" s="13"/>
    </row>
    <row r="426">
      <c r="A426" s="53"/>
      <c r="C426" s="13"/>
      <c r="D426" s="13"/>
      <c r="E426" s="13"/>
    </row>
    <row r="427">
      <c r="A427" s="53"/>
      <c r="C427" s="13"/>
      <c r="D427" s="13"/>
      <c r="E427" s="13"/>
    </row>
    <row r="428">
      <c r="A428" s="53"/>
      <c r="C428" s="13"/>
      <c r="D428" s="13"/>
      <c r="E428" s="13"/>
    </row>
    <row r="429">
      <c r="A429" s="53"/>
      <c r="C429" s="13"/>
      <c r="D429" s="13"/>
      <c r="E429" s="13"/>
    </row>
    <row r="430">
      <c r="A430" s="53"/>
      <c r="C430" s="13"/>
      <c r="D430" s="13"/>
      <c r="E430" s="13"/>
    </row>
    <row r="431">
      <c r="A431" s="53"/>
      <c r="C431" s="13"/>
      <c r="D431" s="13"/>
      <c r="E431" s="13"/>
    </row>
    <row r="432">
      <c r="A432" s="53"/>
      <c r="C432" s="13"/>
      <c r="D432" s="13"/>
      <c r="E432" s="13"/>
    </row>
    <row r="433">
      <c r="A433" s="53"/>
      <c r="C433" s="13"/>
      <c r="D433" s="13"/>
      <c r="E433" s="13"/>
    </row>
    <row r="434">
      <c r="A434" s="53"/>
      <c r="C434" s="13"/>
      <c r="D434" s="13"/>
      <c r="E434" s="13"/>
    </row>
    <row r="435">
      <c r="A435" s="53"/>
      <c r="C435" s="13"/>
      <c r="D435" s="13"/>
      <c r="E435" s="13"/>
    </row>
    <row r="436">
      <c r="A436" s="53"/>
      <c r="C436" s="13"/>
      <c r="D436" s="13"/>
      <c r="E436" s="13"/>
    </row>
    <row r="437">
      <c r="A437" s="53"/>
      <c r="C437" s="13"/>
      <c r="D437" s="13"/>
      <c r="E437" s="13"/>
    </row>
    <row r="438">
      <c r="A438" s="53"/>
      <c r="C438" s="13"/>
      <c r="D438" s="13"/>
      <c r="E438" s="13"/>
    </row>
    <row r="439">
      <c r="A439" s="53"/>
      <c r="C439" s="13"/>
      <c r="D439" s="13"/>
      <c r="E439" s="13"/>
    </row>
    <row r="440">
      <c r="A440" s="53"/>
      <c r="C440" s="13"/>
      <c r="D440" s="13"/>
      <c r="E440" s="13"/>
    </row>
    <row r="441">
      <c r="A441" s="53"/>
      <c r="C441" s="13"/>
      <c r="D441" s="13"/>
      <c r="E441" s="13"/>
    </row>
    <row r="442">
      <c r="A442" s="53"/>
      <c r="C442" s="13"/>
      <c r="D442" s="13"/>
      <c r="E442" s="13"/>
    </row>
    <row r="443">
      <c r="A443" s="53"/>
      <c r="C443" s="13"/>
      <c r="D443" s="13"/>
      <c r="E443" s="13"/>
    </row>
    <row r="444">
      <c r="A444" s="53"/>
      <c r="C444" s="13"/>
      <c r="D444" s="13"/>
      <c r="E444" s="13"/>
    </row>
    <row r="445">
      <c r="A445" s="53"/>
      <c r="C445" s="13"/>
      <c r="D445" s="13"/>
      <c r="E445" s="13"/>
    </row>
    <row r="446">
      <c r="A446" s="53"/>
      <c r="C446" s="13"/>
      <c r="D446" s="13"/>
      <c r="E446" s="13"/>
    </row>
    <row r="447">
      <c r="A447" s="53"/>
      <c r="C447" s="13"/>
      <c r="D447" s="13"/>
      <c r="E447" s="13"/>
    </row>
    <row r="448">
      <c r="A448" s="53"/>
      <c r="C448" s="13"/>
      <c r="D448" s="13"/>
      <c r="E448" s="13"/>
    </row>
    <row r="449">
      <c r="A449" s="53"/>
      <c r="C449" s="13"/>
      <c r="D449" s="13"/>
      <c r="E449" s="13"/>
    </row>
    <row r="450">
      <c r="A450" s="53"/>
      <c r="C450" s="13"/>
      <c r="D450" s="13"/>
      <c r="E450" s="13"/>
    </row>
    <row r="451">
      <c r="A451" s="53"/>
      <c r="C451" s="13"/>
      <c r="D451" s="13"/>
      <c r="E451" s="13"/>
    </row>
    <row r="452">
      <c r="A452" s="53"/>
      <c r="C452" s="13"/>
      <c r="D452" s="13"/>
      <c r="E452" s="13"/>
    </row>
    <row r="453">
      <c r="A453" s="53"/>
      <c r="C453" s="13"/>
      <c r="D453" s="13"/>
      <c r="E453" s="13"/>
    </row>
    <row r="454">
      <c r="A454" s="53"/>
      <c r="C454" s="13"/>
      <c r="D454" s="13"/>
      <c r="E454" s="13"/>
    </row>
    <row r="455">
      <c r="A455" s="53"/>
      <c r="C455" s="13"/>
      <c r="D455" s="13"/>
      <c r="E455" s="13"/>
    </row>
    <row r="456">
      <c r="A456" s="53"/>
      <c r="C456" s="13"/>
      <c r="D456" s="13"/>
      <c r="E456" s="13"/>
    </row>
    <row r="457">
      <c r="A457" s="53"/>
      <c r="C457" s="13"/>
      <c r="D457" s="13"/>
      <c r="E457" s="13"/>
    </row>
    <row r="458">
      <c r="A458" s="53"/>
      <c r="C458" s="13"/>
      <c r="D458" s="13"/>
      <c r="E458" s="13"/>
    </row>
    <row r="459">
      <c r="A459" s="53"/>
      <c r="C459" s="13"/>
      <c r="D459" s="13"/>
      <c r="E459" s="13"/>
    </row>
    <row r="460">
      <c r="A460" s="53"/>
      <c r="C460" s="13"/>
      <c r="D460" s="13"/>
      <c r="E460" s="13"/>
    </row>
    <row r="461">
      <c r="A461" s="53"/>
      <c r="C461" s="13"/>
      <c r="D461" s="13"/>
      <c r="E461" s="13"/>
    </row>
    <row r="462">
      <c r="A462" s="53"/>
      <c r="C462" s="13"/>
      <c r="D462" s="13"/>
      <c r="E462" s="13"/>
    </row>
    <row r="463">
      <c r="A463" s="53"/>
      <c r="C463" s="13"/>
      <c r="D463" s="13"/>
      <c r="E463" s="13"/>
    </row>
    <row r="464">
      <c r="A464" s="53"/>
      <c r="C464" s="13"/>
      <c r="D464" s="13"/>
      <c r="E464" s="13"/>
    </row>
    <row r="465">
      <c r="A465" s="53"/>
      <c r="C465" s="13"/>
      <c r="D465" s="13"/>
      <c r="E465" s="13"/>
    </row>
    <row r="466">
      <c r="A466" s="53"/>
      <c r="C466" s="13"/>
      <c r="D466" s="13"/>
      <c r="E466" s="13"/>
    </row>
    <row r="467">
      <c r="A467" s="53"/>
      <c r="C467" s="13"/>
      <c r="D467" s="13"/>
      <c r="E467" s="13"/>
    </row>
    <row r="468">
      <c r="A468" s="53"/>
      <c r="C468" s="13"/>
      <c r="D468" s="13"/>
      <c r="E468" s="13"/>
    </row>
    <row r="469">
      <c r="A469" s="53"/>
      <c r="C469" s="13"/>
      <c r="D469" s="13"/>
      <c r="E469" s="13"/>
    </row>
    <row r="470">
      <c r="A470" s="53"/>
      <c r="C470" s="13"/>
      <c r="D470" s="13"/>
      <c r="E470" s="13"/>
    </row>
    <row r="471">
      <c r="A471" s="53"/>
      <c r="C471" s="13"/>
      <c r="D471" s="13"/>
      <c r="E471" s="13"/>
    </row>
    <row r="472">
      <c r="A472" s="53"/>
      <c r="C472" s="13"/>
      <c r="D472" s="13"/>
      <c r="E472" s="13"/>
    </row>
    <row r="473">
      <c r="A473" s="53"/>
      <c r="C473" s="13"/>
      <c r="D473" s="13"/>
      <c r="E473" s="13"/>
    </row>
    <row r="474">
      <c r="A474" s="53"/>
      <c r="C474" s="13"/>
      <c r="D474" s="13"/>
      <c r="E474" s="13"/>
    </row>
    <row r="475">
      <c r="A475" s="53"/>
      <c r="C475" s="13"/>
      <c r="D475" s="13"/>
      <c r="E475" s="13"/>
    </row>
    <row r="476">
      <c r="A476" s="53"/>
      <c r="C476" s="13"/>
      <c r="D476" s="13"/>
      <c r="E476" s="13"/>
    </row>
    <row r="477">
      <c r="A477" s="53"/>
      <c r="C477" s="13"/>
      <c r="D477" s="13"/>
      <c r="E477" s="13"/>
    </row>
    <row r="478">
      <c r="A478" s="53"/>
      <c r="C478" s="13"/>
      <c r="D478" s="13"/>
      <c r="E478" s="13"/>
    </row>
    <row r="479">
      <c r="A479" s="53"/>
      <c r="C479" s="13"/>
      <c r="D479" s="13"/>
      <c r="E479" s="13"/>
    </row>
    <row r="480">
      <c r="A480" s="53"/>
      <c r="C480" s="13"/>
      <c r="D480" s="13"/>
      <c r="E480" s="13"/>
    </row>
    <row r="481">
      <c r="A481" s="53"/>
      <c r="C481" s="13"/>
      <c r="D481" s="13"/>
      <c r="E481" s="13"/>
    </row>
    <row r="482">
      <c r="A482" s="53"/>
      <c r="C482" s="13"/>
      <c r="D482" s="13"/>
      <c r="E482" s="13"/>
    </row>
    <row r="483">
      <c r="A483" s="53"/>
      <c r="C483" s="13"/>
      <c r="D483" s="13"/>
      <c r="E483" s="13"/>
    </row>
    <row r="484">
      <c r="A484" s="53"/>
      <c r="C484" s="13"/>
      <c r="D484" s="13"/>
      <c r="E484" s="13"/>
    </row>
    <row r="485">
      <c r="A485" s="53"/>
      <c r="C485" s="13"/>
      <c r="D485" s="13"/>
      <c r="E485" s="13"/>
    </row>
    <row r="486">
      <c r="A486" s="53"/>
      <c r="C486" s="13"/>
      <c r="D486" s="13"/>
      <c r="E486" s="13"/>
    </row>
    <row r="487">
      <c r="A487" s="53"/>
      <c r="C487" s="13"/>
      <c r="D487" s="13"/>
      <c r="E487" s="13"/>
    </row>
    <row r="488">
      <c r="A488" s="53"/>
      <c r="C488" s="13"/>
      <c r="D488" s="13"/>
      <c r="E488" s="13"/>
    </row>
    <row r="489">
      <c r="A489" s="53"/>
      <c r="C489" s="13"/>
      <c r="D489" s="13"/>
      <c r="E489" s="13"/>
    </row>
    <row r="490">
      <c r="A490" s="53"/>
      <c r="C490" s="13"/>
      <c r="D490" s="13"/>
      <c r="E490" s="13"/>
    </row>
    <row r="491">
      <c r="A491" s="53"/>
      <c r="C491" s="13"/>
      <c r="D491" s="13"/>
      <c r="E491" s="13"/>
    </row>
    <row r="492">
      <c r="A492" s="53"/>
      <c r="C492" s="13"/>
      <c r="D492" s="13"/>
      <c r="E492" s="13"/>
    </row>
    <row r="493">
      <c r="A493" s="53"/>
      <c r="C493" s="13"/>
      <c r="D493" s="13"/>
      <c r="E493" s="13"/>
    </row>
    <row r="494">
      <c r="A494" s="53"/>
      <c r="C494" s="13"/>
      <c r="D494" s="13"/>
      <c r="E494" s="13"/>
    </row>
    <row r="495">
      <c r="A495" s="53"/>
      <c r="C495" s="13"/>
      <c r="D495" s="13"/>
      <c r="E495" s="13"/>
    </row>
    <row r="496">
      <c r="A496" s="53"/>
      <c r="C496" s="13"/>
      <c r="D496" s="13"/>
      <c r="E496" s="13"/>
    </row>
    <row r="497">
      <c r="A497" s="53"/>
      <c r="C497" s="13"/>
      <c r="D497" s="13"/>
      <c r="E497" s="13"/>
    </row>
    <row r="498">
      <c r="A498" s="53"/>
      <c r="C498" s="13"/>
      <c r="D498" s="13"/>
      <c r="E498" s="13"/>
    </row>
    <row r="499">
      <c r="A499" s="53"/>
      <c r="C499" s="13"/>
      <c r="D499" s="13"/>
      <c r="E499" s="13"/>
    </row>
    <row r="500">
      <c r="A500" s="53"/>
      <c r="C500" s="13"/>
      <c r="D500" s="13"/>
      <c r="E500" s="13"/>
    </row>
    <row r="501">
      <c r="A501" s="53"/>
      <c r="C501" s="13"/>
      <c r="D501" s="13"/>
      <c r="E501" s="13"/>
    </row>
    <row r="502">
      <c r="A502" s="53"/>
      <c r="C502" s="13"/>
      <c r="D502" s="13"/>
      <c r="E502" s="13"/>
    </row>
    <row r="503">
      <c r="A503" s="53"/>
      <c r="C503" s="13"/>
      <c r="D503" s="13"/>
      <c r="E503" s="13"/>
    </row>
    <row r="504">
      <c r="A504" s="53"/>
      <c r="C504" s="13"/>
      <c r="D504" s="13"/>
      <c r="E504" s="13"/>
    </row>
    <row r="505">
      <c r="A505" s="53"/>
      <c r="C505" s="13"/>
      <c r="D505" s="13"/>
      <c r="E505" s="13"/>
    </row>
    <row r="506">
      <c r="A506" s="53"/>
      <c r="C506" s="13"/>
      <c r="D506" s="13"/>
      <c r="E506" s="13"/>
    </row>
    <row r="507">
      <c r="A507" s="53"/>
      <c r="C507" s="13"/>
      <c r="D507" s="13"/>
      <c r="E507" s="13"/>
    </row>
    <row r="508">
      <c r="A508" s="53"/>
      <c r="C508" s="13"/>
      <c r="D508" s="13"/>
      <c r="E508" s="13"/>
    </row>
    <row r="509">
      <c r="A509" s="53"/>
      <c r="C509" s="13"/>
      <c r="D509" s="13"/>
      <c r="E509" s="13"/>
    </row>
    <row r="510">
      <c r="A510" s="53"/>
      <c r="C510" s="13"/>
      <c r="D510" s="13"/>
      <c r="E510" s="13"/>
    </row>
    <row r="511">
      <c r="A511" s="53"/>
      <c r="C511" s="13"/>
      <c r="D511" s="13"/>
      <c r="E511" s="13"/>
    </row>
    <row r="512">
      <c r="A512" s="53"/>
      <c r="C512" s="13"/>
      <c r="D512" s="13"/>
      <c r="E512" s="13"/>
    </row>
    <row r="513">
      <c r="A513" s="53"/>
      <c r="C513" s="13"/>
      <c r="D513" s="13"/>
      <c r="E513" s="13"/>
    </row>
    <row r="514">
      <c r="A514" s="53"/>
      <c r="C514" s="13"/>
      <c r="D514" s="13"/>
      <c r="E514" s="13"/>
    </row>
    <row r="515">
      <c r="A515" s="53"/>
      <c r="C515" s="13"/>
      <c r="D515" s="13"/>
      <c r="E515" s="13"/>
    </row>
    <row r="516">
      <c r="A516" s="53"/>
      <c r="C516" s="13"/>
      <c r="D516" s="13"/>
      <c r="E516" s="13"/>
    </row>
    <row r="517">
      <c r="A517" s="53"/>
      <c r="C517" s="13"/>
      <c r="D517" s="13"/>
      <c r="E517" s="13"/>
    </row>
    <row r="518">
      <c r="A518" s="53"/>
      <c r="C518" s="13"/>
      <c r="D518" s="13"/>
      <c r="E518" s="13"/>
    </row>
    <row r="519">
      <c r="A519" s="53"/>
      <c r="C519" s="13"/>
      <c r="D519" s="13"/>
      <c r="E519" s="13"/>
    </row>
    <row r="520">
      <c r="A520" s="53"/>
      <c r="C520" s="13"/>
      <c r="D520" s="13"/>
      <c r="E520" s="13"/>
    </row>
    <row r="521">
      <c r="A521" s="53"/>
      <c r="C521" s="13"/>
      <c r="D521" s="13"/>
      <c r="E521" s="13"/>
    </row>
    <row r="522">
      <c r="A522" s="53"/>
      <c r="C522" s="13"/>
      <c r="D522" s="13"/>
      <c r="E522" s="13"/>
    </row>
    <row r="523">
      <c r="A523" s="53"/>
      <c r="C523" s="13"/>
      <c r="D523" s="13"/>
      <c r="E523" s="13"/>
    </row>
    <row r="524">
      <c r="A524" s="53"/>
      <c r="C524" s="13"/>
      <c r="D524" s="13"/>
      <c r="E524" s="13"/>
    </row>
    <row r="525">
      <c r="A525" s="53"/>
      <c r="C525" s="13"/>
      <c r="D525" s="13"/>
      <c r="E525" s="13"/>
    </row>
    <row r="526">
      <c r="A526" s="53"/>
      <c r="C526" s="13"/>
      <c r="D526" s="13"/>
      <c r="E526" s="13"/>
    </row>
    <row r="527">
      <c r="A527" s="53"/>
      <c r="C527" s="13"/>
      <c r="D527" s="13"/>
      <c r="E527" s="13"/>
    </row>
    <row r="528">
      <c r="A528" s="53"/>
      <c r="C528" s="13"/>
      <c r="D528" s="13"/>
      <c r="E528" s="13"/>
    </row>
    <row r="529">
      <c r="A529" s="53"/>
      <c r="C529" s="13"/>
      <c r="D529" s="13"/>
      <c r="E529" s="13"/>
    </row>
    <row r="530">
      <c r="A530" s="53"/>
      <c r="C530" s="13"/>
      <c r="D530" s="13"/>
      <c r="E530" s="13"/>
    </row>
    <row r="531">
      <c r="A531" s="53"/>
      <c r="C531" s="13"/>
      <c r="D531" s="13"/>
      <c r="E531" s="13"/>
    </row>
    <row r="532">
      <c r="A532" s="53"/>
      <c r="C532" s="13"/>
      <c r="D532" s="13"/>
      <c r="E532" s="13"/>
    </row>
    <row r="533">
      <c r="A533" s="53"/>
      <c r="C533" s="13"/>
      <c r="D533" s="13"/>
      <c r="E533" s="13"/>
    </row>
    <row r="534">
      <c r="A534" s="53"/>
      <c r="C534" s="13"/>
      <c r="D534" s="13"/>
      <c r="E534" s="13"/>
    </row>
    <row r="535">
      <c r="A535" s="53"/>
      <c r="C535" s="13"/>
      <c r="D535" s="13"/>
      <c r="E535" s="13"/>
    </row>
    <row r="536">
      <c r="A536" s="53"/>
      <c r="C536" s="13"/>
      <c r="D536" s="13"/>
      <c r="E536" s="13"/>
    </row>
    <row r="537">
      <c r="A537" s="53"/>
      <c r="C537" s="13"/>
      <c r="D537" s="13"/>
      <c r="E537" s="13"/>
    </row>
    <row r="538">
      <c r="A538" s="53"/>
      <c r="C538" s="13"/>
      <c r="D538" s="13"/>
      <c r="E538" s="13"/>
    </row>
    <row r="539">
      <c r="A539" s="53"/>
      <c r="C539" s="13"/>
      <c r="D539" s="13"/>
      <c r="E539" s="13"/>
    </row>
    <row r="540">
      <c r="A540" s="53"/>
      <c r="C540" s="13"/>
      <c r="D540" s="13"/>
      <c r="E540" s="13"/>
    </row>
    <row r="541">
      <c r="A541" s="53"/>
      <c r="C541" s="13"/>
      <c r="D541" s="13"/>
      <c r="E541" s="13"/>
    </row>
    <row r="542">
      <c r="A542" s="53"/>
      <c r="C542" s="13"/>
      <c r="D542" s="13"/>
      <c r="E542" s="13"/>
    </row>
    <row r="543">
      <c r="A543" s="53"/>
      <c r="C543" s="13"/>
      <c r="D543" s="13"/>
      <c r="E543" s="13"/>
    </row>
    <row r="544">
      <c r="A544" s="53"/>
      <c r="C544" s="13"/>
      <c r="D544" s="13"/>
      <c r="E544" s="13"/>
    </row>
    <row r="545">
      <c r="A545" s="53"/>
      <c r="C545" s="13"/>
      <c r="D545" s="13"/>
      <c r="E545" s="13"/>
    </row>
    <row r="546">
      <c r="A546" s="53"/>
      <c r="C546" s="13"/>
      <c r="D546" s="13"/>
      <c r="E546" s="13"/>
    </row>
    <row r="547">
      <c r="A547" s="53"/>
      <c r="C547" s="13"/>
      <c r="D547" s="13"/>
      <c r="E547" s="13"/>
    </row>
    <row r="548">
      <c r="A548" s="53"/>
      <c r="C548" s="13"/>
      <c r="D548" s="13"/>
      <c r="E548" s="13"/>
    </row>
    <row r="549">
      <c r="A549" s="53"/>
      <c r="C549" s="13"/>
      <c r="D549" s="13"/>
      <c r="E549" s="13"/>
    </row>
    <row r="550">
      <c r="A550" s="53"/>
      <c r="C550" s="13"/>
      <c r="D550" s="13"/>
      <c r="E550" s="13"/>
    </row>
    <row r="551">
      <c r="A551" s="53"/>
      <c r="C551" s="13"/>
      <c r="D551" s="13"/>
      <c r="E551" s="13"/>
    </row>
    <row r="552">
      <c r="A552" s="53"/>
      <c r="C552" s="13"/>
      <c r="D552" s="13"/>
      <c r="E552" s="13"/>
    </row>
    <row r="553">
      <c r="A553" s="53"/>
      <c r="C553" s="13"/>
      <c r="D553" s="13"/>
      <c r="E553" s="13"/>
    </row>
    <row r="554">
      <c r="A554" s="53"/>
      <c r="C554" s="13"/>
      <c r="D554" s="13"/>
      <c r="E554" s="13"/>
    </row>
    <row r="555">
      <c r="A555" s="53"/>
      <c r="C555" s="13"/>
      <c r="D555" s="13"/>
      <c r="E555" s="13"/>
    </row>
    <row r="556">
      <c r="A556" s="53"/>
      <c r="C556" s="13"/>
      <c r="D556" s="13"/>
      <c r="E556" s="13"/>
    </row>
    <row r="557">
      <c r="A557" s="53"/>
      <c r="C557" s="13"/>
      <c r="D557" s="13"/>
      <c r="E557" s="13"/>
    </row>
    <row r="558">
      <c r="A558" s="53"/>
      <c r="C558" s="13"/>
      <c r="D558" s="13"/>
      <c r="E558" s="13"/>
    </row>
    <row r="559">
      <c r="A559" s="53"/>
      <c r="C559" s="13"/>
      <c r="D559" s="13"/>
      <c r="E559" s="13"/>
    </row>
    <row r="560">
      <c r="A560" s="53"/>
      <c r="C560" s="13"/>
      <c r="D560" s="13"/>
      <c r="E560" s="13"/>
    </row>
    <row r="561">
      <c r="A561" s="53"/>
      <c r="C561" s="13"/>
      <c r="D561" s="13"/>
      <c r="E561" s="13"/>
    </row>
    <row r="562">
      <c r="A562" s="53"/>
      <c r="C562" s="13"/>
      <c r="D562" s="13"/>
      <c r="E562" s="13"/>
    </row>
    <row r="563">
      <c r="A563" s="53"/>
      <c r="C563" s="13"/>
      <c r="D563" s="13"/>
      <c r="E563" s="13"/>
    </row>
    <row r="564">
      <c r="A564" s="53"/>
      <c r="C564" s="13"/>
      <c r="D564" s="13"/>
      <c r="E564" s="13"/>
    </row>
    <row r="565">
      <c r="A565" s="53"/>
      <c r="C565" s="13"/>
      <c r="D565" s="13"/>
      <c r="E565" s="13"/>
    </row>
    <row r="566">
      <c r="A566" s="53"/>
      <c r="C566" s="13"/>
      <c r="D566" s="13"/>
      <c r="E566" s="13"/>
    </row>
    <row r="567">
      <c r="A567" s="53"/>
      <c r="C567" s="13"/>
      <c r="D567" s="13"/>
      <c r="E567" s="13"/>
    </row>
    <row r="568">
      <c r="A568" s="53"/>
      <c r="C568" s="13"/>
      <c r="D568" s="13"/>
      <c r="E568" s="13"/>
    </row>
    <row r="569">
      <c r="A569" s="53"/>
      <c r="C569" s="13"/>
      <c r="D569" s="13"/>
      <c r="E569" s="13"/>
    </row>
    <row r="570">
      <c r="A570" s="53"/>
      <c r="C570" s="13"/>
      <c r="D570" s="13"/>
      <c r="E570" s="13"/>
    </row>
    <row r="571">
      <c r="A571" s="53"/>
      <c r="C571" s="13"/>
      <c r="D571" s="13"/>
      <c r="E571" s="13"/>
    </row>
    <row r="572">
      <c r="A572" s="53"/>
      <c r="C572" s="13"/>
      <c r="D572" s="13"/>
      <c r="E572" s="13"/>
    </row>
    <row r="573">
      <c r="A573" s="53"/>
      <c r="C573" s="13"/>
      <c r="D573" s="13"/>
      <c r="E573" s="13"/>
    </row>
    <row r="574">
      <c r="A574" s="53"/>
      <c r="C574" s="13"/>
      <c r="D574" s="13"/>
      <c r="E574" s="13"/>
    </row>
    <row r="575">
      <c r="A575" s="53"/>
      <c r="C575" s="13"/>
      <c r="D575" s="13"/>
      <c r="E575" s="13"/>
    </row>
    <row r="576">
      <c r="A576" s="53"/>
      <c r="C576" s="13"/>
      <c r="D576" s="13"/>
      <c r="E576" s="13"/>
    </row>
    <row r="577">
      <c r="A577" s="53"/>
      <c r="C577" s="13"/>
      <c r="D577" s="13"/>
      <c r="E577" s="13"/>
    </row>
    <row r="578">
      <c r="A578" s="53"/>
      <c r="C578" s="13"/>
      <c r="D578" s="13"/>
      <c r="E578" s="13"/>
    </row>
    <row r="579">
      <c r="A579" s="53"/>
      <c r="C579" s="13"/>
      <c r="D579" s="13"/>
      <c r="E579" s="13"/>
    </row>
    <row r="580">
      <c r="A580" s="53"/>
      <c r="C580" s="13"/>
      <c r="D580" s="13"/>
      <c r="E580" s="13"/>
    </row>
    <row r="581">
      <c r="A581" s="53"/>
      <c r="C581" s="13"/>
      <c r="D581" s="13"/>
      <c r="E581" s="13"/>
    </row>
    <row r="582">
      <c r="A582" s="53"/>
      <c r="C582" s="13"/>
      <c r="D582" s="13"/>
      <c r="E582" s="13"/>
    </row>
    <row r="583">
      <c r="A583" s="53"/>
      <c r="C583" s="13"/>
      <c r="D583" s="13"/>
      <c r="E583" s="13"/>
    </row>
    <row r="584">
      <c r="A584" s="53"/>
      <c r="C584" s="13"/>
      <c r="D584" s="13"/>
      <c r="E584" s="13"/>
    </row>
    <row r="585">
      <c r="A585" s="53"/>
      <c r="C585" s="13"/>
      <c r="D585" s="13"/>
      <c r="E585" s="13"/>
    </row>
    <row r="586">
      <c r="A586" s="53"/>
      <c r="C586" s="13"/>
      <c r="D586" s="13"/>
      <c r="E586" s="13"/>
    </row>
    <row r="587">
      <c r="A587" s="53"/>
      <c r="C587" s="13"/>
      <c r="D587" s="13"/>
      <c r="E587" s="13"/>
    </row>
    <row r="588">
      <c r="A588" s="53"/>
      <c r="C588" s="13"/>
      <c r="D588" s="13"/>
      <c r="E588" s="13"/>
    </row>
    <row r="589">
      <c r="A589" s="53"/>
      <c r="C589" s="13"/>
      <c r="D589" s="13"/>
      <c r="E589" s="13"/>
    </row>
    <row r="590">
      <c r="A590" s="53"/>
      <c r="C590" s="13"/>
      <c r="D590" s="13"/>
      <c r="E590" s="13"/>
    </row>
    <row r="591">
      <c r="A591" s="53"/>
      <c r="C591" s="13"/>
      <c r="D591" s="13"/>
      <c r="E591" s="13"/>
    </row>
    <row r="592">
      <c r="A592" s="53"/>
      <c r="C592" s="13"/>
      <c r="D592" s="13"/>
      <c r="E592" s="13"/>
    </row>
    <row r="593">
      <c r="A593" s="53"/>
      <c r="C593" s="13"/>
      <c r="D593" s="13"/>
      <c r="E593" s="13"/>
    </row>
    <row r="594">
      <c r="A594" s="53"/>
      <c r="C594" s="13"/>
      <c r="D594" s="13"/>
      <c r="E594" s="13"/>
    </row>
    <row r="595">
      <c r="A595" s="53"/>
      <c r="C595" s="13"/>
      <c r="D595" s="13"/>
      <c r="E595" s="13"/>
    </row>
    <row r="596">
      <c r="A596" s="53"/>
      <c r="C596" s="13"/>
      <c r="D596" s="13"/>
      <c r="E596" s="13"/>
    </row>
    <row r="597">
      <c r="A597" s="53"/>
      <c r="C597" s="13"/>
      <c r="D597" s="13"/>
      <c r="E597" s="13"/>
    </row>
    <row r="598">
      <c r="A598" s="53"/>
      <c r="C598" s="13"/>
      <c r="D598" s="13"/>
      <c r="E598" s="13"/>
    </row>
    <row r="599">
      <c r="A599" s="53"/>
      <c r="C599" s="13"/>
      <c r="D599" s="13"/>
      <c r="E599" s="13"/>
    </row>
    <row r="600">
      <c r="A600" s="53"/>
      <c r="C600" s="13"/>
      <c r="D600" s="13"/>
      <c r="E600" s="13"/>
    </row>
    <row r="601">
      <c r="A601" s="53"/>
      <c r="C601" s="13"/>
      <c r="D601" s="13"/>
      <c r="E601" s="13"/>
    </row>
    <row r="602">
      <c r="A602" s="53"/>
      <c r="C602" s="13"/>
      <c r="D602" s="13"/>
      <c r="E602" s="13"/>
    </row>
    <row r="603">
      <c r="A603" s="53"/>
      <c r="C603" s="13"/>
      <c r="D603" s="13"/>
      <c r="E603" s="13"/>
    </row>
    <row r="604">
      <c r="A604" s="53"/>
      <c r="C604" s="13"/>
      <c r="D604" s="13"/>
      <c r="E604" s="13"/>
    </row>
    <row r="605">
      <c r="A605" s="53"/>
      <c r="C605" s="13"/>
      <c r="D605" s="13"/>
      <c r="E605" s="13"/>
    </row>
    <row r="606">
      <c r="A606" s="53"/>
      <c r="C606" s="13"/>
      <c r="D606" s="13"/>
      <c r="E606" s="13"/>
    </row>
    <row r="607">
      <c r="A607" s="53"/>
      <c r="C607" s="13"/>
      <c r="D607" s="13"/>
      <c r="E607" s="13"/>
    </row>
    <row r="608">
      <c r="A608" s="53"/>
      <c r="C608" s="13"/>
      <c r="D608" s="13"/>
      <c r="E608" s="13"/>
    </row>
    <row r="609">
      <c r="A609" s="53"/>
      <c r="C609" s="13"/>
      <c r="D609" s="13"/>
      <c r="E609" s="13"/>
    </row>
    <row r="610">
      <c r="A610" s="53"/>
      <c r="C610" s="13"/>
      <c r="D610" s="13"/>
      <c r="E610" s="13"/>
    </row>
    <row r="611">
      <c r="A611" s="53"/>
      <c r="C611" s="13"/>
      <c r="D611" s="13"/>
      <c r="E611" s="13"/>
    </row>
    <row r="612">
      <c r="A612" s="53"/>
      <c r="C612" s="13"/>
      <c r="D612" s="13"/>
      <c r="E612" s="13"/>
    </row>
    <row r="613">
      <c r="A613" s="53"/>
      <c r="C613" s="13"/>
      <c r="D613" s="13"/>
      <c r="E613" s="13"/>
    </row>
    <row r="614">
      <c r="A614" s="53"/>
      <c r="C614" s="13"/>
      <c r="D614" s="13"/>
      <c r="E614" s="13"/>
    </row>
    <row r="615">
      <c r="A615" s="53"/>
      <c r="C615" s="13"/>
      <c r="D615" s="13"/>
      <c r="E615" s="13"/>
    </row>
    <row r="616">
      <c r="A616" s="53"/>
      <c r="C616" s="13"/>
      <c r="D616" s="13"/>
      <c r="E616" s="13"/>
    </row>
    <row r="617">
      <c r="A617" s="53"/>
      <c r="C617" s="13"/>
      <c r="D617" s="13"/>
      <c r="E617" s="13"/>
    </row>
    <row r="618">
      <c r="A618" s="53"/>
      <c r="C618" s="13"/>
      <c r="D618" s="13"/>
      <c r="E618" s="13"/>
    </row>
    <row r="619">
      <c r="A619" s="53"/>
      <c r="C619" s="13"/>
      <c r="D619" s="13"/>
      <c r="E619" s="13"/>
    </row>
    <row r="620">
      <c r="A620" s="53"/>
      <c r="C620" s="13"/>
      <c r="D620" s="13"/>
      <c r="E620" s="13"/>
    </row>
    <row r="621">
      <c r="A621" s="53"/>
      <c r="C621" s="13"/>
      <c r="D621" s="13"/>
      <c r="E621" s="13"/>
    </row>
    <row r="622">
      <c r="A622" s="53"/>
      <c r="C622" s="13"/>
      <c r="D622" s="13"/>
      <c r="E622" s="13"/>
    </row>
    <row r="623">
      <c r="A623" s="53"/>
      <c r="C623" s="13"/>
      <c r="D623" s="13"/>
      <c r="E623" s="13"/>
    </row>
    <row r="624">
      <c r="A624" s="53"/>
      <c r="C624" s="13"/>
      <c r="D624" s="13"/>
      <c r="E624" s="13"/>
    </row>
    <row r="625">
      <c r="A625" s="53"/>
      <c r="C625" s="13"/>
      <c r="D625" s="13"/>
      <c r="E625" s="13"/>
    </row>
    <row r="626">
      <c r="A626" s="53"/>
      <c r="C626" s="13"/>
      <c r="D626" s="13"/>
      <c r="E626" s="13"/>
    </row>
    <row r="627">
      <c r="A627" s="53"/>
      <c r="C627" s="13"/>
      <c r="D627" s="13"/>
      <c r="E627" s="13"/>
    </row>
    <row r="628">
      <c r="A628" s="53"/>
      <c r="C628" s="13"/>
      <c r="D628" s="13"/>
      <c r="E628" s="13"/>
    </row>
    <row r="629">
      <c r="A629" s="53"/>
      <c r="C629" s="13"/>
      <c r="D629" s="13"/>
      <c r="E629" s="13"/>
    </row>
    <row r="630">
      <c r="A630" s="53"/>
      <c r="C630" s="13"/>
      <c r="D630" s="13"/>
      <c r="E630" s="13"/>
    </row>
    <row r="631">
      <c r="A631" s="53"/>
      <c r="C631" s="13"/>
      <c r="D631" s="13"/>
      <c r="E631" s="13"/>
    </row>
    <row r="632">
      <c r="A632" s="53"/>
      <c r="C632" s="13"/>
      <c r="D632" s="13"/>
      <c r="E632" s="13"/>
    </row>
    <row r="633">
      <c r="A633" s="53"/>
      <c r="C633" s="13"/>
      <c r="D633" s="13"/>
      <c r="E633" s="13"/>
    </row>
    <row r="634">
      <c r="A634" s="53"/>
      <c r="C634" s="13"/>
      <c r="D634" s="13"/>
      <c r="E634" s="13"/>
    </row>
    <row r="635">
      <c r="A635" s="53"/>
      <c r="C635" s="13"/>
      <c r="D635" s="13"/>
      <c r="E635" s="13"/>
    </row>
    <row r="636">
      <c r="A636" s="53"/>
      <c r="C636" s="13"/>
      <c r="D636" s="13"/>
      <c r="E636" s="13"/>
    </row>
    <row r="637">
      <c r="A637" s="53"/>
      <c r="C637" s="13"/>
      <c r="D637" s="13"/>
      <c r="E637" s="13"/>
    </row>
    <row r="638">
      <c r="A638" s="53"/>
      <c r="C638" s="13"/>
      <c r="D638" s="13"/>
      <c r="E638" s="13"/>
    </row>
    <row r="639">
      <c r="A639" s="53"/>
      <c r="C639" s="13"/>
      <c r="D639" s="13"/>
      <c r="E639" s="13"/>
    </row>
    <row r="640">
      <c r="A640" s="53"/>
      <c r="C640" s="13"/>
      <c r="D640" s="13"/>
      <c r="E640" s="13"/>
    </row>
    <row r="641">
      <c r="A641" s="53"/>
      <c r="C641" s="13"/>
      <c r="D641" s="13"/>
      <c r="E641" s="13"/>
    </row>
    <row r="642">
      <c r="A642" s="53"/>
      <c r="C642" s="13"/>
      <c r="D642" s="13"/>
      <c r="E642" s="13"/>
    </row>
    <row r="643">
      <c r="A643" s="53"/>
      <c r="C643" s="13"/>
      <c r="D643" s="13"/>
      <c r="E643" s="13"/>
    </row>
    <row r="644">
      <c r="A644" s="53"/>
      <c r="C644" s="13"/>
      <c r="D644" s="13"/>
      <c r="E644" s="13"/>
    </row>
    <row r="645">
      <c r="A645" s="53"/>
      <c r="C645" s="13"/>
      <c r="D645" s="13"/>
      <c r="E645" s="13"/>
    </row>
    <row r="646">
      <c r="A646" s="53"/>
      <c r="C646" s="13"/>
      <c r="D646" s="13"/>
      <c r="E646" s="13"/>
    </row>
    <row r="647">
      <c r="A647" s="53"/>
      <c r="C647" s="13"/>
      <c r="D647" s="13"/>
      <c r="E647" s="13"/>
    </row>
    <row r="648">
      <c r="A648" s="53"/>
      <c r="C648" s="13"/>
      <c r="D648" s="13"/>
      <c r="E648" s="13"/>
    </row>
    <row r="649">
      <c r="A649" s="53"/>
      <c r="C649" s="13"/>
      <c r="D649" s="13"/>
      <c r="E649" s="13"/>
    </row>
    <row r="650">
      <c r="A650" s="53"/>
      <c r="C650" s="13"/>
      <c r="D650" s="13"/>
      <c r="E650" s="13"/>
    </row>
    <row r="651">
      <c r="A651" s="53"/>
      <c r="C651" s="13"/>
      <c r="D651" s="13"/>
      <c r="E651" s="13"/>
    </row>
    <row r="652">
      <c r="A652" s="53"/>
      <c r="C652" s="13"/>
      <c r="D652" s="13"/>
      <c r="E652" s="13"/>
    </row>
    <row r="653">
      <c r="A653" s="53"/>
      <c r="C653" s="13"/>
      <c r="D653" s="13"/>
      <c r="E653" s="13"/>
    </row>
    <row r="654">
      <c r="A654" s="53"/>
      <c r="C654" s="13"/>
      <c r="D654" s="13"/>
      <c r="E654" s="13"/>
    </row>
    <row r="655">
      <c r="A655" s="53"/>
      <c r="C655" s="13"/>
      <c r="D655" s="13"/>
      <c r="E655" s="13"/>
    </row>
    <row r="656">
      <c r="A656" s="53"/>
      <c r="C656" s="13"/>
      <c r="D656" s="13"/>
      <c r="E656" s="13"/>
    </row>
    <row r="657">
      <c r="A657" s="53"/>
      <c r="C657" s="13"/>
      <c r="D657" s="13"/>
      <c r="E657" s="13"/>
    </row>
    <row r="658">
      <c r="A658" s="53"/>
      <c r="C658" s="13"/>
      <c r="D658" s="13"/>
      <c r="E658" s="13"/>
    </row>
    <row r="659">
      <c r="A659" s="53"/>
      <c r="C659" s="13"/>
      <c r="D659" s="13"/>
      <c r="E659" s="13"/>
    </row>
    <row r="660">
      <c r="A660" s="53"/>
      <c r="C660" s="13"/>
      <c r="D660" s="13"/>
      <c r="E660" s="13"/>
    </row>
    <row r="661">
      <c r="A661" s="53"/>
      <c r="C661" s="13"/>
      <c r="D661" s="13"/>
      <c r="E661" s="13"/>
    </row>
    <row r="662">
      <c r="A662" s="53"/>
      <c r="C662" s="13"/>
      <c r="D662" s="13"/>
      <c r="E662" s="13"/>
    </row>
    <row r="663">
      <c r="A663" s="53"/>
      <c r="C663" s="13"/>
      <c r="D663" s="13"/>
      <c r="E663" s="13"/>
    </row>
    <row r="664">
      <c r="A664" s="53"/>
      <c r="C664" s="13"/>
      <c r="D664" s="13"/>
      <c r="E664" s="13"/>
    </row>
    <row r="665">
      <c r="A665" s="53"/>
      <c r="C665" s="13"/>
      <c r="D665" s="13"/>
      <c r="E665" s="13"/>
    </row>
    <row r="666">
      <c r="A666" s="53"/>
      <c r="C666" s="13"/>
      <c r="D666" s="13"/>
      <c r="E666" s="13"/>
    </row>
    <row r="667">
      <c r="A667" s="53"/>
      <c r="C667" s="13"/>
      <c r="D667" s="13"/>
      <c r="E667" s="13"/>
    </row>
    <row r="668">
      <c r="A668" s="53"/>
      <c r="C668" s="13"/>
      <c r="D668" s="13"/>
      <c r="E668" s="13"/>
    </row>
    <row r="669">
      <c r="A669" s="53"/>
      <c r="C669" s="13"/>
      <c r="D669" s="13"/>
      <c r="E669" s="13"/>
    </row>
    <row r="670">
      <c r="A670" s="53"/>
      <c r="C670" s="13"/>
      <c r="D670" s="13"/>
      <c r="E670" s="13"/>
    </row>
    <row r="671">
      <c r="A671" s="53"/>
      <c r="C671" s="13"/>
      <c r="D671" s="13"/>
      <c r="E671" s="13"/>
    </row>
    <row r="672">
      <c r="A672" s="53"/>
      <c r="C672" s="13"/>
      <c r="D672" s="13"/>
      <c r="E672" s="13"/>
    </row>
    <row r="673">
      <c r="A673" s="53"/>
      <c r="C673" s="13"/>
      <c r="D673" s="13"/>
      <c r="E673" s="13"/>
    </row>
    <row r="674">
      <c r="A674" s="53"/>
      <c r="C674" s="13"/>
      <c r="D674" s="13"/>
      <c r="E674" s="13"/>
    </row>
    <row r="675">
      <c r="A675" s="53"/>
      <c r="C675" s="13"/>
      <c r="D675" s="13"/>
      <c r="E675" s="13"/>
    </row>
    <row r="676">
      <c r="A676" s="53"/>
      <c r="C676" s="13"/>
      <c r="D676" s="13"/>
      <c r="E676" s="13"/>
    </row>
    <row r="677">
      <c r="A677" s="53"/>
      <c r="C677" s="13"/>
      <c r="D677" s="13"/>
      <c r="E677" s="13"/>
    </row>
    <row r="678">
      <c r="A678" s="53"/>
      <c r="C678" s="13"/>
      <c r="D678" s="13"/>
      <c r="E678" s="13"/>
    </row>
    <row r="679">
      <c r="A679" s="53"/>
      <c r="C679" s="13"/>
      <c r="D679" s="13"/>
      <c r="E679" s="13"/>
    </row>
    <row r="680">
      <c r="A680" s="53"/>
      <c r="C680" s="13"/>
      <c r="D680" s="13"/>
      <c r="E680" s="13"/>
    </row>
    <row r="681">
      <c r="A681" s="53"/>
      <c r="C681" s="13"/>
      <c r="D681" s="13"/>
      <c r="E681" s="13"/>
    </row>
    <row r="682">
      <c r="A682" s="53"/>
      <c r="C682" s="13"/>
      <c r="D682" s="13"/>
      <c r="E682" s="13"/>
    </row>
    <row r="683">
      <c r="A683" s="53"/>
      <c r="C683" s="13"/>
      <c r="D683" s="13"/>
      <c r="E683" s="13"/>
    </row>
    <row r="684">
      <c r="A684" s="53"/>
      <c r="C684" s="13"/>
      <c r="D684" s="13"/>
      <c r="E684" s="13"/>
    </row>
    <row r="685">
      <c r="A685" s="53"/>
      <c r="C685" s="13"/>
      <c r="D685" s="13"/>
      <c r="E685" s="13"/>
    </row>
    <row r="686">
      <c r="A686" s="53"/>
      <c r="C686" s="13"/>
      <c r="D686" s="13"/>
      <c r="E686" s="13"/>
    </row>
    <row r="687">
      <c r="A687" s="53"/>
      <c r="C687" s="13"/>
      <c r="D687" s="13"/>
      <c r="E687" s="13"/>
    </row>
    <row r="688">
      <c r="A688" s="53"/>
      <c r="C688" s="13"/>
      <c r="D688" s="13"/>
      <c r="E688" s="13"/>
    </row>
    <row r="689">
      <c r="A689" s="53"/>
      <c r="C689" s="13"/>
      <c r="D689" s="13"/>
      <c r="E689" s="13"/>
    </row>
    <row r="690">
      <c r="A690" s="53"/>
      <c r="C690" s="13"/>
      <c r="D690" s="13"/>
      <c r="E690" s="13"/>
    </row>
    <row r="691">
      <c r="A691" s="53"/>
      <c r="C691" s="13"/>
      <c r="D691" s="13"/>
      <c r="E691" s="13"/>
    </row>
    <row r="692">
      <c r="A692" s="53"/>
      <c r="C692" s="13"/>
      <c r="D692" s="13"/>
      <c r="E692" s="13"/>
    </row>
    <row r="693">
      <c r="A693" s="53"/>
      <c r="C693" s="13"/>
      <c r="D693" s="13"/>
      <c r="E693" s="13"/>
    </row>
    <row r="694">
      <c r="A694" s="53"/>
      <c r="C694" s="13"/>
      <c r="D694" s="13"/>
      <c r="E694" s="13"/>
    </row>
    <row r="695">
      <c r="A695" s="53"/>
      <c r="C695" s="13"/>
      <c r="D695" s="13"/>
      <c r="E695" s="13"/>
    </row>
    <row r="696">
      <c r="A696" s="53"/>
      <c r="C696" s="13"/>
      <c r="D696" s="13"/>
      <c r="E696" s="13"/>
    </row>
    <row r="697">
      <c r="A697" s="53"/>
      <c r="C697" s="13"/>
      <c r="D697" s="13"/>
      <c r="E697" s="13"/>
    </row>
    <row r="698">
      <c r="A698" s="53"/>
      <c r="C698" s="13"/>
      <c r="D698" s="13"/>
      <c r="E698" s="13"/>
    </row>
    <row r="699">
      <c r="A699" s="53"/>
      <c r="C699" s="13"/>
      <c r="D699" s="13"/>
      <c r="E699" s="13"/>
    </row>
    <row r="700">
      <c r="A700" s="53"/>
      <c r="C700" s="13"/>
      <c r="D700" s="13"/>
      <c r="E700" s="13"/>
    </row>
    <row r="701">
      <c r="A701" s="53"/>
      <c r="C701" s="13"/>
      <c r="D701" s="13"/>
      <c r="E701" s="13"/>
    </row>
    <row r="702">
      <c r="A702" s="53"/>
      <c r="C702" s="13"/>
      <c r="D702" s="13"/>
      <c r="E702" s="13"/>
    </row>
    <row r="703">
      <c r="A703" s="53"/>
      <c r="C703" s="13"/>
      <c r="D703" s="13"/>
      <c r="E703" s="13"/>
    </row>
    <row r="704">
      <c r="A704" s="53"/>
      <c r="C704" s="13"/>
      <c r="D704" s="13"/>
      <c r="E704" s="13"/>
    </row>
    <row r="705">
      <c r="A705" s="53"/>
      <c r="C705" s="13"/>
      <c r="D705" s="13"/>
      <c r="E705" s="13"/>
    </row>
    <row r="706">
      <c r="A706" s="53"/>
      <c r="C706" s="13"/>
      <c r="D706" s="13"/>
      <c r="E706" s="13"/>
    </row>
    <row r="707">
      <c r="A707" s="53"/>
      <c r="C707" s="13"/>
      <c r="D707" s="13"/>
      <c r="E707" s="13"/>
    </row>
    <row r="708">
      <c r="A708" s="53"/>
      <c r="C708" s="13"/>
      <c r="D708" s="13"/>
      <c r="E708" s="13"/>
    </row>
    <row r="709">
      <c r="A709" s="53"/>
      <c r="C709" s="13"/>
      <c r="D709" s="13"/>
      <c r="E709" s="13"/>
    </row>
    <row r="710">
      <c r="A710" s="53"/>
      <c r="C710" s="13"/>
      <c r="D710" s="13"/>
      <c r="E710" s="13"/>
    </row>
    <row r="711">
      <c r="A711" s="53"/>
      <c r="C711" s="13"/>
      <c r="D711" s="13"/>
      <c r="E711" s="13"/>
    </row>
    <row r="712">
      <c r="A712" s="53"/>
      <c r="C712" s="13"/>
      <c r="D712" s="13"/>
      <c r="E712" s="13"/>
    </row>
    <row r="713">
      <c r="A713" s="53"/>
      <c r="C713" s="13"/>
      <c r="D713" s="13"/>
      <c r="E713" s="13"/>
    </row>
    <row r="714">
      <c r="A714" s="53"/>
      <c r="C714" s="13"/>
      <c r="D714" s="13"/>
      <c r="E714" s="13"/>
    </row>
    <row r="715">
      <c r="A715" s="53"/>
      <c r="C715" s="13"/>
      <c r="D715" s="13"/>
      <c r="E715" s="13"/>
    </row>
    <row r="716">
      <c r="A716" s="53"/>
      <c r="C716" s="13"/>
      <c r="D716" s="13"/>
      <c r="E716" s="13"/>
    </row>
    <row r="717">
      <c r="A717" s="53"/>
      <c r="C717" s="13"/>
      <c r="D717" s="13"/>
      <c r="E717" s="13"/>
    </row>
    <row r="718">
      <c r="A718" s="53"/>
      <c r="C718" s="13"/>
      <c r="D718" s="13"/>
      <c r="E718" s="13"/>
    </row>
    <row r="719">
      <c r="A719" s="53"/>
      <c r="C719" s="13"/>
      <c r="D719" s="13"/>
      <c r="E719" s="13"/>
    </row>
    <row r="720">
      <c r="A720" s="53"/>
      <c r="C720" s="13"/>
      <c r="D720" s="13"/>
      <c r="E720" s="13"/>
    </row>
    <row r="721">
      <c r="A721" s="53"/>
      <c r="C721" s="13"/>
      <c r="D721" s="13"/>
      <c r="E721" s="13"/>
    </row>
    <row r="722">
      <c r="A722" s="53"/>
      <c r="C722" s="13"/>
      <c r="D722" s="13"/>
      <c r="E722" s="13"/>
    </row>
    <row r="723">
      <c r="A723" s="53"/>
      <c r="C723" s="13"/>
      <c r="D723" s="13"/>
      <c r="E723" s="13"/>
    </row>
    <row r="724">
      <c r="A724" s="53"/>
      <c r="C724" s="13"/>
      <c r="D724" s="13"/>
      <c r="E724" s="13"/>
    </row>
    <row r="725">
      <c r="A725" s="53"/>
      <c r="C725" s="13"/>
      <c r="D725" s="13"/>
      <c r="E725" s="13"/>
    </row>
    <row r="726">
      <c r="A726" s="53"/>
      <c r="C726" s="13"/>
      <c r="D726" s="13"/>
      <c r="E726" s="13"/>
    </row>
    <row r="727">
      <c r="A727" s="53"/>
      <c r="C727" s="13"/>
      <c r="D727" s="13"/>
      <c r="E727" s="13"/>
    </row>
    <row r="728">
      <c r="A728" s="53"/>
      <c r="C728" s="13"/>
      <c r="D728" s="13"/>
      <c r="E728" s="13"/>
    </row>
    <row r="729">
      <c r="A729" s="53"/>
      <c r="C729" s="13"/>
      <c r="D729" s="13"/>
      <c r="E729" s="13"/>
    </row>
    <row r="730">
      <c r="A730" s="53"/>
      <c r="C730" s="13"/>
      <c r="D730" s="13"/>
      <c r="E730" s="13"/>
    </row>
    <row r="731">
      <c r="A731" s="53"/>
      <c r="C731" s="13"/>
      <c r="D731" s="13"/>
      <c r="E731" s="13"/>
    </row>
    <row r="732">
      <c r="A732" s="53"/>
      <c r="C732" s="13"/>
      <c r="D732" s="13"/>
      <c r="E732" s="13"/>
    </row>
    <row r="733">
      <c r="A733" s="53"/>
      <c r="C733" s="13"/>
      <c r="D733" s="13"/>
      <c r="E733" s="13"/>
    </row>
    <row r="734">
      <c r="A734" s="53"/>
      <c r="C734" s="13"/>
      <c r="D734" s="13"/>
      <c r="E734" s="13"/>
    </row>
    <row r="735">
      <c r="A735" s="53"/>
      <c r="C735" s="13"/>
      <c r="D735" s="13"/>
      <c r="E735" s="13"/>
    </row>
    <row r="736">
      <c r="A736" s="53"/>
      <c r="C736" s="13"/>
      <c r="D736" s="13"/>
      <c r="E736" s="13"/>
    </row>
    <row r="737">
      <c r="A737" s="53"/>
      <c r="C737" s="13"/>
      <c r="D737" s="13"/>
      <c r="E737" s="13"/>
    </row>
    <row r="738">
      <c r="A738" s="53"/>
      <c r="C738" s="13"/>
      <c r="D738" s="13"/>
      <c r="E738" s="13"/>
    </row>
    <row r="739">
      <c r="A739" s="53"/>
      <c r="C739" s="13"/>
      <c r="D739" s="13"/>
      <c r="E739" s="13"/>
    </row>
    <row r="740">
      <c r="A740" s="53"/>
      <c r="C740" s="13"/>
      <c r="D740" s="13"/>
      <c r="E740" s="13"/>
    </row>
    <row r="741">
      <c r="A741" s="53"/>
      <c r="C741" s="13"/>
      <c r="D741" s="13"/>
      <c r="E741" s="13"/>
    </row>
    <row r="742">
      <c r="A742" s="53"/>
      <c r="C742" s="13"/>
      <c r="D742" s="13"/>
      <c r="E742" s="13"/>
    </row>
    <row r="743">
      <c r="A743" s="53"/>
      <c r="C743" s="13"/>
      <c r="D743" s="13"/>
      <c r="E743" s="13"/>
    </row>
    <row r="744">
      <c r="A744" s="53"/>
      <c r="C744" s="13"/>
      <c r="D744" s="13"/>
      <c r="E744" s="13"/>
    </row>
    <row r="745">
      <c r="A745" s="53"/>
      <c r="C745" s="13"/>
      <c r="D745" s="13"/>
      <c r="E745" s="13"/>
    </row>
    <row r="746">
      <c r="A746" s="53"/>
      <c r="C746" s="13"/>
      <c r="D746" s="13"/>
      <c r="E746" s="13"/>
    </row>
    <row r="747">
      <c r="A747" s="53"/>
      <c r="C747" s="13"/>
      <c r="D747" s="13"/>
      <c r="E747" s="13"/>
    </row>
    <row r="748">
      <c r="A748" s="53"/>
      <c r="C748" s="13"/>
      <c r="D748" s="13"/>
      <c r="E748" s="13"/>
    </row>
    <row r="749">
      <c r="A749" s="53"/>
      <c r="C749" s="13"/>
      <c r="D749" s="13"/>
      <c r="E749" s="13"/>
    </row>
    <row r="750">
      <c r="A750" s="53"/>
      <c r="C750" s="13"/>
      <c r="D750" s="13"/>
      <c r="E750" s="13"/>
    </row>
    <row r="751">
      <c r="A751" s="53"/>
      <c r="C751" s="13"/>
      <c r="D751" s="13"/>
      <c r="E751" s="13"/>
    </row>
    <row r="752">
      <c r="A752" s="53"/>
      <c r="C752" s="13"/>
      <c r="D752" s="13"/>
      <c r="E752" s="13"/>
    </row>
    <row r="753">
      <c r="A753" s="53"/>
      <c r="C753" s="13"/>
      <c r="D753" s="13"/>
      <c r="E753" s="13"/>
    </row>
    <row r="754">
      <c r="A754" s="53"/>
      <c r="C754" s="13"/>
      <c r="D754" s="13"/>
      <c r="E754" s="13"/>
    </row>
    <row r="755">
      <c r="A755" s="53"/>
      <c r="C755" s="13"/>
      <c r="D755" s="13"/>
      <c r="E755" s="13"/>
    </row>
    <row r="756">
      <c r="A756" s="53"/>
      <c r="C756" s="13"/>
      <c r="D756" s="13"/>
      <c r="E756" s="13"/>
    </row>
    <row r="757">
      <c r="A757" s="53"/>
      <c r="C757" s="13"/>
      <c r="D757" s="13"/>
      <c r="E757" s="13"/>
    </row>
    <row r="758">
      <c r="A758" s="53"/>
      <c r="C758" s="13"/>
      <c r="D758" s="13"/>
      <c r="E758" s="13"/>
    </row>
    <row r="759">
      <c r="A759" s="53"/>
      <c r="C759" s="13"/>
      <c r="D759" s="13"/>
      <c r="E759" s="13"/>
    </row>
    <row r="760">
      <c r="A760" s="53"/>
      <c r="C760" s="13"/>
      <c r="D760" s="13"/>
      <c r="E760" s="13"/>
    </row>
    <row r="761">
      <c r="A761" s="53"/>
      <c r="C761" s="13"/>
      <c r="D761" s="13"/>
      <c r="E761" s="13"/>
    </row>
    <row r="762">
      <c r="A762" s="53"/>
      <c r="C762" s="13"/>
      <c r="D762" s="13"/>
      <c r="E762" s="13"/>
    </row>
    <row r="763">
      <c r="A763" s="53"/>
      <c r="C763" s="13"/>
      <c r="D763" s="13"/>
      <c r="E763" s="13"/>
    </row>
    <row r="764">
      <c r="A764" s="53"/>
      <c r="C764" s="13"/>
      <c r="D764" s="13"/>
      <c r="E764" s="13"/>
    </row>
    <row r="765">
      <c r="A765" s="53"/>
      <c r="C765" s="13"/>
      <c r="D765" s="13"/>
      <c r="E765" s="13"/>
    </row>
    <row r="766">
      <c r="A766" s="53"/>
      <c r="C766" s="13"/>
      <c r="D766" s="13"/>
      <c r="E766" s="13"/>
    </row>
    <row r="767">
      <c r="A767" s="53"/>
      <c r="C767" s="13"/>
      <c r="D767" s="13"/>
      <c r="E767" s="13"/>
    </row>
    <row r="768">
      <c r="A768" s="53"/>
      <c r="C768" s="13"/>
      <c r="D768" s="13"/>
      <c r="E768" s="13"/>
    </row>
    <row r="769">
      <c r="A769" s="53"/>
      <c r="C769" s="13"/>
      <c r="D769" s="13"/>
      <c r="E769" s="13"/>
    </row>
    <row r="770">
      <c r="A770" s="53"/>
      <c r="C770" s="13"/>
      <c r="D770" s="13"/>
      <c r="E770" s="13"/>
    </row>
    <row r="771">
      <c r="A771" s="53"/>
      <c r="C771" s="13"/>
      <c r="D771" s="13"/>
      <c r="E771" s="13"/>
    </row>
    <row r="772">
      <c r="A772" s="53"/>
      <c r="C772" s="13"/>
      <c r="D772" s="13"/>
      <c r="E772" s="13"/>
    </row>
    <row r="773">
      <c r="A773" s="53"/>
      <c r="C773" s="13"/>
      <c r="D773" s="13"/>
      <c r="E773" s="13"/>
    </row>
    <row r="774">
      <c r="A774" s="53"/>
      <c r="C774" s="13"/>
      <c r="D774" s="13"/>
      <c r="E774" s="13"/>
    </row>
    <row r="775">
      <c r="A775" s="53"/>
      <c r="C775" s="13"/>
      <c r="D775" s="13"/>
      <c r="E775" s="13"/>
    </row>
    <row r="776">
      <c r="A776" s="53"/>
      <c r="C776" s="13"/>
      <c r="D776" s="13"/>
      <c r="E776" s="13"/>
    </row>
    <row r="777">
      <c r="A777" s="53"/>
      <c r="C777" s="13"/>
      <c r="D777" s="13"/>
      <c r="E777" s="13"/>
    </row>
    <row r="778">
      <c r="A778" s="53"/>
      <c r="C778" s="13"/>
      <c r="D778" s="13"/>
      <c r="E778" s="13"/>
    </row>
    <row r="779">
      <c r="A779" s="53"/>
      <c r="C779" s="13"/>
      <c r="D779" s="13"/>
      <c r="E779" s="13"/>
    </row>
    <row r="780">
      <c r="A780" s="53"/>
      <c r="C780" s="13"/>
      <c r="D780" s="13"/>
      <c r="E780" s="13"/>
    </row>
    <row r="781">
      <c r="A781" s="53"/>
      <c r="C781" s="13"/>
      <c r="D781" s="13"/>
      <c r="E781" s="13"/>
    </row>
    <row r="782">
      <c r="A782" s="53"/>
      <c r="C782" s="13"/>
      <c r="D782" s="13"/>
      <c r="E782" s="13"/>
    </row>
    <row r="783">
      <c r="A783" s="53"/>
      <c r="C783" s="13"/>
      <c r="D783" s="13"/>
      <c r="E783" s="13"/>
    </row>
    <row r="784">
      <c r="A784" s="53"/>
      <c r="C784" s="13"/>
      <c r="D784" s="13"/>
      <c r="E784" s="13"/>
    </row>
    <row r="785">
      <c r="A785" s="53"/>
      <c r="C785" s="13"/>
      <c r="D785" s="13"/>
      <c r="E785" s="13"/>
    </row>
    <row r="786">
      <c r="A786" s="53"/>
      <c r="C786" s="13"/>
      <c r="D786" s="13"/>
      <c r="E786" s="13"/>
    </row>
    <row r="787">
      <c r="A787" s="53"/>
      <c r="C787" s="13"/>
      <c r="D787" s="13"/>
      <c r="E787" s="13"/>
    </row>
    <row r="788">
      <c r="A788" s="53"/>
      <c r="C788" s="13"/>
      <c r="D788" s="13"/>
      <c r="E788" s="13"/>
    </row>
    <row r="789">
      <c r="A789" s="53"/>
      <c r="C789" s="13"/>
      <c r="D789" s="13"/>
      <c r="E789" s="13"/>
    </row>
    <row r="790">
      <c r="A790" s="53"/>
      <c r="C790" s="13"/>
      <c r="D790" s="13"/>
      <c r="E790" s="13"/>
    </row>
    <row r="791">
      <c r="A791" s="53"/>
      <c r="C791" s="13"/>
      <c r="D791" s="13"/>
      <c r="E791" s="13"/>
    </row>
    <row r="792">
      <c r="A792" s="53"/>
      <c r="C792" s="13"/>
      <c r="D792" s="13"/>
      <c r="E792" s="13"/>
    </row>
    <row r="793">
      <c r="A793" s="53"/>
      <c r="C793" s="13"/>
      <c r="D793" s="13"/>
      <c r="E793" s="13"/>
    </row>
    <row r="794">
      <c r="A794" s="53"/>
      <c r="C794" s="13"/>
      <c r="D794" s="13"/>
      <c r="E794" s="13"/>
    </row>
    <row r="795">
      <c r="A795" s="53"/>
      <c r="C795" s="13"/>
      <c r="D795" s="13"/>
      <c r="E795" s="13"/>
    </row>
    <row r="796">
      <c r="A796" s="53"/>
      <c r="C796" s="13"/>
      <c r="D796" s="13"/>
      <c r="E796" s="13"/>
    </row>
    <row r="797">
      <c r="A797" s="53"/>
      <c r="C797" s="13"/>
      <c r="D797" s="13"/>
      <c r="E797" s="13"/>
    </row>
    <row r="798">
      <c r="A798" s="53"/>
      <c r="C798" s="13"/>
      <c r="D798" s="13"/>
      <c r="E798" s="13"/>
    </row>
    <row r="799">
      <c r="A799" s="53"/>
      <c r="C799" s="13"/>
      <c r="D799" s="13"/>
      <c r="E799" s="13"/>
    </row>
    <row r="800">
      <c r="A800" s="53"/>
      <c r="C800" s="13"/>
      <c r="D800" s="13"/>
      <c r="E800" s="13"/>
    </row>
    <row r="801">
      <c r="A801" s="53"/>
      <c r="C801" s="13"/>
      <c r="D801" s="13"/>
      <c r="E801" s="13"/>
    </row>
    <row r="802">
      <c r="A802" s="53"/>
      <c r="C802" s="13"/>
      <c r="D802" s="13"/>
      <c r="E802" s="13"/>
    </row>
    <row r="803">
      <c r="A803" s="53"/>
      <c r="C803" s="13"/>
      <c r="D803" s="13"/>
      <c r="E803" s="13"/>
    </row>
    <row r="804">
      <c r="A804" s="53"/>
      <c r="C804" s="13"/>
      <c r="D804" s="13"/>
      <c r="E804" s="13"/>
    </row>
    <row r="805">
      <c r="A805" s="53"/>
      <c r="C805" s="13"/>
      <c r="D805" s="13"/>
      <c r="E805" s="13"/>
    </row>
    <row r="806">
      <c r="A806" s="53"/>
      <c r="C806" s="13"/>
      <c r="D806" s="13"/>
      <c r="E806" s="13"/>
    </row>
    <row r="807">
      <c r="A807" s="53"/>
      <c r="C807" s="13"/>
      <c r="D807" s="13"/>
      <c r="E807" s="13"/>
    </row>
    <row r="808">
      <c r="A808" s="53"/>
      <c r="C808" s="13"/>
      <c r="D808" s="13"/>
      <c r="E808" s="13"/>
    </row>
    <row r="809">
      <c r="A809" s="53"/>
      <c r="C809" s="13"/>
      <c r="D809" s="13"/>
      <c r="E809" s="13"/>
    </row>
    <row r="810">
      <c r="A810" s="53"/>
      <c r="C810" s="13"/>
      <c r="D810" s="13"/>
      <c r="E810" s="13"/>
    </row>
    <row r="811">
      <c r="A811" s="53"/>
      <c r="C811" s="13"/>
      <c r="D811" s="13"/>
      <c r="E811" s="13"/>
    </row>
    <row r="812">
      <c r="A812" s="53"/>
      <c r="C812" s="13"/>
      <c r="D812" s="13"/>
      <c r="E812" s="13"/>
    </row>
    <row r="813">
      <c r="A813" s="53"/>
      <c r="C813" s="13"/>
      <c r="D813" s="13"/>
      <c r="E813" s="13"/>
    </row>
    <row r="814">
      <c r="A814" s="53"/>
      <c r="C814" s="13"/>
      <c r="D814" s="13"/>
      <c r="E814" s="13"/>
    </row>
    <row r="815">
      <c r="A815" s="53"/>
      <c r="C815" s="13"/>
      <c r="D815" s="13"/>
      <c r="E815" s="13"/>
    </row>
    <row r="816">
      <c r="A816" s="53"/>
      <c r="C816" s="13"/>
      <c r="D816" s="13"/>
      <c r="E816" s="13"/>
    </row>
    <row r="817">
      <c r="A817" s="53"/>
      <c r="C817" s="13"/>
      <c r="D817" s="13"/>
      <c r="E817" s="13"/>
    </row>
    <row r="818">
      <c r="A818" s="53"/>
      <c r="C818" s="13"/>
      <c r="D818" s="13"/>
      <c r="E818" s="13"/>
    </row>
    <row r="819">
      <c r="A819" s="53"/>
      <c r="C819" s="13"/>
      <c r="D819" s="13"/>
      <c r="E819" s="13"/>
    </row>
    <row r="820">
      <c r="A820" s="53"/>
      <c r="C820" s="13"/>
      <c r="D820" s="13"/>
      <c r="E820" s="13"/>
    </row>
    <row r="821">
      <c r="A821" s="53"/>
      <c r="C821" s="13"/>
      <c r="D821" s="13"/>
      <c r="E821" s="13"/>
    </row>
    <row r="822">
      <c r="A822" s="53"/>
      <c r="C822" s="13"/>
      <c r="D822" s="13"/>
      <c r="E822" s="13"/>
    </row>
    <row r="823">
      <c r="A823" s="53"/>
      <c r="C823" s="13"/>
      <c r="D823" s="13"/>
      <c r="E823" s="13"/>
    </row>
    <row r="824">
      <c r="A824" s="53"/>
      <c r="C824" s="13"/>
      <c r="D824" s="13"/>
      <c r="E824" s="13"/>
    </row>
    <row r="825">
      <c r="A825" s="53"/>
      <c r="C825" s="13"/>
      <c r="D825" s="13"/>
      <c r="E825" s="13"/>
    </row>
    <row r="826">
      <c r="A826" s="53"/>
      <c r="C826" s="13"/>
      <c r="D826" s="13"/>
      <c r="E826" s="13"/>
    </row>
    <row r="827">
      <c r="A827" s="53"/>
      <c r="C827" s="13"/>
      <c r="D827" s="13"/>
      <c r="E827" s="13"/>
    </row>
    <row r="828">
      <c r="A828" s="53"/>
      <c r="C828" s="13"/>
      <c r="D828" s="13"/>
      <c r="E828" s="13"/>
    </row>
    <row r="829">
      <c r="A829" s="53"/>
      <c r="C829" s="13"/>
      <c r="D829" s="13"/>
      <c r="E829" s="13"/>
    </row>
    <row r="830">
      <c r="A830" s="53"/>
      <c r="C830" s="13"/>
      <c r="D830" s="13"/>
      <c r="E830" s="13"/>
    </row>
    <row r="831">
      <c r="A831" s="53"/>
      <c r="C831" s="13"/>
      <c r="D831" s="13"/>
      <c r="E831" s="13"/>
    </row>
    <row r="832">
      <c r="A832" s="53"/>
      <c r="C832" s="13"/>
      <c r="D832" s="13"/>
      <c r="E832" s="13"/>
    </row>
    <row r="833">
      <c r="A833" s="53"/>
      <c r="C833" s="13"/>
      <c r="D833" s="13"/>
      <c r="E833" s="13"/>
    </row>
    <row r="834">
      <c r="A834" s="53"/>
      <c r="C834" s="13"/>
      <c r="D834" s="13"/>
      <c r="E834" s="13"/>
    </row>
    <row r="835">
      <c r="A835" s="53"/>
      <c r="C835" s="13"/>
      <c r="D835" s="13"/>
      <c r="E835" s="13"/>
    </row>
    <row r="836">
      <c r="A836" s="53"/>
      <c r="C836" s="13"/>
      <c r="D836" s="13"/>
      <c r="E836" s="13"/>
    </row>
    <row r="837">
      <c r="A837" s="53"/>
      <c r="C837" s="13"/>
      <c r="D837" s="13"/>
      <c r="E837" s="13"/>
    </row>
    <row r="838">
      <c r="A838" s="53"/>
      <c r="C838" s="13"/>
      <c r="D838" s="13"/>
      <c r="E838" s="13"/>
    </row>
    <row r="839">
      <c r="A839" s="53"/>
      <c r="C839" s="13"/>
      <c r="D839" s="13"/>
      <c r="E839" s="13"/>
    </row>
    <row r="840">
      <c r="A840" s="53"/>
      <c r="C840" s="13"/>
      <c r="D840" s="13"/>
      <c r="E840" s="13"/>
    </row>
    <row r="841">
      <c r="A841" s="53"/>
      <c r="C841" s="13"/>
      <c r="D841" s="13"/>
      <c r="E841" s="13"/>
    </row>
    <row r="842">
      <c r="A842" s="53"/>
      <c r="C842" s="13"/>
      <c r="D842" s="13"/>
      <c r="E842" s="13"/>
    </row>
    <row r="843">
      <c r="A843" s="53"/>
      <c r="C843" s="13"/>
      <c r="D843" s="13"/>
      <c r="E843" s="13"/>
    </row>
    <row r="844">
      <c r="A844" s="53"/>
      <c r="C844" s="13"/>
      <c r="D844" s="13"/>
      <c r="E844" s="13"/>
    </row>
    <row r="845">
      <c r="A845" s="53"/>
      <c r="C845" s="13"/>
      <c r="D845" s="13"/>
      <c r="E845" s="13"/>
    </row>
    <row r="846">
      <c r="A846" s="53"/>
      <c r="C846" s="13"/>
      <c r="D846" s="13"/>
      <c r="E846" s="13"/>
    </row>
    <row r="847">
      <c r="A847" s="53"/>
      <c r="C847" s="13"/>
      <c r="D847" s="13"/>
      <c r="E847" s="13"/>
    </row>
    <row r="848">
      <c r="A848" s="53"/>
      <c r="C848" s="13"/>
      <c r="D848" s="13"/>
      <c r="E848" s="13"/>
    </row>
    <row r="849">
      <c r="A849" s="53"/>
      <c r="C849" s="13"/>
      <c r="D849" s="13"/>
      <c r="E849" s="13"/>
    </row>
    <row r="850">
      <c r="A850" s="53"/>
      <c r="C850" s="13"/>
      <c r="D850" s="13"/>
      <c r="E850" s="13"/>
    </row>
    <row r="851">
      <c r="A851" s="53"/>
      <c r="C851" s="13"/>
      <c r="D851" s="13"/>
      <c r="E851" s="13"/>
    </row>
    <row r="852">
      <c r="A852" s="53"/>
      <c r="C852" s="13"/>
      <c r="D852" s="13"/>
      <c r="E852" s="13"/>
    </row>
    <row r="853">
      <c r="A853" s="53"/>
      <c r="C853" s="13"/>
      <c r="D853" s="13"/>
      <c r="E853" s="13"/>
    </row>
    <row r="854">
      <c r="A854" s="53"/>
      <c r="C854" s="13"/>
      <c r="D854" s="13"/>
      <c r="E854" s="13"/>
    </row>
    <row r="855">
      <c r="A855" s="53"/>
      <c r="C855" s="13"/>
      <c r="D855" s="13"/>
      <c r="E855" s="13"/>
    </row>
    <row r="856">
      <c r="A856" s="53"/>
      <c r="C856" s="13"/>
      <c r="D856" s="13"/>
      <c r="E856" s="13"/>
    </row>
    <row r="857">
      <c r="A857" s="53"/>
      <c r="C857" s="13"/>
      <c r="D857" s="13"/>
      <c r="E857" s="13"/>
    </row>
    <row r="858">
      <c r="A858" s="53"/>
      <c r="C858" s="13"/>
      <c r="D858" s="13"/>
      <c r="E858" s="13"/>
    </row>
    <row r="859">
      <c r="A859" s="53"/>
      <c r="C859" s="13"/>
      <c r="D859" s="13"/>
      <c r="E859" s="13"/>
    </row>
    <row r="860">
      <c r="A860" s="53"/>
      <c r="C860" s="13"/>
      <c r="D860" s="13"/>
      <c r="E860" s="13"/>
    </row>
    <row r="861">
      <c r="A861" s="53"/>
      <c r="C861" s="13"/>
      <c r="D861" s="13"/>
      <c r="E861" s="13"/>
    </row>
    <row r="862">
      <c r="A862" s="53"/>
      <c r="C862" s="13"/>
      <c r="D862" s="13"/>
      <c r="E862" s="13"/>
    </row>
    <row r="863">
      <c r="A863" s="53"/>
      <c r="C863" s="13"/>
      <c r="D863" s="13"/>
      <c r="E863" s="13"/>
    </row>
    <row r="864">
      <c r="A864" s="53"/>
      <c r="C864" s="13"/>
      <c r="D864" s="13"/>
      <c r="E864" s="13"/>
    </row>
    <row r="865">
      <c r="A865" s="53"/>
      <c r="C865" s="13"/>
      <c r="D865" s="13"/>
      <c r="E865" s="13"/>
    </row>
    <row r="866">
      <c r="A866" s="53"/>
      <c r="C866" s="13"/>
      <c r="D866" s="13"/>
      <c r="E866" s="13"/>
    </row>
    <row r="867">
      <c r="A867" s="53"/>
      <c r="C867" s="13"/>
      <c r="D867" s="13"/>
      <c r="E867" s="13"/>
    </row>
    <row r="868">
      <c r="A868" s="53"/>
      <c r="C868" s="13"/>
      <c r="D868" s="13"/>
      <c r="E868" s="13"/>
    </row>
    <row r="869">
      <c r="A869" s="53"/>
      <c r="C869" s="13"/>
      <c r="D869" s="13"/>
      <c r="E869" s="13"/>
    </row>
    <row r="870">
      <c r="A870" s="53"/>
      <c r="C870" s="13"/>
      <c r="D870" s="13"/>
      <c r="E870" s="13"/>
    </row>
    <row r="871">
      <c r="A871" s="53"/>
      <c r="C871" s="13"/>
      <c r="D871" s="13"/>
      <c r="E871" s="13"/>
    </row>
    <row r="872">
      <c r="A872" s="53"/>
      <c r="C872" s="13"/>
      <c r="D872" s="13"/>
      <c r="E872" s="13"/>
    </row>
    <row r="873">
      <c r="A873" s="53"/>
      <c r="C873" s="13"/>
      <c r="D873" s="13"/>
      <c r="E873" s="13"/>
    </row>
    <row r="874">
      <c r="A874" s="53"/>
      <c r="C874" s="13"/>
      <c r="D874" s="13"/>
      <c r="E874" s="13"/>
    </row>
    <row r="875">
      <c r="A875" s="53"/>
      <c r="C875" s="13"/>
      <c r="D875" s="13"/>
      <c r="E875" s="13"/>
    </row>
    <row r="876">
      <c r="A876" s="53"/>
      <c r="C876" s="13"/>
      <c r="D876" s="13"/>
      <c r="E876" s="13"/>
    </row>
    <row r="877">
      <c r="A877" s="53"/>
      <c r="C877" s="13"/>
      <c r="D877" s="13"/>
      <c r="E877" s="13"/>
    </row>
    <row r="878">
      <c r="A878" s="53"/>
      <c r="C878" s="13"/>
      <c r="D878" s="13"/>
      <c r="E878" s="13"/>
    </row>
    <row r="879">
      <c r="A879" s="53"/>
      <c r="C879" s="13"/>
      <c r="D879" s="13"/>
      <c r="E879" s="13"/>
    </row>
    <row r="880">
      <c r="A880" s="53"/>
      <c r="C880" s="13"/>
      <c r="D880" s="13"/>
      <c r="E880" s="13"/>
    </row>
    <row r="881">
      <c r="A881" s="53"/>
      <c r="C881" s="13"/>
      <c r="D881" s="13"/>
      <c r="E881" s="13"/>
    </row>
    <row r="882">
      <c r="A882" s="53"/>
      <c r="C882" s="13"/>
      <c r="D882" s="13"/>
      <c r="E882" s="13"/>
    </row>
    <row r="883">
      <c r="A883" s="53"/>
      <c r="C883" s="13"/>
      <c r="D883" s="13"/>
      <c r="E883" s="13"/>
    </row>
    <row r="884">
      <c r="A884" s="53"/>
      <c r="C884" s="13"/>
      <c r="D884" s="13"/>
      <c r="E884" s="13"/>
    </row>
    <row r="885">
      <c r="A885" s="53"/>
      <c r="C885" s="13"/>
      <c r="D885" s="13"/>
      <c r="E885" s="13"/>
    </row>
    <row r="886">
      <c r="A886" s="53"/>
      <c r="C886" s="13"/>
      <c r="D886" s="13"/>
      <c r="E886" s="13"/>
    </row>
    <row r="887">
      <c r="A887" s="53"/>
      <c r="C887" s="13"/>
      <c r="D887" s="13"/>
      <c r="E887" s="13"/>
    </row>
    <row r="888">
      <c r="A888" s="53"/>
      <c r="C888" s="13"/>
      <c r="D888" s="13"/>
      <c r="E888" s="13"/>
    </row>
    <row r="889">
      <c r="A889" s="53"/>
      <c r="C889" s="13"/>
      <c r="D889" s="13"/>
      <c r="E889" s="13"/>
    </row>
    <row r="890">
      <c r="A890" s="53"/>
      <c r="C890" s="13"/>
      <c r="D890" s="13"/>
      <c r="E890" s="13"/>
    </row>
    <row r="891">
      <c r="A891" s="53"/>
      <c r="C891" s="13"/>
      <c r="D891" s="13"/>
      <c r="E891" s="13"/>
    </row>
    <row r="892">
      <c r="A892" s="53"/>
      <c r="C892" s="13"/>
      <c r="D892" s="13"/>
      <c r="E892" s="13"/>
    </row>
    <row r="893">
      <c r="A893" s="53"/>
      <c r="C893" s="13"/>
      <c r="D893" s="13"/>
      <c r="E893" s="13"/>
    </row>
    <row r="894">
      <c r="A894" s="53"/>
      <c r="C894" s="13"/>
      <c r="D894" s="13"/>
      <c r="E894" s="13"/>
    </row>
    <row r="895">
      <c r="A895" s="53"/>
      <c r="C895" s="13"/>
      <c r="D895" s="13"/>
      <c r="E895" s="13"/>
    </row>
    <row r="896">
      <c r="A896" s="53"/>
      <c r="C896" s="13"/>
      <c r="D896" s="13"/>
      <c r="E896" s="13"/>
    </row>
    <row r="897">
      <c r="A897" s="53"/>
      <c r="C897" s="13"/>
      <c r="D897" s="13"/>
      <c r="E897" s="13"/>
    </row>
    <row r="898">
      <c r="A898" s="53"/>
      <c r="C898" s="13"/>
      <c r="D898" s="13"/>
      <c r="E898" s="13"/>
    </row>
    <row r="899">
      <c r="A899" s="53"/>
      <c r="C899" s="13"/>
      <c r="D899" s="13"/>
      <c r="E899" s="13"/>
    </row>
    <row r="900">
      <c r="A900" s="53"/>
      <c r="C900" s="13"/>
      <c r="D900" s="13"/>
      <c r="E900" s="13"/>
    </row>
    <row r="901">
      <c r="A901" s="53"/>
      <c r="C901" s="13"/>
      <c r="D901" s="13"/>
      <c r="E901" s="13"/>
    </row>
    <row r="902">
      <c r="A902" s="53"/>
      <c r="C902" s="13"/>
      <c r="D902" s="13"/>
      <c r="E902" s="13"/>
    </row>
    <row r="903">
      <c r="A903" s="53"/>
      <c r="C903" s="13"/>
      <c r="D903" s="13"/>
      <c r="E903" s="13"/>
    </row>
    <row r="904">
      <c r="A904" s="53"/>
      <c r="C904" s="13"/>
      <c r="D904" s="13"/>
      <c r="E904" s="13"/>
    </row>
    <row r="905">
      <c r="A905" s="53"/>
      <c r="C905" s="13"/>
      <c r="D905" s="13"/>
      <c r="E905" s="13"/>
    </row>
    <row r="906">
      <c r="A906" s="53"/>
      <c r="C906" s="13"/>
      <c r="D906" s="13"/>
      <c r="E906" s="13"/>
    </row>
    <row r="907">
      <c r="A907" s="53"/>
      <c r="C907" s="13"/>
      <c r="D907" s="13"/>
      <c r="E907" s="13"/>
    </row>
    <row r="908">
      <c r="A908" s="53"/>
      <c r="C908" s="13"/>
      <c r="D908" s="13"/>
      <c r="E908" s="13"/>
    </row>
    <row r="909">
      <c r="A909" s="53"/>
      <c r="C909" s="13"/>
      <c r="D909" s="13"/>
      <c r="E909" s="13"/>
    </row>
    <row r="910">
      <c r="A910" s="53"/>
      <c r="C910" s="13"/>
      <c r="D910" s="13"/>
      <c r="E910" s="13"/>
    </row>
    <row r="911">
      <c r="A911" s="53"/>
      <c r="C911" s="13"/>
      <c r="D911" s="13"/>
      <c r="E911" s="13"/>
    </row>
    <row r="912">
      <c r="A912" s="53"/>
      <c r="C912" s="13"/>
      <c r="D912" s="13"/>
      <c r="E912" s="13"/>
    </row>
    <row r="913">
      <c r="A913" s="53"/>
      <c r="C913" s="13"/>
      <c r="D913" s="13"/>
      <c r="E913" s="13"/>
    </row>
    <row r="914">
      <c r="A914" s="53"/>
      <c r="C914" s="13"/>
      <c r="D914" s="13"/>
      <c r="E914" s="13"/>
    </row>
    <row r="915">
      <c r="A915" s="53"/>
      <c r="C915" s="13"/>
      <c r="D915" s="13"/>
      <c r="E915" s="13"/>
    </row>
    <row r="916">
      <c r="A916" s="53"/>
      <c r="C916" s="13"/>
      <c r="D916" s="13"/>
      <c r="E916" s="13"/>
    </row>
    <row r="917">
      <c r="A917" s="53"/>
      <c r="C917" s="13"/>
      <c r="D917" s="13"/>
      <c r="E917" s="13"/>
    </row>
    <row r="918">
      <c r="A918" s="53"/>
      <c r="C918" s="13"/>
      <c r="D918" s="13"/>
      <c r="E918" s="13"/>
    </row>
    <row r="919">
      <c r="A919" s="53"/>
      <c r="C919" s="13"/>
      <c r="D919" s="13"/>
      <c r="E919" s="13"/>
    </row>
    <row r="920">
      <c r="A920" s="53"/>
      <c r="C920" s="13"/>
      <c r="D920" s="13"/>
      <c r="E920" s="13"/>
    </row>
    <row r="921">
      <c r="A921" s="53"/>
      <c r="C921" s="13"/>
      <c r="D921" s="13"/>
      <c r="E921" s="13"/>
    </row>
    <row r="922">
      <c r="A922" s="53"/>
      <c r="C922" s="13"/>
      <c r="D922" s="13"/>
      <c r="E922" s="13"/>
    </row>
    <row r="923">
      <c r="A923" s="53"/>
      <c r="C923" s="13"/>
      <c r="D923" s="13"/>
      <c r="E923" s="13"/>
    </row>
    <row r="924">
      <c r="A924" s="53"/>
      <c r="C924" s="13"/>
      <c r="D924" s="13"/>
      <c r="E924" s="13"/>
    </row>
    <row r="925">
      <c r="A925" s="53"/>
      <c r="C925" s="13"/>
      <c r="D925" s="13"/>
      <c r="E925" s="13"/>
    </row>
    <row r="926">
      <c r="A926" s="53"/>
      <c r="C926" s="13"/>
      <c r="D926" s="13"/>
      <c r="E926" s="13"/>
    </row>
    <row r="927">
      <c r="A927" s="53"/>
      <c r="C927" s="13"/>
      <c r="D927" s="13"/>
      <c r="E927" s="13"/>
    </row>
    <row r="928">
      <c r="A928" s="53"/>
      <c r="C928" s="13"/>
      <c r="D928" s="13"/>
      <c r="E928" s="13"/>
    </row>
    <row r="929">
      <c r="A929" s="53"/>
      <c r="C929" s="13"/>
      <c r="D929" s="13"/>
      <c r="E929" s="13"/>
    </row>
    <row r="930">
      <c r="A930" s="53"/>
      <c r="C930" s="13"/>
      <c r="D930" s="13"/>
      <c r="E930" s="13"/>
    </row>
    <row r="931">
      <c r="A931" s="53"/>
      <c r="C931" s="13"/>
      <c r="D931" s="13"/>
      <c r="E931" s="13"/>
    </row>
    <row r="932">
      <c r="A932" s="53"/>
      <c r="C932" s="13"/>
      <c r="D932" s="13"/>
      <c r="E932" s="13"/>
    </row>
    <row r="933">
      <c r="A933" s="53"/>
      <c r="C933" s="13"/>
      <c r="D933" s="13"/>
      <c r="E933" s="13"/>
    </row>
    <row r="934">
      <c r="A934" s="53"/>
      <c r="C934" s="13"/>
      <c r="D934" s="13"/>
      <c r="E934" s="13"/>
    </row>
    <row r="935">
      <c r="A935" s="53"/>
      <c r="C935" s="13"/>
      <c r="D935" s="13"/>
      <c r="E935" s="13"/>
    </row>
    <row r="936">
      <c r="A936" s="53"/>
      <c r="C936" s="13"/>
      <c r="D936" s="13"/>
      <c r="E936" s="13"/>
    </row>
    <row r="937">
      <c r="A937" s="53"/>
      <c r="C937" s="13"/>
      <c r="D937" s="13"/>
      <c r="E937" s="13"/>
    </row>
    <row r="938">
      <c r="A938" s="53"/>
      <c r="C938" s="13"/>
      <c r="D938" s="13"/>
      <c r="E938" s="13"/>
    </row>
    <row r="939">
      <c r="A939" s="53"/>
      <c r="C939" s="13"/>
      <c r="D939" s="13"/>
      <c r="E939" s="13"/>
    </row>
    <row r="940">
      <c r="A940" s="53"/>
      <c r="C940" s="13"/>
      <c r="D940" s="13"/>
      <c r="E940" s="13"/>
    </row>
    <row r="941">
      <c r="A941" s="53"/>
      <c r="C941" s="13"/>
      <c r="D941" s="13"/>
      <c r="E941" s="13"/>
    </row>
    <row r="942">
      <c r="A942" s="53"/>
      <c r="C942" s="13"/>
      <c r="D942" s="13"/>
      <c r="E942" s="13"/>
    </row>
    <row r="943">
      <c r="A943" s="53"/>
      <c r="C943" s="13"/>
      <c r="D943" s="13"/>
      <c r="E943" s="13"/>
    </row>
    <row r="944">
      <c r="A944" s="53"/>
      <c r="C944" s="13"/>
      <c r="D944" s="13"/>
      <c r="E944" s="13"/>
    </row>
    <row r="945">
      <c r="A945" s="53"/>
      <c r="C945" s="13"/>
      <c r="D945" s="13"/>
      <c r="E945" s="13"/>
    </row>
    <row r="946">
      <c r="A946" s="53"/>
      <c r="C946" s="13"/>
      <c r="D946" s="13"/>
      <c r="E946" s="13"/>
    </row>
    <row r="947">
      <c r="A947" s="53"/>
      <c r="C947" s="13"/>
      <c r="D947" s="13"/>
      <c r="E947" s="13"/>
    </row>
    <row r="948">
      <c r="A948" s="53"/>
      <c r="C948" s="13"/>
      <c r="D948" s="13"/>
      <c r="E948" s="13"/>
    </row>
    <row r="949">
      <c r="A949" s="53"/>
      <c r="C949" s="13"/>
      <c r="D949" s="13"/>
      <c r="E949" s="13"/>
    </row>
    <row r="950">
      <c r="A950" s="53"/>
      <c r="C950" s="13"/>
      <c r="D950" s="13"/>
      <c r="E950" s="13"/>
    </row>
    <row r="951">
      <c r="A951" s="53"/>
      <c r="C951" s="13"/>
      <c r="D951" s="13"/>
      <c r="E951" s="13"/>
    </row>
    <row r="952">
      <c r="A952" s="53"/>
      <c r="C952" s="13"/>
      <c r="D952" s="13"/>
      <c r="E952" s="13"/>
    </row>
    <row r="953">
      <c r="A953" s="53"/>
      <c r="C953" s="13"/>
      <c r="D953" s="13"/>
      <c r="E953" s="13"/>
    </row>
    <row r="954">
      <c r="A954" s="53"/>
      <c r="C954" s="13"/>
      <c r="D954" s="13"/>
      <c r="E954" s="13"/>
    </row>
    <row r="955">
      <c r="A955" s="53"/>
      <c r="C955" s="13"/>
      <c r="D955" s="13"/>
      <c r="E955" s="13"/>
    </row>
    <row r="956">
      <c r="A956" s="53"/>
      <c r="C956" s="13"/>
      <c r="D956" s="13"/>
      <c r="E956" s="13"/>
    </row>
    <row r="957">
      <c r="A957" s="53"/>
      <c r="C957" s="13"/>
      <c r="D957" s="13"/>
      <c r="E957" s="13"/>
    </row>
    <row r="958">
      <c r="A958" s="53"/>
      <c r="C958" s="13"/>
      <c r="D958" s="13"/>
      <c r="E958" s="13"/>
    </row>
    <row r="959">
      <c r="A959" s="53"/>
      <c r="C959" s="13"/>
      <c r="D959" s="13"/>
      <c r="E959" s="13"/>
    </row>
    <row r="960">
      <c r="A960" s="53"/>
      <c r="C960" s="13"/>
      <c r="D960" s="13"/>
      <c r="E960" s="13"/>
    </row>
    <row r="961">
      <c r="A961" s="53"/>
      <c r="C961" s="13"/>
      <c r="D961" s="13"/>
      <c r="E961" s="13"/>
    </row>
    <row r="962">
      <c r="A962" s="53"/>
      <c r="C962" s="13"/>
      <c r="D962" s="13"/>
      <c r="E962" s="13"/>
    </row>
    <row r="963">
      <c r="A963" s="53"/>
      <c r="C963" s="13"/>
      <c r="D963" s="13"/>
      <c r="E963" s="13"/>
    </row>
    <row r="964">
      <c r="A964" s="53"/>
      <c r="C964" s="13"/>
      <c r="D964" s="13"/>
      <c r="E964" s="13"/>
    </row>
    <row r="965">
      <c r="A965" s="53"/>
      <c r="C965" s="13"/>
      <c r="D965" s="13"/>
      <c r="E965" s="13"/>
    </row>
    <row r="966">
      <c r="A966" s="53"/>
      <c r="C966" s="13"/>
      <c r="D966" s="13"/>
      <c r="E966" s="13"/>
    </row>
    <row r="967">
      <c r="A967" s="53"/>
      <c r="C967" s="13"/>
      <c r="D967" s="13"/>
      <c r="E967" s="13"/>
    </row>
    <row r="968">
      <c r="A968" s="53"/>
      <c r="C968" s="13"/>
      <c r="D968" s="13"/>
      <c r="E968" s="13"/>
    </row>
    <row r="969">
      <c r="A969" s="53"/>
      <c r="C969" s="13"/>
      <c r="D969" s="13"/>
      <c r="E969" s="13"/>
    </row>
    <row r="970">
      <c r="A970" s="53"/>
      <c r="C970" s="13"/>
      <c r="D970" s="13"/>
      <c r="E970" s="13"/>
    </row>
    <row r="971">
      <c r="A971" s="53"/>
      <c r="C971" s="13"/>
      <c r="D971" s="13"/>
      <c r="E971" s="13"/>
    </row>
    <row r="972">
      <c r="A972" s="53"/>
      <c r="C972" s="13"/>
      <c r="D972" s="13"/>
      <c r="E972" s="13"/>
    </row>
    <row r="973">
      <c r="A973" s="53"/>
      <c r="C973" s="13"/>
      <c r="D973" s="13"/>
      <c r="E973" s="13"/>
    </row>
    <row r="974">
      <c r="A974" s="53"/>
      <c r="C974" s="13"/>
      <c r="D974" s="13"/>
      <c r="E974" s="13"/>
    </row>
    <row r="975">
      <c r="A975" s="53"/>
      <c r="C975" s="13"/>
      <c r="D975" s="13"/>
      <c r="E975" s="13"/>
    </row>
    <row r="976">
      <c r="A976" s="53"/>
      <c r="C976" s="13"/>
      <c r="D976" s="13"/>
      <c r="E976" s="13"/>
    </row>
    <row r="977">
      <c r="A977" s="53"/>
      <c r="C977" s="13"/>
      <c r="D977" s="13"/>
      <c r="E977" s="13"/>
    </row>
    <row r="978">
      <c r="A978" s="53"/>
      <c r="C978" s="13"/>
      <c r="D978" s="13"/>
      <c r="E978" s="13"/>
    </row>
    <row r="979">
      <c r="A979" s="53"/>
      <c r="C979" s="13"/>
      <c r="D979" s="13"/>
      <c r="E979" s="13"/>
    </row>
    <row r="980">
      <c r="A980" s="53"/>
      <c r="C980" s="13"/>
      <c r="D980" s="13"/>
      <c r="E980" s="13"/>
    </row>
    <row r="981">
      <c r="A981" s="53"/>
      <c r="C981" s="13"/>
      <c r="D981" s="13"/>
      <c r="E981" s="13"/>
    </row>
    <row r="982">
      <c r="A982" s="53"/>
      <c r="C982" s="13"/>
      <c r="D982" s="13"/>
      <c r="E982" s="13"/>
    </row>
    <row r="983">
      <c r="A983" s="53"/>
      <c r="C983" s="13"/>
      <c r="D983" s="13"/>
      <c r="E983" s="13"/>
    </row>
    <row r="984">
      <c r="A984" s="53"/>
      <c r="C984" s="13"/>
      <c r="D984" s="13"/>
      <c r="E984" s="13"/>
    </row>
    <row r="985">
      <c r="A985" s="53"/>
      <c r="C985" s="13"/>
      <c r="D985" s="13"/>
      <c r="E985" s="13"/>
    </row>
    <row r="986">
      <c r="A986" s="53"/>
      <c r="C986" s="13"/>
      <c r="D986" s="13"/>
      <c r="E986" s="13"/>
    </row>
    <row r="987">
      <c r="A987" s="53"/>
      <c r="C987" s="13"/>
      <c r="D987" s="13"/>
      <c r="E987" s="13"/>
    </row>
    <row r="988">
      <c r="A988" s="53"/>
      <c r="C988" s="13"/>
      <c r="D988" s="13"/>
      <c r="E988" s="13"/>
    </row>
    <row r="989">
      <c r="A989" s="53"/>
      <c r="C989" s="13"/>
      <c r="D989" s="13"/>
      <c r="E989" s="13"/>
    </row>
    <row r="990">
      <c r="A990" s="53"/>
      <c r="C990" s="13"/>
      <c r="D990" s="13"/>
      <c r="E990" s="13"/>
    </row>
    <row r="991">
      <c r="A991" s="53"/>
      <c r="C991" s="13"/>
      <c r="D991" s="13"/>
      <c r="E991" s="13"/>
    </row>
    <row r="992">
      <c r="A992" s="53"/>
      <c r="C992" s="13"/>
      <c r="D992" s="13"/>
      <c r="E992" s="13"/>
    </row>
    <row r="993">
      <c r="A993" s="53"/>
      <c r="C993" s="13"/>
      <c r="D993" s="13"/>
      <c r="E993" s="13"/>
    </row>
    <row r="994">
      <c r="A994" s="53"/>
      <c r="C994" s="13"/>
      <c r="D994" s="13"/>
      <c r="E994" s="13"/>
    </row>
    <row r="995">
      <c r="A995" s="53"/>
      <c r="C995" s="13"/>
      <c r="D995" s="13"/>
      <c r="E995" s="13"/>
    </row>
    <row r="996">
      <c r="A996" s="53"/>
      <c r="C996" s="13"/>
      <c r="D996" s="13"/>
      <c r="E996" s="13"/>
    </row>
    <row r="997">
      <c r="A997" s="53"/>
      <c r="C997" s="13"/>
      <c r="D997" s="13"/>
      <c r="E997" s="13"/>
    </row>
    <row r="998">
      <c r="A998" s="53"/>
      <c r="C998" s="13"/>
      <c r="D998" s="13"/>
      <c r="E998" s="13"/>
    </row>
    <row r="999">
      <c r="A999" s="53"/>
      <c r="C999" s="13"/>
      <c r="D999" s="13"/>
      <c r="E999" s="13"/>
    </row>
    <row r="1000">
      <c r="A1000" s="53"/>
      <c r="C1000" s="13"/>
      <c r="D1000" s="13"/>
      <c r="E1000" s="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2.13"/>
  </cols>
  <sheetData>
    <row r="1">
      <c r="A1" s="54" t="s">
        <v>1669</v>
      </c>
      <c r="B1" s="54" t="s">
        <v>1670</v>
      </c>
    </row>
  </sheetData>
  <drawing r:id="rId1"/>
</worksheet>
</file>